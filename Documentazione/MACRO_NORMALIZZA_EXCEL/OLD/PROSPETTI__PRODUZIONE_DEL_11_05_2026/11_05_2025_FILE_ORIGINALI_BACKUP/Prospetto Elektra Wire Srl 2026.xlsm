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Z:\Rag. Sala\Prospetti Rag. dal 10 04 2026\"/>
    </mc:Choice>
  </mc:AlternateContent>
  <xr:revisionPtr revIDLastSave="0" documentId="13_ncr:1_{10B4C9B2-0BB0-43A4-B8AA-DF1BED94FA5D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dati per ft" sheetId="5" state="hidden" r:id="rId1"/>
    <sheet name="calcolo comm." sheetId="10" r:id="rId2"/>
    <sheet name="Consegne" sheetId="12" r:id="rId3"/>
    <sheet name="Foglio1" sheetId="11" state="hidden" r:id="rId4"/>
    <sheet name="Ordini" sheetId="7" state="hidden" r:id="rId5"/>
    <sheet name="Ivan" sheetId="6" state="hidden" r:id="rId6"/>
    <sheet name="Olfe" sheetId="9" state="hidden" r:id="rId7"/>
  </sheets>
  <functionGroups builtInGroupCount="19"/>
  <definedNames>
    <definedName name="_xlnm._FilterDatabase" localSheetId="1" hidden="1">'calcolo comm.'!$A$4:$AB$2856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855" i="10" l="1"/>
  <c r="Z2854" i="10"/>
  <c r="Z2853" i="10"/>
  <c r="Z2852" i="10"/>
  <c r="Z2851" i="10"/>
  <c r="Z2850" i="10"/>
  <c r="Z2849" i="10"/>
  <c r="Z2848" i="10"/>
  <c r="Z2847" i="10"/>
  <c r="Z2846" i="10"/>
  <c r="Z2845" i="10"/>
  <c r="Z2844" i="10"/>
  <c r="Z2843" i="10"/>
  <c r="Z2842" i="10"/>
  <c r="Z2841" i="10"/>
  <c r="Z2840" i="10"/>
  <c r="Z2839" i="10"/>
  <c r="Z2838" i="10"/>
  <c r="Z2837" i="10"/>
  <c r="Z2836" i="10"/>
  <c r="Z2835" i="10"/>
  <c r="Z2834" i="10"/>
  <c r="Z2833" i="10"/>
  <c r="Z2832" i="10"/>
  <c r="Z2831" i="10"/>
  <c r="Z2830" i="10"/>
  <c r="Z2829" i="10"/>
  <c r="Z2828" i="10"/>
  <c r="Z2827" i="10"/>
  <c r="Z2826" i="10"/>
  <c r="Z2825" i="10"/>
  <c r="Z2824" i="10"/>
  <c r="Z2823" i="10"/>
  <c r="Z2822" i="10"/>
  <c r="Z2821" i="10"/>
  <c r="Z2820" i="10"/>
  <c r="Z2819" i="10"/>
  <c r="Z2818" i="10"/>
  <c r="Z2817" i="10"/>
  <c r="Z2816" i="10"/>
  <c r="Z2815" i="10"/>
  <c r="Z2814" i="10"/>
  <c r="Z2813" i="10"/>
  <c r="Z2812" i="10"/>
  <c r="Z2811" i="10"/>
  <c r="Z2810" i="10"/>
  <c r="Z2809" i="10"/>
  <c r="Z2808" i="10"/>
  <c r="Z2807" i="10"/>
  <c r="Z2806" i="10"/>
  <c r="Z2805" i="10"/>
  <c r="Z2804" i="10"/>
  <c r="Z2803" i="10"/>
  <c r="Z2802" i="10"/>
  <c r="Z2801" i="10"/>
  <c r="Z2800" i="10"/>
  <c r="Z2799" i="10"/>
  <c r="Z2798" i="10"/>
  <c r="Z2797" i="10"/>
  <c r="Z2796" i="10"/>
  <c r="Z2795" i="10"/>
  <c r="Z2794" i="10"/>
  <c r="Z2793" i="10"/>
  <c r="Z2792" i="10"/>
  <c r="Z2791" i="10"/>
  <c r="Z2790" i="10"/>
  <c r="Z2789" i="10"/>
  <c r="Z2788" i="10"/>
  <c r="Z2787" i="10"/>
  <c r="Z2786" i="10"/>
  <c r="Z2785" i="10"/>
  <c r="Z2784" i="10"/>
  <c r="Z2783" i="10"/>
  <c r="Z2782" i="10"/>
  <c r="Z2781" i="10"/>
  <c r="Z2780" i="10"/>
  <c r="Z2779" i="10"/>
  <c r="Z2778" i="10"/>
  <c r="Z2777" i="10"/>
  <c r="Z2776" i="10"/>
  <c r="Z2775" i="10"/>
  <c r="Z2774" i="10"/>
  <c r="Z2773" i="10"/>
  <c r="Z2772" i="10"/>
  <c r="Z2771" i="10"/>
  <c r="Z2770" i="10"/>
  <c r="Z2769" i="10"/>
  <c r="Z2768" i="10"/>
  <c r="Z2767" i="10"/>
  <c r="Z2766" i="10"/>
  <c r="Z2765" i="10"/>
  <c r="Z2764" i="10"/>
  <c r="Z2763" i="10"/>
  <c r="Z2762" i="10"/>
  <c r="Z2761" i="10"/>
  <c r="Z2760" i="10"/>
  <c r="Z2759" i="10"/>
  <c r="Z2758" i="10"/>
  <c r="Z2757" i="10"/>
  <c r="Z2756" i="10"/>
  <c r="Z2755" i="10"/>
  <c r="Z2754" i="10"/>
  <c r="Z2753" i="10"/>
  <c r="Z2752" i="10"/>
  <c r="Z2751" i="10"/>
  <c r="Z2750" i="10"/>
  <c r="Z2749" i="10"/>
  <c r="Z2748" i="10"/>
  <c r="Z2747" i="10"/>
  <c r="Z2746" i="10"/>
  <c r="Z2745" i="10"/>
  <c r="Z2744" i="10"/>
  <c r="Z2743" i="10"/>
  <c r="Z2742" i="10"/>
  <c r="Z2741" i="10"/>
  <c r="Z2740" i="10"/>
  <c r="Z2739" i="10"/>
  <c r="Z2738" i="10"/>
  <c r="Z2737" i="10"/>
  <c r="Z2736" i="10"/>
  <c r="Z2735" i="10"/>
  <c r="Z2734" i="10"/>
  <c r="Z2733" i="10"/>
  <c r="Z2732" i="10"/>
  <c r="Z2731" i="10"/>
  <c r="Z2730" i="10"/>
  <c r="Z2729" i="10"/>
  <c r="Z2728" i="10"/>
  <c r="Z2727" i="10"/>
  <c r="Z2726" i="10"/>
  <c r="Z2725" i="10"/>
  <c r="Z2724" i="10"/>
  <c r="Z2723" i="10"/>
  <c r="Z2722" i="10"/>
  <c r="Z2721" i="10"/>
  <c r="Z2720" i="10"/>
  <c r="Z2719" i="10"/>
  <c r="Z2718" i="10"/>
  <c r="Z2717" i="10"/>
  <c r="Z2716" i="10"/>
  <c r="Z2715" i="10"/>
  <c r="Z2714" i="10"/>
  <c r="Z2713" i="10"/>
  <c r="Z2712" i="10"/>
  <c r="Z2711" i="10"/>
  <c r="Z2710" i="10"/>
  <c r="Z2709" i="10"/>
  <c r="Z2708" i="10"/>
  <c r="Z2707" i="10"/>
  <c r="Z2706" i="10"/>
  <c r="Z2705" i="10"/>
  <c r="Z2704" i="10"/>
  <c r="Z2703" i="10"/>
  <c r="Z2702" i="10"/>
  <c r="Z2701" i="10"/>
  <c r="Z2700" i="10"/>
  <c r="Z2699" i="10"/>
  <c r="Z2698" i="10"/>
  <c r="Z2697" i="10"/>
  <c r="Z2696" i="10"/>
  <c r="Z2695" i="10"/>
  <c r="Z2694" i="10"/>
  <c r="Z2693" i="10"/>
  <c r="Z2692" i="10"/>
  <c r="Z2691" i="10"/>
  <c r="Z2690" i="10"/>
  <c r="Z2689" i="10"/>
  <c r="Z2688" i="10"/>
  <c r="Z2687" i="10"/>
  <c r="Z2686" i="10"/>
  <c r="Z2685" i="10"/>
  <c r="Z2684" i="10"/>
  <c r="Z2683" i="10"/>
  <c r="Z2682" i="10"/>
  <c r="Z2681" i="10"/>
  <c r="Z2680" i="10"/>
  <c r="Z2679" i="10"/>
  <c r="Z2678" i="10"/>
  <c r="Z2677" i="10"/>
  <c r="Z2676" i="10"/>
  <c r="Z2675" i="10"/>
  <c r="Z2674" i="10"/>
  <c r="Z2673" i="10"/>
  <c r="Z2672" i="10"/>
  <c r="Z2671" i="10"/>
  <c r="Z2670" i="10"/>
  <c r="Z2669" i="10"/>
  <c r="Z2668" i="10"/>
  <c r="Z2667" i="10"/>
  <c r="Z2666" i="10"/>
  <c r="Z2665" i="10"/>
  <c r="Z2664" i="10"/>
  <c r="Z2663" i="10"/>
  <c r="Z2662" i="10"/>
  <c r="Z2661" i="10"/>
  <c r="Z2660" i="10"/>
  <c r="Z2659" i="10"/>
  <c r="Z2658" i="10"/>
  <c r="Z2657" i="10"/>
  <c r="Z2656" i="10"/>
  <c r="Z2655" i="10"/>
  <c r="Z2654" i="10"/>
  <c r="Z2653" i="10"/>
  <c r="Z2652" i="10"/>
  <c r="Z2651" i="10"/>
  <c r="Z2650" i="10"/>
  <c r="Z2649" i="10"/>
  <c r="Z2648" i="10"/>
  <c r="Z2647" i="10"/>
  <c r="Z2646" i="10"/>
  <c r="Z2645" i="10"/>
  <c r="Z2644" i="10"/>
  <c r="Z2643" i="10"/>
  <c r="Z2642" i="10"/>
  <c r="Z2641" i="10"/>
  <c r="Z2640" i="10"/>
  <c r="Z2639" i="10"/>
  <c r="Z2638" i="10"/>
  <c r="Z2637" i="10"/>
  <c r="Z2636" i="10"/>
  <c r="Z2635" i="10"/>
  <c r="Z2634" i="10"/>
  <c r="Z2633" i="10"/>
  <c r="Z2632" i="10"/>
  <c r="Z2631" i="10"/>
  <c r="Z2630" i="10"/>
  <c r="Z2629" i="10"/>
  <c r="Z2628" i="10"/>
  <c r="Z2627" i="10"/>
  <c r="Z2626" i="10"/>
  <c r="Z2625" i="10"/>
  <c r="Z2624" i="10"/>
  <c r="Z2623" i="10"/>
  <c r="Z2622" i="10"/>
  <c r="Z2621" i="10"/>
  <c r="Z2620" i="10"/>
  <c r="Z2619" i="10"/>
  <c r="Z2618" i="10"/>
  <c r="Z2617" i="10"/>
  <c r="Z2616" i="10"/>
  <c r="Z2615" i="10"/>
  <c r="Z2614" i="10"/>
  <c r="Z2613" i="10"/>
  <c r="Z2612" i="10"/>
  <c r="Z2611" i="10"/>
  <c r="Z2610" i="10"/>
  <c r="Z2609" i="10"/>
  <c r="Z2608" i="10"/>
  <c r="Z2607" i="10"/>
  <c r="Z2606" i="10"/>
  <c r="Z2605" i="10"/>
  <c r="Z2604" i="10"/>
  <c r="Z2603" i="10"/>
  <c r="Z2602" i="10"/>
  <c r="Z2601" i="10"/>
  <c r="Z2600" i="10"/>
  <c r="Z2599" i="10"/>
  <c r="Z2598" i="10"/>
  <c r="Z2597" i="10"/>
  <c r="Z2596" i="10"/>
  <c r="Z2595" i="10"/>
  <c r="Z2594" i="10"/>
  <c r="Z2593" i="10"/>
  <c r="Z2592" i="10"/>
  <c r="Z2591" i="10"/>
  <c r="Z2590" i="10"/>
  <c r="Z2589" i="10"/>
  <c r="Z2588" i="10"/>
  <c r="Z2587" i="10"/>
  <c r="Z2586" i="10"/>
  <c r="Z2585" i="10"/>
  <c r="Z2584" i="10"/>
  <c r="Z2583" i="10"/>
  <c r="Z2582" i="10"/>
  <c r="Z2581" i="10"/>
  <c r="Z2580" i="10"/>
  <c r="Z2579" i="10"/>
  <c r="Z2578" i="10"/>
  <c r="Z2577" i="10"/>
  <c r="Z2576" i="10"/>
  <c r="Z2575" i="10"/>
  <c r="Z2574" i="10"/>
  <c r="Z2573" i="10"/>
  <c r="Z2572" i="10"/>
  <c r="Z2571" i="10"/>
  <c r="Z2570" i="10"/>
  <c r="Z2569" i="10"/>
  <c r="Z2568" i="10"/>
  <c r="Z2567" i="10"/>
  <c r="Z2566" i="10"/>
  <c r="Z2565" i="10"/>
  <c r="Z2564" i="10"/>
  <c r="Z2563" i="10"/>
  <c r="Z2562" i="10"/>
  <c r="Z2561" i="10"/>
  <c r="Z2560" i="10"/>
  <c r="Z2559" i="10"/>
  <c r="Z2558" i="10"/>
  <c r="Z2557" i="10"/>
  <c r="Z2556" i="10"/>
  <c r="Z2555" i="10"/>
  <c r="Z2554" i="10"/>
  <c r="Z2553" i="10"/>
  <c r="Z2552" i="10"/>
  <c r="Z2551" i="10"/>
  <c r="Z2550" i="10"/>
  <c r="Z2549" i="10"/>
  <c r="Z2548" i="10"/>
  <c r="Z2547" i="10"/>
  <c r="Z2546" i="10"/>
  <c r="Z2545" i="10"/>
  <c r="Z2544" i="10"/>
  <c r="Z2543" i="10"/>
  <c r="Z2542" i="10"/>
  <c r="Z2541" i="10"/>
  <c r="Z2540" i="10"/>
  <c r="Z2539" i="10"/>
  <c r="Z2538" i="10"/>
  <c r="Z2537" i="10"/>
  <c r="Z2536" i="10"/>
  <c r="Z2535" i="10"/>
  <c r="Z2534" i="10"/>
  <c r="Z2533" i="10"/>
  <c r="Z2532" i="10"/>
  <c r="Z2531" i="10"/>
  <c r="Z2530" i="10"/>
  <c r="Z2529" i="10"/>
  <c r="Z2528" i="10"/>
  <c r="Z2527" i="10"/>
  <c r="Z2526" i="10"/>
  <c r="Z2525" i="10"/>
  <c r="Z2524" i="10"/>
  <c r="Z2523" i="10"/>
  <c r="Z2522" i="10"/>
  <c r="Z2521" i="10"/>
  <c r="Z2520" i="10"/>
  <c r="Z2519" i="10"/>
  <c r="Z2518" i="10"/>
  <c r="Z2517" i="10"/>
  <c r="Z2516" i="10"/>
  <c r="Z2515" i="10"/>
  <c r="Z2514" i="10"/>
  <c r="Z2513" i="10"/>
  <c r="Z2512" i="10"/>
  <c r="Z2511" i="10"/>
  <c r="Z2510" i="10"/>
  <c r="Z2509" i="10"/>
  <c r="Z2508" i="10"/>
  <c r="Z2507" i="10"/>
  <c r="Z2506" i="10"/>
  <c r="Z2505" i="10"/>
  <c r="Z2504" i="10"/>
  <c r="Z2503" i="10"/>
  <c r="Z2502" i="10"/>
  <c r="Z2501" i="10"/>
  <c r="Z2500" i="10"/>
  <c r="Z2499" i="10"/>
  <c r="Z2498" i="10"/>
  <c r="Z2497" i="10"/>
  <c r="Z2496" i="10"/>
  <c r="Z2495" i="10"/>
  <c r="Z2494" i="10"/>
  <c r="Z2493" i="10"/>
  <c r="Z2492" i="10"/>
  <c r="Z2491" i="10"/>
  <c r="Z2490" i="10"/>
  <c r="Z2489" i="10"/>
  <c r="Z2488" i="10"/>
  <c r="Z2487" i="10"/>
  <c r="Z2486" i="10"/>
  <c r="Z2485" i="10"/>
  <c r="Z2484" i="10"/>
  <c r="Z2483" i="10"/>
  <c r="Z2482" i="10"/>
  <c r="Z2481" i="10"/>
  <c r="Z2480" i="10"/>
  <c r="Z2479" i="10"/>
  <c r="Z2478" i="10"/>
  <c r="Z2477" i="10"/>
  <c r="Z2476" i="10"/>
  <c r="Z2475" i="10"/>
  <c r="Z2474" i="10"/>
  <c r="Z2473" i="10"/>
  <c r="Z2472" i="10"/>
  <c r="Z2471" i="10"/>
  <c r="Z2470" i="10"/>
  <c r="Z2469" i="10"/>
  <c r="Z2468" i="10"/>
  <c r="Z2467" i="10"/>
  <c r="Z2466" i="10"/>
  <c r="Z2465" i="10"/>
  <c r="Z2464" i="10"/>
  <c r="Z2463" i="10"/>
  <c r="Z2462" i="10"/>
  <c r="Z2461" i="10"/>
  <c r="Z2460" i="10"/>
  <c r="Z2459" i="10"/>
  <c r="Z2458" i="10"/>
  <c r="Z2457" i="10"/>
  <c r="Z2456" i="10"/>
  <c r="Z2455" i="10"/>
  <c r="Z2454" i="10"/>
  <c r="Z2453" i="10"/>
  <c r="Z2452" i="10"/>
  <c r="Z2451" i="10"/>
  <c r="Z2450" i="10"/>
  <c r="Z2449" i="10"/>
  <c r="Z2448" i="10"/>
  <c r="Z2447" i="10"/>
  <c r="Z2446" i="10"/>
  <c r="Z2445" i="10"/>
  <c r="Z2444" i="10"/>
  <c r="Z2443" i="10"/>
  <c r="Z2442" i="10"/>
  <c r="Z2441" i="10"/>
  <c r="Z2440" i="10"/>
  <c r="Z2439" i="10"/>
  <c r="Z2438" i="10"/>
  <c r="Z2437" i="10"/>
  <c r="Z2436" i="10"/>
  <c r="Z2435" i="10"/>
  <c r="Z2434" i="10"/>
  <c r="Z2433" i="10"/>
  <c r="Z2432" i="10"/>
  <c r="Z2431" i="10"/>
  <c r="Z2430" i="10"/>
  <c r="Z2429" i="10"/>
  <c r="Z2428" i="10"/>
  <c r="Z2427" i="10"/>
  <c r="Z2426" i="10"/>
  <c r="Z2425" i="10"/>
  <c r="Z2424" i="10"/>
  <c r="Z2423" i="10"/>
  <c r="Z2422" i="10"/>
  <c r="Z2421" i="10"/>
  <c r="Z2420" i="10"/>
  <c r="Z2419" i="10"/>
  <c r="Z2418" i="10"/>
  <c r="Z2417" i="10"/>
  <c r="Z2416" i="10"/>
  <c r="Z2415" i="10"/>
  <c r="Z2414" i="10"/>
  <c r="Z2413" i="10"/>
  <c r="Z2412" i="10"/>
  <c r="Z2411" i="10"/>
  <c r="Z2410" i="10"/>
  <c r="Z2409" i="10"/>
  <c r="Z2408" i="10"/>
  <c r="Z2407" i="10"/>
  <c r="Z2406" i="10"/>
  <c r="Z2405" i="10"/>
  <c r="Z2404" i="10"/>
  <c r="Z2403" i="10"/>
  <c r="Z2402" i="10"/>
  <c r="Z2401" i="10"/>
  <c r="Z2400" i="10"/>
  <c r="Z2399" i="10"/>
  <c r="Z2398" i="10"/>
  <c r="Z2397" i="10"/>
  <c r="Z2396" i="10"/>
  <c r="Z2395" i="10"/>
  <c r="Z2394" i="10"/>
  <c r="Z2393" i="10"/>
  <c r="Z2392" i="10"/>
  <c r="Z2391" i="10"/>
  <c r="Z2390" i="10"/>
  <c r="Z2389" i="10"/>
  <c r="Z2388" i="10"/>
  <c r="Z2387" i="10"/>
  <c r="Z2386" i="10"/>
  <c r="Z2385" i="10"/>
  <c r="Z2384" i="10"/>
  <c r="Z2383" i="10"/>
  <c r="Z2382" i="10"/>
  <c r="Z2381" i="10"/>
  <c r="Z2380" i="10"/>
  <c r="Z2379" i="10"/>
  <c r="Z2378" i="10"/>
  <c r="Z2377" i="10"/>
  <c r="Z2376" i="10"/>
  <c r="Z2375" i="10"/>
  <c r="Z2374" i="10"/>
  <c r="Z2373" i="10"/>
  <c r="Z2372" i="10"/>
  <c r="Z2371" i="10"/>
  <c r="Z2370" i="10"/>
  <c r="Z2369" i="10"/>
  <c r="Z2368" i="10"/>
  <c r="Z2367" i="10"/>
  <c r="Z2366" i="10"/>
  <c r="Z2365" i="10"/>
  <c r="Z2364" i="10"/>
  <c r="Z2363" i="10"/>
  <c r="Z2362" i="10"/>
  <c r="Z2361" i="10"/>
  <c r="Z2360" i="10"/>
  <c r="Z2359" i="10"/>
  <c r="Z2358" i="10"/>
  <c r="Z2357" i="10"/>
  <c r="Z2356" i="10"/>
  <c r="Z2355" i="10"/>
  <c r="Z2354" i="10"/>
  <c r="Z2353" i="10"/>
  <c r="Z2352" i="10"/>
  <c r="Z2351" i="10"/>
  <c r="Z2350" i="10"/>
  <c r="Z2349" i="10"/>
  <c r="Z2348" i="10"/>
  <c r="Z2347" i="10"/>
  <c r="Z2346" i="10"/>
  <c r="Z2345" i="10"/>
  <c r="Z2344" i="10"/>
  <c r="Z2343" i="10"/>
  <c r="Z2342" i="10"/>
  <c r="Z2341" i="10"/>
  <c r="Z2340" i="10"/>
  <c r="Z2339" i="10"/>
  <c r="Z2338" i="10"/>
  <c r="Z2337" i="10"/>
  <c r="Z2336" i="10"/>
  <c r="Z2335" i="10"/>
  <c r="Z2334" i="10"/>
  <c r="Z2333" i="10"/>
  <c r="Z2332" i="10"/>
  <c r="Z2331" i="10"/>
  <c r="Z2330" i="10"/>
  <c r="Z2329" i="10"/>
  <c r="Z2328" i="10"/>
  <c r="Z2327" i="10"/>
  <c r="Z2326" i="10"/>
  <c r="Z2325" i="10"/>
  <c r="Z2324" i="10"/>
  <c r="Z2323" i="10"/>
  <c r="Z2322" i="10"/>
  <c r="Z2321" i="10"/>
  <c r="Z2320" i="10"/>
  <c r="Z2319" i="10"/>
  <c r="Z2318" i="10"/>
  <c r="Z2317" i="10"/>
  <c r="Z2316" i="10"/>
  <c r="Z2315" i="10"/>
  <c r="Z2314" i="10"/>
  <c r="Z2313" i="10"/>
  <c r="Z2312" i="10"/>
  <c r="Z2311" i="10"/>
  <c r="Z2310" i="10"/>
  <c r="Z2309" i="10"/>
  <c r="Z2308" i="10"/>
  <c r="Z2307" i="10"/>
  <c r="Z2306" i="10"/>
  <c r="Z2305" i="10"/>
  <c r="Z2304" i="10"/>
  <c r="Z2303" i="10"/>
  <c r="Z2302" i="10"/>
  <c r="Z2301" i="10"/>
  <c r="Z2300" i="10"/>
  <c r="Z2299" i="10"/>
  <c r="Z2298" i="10"/>
  <c r="Z2297" i="10"/>
  <c r="Z2296" i="10"/>
  <c r="Z2295" i="10"/>
  <c r="Z2294" i="10"/>
  <c r="Z2293" i="10"/>
  <c r="Z2292" i="10"/>
  <c r="Z2291" i="10"/>
  <c r="Z2290" i="10"/>
  <c r="Z2289" i="10"/>
  <c r="Z2288" i="10"/>
  <c r="Z2287" i="10"/>
  <c r="Z2286" i="10"/>
  <c r="Z2285" i="10"/>
  <c r="Z2284" i="10"/>
  <c r="Z2283" i="10"/>
  <c r="Z2282" i="10"/>
  <c r="Z2281" i="10"/>
  <c r="Z2280" i="10"/>
  <c r="Z2279" i="10"/>
  <c r="Z2278" i="10"/>
  <c r="Z2277" i="10"/>
  <c r="Z2276" i="10"/>
  <c r="Z2275" i="10"/>
  <c r="Z2274" i="10"/>
  <c r="Z2273" i="10"/>
  <c r="Z2272" i="10"/>
  <c r="Z2271" i="10"/>
  <c r="Z2270" i="10"/>
  <c r="Z2269" i="10"/>
  <c r="Z2268" i="10"/>
  <c r="Z2267" i="10"/>
  <c r="Z2266" i="10"/>
  <c r="Z2265" i="10"/>
  <c r="Z2264" i="10"/>
  <c r="Z2263" i="10"/>
  <c r="Z2262" i="10"/>
  <c r="Z2261" i="10"/>
  <c r="Z2260" i="10"/>
  <c r="Z2259" i="10"/>
  <c r="Z2258" i="10"/>
  <c r="Z2257" i="10"/>
  <c r="Z2256" i="10"/>
  <c r="Z2255" i="10"/>
  <c r="Z2254" i="10"/>
  <c r="Z2253" i="10"/>
  <c r="Z2252" i="10"/>
  <c r="Z2251" i="10"/>
  <c r="Z2250" i="10"/>
  <c r="Z2249" i="10"/>
  <c r="Z2248" i="10"/>
  <c r="Z2247" i="10"/>
  <c r="Z2246" i="10"/>
  <c r="Z2245" i="10"/>
  <c r="Z2244" i="10"/>
  <c r="Z2243" i="10"/>
  <c r="Z2242" i="10"/>
  <c r="Z2241" i="10"/>
  <c r="Z2240" i="10"/>
  <c r="Z2239" i="10"/>
  <c r="Z2238" i="10"/>
  <c r="Z2237" i="10"/>
  <c r="Z2236" i="10"/>
  <c r="Z2235" i="10"/>
  <c r="Z2234" i="10"/>
  <c r="Z2233" i="10"/>
  <c r="Z2232" i="10"/>
  <c r="Z2231" i="10"/>
  <c r="Z2230" i="10"/>
  <c r="Z2229" i="10"/>
  <c r="Z2228" i="10"/>
  <c r="Z2227" i="10"/>
  <c r="Z2226" i="10"/>
  <c r="Z2225" i="10"/>
  <c r="Z2224" i="10"/>
  <c r="Z2223" i="10"/>
  <c r="Z2222" i="10"/>
  <c r="Z2221" i="10"/>
  <c r="Z2220" i="10"/>
  <c r="Z2219" i="10"/>
  <c r="Z2218" i="10"/>
  <c r="Z2217" i="10"/>
  <c r="Z2216" i="10"/>
  <c r="Z2215" i="10"/>
  <c r="Z2214" i="10"/>
  <c r="Z2213" i="10"/>
  <c r="Z2212" i="10"/>
  <c r="Z2211" i="10"/>
  <c r="Z2210" i="10"/>
  <c r="Z2209" i="10"/>
  <c r="Z2208" i="10"/>
  <c r="Z2207" i="10"/>
  <c r="Z2206" i="10"/>
  <c r="Z2205" i="10"/>
  <c r="Z2204" i="10"/>
  <c r="Z2203" i="10"/>
  <c r="Z2202" i="10"/>
  <c r="Z2201" i="10"/>
  <c r="Z2200" i="10"/>
  <c r="Z2199" i="10"/>
  <c r="Z2198" i="10"/>
  <c r="Z2197" i="10"/>
  <c r="Z2196" i="10"/>
  <c r="Z2195" i="10"/>
  <c r="Z2194" i="10"/>
  <c r="Z2193" i="10"/>
  <c r="Z2192" i="10"/>
  <c r="Z2191" i="10"/>
  <c r="Z2190" i="10"/>
  <c r="Z2189" i="10"/>
  <c r="Z2188" i="10"/>
  <c r="Z2187" i="10"/>
  <c r="Z2186" i="10"/>
  <c r="Z2185" i="10"/>
  <c r="Z2184" i="10"/>
  <c r="Z2183" i="10"/>
  <c r="Z2182" i="10"/>
  <c r="Z2181" i="10"/>
  <c r="Z2180" i="10"/>
  <c r="Z2179" i="10"/>
  <c r="Z2178" i="10"/>
  <c r="Z2177" i="10"/>
  <c r="Z2176" i="10"/>
  <c r="Z2175" i="10"/>
  <c r="Z2174" i="10"/>
  <c r="Z2173" i="10"/>
  <c r="Z2172" i="10"/>
  <c r="Z2171" i="10"/>
  <c r="Z2170" i="10"/>
  <c r="Z2169" i="10"/>
  <c r="Z2168" i="10"/>
  <c r="Z2167" i="10"/>
  <c r="Z2166" i="10"/>
  <c r="Z2165" i="10"/>
  <c r="Z2164" i="10"/>
  <c r="Z2163" i="10"/>
  <c r="Z2162" i="10"/>
  <c r="Z2161" i="10"/>
  <c r="Z2160" i="10"/>
  <c r="Z2159" i="10"/>
  <c r="Z2158" i="10"/>
  <c r="Z2157" i="10"/>
  <c r="Z2156" i="10"/>
  <c r="Z2155" i="10"/>
  <c r="Z2154" i="10"/>
  <c r="Z2153" i="10"/>
  <c r="Z2152" i="10"/>
  <c r="Z2151" i="10"/>
  <c r="Z2150" i="10"/>
  <c r="Z2149" i="10"/>
  <c r="Z2148" i="10"/>
  <c r="Z2147" i="10"/>
  <c r="Z2146" i="10"/>
  <c r="Z2145" i="10"/>
  <c r="Z2144" i="10"/>
  <c r="Z2143" i="10"/>
  <c r="Z2142" i="10"/>
  <c r="Z2141" i="10"/>
  <c r="Z2140" i="10"/>
  <c r="Z2139" i="10"/>
  <c r="Z2138" i="10"/>
  <c r="Z2137" i="10"/>
  <c r="Z2136" i="10"/>
  <c r="Z2135" i="10"/>
  <c r="Z2134" i="10"/>
  <c r="Z2133" i="10"/>
  <c r="Z2132" i="10"/>
  <c r="Z2131" i="10"/>
  <c r="Z2130" i="10"/>
  <c r="Z2129" i="10"/>
  <c r="Z2128" i="10"/>
  <c r="Z2127" i="10"/>
  <c r="Z2126" i="10"/>
  <c r="Z2125" i="10"/>
  <c r="Z2124" i="10"/>
  <c r="Z2123" i="10"/>
  <c r="Z2122" i="10"/>
  <c r="Z2121" i="10"/>
  <c r="Z2120" i="10"/>
  <c r="Z2119" i="10"/>
  <c r="Z2118" i="10"/>
  <c r="Z2117" i="10"/>
  <c r="Z2116" i="10"/>
  <c r="Z2115" i="10"/>
  <c r="Z2114" i="10"/>
  <c r="Z2113" i="10"/>
  <c r="Z2112" i="10"/>
  <c r="Z2111" i="10"/>
  <c r="Z2110" i="10"/>
  <c r="Z2109" i="10"/>
  <c r="Z2108" i="10"/>
  <c r="Z2107" i="10"/>
  <c r="Z2106" i="10"/>
  <c r="Z2105" i="10"/>
  <c r="Z2104" i="10"/>
  <c r="Z2103" i="10"/>
  <c r="Z2102" i="10"/>
  <c r="Z2101" i="10"/>
  <c r="Z2100" i="10"/>
  <c r="Z2099" i="10"/>
  <c r="Z2098" i="10"/>
  <c r="Z2097" i="10"/>
  <c r="Z2096" i="10"/>
  <c r="Z2095" i="10"/>
  <c r="Z2094" i="10"/>
  <c r="Z2093" i="10"/>
  <c r="Z2092" i="10"/>
  <c r="Z2091" i="10"/>
  <c r="Z2090" i="10"/>
  <c r="Z2089" i="10"/>
  <c r="Z2088" i="10"/>
  <c r="Z2087" i="10"/>
  <c r="Z2086" i="10"/>
  <c r="Z2085" i="10"/>
  <c r="Z2084" i="10"/>
  <c r="Z2083" i="10"/>
  <c r="Z2082" i="10"/>
  <c r="Z2081" i="10"/>
  <c r="Z2080" i="10"/>
  <c r="Z2079" i="10"/>
  <c r="Z2078" i="10"/>
  <c r="Z2077" i="10"/>
  <c r="Z2076" i="10"/>
  <c r="Z2075" i="10"/>
  <c r="Z2074" i="10"/>
  <c r="Z2073" i="10"/>
  <c r="Z2072" i="10"/>
  <c r="Z2071" i="10"/>
  <c r="Z2070" i="10"/>
  <c r="Z2069" i="10"/>
  <c r="Z2068" i="10"/>
  <c r="Z2067" i="10"/>
  <c r="Z2066" i="10"/>
  <c r="Z2065" i="10"/>
  <c r="Z2064" i="10"/>
  <c r="Z2063" i="10"/>
  <c r="Z2062" i="10"/>
  <c r="Z2061" i="10"/>
  <c r="Z2060" i="10"/>
  <c r="Z2059" i="10"/>
  <c r="Z2058" i="10"/>
  <c r="Z2057" i="10"/>
  <c r="Z2056" i="10"/>
  <c r="Z2055" i="10"/>
  <c r="Z2054" i="10"/>
  <c r="Z2053" i="10"/>
  <c r="Z2052" i="10"/>
  <c r="Z2051" i="10"/>
  <c r="Z2050" i="10"/>
  <c r="Z2049" i="10"/>
  <c r="Z2048" i="10"/>
  <c r="Z2047" i="10"/>
  <c r="Z2046" i="10"/>
  <c r="Z2045" i="10"/>
  <c r="Z2044" i="10"/>
  <c r="Z2043" i="10"/>
  <c r="Z2042" i="10"/>
  <c r="Z2041" i="10"/>
  <c r="Z2040" i="10"/>
  <c r="Z2039" i="10"/>
  <c r="Z2038" i="10"/>
  <c r="Z2037" i="10"/>
  <c r="Z2036" i="10"/>
  <c r="Z2035" i="10"/>
  <c r="Z2034" i="10"/>
  <c r="Z2033" i="10"/>
  <c r="Z2032" i="10"/>
  <c r="Z2031" i="10"/>
  <c r="Z2030" i="10"/>
  <c r="Z2029" i="10"/>
  <c r="Z2028" i="10"/>
  <c r="Z2027" i="10"/>
  <c r="Z2026" i="10"/>
  <c r="Z2025" i="10"/>
  <c r="Z2024" i="10"/>
  <c r="Z2023" i="10"/>
  <c r="Z2022" i="10"/>
  <c r="Z2021" i="10"/>
  <c r="Z2020" i="10"/>
  <c r="Z2019" i="10"/>
  <c r="Z2018" i="10"/>
  <c r="Z2017" i="10"/>
  <c r="Z2016" i="10"/>
  <c r="Z2015" i="10"/>
  <c r="Z2014" i="10"/>
  <c r="Z2013" i="10"/>
  <c r="Z2012" i="10"/>
  <c r="Z2011" i="10"/>
  <c r="Z2010" i="10"/>
  <c r="Z2009" i="10"/>
  <c r="Z2008" i="10"/>
  <c r="Z2007" i="10"/>
  <c r="Z2006" i="10"/>
  <c r="Z2005" i="10"/>
  <c r="Z2004" i="10"/>
  <c r="Z2003" i="10"/>
  <c r="Z2002" i="10"/>
  <c r="Z2001" i="10"/>
  <c r="Z2000" i="10"/>
  <c r="Z1999" i="10"/>
  <c r="Z1998" i="10"/>
  <c r="Z1997" i="10"/>
  <c r="Z1996" i="10"/>
  <c r="Z1995" i="10"/>
  <c r="Z1994" i="10"/>
  <c r="Z1993" i="10"/>
  <c r="Z1992" i="10"/>
  <c r="Z1991" i="10"/>
  <c r="Z1990" i="10"/>
  <c r="Z1989" i="10"/>
  <c r="Z1988" i="10"/>
  <c r="Z1987" i="10"/>
  <c r="Z1986" i="10"/>
  <c r="Z1985" i="10"/>
  <c r="Z1984" i="10"/>
  <c r="Z1983" i="10"/>
  <c r="Z1982" i="10"/>
  <c r="Z1981" i="10"/>
  <c r="Z1980" i="10"/>
  <c r="Z1979" i="10"/>
  <c r="Z1978" i="10"/>
  <c r="Z1977" i="10"/>
  <c r="Z1976" i="10"/>
  <c r="Z1975" i="10"/>
  <c r="Z1974" i="10"/>
  <c r="Z1973" i="10"/>
  <c r="Z1972" i="10"/>
  <c r="Z1971" i="10"/>
  <c r="Z1970" i="10"/>
  <c r="Z1969" i="10"/>
  <c r="Z1968" i="10"/>
  <c r="Z1967" i="10"/>
  <c r="Z1966" i="10"/>
  <c r="Z1965" i="10"/>
  <c r="Z1964" i="10"/>
  <c r="Z1963" i="10"/>
  <c r="Z1962" i="10"/>
  <c r="Z1961" i="10"/>
  <c r="Z1960" i="10"/>
  <c r="Z1959" i="10"/>
  <c r="Z1958" i="10"/>
  <c r="Z1957" i="10"/>
  <c r="Z1956" i="10"/>
  <c r="Z1955" i="10"/>
  <c r="Z1954" i="10"/>
  <c r="Z1953" i="10"/>
  <c r="Z1952" i="10"/>
  <c r="Z1951" i="10"/>
  <c r="Z1950" i="10"/>
  <c r="Z1949" i="10"/>
  <c r="Z1948" i="10"/>
  <c r="Z1947" i="10"/>
  <c r="Z1946" i="10"/>
  <c r="Z1945" i="10"/>
  <c r="Z1944" i="10"/>
  <c r="Z1943" i="10"/>
  <c r="Z1942" i="10"/>
  <c r="Z1941" i="10"/>
  <c r="Z1940" i="10"/>
  <c r="Z1939" i="10"/>
  <c r="Z1938" i="10"/>
  <c r="Z1937" i="10"/>
  <c r="Z1936" i="10"/>
  <c r="Z1935" i="10"/>
  <c r="Z1934" i="10"/>
  <c r="Z1933" i="10"/>
  <c r="Z1932" i="10"/>
  <c r="Z1931" i="10"/>
  <c r="Z1930" i="10"/>
  <c r="Z1929" i="10"/>
  <c r="Z1928" i="10"/>
  <c r="Z1927" i="10"/>
  <c r="Z1926" i="10"/>
  <c r="Z1925" i="10"/>
  <c r="Z1924" i="10"/>
  <c r="Z1923" i="10"/>
  <c r="Z1922" i="10"/>
  <c r="Z1921" i="10"/>
  <c r="Z1920" i="10"/>
  <c r="Z1919" i="10"/>
  <c r="Z1918" i="10"/>
  <c r="Z1917" i="10"/>
  <c r="Z1916" i="10"/>
  <c r="Z1915" i="10"/>
  <c r="Z1914" i="10"/>
  <c r="Z1913" i="10"/>
  <c r="Z1912" i="10"/>
  <c r="Z1911" i="10"/>
  <c r="Z1910" i="10"/>
  <c r="Z1909" i="10"/>
  <c r="Z1908" i="10"/>
  <c r="Z1907" i="10"/>
  <c r="Z1906" i="10"/>
  <c r="Z1905" i="10"/>
  <c r="Z1904" i="10"/>
  <c r="Z1903" i="10"/>
  <c r="Z1902" i="10"/>
  <c r="Z1901" i="10"/>
  <c r="Z1900" i="10"/>
  <c r="Z1899" i="10"/>
  <c r="Z1898" i="10"/>
  <c r="Z1897" i="10"/>
  <c r="Z1896" i="10"/>
  <c r="Z1895" i="10"/>
  <c r="Z1894" i="10"/>
  <c r="Z1893" i="10"/>
  <c r="Z1892" i="10"/>
  <c r="Z1891" i="10"/>
  <c r="Z1890" i="10"/>
  <c r="Z1889" i="10"/>
  <c r="Z1888" i="10"/>
  <c r="Z1887" i="10"/>
  <c r="Z1886" i="10"/>
  <c r="Z1885" i="10"/>
  <c r="Z1884" i="10"/>
  <c r="Z1883" i="10"/>
  <c r="Z1882" i="10"/>
  <c r="Z1881" i="10"/>
  <c r="Z1880" i="10"/>
  <c r="Z1879" i="10"/>
  <c r="Z1878" i="10"/>
  <c r="Z1877" i="10"/>
  <c r="Z1876" i="10"/>
  <c r="Z1875" i="10"/>
  <c r="Z1874" i="10"/>
  <c r="Z1873" i="10"/>
  <c r="Z1872" i="10"/>
  <c r="Z1871" i="10"/>
  <c r="Z1870" i="10"/>
  <c r="Z1869" i="10"/>
  <c r="Z1868" i="10"/>
  <c r="Z1867" i="10"/>
  <c r="Z1866" i="10"/>
  <c r="Z1865" i="10"/>
  <c r="Z1864" i="10"/>
  <c r="Z1863" i="10"/>
  <c r="Z1862" i="10"/>
  <c r="Z1861" i="10"/>
  <c r="Z1860" i="10"/>
  <c r="Z1859" i="10"/>
  <c r="Z1858" i="10"/>
  <c r="Z1857" i="10"/>
  <c r="Z1856" i="10"/>
  <c r="Z1855" i="10"/>
  <c r="Z1854" i="10"/>
  <c r="Z1853" i="10"/>
  <c r="Z1852" i="10"/>
  <c r="Z1851" i="10"/>
  <c r="Z1850" i="10"/>
  <c r="Z1849" i="10"/>
  <c r="Z1848" i="10"/>
  <c r="Z1847" i="10"/>
  <c r="Z1846" i="10"/>
  <c r="Z1845" i="10"/>
  <c r="Z1844" i="10"/>
  <c r="Z1843" i="10"/>
  <c r="Z1842" i="10"/>
  <c r="Z1841" i="10"/>
  <c r="Z1840" i="10"/>
  <c r="Z1839" i="10"/>
  <c r="Z1838" i="10"/>
  <c r="Z1837" i="10"/>
  <c r="Z1836" i="10"/>
  <c r="Z1835" i="10"/>
  <c r="Z1834" i="10"/>
  <c r="Z1833" i="10"/>
  <c r="Z1832" i="10"/>
  <c r="Z1831" i="10"/>
  <c r="Z1830" i="10"/>
  <c r="Z1829" i="10"/>
  <c r="Z1828" i="10"/>
  <c r="Z1827" i="10"/>
  <c r="Z1826" i="10"/>
  <c r="Z1825" i="10"/>
  <c r="Z1824" i="10"/>
  <c r="Z1823" i="10"/>
  <c r="Z1822" i="10"/>
  <c r="Z1821" i="10"/>
  <c r="Z1820" i="10"/>
  <c r="Z1819" i="10"/>
  <c r="Z1818" i="10"/>
  <c r="Z1817" i="10"/>
  <c r="Z1816" i="10"/>
  <c r="Z1815" i="10"/>
  <c r="Z1814" i="10"/>
  <c r="Z1813" i="10"/>
  <c r="Z1812" i="10"/>
  <c r="Z1811" i="10"/>
  <c r="Z1810" i="10"/>
  <c r="Z1809" i="10"/>
  <c r="Z1808" i="10"/>
  <c r="Z1807" i="10"/>
  <c r="Z1806" i="10"/>
  <c r="Z1805" i="10"/>
  <c r="Z1804" i="10"/>
  <c r="Z1803" i="10"/>
  <c r="Z1802" i="10"/>
  <c r="Z1801" i="10"/>
  <c r="Z1800" i="10"/>
  <c r="Z1799" i="10"/>
  <c r="Z1798" i="10"/>
  <c r="Z1797" i="10"/>
  <c r="Z1796" i="10"/>
  <c r="Z1795" i="10"/>
  <c r="Z1794" i="10"/>
  <c r="Z1793" i="10"/>
  <c r="Z1792" i="10"/>
  <c r="Z1791" i="10"/>
  <c r="Z1790" i="10"/>
  <c r="Z1789" i="10"/>
  <c r="Z1788" i="10"/>
  <c r="Z1787" i="10"/>
  <c r="Z1786" i="10"/>
  <c r="Z1785" i="10"/>
  <c r="Z1784" i="10"/>
  <c r="Z1783" i="10"/>
  <c r="Z1782" i="10"/>
  <c r="Z1781" i="10"/>
  <c r="Z1780" i="10"/>
  <c r="Z1779" i="10"/>
  <c r="Z1778" i="10"/>
  <c r="Z1777" i="10"/>
  <c r="Z1776" i="10"/>
  <c r="Z1775" i="10"/>
  <c r="Z1774" i="10"/>
  <c r="Z1773" i="10"/>
  <c r="Z1772" i="10"/>
  <c r="Z1771" i="10"/>
  <c r="Z1770" i="10"/>
  <c r="Z1769" i="10"/>
  <c r="Z1768" i="10"/>
  <c r="Z1767" i="10"/>
  <c r="Z1766" i="10"/>
  <c r="Z1765" i="10"/>
  <c r="Z1764" i="10"/>
  <c r="Z1763" i="10"/>
  <c r="Z1762" i="10"/>
  <c r="Z1761" i="10"/>
  <c r="Z1760" i="10"/>
  <c r="Z1759" i="10"/>
  <c r="Z1758" i="10"/>
  <c r="Z1757" i="10"/>
  <c r="Z1756" i="10"/>
  <c r="Z1755" i="10"/>
  <c r="Z1754" i="10"/>
  <c r="Z1753" i="10"/>
  <c r="Z1752" i="10"/>
  <c r="Z1751" i="10"/>
  <c r="Z1750" i="10"/>
  <c r="Z1749" i="10"/>
  <c r="Z1748" i="10"/>
  <c r="Z1747" i="10"/>
  <c r="Z1746" i="10"/>
  <c r="Z1745" i="10"/>
  <c r="Z1744" i="10"/>
  <c r="Z1743" i="10"/>
  <c r="Z1742" i="10"/>
  <c r="Z1741" i="10"/>
  <c r="Z1740" i="10"/>
  <c r="Z1739" i="10"/>
  <c r="Z1738" i="10"/>
  <c r="Z1737" i="10"/>
  <c r="Z1736" i="10"/>
  <c r="Z1735" i="10"/>
  <c r="Z1734" i="10"/>
  <c r="Z1733" i="10"/>
  <c r="Z1732" i="10"/>
  <c r="Z1731" i="10"/>
  <c r="Z1730" i="10"/>
  <c r="Z1729" i="10"/>
  <c r="Z1728" i="10"/>
  <c r="Z1727" i="10"/>
  <c r="Z1726" i="10"/>
  <c r="Z1725" i="10"/>
  <c r="Z1724" i="10"/>
  <c r="Z1723" i="10"/>
  <c r="Z1722" i="10"/>
  <c r="Z1721" i="10"/>
  <c r="Z1720" i="10"/>
  <c r="Z1719" i="10"/>
  <c r="Z1718" i="10"/>
  <c r="Z1717" i="10"/>
  <c r="Z1716" i="10"/>
  <c r="Z1715" i="10"/>
  <c r="Z1714" i="10"/>
  <c r="Z1713" i="10"/>
  <c r="Z1712" i="10"/>
  <c r="Z1711" i="10"/>
  <c r="Z1710" i="10"/>
  <c r="Z1709" i="10"/>
  <c r="Z1708" i="10"/>
  <c r="Z1707" i="10"/>
  <c r="Z1706" i="10"/>
  <c r="Z1705" i="10"/>
  <c r="Z1704" i="10"/>
  <c r="Z1703" i="10"/>
  <c r="Z1702" i="10"/>
  <c r="Z1701" i="10"/>
  <c r="Z1700" i="10"/>
  <c r="Z1699" i="10"/>
  <c r="Z1698" i="10"/>
  <c r="Z1697" i="10"/>
  <c r="Z1696" i="10"/>
  <c r="Z1695" i="10"/>
  <c r="Z1694" i="10"/>
  <c r="Z1693" i="10"/>
  <c r="Z1692" i="10"/>
  <c r="Z1691" i="10"/>
  <c r="Z1690" i="10"/>
  <c r="Z1689" i="10"/>
  <c r="Z1688" i="10"/>
  <c r="Z1687" i="10"/>
  <c r="Z1686" i="10"/>
  <c r="Z1685" i="10"/>
  <c r="Z1684" i="10"/>
  <c r="Z1683" i="10"/>
  <c r="Z1682" i="10"/>
  <c r="Z1681" i="10"/>
  <c r="Z1680" i="10"/>
  <c r="Z1679" i="10"/>
  <c r="Z1678" i="10"/>
  <c r="Z1677" i="10"/>
  <c r="Z1676" i="10"/>
  <c r="Z1675" i="10"/>
  <c r="Z1674" i="10"/>
  <c r="Z1673" i="10"/>
  <c r="Z1672" i="10"/>
  <c r="Z1671" i="10"/>
  <c r="Z1670" i="10"/>
  <c r="Z1669" i="10"/>
  <c r="Z1668" i="10"/>
  <c r="Z1667" i="10"/>
  <c r="Z1666" i="10"/>
  <c r="Z1665" i="10"/>
  <c r="Z1664" i="10"/>
  <c r="Z1663" i="10"/>
  <c r="Z1662" i="10"/>
  <c r="Z1661" i="10"/>
  <c r="Z1660" i="10"/>
  <c r="Z1659" i="10"/>
  <c r="Z1658" i="10"/>
  <c r="Z1657" i="10"/>
  <c r="Z1656" i="10"/>
  <c r="Z1655" i="10"/>
  <c r="Z1654" i="10"/>
  <c r="Z1653" i="10"/>
  <c r="Z1652" i="10"/>
  <c r="Z1651" i="10"/>
  <c r="Z1650" i="10"/>
  <c r="Z1649" i="10"/>
  <c r="Z1648" i="10"/>
  <c r="Z1647" i="10"/>
  <c r="Z1646" i="10"/>
  <c r="Z1645" i="10"/>
  <c r="Z1644" i="10"/>
  <c r="Z1643" i="10"/>
  <c r="Z1642" i="10"/>
  <c r="Z1641" i="10"/>
  <c r="Z1640" i="10"/>
  <c r="Z1639" i="10"/>
  <c r="Z1638" i="10"/>
  <c r="Z1637" i="10"/>
  <c r="Z1636" i="10"/>
  <c r="Z1635" i="10"/>
  <c r="Z1634" i="10"/>
  <c r="Z1633" i="10"/>
  <c r="Z1632" i="10"/>
  <c r="Z1631" i="10"/>
  <c r="Z1630" i="10"/>
  <c r="Z1629" i="10"/>
  <c r="Z1628" i="10"/>
  <c r="Z1627" i="10"/>
  <c r="Z1626" i="10"/>
  <c r="Z1625" i="10"/>
  <c r="Z1624" i="10"/>
  <c r="Z1623" i="10"/>
  <c r="Z1622" i="10"/>
  <c r="Z1621" i="10"/>
  <c r="Z1620" i="10"/>
  <c r="Z1619" i="10"/>
  <c r="Z1618" i="10"/>
  <c r="Z1617" i="10"/>
  <c r="Z1616" i="10"/>
  <c r="Z1615" i="10"/>
  <c r="Z1614" i="10"/>
  <c r="Z1613" i="10"/>
  <c r="Z1612" i="10"/>
  <c r="Z1611" i="10"/>
  <c r="Z1610" i="10"/>
  <c r="Z1609" i="10"/>
  <c r="Z1608" i="10"/>
  <c r="Z1607" i="10"/>
  <c r="Z1606" i="10"/>
  <c r="Z1605" i="10"/>
  <c r="Z1604" i="10"/>
  <c r="Z1603" i="10"/>
  <c r="Z1602" i="10"/>
  <c r="Z1601" i="10"/>
  <c r="Z1600" i="10"/>
  <c r="Z1599" i="10"/>
  <c r="Z1598" i="10"/>
  <c r="Z1597" i="10"/>
  <c r="Z1596" i="10"/>
  <c r="Z1595" i="10"/>
  <c r="Z1594" i="10"/>
  <c r="Z1593" i="10"/>
  <c r="Z1592" i="10"/>
  <c r="Z1591" i="10"/>
  <c r="Z1590" i="10"/>
  <c r="Z1589" i="10"/>
  <c r="Z1588" i="10"/>
  <c r="Z1587" i="10"/>
  <c r="Z1586" i="10"/>
  <c r="Z1585" i="10"/>
  <c r="Z1584" i="10"/>
  <c r="Z1583" i="10"/>
  <c r="Z1582" i="10"/>
  <c r="Z1581" i="10"/>
  <c r="Z1580" i="10"/>
  <c r="Z1579" i="10"/>
  <c r="Z1578" i="10"/>
  <c r="Z1577" i="10"/>
  <c r="Z1576" i="10"/>
  <c r="Z1575" i="10"/>
  <c r="Z1574" i="10"/>
  <c r="Z1573" i="10"/>
  <c r="Z1572" i="10"/>
  <c r="Z1571" i="10"/>
  <c r="Z1570" i="10"/>
  <c r="Z1569" i="10"/>
  <c r="Z1568" i="10"/>
  <c r="Z1567" i="10"/>
  <c r="Z1566" i="10"/>
  <c r="Z1565" i="10"/>
  <c r="Z1564" i="10"/>
  <c r="Z1563" i="10"/>
  <c r="Z1562" i="10"/>
  <c r="Z1561" i="10"/>
  <c r="Z1560" i="10"/>
  <c r="Z1559" i="10"/>
  <c r="Z1558" i="10"/>
  <c r="Z1557" i="10"/>
  <c r="Z1556" i="10"/>
  <c r="Z1555" i="10"/>
  <c r="Z1554" i="10"/>
  <c r="Z1553" i="10"/>
  <c r="Z1552" i="10"/>
  <c r="Z1551" i="10"/>
  <c r="Z1550" i="10"/>
  <c r="Z1549" i="10"/>
  <c r="Z1548" i="10"/>
  <c r="Z1547" i="10"/>
  <c r="Z1546" i="10"/>
  <c r="Z1545" i="10"/>
  <c r="Z1544" i="10"/>
  <c r="Z1543" i="10"/>
  <c r="Z1542" i="10"/>
  <c r="Z1541" i="10"/>
  <c r="Z1540" i="10"/>
  <c r="Z1539" i="10"/>
  <c r="Z1538" i="10"/>
  <c r="Z1537" i="10"/>
  <c r="Z1536" i="10"/>
  <c r="Z1535" i="10"/>
  <c r="Z1534" i="10"/>
  <c r="Z1533" i="10"/>
  <c r="Z1532" i="10"/>
  <c r="Z1531" i="10"/>
  <c r="Z1530" i="10"/>
  <c r="Z1529" i="10"/>
  <c r="Z1528" i="10"/>
  <c r="Z1527" i="10"/>
  <c r="Z1526" i="10"/>
  <c r="Z1525" i="10"/>
  <c r="Z1524" i="10"/>
  <c r="Z1523" i="10"/>
  <c r="Z1522" i="10"/>
  <c r="Z1521" i="10"/>
  <c r="Z1520" i="10"/>
  <c r="Z1519" i="10"/>
  <c r="Z1518" i="10"/>
  <c r="Z1517" i="10"/>
  <c r="Z1516" i="10"/>
  <c r="Z1515" i="10"/>
  <c r="Z1514" i="10"/>
  <c r="Z1513" i="10"/>
  <c r="Z1512" i="10"/>
  <c r="Z1511" i="10"/>
  <c r="Z1510" i="10"/>
  <c r="Z1509" i="10"/>
  <c r="Z1508" i="10"/>
  <c r="Z1507" i="10"/>
  <c r="Z1506" i="10"/>
  <c r="Z1505" i="10"/>
  <c r="Z1504" i="10"/>
  <c r="Z1503" i="10"/>
  <c r="Z1502" i="10"/>
  <c r="Z1501" i="10"/>
  <c r="Z1500" i="10"/>
  <c r="Z1499" i="10"/>
  <c r="Z1498" i="10"/>
  <c r="Z1497" i="10"/>
  <c r="Z1496" i="10"/>
  <c r="Z1495" i="10"/>
  <c r="Z1494" i="10"/>
  <c r="Z1493" i="10"/>
  <c r="Z1492" i="10"/>
  <c r="Z1491" i="10"/>
  <c r="Z1490" i="10"/>
  <c r="Z1489" i="10"/>
  <c r="Z1488" i="10"/>
  <c r="Z1487" i="10"/>
  <c r="Z1486" i="10"/>
  <c r="Z1485" i="10"/>
  <c r="Z1484" i="10"/>
  <c r="Z1483" i="10"/>
  <c r="Z1482" i="10"/>
  <c r="Z1481" i="10"/>
  <c r="Z1480" i="10"/>
  <c r="Z1479" i="10"/>
  <c r="Z1478" i="10"/>
  <c r="Z1477" i="10"/>
  <c r="Z1476" i="10"/>
  <c r="Z1475" i="10"/>
  <c r="Z1474" i="10"/>
  <c r="Z1473" i="10"/>
  <c r="Z1472" i="10"/>
  <c r="Z1471" i="10"/>
  <c r="Z1470" i="10"/>
  <c r="Z1469" i="10"/>
  <c r="Z1468" i="10"/>
  <c r="Z1467" i="10"/>
  <c r="Z1466" i="10"/>
  <c r="Z1465" i="10"/>
  <c r="Z1464" i="10"/>
  <c r="Z1463" i="10"/>
  <c r="Z1462" i="10"/>
  <c r="Z1461" i="10"/>
  <c r="Z1460" i="10"/>
  <c r="Z1459" i="10"/>
  <c r="Z1458" i="10"/>
  <c r="Z1457" i="10"/>
  <c r="Z1456" i="10"/>
  <c r="Z1455" i="10"/>
  <c r="Z1454" i="10"/>
  <c r="Z1453" i="10"/>
  <c r="Z1452" i="10"/>
  <c r="Z1451" i="10"/>
  <c r="Z1450" i="10"/>
  <c r="Z1449" i="10"/>
  <c r="Z1448" i="10"/>
  <c r="Z1447" i="10"/>
  <c r="Z1446" i="10"/>
  <c r="Z1445" i="10"/>
  <c r="Z1444" i="10"/>
  <c r="Z1443" i="10"/>
  <c r="Z1442" i="10"/>
  <c r="Z1441" i="10"/>
  <c r="Z1440" i="10"/>
  <c r="Z1439" i="10"/>
  <c r="Z1438" i="10"/>
  <c r="Z1437" i="10"/>
  <c r="Z1436" i="10"/>
  <c r="Z1435" i="10"/>
  <c r="Z1434" i="10"/>
  <c r="Z1433" i="10"/>
  <c r="Z1432" i="10"/>
  <c r="Z1431" i="10"/>
  <c r="Z1430" i="10"/>
  <c r="Z1429" i="10"/>
  <c r="Z1428" i="10"/>
  <c r="Z1427" i="10"/>
  <c r="Z1426" i="10"/>
  <c r="Z1425" i="10"/>
  <c r="Z1424" i="10"/>
  <c r="Z1423" i="10"/>
  <c r="Z1422" i="10"/>
  <c r="Z1421" i="10"/>
  <c r="Z1420" i="10"/>
  <c r="Z1419" i="10"/>
  <c r="Z1418" i="10"/>
  <c r="Z1417" i="10"/>
  <c r="Z1416" i="10"/>
  <c r="Z1415" i="10"/>
  <c r="Z1414" i="10"/>
  <c r="Z1413" i="10"/>
  <c r="Z1412" i="10"/>
  <c r="Z1411" i="10"/>
  <c r="Z1410" i="10"/>
  <c r="Z1409" i="10"/>
  <c r="Z1408" i="10"/>
  <c r="Z1407" i="10"/>
  <c r="Z1406" i="10"/>
  <c r="Z1405" i="10"/>
  <c r="Z1404" i="10"/>
  <c r="Z1403" i="10"/>
  <c r="Z1402" i="10"/>
  <c r="Z1401" i="10"/>
  <c r="Z1400" i="10"/>
  <c r="Z1399" i="10"/>
  <c r="Z1398" i="10"/>
  <c r="Z1397" i="10"/>
  <c r="Z1396" i="10"/>
  <c r="Z1395" i="10"/>
  <c r="Z1394" i="10"/>
  <c r="Z1393" i="10"/>
  <c r="Z1392" i="10"/>
  <c r="Z1391" i="10"/>
  <c r="Z1390" i="10"/>
  <c r="Z1389" i="10"/>
  <c r="Z1388" i="10"/>
  <c r="Z1387" i="10"/>
  <c r="Z1386" i="10"/>
  <c r="Z1385" i="10"/>
  <c r="Z1384" i="10"/>
  <c r="Z1383" i="10"/>
  <c r="Z1382" i="10"/>
  <c r="Z1381" i="10"/>
  <c r="Z1380" i="10"/>
  <c r="Z1379" i="10"/>
  <c r="Z1378" i="10"/>
  <c r="Z1377" i="10"/>
  <c r="Z1376" i="10"/>
  <c r="Z1375" i="10"/>
  <c r="Z1374" i="10"/>
  <c r="Z1373" i="10"/>
  <c r="Z1372" i="10"/>
  <c r="Z1371" i="10"/>
  <c r="Z1370" i="10"/>
  <c r="Z1369" i="10"/>
  <c r="Z1368" i="10"/>
  <c r="Z1367" i="10"/>
  <c r="Z1366" i="10"/>
  <c r="Z1365" i="10"/>
  <c r="Z1364" i="10"/>
  <c r="Z1363" i="10"/>
  <c r="Z1362" i="10"/>
  <c r="Z1361" i="10"/>
  <c r="Z1360" i="10"/>
  <c r="Z1359" i="10"/>
  <c r="Z1358" i="10"/>
  <c r="Z1357" i="10"/>
  <c r="Z1356" i="10"/>
  <c r="Z1355" i="10"/>
  <c r="Z1354" i="10"/>
  <c r="Z1353" i="10"/>
  <c r="Z1352" i="10"/>
  <c r="Z1351" i="10"/>
  <c r="Z1350" i="10"/>
  <c r="Z1349" i="10"/>
  <c r="Z1348" i="10"/>
  <c r="Z1347" i="10"/>
  <c r="Z1346" i="10"/>
  <c r="Z1345" i="10"/>
  <c r="Z1344" i="10"/>
  <c r="Z1343" i="10"/>
  <c r="Z1342" i="10"/>
  <c r="Z1341" i="10"/>
  <c r="Z1340" i="10"/>
  <c r="Z1339" i="10"/>
  <c r="Z1338" i="10"/>
  <c r="Z1337" i="10"/>
  <c r="Z1336" i="10"/>
  <c r="Z1335" i="10"/>
  <c r="Z1334" i="10"/>
  <c r="Z1333" i="10"/>
  <c r="Z1332" i="10"/>
  <c r="Z1331" i="10"/>
  <c r="Z1330" i="10"/>
  <c r="Z1329" i="10"/>
  <c r="Z1328" i="10"/>
  <c r="Z1327" i="10"/>
  <c r="Z1326" i="10"/>
  <c r="Z1325" i="10"/>
  <c r="Z1324" i="10"/>
  <c r="Z1323" i="10"/>
  <c r="Z1322" i="10"/>
  <c r="Z1321" i="10"/>
  <c r="Z1320" i="10"/>
  <c r="Z1319" i="10"/>
  <c r="Z1318" i="10"/>
  <c r="Z1317" i="10"/>
  <c r="Z1316" i="10"/>
  <c r="Z1315" i="10"/>
  <c r="Z1314" i="10"/>
  <c r="Z1313" i="10"/>
  <c r="Z1312" i="10"/>
  <c r="Z1311" i="10"/>
  <c r="Z1310" i="10"/>
  <c r="Z1309" i="10"/>
  <c r="Z1308" i="10"/>
  <c r="Z1307" i="10"/>
  <c r="Z1306" i="10"/>
  <c r="Z1305" i="10"/>
  <c r="Z1304" i="10"/>
  <c r="Z1303" i="10"/>
  <c r="Z1302" i="10"/>
  <c r="Z1301" i="10"/>
  <c r="Z1300" i="10"/>
  <c r="Z1299" i="10"/>
  <c r="Z1298" i="10"/>
  <c r="Z1297" i="10"/>
  <c r="Z1296" i="10"/>
  <c r="Z1295" i="10"/>
  <c r="Z1294" i="10"/>
  <c r="Z1293" i="10"/>
  <c r="Z1292" i="10"/>
  <c r="Z1291" i="10"/>
  <c r="Z1290" i="10"/>
  <c r="Z1289" i="10"/>
  <c r="Z1288" i="10"/>
  <c r="Z1287" i="10"/>
  <c r="Z1286" i="10"/>
  <c r="Z1285" i="10"/>
  <c r="Z1284" i="10"/>
  <c r="Z1283" i="10"/>
  <c r="Z1282" i="10"/>
  <c r="Z1281" i="10"/>
  <c r="Z1280" i="10"/>
  <c r="Z1279" i="10"/>
  <c r="Z1278" i="10"/>
  <c r="Z1277" i="10"/>
  <c r="Z1276" i="10"/>
  <c r="Z1275" i="10"/>
  <c r="Z1274" i="10"/>
  <c r="Z1273" i="10"/>
  <c r="Z1272" i="10"/>
  <c r="Z1271" i="10"/>
  <c r="Z1270" i="10"/>
  <c r="Z1269" i="10"/>
  <c r="Z1268" i="10"/>
  <c r="Z1267" i="10"/>
  <c r="Z1266" i="10"/>
  <c r="Z1265" i="10"/>
  <c r="Z1264" i="10"/>
  <c r="Z1263" i="10"/>
  <c r="Z1262" i="10"/>
  <c r="Z1261" i="10"/>
  <c r="Z1260" i="10"/>
  <c r="Z1259" i="10"/>
  <c r="Z1258" i="10"/>
  <c r="Z1257" i="10"/>
  <c r="Z1256" i="10"/>
  <c r="Z1255" i="10"/>
  <c r="Z1254" i="10"/>
  <c r="Z1253" i="10"/>
  <c r="Z1252" i="10"/>
  <c r="Z1251" i="10"/>
  <c r="Z1250" i="10"/>
  <c r="Z1249" i="10"/>
  <c r="Z1248" i="10"/>
  <c r="Z1247" i="10"/>
  <c r="Z1246" i="10"/>
  <c r="Z1245" i="10"/>
  <c r="Z1244" i="10"/>
  <c r="Z1243" i="10"/>
  <c r="Z1242" i="10"/>
  <c r="Z1241" i="10"/>
  <c r="Z1240" i="10"/>
  <c r="Z1239" i="10"/>
  <c r="Z1238" i="10"/>
  <c r="Z1237" i="10"/>
  <c r="Z1236" i="10"/>
  <c r="Z1235" i="10"/>
  <c r="Z1234" i="10"/>
  <c r="Z1233" i="10"/>
  <c r="Z1232" i="10"/>
  <c r="Z1231" i="10"/>
  <c r="Z1230" i="10"/>
  <c r="Z1229" i="10"/>
  <c r="Z1228" i="10"/>
  <c r="Z1227" i="10"/>
  <c r="Z1226" i="10"/>
  <c r="Z1225" i="10"/>
  <c r="Z1224" i="10"/>
  <c r="Z1223" i="10"/>
  <c r="Z1222" i="10"/>
  <c r="Z1221" i="10"/>
  <c r="Z1220" i="10"/>
  <c r="Z1219" i="10"/>
  <c r="Z1218" i="10"/>
  <c r="Z1217" i="10"/>
  <c r="Z1216" i="10"/>
  <c r="Z1215" i="10"/>
  <c r="Z1214" i="10"/>
  <c r="Z1213" i="10"/>
  <c r="Z1212" i="10"/>
  <c r="Z1211" i="10"/>
  <c r="Z1210" i="10"/>
  <c r="Z1209" i="10"/>
  <c r="Z1208" i="10"/>
  <c r="Z1207" i="10"/>
  <c r="Z1206" i="10"/>
  <c r="Z1205" i="10"/>
  <c r="Z1204" i="10"/>
  <c r="Z1203" i="10"/>
  <c r="Z1202" i="10"/>
  <c r="Z1201" i="10"/>
  <c r="Z1200" i="10"/>
  <c r="Z1199" i="10"/>
  <c r="Z1198" i="10"/>
  <c r="Z1197" i="10"/>
  <c r="Z1196" i="10"/>
  <c r="Z1195" i="10"/>
  <c r="Z1194" i="10"/>
  <c r="Z1193" i="10"/>
  <c r="Z1192" i="10"/>
  <c r="Z1191" i="10"/>
  <c r="Z1190" i="10"/>
  <c r="Z1189" i="10"/>
  <c r="Z1188" i="10"/>
  <c r="Z1187" i="10"/>
  <c r="Z1186" i="10"/>
  <c r="Z1185" i="10"/>
  <c r="Z1184" i="10"/>
  <c r="Z1183" i="10"/>
  <c r="Z1182" i="10"/>
  <c r="Z1181" i="10"/>
  <c r="Z1180" i="10"/>
  <c r="Z1179" i="10"/>
  <c r="Z1178" i="10"/>
  <c r="Z1177" i="10"/>
  <c r="Z1176" i="10"/>
  <c r="Z1175" i="10"/>
  <c r="Z1174" i="10"/>
  <c r="Z1173" i="10"/>
  <c r="Z1172" i="10"/>
  <c r="Z1171" i="10"/>
  <c r="Z1170" i="10"/>
  <c r="Z1169" i="10"/>
  <c r="Z1168" i="10"/>
  <c r="Z1167" i="10"/>
  <c r="Z1166" i="10"/>
  <c r="Z1165" i="10"/>
  <c r="Z1164" i="10"/>
  <c r="Z1163" i="10"/>
  <c r="Z1162" i="10"/>
  <c r="Z1161" i="10"/>
  <c r="Z1160" i="10"/>
  <c r="Z1159" i="10"/>
  <c r="Z1158" i="10"/>
  <c r="Z1157" i="10"/>
  <c r="Z1156" i="10"/>
  <c r="Z1155" i="10"/>
  <c r="Z1154" i="10"/>
  <c r="Z1153" i="10"/>
  <c r="Z1152" i="10"/>
  <c r="Z1151" i="10"/>
  <c r="Z1150" i="10"/>
  <c r="Z1149" i="10"/>
  <c r="Z1148" i="10"/>
  <c r="Z1147" i="10"/>
  <c r="Z1146" i="10"/>
  <c r="Z1145" i="10"/>
  <c r="Z1144" i="10"/>
  <c r="Z1143" i="10"/>
  <c r="Z1142" i="10"/>
  <c r="Z1141" i="10"/>
  <c r="Z1140" i="10"/>
  <c r="Z1139" i="10"/>
  <c r="Z1138" i="10"/>
  <c r="Z1137" i="10"/>
  <c r="Z1136" i="10"/>
  <c r="Z1135" i="10"/>
  <c r="Z1134" i="10"/>
  <c r="Z1133" i="10"/>
  <c r="Z1132" i="10"/>
  <c r="Z1131" i="10"/>
  <c r="Z1130" i="10"/>
  <c r="Z1129" i="10"/>
  <c r="Z1128" i="10"/>
  <c r="Z1127" i="10"/>
  <c r="Z1126" i="10"/>
  <c r="Z1125" i="10"/>
  <c r="Z1124" i="10"/>
  <c r="Z1123" i="10"/>
  <c r="Z1122" i="10"/>
  <c r="Z1121" i="10"/>
  <c r="Z1120" i="10"/>
  <c r="Z1119" i="10"/>
  <c r="Z1118" i="10"/>
  <c r="Z1117" i="10"/>
  <c r="Z1116" i="10"/>
  <c r="Z1115" i="10"/>
  <c r="Z1114" i="10"/>
  <c r="Z1113" i="10"/>
  <c r="Z1112" i="10"/>
  <c r="Z1111" i="10"/>
  <c r="Z1110" i="10"/>
  <c r="Z1109" i="10"/>
  <c r="Z1108" i="10"/>
  <c r="Z1107" i="10"/>
  <c r="Z1106" i="10"/>
  <c r="Z1105" i="10"/>
  <c r="Z1104" i="10"/>
  <c r="Z1103" i="10"/>
  <c r="Z1102" i="10"/>
  <c r="Z1101" i="10"/>
  <c r="Z1100" i="10"/>
  <c r="Z1099" i="10"/>
  <c r="Z1098" i="10"/>
  <c r="Z1097" i="10"/>
  <c r="Z1096" i="10"/>
  <c r="Z1095" i="10"/>
  <c r="Z1094" i="10"/>
  <c r="Z1093" i="10"/>
  <c r="Z1092" i="10"/>
  <c r="Z1091" i="10"/>
  <c r="Z1090" i="10"/>
  <c r="Z1089" i="10"/>
  <c r="Z1088" i="10"/>
  <c r="Z1087" i="10"/>
  <c r="Z1086" i="10"/>
  <c r="Z1085" i="10"/>
  <c r="Z1084" i="10"/>
  <c r="Z1083" i="10"/>
  <c r="Z1082" i="10"/>
  <c r="Z1081" i="10"/>
  <c r="Z1080" i="10"/>
  <c r="Z1079" i="10"/>
  <c r="Z1078" i="10"/>
  <c r="Z1077" i="10"/>
  <c r="Z1076" i="10"/>
  <c r="Z1075" i="10"/>
  <c r="Z1074" i="10"/>
  <c r="Z1073" i="10"/>
  <c r="Z1072" i="10"/>
  <c r="Z1071" i="10"/>
  <c r="Z1070" i="10"/>
  <c r="Z1069" i="10"/>
  <c r="Z1068" i="10"/>
  <c r="Z1067" i="10"/>
  <c r="Z1066" i="10"/>
  <c r="Z1065" i="10"/>
  <c r="Z1064" i="10"/>
  <c r="Z1063" i="10"/>
  <c r="Z1062" i="10"/>
  <c r="Z1061" i="10"/>
  <c r="Z1060" i="10"/>
  <c r="Z1059" i="10"/>
  <c r="Z1058" i="10"/>
  <c r="Z1057" i="10"/>
  <c r="Z1056" i="10"/>
  <c r="Z1055" i="10"/>
  <c r="Z1054" i="10"/>
  <c r="Z1053" i="10"/>
  <c r="Z1052" i="10"/>
  <c r="Z1051" i="10"/>
  <c r="Z1050" i="10"/>
  <c r="Z1049" i="10"/>
  <c r="Z1048" i="10"/>
  <c r="Z1047" i="10"/>
  <c r="Z1046" i="10"/>
  <c r="Z1045" i="10"/>
  <c r="Z1044" i="10"/>
  <c r="Z1043" i="10"/>
  <c r="Z1042" i="10"/>
  <c r="Z1041" i="10"/>
  <c r="Z1040" i="10"/>
  <c r="Z1039" i="10"/>
  <c r="Z1038" i="10"/>
  <c r="Z1037" i="10"/>
  <c r="Z1036" i="10"/>
  <c r="Z1035" i="10"/>
  <c r="Z1034" i="10"/>
  <c r="Z1033" i="10"/>
  <c r="Z1032" i="10"/>
  <c r="Z1031" i="10"/>
  <c r="Z1030" i="10"/>
  <c r="Z1029" i="10"/>
  <c r="Z1028" i="10"/>
  <c r="Z1027" i="10"/>
  <c r="Z1026" i="10"/>
  <c r="Z1025" i="10"/>
  <c r="Z1024" i="10"/>
  <c r="Z1023" i="10"/>
  <c r="Z1022" i="10"/>
  <c r="Z1021" i="10"/>
  <c r="Z1020" i="10"/>
  <c r="Z1019" i="10"/>
  <c r="Z1018" i="10"/>
  <c r="Z1017" i="10"/>
  <c r="Z1016" i="10"/>
  <c r="Z1015" i="10"/>
  <c r="Z1014" i="10"/>
  <c r="Z1013" i="10"/>
  <c r="Z1012" i="10"/>
  <c r="Z1011" i="10"/>
  <c r="Z1010" i="10"/>
  <c r="Z1009" i="10"/>
  <c r="Z1008" i="10"/>
  <c r="Z1007" i="10"/>
  <c r="Z1006" i="10"/>
  <c r="Z1005" i="10"/>
  <c r="Z1004" i="10"/>
  <c r="Z1003" i="10"/>
  <c r="Z1002" i="10"/>
  <c r="Z1001" i="10"/>
  <c r="Z1000" i="10"/>
  <c r="Z999" i="10"/>
  <c r="Z998" i="10"/>
  <c r="Z997" i="10"/>
  <c r="Z996" i="10"/>
  <c r="Z995" i="10"/>
  <c r="Z994" i="10"/>
  <c r="Z993" i="10"/>
  <c r="Z992" i="10"/>
  <c r="Z991" i="10"/>
  <c r="Z990" i="10"/>
  <c r="Z989" i="10"/>
  <c r="Z988" i="10"/>
  <c r="Z987" i="10"/>
  <c r="Z986" i="10"/>
  <c r="Z985" i="10"/>
  <c r="Z984" i="10"/>
  <c r="Z983" i="10"/>
  <c r="Z982" i="10"/>
  <c r="Z981" i="10"/>
  <c r="Z980" i="10"/>
  <c r="Z979" i="10"/>
  <c r="Z978" i="10"/>
  <c r="Z977" i="10"/>
  <c r="Z976" i="10"/>
  <c r="Z975" i="10"/>
  <c r="Z974" i="10"/>
  <c r="Z973" i="10"/>
  <c r="Z972" i="10"/>
  <c r="Z971" i="10"/>
  <c r="Z970" i="10"/>
  <c r="Z969" i="10"/>
  <c r="Z968" i="10"/>
  <c r="Z967" i="10"/>
  <c r="Z966" i="10"/>
  <c r="Z965" i="10"/>
  <c r="Z964" i="10"/>
  <c r="Z963" i="10"/>
  <c r="Z962" i="10"/>
  <c r="Z961" i="10"/>
  <c r="Z960" i="10"/>
  <c r="Z959" i="10"/>
  <c r="Z958" i="10"/>
  <c r="Z957" i="10"/>
  <c r="Z956" i="10"/>
  <c r="Z955" i="10"/>
  <c r="Z954" i="10"/>
  <c r="Z953" i="10"/>
  <c r="Z952" i="10"/>
  <c r="Z951" i="10"/>
  <c r="Z950" i="10"/>
  <c r="Z949" i="10"/>
  <c r="Z948" i="10"/>
  <c r="Z947" i="10"/>
  <c r="Z946" i="10"/>
  <c r="Z945" i="10"/>
  <c r="Z944" i="10"/>
  <c r="Z943" i="10"/>
  <c r="Z942" i="10"/>
  <c r="Z941" i="10"/>
  <c r="Z940" i="10"/>
  <c r="Z939" i="10"/>
  <c r="Z938" i="10"/>
  <c r="Z937" i="10"/>
  <c r="Z936" i="10"/>
  <c r="Z935" i="10"/>
  <c r="Z934" i="10"/>
  <c r="Z933" i="10"/>
  <c r="Z932" i="10"/>
  <c r="Z931" i="10"/>
  <c r="Z930" i="10"/>
  <c r="Z929" i="10"/>
  <c r="Z928" i="10"/>
  <c r="Z927" i="10"/>
  <c r="Z926" i="10"/>
  <c r="Z925" i="10"/>
  <c r="Z924" i="10"/>
  <c r="Z923" i="10"/>
  <c r="Z922" i="10"/>
  <c r="Z921" i="10"/>
  <c r="Z920" i="10"/>
  <c r="Z919" i="10"/>
  <c r="Z918" i="10"/>
  <c r="Z917" i="10"/>
  <c r="Z916" i="10"/>
  <c r="Z915" i="10"/>
  <c r="Z914" i="10"/>
  <c r="Z913" i="10"/>
  <c r="Z912" i="10"/>
  <c r="Z911" i="10"/>
  <c r="Z910" i="10"/>
  <c r="Z909" i="10"/>
  <c r="Z908" i="10"/>
  <c r="Z907" i="10"/>
  <c r="Z906" i="10"/>
  <c r="Z905" i="10"/>
  <c r="Z904" i="10"/>
  <c r="Z903" i="10"/>
  <c r="Z902" i="10"/>
  <c r="Z901" i="10"/>
  <c r="Z900" i="10"/>
  <c r="Z899" i="10"/>
  <c r="Z898" i="10"/>
  <c r="Z897" i="10"/>
  <c r="Z896" i="10"/>
  <c r="Z895" i="10"/>
  <c r="Z894" i="10"/>
  <c r="Z893" i="10"/>
  <c r="Z892" i="10"/>
  <c r="Z891" i="10"/>
  <c r="Z890" i="10"/>
  <c r="Z889" i="10"/>
  <c r="Z888" i="10"/>
  <c r="Z887" i="10"/>
  <c r="Z886" i="10"/>
  <c r="Z885" i="10"/>
  <c r="Z884" i="10"/>
  <c r="Z883" i="10"/>
  <c r="Z882" i="10"/>
  <c r="Z881" i="10"/>
  <c r="Z880" i="10"/>
  <c r="Z879" i="10"/>
  <c r="Z878" i="10"/>
  <c r="Z877" i="10"/>
  <c r="Z876" i="10"/>
  <c r="Z875" i="10"/>
  <c r="Z874" i="10"/>
  <c r="Z873" i="10"/>
  <c r="Z872" i="10"/>
  <c r="Z871" i="10"/>
  <c r="Z870" i="10"/>
  <c r="Z869" i="10"/>
  <c r="Z868" i="10"/>
  <c r="Z867" i="10"/>
  <c r="Z866" i="10"/>
  <c r="Z865" i="10"/>
  <c r="Z864" i="10"/>
  <c r="Z863" i="10"/>
  <c r="Z862" i="10"/>
  <c r="Z861" i="10"/>
  <c r="Z860" i="10"/>
  <c r="Z859" i="10"/>
  <c r="Z858" i="10"/>
  <c r="Z857" i="10"/>
  <c r="Z856" i="10"/>
  <c r="Z855" i="10"/>
  <c r="Z854" i="10"/>
  <c r="Z853" i="10"/>
  <c r="Z852" i="10"/>
  <c r="Z851" i="10"/>
  <c r="Z850" i="10"/>
  <c r="Z849" i="10"/>
  <c r="Z848" i="10"/>
  <c r="Z847" i="10"/>
  <c r="Z846" i="10"/>
  <c r="Z845" i="10"/>
  <c r="Z844" i="10"/>
  <c r="Z843" i="10"/>
  <c r="Z842" i="10"/>
  <c r="Z841" i="10"/>
  <c r="Z840" i="10"/>
  <c r="Z839" i="10"/>
  <c r="Z838" i="10"/>
  <c r="Z837" i="10"/>
  <c r="Z836" i="10"/>
  <c r="Z835" i="10"/>
  <c r="Z834" i="10"/>
  <c r="Z833" i="10"/>
  <c r="Z832" i="10"/>
  <c r="Z831" i="10"/>
  <c r="Z830" i="10"/>
  <c r="Z829" i="10"/>
  <c r="Z828" i="10"/>
  <c r="Z827" i="10"/>
  <c r="Z826" i="10"/>
  <c r="Z825" i="10"/>
  <c r="Z824" i="10"/>
  <c r="Z823" i="10"/>
  <c r="Z822" i="10"/>
  <c r="Z821" i="10"/>
  <c r="Z820" i="10"/>
  <c r="Z819" i="10"/>
  <c r="Z818" i="10"/>
  <c r="Z817" i="10"/>
  <c r="Z816" i="10"/>
  <c r="Z815" i="10"/>
  <c r="Z814" i="10"/>
  <c r="Z813" i="10"/>
  <c r="Z812" i="10"/>
  <c r="Z811" i="10"/>
  <c r="Z810" i="10"/>
  <c r="Z809" i="10"/>
  <c r="Z808" i="10"/>
  <c r="Z807" i="10"/>
  <c r="Z806" i="10"/>
  <c r="Z805" i="10"/>
  <c r="Z804" i="10"/>
  <c r="Z803" i="10"/>
  <c r="Z802" i="10"/>
  <c r="Z801" i="10"/>
  <c r="Z800" i="10"/>
  <c r="Z799" i="10"/>
  <c r="Z798" i="10"/>
  <c r="Z797" i="10"/>
  <c r="Z796" i="10"/>
  <c r="Z795" i="10"/>
  <c r="Z794" i="10"/>
  <c r="Z793" i="10"/>
  <c r="Z792" i="10"/>
  <c r="Z791" i="10"/>
  <c r="Z790" i="10"/>
  <c r="Z789" i="10"/>
  <c r="Z788" i="10"/>
  <c r="Z787" i="10"/>
  <c r="Z786" i="10"/>
  <c r="Z785" i="10"/>
  <c r="Z784" i="10"/>
  <c r="Z783" i="10"/>
  <c r="Z782" i="10"/>
  <c r="Z781" i="10"/>
  <c r="Z780" i="10"/>
  <c r="Z779" i="10"/>
  <c r="Z778" i="10"/>
  <c r="Z777" i="10"/>
  <c r="Z776" i="10"/>
  <c r="Z775" i="10"/>
  <c r="Z774" i="10"/>
  <c r="Z773" i="10"/>
  <c r="Z772" i="10"/>
  <c r="Z771" i="10"/>
  <c r="Z770" i="10"/>
  <c r="Z769" i="10"/>
  <c r="Z768" i="10"/>
  <c r="Z767" i="10"/>
  <c r="Z766" i="10"/>
  <c r="Z765" i="10"/>
  <c r="Z764" i="10"/>
  <c r="Z763" i="10"/>
  <c r="Z762" i="10"/>
  <c r="Z761" i="10"/>
  <c r="Z760" i="10"/>
  <c r="Z759" i="10"/>
  <c r="Z758" i="10"/>
  <c r="Z757" i="10"/>
  <c r="Z756" i="10"/>
  <c r="Z755" i="10"/>
  <c r="Z754" i="10"/>
  <c r="Z753" i="10"/>
  <c r="Z752" i="10"/>
  <c r="Z751" i="10"/>
  <c r="Z750" i="10"/>
  <c r="Z749" i="10"/>
  <c r="Z748" i="10"/>
  <c r="Z747" i="10"/>
  <c r="Z746" i="10"/>
  <c r="Z745" i="10"/>
  <c r="Z744" i="10"/>
  <c r="Z743" i="10"/>
  <c r="Z742" i="10"/>
  <c r="Z741" i="10"/>
  <c r="Z740" i="10"/>
  <c r="Z739" i="10"/>
  <c r="Z738" i="10"/>
  <c r="Z737" i="10"/>
  <c r="Z736" i="10"/>
  <c r="Z735" i="10"/>
  <c r="Z734" i="10"/>
  <c r="Z733" i="10"/>
  <c r="Z732" i="10"/>
  <c r="Z731" i="10"/>
  <c r="Z730" i="10"/>
  <c r="Z729" i="10"/>
  <c r="Z728" i="10"/>
  <c r="Z727" i="10"/>
  <c r="Z726" i="10"/>
  <c r="Z725" i="10"/>
  <c r="Z724" i="10"/>
  <c r="Z723" i="10"/>
  <c r="Z722" i="10"/>
  <c r="Z721" i="10"/>
  <c r="Z720" i="10"/>
  <c r="Z719" i="10"/>
  <c r="Z718" i="10"/>
  <c r="Z717" i="10"/>
  <c r="Z716" i="10"/>
  <c r="Z715" i="10"/>
  <c r="Z714" i="10"/>
  <c r="Z713" i="10"/>
  <c r="Z712" i="10"/>
  <c r="Z711" i="10"/>
  <c r="Z710" i="10"/>
  <c r="Z709" i="10"/>
  <c r="Z708" i="10"/>
  <c r="Z707" i="10"/>
  <c r="Z706" i="10"/>
  <c r="Z705" i="10"/>
  <c r="Z704" i="10"/>
  <c r="Z703" i="10"/>
  <c r="Z702" i="10"/>
  <c r="Z701" i="10"/>
  <c r="Z700" i="10"/>
  <c r="Z699" i="10"/>
  <c r="Z698" i="10"/>
  <c r="Z697" i="10"/>
  <c r="Z696" i="10"/>
  <c r="Z695" i="10"/>
  <c r="Z694" i="10"/>
  <c r="Z693" i="10"/>
  <c r="Z692" i="10"/>
  <c r="Z691" i="10"/>
  <c r="Z690" i="10"/>
  <c r="Z689" i="10"/>
  <c r="Z688" i="10"/>
  <c r="Z687" i="10"/>
  <c r="Z686" i="10"/>
  <c r="Z685" i="10"/>
  <c r="Z684" i="10"/>
  <c r="Z683" i="10"/>
  <c r="Z682" i="10"/>
  <c r="Z681" i="10"/>
  <c r="Z680" i="10"/>
  <c r="Z679" i="10"/>
  <c r="Z678" i="10"/>
  <c r="Z677" i="10"/>
  <c r="Z676" i="10"/>
  <c r="Z675" i="10"/>
  <c r="Z674" i="10"/>
  <c r="Z673" i="10"/>
  <c r="Z672" i="10"/>
  <c r="Z671" i="10"/>
  <c r="Z670" i="10"/>
  <c r="Z669" i="10"/>
  <c r="Z668" i="10"/>
  <c r="Z667" i="10"/>
  <c r="Z666" i="10"/>
  <c r="Z665" i="10"/>
  <c r="Z664" i="10"/>
  <c r="Z663" i="10"/>
  <c r="Z662" i="10"/>
  <c r="Z661" i="10"/>
  <c r="Z660" i="10"/>
  <c r="Z659" i="10"/>
  <c r="Z658" i="10"/>
  <c r="Z657" i="10"/>
  <c r="Z656" i="10"/>
  <c r="Z655" i="10"/>
  <c r="Z654" i="10"/>
  <c r="Z653" i="10"/>
  <c r="Z652" i="10"/>
  <c r="Z651" i="10"/>
  <c r="Z650" i="10"/>
  <c r="Z649" i="10"/>
  <c r="Z648" i="10"/>
  <c r="Z647" i="10"/>
  <c r="Z646" i="10"/>
  <c r="Z645" i="10"/>
  <c r="Z644" i="10"/>
  <c r="Z643" i="10"/>
  <c r="Z642" i="10"/>
  <c r="Z641" i="10"/>
  <c r="Z640" i="10"/>
  <c r="Z639" i="10"/>
  <c r="Z638" i="10"/>
  <c r="Z637" i="10"/>
  <c r="Z636" i="10"/>
  <c r="Z635" i="10"/>
  <c r="Z634" i="10"/>
  <c r="Z633" i="10"/>
  <c r="Z632" i="10"/>
  <c r="Z631" i="10"/>
  <c r="Z630" i="10"/>
  <c r="Z629" i="10"/>
  <c r="Z628" i="10"/>
  <c r="Z627" i="10"/>
  <c r="Z626" i="10"/>
  <c r="Z625" i="10"/>
  <c r="Z624" i="10"/>
  <c r="Z623" i="10"/>
  <c r="Z622" i="10"/>
  <c r="Z621" i="10"/>
  <c r="Z620" i="10"/>
  <c r="Z619" i="10"/>
  <c r="Z618" i="10"/>
  <c r="Z617" i="10"/>
  <c r="Z616" i="10"/>
  <c r="Z615" i="10"/>
  <c r="Z614" i="10"/>
  <c r="Z613" i="10"/>
  <c r="Z612" i="10"/>
  <c r="Z611" i="10"/>
  <c r="Z610" i="10"/>
  <c r="Z609" i="10"/>
  <c r="Z608" i="10"/>
  <c r="Z607" i="10"/>
  <c r="Z606" i="10"/>
  <c r="Z605" i="10"/>
  <c r="Z604" i="10"/>
  <c r="Z603" i="10"/>
  <c r="Z602" i="10"/>
  <c r="Z601" i="10"/>
  <c r="Z600" i="10"/>
  <c r="Z599" i="10"/>
  <c r="Z598" i="10"/>
  <c r="Z597" i="10"/>
  <c r="Z596" i="10"/>
  <c r="Z595" i="10"/>
  <c r="Z594" i="10"/>
  <c r="Z593" i="10"/>
  <c r="Z592" i="10"/>
  <c r="Z591" i="10"/>
  <c r="Z590" i="10"/>
  <c r="Z589" i="10"/>
  <c r="Z588" i="10"/>
  <c r="Z587" i="10"/>
  <c r="Z586" i="10"/>
  <c r="Z585" i="10"/>
  <c r="Z584" i="10"/>
  <c r="Z583" i="10"/>
  <c r="Z582" i="10"/>
  <c r="Z581" i="10"/>
  <c r="Z580" i="10"/>
  <c r="Z579" i="10"/>
  <c r="Z578" i="10"/>
  <c r="Z577" i="10"/>
  <c r="Z576" i="10"/>
  <c r="Z575" i="10"/>
  <c r="Z574" i="10"/>
  <c r="Z573" i="10"/>
  <c r="Z572" i="10"/>
  <c r="Z571" i="10"/>
  <c r="Z570" i="10"/>
  <c r="Z569" i="10"/>
  <c r="Z568" i="10"/>
  <c r="Z567" i="10"/>
  <c r="Z566" i="10"/>
  <c r="Z565" i="10"/>
  <c r="Z564" i="10"/>
  <c r="Z563" i="10"/>
  <c r="Z562" i="10"/>
  <c r="Z561" i="10"/>
  <c r="Z560" i="10"/>
  <c r="Z559" i="10"/>
  <c r="Z558" i="10"/>
  <c r="Z557" i="10"/>
  <c r="Z556" i="10"/>
  <c r="Z555" i="10"/>
  <c r="Z554" i="10"/>
  <c r="Z553" i="10"/>
  <c r="Z552" i="10"/>
  <c r="Z551" i="10"/>
  <c r="Z550" i="10"/>
  <c r="Z549" i="10"/>
  <c r="Z548" i="10"/>
  <c r="Z547" i="10"/>
  <c r="Z546" i="10"/>
  <c r="Z545" i="10"/>
  <c r="Z544" i="10"/>
  <c r="Z543" i="10"/>
  <c r="Z542" i="10"/>
  <c r="Z541" i="10"/>
  <c r="Z540" i="10"/>
  <c r="Z539" i="10"/>
  <c r="Z538" i="10"/>
  <c r="Z537" i="10"/>
  <c r="Z536" i="10"/>
  <c r="Z535" i="10"/>
  <c r="Z534" i="10"/>
  <c r="Z533" i="10"/>
  <c r="Z532" i="10"/>
  <c r="Z531" i="10"/>
  <c r="Z530" i="10"/>
  <c r="Z529" i="10"/>
  <c r="Z528" i="10"/>
  <c r="Z527" i="10"/>
  <c r="Z526" i="10"/>
  <c r="Z525" i="10"/>
  <c r="Z524" i="10"/>
  <c r="Z523" i="10"/>
  <c r="Z522" i="10"/>
  <c r="Z521" i="10"/>
  <c r="Z520" i="10"/>
  <c r="Z519" i="10"/>
  <c r="Z518" i="10"/>
  <c r="Z517" i="10"/>
  <c r="Z516" i="10"/>
  <c r="Z515" i="10"/>
  <c r="Z514" i="10"/>
  <c r="Z513" i="10"/>
  <c r="Z512" i="10"/>
  <c r="Z511" i="10"/>
  <c r="Z510" i="10"/>
  <c r="Z509" i="10"/>
  <c r="Z508" i="10"/>
  <c r="Z507" i="10"/>
  <c r="Z506" i="10"/>
  <c r="Z505" i="10"/>
  <c r="Z504" i="10"/>
  <c r="Z503" i="10"/>
  <c r="Z502" i="10"/>
  <c r="Z501" i="10"/>
  <c r="Z500" i="10"/>
  <c r="Z499" i="10"/>
  <c r="Z498" i="10"/>
  <c r="Z497" i="10"/>
  <c r="Z496" i="10"/>
  <c r="Z495" i="10"/>
  <c r="Z494" i="10"/>
  <c r="Z493" i="10"/>
  <c r="Z492" i="10"/>
  <c r="Z491" i="10"/>
  <c r="Z490" i="10"/>
  <c r="Z489" i="10"/>
  <c r="Z488" i="10"/>
  <c r="Z487" i="10"/>
  <c r="Z486" i="10"/>
  <c r="Z485" i="10"/>
  <c r="Z484" i="10"/>
  <c r="Z483" i="10"/>
  <c r="Z482" i="10"/>
  <c r="Z481" i="10"/>
  <c r="Z480" i="10"/>
  <c r="Z479" i="10"/>
  <c r="Z478" i="10"/>
  <c r="Z477" i="10"/>
  <c r="Z476" i="10"/>
  <c r="Z475" i="10"/>
  <c r="Z474" i="10"/>
  <c r="Z473" i="10"/>
  <c r="Z472" i="10"/>
  <c r="Z471" i="10"/>
  <c r="Z470" i="10"/>
  <c r="Z469" i="10"/>
  <c r="Z468" i="10"/>
  <c r="Z467" i="10"/>
  <c r="Z466" i="10"/>
  <c r="Z465" i="10"/>
  <c r="Z464" i="10"/>
  <c r="Z463" i="10"/>
  <c r="Z462" i="10"/>
  <c r="Z461" i="10"/>
  <c r="Z460" i="10"/>
  <c r="Z459" i="10"/>
  <c r="Z458" i="10"/>
  <c r="Z457" i="10"/>
  <c r="Z456" i="10"/>
  <c r="Z455" i="10"/>
  <c r="Z454" i="10"/>
  <c r="Z453" i="10"/>
  <c r="Z452" i="10"/>
  <c r="Z451" i="10"/>
  <c r="Z450" i="10"/>
  <c r="Z449" i="10"/>
  <c r="Z448" i="10"/>
  <c r="Z447" i="10"/>
  <c r="Z446" i="10"/>
  <c r="Z445" i="10"/>
  <c r="Z444" i="10"/>
  <c r="Z443" i="10"/>
  <c r="Z442" i="10"/>
  <c r="Z441" i="10"/>
  <c r="Z440" i="10"/>
  <c r="Z439" i="10"/>
  <c r="Z438" i="10"/>
  <c r="Z437" i="10"/>
  <c r="Z436" i="10"/>
  <c r="Z435" i="10"/>
  <c r="Z434" i="10"/>
  <c r="Z433" i="10"/>
  <c r="Z432" i="10"/>
  <c r="Z431" i="10"/>
  <c r="Z430" i="10"/>
  <c r="Z429" i="10"/>
  <c r="Z428" i="10"/>
  <c r="Z427" i="10"/>
  <c r="Z426" i="10"/>
  <c r="Z425" i="10"/>
  <c r="Z424" i="10"/>
  <c r="Z423" i="10"/>
  <c r="Z422" i="10"/>
  <c r="Z421" i="10"/>
  <c r="Z420" i="10"/>
  <c r="Z419" i="10"/>
  <c r="Z418" i="10"/>
  <c r="Z417" i="10"/>
  <c r="Z416" i="10"/>
  <c r="Z415" i="10"/>
  <c r="Z414" i="10"/>
  <c r="Z413" i="10"/>
  <c r="Z412" i="10"/>
  <c r="Z411" i="10"/>
  <c r="Z410" i="10"/>
  <c r="Z409" i="10"/>
  <c r="Z408" i="10"/>
  <c r="Z407" i="10"/>
  <c r="Z406" i="10"/>
  <c r="Z405" i="10"/>
  <c r="Z404" i="10"/>
  <c r="Z403" i="10"/>
  <c r="Z402" i="10"/>
  <c r="Z401" i="10"/>
  <c r="Z400" i="10"/>
  <c r="Z399" i="10"/>
  <c r="Z398" i="10"/>
  <c r="Z397" i="10"/>
  <c r="Z396" i="10"/>
  <c r="Z395" i="10"/>
  <c r="Z394" i="10"/>
  <c r="Z393" i="10"/>
  <c r="Z392" i="10"/>
  <c r="Z391" i="10"/>
  <c r="Z390" i="10"/>
  <c r="Z389" i="10"/>
  <c r="Z388" i="10"/>
  <c r="Z387" i="10"/>
  <c r="Z386" i="10"/>
  <c r="Z385" i="10"/>
  <c r="Z384" i="10"/>
  <c r="Z383" i="10"/>
  <c r="Z382" i="10"/>
  <c r="Z381" i="10"/>
  <c r="Z380" i="10"/>
  <c r="Z379" i="10"/>
  <c r="Z378" i="10"/>
  <c r="Z377" i="10"/>
  <c r="Z376" i="10"/>
  <c r="Z375" i="10"/>
  <c r="Z374" i="10"/>
  <c r="Z373" i="10"/>
  <c r="Z372" i="10"/>
  <c r="Z371" i="10"/>
  <c r="Z370" i="10"/>
  <c r="Z369" i="10"/>
  <c r="Z368" i="10"/>
  <c r="Z367" i="10"/>
  <c r="Z366" i="10"/>
  <c r="Z365" i="10"/>
  <c r="Z364" i="10"/>
  <c r="Z363" i="10"/>
  <c r="Z362" i="10"/>
  <c r="Z361" i="10"/>
  <c r="Z360" i="10"/>
  <c r="Z359" i="10"/>
  <c r="Z358" i="10"/>
  <c r="Z357" i="10"/>
  <c r="Z356" i="10"/>
  <c r="Z355" i="10"/>
  <c r="Z354" i="10"/>
  <c r="Z353" i="10"/>
  <c r="Z352" i="10"/>
  <c r="Z351" i="10"/>
  <c r="Z350" i="10"/>
  <c r="Z349" i="10"/>
  <c r="Z348" i="10"/>
  <c r="Z347" i="10"/>
  <c r="Z346" i="10"/>
  <c r="Z345" i="10"/>
  <c r="Z344" i="10"/>
  <c r="Z343" i="10"/>
  <c r="Z342" i="10"/>
  <c r="Z341" i="10"/>
  <c r="Z340" i="10"/>
  <c r="Z339" i="10"/>
  <c r="Z338" i="10"/>
  <c r="Z337" i="10"/>
  <c r="Z336" i="10"/>
  <c r="Z335" i="10"/>
  <c r="Z334" i="10"/>
  <c r="Z333" i="10"/>
  <c r="Z332" i="10"/>
  <c r="Z331" i="10"/>
  <c r="Z330" i="10"/>
  <c r="Z329" i="10"/>
  <c r="Z328" i="10"/>
  <c r="Z327" i="10"/>
  <c r="Z326" i="10"/>
  <c r="Z325" i="10"/>
  <c r="Z324" i="10"/>
  <c r="Z323" i="10"/>
  <c r="Z322" i="10"/>
  <c r="Z321" i="10"/>
  <c r="Z320" i="10"/>
  <c r="Z319" i="10"/>
  <c r="Z318" i="10"/>
  <c r="Z317" i="10"/>
  <c r="Z316" i="10"/>
  <c r="Z315" i="10"/>
  <c r="Z314" i="10"/>
  <c r="Z313" i="10"/>
  <c r="Z312" i="10"/>
  <c r="Z311" i="10"/>
  <c r="Z310" i="10"/>
  <c r="Z309" i="10"/>
  <c r="Z308" i="10"/>
  <c r="Z307" i="10"/>
  <c r="Z306" i="10"/>
  <c r="Z305" i="10"/>
  <c r="Z304" i="10"/>
  <c r="Z303" i="10"/>
  <c r="Z302" i="10"/>
  <c r="Z301" i="10"/>
  <c r="Z300" i="10"/>
  <c r="Z299" i="10"/>
  <c r="Z298" i="10"/>
  <c r="Z297" i="10"/>
  <c r="Z296" i="10"/>
  <c r="Z295" i="10"/>
  <c r="Z294" i="10"/>
  <c r="Z293" i="10"/>
  <c r="Z292" i="10"/>
  <c r="Z291" i="10"/>
  <c r="Z290" i="10"/>
  <c r="Z289" i="10"/>
  <c r="Z288" i="10"/>
  <c r="Z287" i="10"/>
  <c r="Z286" i="10"/>
  <c r="Z285" i="10"/>
  <c r="Z284" i="10"/>
  <c r="Z283" i="10"/>
  <c r="Z282" i="10"/>
  <c r="Z281" i="10"/>
  <c r="Z280" i="10"/>
  <c r="Z279" i="10"/>
  <c r="Z278" i="10"/>
  <c r="Z277" i="10"/>
  <c r="Z276" i="10"/>
  <c r="Z275" i="10"/>
  <c r="Z274" i="10"/>
  <c r="Z273" i="10"/>
  <c r="Z272" i="10"/>
  <c r="Z271" i="10"/>
  <c r="Z270" i="10"/>
  <c r="Z269" i="10"/>
  <c r="Z268" i="10"/>
  <c r="Z267" i="10"/>
  <c r="Z266" i="10"/>
  <c r="Z265" i="10"/>
  <c r="Z264" i="10"/>
  <c r="Z263" i="10"/>
  <c r="Z262" i="10"/>
  <c r="Z261" i="10"/>
  <c r="Z260" i="10"/>
  <c r="Z259" i="10"/>
  <c r="Z258" i="10"/>
  <c r="Z257" i="10"/>
  <c r="Z256" i="10"/>
  <c r="Z255" i="10"/>
  <c r="Z254" i="10"/>
  <c r="Z253" i="10"/>
  <c r="Z252" i="10"/>
  <c r="Z251" i="10"/>
  <c r="Z250" i="10"/>
  <c r="Z249" i="10"/>
  <c r="Z248" i="10"/>
  <c r="Z247" i="10"/>
  <c r="Z246" i="10"/>
  <c r="Z245" i="10"/>
  <c r="Z244" i="10"/>
  <c r="Z243" i="10"/>
  <c r="Z242" i="10"/>
  <c r="Z241" i="10"/>
  <c r="Z240" i="10"/>
  <c r="Z239" i="10"/>
  <c r="Z238" i="10"/>
  <c r="Z237" i="10"/>
  <c r="Z236" i="10"/>
  <c r="Z235" i="10"/>
  <c r="Z234" i="10"/>
  <c r="Z233" i="10"/>
  <c r="Z232" i="10"/>
  <c r="Z231" i="10"/>
  <c r="Z230" i="10"/>
  <c r="Z229" i="10"/>
  <c r="Z228" i="10"/>
  <c r="Z227" i="10"/>
  <c r="Z226" i="10"/>
  <c r="Z225" i="10"/>
  <c r="Z224" i="10"/>
  <c r="Z223" i="10"/>
  <c r="Z222" i="10"/>
  <c r="Z221" i="10"/>
  <c r="Z220" i="10"/>
  <c r="Z219" i="10"/>
  <c r="Z218" i="10"/>
  <c r="Z217" i="10"/>
  <c r="Z216" i="10"/>
  <c r="Z215" i="10"/>
  <c r="Z214" i="10"/>
  <c r="Z213" i="10"/>
  <c r="Z212" i="10"/>
  <c r="Z211" i="10"/>
  <c r="Z210" i="10"/>
  <c r="Z209" i="10"/>
  <c r="Z208" i="10"/>
  <c r="Z207" i="10"/>
  <c r="Z206" i="10"/>
  <c r="Z205" i="10"/>
  <c r="Z204" i="10"/>
  <c r="Z203" i="10"/>
  <c r="Z202" i="10"/>
  <c r="Z201" i="10"/>
  <c r="Z200" i="10"/>
  <c r="Z199" i="10"/>
  <c r="Z198" i="10"/>
  <c r="Z197" i="10"/>
  <c r="Z196" i="10"/>
  <c r="Z195" i="10"/>
  <c r="Z194" i="10"/>
  <c r="Z193" i="10"/>
  <c r="Z192" i="10"/>
  <c r="Z191" i="10"/>
  <c r="Z190" i="10"/>
  <c r="Z189" i="10"/>
  <c r="Z188" i="10"/>
  <c r="Z187" i="10"/>
  <c r="Z186" i="10"/>
  <c r="Z185" i="10"/>
  <c r="Z184" i="10"/>
  <c r="Z183" i="10"/>
  <c r="Z182" i="10"/>
  <c r="Z181" i="10"/>
  <c r="Z180" i="10"/>
  <c r="Z179" i="10"/>
  <c r="Z178" i="10"/>
  <c r="Z177" i="10"/>
  <c r="Z176" i="10"/>
  <c r="Z175" i="10"/>
  <c r="Z174" i="10"/>
  <c r="Z173" i="10"/>
  <c r="Z172" i="10"/>
  <c r="Z171" i="10"/>
  <c r="Z170" i="10"/>
  <c r="Z169" i="10"/>
  <c r="Z168" i="10"/>
  <c r="Z167" i="10"/>
  <c r="Z166" i="10"/>
  <c r="Z165" i="10"/>
  <c r="Z164" i="10"/>
  <c r="Z163" i="10"/>
  <c r="Z162" i="10"/>
  <c r="Z161" i="10"/>
  <c r="Z160" i="10"/>
  <c r="Z159" i="10"/>
  <c r="Z158" i="10"/>
  <c r="Z157" i="10"/>
  <c r="Z156" i="10"/>
  <c r="Z155" i="10"/>
  <c r="Z154" i="10"/>
  <c r="Z153" i="10"/>
  <c r="Z152" i="10"/>
  <c r="Z151" i="10"/>
  <c r="Z150" i="10"/>
  <c r="Z149" i="10"/>
  <c r="Z148" i="10"/>
  <c r="Z147" i="10"/>
  <c r="Z146" i="10"/>
  <c r="Z145" i="10"/>
  <c r="Z144" i="10"/>
  <c r="Z143" i="10"/>
  <c r="Z142" i="10"/>
  <c r="Z141" i="10"/>
  <c r="Z140" i="10"/>
  <c r="Z139" i="10"/>
  <c r="Z138" i="10"/>
  <c r="Z137" i="10"/>
  <c r="Z136" i="10"/>
  <c r="Z135" i="10"/>
  <c r="Z134" i="10"/>
  <c r="Z133" i="10"/>
  <c r="Z132" i="10"/>
  <c r="Z131" i="10"/>
  <c r="Z130" i="10"/>
  <c r="Z129" i="10"/>
  <c r="Z128" i="10"/>
  <c r="Z127" i="10"/>
  <c r="Z126" i="10"/>
  <c r="Z125" i="10"/>
  <c r="Z124" i="10"/>
  <c r="Z123" i="10"/>
  <c r="Z122" i="10"/>
  <c r="Z121" i="10"/>
  <c r="Z120" i="10"/>
  <c r="Z119" i="10"/>
  <c r="Z118" i="10"/>
  <c r="Z117" i="10"/>
  <c r="Z116" i="10"/>
  <c r="Z115" i="10"/>
  <c r="Z114" i="10"/>
  <c r="Z113" i="10"/>
  <c r="Z112" i="10"/>
  <c r="Z111" i="10"/>
  <c r="Z110" i="10"/>
  <c r="Z109" i="10"/>
  <c r="Z108" i="10"/>
  <c r="Z107" i="10"/>
  <c r="Z106" i="10"/>
  <c r="Z105" i="10"/>
  <c r="Z104" i="10"/>
  <c r="Z103" i="10"/>
  <c r="Z102" i="10"/>
  <c r="Z101" i="10"/>
  <c r="Z100" i="10"/>
  <c r="Z99" i="10"/>
  <c r="Z98" i="10"/>
  <c r="Z97" i="10"/>
  <c r="Z96" i="10"/>
  <c r="Z95" i="10"/>
  <c r="Z94" i="10"/>
  <c r="Z93" i="10"/>
  <c r="Z92" i="10"/>
  <c r="Z91" i="10"/>
  <c r="Z90" i="10"/>
  <c r="Z89" i="10"/>
  <c r="Z88" i="10"/>
  <c r="Z87" i="10"/>
  <c r="Z86" i="10"/>
  <c r="Z85" i="10"/>
  <c r="Z84" i="10"/>
  <c r="Z83" i="10"/>
  <c r="Z82" i="10"/>
  <c r="Z81" i="10"/>
  <c r="Z80" i="10"/>
  <c r="Z79" i="10"/>
  <c r="Z78" i="10"/>
  <c r="Z77" i="10"/>
  <c r="Z76" i="10"/>
  <c r="Z75" i="10"/>
  <c r="Z74" i="10"/>
  <c r="Z73" i="10"/>
  <c r="Z72" i="10"/>
  <c r="Z71" i="10"/>
  <c r="Z70" i="10"/>
  <c r="Z69" i="10"/>
  <c r="Z68" i="10"/>
  <c r="Z67" i="10"/>
  <c r="Z66" i="10"/>
  <c r="Z65" i="10"/>
  <c r="Z64" i="10"/>
  <c r="Z63" i="10"/>
  <c r="Z62" i="10"/>
  <c r="Z61" i="10"/>
  <c r="Z60" i="10"/>
  <c r="Z59" i="10"/>
  <c r="Z58" i="10"/>
  <c r="Z57" i="10"/>
  <c r="Z56" i="10"/>
  <c r="Z55" i="10"/>
  <c r="Z54" i="10"/>
  <c r="Z53" i="10"/>
  <c r="Z52" i="10"/>
  <c r="Z51" i="10"/>
  <c r="Z50" i="10"/>
  <c r="Z49" i="10"/>
  <c r="Z48" i="10"/>
  <c r="Z47" i="10"/>
  <c r="Z46" i="10"/>
  <c r="Z45" i="10"/>
  <c r="Z44" i="10"/>
  <c r="Z43" i="10"/>
  <c r="Z42" i="10"/>
  <c r="Z41" i="10"/>
  <c r="Z40" i="10"/>
  <c r="Z39" i="10"/>
  <c r="Z38" i="10"/>
  <c r="Z37" i="10"/>
  <c r="Z36" i="10"/>
  <c r="Z35" i="10"/>
  <c r="Z34" i="10"/>
  <c r="Z33" i="10"/>
  <c r="Z32" i="10"/>
  <c r="Z31" i="10"/>
  <c r="Z30" i="10"/>
  <c r="Z29" i="10"/>
  <c r="Z28" i="10"/>
  <c r="Z27" i="10"/>
  <c r="Z26" i="10"/>
  <c r="Z25" i="10"/>
  <c r="Z24" i="10"/>
  <c r="Z23" i="10"/>
  <c r="Z22" i="10"/>
  <c r="Z21" i="10"/>
  <c r="Z20" i="10"/>
  <c r="Z19" i="10"/>
  <c r="Z18" i="10"/>
  <c r="Z17" i="10"/>
  <c r="Z16" i="10"/>
  <c r="Z15" i="10"/>
  <c r="Z14" i="10"/>
  <c r="Z13" i="10"/>
  <c r="Z12" i="10"/>
  <c r="Z11" i="10"/>
  <c r="Z10" i="10"/>
  <c r="Z9" i="10"/>
  <c r="Z8" i="10"/>
  <c r="Z7" i="10"/>
  <c r="Z6" i="10"/>
  <c r="X2855" i="10"/>
  <c r="X2854" i="10"/>
  <c r="X2853" i="10"/>
  <c r="X2852" i="10"/>
  <c r="X2851" i="10"/>
  <c r="X2850" i="10"/>
  <c r="X2849" i="10"/>
  <c r="X2848" i="10"/>
  <c r="X2847" i="10"/>
  <c r="X2846" i="10"/>
  <c r="X2845" i="10"/>
  <c r="X2844" i="10"/>
  <c r="X2843" i="10"/>
  <c r="X2842" i="10"/>
  <c r="X2841" i="10"/>
  <c r="X2840" i="10"/>
  <c r="X2839" i="10"/>
  <c r="X2838" i="10"/>
  <c r="X2837" i="10"/>
  <c r="X2836" i="10"/>
  <c r="X2835" i="10"/>
  <c r="X2834" i="10"/>
  <c r="X2833" i="10"/>
  <c r="X2832" i="10"/>
  <c r="X2831" i="10"/>
  <c r="X2830" i="10"/>
  <c r="X2829" i="10"/>
  <c r="X2828" i="10"/>
  <c r="X2827" i="10"/>
  <c r="X2826" i="10"/>
  <c r="X2825" i="10"/>
  <c r="X2824" i="10"/>
  <c r="X2823" i="10"/>
  <c r="X2822" i="10"/>
  <c r="X2821" i="10"/>
  <c r="X2820" i="10"/>
  <c r="X2819" i="10"/>
  <c r="X2818" i="10"/>
  <c r="X2817" i="10"/>
  <c r="X2816" i="10"/>
  <c r="X2815" i="10"/>
  <c r="X2814" i="10"/>
  <c r="X2813" i="10"/>
  <c r="X2812" i="10"/>
  <c r="X2811" i="10"/>
  <c r="X2810" i="10"/>
  <c r="X2809" i="10"/>
  <c r="X2808" i="10"/>
  <c r="X2807" i="10"/>
  <c r="X2806" i="10"/>
  <c r="X2805" i="10"/>
  <c r="X2804" i="10"/>
  <c r="X2803" i="10"/>
  <c r="X2802" i="10"/>
  <c r="X2801" i="10"/>
  <c r="X2800" i="10"/>
  <c r="X2799" i="10"/>
  <c r="X2798" i="10"/>
  <c r="X2797" i="10"/>
  <c r="X2796" i="10"/>
  <c r="X2795" i="10"/>
  <c r="X2794" i="10"/>
  <c r="X2793" i="10"/>
  <c r="X2792" i="10"/>
  <c r="X2791" i="10"/>
  <c r="X2790" i="10"/>
  <c r="X2789" i="10"/>
  <c r="X2788" i="10"/>
  <c r="X2787" i="10"/>
  <c r="X2786" i="10"/>
  <c r="X2785" i="10"/>
  <c r="X2784" i="10"/>
  <c r="X2783" i="10"/>
  <c r="X2782" i="10"/>
  <c r="X2781" i="10"/>
  <c r="X2780" i="10"/>
  <c r="X2779" i="10"/>
  <c r="X2778" i="10"/>
  <c r="X2777" i="10"/>
  <c r="X2776" i="10"/>
  <c r="X2775" i="10"/>
  <c r="X2774" i="10"/>
  <c r="X2773" i="10"/>
  <c r="X2772" i="10"/>
  <c r="X2771" i="10"/>
  <c r="X2770" i="10"/>
  <c r="X2769" i="10"/>
  <c r="X2768" i="10"/>
  <c r="X2767" i="10"/>
  <c r="X2766" i="10"/>
  <c r="X2765" i="10"/>
  <c r="X2764" i="10"/>
  <c r="X2763" i="10"/>
  <c r="X2762" i="10"/>
  <c r="X2761" i="10"/>
  <c r="X2760" i="10"/>
  <c r="X2759" i="10"/>
  <c r="X2758" i="10"/>
  <c r="X2757" i="10"/>
  <c r="X2756" i="10"/>
  <c r="X2755" i="10"/>
  <c r="X2754" i="10"/>
  <c r="X2753" i="10"/>
  <c r="X2752" i="10"/>
  <c r="X2751" i="10"/>
  <c r="X2750" i="10"/>
  <c r="X2749" i="10"/>
  <c r="X2748" i="10"/>
  <c r="X2747" i="10"/>
  <c r="X2746" i="10"/>
  <c r="X2745" i="10"/>
  <c r="X2744" i="10"/>
  <c r="X2743" i="10"/>
  <c r="X2742" i="10"/>
  <c r="X2741" i="10"/>
  <c r="X2740" i="10"/>
  <c r="X2739" i="10"/>
  <c r="X2738" i="10"/>
  <c r="X2737" i="10"/>
  <c r="X2736" i="10"/>
  <c r="X2735" i="10"/>
  <c r="X2734" i="10"/>
  <c r="X2733" i="10"/>
  <c r="X2732" i="10"/>
  <c r="X2731" i="10"/>
  <c r="X2730" i="10"/>
  <c r="X2729" i="10"/>
  <c r="X2728" i="10"/>
  <c r="X2727" i="10"/>
  <c r="X2726" i="10"/>
  <c r="X2725" i="10"/>
  <c r="X2724" i="10"/>
  <c r="X2723" i="10"/>
  <c r="X2722" i="10"/>
  <c r="X2721" i="10"/>
  <c r="X2720" i="10"/>
  <c r="X2719" i="10"/>
  <c r="X2718" i="10"/>
  <c r="X2717" i="10"/>
  <c r="X2716" i="10"/>
  <c r="X2715" i="10"/>
  <c r="X2714" i="10"/>
  <c r="X2713" i="10"/>
  <c r="X2712" i="10"/>
  <c r="X2711" i="10"/>
  <c r="X2710" i="10"/>
  <c r="X2709" i="10"/>
  <c r="X2708" i="10"/>
  <c r="X2707" i="10"/>
  <c r="X2706" i="10"/>
  <c r="X2705" i="10"/>
  <c r="X2704" i="10"/>
  <c r="X2703" i="10"/>
  <c r="X2702" i="10"/>
  <c r="X2701" i="10"/>
  <c r="X2700" i="10"/>
  <c r="X2699" i="10"/>
  <c r="X2698" i="10"/>
  <c r="X2697" i="10"/>
  <c r="X2696" i="10"/>
  <c r="X2695" i="10"/>
  <c r="X2694" i="10"/>
  <c r="X2693" i="10"/>
  <c r="X2692" i="10"/>
  <c r="X2691" i="10"/>
  <c r="X2690" i="10"/>
  <c r="X2689" i="10"/>
  <c r="X2688" i="10"/>
  <c r="X2687" i="10"/>
  <c r="X2686" i="10"/>
  <c r="X2685" i="10"/>
  <c r="X2684" i="10"/>
  <c r="X2683" i="10"/>
  <c r="X2682" i="10"/>
  <c r="X2681" i="10"/>
  <c r="X2680" i="10"/>
  <c r="X2679" i="10"/>
  <c r="X2678" i="10"/>
  <c r="X2677" i="10"/>
  <c r="X2676" i="10"/>
  <c r="X2675" i="10"/>
  <c r="X2674" i="10"/>
  <c r="X2673" i="10"/>
  <c r="X2672" i="10"/>
  <c r="X2671" i="10"/>
  <c r="X2670" i="10"/>
  <c r="X2669" i="10"/>
  <c r="X2668" i="10"/>
  <c r="X2667" i="10"/>
  <c r="X2666" i="10"/>
  <c r="X2665" i="10"/>
  <c r="X2664" i="10"/>
  <c r="X2663" i="10"/>
  <c r="X2662" i="10"/>
  <c r="X2661" i="10"/>
  <c r="X2660" i="10"/>
  <c r="X2659" i="10"/>
  <c r="X2658" i="10"/>
  <c r="X2657" i="10"/>
  <c r="X2656" i="10"/>
  <c r="X2655" i="10"/>
  <c r="X2654" i="10"/>
  <c r="X2653" i="10"/>
  <c r="X2652" i="10"/>
  <c r="X2651" i="10"/>
  <c r="X2650" i="10"/>
  <c r="X2649" i="10"/>
  <c r="X2648" i="10"/>
  <c r="X2647" i="10"/>
  <c r="X2646" i="10"/>
  <c r="X2645" i="10"/>
  <c r="X2644" i="10"/>
  <c r="X2643" i="10"/>
  <c r="X2642" i="10"/>
  <c r="X2641" i="10"/>
  <c r="X2640" i="10"/>
  <c r="X2639" i="10"/>
  <c r="X2638" i="10"/>
  <c r="X2637" i="10"/>
  <c r="X2636" i="10"/>
  <c r="X2635" i="10"/>
  <c r="X2634" i="10"/>
  <c r="X2633" i="10"/>
  <c r="X2632" i="10"/>
  <c r="X2631" i="10"/>
  <c r="X2630" i="10"/>
  <c r="X2629" i="10"/>
  <c r="X2628" i="10"/>
  <c r="X2627" i="10"/>
  <c r="X2626" i="10"/>
  <c r="X2625" i="10"/>
  <c r="X2624" i="10"/>
  <c r="X2623" i="10"/>
  <c r="X2622" i="10"/>
  <c r="X2621" i="10"/>
  <c r="X2620" i="10"/>
  <c r="X2619" i="10"/>
  <c r="X2618" i="10"/>
  <c r="X2617" i="10"/>
  <c r="X2616" i="10"/>
  <c r="X2615" i="10"/>
  <c r="X2614" i="10"/>
  <c r="X2613" i="10"/>
  <c r="X2612" i="10"/>
  <c r="X2611" i="10"/>
  <c r="X2610" i="10"/>
  <c r="X2609" i="10"/>
  <c r="X2608" i="10"/>
  <c r="X2607" i="10"/>
  <c r="X2606" i="10"/>
  <c r="X2605" i="10"/>
  <c r="X2604" i="10"/>
  <c r="X2603" i="10"/>
  <c r="X2602" i="10"/>
  <c r="X2601" i="10"/>
  <c r="X2600" i="10"/>
  <c r="X2599" i="10"/>
  <c r="X2598" i="10"/>
  <c r="X2597" i="10"/>
  <c r="X2596" i="10"/>
  <c r="X2595" i="10"/>
  <c r="X2594" i="10"/>
  <c r="X2593" i="10"/>
  <c r="X2592" i="10"/>
  <c r="X2591" i="10"/>
  <c r="X2590" i="10"/>
  <c r="X2589" i="10"/>
  <c r="X2588" i="10"/>
  <c r="X2587" i="10"/>
  <c r="X2586" i="10"/>
  <c r="X2585" i="10"/>
  <c r="X2584" i="10"/>
  <c r="X2583" i="10"/>
  <c r="X2582" i="10"/>
  <c r="X2581" i="10"/>
  <c r="X2580" i="10"/>
  <c r="X2579" i="10"/>
  <c r="X2578" i="10"/>
  <c r="X2577" i="10"/>
  <c r="X2576" i="10"/>
  <c r="X2575" i="10"/>
  <c r="X2574" i="10"/>
  <c r="X2573" i="10"/>
  <c r="X2572" i="10"/>
  <c r="X2571" i="10"/>
  <c r="X2570" i="10"/>
  <c r="X2569" i="10"/>
  <c r="X2568" i="10"/>
  <c r="X2567" i="10"/>
  <c r="X2566" i="10"/>
  <c r="X2565" i="10"/>
  <c r="X2564" i="10"/>
  <c r="X2563" i="10"/>
  <c r="X2562" i="10"/>
  <c r="X2561" i="10"/>
  <c r="X2560" i="10"/>
  <c r="X2559" i="10"/>
  <c r="X2558" i="10"/>
  <c r="X2557" i="10"/>
  <c r="X2556" i="10"/>
  <c r="X2555" i="10"/>
  <c r="X2554" i="10"/>
  <c r="X2553" i="10"/>
  <c r="X2552" i="10"/>
  <c r="X2551" i="10"/>
  <c r="X2550" i="10"/>
  <c r="X2549" i="10"/>
  <c r="X2548" i="10"/>
  <c r="X2547" i="10"/>
  <c r="X2546" i="10"/>
  <c r="X2545" i="10"/>
  <c r="X2544" i="10"/>
  <c r="X2543" i="10"/>
  <c r="X2542" i="10"/>
  <c r="X2541" i="10"/>
  <c r="X2540" i="10"/>
  <c r="X2539" i="10"/>
  <c r="X2538" i="10"/>
  <c r="X2537" i="10"/>
  <c r="X2536" i="10"/>
  <c r="X2535" i="10"/>
  <c r="X2534" i="10"/>
  <c r="X2533" i="10"/>
  <c r="X2532" i="10"/>
  <c r="X2531" i="10"/>
  <c r="X2530" i="10"/>
  <c r="X2529" i="10"/>
  <c r="X2528" i="10"/>
  <c r="X2527" i="10"/>
  <c r="X2526" i="10"/>
  <c r="X2525" i="10"/>
  <c r="X2524" i="10"/>
  <c r="X2523" i="10"/>
  <c r="X2522" i="10"/>
  <c r="X2521" i="10"/>
  <c r="X2520" i="10"/>
  <c r="X2519" i="10"/>
  <c r="X2518" i="10"/>
  <c r="X2517" i="10"/>
  <c r="X2516" i="10"/>
  <c r="X2515" i="10"/>
  <c r="X2514" i="10"/>
  <c r="X2513" i="10"/>
  <c r="X2512" i="10"/>
  <c r="X2511" i="10"/>
  <c r="X2510" i="10"/>
  <c r="X2509" i="10"/>
  <c r="X2508" i="10"/>
  <c r="X2507" i="10"/>
  <c r="X2506" i="10"/>
  <c r="X2505" i="10"/>
  <c r="X2504" i="10"/>
  <c r="X2503" i="10"/>
  <c r="X2502" i="10"/>
  <c r="X2501" i="10"/>
  <c r="X2500" i="10"/>
  <c r="X2499" i="10"/>
  <c r="X2498" i="10"/>
  <c r="X2497" i="10"/>
  <c r="X2496" i="10"/>
  <c r="X2495" i="10"/>
  <c r="X2494" i="10"/>
  <c r="X2493" i="10"/>
  <c r="X2492" i="10"/>
  <c r="X2491" i="10"/>
  <c r="X2490" i="10"/>
  <c r="X2489" i="10"/>
  <c r="X2488" i="10"/>
  <c r="X2487" i="10"/>
  <c r="X2486" i="10"/>
  <c r="X2485" i="10"/>
  <c r="X2484" i="10"/>
  <c r="X2483" i="10"/>
  <c r="X2482" i="10"/>
  <c r="X2481" i="10"/>
  <c r="X2480" i="10"/>
  <c r="X2479" i="10"/>
  <c r="X2478" i="10"/>
  <c r="X2477" i="10"/>
  <c r="X2476" i="10"/>
  <c r="X2475" i="10"/>
  <c r="X2474" i="10"/>
  <c r="X2473" i="10"/>
  <c r="X2472" i="10"/>
  <c r="X2471" i="10"/>
  <c r="X2470" i="10"/>
  <c r="X2469" i="10"/>
  <c r="X2468" i="10"/>
  <c r="X2467" i="10"/>
  <c r="X2466" i="10"/>
  <c r="X2465" i="10"/>
  <c r="X2464" i="10"/>
  <c r="X2463" i="10"/>
  <c r="X2462" i="10"/>
  <c r="X2461" i="10"/>
  <c r="X2460" i="10"/>
  <c r="X2459" i="10"/>
  <c r="X2458" i="10"/>
  <c r="X2457" i="10"/>
  <c r="X2456" i="10"/>
  <c r="X2455" i="10"/>
  <c r="X2454" i="10"/>
  <c r="X2453" i="10"/>
  <c r="X2452" i="10"/>
  <c r="X2451" i="10"/>
  <c r="X2450" i="10"/>
  <c r="X2449" i="10"/>
  <c r="X2448" i="10"/>
  <c r="X2447" i="10"/>
  <c r="X2446" i="10"/>
  <c r="X2445" i="10"/>
  <c r="X2444" i="10"/>
  <c r="X2443" i="10"/>
  <c r="X2442" i="10"/>
  <c r="X2441" i="10"/>
  <c r="X2440" i="10"/>
  <c r="X2439" i="10"/>
  <c r="X2438" i="10"/>
  <c r="X2437" i="10"/>
  <c r="X2436" i="10"/>
  <c r="X2435" i="10"/>
  <c r="X2434" i="10"/>
  <c r="X2433" i="10"/>
  <c r="X2432" i="10"/>
  <c r="X2431" i="10"/>
  <c r="X2430" i="10"/>
  <c r="X2429" i="10"/>
  <c r="X2428" i="10"/>
  <c r="X2427" i="10"/>
  <c r="X2426" i="10"/>
  <c r="X2425" i="10"/>
  <c r="X2424" i="10"/>
  <c r="X2423" i="10"/>
  <c r="X2422" i="10"/>
  <c r="X2421" i="10"/>
  <c r="X2420" i="10"/>
  <c r="X2419" i="10"/>
  <c r="X2418" i="10"/>
  <c r="X2417" i="10"/>
  <c r="X2416" i="10"/>
  <c r="X2415" i="10"/>
  <c r="X2414" i="10"/>
  <c r="X2413" i="10"/>
  <c r="X2412" i="10"/>
  <c r="X2411" i="10"/>
  <c r="X2410" i="10"/>
  <c r="X2409" i="10"/>
  <c r="X2408" i="10"/>
  <c r="X2407" i="10"/>
  <c r="X2406" i="10"/>
  <c r="X2405" i="10"/>
  <c r="X2404" i="10"/>
  <c r="X2403" i="10"/>
  <c r="X2402" i="10"/>
  <c r="X2401" i="10"/>
  <c r="X2400" i="10"/>
  <c r="X2399" i="10"/>
  <c r="X2398" i="10"/>
  <c r="X2397" i="10"/>
  <c r="X2396" i="10"/>
  <c r="X2395" i="10"/>
  <c r="X2394" i="10"/>
  <c r="X2393" i="10"/>
  <c r="X2392" i="10"/>
  <c r="X2391" i="10"/>
  <c r="X2390" i="10"/>
  <c r="X2389" i="10"/>
  <c r="X2388" i="10"/>
  <c r="X2387" i="10"/>
  <c r="X2386" i="10"/>
  <c r="X2385" i="10"/>
  <c r="X2384" i="10"/>
  <c r="X2383" i="10"/>
  <c r="X2382" i="10"/>
  <c r="X2381" i="10"/>
  <c r="X2380" i="10"/>
  <c r="X2379" i="10"/>
  <c r="X2378" i="10"/>
  <c r="X2377" i="10"/>
  <c r="X2376" i="10"/>
  <c r="X2375" i="10"/>
  <c r="X2374" i="10"/>
  <c r="X2373" i="10"/>
  <c r="X2372" i="10"/>
  <c r="X2371" i="10"/>
  <c r="X2370" i="10"/>
  <c r="X2369" i="10"/>
  <c r="X2368" i="10"/>
  <c r="X2367" i="10"/>
  <c r="X2366" i="10"/>
  <c r="X2365" i="10"/>
  <c r="X2364" i="10"/>
  <c r="X2363" i="10"/>
  <c r="X2362" i="10"/>
  <c r="X2361" i="10"/>
  <c r="X2360" i="10"/>
  <c r="X2359" i="10"/>
  <c r="X2358" i="10"/>
  <c r="X2357" i="10"/>
  <c r="X2356" i="10"/>
  <c r="X2355" i="10"/>
  <c r="X2354" i="10"/>
  <c r="X2353" i="10"/>
  <c r="X2352" i="10"/>
  <c r="X2351" i="10"/>
  <c r="X2350" i="10"/>
  <c r="X2349" i="10"/>
  <c r="X2348" i="10"/>
  <c r="X2347" i="10"/>
  <c r="X2346" i="10"/>
  <c r="X2345" i="10"/>
  <c r="X2344" i="10"/>
  <c r="X2343" i="10"/>
  <c r="X2342" i="10"/>
  <c r="X2341" i="10"/>
  <c r="X2340" i="10"/>
  <c r="X2339" i="10"/>
  <c r="X2338" i="10"/>
  <c r="X2337" i="10"/>
  <c r="X2336" i="10"/>
  <c r="X2335" i="10"/>
  <c r="X2334" i="10"/>
  <c r="X2333" i="10"/>
  <c r="X2332" i="10"/>
  <c r="X2331" i="10"/>
  <c r="X2330" i="10"/>
  <c r="X2329" i="10"/>
  <c r="X2328" i="10"/>
  <c r="X2327" i="10"/>
  <c r="X2326" i="10"/>
  <c r="X2325" i="10"/>
  <c r="X2324" i="10"/>
  <c r="X2323" i="10"/>
  <c r="X2322" i="10"/>
  <c r="X2321" i="10"/>
  <c r="X2320" i="10"/>
  <c r="X2319" i="10"/>
  <c r="X2318" i="10"/>
  <c r="X2317" i="10"/>
  <c r="X2316" i="10"/>
  <c r="X2315" i="10"/>
  <c r="X2314" i="10"/>
  <c r="X2313" i="10"/>
  <c r="X2312" i="10"/>
  <c r="X2311" i="10"/>
  <c r="X2310" i="10"/>
  <c r="X2309" i="10"/>
  <c r="X2308" i="10"/>
  <c r="X2307" i="10"/>
  <c r="X2306" i="10"/>
  <c r="X2305" i="10"/>
  <c r="X2304" i="10"/>
  <c r="X2303" i="10"/>
  <c r="X2302" i="10"/>
  <c r="X2301" i="10"/>
  <c r="X2300" i="10"/>
  <c r="X2299" i="10"/>
  <c r="X2298" i="10"/>
  <c r="X2297" i="10"/>
  <c r="X2296" i="10"/>
  <c r="X2295" i="10"/>
  <c r="X2294" i="10"/>
  <c r="X2293" i="10"/>
  <c r="X2292" i="10"/>
  <c r="X2291" i="10"/>
  <c r="X2290" i="10"/>
  <c r="X2289" i="10"/>
  <c r="X2288" i="10"/>
  <c r="X2287" i="10"/>
  <c r="X2286" i="10"/>
  <c r="X2285" i="10"/>
  <c r="X2284" i="10"/>
  <c r="X2283" i="10"/>
  <c r="X2282" i="10"/>
  <c r="X2281" i="10"/>
  <c r="X2280" i="10"/>
  <c r="X2279" i="10"/>
  <c r="X2278" i="10"/>
  <c r="X2277" i="10"/>
  <c r="X2276" i="10"/>
  <c r="X2275" i="10"/>
  <c r="X2274" i="10"/>
  <c r="X2273" i="10"/>
  <c r="X2272" i="10"/>
  <c r="X2271" i="10"/>
  <c r="X2270" i="10"/>
  <c r="X2269" i="10"/>
  <c r="X2268" i="10"/>
  <c r="X2267" i="10"/>
  <c r="X2266" i="10"/>
  <c r="X2265" i="10"/>
  <c r="X2264" i="10"/>
  <c r="X2263" i="10"/>
  <c r="X2262" i="10"/>
  <c r="X2261" i="10"/>
  <c r="X2260" i="10"/>
  <c r="X2259" i="10"/>
  <c r="X2258" i="10"/>
  <c r="X2257" i="10"/>
  <c r="X2256" i="10"/>
  <c r="X2255" i="10"/>
  <c r="X2254" i="10"/>
  <c r="X2253" i="10"/>
  <c r="X2252" i="10"/>
  <c r="X2251" i="10"/>
  <c r="X2250" i="10"/>
  <c r="X2249" i="10"/>
  <c r="X2248" i="10"/>
  <c r="X2247" i="10"/>
  <c r="X2246" i="10"/>
  <c r="X2245" i="10"/>
  <c r="X2244" i="10"/>
  <c r="X2243" i="10"/>
  <c r="X2242" i="10"/>
  <c r="X2241" i="10"/>
  <c r="X2240" i="10"/>
  <c r="X2239" i="10"/>
  <c r="X2238" i="10"/>
  <c r="X2237" i="10"/>
  <c r="X2236" i="10"/>
  <c r="X2235" i="10"/>
  <c r="X2234" i="10"/>
  <c r="X2233" i="10"/>
  <c r="X2232" i="10"/>
  <c r="X2231" i="10"/>
  <c r="X2230" i="10"/>
  <c r="X2229" i="10"/>
  <c r="X2228" i="10"/>
  <c r="X2227" i="10"/>
  <c r="X2226" i="10"/>
  <c r="X2225" i="10"/>
  <c r="X2224" i="10"/>
  <c r="X2223" i="10"/>
  <c r="X2222" i="10"/>
  <c r="X2221" i="10"/>
  <c r="X2220" i="10"/>
  <c r="X2219" i="10"/>
  <c r="X2218" i="10"/>
  <c r="X2217" i="10"/>
  <c r="X2216" i="10"/>
  <c r="X2215" i="10"/>
  <c r="X2214" i="10"/>
  <c r="X2213" i="10"/>
  <c r="X2212" i="10"/>
  <c r="X2211" i="10"/>
  <c r="X2210" i="10"/>
  <c r="X2209" i="10"/>
  <c r="X2208" i="10"/>
  <c r="X2207" i="10"/>
  <c r="X2206" i="10"/>
  <c r="X2205" i="10"/>
  <c r="X2204" i="10"/>
  <c r="X2203" i="10"/>
  <c r="X2202" i="10"/>
  <c r="X2201" i="10"/>
  <c r="X2200" i="10"/>
  <c r="X2199" i="10"/>
  <c r="X2198" i="10"/>
  <c r="X2197" i="10"/>
  <c r="X2196" i="10"/>
  <c r="X2195" i="10"/>
  <c r="X2194" i="10"/>
  <c r="X2193" i="10"/>
  <c r="X2192" i="10"/>
  <c r="X2191" i="10"/>
  <c r="X2190" i="10"/>
  <c r="X2189" i="10"/>
  <c r="X2188" i="10"/>
  <c r="X2187" i="10"/>
  <c r="X2186" i="10"/>
  <c r="X2185" i="10"/>
  <c r="X2184" i="10"/>
  <c r="X2183" i="10"/>
  <c r="X2182" i="10"/>
  <c r="X2181" i="10"/>
  <c r="X2180" i="10"/>
  <c r="X2179" i="10"/>
  <c r="X2178" i="10"/>
  <c r="X2177" i="10"/>
  <c r="X2176" i="10"/>
  <c r="X2175" i="10"/>
  <c r="X2174" i="10"/>
  <c r="X2173" i="10"/>
  <c r="X2172" i="10"/>
  <c r="X2171" i="10"/>
  <c r="X2170" i="10"/>
  <c r="X2169" i="10"/>
  <c r="X2168" i="10"/>
  <c r="X2167" i="10"/>
  <c r="X2166" i="10"/>
  <c r="X2165" i="10"/>
  <c r="X2164" i="10"/>
  <c r="X2163" i="10"/>
  <c r="X2162" i="10"/>
  <c r="X2161" i="10"/>
  <c r="X2160" i="10"/>
  <c r="X2159" i="10"/>
  <c r="X2158" i="10"/>
  <c r="X2157" i="10"/>
  <c r="X2156" i="10"/>
  <c r="X2155" i="10"/>
  <c r="X2154" i="10"/>
  <c r="X2153" i="10"/>
  <c r="X2152" i="10"/>
  <c r="X2151" i="10"/>
  <c r="X2150" i="10"/>
  <c r="X2149" i="10"/>
  <c r="X2148" i="10"/>
  <c r="X2147" i="10"/>
  <c r="X2146" i="10"/>
  <c r="X2145" i="10"/>
  <c r="X2144" i="10"/>
  <c r="X2143" i="10"/>
  <c r="X2142" i="10"/>
  <c r="X2141" i="10"/>
  <c r="X2140" i="10"/>
  <c r="X2139" i="10"/>
  <c r="X2138" i="10"/>
  <c r="X2137" i="10"/>
  <c r="X2136" i="10"/>
  <c r="X2135" i="10"/>
  <c r="X2134" i="10"/>
  <c r="X2133" i="10"/>
  <c r="X2132" i="10"/>
  <c r="X2131" i="10"/>
  <c r="X2130" i="10"/>
  <c r="X2129" i="10"/>
  <c r="X2128" i="10"/>
  <c r="X2127" i="10"/>
  <c r="X2126" i="10"/>
  <c r="X2125" i="10"/>
  <c r="X2124" i="10"/>
  <c r="X2123" i="10"/>
  <c r="X2122" i="10"/>
  <c r="X2121" i="10"/>
  <c r="X2120" i="10"/>
  <c r="X2119" i="10"/>
  <c r="X2118" i="10"/>
  <c r="X2117" i="10"/>
  <c r="X2116" i="10"/>
  <c r="X2115" i="10"/>
  <c r="X2114" i="10"/>
  <c r="X2113" i="10"/>
  <c r="X2112" i="10"/>
  <c r="X2111" i="10"/>
  <c r="X2110" i="10"/>
  <c r="X2109" i="10"/>
  <c r="X2108" i="10"/>
  <c r="X2107" i="10"/>
  <c r="X2106" i="10"/>
  <c r="X2105" i="10"/>
  <c r="X2104" i="10"/>
  <c r="X2103" i="10"/>
  <c r="X2102" i="10"/>
  <c r="X2101" i="10"/>
  <c r="X2100" i="10"/>
  <c r="X2099" i="10"/>
  <c r="X2098" i="10"/>
  <c r="X2097" i="10"/>
  <c r="X2096" i="10"/>
  <c r="X2095" i="10"/>
  <c r="X2094" i="10"/>
  <c r="X2093" i="10"/>
  <c r="X2092" i="10"/>
  <c r="X2091" i="10"/>
  <c r="X2090" i="10"/>
  <c r="X2089" i="10"/>
  <c r="X2088" i="10"/>
  <c r="X2087" i="10"/>
  <c r="X2086" i="10"/>
  <c r="X2085" i="10"/>
  <c r="X2084" i="10"/>
  <c r="X2083" i="10"/>
  <c r="X2082" i="10"/>
  <c r="X2081" i="10"/>
  <c r="X2080" i="10"/>
  <c r="X2079" i="10"/>
  <c r="X2078" i="10"/>
  <c r="X2077" i="10"/>
  <c r="X2076" i="10"/>
  <c r="X2075" i="10"/>
  <c r="X2074" i="10"/>
  <c r="X2073" i="10"/>
  <c r="X2072" i="10"/>
  <c r="X2071" i="10"/>
  <c r="X2070" i="10"/>
  <c r="X2069" i="10"/>
  <c r="X2068" i="10"/>
  <c r="X2067" i="10"/>
  <c r="X2066" i="10"/>
  <c r="X2065" i="10"/>
  <c r="X2064" i="10"/>
  <c r="X2063" i="10"/>
  <c r="X2062" i="10"/>
  <c r="X2061" i="10"/>
  <c r="X2060" i="10"/>
  <c r="X2059" i="10"/>
  <c r="X2058" i="10"/>
  <c r="X2057" i="10"/>
  <c r="X2056" i="10"/>
  <c r="X2055" i="10"/>
  <c r="X2054" i="10"/>
  <c r="X2053" i="10"/>
  <c r="X2052" i="10"/>
  <c r="X2051" i="10"/>
  <c r="X2050" i="10"/>
  <c r="X2049" i="10"/>
  <c r="X2048" i="10"/>
  <c r="X2047" i="10"/>
  <c r="X2046" i="10"/>
  <c r="X2045" i="10"/>
  <c r="X2044" i="10"/>
  <c r="X2043" i="10"/>
  <c r="X2042" i="10"/>
  <c r="X2041" i="10"/>
  <c r="X2040" i="10"/>
  <c r="X2039" i="10"/>
  <c r="X2038" i="10"/>
  <c r="X2037" i="10"/>
  <c r="X2036" i="10"/>
  <c r="X2035" i="10"/>
  <c r="X2034" i="10"/>
  <c r="X2033" i="10"/>
  <c r="X2032" i="10"/>
  <c r="X2031" i="10"/>
  <c r="X2030" i="10"/>
  <c r="X2029" i="10"/>
  <c r="X2028" i="10"/>
  <c r="X2027" i="10"/>
  <c r="X2026" i="10"/>
  <c r="X2025" i="10"/>
  <c r="X2024" i="10"/>
  <c r="X2023" i="10"/>
  <c r="X2022" i="10"/>
  <c r="X2021" i="10"/>
  <c r="X2020" i="10"/>
  <c r="X2019" i="10"/>
  <c r="X2018" i="10"/>
  <c r="X2017" i="10"/>
  <c r="X2016" i="10"/>
  <c r="X2015" i="10"/>
  <c r="X2014" i="10"/>
  <c r="X2013" i="10"/>
  <c r="X2012" i="10"/>
  <c r="X2011" i="10"/>
  <c r="X2010" i="10"/>
  <c r="X2009" i="10"/>
  <c r="X2008" i="10"/>
  <c r="X2007" i="10"/>
  <c r="X2006" i="10"/>
  <c r="X2005" i="10"/>
  <c r="X2004" i="10"/>
  <c r="X2003" i="10"/>
  <c r="X2002" i="10"/>
  <c r="X2001" i="10"/>
  <c r="X2000" i="10"/>
  <c r="X1999" i="10"/>
  <c r="X1998" i="10"/>
  <c r="X1997" i="10"/>
  <c r="X1996" i="10"/>
  <c r="X1995" i="10"/>
  <c r="X1994" i="10"/>
  <c r="X1993" i="10"/>
  <c r="X1992" i="10"/>
  <c r="X1991" i="10"/>
  <c r="X1990" i="10"/>
  <c r="X1989" i="10"/>
  <c r="X1988" i="10"/>
  <c r="X1987" i="10"/>
  <c r="X1986" i="10"/>
  <c r="X1985" i="10"/>
  <c r="X1984" i="10"/>
  <c r="X1983" i="10"/>
  <c r="X1982" i="10"/>
  <c r="X1981" i="10"/>
  <c r="X1980" i="10"/>
  <c r="X1979" i="10"/>
  <c r="X1978" i="10"/>
  <c r="X1977" i="10"/>
  <c r="X1976" i="10"/>
  <c r="X1975" i="10"/>
  <c r="X1974" i="10"/>
  <c r="X1973" i="10"/>
  <c r="X1972" i="10"/>
  <c r="X1971" i="10"/>
  <c r="X1970" i="10"/>
  <c r="X1969" i="10"/>
  <c r="X1968" i="10"/>
  <c r="X1967" i="10"/>
  <c r="X1966" i="10"/>
  <c r="X1965" i="10"/>
  <c r="X1964" i="10"/>
  <c r="X1963" i="10"/>
  <c r="X1962" i="10"/>
  <c r="X1961" i="10"/>
  <c r="X1960" i="10"/>
  <c r="X1959" i="10"/>
  <c r="X1958" i="10"/>
  <c r="X1957" i="10"/>
  <c r="X1956" i="10"/>
  <c r="X1955" i="10"/>
  <c r="X1954" i="10"/>
  <c r="X1953" i="10"/>
  <c r="X1952" i="10"/>
  <c r="X1951" i="10"/>
  <c r="X1950" i="10"/>
  <c r="X1949" i="10"/>
  <c r="X1948" i="10"/>
  <c r="X1947" i="10"/>
  <c r="X1946" i="10"/>
  <c r="X1945" i="10"/>
  <c r="X1944" i="10"/>
  <c r="X1943" i="10"/>
  <c r="X1942" i="10"/>
  <c r="X1941" i="10"/>
  <c r="X1940" i="10"/>
  <c r="X1939" i="10"/>
  <c r="X1938" i="10"/>
  <c r="X1937" i="10"/>
  <c r="X1936" i="10"/>
  <c r="X1935" i="10"/>
  <c r="X1934" i="10"/>
  <c r="X1933" i="10"/>
  <c r="X1932" i="10"/>
  <c r="X1931" i="10"/>
  <c r="X1930" i="10"/>
  <c r="X1929" i="10"/>
  <c r="X1928" i="10"/>
  <c r="X1927" i="10"/>
  <c r="X1926" i="10"/>
  <c r="X1925" i="10"/>
  <c r="X1924" i="10"/>
  <c r="X1923" i="10"/>
  <c r="X1922" i="10"/>
  <c r="X1921" i="10"/>
  <c r="X1920" i="10"/>
  <c r="X1919" i="10"/>
  <c r="X1918" i="10"/>
  <c r="X1917" i="10"/>
  <c r="X1916" i="10"/>
  <c r="X1915" i="10"/>
  <c r="X1914" i="10"/>
  <c r="X1913" i="10"/>
  <c r="X1912" i="10"/>
  <c r="X1911" i="10"/>
  <c r="X1910" i="10"/>
  <c r="X1909" i="10"/>
  <c r="X1908" i="10"/>
  <c r="X1907" i="10"/>
  <c r="X1906" i="10"/>
  <c r="X1905" i="10"/>
  <c r="X1904" i="10"/>
  <c r="X1903" i="10"/>
  <c r="X1902" i="10"/>
  <c r="X1901" i="10"/>
  <c r="X1900" i="10"/>
  <c r="X1899" i="10"/>
  <c r="X1898" i="10"/>
  <c r="X1897" i="10"/>
  <c r="X1896" i="10"/>
  <c r="X1895" i="10"/>
  <c r="X1894" i="10"/>
  <c r="X1893" i="10"/>
  <c r="X1892" i="10"/>
  <c r="X1891" i="10"/>
  <c r="X1890" i="10"/>
  <c r="X1889" i="10"/>
  <c r="X1888" i="10"/>
  <c r="X1887" i="10"/>
  <c r="X1886" i="10"/>
  <c r="X1885" i="10"/>
  <c r="X1884" i="10"/>
  <c r="X1883" i="10"/>
  <c r="X1882" i="10"/>
  <c r="X1881" i="10"/>
  <c r="X1880" i="10"/>
  <c r="X1879" i="10"/>
  <c r="X1878" i="10"/>
  <c r="X1877" i="10"/>
  <c r="X1876" i="10"/>
  <c r="X1875" i="10"/>
  <c r="X1874" i="10"/>
  <c r="X1873" i="10"/>
  <c r="X1872" i="10"/>
  <c r="X1871" i="10"/>
  <c r="X1870" i="10"/>
  <c r="X1869" i="10"/>
  <c r="X1868" i="10"/>
  <c r="X1867" i="10"/>
  <c r="X1866" i="10"/>
  <c r="X1865" i="10"/>
  <c r="X1864" i="10"/>
  <c r="X1863" i="10"/>
  <c r="X1862" i="10"/>
  <c r="X1861" i="10"/>
  <c r="X1860" i="10"/>
  <c r="X1859" i="10"/>
  <c r="X1858" i="10"/>
  <c r="X1857" i="10"/>
  <c r="X1856" i="10"/>
  <c r="X1855" i="10"/>
  <c r="X1854" i="10"/>
  <c r="X1853" i="10"/>
  <c r="X1852" i="10"/>
  <c r="X1851" i="10"/>
  <c r="X1850" i="10"/>
  <c r="X1849" i="10"/>
  <c r="X1848" i="10"/>
  <c r="X1847" i="10"/>
  <c r="X1846" i="10"/>
  <c r="X1845" i="10"/>
  <c r="X1844" i="10"/>
  <c r="X1843" i="10"/>
  <c r="X1842" i="10"/>
  <c r="X1841" i="10"/>
  <c r="X1840" i="10"/>
  <c r="X1839" i="10"/>
  <c r="X1838" i="10"/>
  <c r="X1837" i="10"/>
  <c r="X1836" i="10"/>
  <c r="X1835" i="10"/>
  <c r="X1834" i="10"/>
  <c r="X1833" i="10"/>
  <c r="X1832" i="10"/>
  <c r="X1831" i="10"/>
  <c r="X1830" i="10"/>
  <c r="X1829" i="10"/>
  <c r="X1828" i="10"/>
  <c r="X1827" i="10"/>
  <c r="X1826" i="10"/>
  <c r="X1825" i="10"/>
  <c r="X1824" i="10"/>
  <c r="X1823" i="10"/>
  <c r="X1822" i="10"/>
  <c r="X1821" i="10"/>
  <c r="X1820" i="10"/>
  <c r="X1819" i="10"/>
  <c r="X1818" i="10"/>
  <c r="X1817" i="10"/>
  <c r="X1816" i="10"/>
  <c r="X1815" i="10"/>
  <c r="X1814" i="10"/>
  <c r="X1813" i="10"/>
  <c r="X1812" i="10"/>
  <c r="X1811" i="10"/>
  <c r="X1810" i="10"/>
  <c r="X1809" i="10"/>
  <c r="X1808" i="10"/>
  <c r="X1807" i="10"/>
  <c r="X1806" i="10"/>
  <c r="X1805" i="10"/>
  <c r="X1804" i="10"/>
  <c r="X1803" i="10"/>
  <c r="X1802" i="10"/>
  <c r="X1801" i="10"/>
  <c r="X1800" i="10"/>
  <c r="X1799" i="10"/>
  <c r="X1798" i="10"/>
  <c r="X1797" i="10"/>
  <c r="X1796" i="10"/>
  <c r="X1795" i="10"/>
  <c r="X1794" i="10"/>
  <c r="X1793" i="10"/>
  <c r="X1792" i="10"/>
  <c r="X1791" i="10"/>
  <c r="X1790" i="10"/>
  <c r="X1789" i="10"/>
  <c r="X1788" i="10"/>
  <c r="X1787" i="10"/>
  <c r="X1786" i="10"/>
  <c r="X1785" i="10"/>
  <c r="X1784" i="10"/>
  <c r="X1783" i="10"/>
  <c r="X1782" i="10"/>
  <c r="X1781" i="10"/>
  <c r="X1780" i="10"/>
  <c r="X1779" i="10"/>
  <c r="X1778" i="10"/>
  <c r="X1777" i="10"/>
  <c r="X1776" i="10"/>
  <c r="X1775" i="10"/>
  <c r="X1774" i="10"/>
  <c r="X1773" i="10"/>
  <c r="X1772" i="10"/>
  <c r="X1771" i="10"/>
  <c r="X1770" i="10"/>
  <c r="X1769" i="10"/>
  <c r="X1768" i="10"/>
  <c r="X1767" i="10"/>
  <c r="X1766" i="10"/>
  <c r="X1765" i="10"/>
  <c r="X1764" i="10"/>
  <c r="X1763" i="10"/>
  <c r="X1762" i="10"/>
  <c r="X1761" i="10"/>
  <c r="X1760" i="10"/>
  <c r="X1759" i="10"/>
  <c r="X1758" i="10"/>
  <c r="X1757" i="10"/>
  <c r="X1756" i="10"/>
  <c r="X1755" i="10"/>
  <c r="X1754" i="10"/>
  <c r="X1753" i="10"/>
  <c r="X1752" i="10"/>
  <c r="X1751" i="10"/>
  <c r="X1750" i="10"/>
  <c r="X1749" i="10"/>
  <c r="X1748" i="10"/>
  <c r="X1747" i="10"/>
  <c r="X1746" i="10"/>
  <c r="X1745" i="10"/>
  <c r="X1744" i="10"/>
  <c r="X1743" i="10"/>
  <c r="X1742" i="10"/>
  <c r="X1741" i="10"/>
  <c r="X1740" i="10"/>
  <c r="X1739" i="10"/>
  <c r="X1738" i="10"/>
  <c r="X1737" i="10"/>
  <c r="X1736" i="10"/>
  <c r="X1735" i="10"/>
  <c r="X1734" i="10"/>
  <c r="X1733" i="10"/>
  <c r="X1732" i="10"/>
  <c r="X1731" i="10"/>
  <c r="X1730" i="10"/>
  <c r="X1729" i="10"/>
  <c r="X1728" i="10"/>
  <c r="X1727" i="10"/>
  <c r="X1726" i="10"/>
  <c r="X1725" i="10"/>
  <c r="X1724" i="10"/>
  <c r="X1723" i="10"/>
  <c r="X1722" i="10"/>
  <c r="X1721" i="10"/>
  <c r="X1720" i="10"/>
  <c r="X1719" i="10"/>
  <c r="X1718" i="10"/>
  <c r="X1717" i="10"/>
  <c r="X1716" i="10"/>
  <c r="X1715" i="10"/>
  <c r="X1714" i="10"/>
  <c r="X1713" i="10"/>
  <c r="X1712" i="10"/>
  <c r="X1711" i="10"/>
  <c r="X1710" i="10"/>
  <c r="X1709" i="10"/>
  <c r="X1708" i="10"/>
  <c r="X1707" i="10"/>
  <c r="X1706" i="10"/>
  <c r="X1705" i="10"/>
  <c r="X1704" i="10"/>
  <c r="X1703" i="10"/>
  <c r="X1702" i="10"/>
  <c r="X1701" i="10"/>
  <c r="X1700" i="10"/>
  <c r="X1699" i="10"/>
  <c r="X1698" i="10"/>
  <c r="X1697" i="10"/>
  <c r="X1696" i="10"/>
  <c r="X1695" i="10"/>
  <c r="X1694" i="10"/>
  <c r="X1693" i="10"/>
  <c r="X1692" i="10"/>
  <c r="X1691" i="10"/>
  <c r="X1690" i="10"/>
  <c r="X1689" i="10"/>
  <c r="X1688" i="10"/>
  <c r="X1687" i="10"/>
  <c r="X1686" i="10"/>
  <c r="X1685" i="10"/>
  <c r="X1684" i="10"/>
  <c r="X1683" i="10"/>
  <c r="X1682" i="10"/>
  <c r="X1681" i="10"/>
  <c r="X1680" i="10"/>
  <c r="X1679" i="10"/>
  <c r="X1678" i="10"/>
  <c r="X1677" i="10"/>
  <c r="X1676" i="10"/>
  <c r="X1675" i="10"/>
  <c r="X1674" i="10"/>
  <c r="X1673" i="10"/>
  <c r="X1672" i="10"/>
  <c r="X1671" i="10"/>
  <c r="X1670" i="10"/>
  <c r="X1669" i="10"/>
  <c r="X1668" i="10"/>
  <c r="X1667" i="10"/>
  <c r="X1666" i="10"/>
  <c r="X1665" i="10"/>
  <c r="X1664" i="10"/>
  <c r="X1663" i="10"/>
  <c r="X1662" i="10"/>
  <c r="X1661" i="10"/>
  <c r="X1660" i="10"/>
  <c r="X1659" i="10"/>
  <c r="X1658" i="10"/>
  <c r="X1657" i="10"/>
  <c r="X1656" i="10"/>
  <c r="X1655" i="10"/>
  <c r="X1654" i="10"/>
  <c r="X1653" i="10"/>
  <c r="X1652" i="10"/>
  <c r="X1651" i="10"/>
  <c r="X1650" i="10"/>
  <c r="X1649" i="10"/>
  <c r="X1648" i="10"/>
  <c r="X1647" i="10"/>
  <c r="X1646" i="10"/>
  <c r="X1645" i="10"/>
  <c r="X1644" i="10"/>
  <c r="X1643" i="10"/>
  <c r="X1642" i="10"/>
  <c r="X1641" i="10"/>
  <c r="X1640" i="10"/>
  <c r="X1639" i="10"/>
  <c r="X1638" i="10"/>
  <c r="X1637" i="10"/>
  <c r="X1636" i="10"/>
  <c r="X1635" i="10"/>
  <c r="X1634" i="10"/>
  <c r="X1633" i="10"/>
  <c r="X1632" i="10"/>
  <c r="X1631" i="10"/>
  <c r="X1630" i="10"/>
  <c r="X1629" i="10"/>
  <c r="X1628" i="10"/>
  <c r="X1627" i="10"/>
  <c r="X1626" i="10"/>
  <c r="X1625" i="10"/>
  <c r="X1624" i="10"/>
  <c r="X1623" i="10"/>
  <c r="X1622" i="10"/>
  <c r="X1621" i="10"/>
  <c r="X1620" i="10"/>
  <c r="X1619" i="10"/>
  <c r="X1618" i="10"/>
  <c r="X1617" i="10"/>
  <c r="X1616" i="10"/>
  <c r="X1615" i="10"/>
  <c r="X1614" i="10"/>
  <c r="X1613" i="10"/>
  <c r="X1612" i="10"/>
  <c r="X1611" i="10"/>
  <c r="X1610" i="10"/>
  <c r="X1609" i="10"/>
  <c r="X1608" i="10"/>
  <c r="X1607" i="10"/>
  <c r="X1606" i="10"/>
  <c r="X1605" i="10"/>
  <c r="X1604" i="10"/>
  <c r="X1603" i="10"/>
  <c r="X1602" i="10"/>
  <c r="X1601" i="10"/>
  <c r="X1600" i="10"/>
  <c r="X1599" i="10"/>
  <c r="X1598" i="10"/>
  <c r="X1597" i="10"/>
  <c r="X1596" i="10"/>
  <c r="X1595" i="10"/>
  <c r="X1594" i="10"/>
  <c r="X1593" i="10"/>
  <c r="X1592" i="10"/>
  <c r="X1591" i="10"/>
  <c r="X1590" i="10"/>
  <c r="X1589" i="10"/>
  <c r="X1588" i="10"/>
  <c r="X1587" i="10"/>
  <c r="X1586" i="10"/>
  <c r="X1585" i="10"/>
  <c r="X1584" i="10"/>
  <c r="X1583" i="10"/>
  <c r="X1582" i="10"/>
  <c r="X1581" i="10"/>
  <c r="X1580" i="10"/>
  <c r="X1579" i="10"/>
  <c r="X1578" i="10"/>
  <c r="X1577" i="10"/>
  <c r="X1576" i="10"/>
  <c r="X1575" i="10"/>
  <c r="X1574" i="10"/>
  <c r="X1573" i="10"/>
  <c r="X1572" i="10"/>
  <c r="X1571" i="10"/>
  <c r="X1570" i="10"/>
  <c r="X1569" i="10"/>
  <c r="X1568" i="10"/>
  <c r="X1567" i="10"/>
  <c r="X1566" i="10"/>
  <c r="X1565" i="10"/>
  <c r="X1564" i="10"/>
  <c r="X1563" i="10"/>
  <c r="X1562" i="10"/>
  <c r="X1561" i="10"/>
  <c r="X1560" i="10"/>
  <c r="X1559" i="10"/>
  <c r="X1558" i="10"/>
  <c r="X1557" i="10"/>
  <c r="X1556" i="10"/>
  <c r="X1555" i="10"/>
  <c r="X1554" i="10"/>
  <c r="X1553" i="10"/>
  <c r="X1552" i="10"/>
  <c r="X1551" i="10"/>
  <c r="X1550" i="10"/>
  <c r="X1549" i="10"/>
  <c r="X1548" i="10"/>
  <c r="X1547" i="10"/>
  <c r="X1546" i="10"/>
  <c r="X1545" i="10"/>
  <c r="X1544" i="10"/>
  <c r="X1543" i="10"/>
  <c r="X1542" i="10"/>
  <c r="X1541" i="10"/>
  <c r="X1540" i="10"/>
  <c r="X1539" i="10"/>
  <c r="X1538" i="10"/>
  <c r="X1537" i="10"/>
  <c r="X1536" i="10"/>
  <c r="X1535" i="10"/>
  <c r="X1534" i="10"/>
  <c r="X1533" i="10"/>
  <c r="X1532" i="10"/>
  <c r="X1531" i="10"/>
  <c r="X1530" i="10"/>
  <c r="X1529" i="10"/>
  <c r="X1528" i="10"/>
  <c r="X1527" i="10"/>
  <c r="X1526" i="10"/>
  <c r="X1525" i="10"/>
  <c r="X1524" i="10"/>
  <c r="X1523" i="10"/>
  <c r="X1522" i="10"/>
  <c r="X1521" i="10"/>
  <c r="X1520" i="10"/>
  <c r="X1519" i="10"/>
  <c r="X1518" i="10"/>
  <c r="X1517" i="10"/>
  <c r="X1516" i="10"/>
  <c r="X1515" i="10"/>
  <c r="X1514" i="10"/>
  <c r="X1513" i="10"/>
  <c r="X1512" i="10"/>
  <c r="X1511" i="10"/>
  <c r="X1510" i="10"/>
  <c r="X1509" i="10"/>
  <c r="X1508" i="10"/>
  <c r="X1507" i="10"/>
  <c r="X1506" i="10"/>
  <c r="X1505" i="10"/>
  <c r="X1504" i="10"/>
  <c r="X1503" i="10"/>
  <c r="X1502" i="10"/>
  <c r="X1501" i="10"/>
  <c r="X1500" i="10"/>
  <c r="X1499" i="10"/>
  <c r="X1498" i="10"/>
  <c r="X1497" i="10"/>
  <c r="X1496" i="10"/>
  <c r="X1495" i="10"/>
  <c r="X1494" i="10"/>
  <c r="X1493" i="10"/>
  <c r="X1492" i="10"/>
  <c r="X1491" i="10"/>
  <c r="X1490" i="10"/>
  <c r="X1489" i="10"/>
  <c r="X1488" i="10"/>
  <c r="X1487" i="10"/>
  <c r="X1486" i="10"/>
  <c r="X1485" i="10"/>
  <c r="X1484" i="10"/>
  <c r="X1483" i="10"/>
  <c r="X1482" i="10"/>
  <c r="X1481" i="10"/>
  <c r="X1480" i="10"/>
  <c r="X1479" i="10"/>
  <c r="X1478" i="10"/>
  <c r="X1477" i="10"/>
  <c r="X1476" i="10"/>
  <c r="X1475" i="10"/>
  <c r="X1474" i="10"/>
  <c r="X1473" i="10"/>
  <c r="X1472" i="10"/>
  <c r="X1471" i="10"/>
  <c r="X1470" i="10"/>
  <c r="X1469" i="10"/>
  <c r="X1468" i="10"/>
  <c r="X1467" i="10"/>
  <c r="X1466" i="10"/>
  <c r="X1465" i="10"/>
  <c r="X1464" i="10"/>
  <c r="X1463" i="10"/>
  <c r="X1462" i="10"/>
  <c r="X1461" i="10"/>
  <c r="X1460" i="10"/>
  <c r="X1459" i="10"/>
  <c r="X1458" i="10"/>
  <c r="X1457" i="10"/>
  <c r="X1456" i="10"/>
  <c r="X1455" i="10"/>
  <c r="X1454" i="10"/>
  <c r="X1453" i="10"/>
  <c r="X1452" i="10"/>
  <c r="X1451" i="10"/>
  <c r="X1450" i="10"/>
  <c r="X1449" i="10"/>
  <c r="X1448" i="10"/>
  <c r="X1447" i="10"/>
  <c r="X1446" i="10"/>
  <c r="X1445" i="10"/>
  <c r="X1444" i="10"/>
  <c r="X1443" i="10"/>
  <c r="X1442" i="10"/>
  <c r="X1441" i="10"/>
  <c r="X1440" i="10"/>
  <c r="X1439" i="10"/>
  <c r="X1438" i="10"/>
  <c r="X1437" i="10"/>
  <c r="X1436" i="10"/>
  <c r="X1435" i="10"/>
  <c r="X1434" i="10"/>
  <c r="X1433" i="10"/>
  <c r="X1432" i="10"/>
  <c r="X1431" i="10"/>
  <c r="X1430" i="10"/>
  <c r="X1429" i="10"/>
  <c r="X1428" i="10"/>
  <c r="X1427" i="10"/>
  <c r="X1426" i="10"/>
  <c r="X1425" i="10"/>
  <c r="X1424" i="10"/>
  <c r="X1423" i="10"/>
  <c r="X1422" i="10"/>
  <c r="X1421" i="10"/>
  <c r="X1420" i="10"/>
  <c r="X1419" i="10"/>
  <c r="X1418" i="10"/>
  <c r="X1417" i="10"/>
  <c r="X1416" i="10"/>
  <c r="X1415" i="10"/>
  <c r="X1414" i="10"/>
  <c r="X1413" i="10"/>
  <c r="X1412" i="10"/>
  <c r="X1411" i="10"/>
  <c r="X1410" i="10"/>
  <c r="X1409" i="10"/>
  <c r="X1408" i="10"/>
  <c r="X1407" i="10"/>
  <c r="X1406" i="10"/>
  <c r="X1405" i="10"/>
  <c r="X1404" i="10"/>
  <c r="X1403" i="10"/>
  <c r="X1402" i="10"/>
  <c r="X1401" i="10"/>
  <c r="X1400" i="10"/>
  <c r="X1399" i="10"/>
  <c r="X1398" i="10"/>
  <c r="X1397" i="10"/>
  <c r="X1396" i="10"/>
  <c r="X1395" i="10"/>
  <c r="X1394" i="10"/>
  <c r="X1393" i="10"/>
  <c r="X1392" i="10"/>
  <c r="X1391" i="10"/>
  <c r="X1390" i="10"/>
  <c r="X1389" i="10"/>
  <c r="X1388" i="10"/>
  <c r="X1387" i="10"/>
  <c r="X1386" i="10"/>
  <c r="X1385" i="10"/>
  <c r="X1384" i="10"/>
  <c r="X1383" i="10"/>
  <c r="X1382" i="10"/>
  <c r="X1381" i="10"/>
  <c r="X1380" i="10"/>
  <c r="X1379" i="10"/>
  <c r="X1378" i="10"/>
  <c r="X1377" i="10"/>
  <c r="X1376" i="10"/>
  <c r="X1375" i="10"/>
  <c r="X1374" i="10"/>
  <c r="X1373" i="10"/>
  <c r="X1372" i="10"/>
  <c r="X1371" i="10"/>
  <c r="X1370" i="10"/>
  <c r="X1369" i="10"/>
  <c r="X1368" i="10"/>
  <c r="X1367" i="10"/>
  <c r="X1366" i="10"/>
  <c r="X1365" i="10"/>
  <c r="X1364" i="10"/>
  <c r="X1363" i="10"/>
  <c r="X1362" i="10"/>
  <c r="X1361" i="10"/>
  <c r="X1360" i="10"/>
  <c r="X1359" i="10"/>
  <c r="X1358" i="10"/>
  <c r="X1357" i="10"/>
  <c r="X1356" i="10"/>
  <c r="X1355" i="10"/>
  <c r="X1354" i="10"/>
  <c r="X1353" i="10"/>
  <c r="X1352" i="10"/>
  <c r="X1351" i="10"/>
  <c r="X1350" i="10"/>
  <c r="X1349" i="10"/>
  <c r="X1348" i="10"/>
  <c r="X1347" i="10"/>
  <c r="X1346" i="10"/>
  <c r="X1345" i="10"/>
  <c r="X1344" i="10"/>
  <c r="X1343" i="10"/>
  <c r="X1342" i="10"/>
  <c r="X1341" i="10"/>
  <c r="X1340" i="10"/>
  <c r="X1339" i="10"/>
  <c r="X1338" i="10"/>
  <c r="X1337" i="10"/>
  <c r="X1336" i="10"/>
  <c r="X1335" i="10"/>
  <c r="X1334" i="10"/>
  <c r="X1333" i="10"/>
  <c r="X1332" i="10"/>
  <c r="X1331" i="10"/>
  <c r="X1330" i="10"/>
  <c r="X1329" i="10"/>
  <c r="X1328" i="10"/>
  <c r="X1327" i="10"/>
  <c r="X1326" i="10"/>
  <c r="X1325" i="10"/>
  <c r="X1324" i="10"/>
  <c r="X1323" i="10"/>
  <c r="X1322" i="10"/>
  <c r="X1321" i="10"/>
  <c r="X1320" i="10"/>
  <c r="X1319" i="10"/>
  <c r="X1318" i="10"/>
  <c r="X1317" i="10"/>
  <c r="X1316" i="10"/>
  <c r="X1315" i="10"/>
  <c r="X1314" i="10"/>
  <c r="X1313" i="10"/>
  <c r="X1312" i="10"/>
  <c r="X1311" i="10"/>
  <c r="X1310" i="10"/>
  <c r="X1309" i="10"/>
  <c r="X1308" i="10"/>
  <c r="X1307" i="10"/>
  <c r="X1306" i="10"/>
  <c r="X1305" i="10"/>
  <c r="X1304" i="10"/>
  <c r="X1303" i="10"/>
  <c r="X1302" i="10"/>
  <c r="X1301" i="10"/>
  <c r="X1300" i="10"/>
  <c r="X1299" i="10"/>
  <c r="X1298" i="10"/>
  <c r="X1297" i="10"/>
  <c r="X1296" i="10"/>
  <c r="X1295" i="10"/>
  <c r="X1294" i="10"/>
  <c r="X1293" i="10"/>
  <c r="X1292" i="10"/>
  <c r="X1291" i="10"/>
  <c r="X1290" i="10"/>
  <c r="X1289" i="10"/>
  <c r="X1288" i="10"/>
  <c r="X1287" i="10"/>
  <c r="X1286" i="10"/>
  <c r="X1285" i="10"/>
  <c r="X1284" i="10"/>
  <c r="X1283" i="10"/>
  <c r="X1282" i="10"/>
  <c r="X1281" i="10"/>
  <c r="X1280" i="10"/>
  <c r="X1279" i="10"/>
  <c r="X1278" i="10"/>
  <c r="X1277" i="10"/>
  <c r="X1276" i="10"/>
  <c r="X1275" i="10"/>
  <c r="X1274" i="10"/>
  <c r="X1273" i="10"/>
  <c r="X1272" i="10"/>
  <c r="X1271" i="10"/>
  <c r="X1270" i="10"/>
  <c r="X1269" i="10"/>
  <c r="X1268" i="10"/>
  <c r="X1267" i="10"/>
  <c r="X1266" i="10"/>
  <c r="X1265" i="10"/>
  <c r="X1264" i="10"/>
  <c r="X1263" i="10"/>
  <c r="X1262" i="10"/>
  <c r="X1261" i="10"/>
  <c r="X1260" i="10"/>
  <c r="X1259" i="10"/>
  <c r="X1258" i="10"/>
  <c r="X1257" i="10"/>
  <c r="X1256" i="10"/>
  <c r="X1255" i="10"/>
  <c r="X1254" i="10"/>
  <c r="X1253" i="10"/>
  <c r="X1252" i="10"/>
  <c r="X1251" i="10"/>
  <c r="X1250" i="10"/>
  <c r="X1249" i="10"/>
  <c r="X1248" i="10"/>
  <c r="X1247" i="10"/>
  <c r="X1246" i="10"/>
  <c r="X1245" i="10"/>
  <c r="X1244" i="10"/>
  <c r="X1243" i="10"/>
  <c r="X1242" i="10"/>
  <c r="X1241" i="10"/>
  <c r="X1240" i="10"/>
  <c r="X1239" i="10"/>
  <c r="X1238" i="10"/>
  <c r="X1237" i="10"/>
  <c r="X1236" i="10"/>
  <c r="X1235" i="10"/>
  <c r="X1234" i="10"/>
  <c r="X1233" i="10"/>
  <c r="X1232" i="10"/>
  <c r="X1231" i="10"/>
  <c r="X1230" i="10"/>
  <c r="X1229" i="10"/>
  <c r="X1228" i="10"/>
  <c r="X1227" i="10"/>
  <c r="X1226" i="10"/>
  <c r="X1225" i="10"/>
  <c r="X1224" i="10"/>
  <c r="X1223" i="10"/>
  <c r="X1222" i="10"/>
  <c r="X1221" i="10"/>
  <c r="X1220" i="10"/>
  <c r="X1219" i="10"/>
  <c r="X1218" i="10"/>
  <c r="X1217" i="10"/>
  <c r="X1216" i="10"/>
  <c r="X1215" i="10"/>
  <c r="X1214" i="10"/>
  <c r="X1213" i="10"/>
  <c r="X1212" i="10"/>
  <c r="X1211" i="10"/>
  <c r="X1210" i="10"/>
  <c r="X1209" i="10"/>
  <c r="X1208" i="10"/>
  <c r="X1207" i="10"/>
  <c r="X1206" i="10"/>
  <c r="X1205" i="10"/>
  <c r="X1204" i="10"/>
  <c r="X1203" i="10"/>
  <c r="X1202" i="10"/>
  <c r="X1201" i="10"/>
  <c r="X1200" i="10"/>
  <c r="X1199" i="10"/>
  <c r="X1198" i="10"/>
  <c r="X1197" i="10"/>
  <c r="X1196" i="10"/>
  <c r="X1195" i="10"/>
  <c r="X1194" i="10"/>
  <c r="X1193" i="10"/>
  <c r="X1192" i="10"/>
  <c r="X1191" i="10"/>
  <c r="X1190" i="10"/>
  <c r="X1189" i="10"/>
  <c r="X1188" i="10"/>
  <c r="X1187" i="10"/>
  <c r="X1186" i="10"/>
  <c r="X1185" i="10"/>
  <c r="X1184" i="10"/>
  <c r="X1183" i="10"/>
  <c r="X1182" i="10"/>
  <c r="X1181" i="10"/>
  <c r="X1180" i="10"/>
  <c r="X1179" i="10"/>
  <c r="X1178" i="10"/>
  <c r="X1177" i="10"/>
  <c r="X1176" i="10"/>
  <c r="X1175" i="10"/>
  <c r="X1174" i="10"/>
  <c r="X1173" i="10"/>
  <c r="X1172" i="10"/>
  <c r="X1171" i="10"/>
  <c r="X1170" i="10"/>
  <c r="X1169" i="10"/>
  <c r="X1168" i="10"/>
  <c r="X1167" i="10"/>
  <c r="X1166" i="10"/>
  <c r="X1165" i="10"/>
  <c r="X1164" i="10"/>
  <c r="X1163" i="10"/>
  <c r="X1162" i="10"/>
  <c r="X1161" i="10"/>
  <c r="X1160" i="10"/>
  <c r="X1159" i="10"/>
  <c r="X1158" i="10"/>
  <c r="X1157" i="10"/>
  <c r="X1156" i="10"/>
  <c r="X1155" i="10"/>
  <c r="X1154" i="10"/>
  <c r="X1153" i="10"/>
  <c r="X1152" i="10"/>
  <c r="X1151" i="10"/>
  <c r="X1150" i="10"/>
  <c r="X1149" i="10"/>
  <c r="X1148" i="10"/>
  <c r="X1147" i="10"/>
  <c r="X1146" i="10"/>
  <c r="X1145" i="10"/>
  <c r="X1144" i="10"/>
  <c r="X1143" i="10"/>
  <c r="X1142" i="10"/>
  <c r="X1141" i="10"/>
  <c r="X1140" i="10"/>
  <c r="X1139" i="10"/>
  <c r="X1138" i="10"/>
  <c r="X1137" i="10"/>
  <c r="X1136" i="10"/>
  <c r="X1135" i="10"/>
  <c r="X1134" i="10"/>
  <c r="X1133" i="10"/>
  <c r="X1132" i="10"/>
  <c r="X1131" i="10"/>
  <c r="X1130" i="10"/>
  <c r="X1129" i="10"/>
  <c r="X1128" i="10"/>
  <c r="X1127" i="10"/>
  <c r="X1126" i="10"/>
  <c r="X1125" i="10"/>
  <c r="X1124" i="10"/>
  <c r="X1123" i="10"/>
  <c r="X1122" i="10"/>
  <c r="X1121" i="10"/>
  <c r="X1120" i="10"/>
  <c r="X1119" i="10"/>
  <c r="X1118" i="10"/>
  <c r="X1117" i="10"/>
  <c r="X1116" i="10"/>
  <c r="X1115" i="10"/>
  <c r="X1114" i="10"/>
  <c r="X1113" i="10"/>
  <c r="X1112" i="10"/>
  <c r="X1111" i="10"/>
  <c r="X1110" i="10"/>
  <c r="X1109" i="10"/>
  <c r="X1108" i="10"/>
  <c r="X1107" i="10"/>
  <c r="X1106" i="10"/>
  <c r="X1105" i="10"/>
  <c r="X1104" i="10"/>
  <c r="X1103" i="10"/>
  <c r="X1102" i="10"/>
  <c r="X1101" i="10"/>
  <c r="X1100" i="10"/>
  <c r="X1099" i="10"/>
  <c r="X1098" i="10"/>
  <c r="X1097" i="10"/>
  <c r="X1096" i="10"/>
  <c r="X1095" i="10"/>
  <c r="X1094" i="10"/>
  <c r="X1093" i="10"/>
  <c r="X1092" i="10"/>
  <c r="X1091" i="10"/>
  <c r="X1090" i="10"/>
  <c r="X1089" i="10"/>
  <c r="X1088" i="10"/>
  <c r="X1087" i="10"/>
  <c r="X1086" i="10"/>
  <c r="X1085" i="10"/>
  <c r="X1084" i="10"/>
  <c r="X1083" i="10"/>
  <c r="X1082" i="10"/>
  <c r="X1081" i="10"/>
  <c r="X1080" i="10"/>
  <c r="X1079" i="10"/>
  <c r="X1078" i="10"/>
  <c r="X1077" i="10"/>
  <c r="X1076" i="10"/>
  <c r="X1075" i="10"/>
  <c r="X1074" i="10"/>
  <c r="X1073" i="10"/>
  <c r="X1072" i="10"/>
  <c r="X1071" i="10"/>
  <c r="X1070" i="10"/>
  <c r="X1069" i="10"/>
  <c r="X1068" i="10"/>
  <c r="X1067" i="10"/>
  <c r="X1066" i="10"/>
  <c r="X1065" i="10"/>
  <c r="X1064" i="10"/>
  <c r="X1063" i="10"/>
  <c r="X1062" i="10"/>
  <c r="X1061" i="10"/>
  <c r="X1060" i="10"/>
  <c r="X1059" i="10"/>
  <c r="X1058" i="10"/>
  <c r="X1057" i="10"/>
  <c r="X1056" i="10"/>
  <c r="X1055" i="10"/>
  <c r="X1054" i="10"/>
  <c r="X1053" i="10"/>
  <c r="X1052" i="10"/>
  <c r="X1051" i="10"/>
  <c r="X1050" i="10"/>
  <c r="X1049" i="10"/>
  <c r="X1048" i="10"/>
  <c r="X1047" i="10"/>
  <c r="X1046" i="10"/>
  <c r="X1045" i="10"/>
  <c r="X1044" i="10"/>
  <c r="X1043" i="10"/>
  <c r="X1042" i="10"/>
  <c r="X1041" i="10"/>
  <c r="X1040" i="10"/>
  <c r="X1039" i="10"/>
  <c r="X1038" i="10"/>
  <c r="X1037" i="10"/>
  <c r="X1036" i="10"/>
  <c r="X1035" i="10"/>
  <c r="X1034" i="10"/>
  <c r="X1033" i="10"/>
  <c r="X1032" i="10"/>
  <c r="X1031" i="10"/>
  <c r="X1030" i="10"/>
  <c r="X1029" i="10"/>
  <c r="X1028" i="10"/>
  <c r="X1027" i="10"/>
  <c r="X1026" i="10"/>
  <c r="X1025" i="10"/>
  <c r="X1024" i="10"/>
  <c r="X1023" i="10"/>
  <c r="X1022" i="10"/>
  <c r="X1021" i="10"/>
  <c r="X1020" i="10"/>
  <c r="X1019" i="10"/>
  <c r="X1018" i="10"/>
  <c r="X1017" i="10"/>
  <c r="X1016" i="10"/>
  <c r="X1015" i="10"/>
  <c r="X1014" i="10"/>
  <c r="X1013" i="10"/>
  <c r="X1012" i="10"/>
  <c r="X1011" i="10"/>
  <c r="X1010" i="10"/>
  <c r="X1009" i="10"/>
  <c r="X1008" i="10"/>
  <c r="X1007" i="10"/>
  <c r="X1006" i="10"/>
  <c r="X1005" i="10"/>
  <c r="X1004" i="10"/>
  <c r="X1003" i="10"/>
  <c r="X1002" i="10"/>
  <c r="X1001" i="10"/>
  <c r="X1000" i="10"/>
  <c r="X999" i="10"/>
  <c r="X998" i="10"/>
  <c r="X997" i="10"/>
  <c r="X996" i="10"/>
  <c r="X995" i="10"/>
  <c r="X994" i="10"/>
  <c r="X993" i="10"/>
  <c r="X992" i="10"/>
  <c r="X991" i="10"/>
  <c r="X990" i="10"/>
  <c r="X989" i="10"/>
  <c r="X988" i="10"/>
  <c r="X987" i="10"/>
  <c r="X986" i="10"/>
  <c r="X985" i="10"/>
  <c r="X984" i="10"/>
  <c r="X983" i="10"/>
  <c r="X982" i="10"/>
  <c r="X981" i="10"/>
  <c r="X980" i="10"/>
  <c r="X979" i="10"/>
  <c r="X978" i="10"/>
  <c r="X977" i="10"/>
  <c r="X976" i="10"/>
  <c r="X975" i="10"/>
  <c r="X974" i="10"/>
  <c r="X973" i="10"/>
  <c r="X972" i="10"/>
  <c r="X971" i="10"/>
  <c r="X970" i="10"/>
  <c r="X969" i="10"/>
  <c r="X968" i="10"/>
  <c r="X967" i="10"/>
  <c r="X966" i="10"/>
  <c r="X965" i="10"/>
  <c r="X964" i="10"/>
  <c r="X963" i="10"/>
  <c r="X962" i="10"/>
  <c r="X961" i="10"/>
  <c r="X960" i="10"/>
  <c r="X959" i="10"/>
  <c r="X958" i="10"/>
  <c r="X957" i="10"/>
  <c r="X956" i="10"/>
  <c r="X955" i="10"/>
  <c r="X954" i="10"/>
  <c r="X953" i="10"/>
  <c r="X952" i="10"/>
  <c r="X951" i="10"/>
  <c r="X950" i="10"/>
  <c r="X949" i="10"/>
  <c r="X948" i="10"/>
  <c r="X947" i="10"/>
  <c r="X946" i="10"/>
  <c r="X945" i="10"/>
  <c r="X944" i="10"/>
  <c r="X943" i="10"/>
  <c r="X942" i="10"/>
  <c r="X941" i="10"/>
  <c r="X940" i="10"/>
  <c r="X939" i="10"/>
  <c r="X938" i="10"/>
  <c r="X937" i="10"/>
  <c r="X936" i="10"/>
  <c r="X935" i="10"/>
  <c r="X934" i="10"/>
  <c r="X933" i="10"/>
  <c r="X932" i="10"/>
  <c r="X931" i="10"/>
  <c r="X930" i="10"/>
  <c r="X929" i="10"/>
  <c r="X928" i="10"/>
  <c r="X927" i="10"/>
  <c r="X926" i="10"/>
  <c r="X925" i="10"/>
  <c r="X924" i="10"/>
  <c r="X923" i="10"/>
  <c r="X922" i="10"/>
  <c r="X921" i="10"/>
  <c r="X920" i="10"/>
  <c r="X919" i="10"/>
  <c r="X918" i="10"/>
  <c r="X917" i="10"/>
  <c r="X916" i="10"/>
  <c r="X915" i="10"/>
  <c r="X914" i="10"/>
  <c r="X913" i="10"/>
  <c r="X912" i="10"/>
  <c r="X911" i="10"/>
  <c r="X910" i="10"/>
  <c r="X909" i="10"/>
  <c r="X908" i="10"/>
  <c r="X907" i="10"/>
  <c r="X906" i="10"/>
  <c r="X905" i="10"/>
  <c r="X904" i="10"/>
  <c r="X903" i="10"/>
  <c r="X902" i="10"/>
  <c r="X901" i="10"/>
  <c r="X900" i="10"/>
  <c r="X899" i="10"/>
  <c r="X898" i="10"/>
  <c r="X897" i="10"/>
  <c r="X896" i="10"/>
  <c r="X895" i="10"/>
  <c r="X894" i="10"/>
  <c r="X893" i="10"/>
  <c r="X892" i="10"/>
  <c r="X891" i="10"/>
  <c r="X890" i="10"/>
  <c r="X889" i="10"/>
  <c r="X888" i="10"/>
  <c r="X887" i="10"/>
  <c r="X886" i="10"/>
  <c r="X885" i="10"/>
  <c r="X884" i="10"/>
  <c r="X883" i="10"/>
  <c r="X882" i="10"/>
  <c r="X881" i="10"/>
  <c r="X880" i="10"/>
  <c r="X879" i="10"/>
  <c r="X878" i="10"/>
  <c r="X877" i="10"/>
  <c r="X876" i="10"/>
  <c r="X875" i="10"/>
  <c r="X874" i="10"/>
  <c r="X873" i="10"/>
  <c r="X872" i="10"/>
  <c r="X871" i="10"/>
  <c r="X870" i="10"/>
  <c r="X869" i="10"/>
  <c r="X868" i="10"/>
  <c r="X867" i="10"/>
  <c r="X866" i="10"/>
  <c r="X865" i="10"/>
  <c r="X864" i="10"/>
  <c r="X863" i="10"/>
  <c r="X862" i="10"/>
  <c r="X861" i="10"/>
  <c r="X860" i="10"/>
  <c r="X859" i="10"/>
  <c r="X858" i="10"/>
  <c r="X857" i="10"/>
  <c r="X856" i="10"/>
  <c r="X855" i="10"/>
  <c r="X854" i="10"/>
  <c r="X853" i="10"/>
  <c r="X852" i="10"/>
  <c r="X851" i="10"/>
  <c r="X850" i="10"/>
  <c r="X849" i="10"/>
  <c r="X848" i="10"/>
  <c r="X847" i="10"/>
  <c r="X846" i="10"/>
  <c r="X845" i="10"/>
  <c r="X844" i="10"/>
  <c r="X843" i="10"/>
  <c r="X842" i="10"/>
  <c r="X841" i="10"/>
  <c r="X840" i="10"/>
  <c r="X839" i="10"/>
  <c r="X838" i="10"/>
  <c r="X837" i="10"/>
  <c r="X836" i="10"/>
  <c r="X835" i="10"/>
  <c r="X834" i="10"/>
  <c r="X833" i="10"/>
  <c r="X832" i="10"/>
  <c r="X831" i="10"/>
  <c r="X830" i="10"/>
  <c r="X829" i="10"/>
  <c r="X828" i="10"/>
  <c r="X827" i="10"/>
  <c r="X826" i="10"/>
  <c r="X825" i="10"/>
  <c r="X824" i="10"/>
  <c r="X823" i="10"/>
  <c r="X822" i="10"/>
  <c r="X821" i="10"/>
  <c r="X820" i="10"/>
  <c r="X819" i="10"/>
  <c r="X818" i="10"/>
  <c r="X817" i="10"/>
  <c r="X816" i="10"/>
  <c r="X815" i="10"/>
  <c r="X814" i="10"/>
  <c r="X813" i="10"/>
  <c r="X812" i="10"/>
  <c r="X811" i="10"/>
  <c r="X810" i="10"/>
  <c r="X809" i="10"/>
  <c r="X808" i="10"/>
  <c r="X807" i="10"/>
  <c r="X806" i="10"/>
  <c r="X805" i="10"/>
  <c r="X804" i="10"/>
  <c r="X803" i="10"/>
  <c r="X802" i="10"/>
  <c r="X801" i="10"/>
  <c r="X800" i="10"/>
  <c r="X799" i="10"/>
  <c r="X798" i="10"/>
  <c r="X797" i="10"/>
  <c r="X796" i="10"/>
  <c r="X795" i="10"/>
  <c r="X794" i="10"/>
  <c r="X793" i="10"/>
  <c r="X792" i="10"/>
  <c r="X791" i="10"/>
  <c r="X790" i="10"/>
  <c r="X789" i="10"/>
  <c r="X788" i="10"/>
  <c r="X787" i="10"/>
  <c r="X786" i="10"/>
  <c r="X785" i="10"/>
  <c r="X784" i="10"/>
  <c r="X783" i="10"/>
  <c r="X782" i="10"/>
  <c r="X781" i="10"/>
  <c r="X780" i="10"/>
  <c r="X779" i="10"/>
  <c r="X778" i="10"/>
  <c r="X777" i="10"/>
  <c r="X776" i="10"/>
  <c r="X775" i="10"/>
  <c r="X774" i="10"/>
  <c r="X773" i="10"/>
  <c r="X772" i="10"/>
  <c r="X771" i="10"/>
  <c r="X770" i="10"/>
  <c r="X769" i="10"/>
  <c r="X768" i="10"/>
  <c r="X767" i="10"/>
  <c r="X766" i="10"/>
  <c r="X765" i="10"/>
  <c r="X764" i="10"/>
  <c r="X763" i="10"/>
  <c r="X762" i="10"/>
  <c r="X761" i="10"/>
  <c r="X760" i="10"/>
  <c r="X759" i="10"/>
  <c r="X758" i="10"/>
  <c r="X757" i="10"/>
  <c r="X756" i="10"/>
  <c r="X755" i="10"/>
  <c r="X754" i="10"/>
  <c r="X753" i="10"/>
  <c r="X752" i="10"/>
  <c r="X751" i="10"/>
  <c r="X750" i="10"/>
  <c r="X749" i="10"/>
  <c r="X748" i="10"/>
  <c r="X747" i="10"/>
  <c r="X746" i="10"/>
  <c r="X745" i="10"/>
  <c r="X744" i="10"/>
  <c r="X743" i="10"/>
  <c r="X742" i="10"/>
  <c r="X741" i="10"/>
  <c r="X740" i="10"/>
  <c r="X739" i="10"/>
  <c r="X738" i="10"/>
  <c r="X737" i="10"/>
  <c r="X736" i="10"/>
  <c r="X735" i="10"/>
  <c r="X734" i="10"/>
  <c r="X733" i="10"/>
  <c r="X732" i="10"/>
  <c r="X731" i="10"/>
  <c r="X730" i="10"/>
  <c r="X729" i="10"/>
  <c r="X728" i="10"/>
  <c r="X727" i="10"/>
  <c r="X726" i="10"/>
  <c r="X725" i="10"/>
  <c r="X724" i="10"/>
  <c r="X723" i="10"/>
  <c r="X722" i="10"/>
  <c r="X721" i="10"/>
  <c r="X720" i="10"/>
  <c r="X719" i="10"/>
  <c r="X718" i="10"/>
  <c r="X717" i="10"/>
  <c r="X716" i="10"/>
  <c r="X715" i="10"/>
  <c r="X714" i="10"/>
  <c r="X713" i="10"/>
  <c r="X712" i="10"/>
  <c r="X711" i="10"/>
  <c r="X710" i="10"/>
  <c r="X709" i="10"/>
  <c r="X708" i="10"/>
  <c r="X707" i="10"/>
  <c r="X706" i="10"/>
  <c r="X705" i="10"/>
  <c r="X704" i="10"/>
  <c r="X703" i="10"/>
  <c r="X702" i="10"/>
  <c r="X701" i="10"/>
  <c r="X700" i="10"/>
  <c r="X699" i="10"/>
  <c r="X698" i="10"/>
  <c r="X697" i="10"/>
  <c r="X696" i="10"/>
  <c r="X695" i="10"/>
  <c r="X694" i="10"/>
  <c r="X693" i="10"/>
  <c r="X692" i="10"/>
  <c r="X691" i="10"/>
  <c r="X690" i="10"/>
  <c r="X689" i="10"/>
  <c r="X688" i="10"/>
  <c r="X687" i="10"/>
  <c r="X686" i="10"/>
  <c r="X685" i="10"/>
  <c r="X684" i="10"/>
  <c r="X683" i="10"/>
  <c r="X682" i="10"/>
  <c r="X681" i="10"/>
  <c r="X680" i="10"/>
  <c r="X679" i="10"/>
  <c r="X678" i="10"/>
  <c r="X677" i="10"/>
  <c r="X676" i="10"/>
  <c r="X675" i="10"/>
  <c r="X674" i="10"/>
  <c r="X673" i="10"/>
  <c r="X672" i="10"/>
  <c r="X671" i="10"/>
  <c r="X670" i="10"/>
  <c r="X669" i="10"/>
  <c r="X668" i="10"/>
  <c r="X667" i="10"/>
  <c r="X666" i="10"/>
  <c r="X665" i="10"/>
  <c r="X664" i="10"/>
  <c r="X663" i="10"/>
  <c r="X662" i="10"/>
  <c r="X661" i="10"/>
  <c r="X660" i="10"/>
  <c r="X659" i="10"/>
  <c r="X658" i="10"/>
  <c r="X657" i="10"/>
  <c r="X656" i="10"/>
  <c r="X655" i="10"/>
  <c r="X654" i="10"/>
  <c r="X653" i="10"/>
  <c r="X652" i="10"/>
  <c r="X651" i="10"/>
  <c r="X650" i="10"/>
  <c r="X649" i="10"/>
  <c r="X648" i="10"/>
  <c r="X647" i="10"/>
  <c r="X646" i="10"/>
  <c r="X645" i="10"/>
  <c r="X644" i="10"/>
  <c r="X643" i="10"/>
  <c r="X642" i="10"/>
  <c r="X641" i="10"/>
  <c r="X640" i="10"/>
  <c r="X639" i="10"/>
  <c r="X638" i="10"/>
  <c r="X637" i="10"/>
  <c r="X636" i="10"/>
  <c r="X635" i="10"/>
  <c r="X634" i="10"/>
  <c r="X633" i="10"/>
  <c r="X632" i="10"/>
  <c r="X631" i="10"/>
  <c r="X630" i="10"/>
  <c r="X629" i="10"/>
  <c r="X628" i="10"/>
  <c r="X627" i="10"/>
  <c r="X626" i="10"/>
  <c r="X625" i="10"/>
  <c r="X624" i="10"/>
  <c r="X623" i="10"/>
  <c r="X622" i="10"/>
  <c r="X621" i="10"/>
  <c r="X620" i="10"/>
  <c r="X619" i="10"/>
  <c r="X618" i="10"/>
  <c r="X617" i="10"/>
  <c r="X616" i="10"/>
  <c r="X615" i="10"/>
  <c r="X614" i="10"/>
  <c r="X613" i="10"/>
  <c r="X612" i="10"/>
  <c r="X611" i="10"/>
  <c r="X610" i="10"/>
  <c r="X609" i="10"/>
  <c r="X608" i="10"/>
  <c r="X607" i="10"/>
  <c r="X606" i="10"/>
  <c r="X605" i="10"/>
  <c r="X604" i="10"/>
  <c r="X603" i="10"/>
  <c r="X602" i="10"/>
  <c r="X601" i="10"/>
  <c r="X600" i="10"/>
  <c r="X599" i="10"/>
  <c r="X598" i="10"/>
  <c r="X597" i="10"/>
  <c r="X596" i="10"/>
  <c r="X595" i="10"/>
  <c r="X594" i="10"/>
  <c r="X593" i="10"/>
  <c r="X592" i="10"/>
  <c r="X591" i="10"/>
  <c r="X590" i="10"/>
  <c r="X589" i="10"/>
  <c r="X588" i="10"/>
  <c r="X587" i="10"/>
  <c r="X586" i="10"/>
  <c r="X585" i="10"/>
  <c r="X584" i="10"/>
  <c r="X583" i="10"/>
  <c r="X582" i="10"/>
  <c r="X581" i="10"/>
  <c r="X580" i="10"/>
  <c r="X579" i="10"/>
  <c r="X578" i="10"/>
  <c r="X577" i="10"/>
  <c r="X576" i="10"/>
  <c r="X575" i="10"/>
  <c r="X574" i="10"/>
  <c r="X573" i="10"/>
  <c r="X572" i="10"/>
  <c r="X571" i="10"/>
  <c r="X570" i="10"/>
  <c r="X569" i="10"/>
  <c r="X568" i="10"/>
  <c r="X567" i="10"/>
  <c r="X566" i="10"/>
  <c r="X565" i="10"/>
  <c r="X564" i="10"/>
  <c r="X563" i="10"/>
  <c r="X562" i="10"/>
  <c r="X561" i="10"/>
  <c r="X560" i="10"/>
  <c r="X559" i="10"/>
  <c r="X558" i="10"/>
  <c r="X557" i="10"/>
  <c r="X556" i="10"/>
  <c r="X555" i="10"/>
  <c r="X554" i="10"/>
  <c r="X553" i="10"/>
  <c r="X552" i="10"/>
  <c r="X551" i="10"/>
  <c r="X550" i="10"/>
  <c r="X549" i="10"/>
  <c r="X548" i="10"/>
  <c r="X547" i="10"/>
  <c r="X546" i="10"/>
  <c r="X545" i="10"/>
  <c r="X544" i="10"/>
  <c r="X543" i="10"/>
  <c r="X542" i="10"/>
  <c r="X541" i="10"/>
  <c r="X540" i="10"/>
  <c r="X539" i="10"/>
  <c r="X538" i="10"/>
  <c r="X537" i="10"/>
  <c r="X536" i="10"/>
  <c r="X535" i="10"/>
  <c r="X534" i="10"/>
  <c r="X533" i="10"/>
  <c r="X532" i="10"/>
  <c r="X531" i="10"/>
  <c r="X530" i="10"/>
  <c r="X529" i="10"/>
  <c r="X528" i="10"/>
  <c r="X527" i="10"/>
  <c r="X526" i="10"/>
  <c r="X525" i="10"/>
  <c r="X524" i="10"/>
  <c r="X523" i="10"/>
  <c r="X522" i="10"/>
  <c r="X521" i="10"/>
  <c r="X520" i="10"/>
  <c r="X519" i="10"/>
  <c r="X518" i="10"/>
  <c r="X517" i="10"/>
  <c r="X516" i="10"/>
  <c r="X515" i="10"/>
  <c r="X514" i="10"/>
  <c r="X513" i="10"/>
  <c r="X512" i="10"/>
  <c r="X511" i="10"/>
  <c r="X510" i="10"/>
  <c r="X509" i="10"/>
  <c r="X508" i="10"/>
  <c r="X507" i="10"/>
  <c r="X506" i="10"/>
  <c r="X505" i="10"/>
  <c r="X504" i="10"/>
  <c r="X503" i="10"/>
  <c r="X502" i="10"/>
  <c r="X501" i="10"/>
  <c r="X500" i="10"/>
  <c r="X499" i="10"/>
  <c r="X498" i="10"/>
  <c r="X497" i="10"/>
  <c r="X496" i="10"/>
  <c r="X495" i="10"/>
  <c r="X494" i="10"/>
  <c r="X493" i="10"/>
  <c r="X492" i="10"/>
  <c r="X491" i="10"/>
  <c r="X490" i="10"/>
  <c r="X489" i="10"/>
  <c r="X488" i="10"/>
  <c r="X487" i="10"/>
  <c r="X486" i="10"/>
  <c r="X485" i="10"/>
  <c r="X484" i="10"/>
  <c r="X483" i="10"/>
  <c r="X482" i="10"/>
  <c r="X481" i="10"/>
  <c r="X480" i="10"/>
  <c r="X479" i="10"/>
  <c r="X478" i="10"/>
  <c r="X477" i="10"/>
  <c r="X476" i="10"/>
  <c r="X475" i="10"/>
  <c r="X474" i="10"/>
  <c r="X473" i="10"/>
  <c r="X472" i="10"/>
  <c r="X471" i="10"/>
  <c r="X470" i="10"/>
  <c r="X469" i="10"/>
  <c r="X468" i="10"/>
  <c r="X467" i="10"/>
  <c r="X466" i="10"/>
  <c r="X465" i="10"/>
  <c r="X464" i="10"/>
  <c r="X463" i="10"/>
  <c r="X462" i="10"/>
  <c r="X461" i="10"/>
  <c r="X460" i="10"/>
  <c r="X459" i="10"/>
  <c r="X458" i="10"/>
  <c r="X457" i="10"/>
  <c r="X456" i="10"/>
  <c r="X455" i="10"/>
  <c r="X454" i="10"/>
  <c r="X453" i="10"/>
  <c r="X452" i="10"/>
  <c r="X451" i="10"/>
  <c r="X450" i="10"/>
  <c r="X449" i="10"/>
  <c r="X448" i="10"/>
  <c r="X447" i="10"/>
  <c r="X446" i="10"/>
  <c r="X445" i="10"/>
  <c r="X444" i="10"/>
  <c r="X443" i="10"/>
  <c r="X442" i="10"/>
  <c r="X441" i="10"/>
  <c r="X440" i="10"/>
  <c r="X439" i="10"/>
  <c r="X438" i="10"/>
  <c r="X437" i="10"/>
  <c r="X436" i="10"/>
  <c r="X435" i="10"/>
  <c r="X434" i="10"/>
  <c r="X433" i="10"/>
  <c r="X432" i="10"/>
  <c r="X431" i="10"/>
  <c r="X430" i="10"/>
  <c r="X429" i="10"/>
  <c r="X428" i="10"/>
  <c r="X427" i="10"/>
  <c r="X426" i="10"/>
  <c r="X425" i="10"/>
  <c r="X424" i="10"/>
  <c r="X423" i="10"/>
  <c r="X422" i="10"/>
  <c r="X421" i="10"/>
  <c r="X420" i="10"/>
  <c r="X419" i="10"/>
  <c r="X418" i="10"/>
  <c r="X417" i="10"/>
  <c r="X416" i="10"/>
  <c r="X415" i="10"/>
  <c r="X414" i="10"/>
  <c r="X413" i="10"/>
  <c r="X412" i="10"/>
  <c r="X411" i="10"/>
  <c r="X410" i="10"/>
  <c r="X409" i="10"/>
  <c r="X408" i="10"/>
  <c r="X407" i="10"/>
  <c r="X406" i="10"/>
  <c r="X405" i="10"/>
  <c r="X404" i="10"/>
  <c r="X403" i="10"/>
  <c r="X402" i="10"/>
  <c r="X401" i="10"/>
  <c r="X400" i="10"/>
  <c r="X399" i="10"/>
  <c r="X398" i="10"/>
  <c r="X397" i="10"/>
  <c r="X396" i="10"/>
  <c r="X395" i="10"/>
  <c r="X394" i="10"/>
  <c r="X393" i="10"/>
  <c r="X392" i="10"/>
  <c r="X391" i="10"/>
  <c r="X390" i="10"/>
  <c r="X389" i="10"/>
  <c r="X388" i="10"/>
  <c r="X387" i="10"/>
  <c r="X386" i="10"/>
  <c r="X385" i="10"/>
  <c r="X384" i="10"/>
  <c r="X383" i="10"/>
  <c r="X382" i="10"/>
  <c r="X381" i="10"/>
  <c r="X380" i="10"/>
  <c r="X379" i="10"/>
  <c r="X378" i="10"/>
  <c r="X377" i="10"/>
  <c r="X376" i="10"/>
  <c r="X375" i="10"/>
  <c r="X374" i="10"/>
  <c r="X373" i="10"/>
  <c r="X372" i="10"/>
  <c r="X371" i="10"/>
  <c r="X370" i="10"/>
  <c r="X369" i="10"/>
  <c r="X368" i="10"/>
  <c r="X367" i="10"/>
  <c r="X366" i="10"/>
  <c r="X365" i="10"/>
  <c r="X364" i="10"/>
  <c r="X363" i="10"/>
  <c r="X362" i="10"/>
  <c r="X361" i="10"/>
  <c r="X360" i="10"/>
  <c r="X359" i="10"/>
  <c r="X358" i="10"/>
  <c r="X357" i="10"/>
  <c r="X356" i="10"/>
  <c r="X355" i="10"/>
  <c r="X354" i="10"/>
  <c r="X353" i="10"/>
  <c r="X352" i="10"/>
  <c r="X351" i="10"/>
  <c r="X350" i="10"/>
  <c r="X349" i="10"/>
  <c r="X348" i="10"/>
  <c r="X347" i="10"/>
  <c r="X346" i="10"/>
  <c r="X345" i="10"/>
  <c r="X344" i="10"/>
  <c r="X343" i="10"/>
  <c r="X342" i="10"/>
  <c r="X341" i="10"/>
  <c r="X340" i="10"/>
  <c r="X339" i="10"/>
  <c r="X338" i="10"/>
  <c r="X337" i="10"/>
  <c r="X336" i="10"/>
  <c r="X335" i="10"/>
  <c r="X334" i="10"/>
  <c r="X333" i="10"/>
  <c r="X332" i="10"/>
  <c r="X331" i="10"/>
  <c r="X330" i="10"/>
  <c r="X329" i="10"/>
  <c r="X328" i="10"/>
  <c r="X327" i="10"/>
  <c r="X326" i="10"/>
  <c r="X325" i="10"/>
  <c r="X324" i="10"/>
  <c r="X323" i="10"/>
  <c r="X322" i="10"/>
  <c r="X321" i="10"/>
  <c r="X320" i="10"/>
  <c r="X319" i="10"/>
  <c r="X318" i="10"/>
  <c r="X317" i="10"/>
  <c r="X316" i="10"/>
  <c r="X315" i="10"/>
  <c r="X314" i="10"/>
  <c r="X313" i="10"/>
  <c r="X312" i="10"/>
  <c r="X311" i="10"/>
  <c r="X310" i="10"/>
  <c r="X309" i="10"/>
  <c r="X308" i="10"/>
  <c r="X307" i="10"/>
  <c r="X306" i="10"/>
  <c r="X305" i="10"/>
  <c r="X304" i="10"/>
  <c r="X303" i="10"/>
  <c r="X302" i="10"/>
  <c r="X301" i="10"/>
  <c r="X300" i="10"/>
  <c r="X299" i="10"/>
  <c r="X298" i="10"/>
  <c r="X297" i="10"/>
  <c r="X296" i="10"/>
  <c r="X295" i="10"/>
  <c r="X294" i="10"/>
  <c r="X293" i="10"/>
  <c r="X292" i="10"/>
  <c r="X291" i="10"/>
  <c r="X290" i="10"/>
  <c r="X289" i="10"/>
  <c r="X288" i="10"/>
  <c r="X287" i="10"/>
  <c r="X286" i="10"/>
  <c r="X285" i="10"/>
  <c r="X284" i="10"/>
  <c r="X283" i="10"/>
  <c r="X282" i="10"/>
  <c r="X281" i="10"/>
  <c r="X280" i="10"/>
  <c r="X279" i="10"/>
  <c r="X278" i="10"/>
  <c r="X277" i="10"/>
  <c r="X276" i="10"/>
  <c r="X275" i="10"/>
  <c r="X274" i="10"/>
  <c r="X273" i="10"/>
  <c r="X272" i="10"/>
  <c r="X271" i="10"/>
  <c r="X270" i="10"/>
  <c r="X269" i="10"/>
  <c r="X268" i="10"/>
  <c r="X267" i="10"/>
  <c r="X266" i="10"/>
  <c r="X265" i="10"/>
  <c r="X264" i="10"/>
  <c r="X263" i="10"/>
  <c r="X262" i="10"/>
  <c r="X261" i="10"/>
  <c r="X260" i="10"/>
  <c r="X259" i="10"/>
  <c r="X258" i="10"/>
  <c r="X257" i="10"/>
  <c r="X256" i="10"/>
  <c r="X255" i="10"/>
  <c r="X254" i="10"/>
  <c r="X253" i="10"/>
  <c r="X252" i="10"/>
  <c r="X251" i="10"/>
  <c r="X250" i="10"/>
  <c r="X249" i="10"/>
  <c r="X248" i="10"/>
  <c r="X247" i="10"/>
  <c r="X246" i="10"/>
  <c r="X245" i="10"/>
  <c r="X244" i="10"/>
  <c r="X243" i="10"/>
  <c r="X242" i="10"/>
  <c r="X241" i="10"/>
  <c r="X240" i="10"/>
  <c r="X239" i="10"/>
  <c r="X238" i="10"/>
  <c r="X237" i="10"/>
  <c r="X236" i="10"/>
  <c r="X235" i="10"/>
  <c r="X234" i="10"/>
  <c r="X233" i="10"/>
  <c r="X232" i="10"/>
  <c r="X231" i="10"/>
  <c r="X230" i="10"/>
  <c r="X229" i="10"/>
  <c r="X228" i="10"/>
  <c r="X227" i="10"/>
  <c r="X226" i="10"/>
  <c r="X225" i="10"/>
  <c r="X224" i="10"/>
  <c r="X223" i="10"/>
  <c r="X222" i="10"/>
  <c r="X221" i="10"/>
  <c r="X220" i="10"/>
  <c r="X219" i="10"/>
  <c r="X218" i="10"/>
  <c r="X217" i="10"/>
  <c r="X216" i="10"/>
  <c r="X215" i="10"/>
  <c r="X214" i="10"/>
  <c r="X213" i="10"/>
  <c r="X212" i="10"/>
  <c r="X211" i="10"/>
  <c r="X210" i="10"/>
  <c r="X209" i="10"/>
  <c r="X208" i="10"/>
  <c r="X207" i="10"/>
  <c r="X206" i="10"/>
  <c r="X205" i="10"/>
  <c r="X204" i="10"/>
  <c r="X203" i="10"/>
  <c r="X202" i="10"/>
  <c r="X201" i="10"/>
  <c r="X200" i="10"/>
  <c r="X199" i="10"/>
  <c r="X198" i="10"/>
  <c r="X197" i="10"/>
  <c r="X196" i="10"/>
  <c r="X195" i="10"/>
  <c r="X194" i="10"/>
  <c r="X193" i="10"/>
  <c r="X192" i="10"/>
  <c r="X191" i="10"/>
  <c r="X190" i="10"/>
  <c r="X189" i="10"/>
  <c r="X188" i="10"/>
  <c r="X187" i="10"/>
  <c r="X186" i="10"/>
  <c r="X185" i="10"/>
  <c r="X184" i="10"/>
  <c r="X183" i="10"/>
  <c r="X182" i="10"/>
  <c r="X181" i="10"/>
  <c r="X180" i="10"/>
  <c r="X179" i="10"/>
  <c r="X178" i="10"/>
  <c r="X177" i="10"/>
  <c r="X176" i="10"/>
  <c r="X175" i="10"/>
  <c r="X174" i="10"/>
  <c r="X173" i="10"/>
  <c r="X172" i="10"/>
  <c r="X171" i="10"/>
  <c r="X170" i="10"/>
  <c r="X169" i="10"/>
  <c r="X168" i="10"/>
  <c r="X167" i="10"/>
  <c r="X166" i="10"/>
  <c r="X165" i="10"/>
  <c r="X164" i="10"/>
  <c r="X163" i="10"/>
  <c r="X162" i="10"/>
  <c r="X161" i="10"/>
  <c r="X160" i="10"/>
  <c r="X159" i="10"/>
  <c r="X158" i="10"/>
  <c r="X157" i="10"/>
  <c r="X156" i="10"/>
  <c r="X155" i="10"/>
  <c r="X154" i="10"/>
  <c r="X153" i="10"/>
  <c r="X152" i="10"/>
  <c r="X151" i="10"/>
  <c r="X150" i="10"/>
  <c r="X149" i="10"/>
  <c r="X148" i="10"/>
  <c r="X147" i="10"/>
  <c r="X146" i="10"/>
  <c r="X145" i="10"/>
  <c r="X144" i="10"/>
  <c r="X143" i="10"/>
  <c r="X142" i="10"/>
  <c r="X141" i="10"/>
  <c r="X140" i="10"/>
  <c r="X139" i="10"/>
  <c r="X138" i="10"/>
  <c r="X137" i="10"/>
  <c r="X136" i="10"/>
  <c r="X135" i="10"/>
  <c r="X134" i="10"/>
  <c r="X133" i="10"/>
  <c r="X132" i="10"/>
  <c r="X131" i="10"/>
  <c r="X130" i="10"/>
  <c r="X129" i="10"/>
  <c r="X128" i="10"/>
  <c r="X127" i="10"/>
  <c r="X126" i="10"/>
  <c r="X125" i="10"/>
  <c r="X124" i="10"/>
  <c r="X123" i="10"/>
  <c r="X122" i="10"/>
  <c r="X121" i="10"/>
  <c r="X120" i="10"/>
  <c r="X119" i="10"/>
  <c r="X118" i="10"/>
  <c r="X117" i="10"/>
  <c r="X116" i="10"/>
  <c r="X115" i="10"/>
  <c r="X114" i="10"/>
  <c r="X113" i="10"/>
  <c r="X112" i="10"/>
  <c r="X111" i="10"/>
  <c r="X110" i="10"/>
  <c r="X109" i="10"/>
  <c r="X108" i="10"/>
  <c r="X107" i="10"/>
  <c r="X106" i="10"/>
  <c r="X105" i="10"/>
  <c r="X104" i="10"/>
  <c r="X103" i="10"/>
  <c r="X102" i="10"/>
  <c r="X101" i="10"/>
  <c r="X100" i="10"/>
  <c r="X99" i="10"/>
  <c r="X98" i="10"/>
  <c r="X97" i="10"/>
  <c r="X96" i="10"/>
  <c r="X95" i="10"/>
  <c r="X94" i="10"/>
  <c r="X93" i="10"/>
  <c r="X92" i="10"/>
  <c r="X91" i="10"/>
  <c r="X90" i="10"/>
  <c r="X89" i="10"/>
  <c r="X88" i="10"/>
  <c r="X87" i="10"/>
  <c r="X86" i="10"/>
  <c r="X85" i="10"/>
  <c r="X84" i="10"/>
  <c r="X83" i="10"/>
  <c r="X82" i="10"/>
  <c r="X81" i="10"/>
  <c r="X80" i="10"/>
  <c r="X79" i="10"/>
  <c r="X78" i="10"/>
  <c r="X77" i="10"/>
  <c r="X76" i="10"/>
  <c r="X75" i="10"/>
  <c r="X74" i="10"/>
  <c r="X73" i="10"/>
  <c r="X72" i="10"/>
  <c r="X71" i="10"/>
  <c r="X70" i="10"/>
  <c r="X69" i="10"/>
  <c r="X68" i="10"/>
  <c r="X67" i="10"/>
  <c r="X66" i="10"/>
  <c r="X65" i="10"/>
  <c r="X64" i="10"/>
  <c r="X63" i="10"/>
  <c r="X62" i="10"/>
  <c r="X61" i="10"/>
  <c r="X60" i="10"/>
  <c r="X59" i="10"/>
  <c r="X58" i="10"/>
  <c r="X57" i="10"/>
  <c r="X56" i="10"/>
  <c r="X55" i="10"/>
  <c r="X54" i="10"/>
  <c r="X53" i="10"/>
  <c r="X52" i="10"/>
  <c r="X51" i="10"/>
  <c r="X50" i="10"/>
  <c r="X49" i="10"/>
  <c r="X48" i="10"/>
  <c r="X47" i="10"/>
  <c r="X46" i="10"/>
  <c r="X45" i="10"/>
  <c r="X44" i="10"/>
  <c r="X43" i="10"/>
  <c r="X42" i="10"/>
  <c r="X41" i="10"/>
  <c r="X40" i="10"/>
  <c r="X39" i="10"/>
  <c r="X38" i="10"/>
  <c r="X37" i="10"/>
  <c r="X36" i="10"/>
  <c r="X35" i="10"/>
  <c r="X34" i="10"/>
  <c r="X33" i="10"/>
  <c r="X32" i="10"/>
  <c r="X31" i="10"/>
  <c r="X30" i="10"/>
  <c r="X29" i="10"/>
  <c r="X28" i="10"/>
  <c r="X27" i="10"/>
  <c r="X26" i="10"/>
  <c r="X25" i="10"/>
  <c r="X24" i="10"/>
  <c r="X23" i="10"/>
  <c r="X22" i="10"/>
  <c r="X21" i="10"/>
  <c r="X20" i="10"/>
  <c r="X19" i="10"/>
  <c r="X18" i="10"/>
  <c r="X17" i="10"/>
  <c r="X16" i="10"/>
  <c r="X15" i="10"/>
  <c r="X14" i="10"/>
  <c r="X13" i="10"/>
  <c r="X12" i="10"/>
  <c r="X11" i="10"/>
  <c r="X10" i="10"/>
  <c r="X9" i="10"/>
  <c r="X8" i="10"/>
  <c r="X7" i="10"/>
  <c r="X6" i="10"/>
  <c r="W2855" i="10"/>
  <c r="W2854" i="10"/>
  <c r="W2853" i="10"/>
  <c r="W2852" i="10"/>
  <c r="W2851" i="10"/>
  <c r="W2850" i="10"/>
  <c r="W2849" i="10"/>
  <c r="W2848" i="10"/>
  <c r="W2847" i="10"/>
  <c r="W2846" i="10"/>
  <c r="W2845" i="10"/>
  <c r="W2844" i="10"/>
  <c r="W2843" i="10"/>
  <c r="W2842" i="10"/>
  <c r="W2841" i="10"/>
  <c r="W2840" i="10"/>
  <c r="W2839" i="10"/>
  <c r="W2838" i="10"/>
  <c r="W2837" i="10"/>
  <c r="W2836" i="10"/>
  <c r="W2835" i="10"/>
  <c r="W2834" i="10"/>
  <c r="W2833" i="10"/>
  <c r="W2832" i="10"/>
  <c r="W2831" i="10"/>
  <c r="W2830" i="10"/>
  <c r="W2829" i="10"/>
  <c r="W2828" i="10"/>
  <c r="W2827" i="10"/>
  <c r="W2826" i="10"/>
  <c r="W2825" i="10"/>
  <c r="W2824" i="10"/>
  <c r="W2823" i="10"/>
  <c r="W2822" i="10"/>
  <c r="W2821" i="10"/>
  <c r="W2820" i="10"/>
  <c r="W2819" i="10"/>
  <c r="W2818" i="10"/>
  <c r="W2817" i="10"/>
  <c r="W2816" i="10"/>
  <c r="W2815" i="10"/>
  <c r="W2814" i="10"/>
  <c r="W2813" i="10"/>
  <c r="W2812" i="10"/>
  <c r="W2811" i="10"/>
  <c r="W2810" i="10"/>
  <c r="W2809" i="10"/>
  <c r="W2808" i="10"/>
  <c r="W2807" i="10"/>
  <c r="W2806" i="10"/>
  <c r="W2805" i="10"/>
  <c r="W2804" i="10"/>
  <c r="W2803" i="10"/>
  <c r="W2802" i="10"/>
  <c r="W2801" i="10"/>
  <c r="W2800" i="10"/>
  <c r="W2799" i="10"/>
  <c r="W2798" i="10"/>
  <c r="W2797" i="10"/>
  <c r="W2796" i="10"/>
  <c r="W2795" i="10"/>
  <c r="W2794" i="10"/>
  <c r="W2793" i="10"/>
  <c r="W2792" i="10"/>
  <c r="W2791" i="10"/>
  <c r="W2790" i="10"/>
  <c r="W2789" i="10"/>
  <c r="W2788" i="10"/>
  <c r="W2787" i="10"/>
  <c r="W2786" i="10"/>
  <c r="W2785" i="10"/>
  <c r="W2784" i="10"/>
  <c r="W2783" i="10"/>
  <c r="W2782" i="10"/>
  <c r="W2781" i="10"/>
  <c r="W2780" i="10"/>
  <c r="W2779" i="10"/>
  <c r="W2778" i="10"/>
  <c r="W2777" i="10"/>
  <c r="W2776" i="10"/>
  <c r="W2775" i="10"/>
  <c r="W2774" i="10"/>
  <c r="W2773" i="10"/>
  <c r="W2772" i="10"/>
  <c r="W2771" i="10"/>
  <c r="W2770" i="10"/>
  <c r="W2769" i="10"/>
  <c r="W2768" i="10"/>
  <c r="W2767" i="10"/>
  <c r="W2766" i="10"/>
  <c r="W2765" i="10"/>
  <c r="W2764" i="10"/>
  <c r="W2763" i="10"/>
  <c r="W2762" i="10"/>
  <c r="W2761" i="10"/>
  <c r="W2760" i="10"/>
  <c r="W2759" i="10"/>
  <c r="W2758" i="10"/>
  <c r="W2757" i="10"/>
  <c r="W2756" i="10"/>
  <c r="W2755" i="10"/>
  <c r="W2754" i="10"/>
  <c r="W2753" i="10"/>
  <c r="W2752" i="10"/>
  <c r="W2751" i="10"/>
  <c r="W2750" i="10"/>
  <c r="W2749" i="10"/>
  <c r="W2748" i="10"/>
  <c r="W2747" i="10"/>
  <c r="W2746" i="10"/>
  <c r="W2745" i="10"/>
  <c r="W2744" i="10"/>
  <c r="W2743" i="10"/>
  <c r="W2742" i="10"/>
  <c r="W2741" i="10"/>
  <c r="W2740" i="10"/>
  <c r="W2739" i="10"/>
  <c r="W2738" i="10"/>
  <c r="W2737" i="10"/>
  <c r="W2736" i="10"/>
  <c r="W2735" i="10"/>
  <c r="W2734" i="10"/>
  <c r="W2733" i="10"/>
  <c r="W2732" i="10"/>
  <c r="W2731" i="10"/>
  <c r="W2730" i="10"/>
  <c r="W2729" i="10"/>
  <c r="W2728" i="10"/>
  <c r="W2727" i="10"/>
  <c r="W2726" i="10"/>
  <c r="W2725" i="10"/>
  <c r="W2724" i="10"/>
  <c r="W2723" i="10"/>
  <c r="W2722" i="10"/>
  <c r="W2721" i="10"/>
  <c r="W2720" i="10"/>
  <c r="W2719" i="10"/>
  <c r="W2718" i="10"/>
  <c r="W2717" i="10"/>
  <c r="W2716" i="10"/>
  <c r="W2715" i="10"/>
  <c r="W2714" i="10"/>
  <c r="W2713" i="10"/>
  <c r="W2712" i="10"/>
  <c r="W2711" i="10"/>
  <c r="W2710" i="10"/>
  <c r="W2709" i="10"/>
  <c r="W2708" i="10"/>
  <c r="W2707" i="10"/>
  <c r="W2706" i="10"/>
  <c r="W2705" i="10"/>
  <c r="W2704" i="10"/>
  <c r="W2703" i="10"/>
  <c r="W2702" i="10"/>
  <c r="W2701" i="10"/>
  <c r="W2700" i="10"/>
  <c r="W2699" i="10"/>
  <c r="W2698" i="10"/>
  <c r="W2697" i="10"/>
  <c r="W2696" i="10"/>
  <c r="W2695" i="10"/>
  <c r="W2694" i="10"/>
  <c r="W2693" i="10"/>
  <c r="W2692" i="10"/>
  <c r="W2691" i="10"/>
  <c r="W2690" i="10"/>
  <c r="W2689" i="10"/>
  <c r="W2688" i="10"/>
  <c r="W2687" i="10"/>
  <c r="W2686" i="10"/>
  <c r="W2685" i="10"/>
  <c r="W2684" i="10"/>
  <c r="W2683" i="10"/>
  <c r="W2682" i="10"/>
  <c r="W2681" i="10"/>
  <c r="W2680" i="10"/>
  <c r="W2679" i="10"/>
  <c r="W2678" i="10"/>
  <c r="W2677" i="10"/>
  <c r="W2676" i="10"/>
  <c r="W2675" i="10"/>
  <c r="W2674" i="10"/>
  <c r="W2673" i="10"/>
  <c r="W2672" i="10"/>
  <c r="W2671" i="10"/>
  <c r="W2670" i="10"/>
  <c r="W2669" i="10"/>
  <c r="W2668" i="10"/>
  <c r="W2667" i="10"/>
  <c r="W2666" i="10"/>
  <c r="W2665" i="10"/>
  <c r="W2664" i="10"/>
  <c r="W2663" i="10"/>
  <c r="W2662" i="10"/>
  <c r="W2661" i="10"/>
  <c r="W2660" i="10"/>
  <c r="W2659" i="10"/>
  <c r="W2658" i="10"/>
  <c r="W2657" i="10"/>
  <c r="W2656" i="10"/>
  <c r="W2655" i="10"/>
  <c r="W2654" i="10"/>
  <c r="W2653" i="10"/>
  <c r="W2652" i="10"/>
  <c r="W2651" i="10"/>
  <c r="W2650" i="10"/>
  <c r="W2649" i="10"/>
  <c r="W2648" i="10"/>
  <c r="W2647" i="10"/>
  <c r="W2646" i="10"/>
  <c r="W2645" i="10"/>
  <c r="W2644" i="10"/>
  <c r="W2643" i="10"/>
  <c r="W2642" i="10"/>
  <c r="W2641" i="10"/>
  <c r="W2640" i="10"/>
  <c r="W2639" i="10"/>
  <c r="W2638" i="10"/>
  <c r="W2637" i="10"/>
  <c r="W2636" i="10"/>
  <c r="W2635" i="10"/>
  <c r="W2634" i="10"/>
  <c r="W2633" i="10"/>
  <c r="W2632" i="10"/>
  <c r="W2631" i="10"/>
  <c r="W2630" i="10"/>
  <c r="W2629" i="10"/>
  <c r="W2628" i="10"/>
  <c r="W2627" i="10"/>
  <c r="W2626" i="10"/>
  <c r="W2625" i="10"/>
  <c r="W2624" i="10"/>
  <c r="W2623" i="10"/>
  <c r="W2622" i="10"/>
  <c r="W2621" i="10"/>
  <c r="W2620" i="10"/>
  <c r="W2619" i="10"/>
  <c r="W2618" i="10"/>
  <c r="W2617" i="10"/>
  <c r="W2616" i="10"/>
  <c r="W2615" i="10"/>
  <c r="W2614" i="10"/>
  <c r="W2613" i="10"/>
  <c r="W2612" i="10"/>
  <c r="W2611" i="10"/>
  <c r="W2610" i="10"/>
  <c r="W2609" i="10"/>
  <c r="W2608" i="10"/>
  <c r="W2607" i="10"/>
  <c r="W2606" i="10"/>
  <c r="W2605" i="10"/>
  <c r="W2604" i="10"/>
  <c r="W2603" i="10"/>
  <c r="W2602" i="10"/>
  <c r="W2601" i="10"/>
  <c r="W2600" i="10"/>
  <c r="W2599" i="10"/>
  <c r="W2598" i="10"/>
  <c r="W2597" i="10"/>
  <c r="W2596" i="10"/>
  <c r="W2595" i="10"/>
  <c r="W2594" i="10"/>
  <c r="W2593" i="10"/>
  <c r="W2592" i="10"/>
  <c r="W2591" i="10"/>
  <c r="W2590" i="10"/>
  <c r="W2589" i="10"/>
  <c r="W2588" i="10"/>
  <c r="W2587" i="10"/>
  <c r="W2586" i="10"/>
  <c r="W2585" i="10"/>
  <c r="W2584" i="10"/>
  <c r="W2583" i="10"/>
  <c r="W2582" i="10"/>
  <c r="W2581" i="10"/>
  <c r="W2580" i="10"/>
  <c r="W2579" i="10"/>
  <c r="W2578" i="10"/>
  <c r="W2577" i="10"/>
  <c r="W2576" i="10"/>
  <c r="W2575" i="10"/>
  <c r="W2574" i="10"/>
  <c r="W2573" i="10"/>
  <c r="W2572" i="10"/>
  <c r="W2571" i="10"/>
  <c r="W2570" i="10"/>
  <c r="W2569" i="10"/>
  <c r="W2568" i="10"/>
  <c r="W2567" i="10"/>
  <c r="W2566" i="10"/>
  <c r="W2565" i="10"/>
  <c r="W2564" i="10"/>
  <c r="W2563" i="10"/>
  <c r="W2562" i="10"/>
  <c r="W2561" i="10"/>
  <c r="W2560" i="10"/>
  <c r="W2559" i="10"/>
  <c r="W2558" i="10"/>
  <c r="W2557" i="10"/>
  <c r="W2556" i="10"/>
  <c r="W2555" i="10"/>
  <c r="W2554" i="10"/>
  <c r="W2553" i="10"/>
  <c r="W2552" i="10"/>
  <c r="W2551" i="10"/>
  <c r="W2550" i="10"/>
  <c r="W2549" i="10"/>
  <c r="W2548" i="10"/>
  <c r="W2547" i="10"/>
  <c r="W2546" i="10"/>
  <c r="W2545" i="10"/>
  <c r="W2544" i="10"/>
  <c r="W2543" i="10"/>
  <c r="W2542" i="10"/>
  <c r="W2541" i="10"/>
  <c r="W2540" i="10"/>
  <c r="W2539" i="10"/>
  <c r="W2538" i="10"/>
  <c r="W2537" i="10"/>
  <c r="W2536" i="10"/>
  <c r="W2535" i="10"/>
  <c r="W2534" i="10"/>
  <c r="W2533" i="10"/>
  <c r="W2532" i="10"/>
  <c r="W2531" i="10"/>
  <c r="W2530" i="10"/>
  <c r="W2529" i="10"/>
  <c r="W2528" i="10"/>
  <c r="W2527" i="10"/>
  <c r="W2526" i="10"/>
  <c r="W2525" i="10"/>
  <c r="W2524" i="10"/>
  <c r="W2523" i="10"/>
  <c r="W2522" i="10"/>
  <c r="W2521" i="10"/>
  <c r="W2520" i="10"/>
  <c r="W2519" i="10"/>
  <c r="W2518" i="10"/>
  <c r="W2517" i="10"/>
  <c r="W2516" i="10"/>
  <c r="W2515" i="10"/>
  <c r="W2514" i="10"/>
  <c r="W2513" i="10"/>
  <c r="W2512" i="10"/>
  <c r="W2511" i="10"/>
  <c r="W2510" i="10"/>
  <c r="W2509" i="10"/>
  <c r="W2508" i="10"/>
  <c r="W2507" i="10"/>
  <c r="W2506" i="10"/>
  <c r="W2505" i="10"/>
  <c r="W2504" i="10"/>
  <c r="W2503" i="10"/>
  <c r="W2502" i="10"/>
  <c r="W2501" i="10"/>
  <c r="W2500" i="10"/>
  <c r="W2499" i="10"/>
  <c r="W2498" i="10"/>
  <c r="W2497" i="10"/>
  <c r="W2496" i="10"/>
  <c r="W2495" i="10"/>
  <c r="W2494" i="10"/>
  <c r="W2493" i="10"/>
  <c r="W2492" i="10"/>
  <c r="W2491" i="10"/>
  <c r="W2490" i="10"/>
  <c r="W2489" i="10"/>
  <c r="W2488" i="10"/>
  <c r="W2487" i="10"/>
  <c r="W2486" i="10"/>
  <c r="W2485" i="10"/>
  <c r="W2484" i="10"/>
  <c r="W2483" i="10"/>
  <c r="W2482" i="10"/>
  <c r="W2481" i="10"/>
  <c r="W2480" i="10"/>
  <c r="W2479" i="10"/>
  <c r="W2478" i="10"/>
  <c r="W2477" i="10"/>
  <c r="W2476" i="10"/>
  <c r="W2475" i="10"/>
  <c r="W2474" i="10"/>
  <c r="W2473" i="10"/>
  <c r="W2472" i="10"/>
  <c r="W2471" i="10"/>
  <c r="W2470" i="10"/>
  <c r="W2469" i="10"/>
  <c r="W2468" i="10"/>
  <c r="W2467" i="10"/>
  <c r="W2466" i="10"/>
  <c r="W2465" i="10"/>
  <c r="W2464" i="10"/>
  <c r="W2463" i="10"/>
  <c r="W2462" i="10"/>
  <c r="W2461" i="10"/>
  <c r="W2460" i="10"/>
  <c r="W2459" i="10"/>
  <c r="W2458" i="10"/>
  <c r="W2457" i="10"/>
  <c r="W2456" i="10"/>
  <c r="W2455" i="10"/>
  <c r="W2454" i="10"/>
  <c r="W2453" i="10"/>
  <c r="W2452" i="10"/>
  <c r="W2451" i="10"/>
  <c r="W2450" i="10"/>
  <c r="W2449" i="10"/>
  <c r="W2448" i="10"/>
  <c r="W2447" i="10"/>
  <c r="W2446" i="10"/>
  <c r="W2445" i="10"/>
  <c r="W2444" i="10"/>
  <c r="W2443" i="10"/>
  <c r="W2442" i="10"/>
  <c r="W2441" i="10"/>
  <c r="W2440" i="10"/>
  <c r="W2439" i="10"/>
  <c r="W2438" i="10"/>
  <c r="W2437" i="10"/>
  <c r="W2436" i="10"/>
  <c r="W2435" i="10"/>
  <c r="W2434" i="10"/>
  <c r="W2433" i="10"/>
  <c r="W2432" i="10"/>
  <c r="W2431" i="10"/>
  <c r="W2430" i="10"/>
  <c r="W2429" i="10"/>
  <c r="W2428" i="10"/>
  <c r="W2427" i="10"/>
  <c r="W2426" i="10"/>
  <c r="W2425" i="10"/>
  <c r="W2424" i="10"/>
  <c r="W2423" i="10"/>
  <c r="W2422" i="10"/>
  <c r="W2421" i="10"/>
  <c r="W2420" i="10"/>
  <c r="W2419" i="10"/>
  <c r="W2418" i="10"/>
  <c r="W2417" i="10"/>
  <c r="W2416" i="10"/>
  <c r="W2415" i="10"/>
  <c r="W2414" i="10"/>
  <c r="W2413" i="10"/>
  <c r="W2412" i="10"/>
  <c r="W2411" i="10"/>
  <c r="W2410" i="10"/>
  <c r="W2409" i="10"/>
  <c r="W2408" i="10"/>
  <c r="W2407" i="10"/>
  <c r="W2406" i="10"/>
  <c r="W2405" i="10"/>
  <c r="W2404" i="10"/>
  <c r="W2403" i="10"/>
  <c r="W2402" i="10"/>
  <c r="W2401" i="10"/>
  <c r="W2400" i="10"/>
  <c r="W2399" i="10"/>
  <c r="W2398" i="10"/>
  <c r="W2397" i="10"/>
  <c r="W2396" i="10"/>
  <c r="W2395" i="10"/>
  <c r="W2394" i="10"/>
  <c r="W2393" i="10"/>
  <c r="W2392" i="10"/>
  <c r="W2391" i="10"/>
  <c r="W2390" i="10"/>
  <c r="W2389" i="10"/>
  <c r="W2388" i="10"/>
  <c r="W2387" i="10"/>
  <c r="W2386" i="10"/>
  <c r="W2385" i="10"/>
  <c r="W2384" i="10"/>
  <c r="W2383" i="10"/>
  <c r="W2382" i="10"/>
  <c r="W2381" i="10"/>
  <c r="W2380" i="10"/>
  <c r="W2379" i="10"/>
  <c r="W2378" i="10"/>
  <c r="W2377" i="10"/>
  <c r="W2376" i="10"/>
  <c r="W2375" i="10"/>
  <c r="W2374" i="10"/>
  <c r="W2373" i="10"/>
  <c r="W2372" i="10"/>
  <c r="W2371" i="10"/>
  <c r="W2370" i="10"/>
  <c r="W2369" i="10"/>
  <c r="W2368" i="10"/>
  <c r="W2367" i="10"/>
  <c r="W2366" i="10"/>
  <c r="W2365" i="10"/>
  <c r="W2364" i="10"/>
  <c r="W2363" i="10"/>
  <c r="W2362" i="10"/>
  <c r="W2361" i="10"/>
  <c r="W2360" i="10"/>
  <c r="W2359" i="10"/>
  <c r="W2358" i="10"/>
  <c r="W2357" i="10"/>
  <c r="W2356" i="10"/>
  <c r="W2355" i="10"/>
  <c r="W2354" i="10"/>
  <c r="W2353" i="10"/>
  <c r="W2352" i="10"/>
  <c r="W2351" i="10"/>
  <c r="W2350" i="10"/>
  <c r="W2349" i="10"/>
  <c r="W2348" i="10"/>
  <c r="W2347" i="10"/>
  <c r="W2346" i="10"/>
  <c r="W2345" i="10"/>
  <c r="W2344" i="10"/>
  <c r="W2343" i="10"/>
  <c r="W2342" i="10"/>
  <c r="W2341" i="10"/>
  <c r="W2340" i="10"/>
  <c r="W2339" i="10"/>
  <c r="W2338" i="10"/>
  <c r="W2337" i="10"/>
  <c r="W2336" i="10"/>
  <c r="W2335" i="10"/>
  <c r="W2334" i="10"/>
  <c r="W2333" i="10"/>
  <c r="W2332" i="10"/>
  <c r="W2331" i="10"/>
  <c r="W2330" i="10"/>
  <c r="W2329" i="10"/>
  <c r="W2328" i="10"/>
  <c r="W2327" i="10"/>
  <c r="W2326" i="10"/>
  <c r="W2325" i="10"/>
  <c r="W2324" i="10"/>
  <c r="W2323" i="10"/>
  <c r="W2322" i="10"/>
  <c r="W2321" i="10"/>
  <c r="W2320" i="10"/>
  <c r="W2319" i="10"/>
  <c r="W2318" i="10"/>
  <c r="W2317" i="10"/>
  <c r="W2316" i="10"/>
  <c r="W2315" i="10"/>
  <c r="W2314" i="10"/>
  <c r="W2313" i="10"/>
  <c r="W2312" i="10"/>
  <c r="W2311" i="10"/>
  <c r="W2310" i="10"/>
  <c r="W2309" i="10"/>
  <c r="W2308" i="10"/>
  <c r="W2307" i="10"/>
  <c r="W2306" i="10"/>
  <c r="W2305" i="10"/>
  <c r="W2304" i="10"/>
  <c r="W2303" i="10"/>
  <c r="W2302" i="10"/>
  <c r="W2301" i="10"/>
  <c r="W2300" i="10"/>
  <c r="W2299" i="10"/>
  <c r="W2298" i="10"/>
  <c r="W2297" i="10"/>
  <c r="W2296" i="10"/>
  <c r="W2295" i="10"/>
  <c r="W2294" i="10"/>
  <c r="W2293" i="10"/>
  <c r="W2292" i="10"/>
  <c r="W2291" i="10"/>
  <c r="W2290" i="10"/>
  <c r="W2289" i="10"/>
  <c r="W2288" i="10"/>
  <c r="W2287" i="10"/>
  <c r="W2286" i="10"/>
  <c r="W2285" i="10"/>
  <c r="W2284" i="10"/>
  <c r="W2283" i="10"/>
  <c r="W2282" i="10"/>
  <c r="W2281" i="10"/>
  <c r="W2280" i="10"/>
  <c r="W2279" i="10"/>
  <c r="W2278" i="10"/>
  <c r="W2277" i="10"/>
  <c r="W2276" i="10"/>
  <c r="W2275" i="10"/>
  <c r="W2274" i="10"/>
  <c r="W2273" i="10"/>
  <c r="W2272" i="10"/>
  <c r="W2271" i="10"/>
  <c r="W2270" i="10"/>
  <c r="W2269" i="10"/>
  <c r="W2268" i="10"/>
  <c r="W2267" i="10"/>
  <c r="W2266" i="10"/>
  <c r="W2265" i="10"/>
  <c r="W2264" i="10"/>
  <c r="W2263" i="10"/>
  <c r="W2262" i="10"/>
  <c r="W2261" i="10"/>
  <c r="W2260" i="10"/>
  <c r="W2259" i="10"/>
  <c r="W2258" i="10"/>
  <c r="W2257" i="10"/>
  <c r="W2256" i="10"/>
  <c r="W2255" i="10"/>
  <c r="W2254" i="10"/>
  <c r="W2253" i="10"/>
  <c r="W2252" i="10"/>
  <c r="W2251" i="10"/>
  <c r="W2250" i="10"/>
  <c r="W2249" i="10"/>
  <c r="W2248" i="10"/>
  <c r="W2247" i="10"/>
  <c r="W2246" i="10"/>
  <c r="W2245" i="10"/>
  <c r="W2244" i="10"/>
  <c r="W2243" i="10"/>
  <c r="W2242" i="10"/>
  <c r="W2241" i="10"/>
  <c r="W2240" i="10"/>
  <c r="W2239" i="10"/>
  <c r="W2238" i="10"/>
  <c r="W2237" i="10"/>
  <c r="W2236" i="10"/>
  <c r="W2235" i="10"/>
  <c r="W2234" i="10"/>
  <c r="W2233" i="10"/>
  <c r="W2232" i="10"/>
  <c r="W2231" i="10"/>
  <c r="W2230" i="10"/>
  <c r="W2229" i="10"/>
  <c r="W2228" i="10"/>
  <c r="W2227" i="10"/>
  <c r="W2226" i="10"/>
  <c r="W2225" i="10"/>
  <c r="W2224" i="10"/>
  <c r="W2223" i="10"/>
  <c r="W2222" i="10"/>
  <c r="W2221" i="10"/>
  <c r="W2220" i="10"/>
  <c r="W2219" i="10"/>
  <c r="W2218" i="10"/>
  <c r="W2217" i="10"/>
  <c r="W2216" i="10"/>
  <c r="W2215" i="10"/>
  <c r="W2214" i="10"/>
  <c r="W2213" i="10"/>
  <c r="W2212" i="10"/>
  <c r="W2211" i="10"/>
  <c r="W2210" i="10"/>
  <c r="W2209" i="10"/>
  <c r="W2208" i="10"/>
  <c r="W2207" i="10"/>
  <c r="W2206" i="10"/>
  <c r="W2205" i="10"/>
  <c r="W2204" i="10"/>
  <c r="W2203" i="10"/>
  <c r="W2202" i="10"/>
  <c r="W2201" i="10"/>
  <c r="W2200" i="10"/>
  <c r="W2199" i="10"/>
  <c r="W2198" i="10"/>
  <c r="W2197" i="10"/>
  <c r="W2196" i="10"/>
  <c r="W2195" i="10"/>
  <c r="W2194" i="10"/>
  <c r="W2193" i="10"/>
  <c r="W2192" i="10"/>
  <c r="W2191" i="10"/>
  <c r="W2190" i="10"/>
  <c r="W2189" i="10"/>
  <c r="W2188" i="10"/>
  <c r="W2187" i="10"/>
  <c r="W2186" i="10"/>
  <c r="W2185" i="10"/>
  <c r="W2184" i="10"/>
  <c r="W2183" i="10"/>
  <c r="W2182" i="10"/>
  <c r="W2181" i="10"/>
  <c r="W2180" i="10"/>
  <c r="W2179" i="10"/>
  <c r="W2178" i="10"/>
  <c r="W2177" i="10"/>
  <c r="W2176" i="10"/>
  <c r="W2175" i="10"/>
  <c r="W2174" i="10"/>
  <c r="W2173" i="10"/>
  <c r="W2172" i="10"/>
  <c r="W2171" i="10"/>
  <c r="W2170" i="10"/>
  <c r="W2169" i="10"/>
  <c r="W2168" i="10"/>
  <c r="W2167" i="10"/>
  <c r="W2166" i="10"/>
  <c r="W2165" i="10"/>
  <c r="W2164" i="10"/>
  <c r="W2163" i="10"/>
  <c r="W2162" i="10"/>
  <c r="W2161" i="10"/>
  <c r="W2160" i="10"/>
  <c r="W2159" i="10"/>
  <c r="W2158" i="10"/>
  <c r="W2157" i="10"/>
  <c r="W2156" i="10"/>
  <c r="W2155" i="10"/>
  <c r="W2154" i="10"/>
  <c r="W2153" i="10"/>
  <c r="W2152" i="10"/>
  <c r="W2151" i="10"/>
  <c r="W2150" i="10"/>
  <c r="W2149" i="10"/>
  <c r="W2148" i="10"/>
  <c r="W2147" i="10"/>
  <c r="W2146" i="10"/>
  <c r="W2145" i="10"/>
  <c r="W2144" i="10"/>
  <c r="W2143" i="10"/>
  <c r="W2142" i="10"/>
  <c r="W2141" i="10"/>
  <c r="W2140" i="10"/>
  <c r="W2139" i="10"/>
  <c r="W2138" i="10"/>
  <c r="W2137" i="10"/>
  <c r="W2136" i="10"/>
  <c r="W2135" i="10"/>
  <c r="W2134" i="10"/>
  <c r="W2133" i="10"/>
  <c r="W2132" i="10"/>
  <c r="W2131" i="10"/>
  <c r="W2130" i="10"/>
  <c r="W2129" i="10"/>
  <c r="W2128" i="10"/>
  <c r="W2127" i="10"/>
  <c r="W2126" i="10"/>
  <c r="W2125" i="10"/>
  <c r="W2124" i="10"/>
  <c r="W2123" i="10"/>
  <c r="W2122" i="10"/>
  <c r="W2121" i="10"/>
  <c r="W2120" i="10"/>
  <c r="W2119" i="10"/>
  <c r="W2118" i="10"/>
  <c r="W2117" i="10"/>
  <c r="W2116" i="10"/>
  <c r="W2115" i="10"/>
  <c r="W2114" i="10"/>
  <c r="W2113" i="10"/>
  <c r="W2112" i="10"/>
  <c r="W2111" i="10"/>
  <c r="W2110" i="10"/>
  <c r="W2109" i="10"/>
  <c r="W2108" i="10"/>
  <c r="W2107" i="10"/>
  <c r="W2106" i="10"/>
  <c r="W2105" i="10"/>
  <c r="W2104" i="10"/>
  <c r="W2103" i="10"/>
  <c r="W2102" i="10"/>
  <c r="W2101" i="10"/>
  <c r="W2100" i="10"/>
  <c r="W2099" i="10"/>
  <c r="W2098" i="10"/>
  <c r="W2097" i="10"/>
  <c r="W2096" i="10"/>
  <c r="W2095" i="10"/>
  <c r="W2094" i="10"/>
  <c r="W2093" i="10"/>
  <c r="W2092" i="10"/>
  <c r="W2091" i="10"/>
  <c r="W2090" i="10"/>
  <c r="W2089" i="10"/>
  <c r="W2088" i="10"/>
  <c r="W2087" i="10"/>
  <c r="W2086" i="10"/>
  <c r="W2085" i="10"/>
  <c r="W2084" i="10"/>
  <c r="W2083" i="10"/>
  <c r="W2082" i="10"/>
  <c r="W2081" i="10"/>
  <c r="W2080" i="10"/>
  <c r="W2079" i="10"/>
  <c r="W2078" i="10"/>
  <c r="W2077" i="10"/>
  <c r="W2076" i="10"/>
  <c r="W2075" i="10"/>
  <c r="W2074" i="10"/>
  <c r="W2073" i="10"/>
  <c r="W2072" i="10"/>
  <c r="W2071" i="10"/>
  <c r="W2070" i="10"/>
  <c r="W2069" i="10"/>
  <c r="W2068" i="10"/>
  <c r="W2067" i="10"/>
  <c r="W2066" i="10"/>
  <c r="W2065" i="10"/>
  <c r="W2064" i="10"/>
  <c r="W2063" i="10"/>
  <c r="W2062" i="10"/>
  <c r="W2061" i="10"/>
  <c r="W2060" i="10"/>
  <c r="W2059" i="10"/>
  <c r="W2058" i="10"/>
  <c r="W2057" i="10"/>
  <c r="W2056" i="10"/>
  <c r="W2055" i="10"/>
  <c r="W2054" i="10"/>
  <c r="W2053" i="10"/>
  <c r="W2052" i="10"/>
  <c r="W2051" i="10"/>
  <c r="W2050" i="10"/>
  <c r="W2049" i="10"/>
  <c r="W2048" i="10"/>
  <c r="W2047" i="10"/>
  <c r="W2046" i="10"/>
  <c r="W2045" i="10"/>
  <c r="W2044" i="10"/>
  <c r="W2043" i="10"/>
  <c r="W2042" i="10"/>
  <c r="W2041" i="10"/>
  <c r="W2040" i="10"/>
  <c r="W2039" i="10"/>
  <c r="W2038" i="10"/>
  <c r="W2037" i="10"/>
  <c r="W2036" i="10"/>
  <c r="W2035" i="10"/>
  <c r="W2034" i="10"/>
  <c r="W2033" i="10"/>
  <c r="W2032" i="10"/>
  <c r="W2031" i="10"/>
  <c r="W2030" i="10"/>
  <c r="W2029" i="10"/>
  <c r="W2028" i="10"/>
  <c r="W2027" i="10"/>
  <c r="W2026" i="10"/>
  <c r="W2025" i="10"/>
  <c r="W2024" i="10"/>
  <c r="W2023" i="10"/>
  <c r="W2022" i="10"/>
  <c r="W2021" i="10"/>
  <c r="W2020" i="10"/>
  <c r="W2019" i="10"/>
  <c r="W2018" i="10"/>
  <c r="W2017" i="10"/>
  <c r="W2016" i="10"/>
  <c r="W2015" i="10"/>
  <c r="W2014" i="10"/>
  <c r="W2013" i="10"/>
  <c r="W2012" i="10"/>
  <c r="W2011" i="10"/>
  <c r="W2010" i="10"/>
  <c r="W2009" i="10"/>
  <c r="W2008" i="10"/>
  <c r="W2007" i="10"/>
  <c r="W2006" i="10"/>
  <c r="W2005" i="10"/>
  <c r="W2004" i="10"/>
  <c r="W2003" i="10"/>
  <c r="W2002" i="10"/>
  <c r="W2001" i="10"/>
  <c r="W2000" i="10"/>
  <c r="W1999" i="10"/>
  <c r="W1998" i="10"/>
  <c r="W1997" i="10"/>
  <c r="W1996" i="10"/>
  <c r="W1995" i="10"/>
  <c r="W1994" i="10"/>
  <c r="W1993" i="10"/>
  <c r="W1992" i="10"/>
  <c r="W1991" i="10"/>
  <c r="W1990" i="10"/>
  <c r="W1989" i="10"/>
  <c r="W1988" i="10"/>
  <c r="W1987" i="10"/>
  <c r="W1986" i="10"/>
  <c r="W1985" i="10"/>
  <c r="W1984" i="10"/>
  <c r="W1983" i="10"/>
  <c r="W1982" i="10"/>
  <c r="W1981" i="10"/>
  <c r="W1980" i="10"/>
  <c r="W1979" i="10"/>
  <c r="W1978" i="10"/>
  <c r="W1977" i="10"/>
  <c r="W1976" i="10"/>
  <c r="W1975" i="10"/>
  <c r="W1974" i="10"/>
  <c r="W1973" i="10"/>
  <c r="W1972" i="10"/>
  <c r="W1971" i="10"/>
  <c r="W1970" i="10"/>
  <c r="W1969" i="10"/>
  <c r="W1968" i="10"/>
  <c r="W1967" i="10"/>
  <c r="W1966" i="10"/>
  <c r="W1965" i="10"/>
  <c r="W1964" i="10"/>
  <c r="W1963" i="10"/>
  <c r="W1962" i="10"/>
  <c r="W1961" i="10"/>
  <c r="W1960" i="10"/>
  <c r="W1959" i="10"/>
  <c r="W1958" i="10"/>
  <c r="W1957" i="10"/>
  <c r="W1956" i="10"/>
  <c r="W1955" i="10"/>
  <c r="W1954" i="10"/>
  <c r="W1953" i="10"/>
  <c r="W1952" i="10"/>
  <c r="W1951" i="10"/>
  <c r="W1950" i="10"/>
  <c r="W1949" i="10"/>
  <c r="W1948" i="10"/>
  <c r="W1947" i="10"/>
  <c r="W1946" i="10"/>
  <c r="W1945" i="10"/>
  <c r="W1944" i="10"/>
  <c r="W1943" i="10"/>
  <c r="W1942" i="10"/>
  <c r="W1941" i="10"/>
  <c r="W1940" i="10"/>
  <c r="W1939" i="10"/>
  <c r="W1938" i="10"/>
  <c r="W1937" i="10"/>
  <c r="W1936" i="10"/>
  <c r="W1935" i="10"/>
  <c r="W1934" i="10"/>
  <c r="W1933" i="10"/>
  <c r="W1932" i="10"/>
  <c r="W1931" i="10"/>
  <c r="W1930" i="10"/>
  <c r="W1929" i="10"/>
  <c r="W1928" i="10"/>
  <c r="W1927" i="10"/>
  <c r="W1926" i="10"/>
  <c r="W1925" i="10"/>
  <c r="W1924" i="10"/>
  <c r="W1923" i="10"/>
  <c r="W1922" i="10"/>
  <c r="W1921" i="10"/>
  <c r="W1920" i="10"/>
  <c r="W1919" i="10"/>
  <c r="W1918" i="10"/>
  <c r="W1917" i="10"/>
  <c r="W1916" i="10"/>
  <c r="W1915" i="10"/>
  <c r="W1914" i="10"/>
  <c r="W1913" i="10"/>
  <c r="W1912" i="10"/>
  <c r="W1911" i="10"/>
  <c r="W1910" i="10"/>
  <c r="W1909" i="10"/>
  <c r="W1908" i="10"/>
  <c r="W1907" i="10"/>
  <c r="W1906" i="10"/>
  <c r="W1905" i="10"/>
  <c r="W1904" i="10"/>
  <c r="W1903" i="10"/>
  <c r="W1902" i="10"/>
  <c r="W1901" i="10"/>
  <c r="W1900" i="10"/>
  <c r="W1899" i="10"/>
  <c r="W1898" i="10"/>
  <c r="W1897" i="10"/>
  <c r="W1896" i="10"/>
  <c r="W1895" i="10"/>
  <c r="W1894" i="10"/>
  <c r="W1893" i="10"/>
  <c r="W1892" i="10"/>
  <c r="W1891" i="10"/>
  <c r="W1890" i="10"/>
  <c r="W1889" i="10"/>
  <c r="W1888" i="10"/>
  <c r="W1887" i="10"/>
  <c r="W1886" i="10"/>
  <c r="W1885" i="10"/>
  <c r="W1884" i="10"/>
  <c r="W1883" i="10"/>
  <c r="W1882" i="10"/>
  <c r="W1881" i="10"/>
  <c r="W1880" i="10"/>
  <c r="W1879" i="10"/>
  <c r="W1878" i="10"/>
  <c r="W1877" i="10"/>
  <c r="W1876" i="10"/>
  <c r="W1875" i="10"/>
  <c r="W1874" i="10"/>
  <c r="W1873" i="10"/>
  <c r="W1872" i="10"/>
  <c r="W1871" i="10"/>
  <c r="W1870" i="10"/>
  <c r="W1869" i="10"/>
  <c r="W1868" i="10"/>
  <c r="W1867" i="10"/>
  <c r="W1866" i="10"/>
  <c r="W1865" i="10"/>
  <c r="W1864" i="10"/>
  <c r="W1863" i="10"/>
  <c r="W1862" i="10"/>
  <c r="W1861" i="10"/>
  <c r="W1860" i="10"/>
  <c r="W1859" i="10"/>
  <c r="W1858" i="10"/>
  <c r="W1857" i="10"/>
  <c r="W1856" i="10"/>
  <c r="W1855" i="10"/>
  <c r="W1854" i="10"/>
  <c r="W1853" i="10"/>
  <c r="W1852" i="10"/>
  <c r="W1851" i="10"/>
  <c r="W1850" i="10"/>
  <c r="W1849" i="10"/>
  <c r="W1848" i="10"/>
  <c r="W1847" i="10"/>
  <c r="W1846" i="10"/>
  <c r="W1845" i="10"/>
  <c r="W1844" i="10"/>
  <c r="W1843" i="10"/>
  <c r="W1842" i="10"/>
  <c r="W1841" i="10"/>
  <c r="W1840" i="10"/>
  <c r="W1839" i="10"/>
  <c r="W1838" i="10"/>
  <c r="W1837" i="10"/>
  <c r="W1836" i="10"/>
  <c r="W1835" i="10"/>
  <c r="W1834" i="10"/>
  <c r="W1833" i="10"/>
  <c r="W1832" i="10"/>
  <c r="W1831" i="10"/>
  <c r="W1830" i="10"/>
  <c r="W1829" i="10"/>
  <c r="W1828" i="10"/>
  <c r="W1827" i="10"/>
  <c r="W1826" i="10"/>
  <c r="W1825" i="10"/>
  <c r="W1824" i="10"/>
  <c r="W1823" i="10"/>
  <c r="W1822" i="10"/>
  <c r="W1821" i="10"/>
  <c r="W1820" i="10"/>
  <c r="W1819" i="10"/>
  <c r="W1818" i="10"/>
  <c r="W1817" i="10"/>
  <c r="W1816" i="10"/>
  <c r="W1815" i="10"/>
  <c r="W1814" i="10"/>
  <c r="W1813" i="10"/>
  <c r="W1812" i="10"/>
  <c r="W1811" i="10"/>
  <c r="W1810" i="10"/>
  <c r="W1809" i="10"/>
  <c r="W1808" i="10"/>
  <c r="W1807" i="10"/>
  <c r="W1806" i="10"/>
  <c r="W1805" i="10"/>
  <c r="W1804" i="10"/>
  <c r="W1803" i="10"/>
  <c r="W1802" i="10"/>
  <c r="W1801" i="10"/>
  <c r="W1800" i="10"/>
  <c r="W1799" i="10"/>
  <c r="W1798" i="10"/>
  <c r="W1797" i="10"/>
  <c r="W1796" i="10"/>
  <c r="W1795" i="10"/>
  <c r="W1794" i="10"/>
  <c r="W1793" i="10"/>
  <c r="W1792" i="10"/>
  <c r="W1791" i="10"/>
  <c r="W1790" i="10"/>
  <c r="W1789" i="10"/>
  <c r="W1788" i="10"/>
  <c r="W1787" i="10"/>
  <c r="W1786" i="10"/>
  <c r="W1785" i="10"/>
  <c r="W1784" i="10"/>
  <c r="W1783" i="10"/>
  <c r="W1782" i="10"/>
  <c r="W1781" i="10"/>
  <c r="W1780" i="10"/>
  <c r="W1779" i="10"/>
  <c r="W1778" i="10"/>
  <c r="W1777" i="10"/>
  <c r="W1776" i="10"/>
  <c r="W1775" i="10"/>
  <c r="W1774" i="10"/>
  <c r="W1773" i="10"/>
  <c r="W1772" i="10"/>
  <c r="W1771" i="10"/>
  <c r="W1770" i="10"/>
  <c r="W1769" i="10"/>
  <c r="W1768" i="10"/>
  <c r="W1767" i="10"/>
  <c r="W1766" i="10"/>
  <c r="W1765" i="10"/>
  <c r="W1764" i="10"/>
  <c r="W1763" i="10"/>
  <c r="W1762" i="10"/>
  <c r="W1761" i="10"/>
  <c r="W1760" i="10"/>
  <c r="W1759" i="10"/>
  <c r="W1758" i="10"/>
  <c r="W1757" i="10"/>
  <c r="W1756" i="10"/>
  <c r="W1755" i="10"/>
  <c r="W1754" i="10"/>
  <c r="W1753" i="10"/>
  <c r="W1752" i="10"/>
  <c r="W1751" i="10"/>
  <c r="W1750" i="10"/>
  <c r="W1749" i="10"/>
  <c r="W1748" i="10"/>
  <c r="W1747" i="10"/>
  <c r="W1746" i="10"/>
  <c r="W1745" i="10"/>
  <c r="W1744" i="10"/>
  <c r="W1743" i="10"/>
  <c r="W1742" i="10"/>
  <c r="W1741" i="10"/>
  <c r="W1740" i="10"/>
  <c r="W1739" i="10"/>
  <c r="W1738" i="10"/>
  <c r="W1737" i="10"/>
  <c r="W1736" i="10"/>
  <c r="W1735" i="10"/>
  <c r="W1734" i="10"/>
  <c r="W1733" i="10"/>
  <c r="W1732" i="10"/>
  <c r="W1731" i="10"/>
  <c r="W1730" i="10"/>
  <c r="W1729" i="10"/>
  <c r="W1728" i="10"/>
  <c r="W1727" i="10"/>
  <c r="W1726" i="10"/>
  <c r="W1725" i="10"/>
  <c r="W1724" i="10"/>
  <c r="W1723" i="10"/>
  <c r="W1722" i="10"/>
  <c r="W1721" i="10"/>
  <c r="W1720" i="10"/>
  <c r="W1719" i="10"/>
  <c r="W1718" i="10"/>
  <c r="W1717" i="10"/>
  <c r="W1716" i="10"/>
  <c r="W1715" i="10"/>
  <c r="W1714" i="10"/>
  <c r="W1713" i="10"/>
  <c r="W1712" i="10"/>
  <c r="W1711" i="10"/>
  <c r="W1710" i="10"/>
  <c r="W1709" i="10"/>
  <c r="W1708" i="10"/>
  <c r="W1707" i="10"/>
  <c r="W1706" i="10"/>
  <c r="W1705" i="10"/>
  <c r="W1704" i="10"/>
  <c r="W1703" i="10"/>
  <c r="W1702" i="10"/>
  <c r="W1701" i="10"/>
  <c r="W1700" i="10"/>
  <c r="W1699" i="10"/>
  <c r="W1698" i="10"/>
  <c r="W1697" i="10"/>
  <c r="W1696" i="10"/>
  <c r="W1695" i="10"/>
  <c r="W1694" i="10"/>
  <c r="W1693" i="10"/>
  <c r="W1692" i="10"/>
  <c r="W1691" i="10"/>
  <c r="W1690" i="10"/>
  <c r="W1689" i="10"/>
  <c r="W1688" i="10"/>
  <c r="W1687" i="10"/>
  <c r="W1686" i="10"/>
  <c r="W1685" i="10"/>
  <c r="W1684" i="10"/>
  <c r="W1683" i="10"/>
  <c r="W1682" i="10"/>
  <c r="W1681" i="10"/>
  <c r="W1680" i="10"/>
  <c r="W1679" i="10"/>
  <c r="W1678" i="10"/>
  <c r="W1677" i="10"/>
  <c r="W1676" i="10"/>
  <c r="W1675" i="10"/>
  <c r="W1674" i="10"/>
  <c r="W1673" i="10"/>
  <c r="W1672" i="10"/>
  <c r="W1671" i="10"/>
  <c r="W1670" i="10"/>
  <c r="W1669" i="10"/>
  <c r="W1668" i="10"/>
  <c r="W1667" i="10"/>
  <c r="W1666" i="10"/>
  <c r="W1665" i="10"/>
  <c r="W1664" i="10"/>
  <c r="W1663" i="10"/>
  <c r="W1662" i="10"/>
  <c r="W1661" i="10"/>
  <c r="W1660" i="10"/>
  <c r="W1659" i="10"/>
  <c r="W1658" i="10"/>
  <c r="W1657" i="10"/>
  <c r="W1656" i="10"/>
  <c r="W1655" i="10"/>
  <c r="W1654" i="10"/>
  <c r="W1653" i="10"/>
  <c r="W1652" i="10"/>
  <c r="W1651" i="10"/>
  <c r="W1650" i="10"/>
  <c r="W1649" i="10"/>
  <c r="W1648" i="10"/>
  <c r="W1647" i="10"/>
  <c r="W1646" i="10"/>
  <c r="W1645" i="10"/>
  <c r="W1644" i="10"/>
  <c r="W1643" i="10"/>
  <c r="W1642" i="10"/>
  <c r="W1641" i="10"/>
  <c r="W1640" i="10"/>
  <c r="W1639" i="10"/>
  <c r="W1638" i="10"/>
  <c r="W1637" i="10"/>
  <c r="W1636" i="10"/>
  <c r="W1635" i="10"/>
  <c r="W1634" i="10"/>
  <c r="W1633" i="10"/>
  <c r="W1632" i="10"/>
  <c r="W1631" i="10"/>
  <c r="W1630" i="10"/>
  <c r="W1629" i="10"/>
  <c r="W1628" i="10"/>
  <c r="W1627" i="10"/>
  <c r="W1626" i="10"/>
  <c r="W1625" i="10"/>
  <c r="W1624" i="10"/>
  <c r="W1623" i="10"/>
  <c r="W1622" i="10"/>
  <c r="W1621" i="10"/>
  <c r="W1620" i="10"/>
  <c r="W1619" i="10"/>
  <c r="W1618" i="10"/>
  <c r="W1617" i="10"/>
  <c r="W1616" i="10"/>
  <c r="W1615" i="10"/>
  <c r="W1614" i="10"/>
  <c r="W1613" i="10"/>
  <c r="W1612" i="10"/>
  <c r="W1611" i="10"/>
  <c r="W1610" i="10"/>
  <c r="W1609" i="10"/>
  <c r="W1608" i="10"/>
  <c r="W1607" i="10"/>
  <c r="W1606" i="10"/>
  <c r="W1605" i="10"/>
  <c r="W1604" i="10"/>
  <c r="W1603" i="10"/>
  <c r="W1602" i="10"/>
  <c r="W1601" i="10"/>
  <c r="W1600" i="10"/>
  <c r="W1599" i="10"/>
  <c r="W1598" i="10"/>
  <c r="W1597" i="10"/>
  <c r="W1596" i="10"/>
  <c r="W1595" i="10"/>
  <c r="W1594" i="10"/>
  <c r="W1593" i="10"/>
  <c r="W1592" i="10"/>
  <c r="W1591" i="10"/>
  <c r="W1590" i="10"/>
  <c r="W1589" i="10"/>
  <c r="W1588" i="10"/>
  <c r="W1587" i="10"/>
  <c r="W1586" i="10"/>
  <c r="W1585" i="10"/>
  <c r="W1584" i="10"/>
  <c r="W1583" i="10"/>
  <c r="W1582" i="10"/>
  <c r="W1581" i="10"/>
  <c r="W1580" i="10"/>
  <c r="W1579" i="10"/>
  <c r="W1578" i="10"/>
  <c r="W1577" i="10"/>
  <c r="W1576" i="10"/>
  <c r="W1575" i="10"/>
  <c r="W1574" i="10"/>
  <c r="W1573" i="10"/>
  <c r="W1572" i="10"/>
  <c r="W1571" i="10"/>
  <c r="W1570" i="10"/>
  <c r="W1569" i="10"/>
  <c r="W1568" i="10"/>
  <c r="W1567" i="10"/>
  <c r="W1566" i="10"/>
  <c r="W1565" i="10"/>
  <c r="W1564" i="10"/>
  <c r="W1563" i="10"/>
  <c r="W1562" i="10"/>
  <c r="W1561" i="10"/>
  <c r="W1560" i="10"/>
  <c r="W1559" i="10"/>
  <c r="W1558" i="10"/>
  <c r="W1557" i="10"/>
  <c r="W1556" i="10"/>
  <c r="W1555" i="10"/>
  <c r="W1554" i="10"/>
  <c r="W1553" i="10"/>
  <c r="W1552" i="10"/>
  <c r="W1551" i="10"/>
  <c r="W1550" i="10"/>
  <c r="W1549" i="10"/>
  <c r="W1548" i="10"/>
  <c r="W1547" i="10"/>
  <c r="W1546" i="10"/>
  <c r="W1545" i="10"/>
  <c r="W1544" i="10"/>
  <c r="W1543" i="10"/>
  <c r="W1542" i="10"/>
  <c r="W1541" i="10"/>
  <c r="W1540" i="10"/>
  <c r="W1539" i="10"/>
  <c r="W1538" i="10"/>
  <c r="W1537" i="10"/>
  <c r="W1536" i="10"/>
  <c r="W1535" i="10"/>
  <c r="W1534" i="10"/>
  <c r="W1533" i="10"/>
  <c r="W1532" i="10"/>
  <c r="W1531" i="10"/>
  <c r="W1530" i="10"/>
  <c r="W1529" i="10"/>
  <c r="W1528" i="10"/>
  <c r="W1527" i="10"/>
  <c r="W1526" i="10"/>
  <c r="W1525" i="10"/>
  <c r="W1524" i="10"/>
  <c r="W1523" i="10"/>
  <c r="W1522" i="10"/>
  <c r="W1521" i="10"/>
  <c r="W1520" i="10"/>
  <c r="W1519" i="10"/>
  <c r="W1518" i="10"/>
  <c r="W1517" i="10"/>
  <c r="W1516" i="10"/>
  <c r="W1515" i="10"/>
  <c r="W1514" i="10"/>
  <c r="W1513" i="10"/>
  <c r="W1512" i="10"/>
  <c r="W1511" i="10"/>
  <c r="W1510" i="10"/>
  <c r="W1509" i="10"/>
  <c r="W1508" i="10"/>
  <c r="W1507" i="10"/>
  <c r="W1506" i="10"/>
  <c r="W1505" i="10"/>
  <c r="W1504" i="10"/>
  <c r="W1503" i="10"/>
  <c r="W1502" i="10"/>
  <c r="W1501" i="10"/>
  <c r="W1500" i="10"/>
  <c r="W1499" i="10"/>
  <c r="W1498" i="10"/>
  <c r="W1497" i="10"/>
  <c r="W1496" i="10"/>
  <c r="W1495" i="10"/>
  <c r="W1494" i="10"/>
  <c r="W1493" i="10"/>
  <c r="W1492" i="10"/>
  <c r="W1491" i="10"/>
  <c r="W1490" i="10"/>
  <c r="W1489" i="10"/>
  <c r="W1488" i="10"/>
  <c r="W1487" i="10"/>
  <c r="W1486" i="10"/>
  <c r="W1485" i="10"/>
  <c r="W1484" i="10"/>
  <c r="W1483" i="10"/>
  <c r="W1482" i="10"/>
  <c r="W1481" i="10"/>
  <c r="W1480" i="10"/>
  <c r="W1479" i="10"/>
  <c r="W1478" i="10"/>
  <c r="W1477" i="10"/>
  <c r="W1476" i="10"/>
  <c r="W1475" i="10"/>
  <c r="W1474" i="10"/>
  <c r="W1473" i="10"/>
  <c r="W1472" i="10"/>
  <c r="W1471" i="10"/>
  <c r="W1470" i="10"/>
  <c r="W1469" i="10"/>
  <c r="W1468" i="10"/>
  <c r="W1467" i="10"/>
  <c r="W1466" i="10"/>
  <c r="W1465" i="10"/>
  <c r="W1464" i="10"/>
  <c r="W1463" i="10"/>
  <c r="W1462" i="10"/>
  <c r="W1461" i="10"/>
  <c r="W1460" i="10"/>
  <c r="W1459" i="10"/>
  <c r="W1458" i="10"/>
  <c r="W1457" i="10"/>
  <c r="W1456" i="10"/>
  <c r="W1455" i="10"/>
  <c r="W1454" i="10"/>
  <c r="W1453" i="10"/>
  <c r="W1452" i="10"/>
  <c r="W1451" i="10"/>
  <c r="W1450" i="10"/>
  <c r="W1449" i="10"/>
  <c r="W1448" i="10"/>
  <c r="W1447" i="10"/>
  <c r="W1446" i="10"/>
  <c r="W1445" i="10"/>
  <c r="W1444" i="10"/>
  <c r="W1443" i="10"/>
  <c r="W1442" i="10"/>
  <c r="W1441" i="10"/>
  <c r="W1440" i="10"/>
  <c r="W1439" i="10"/>
  <c r="W1438" i="10"/>
  <c r="W1437" i="10"/>
  <c r="W1436" i="10"/>
  <c r="W1435" i="10"/>
  <c r="W1434" i="10"/>
  <c r="W1433" i="10"/>
  <c r="W1432" i="10"/>
  <c r="W1431" i="10"/>
  <c r="W1430" i="10"/>
  <c r="W1429" i="10"/>
  <c r="W1428" i="10"/>
  <c r="W1427" i="10"/>
  <c r="W1426" i="10"/>
  <c r="W1425" i="10"/>
  <c r="W1424" i="10"/>
  <c r="W1423" i="10"/>
  <c r="W1422" i="10"/>
  <c r="W1421" i="10"/>
  <c r="W1420" i="10"/>
  <c r="W1419" i="10"/>
  <c r="W1418" i="10"/>
  <c r="W1417" i="10"/>
  <c r="W1416" i="10"/>
  <c r="W1415" i="10"/>
  <c r="W1414" i="10"/>
  <c r="W1413" i="10"/>
  <c r="W1412" i="10"/>
  <c r="W1411" i="10"/>
  <c r="W1410" i="10"/>
  <c r="W1409" i="10"/>
  <c r="W1408" i="10"/>
  <c r="W1407" i="10"/>
  <c r="W1406" i="10"/>
  <c r="W1405" i="10"/>
  <c r="W1404" i="10"/>
  <c r="W1403" i="10"/>
  <c r="W1402" i="10"/>
  <c r="W1401" i="10"/>
  <c r="W1400" i="10"/>
  <c r="W1399" i="10"/>
  <c r="W1398" i="10"/>
  <c r="W1397" i="10"/>
  <c r="W1396" i="10"/>
  <c r="W1395" i="10"/>
  <c r="W1394" i="10"/>
  <c r="W1393" i="10"/>
  <c r="W1392" i="10"/>
  <c r="W1391" i="10"/>
  <c r="W1390" i="10"/>
  <c r="W1389" i="10"/>
  <c r="W1388" i="10"/>
  <c r="W1387" i="10"/>
  <c r="W1386" i="10"/>
  <c r="W1385" i="10"/>
  <c r="W1384" i="10"/>
  <c r="W1383" i="10"/>
  <c r="W1382" i="10"/>
  <c r="W1381" i="10"/>
  <c r="W1380" i="10"/>
  <c r="W1379" i="10"/>
  <c r="W1378" i="10"/>
  <c r="W1377" i="10"/>
  <c r="W1376" i="10"/>
  <c r="W1375" i="10"/>
  <c r="W1374" i="10"/>
  <c r="W1373" i="10"/>
  <c r="W1372" i="10"/>
  <c r="W1371" i="10"/>
  <c r="W1370" i="10"/>
  <c r="W1369" i="10"/>
  <c r="W1368" i="10"/>
  <c r="W1367" i="10"/>
  <c r="W1366" i="10"/>
  <c r="W1365" i="10"/>
  <c r="W1364" i="10"/>
  <c r="W1363" i="10"/>
  <c r="W1362" i="10"/>
  <c r="W1361" i="10"/>
  <c r="W1360" i="10"/>
  <c r="W1359" i="10"/>
  <c r="W1358" i="10"/>
  <c r="W1357" i="10"/>
  <c r="W1356" i="10"/>
  <c r="W1355" i="10"/>
  <c r="W1354" i="10"/>
  <c r="W1353" i="10"/>
  <c r="W1352" i="10"/>
  <c r="W1351" i="10"/>
  <c r="W1350" i="10"/>
  <c r="W1349" i="10"/>
  <c r="W1348" i="10"/>
  <c r="W1347" i="10"/>
  <c r="W1346" i="10"/>
  <c r="W1345" i="10"/>
  <c r="W1344" i="10"/>
  <c r="W1343" i="10"/>
  <c r="W1342" i="10"/>
  <c r="W1341" i="10"/>
  <c r="W1340" i="10"/>
  <c r="W1339" i="10"/>
  <c r="W1338" i="10"/>
  <c r="W1337" i="10"/>
  <c r="W1336" i="10"/>
  <c r="W1335" i="10"/>
  <c r="W1334" i="10"/>
  <c r="W1333" i="10"/>
  <c r="W1332" i="10"/>
  <c r="W1331" i="10"/>
  <c r="W1330" i="10"/>
  <c r="W1329" i="10"/>
  <c r="W1328" i="10"/>
  <c r="W1327" i="10"/>
  <c r="W1326" i="10"/>
  <c r="W1325" i="10"/>
  <c r="W1324" i="10"/>
  <c r="W1323" i="10"/>
  <c r="W1322" i="10"/>
  <c r="W1321" i="10"/>
  <c r="W1320" i="10"/>
  <c r="W1319" i="10"/>
  <c r="W1318" i="10"/>
  <c r="W1317" i="10"/>
  <c r="W1316" i="10"/>
  <c r="W1315" i="10"/>
  <c r="W1314" i="10"/>
  <c r="W1313" i="10"/>
  <c r="W1312" i="10"/>
  <c r="W1311" i="10"/>
  <c r="W1310" i="10"/>
  <c r="W1309" i="10"/>
  <c r="W1308" i="10"/>
  <c r="W1307" i="10"/>
  <c r="W1306" i="10"/>
  <c r="W1305" i="10"/>
  <c r="W1304" i="10"/>
  <c r="W1303" i="10"/>
  <c r="W1302" i="10"/>
  <c r="W1301" i="10"/>
  <c r="W1300" i="10"/>
  <c r="W1299" i="10"/>
  <c r="W1298" i="10"/>
  <c r="W1297" i="10"/>
  <c r="W1296" i="10"/>
  <c r="W1295" i="10"/>
  <c r="W1294" i="10"/>
  <c r="W1293" i="10"/>
  <c r="W1292" i="10"/>
  <c r="W1291" i="10"/>
  <c r="W1290" i="10"/>
  <c r="W1289" i="10"/>
  <c r="W1288" i="10"/>
  <c r="W1287" i="10"/>
  <c r="W1286" i="10"/>
  <c r="W1285" i="10"/>
  <c r="W1284" i="10"/>
  <c r="W1283" i="10"/>
  <c r="W1282" i="10"/>
  <c r="W1281" i="10"/>
  <c r="W1280" i="10"/>
  <c r="W1279" i="10"/>
  <c r="W1278" i="10"/>
  <c r="W1277" i="10"/>
  <c r="W1276" i="10"/>
  <c r="W1275" i="10"/>
  <c r="W1274" i="10"/>
  <c r="W1273" i="10"/>
  <c r="W1272" i="10"/>
  <c r="W1271" i="10"/>
  <c r="W1270" i="10"/>
  <c r="W1269" i="10"/>
  <c r="W1268" i="10"/>
  <c r="W1267" i="10"/>
  <c r="W1266" i="10"/>
  <c r="W1265" i="10"/>
  <c r="W1264" i="10"/>
  <c r="W1263" i="10"/>
  <c r="W1262" i="10"/>
  <c r="W1261" i="10"/>
  <c r="W1260" i="10"/>
  <c r="W1259" i="10"/>
  <c r="W1258" i="10"/>
  <c r="W1257" i="10"/>
  <c r="W1256" i="10"/>
  <c r="W1255" i="10"/>
  <c r="W1254" i="10"/>
  <c r="W1253" i="10"/>
  <c r="W1252" i="10"/>
  <c r="W1251" i="10"/>
  <c r="W1250" i="10"/>
  <c r="W1249" i="10"/>
  <c r="W1248" i="10"/>
  <c r="W1247" i="10"/>
  <c r="W1246" i="10"/>
  <c r="W1245" i="10"/>
  <c r="W1244" i="10"/>
  <c r="W1243" i="10"/>
  <c r="W1242" i="10"/>
  <c r="W1241" i="10"/>
  <c r="W1240" i="10"/>
  <c r="W1239" i="10"/>
  <c r="W1238" i="10"/>
  <c r="W1237" i="10"/>
  <c r="W1236" i="10"/>
  <c r="W1235" i="10"/>
  <c r="W1234" i="10"/>
  <c r="W1233" i="10"/>
  <c r="W1232" i="10"/>
  <c r="W1231" i="10"/>
  <c r="W1230" i="10"/>
  <c r="W1229" i="10"/>
  <c r="W1228" i="10"/>
  <c r="W1227" i="10"/>
  <c r="W1226" i="10"/>
  <c r="W1225" i="10"/>
  <c r="W1224" i="10"/>
  <c r="W1223" i="10"/>
  <c r="W1222" i="10"/>
  <c r="W1221" i="10"/>
  <c r="W1220" i="10"/>
  <c r="W1219" i="10"/>
  <c r="W1218" i="10"/>
  <c r="W1217" i="10"/>
  <c r="W1216" i="10"/>
  <c r="W1215" i="10"/>
  <c r="W1214" i="10"/>
  <c r="W1213" i="10"/>
  <c r="W1212" i="10"/>
  <c r="W1211" i="10"/>
  <c r="W1210" i="10"/>
  <c r="W1209" i="10"/>
  <c r="W1208" i="10"/>
  <c r="W1207" i="10"/>
  <c r="W1206" i="10"/>
  <c r="W1205" i="10"/>
  <c r="W1204" i="10"/>
  <c r="W1203" i="10"/>
  <c r="W1202" i="10"/>
  <c r="W1201" i="10"/>
  <c r="W1200" i="10"/>
  <c r="W1199" i="10"/>
  <c r="W1198" i="10"/>
  <c r="W1197" i="10"/>
  <c r="W1196" i="10"/>
  <c r="W1195" i="10"/>
  <c r="W1194" i="10"/>
  <c r="W1193" i="10"/>
  <c r="W1192" i="10"/>
  <c r="W1191" i="10"/>
  <c r="W1190" i="10"/>
  <c r="W1189" i="10"/>
  <c r="W1188" i="10"/>
  <c r="W1187" i="10"/>
  <c r="W1186" i="10"/>
  <c r="W1185" i="10"/>
  <c r="W1184" i="10"/>
  <c r="W1183" i="10"/>
  <c r="W1182" i="10"/>
  <c r="W1181" i="10"/>
  <c r="W1180" i="10"/>
  <c r="W1179" i="10"/>
  <c r="W1178" i="10"/>
  <c r="W1177" i="10"/>
  <c r="W1176" i="10"/>
  <c r="W1175" i="10"/>
  <c r="W1174" i="10"/>
  <c r="W1173" i="10"/>
  <c r="W1172" i="10"/>
  <c r="W1171" i="10"/>
  <c r="W1170" i="10"/>
  <c r="W1169" i="10"/>
  <c r="W1168" i="10"/>
  <c r="W1167" i="10"/>
  <c r="W1166" i="10"/>
  <c r="W1165" i="10"/>
  <c r="W1164" i="10"/>
  <c r="W1163" i="10"/>
  <c r="W1162" i="10"/>
  <c r="W1161" i="10"/>
  <c r="W1160" i="10"/>
  <c r="W1159" i="10"/>
  <c r="W1158" i="10"/>
  <c r="W1157" i="10"/>
  <c r="W1156" i="10"/>
  <c r="W1155" i="10"/>
  <c r="W1154" i="10"/>
  <c r="W1153" i="10"/>
  <c r="W1152" i="10"/>
  <c r="W1151" i="10"/>
  <c r="W1150" i="10"/>
  <c r="W1149" i="10"/>
  <c r="W1148" i="10"/>
  <c r="W1147" i="10"/>
  <c r="W1146" i="10"/>
  <c r="W1145" i="10"/>
  <c r="W1144" i="10"/>
  <c r="W1143" i="10"/>
  <c r="W1142" i="10"/>
  <c r="W1141" i="10"/>
  <c r="W1140" i="10"/>
  <c r="W1139" i="10"/>
  <c r="W1138" i="10"/>
  <c r="W1137" i="10"/>
  <c r="W1136" i="10"/>
  <c r="W1135" i="10"/>
  <c r="W1134" i="10"/>
  <c r="W1133" i="10"/>
  <c r="W1132" i="10"/>
  <c r="W1131" i="10"/>
  <c r="W1130" i="10"/>
  <c r="W1129" i="10"/>
  <c r="W1128" i="10"/>
  <c r="W1127" i="10"/>
  <c r="W1126" i="10"/>
  <c r="W1125" i="10"/>
  <c r="W1124" i="10"/>
  <c r="W1123" i="10"/>
  <c r="W1122" i="10"/>
  <c r="W1121" i="10"/>
  <c r="W1120" i="10"/>
  <c r="W1119" i="10"/>
  <c r="W1118" i="10"/>
  <c r="W1117" i="10"/>
  <c r="W1116" i="10"/>
  <c r="W1115" i="10"/>
  <c r="W1114" i="10"/>
  <c r="W1113" i="10"/>
  <c r="W1112" i="10"/>
  <c r="W1111" i="10"/>
  <c r="W1110" i="10"/>
  <c r="W1109" i="10"/>
  <c r="W1108" i="10"/>
  <c r="W1107" i="10"/>
  <c r="W1106" i="10"/>
  <c r="W1105" i="10"/>
  <c r="W1104" i="10"/>
  <c r="W1103" i="10"/>
  <c r="W1102" i="10"/>
  <c r="W1101" i="10"/>
  <c r="W1100" i="10"/>
  <c r="W1099" i="10"/>
  <c r="W1098" i="10"/>
  <c r="W1097" i="10"/>
  <c r="W1096" i="10"/>
  <c r="W1095" i="10"/>
  <c r="W1094" i="10"/>
  <c r="W1093" i="10"/>
  <c r="W1092" i="10"/>
  <c r="W1091" i="10"/>
  <c r="W1090" i="10"/>
  <c r="W1089" i="10"/>
  <c r="W1088" i="10"/>
  <c r="W1087" i="10"/>
  <c r="W1086" i="10"/>
  <c r="W1085" i="10"/>
  <c r="W1084" i="10"/>
  <c r="W1083" i="10"/>
  <c r="W1082" i="10"/>
  <c r="W1081" i="10"/>
  <c r="W1080" i="10"/>
  <c r="W1079" i="10"/>
  <c r="W1078" i="10"/>
  <c r="W1077" i="10"/>
  <c r="W1076" i="10"/>
  <c r="W1075" i="10"/>
  <c r="W1074" i="10"/>
  <c r="W1073" i="10"/>
  <c r="W1072" i="10"/>
  <c r="W1071" i="10"/>
  <c r="W1070" i="10"/>
  <c r="W1069" i="10"/>
  <c r="W1068" i="10"/>
  <c r="W1067" i="10"/>
  <c r="W1066" i="10"/>
  <c r="W1065" i="10"/>
  <c r="W1064" i="10"/>
  <c r="W1063" i="10"/>
  <c r="W1062" i="10"/>
  <c r="W1061" i="10"/>
  <c r="W1060" i="10"/>
  <c r="W1059" i="10"/>
  <c r="W1058" i="10"/>
  <c r="W1057" i="10"/>
  <c r="W1056" i="10"/>
  <c r="W1055" i="10"/>
  <c r="W1054" i="10"/>
  <c r="W1053" i="10"/>
  <c r="W1052" i="10"/>
  <c r="W1051" i="10"/>
  <c r="W1050" i="10"/>
  <c r="W1049" i="10"/>
  <c r="W1048" i="10"/>
  <c r="W1047" i="10"/>
  <c r="W1046" i="10"/>
  <c r="W1045" i="10"/>
  <c r="W1044" i="10"/>
  <c r="W1043" i="10"/>
  <c r="W1042" i="10"/>
  <c r="W1041" i="10"/>
  <c r="W1040" i="10"/>
  <c r="W1039" i="10"/>
  <c r="W1038" i="10"/>
  <c r="W1037" i="10"/>
  <c r="W1036" i="10"/>
  <c r="W1035" i="10"/>
  <c r="W1034" i="10"/>
  <c r="W1033" i="10"/>
  <c r="W1032" i="10"/>
  <c r="W1031" i="10"/>
  <c r="W1030" i="10"/>
  <c r="W1029" i="10"/>
  <c r="W1028" i="10"/>
  <c r="W1027" i="10"/>
  <c r="W1026" i="10"/>
  <c r="W1025" i="10"/>
  <c r="W1024" i="10"/>
  <c r="W1023" i="10"/>
  <c r="W1022" i="10"/>
  <c r="W1021" i="10"/>
  <c r="W1020" i="10"/>
  <c r="W1019" i="10"/>
  <c r="W1018" i="10"/>
  <c r="W1017" i="10"/>
  <c r="W1016" i="10"/>
  <c r="W1015" i="10"/>
  <c r="W1014" i="10"/>
  <c r="W1013" i="10"/>
  <c r="W1012" i="10"/>
  <c r="W1011" i="10"/>
  <c r="W1010" i="10"/>
  <c r="W1009" i="10"/>
  <c r="W1008" i="10"/>
  <c r="W1007" i="10"/>
  <c r="W1006" i="10"/>
  <c r="W1005" i="10"/>
  <c r="W1004" i="10"/>
  <c r="W1003" i="10"/>
  <c r="W1002" i="10"/>
  <c r="W1001" i="10"/>
  <c r="W1000" i="10"/>
  <c r="W999" i="10"/>
  <c r="W998" i="10"/>
  <c r="W997" i="10"/>
  <c r="W996" i="10"/>
  <c r="W995" i="10"/>
  <c r="W994" i="10"/>
  <c r="W993" i="10"/>
  <c r="W992" i="10"/>
  <c r="W991" i="10"/>
  <c r="W990" i="10"/>
  <c r="W989" i="10"/>
  <c r="W988" i="10"/>
  <c r="W987" i="10"/>
  <c r="W986" i="10"/>
  <c r="W985" i="10"/>
  <c r="W984" i="10"/>
  <c r="W983" i="10"/>
  <c r="W982" i="10"/>
  <c r="W981" i="10"/>
  <c r="W980" i="10"/>
  <c r="W979" i="10"/>
  <c r="W978" i="10"/>
  <c r="W977" i="10"/>
  <c r="W976" i="10"/>
  <c r="W975" i="10"/>
  <c r="W974" i="10"/>
  <c r="W973" i="10"/>
  <c r="W972" i="10"/>
  <c r="W971" i="10"/>
  <c r="W970" i="10"/>
  <c r="W969" i="10"/>
  <c r="W968" i="10"/>
  <c r="W967" i="10"/>
  <c r="W966" i="10"/>
  <c r="W965" i="10"/>
  <c r="W964" i="10"/>
  <c r="W963" i="10"/>
  <c r="W962" i="10"/>
  <c r="W961" i="10"/>
  <c r="W960" i="10"/>
  <c r="W959" i="10"/>
  <c r="W958" i="10"/>
  <c r="W957" i="10"/>
  <c r="W956" i="10"/>
  <c r="W955" i="10"/>
  <c r="W954" i="10"/>
  <c r="W953" i="10"/>
  <c r="W952" i="10"/>
  <c r="W951" i="10"/>
  <c r="W950" i="10"/>
  <c r="W949" i="10"/>
  <c r="W948" i="10"/>
  <c r="W947" i="10"/>
  <c r="W946" i="10"/>
  <c r="W945" i="10"/>
  <c r="W944" i="10"/>
  <c r="W943" i="10"/>
  <c r="W942" i="10"/>
  <c r="W941" i="10"/>
  <c r="W940" i="10"/>
  <c r="W939" i="10"/>
  <c r="W938" i="10"/>
  <c r="W937" i="10"/>
  <c r="W936" i="10"/>
  <c r="W935" i="10"/>
  <c r="W934" i="10"/>
  <c r="W933" i="10"/>
  <c r="W932" i="10"/>
  <c r="W931" i="10"/>
  <c r="W930" i="10"/>
  <c r="W929" i="10"/>
  <c r="W928" i="10"/>
  <c r="W927" i="10"/>
  <c r="W926" i="10"/>
  <c r="W925" i="10"/>
  <c r="W924" i="10"/>
  <c r="W923" i="10"/>
  <c r="W922" i="10"/>
  <c r="W921" i="10"/>
  <c r="W920" i="10"/>
  <c r="W919" i="10"/>
  <c r="W918" i="10"/>
  <c r="W917" i="10"/>
  <c r="W916" i="10"/>
  <c r="W915" i="10"/>
  <c r="W914" i="10"/>
  <c r="W913" i="10"/>
  <c r="W912" i="10"/>
  <c r="W911" i="10"/>
  <c r="W910" i="10"/>
  <c r="W909" i="10"/>
  <c r="W908" i="10"/>
  <c r="W907" i="10"/>
  <c r="W906" i="10"/>
  <c r="W905" i="10"/>
  <c r="W904" i="10"/>
  <c r="W903" i="10"/>
  <c r="W902" i="10"/>
  <c r="W901" i="10"/>
  <c r="W900" i="10"/>
  <c r="W899" i="10"/>
  <c r="W898" i="10"/>
  <c r="W897" i="10"/>
  <c r="W896" i="10"/>
  <c r="W895" i="10"/>
  <c r="W894" i="10"/>
  <c r="W893" i="10"/>
  <c r="W892" i="10"/>
  <c r="W891" i="10"/>
  <c r="W890" i="10"/>
  <c r="W889" i="10"/>
  <c r="W888" i="10"/>
  <c r="W887" i="10"/>
  <c r="W886" i="10"/>
  <c r="W885" i="10"/>
  <c r="W884" i="10"/>
  <c r="W883" i="10"/>
  <c r="W882" i="10"/>
  <c r="W881" i="10"/>
  <c r="W880" i="10"/>
  <c r="W879" i="10"/>
  <c r="W878" i="10"/>
  <c r="W877" i="10"/>
  <c r="W876" i="10"/>
  <c r="W875" i="10"/>
  <c r="W874" i="10"/>
  <c r="W873" i="10"/>
  <c r="W872" i="10"/>
  <c r="W871" i="10"/>
  <c r="W870" i="10"/>
  <c r="W869" i="10"/>
  <c r="W868" i="10"/>
  <c r="W867" i="10"/>
  <c r="W866" i="10"/>
  <c r="W865" i="10"/>
  <c r="W864" i="10"/>
  <c r="W863" i="10"/>
  <c r="W862" i="10"/>
  <c r="W861" i="10"/>
  <c r="W860" i="10"/>
  <c r="W859" i="10"/>
  <c r="W858" i="10"/>
  <c r="W857" i="10"/>
  <c r="W856" i="10"/>
  <c r="W855" i="10"/>
  <c r="W854" i="10"/>
  <c r="W853" i="10"/>
  <c r="W852" i="10"/>
  <c r="W851" i="10"/>
  <c r="W850" i="10"/>
  <c r="W849" i="10"/>
  <c r="W848" i="10"/>
  <c r="W847" i="10"/>
  <c r="W846" i="10"/>
  <c r="W845" i="10"/>
  <c r="W844" i="10"/>
  <c r="W843" i="10"/>
  <c r="W842" i="10"/>
  <c r="W841" i="10"/>
  <c r="W840" i="10"/>
  <c r="W839" i="10"/>
  <c r="W838" i="10"/>
  <c r="W837" i="10"/>
  <c r="W836" i="10"/>
  <c r="W835" i="10"/>
  <c r="W834" i="10"/>
  <c r="W833" i="10"/>
  <c r="W832" i="10"/>
  <c r="W831" i="10"/>
  <c r="W830" i="10"/>
  <c r="W829" i="10"/>
  <c r="W828" i="10"/>
  <c r="W827" i="10"/>
  <c r="W826" i="10"/>
  <c r="W825" i="10"/>
  <c r="W824" i="10"/>
  <c r="W823" i="10"/>
  <c r="W822" i="10"/>
  <c r="W821" i="10"/>
  <c r="W820" i="10"/>
  <c r="W819" i="10"/>
  <c r="W818" i="10"/>
  <c r="W817" i="10"/>
  <c r="W816" i="10"/>
  <c r="W815" i="10"/>
  <c r="W814" i="10"/>
  <c r="W813" i="10"/>
  <c r="W812" i="10"/>
  <c r="W811" i="10"/>
  <c r="W810" i="10"/>
  <c r="W809" i="10"/>
  <c r="W808" i="10"/>
  <c r="W807" i="10"/>
  <c r="W806" i="10"/>
  <c r="W805" i="10"/>
  <c r="W804" i="10"/>
  <c r="W803" i="10"/>
  <c r="W802" i="10"/>
  <c r="W801" i="10"/>
  <c r="W800" i="10"/>
  <c r="W799" i="10"/>
  <c r="W798" i="10"/>
  <c r="W797" i="10"/>
  <c r="W796" i="10"/>
  <c r="W795" i="10"/>
  <c r="W794" i="10"/>
  <c r="W793" i="10"/>
  <c r="W792" i="10"/>
  <c r="W791" i="10"/>
  <c r="W790" i="10"/>
  <c r="W789" i="10"/>
  <c r="W788" i="10"/>
  <c r="W787" i="10"/>
  <c r="W786" i="10"/>
  <c r="W785" i="10"/>
  <c r="W784" i="10"/>
  <c r="W783" i="10"/>
  <c r="W782" i="10"/>
  <c r="W781" i="10"/>
  <c r="W780" i="10"/>
  <c r="W779" i="10"/>
  <c r="W778" i="10"/>
  <c r="W777" i="10"/>
  <c r="W776" i="10"/>
  <c r="W775" i="10"/>
  <c r="W774" i="10"/>
  <c r="W773" i="10"/>
  <c r="W772" i="10"/>
  <c r="W771" i="10"/>
  <c r="W770" i="10"/>
  <c r="W769" i="10"/>
  <c r="W768" i="10"/>
  <c r="W767" i="10"/>
  <c r="W766" i="10"/>
  <c r="W765" i="10"/>
  <c r="W764" i="10"/>
  <c r="W763" i="10"/>
  <c r="W762" i="10"/>
  <c r="W761" i="10"/>
  <c r="W760" i="10"/>
  <c r="W759" i="10"/>
  <c r="W758" i="10"/>
  <c r="W757" i="10"/>
  <c r="W756" i="10"/>
  <c r="W755" i="10"/>
  <c r="W754" i="10"/>
  <c r="W753" i="10"/>
  <c r="W752" i="10"/>
  <c r="W751" i="10"/>
  <c r="W750" i="10"/>
  <c r="W749" i="10"/>
  <c r="W748" i="10"/>
  <c r="W747" i="10"/>
  <c r="W746" i="10"/>
  <c r="W745" i="10"/>
  <c r="W744" i="10"/>
  <c r="W743" i="10"/>
  <c r="W742" i="10"/>
  <c r="W741" i="10"/>
  <c r="W740" i="10"/>
  <c r="W739" i="10"/>
  <c r="W738" i="10"/>
  <c r="W737" i="10"/>
  <c r="W736" i="10"/>
  <c r="W735" i="10"/>
  <c r="W734" i="10"/>
  <c r="W733" i="10"/>
  <c r="W732" i="10"/>
  <c r="W731" i="10"/>
  <c r="W730" i="10"/>
  <c r="W729" i="10"/>
  <c r="W728" i="10"/>
  <c r="W727" i="10"/>
  <c r="W726" i="10"/>
  <c r="W725" i="10"/>
  <c r="W724" i="10"/>
  <c r="W723" i="10"/>
  <c r="W722" i="10"/>
  <c r="W721" i="10"/>
  <c r="W720" i="10"/>
  <c r="W719" i="10"/>
  <c r="W718" i="10"/>
  <c r="W717" i="10"/>
  <c r="W716" i="10"/>
  <c r="W715" i="10"/>
  <c r="W714" i="10"/>
  <c r="W713" i="10"/>
  <c r="W712" i="10"/>
  <c r="W711" i="10"/>
  <c r="W710" i="10"/>
  <c r="W709" i="10"/>
  <c r="W708" i="10"/>
  <c r="W707" i="10"/>
  <c r="W706" i="10"/>
  <c r="W705" i="10"/>
  <c r="W704" i="10"/>
  <c r="W703" i="10"/>
  <c r="W702" i="10"/>
  <c r="W701" i="10"/>
  <c r="W700" i="10"/>
  <c r="W699" i="10"/>
  <c r="W698" i="10"/>
  <c r="W697" i="10"/>
  <c r="W696" i="10"/>
  <c r="W695" i="10"/>
  <c r="W694" i="10"/>
  <c r="W693" i="10"/>
  <c r="W692" i="10"/>
  <c r="W691" i="10"/>
  <c r="W690" i="10"/>
  <c r="W689" i="10"/>
  <c r="W688" i="10"/>
  <c r="W687" i="10"/>
  <c r="W686" i="10"/>
  <c r="W685" i="10"/>
  <c r="W684" i="10"/>
  <c r="W683" i="10"/>
  <c r="W682" i="10"/>
  <c r="W681" i="10"/>
  <c r="W680" i="10"/>
  <c r="W679" i="10"/>
  <c r="W678" i="10"/>
  <c r="W677" i="10"/>
  <c r="W676" i="10"/>
  <c r="W675" i="10"/>
  <c r="W674" i="10"/>
  <c r="W673" i="10"/>
  <c r="W672" i="10"/>
  <c r="W671" i="10"/>
  <c r="W670" i="10"/>
  <c r="W669" i="10"/>
  <c r="W668" i="10"/>
  <c r="W667" i="10"/>
  <c r="W666" i="10"/>
  <c r="W665" i="10"/>
  <c r="W664" i="10"/>
  <c r="W663" i="10"/>
  <c r="W662" i="10"/>
  <c r="W661" i="10"/>
  <c r="W660" i="10"/>
  <c r="W659" i="10"/>
  <c r="W658" i="10"/>
  <c r="W657" i="10"/>
  <c r="W656" i="10"/>
  <c r="W655" i="10"/>
  <c r="W654" i="10"/>
  <c r="W653" i="10"/>
  <c r="W652" i="10"/>
  <c r="W651" i="10"/>
  <c r="W650" i="10"/>
  <c r="W649" i="10"/>
  <c r="W648" i="10"/>
  <c r="W647" i="10"/>
  <c r="W646" i="10"/>
  <c r="W645" i="10"/>
  <c r="W644" i="10"/>
  <c r="W643" i="10"/>
  <c r="W642" i="10"/>
  <c r="W641" i="10"/>
  <c r="W640" i="10"/>
  <c r="W639" i="10"/>
  <c r="W638" i="10"/>
  <c r="W637" i="10"/>
  <c r="W636" i="10"/>
  <c r="W635" i="10"/>
  <c r="W634" i="10"/>
  <c r="W633" i="10"/>
  <c r="W632" i="10"/>
  <c r="W631" i="10"/>
  <c r="W630" i="10"/>
  <c r="W629" i="10"/>
  <c r="W628" i="10"/>
  <c r="W627" i="10"/>
  <c r="W626" i="10"/>
  <c r="W625" i="10"/>
  <c r="W624" i="10"/>
  <c r="W623" i="10"/>
  <c r="W622" i="10"/>
  <c r="W621" i="10"/>
  <c r="W620" i="10"/>
  <c r="W619" i="10"/>
  <c r="W618" i="10"/>
  <c r="W617" i="10"/>
  <c r="W616" i="10"/>
  <c r="W615" i="10"/>
  <c r="W614" i="10"/>
  <c r="W613" i="10"/>
  <c r="W612" i="10"/>
  <c r="W611" i="10"/>
  <c r="W610" i="10"/>
  <c r="W609" i="10"/>
  <c r="W608" i="10"/>
  <c r="W607" i="10"/>
  <c r="W606" i="10"/>
  <c r="W605" i="10"/>
  <c r="W604" i="10"/>
  <c r="W603" i="10"/>
  <c r="W602" i="10"/>
  <c r="W601" i="10"/>
  <c r="W600" i="10"/>
  <c r="W599" i="10"/>
  <c r="W598" i="10"/>
  <c r="W597" i="10"/>
  <c r="W596" i="10"/>
  <c r="W595" i="10"/>
  <c r="W594" i="10"/>
  <c r="W593" i="10"/>
  <c r="W592" i="10"/>
  <c r="W591" i="10"/>
  <c r="W590" i="10"/>
  <c r="W589" i="10"/>
  <c r="W588" i="10"/>
  <c r="W587" i="10"/>
  <c r="W586" i="10"/>
  <c r="W585" i="10"/>
  <c r="W584" i="10"/>
  <c r="W583" i="10"/>
  <c r="W582" i="10"/>
  <c r="W581" i="10"/>
  <c r="W580" i="10"/>
  <c r="W579" i="10"/>
  <c r="W578" i="10"/>
  <c r="W577" i="10"/>
  <c r="W576" i="10"/>
  <c r="W575" i="10"/>
  <c r="W574" i="10"/>
  <c r="W573" i="10"/>
  <c r="W572" i="10"/>
  <c r="W571" i="10"/>
  <c r="W570" i="10"/>
  <c r="W569" i="10"/>
  <c r="W568" i="10"/>
  <c r="W567" i="10"/>
  <c r="W566" i="10"/>
  <c r="W565" i="10"/>
  <c r="W564" i="10"/>
  <c r="W563" i="10"/>
  <c r="W562" i="10"/>
  <c r="W561" i="10"/>
  <c r="W560" i="10"/>
  <c r="W559" i="10"/>
  <c r="W558" i="10"/>
  <c r="W557" i="10"/>
  <c r="W556" i="10"/>
  <c r="W555" i="10"/>
  <c r="W554" i="10"/>
  <c r="W553" i="10"/>
  <c r="W552" i="10"/>
  <c r="W551" i="10"/>
  <c r="W550" i="10"/>
  <c r="W549" i="10"/>
  <c r="W548" i="10"/>
  <c r="W547" i="10"/>
  <c r="W546" i="10"/>
  <c r="W545" i="10"/>
  <c r="W544" i="10"/>
  <c r="W543" i="10"/>
  <c r="W542" i="10"/>
  <c r="W541" i="10"/>
  <c r="W540" i="10"/>
  <c r="W539" i="10"/>
  <c r="W538" i="10"/>
  <c r="W537" i="10"/>
  <c r="W536" i="10"/>
  <c r="W535" i="10"/>
  <c r="W534" i="10"/>
  <c r="W533" i="10"/>
  <c r="W532" i="10"/>
  <c r="W531" i="10"/>
  <c r="W530" i="10"/>
  <c r="W529" i="10"/>
  <c r="W528" i="10"/>
  <c r="W527" i="10"/>
  <c r="W526" i="10"/>
  <c r="W525" i="10"/>
  <c r="W524" i="10"/>
  <c r="W523" i="10"/>
  <c r="W522" i="10"/>
  <c r="W521" i="10"/>
  <c r="W520" i="10"/>
  <c r="W519" i="10"/>
  <c r="W518" i="10"/>
  <c r="W517" i="10"/>
  <c r="W516" i="10"/>
  <c r="W515" i="10"/>
  <c r="W514" i="10"/>
  <c r="W513" i="10"/>
  <c r="W512" i="10"/>
  <c r="W511" i="10"/>
  <c r="W510" i="10"/>
  <c r="W509" i="10"/>
  <c r="W508" i="10"/>
  <c r="W507" i="10"/>
  <c r="W506" i="10"/>
  <c r="W505" i="10"/>
  <c r="W504" i="10"/>
  <c r="W503" i="10"/>
  <c r="W502" i="10"/>
  <c r="W501" i="10"/>
  <c r="W500" i="10"/>
  <c r="W499" i="10"/>
  <c r="W498" i="10"/>
  <c r="W497" i="10"/>
  <c r="W496" i="10"/>
  <c r="W495" i="10"/>
  <c r="W494" i="10"/>
  <c r="W493" i="10"/>
  <c r="W492" i="10"/>
  <c r="W491" i="10"/>
  <c r="W490" i="10"/>
  <c r="W489" i="10"/>
  <c r="W488" i="10"/>
  <c r="W487" i="10"/>
  <c r="W486" i="10"/>
  <c r="W485" i="10"/>
  <c r="W484" i="10"/>
  <c r="W483" i="10"/>
  <c r="W482" i="10"/>
  <c r="W481" i="10"/>
  <c r="W480" i="10"/>
  <c r="W479" i="10"/>
  <c r="W478" i="10"/>
  <c r="W477" i="10"/>
  <c r="W476" i="10"/>
  <c r="W475" i="10"/>
  <c r="W474" i="10"/>
  <c r="W473" i="10"/>
  <c r="W472" i="10"/>
  <c r="W471" i="10"/>
  <c r="W470" i="10"/>
  <c r="W469" i="10"/>
  <c r="W468" i="10"/>
  <c r="W467" i="10"/>
  <c r="W466" i="10"/>
  <c r="W465" i="10"/>
  <c r="W464" i="10"/>
  <c r="W463" i="10"/>
  <c r="W462" i="10"/>
  <c r="W461" i="10"/>
  <c r="W460" i="10"/>
  <c r="W459" i="10"/>
  <c r="W458" i="10"/>
  <c r="W457" i="10"/>
  <c r="W456" i="10"/>
  <c r="W455" i="10"/>
  <c r="W454" i="10"/>
  <c r="W453" i="10"/>
  <c r="W452" i="10"/>
  <c r="W451" i="10"/>
  <c r="W450" i="10"/>
  <c r="W449" i="10"/>
  <c r="W448" i="10"/>
  <c r="W447" i="10"/>
  <c r="W446" i="10"/>
  <c r="W445" i="10"/>
  <c r="W444" i="10"/>
  <c r="W443" i="10"/>
  <c r="W442" i="10"/>
  <c r="W441" i="10"/>
  <c r="W440" i="10"/>
  <c r="W439" i="10"/>
  <c r="W438" i="10"/>
  <c r="W437" i="10"/>
  <c r="W436" i="10"/>
  <c r="W435" i="10"/>
  <c r="W434" i="10"/>
  <c r="W433" i="10"/>
  <c r="W432" i="10"/>
  <c r="W431" i="10"/>
  <c r="W430" i="10"/>
  <c r="W429" i="10"/>
  <c r="W428" i="10"/>
  <c r="W427" i="10"/>
  <c r="W426" i="10"/>
  <c r="W425" i="10"/>
  <c r="W424" i="10"/>
  <c r="W423" i="10"/>
  <c r="W422" i="10"/>
  <c r="W421" i="10"/>
  <c r="W420" i="10"/>
  <c r="W419" i="10"/>
  <c r="W418" i="10"/>
  <c r="W417" i="10"/>
  <c r="W416" i="10"/>
  <c r="W415" i="10"/>
  <c r="W414" i="10"/>
  <c r="W413" i="10"/>
  <c r="W412" i="10"/>
  <c r="W411" i="10"/>
  <c r="W410" i="10"/>
  <c r="W409" i="10"/>
  <c r="W408" i="10"/>
  <c r="W407" i="10"/>
  <c r="W406" i="10"/>
  <c r="W405" i="10"/>
  <c r="W404" i="10"/>
  <c r="W403" i="10"/>
  <c r="W402" i="10"/>
  <c r="W401" i="10"/>
  <c r="W400" i="10"/>
  <c r="W399" i="10"/>
  <c r="W398" i="10"/>
  <c r="W397" i="10"/>
  <c r="W396" i="10"/>
  <c r="W395" i="10"/>
  <c r="W394" i="10"/>
  <c r="W393" i="10"/>
  <c r="W392" i="10"/>
  <c r="W391" i="10"/>
  <c r="W390" i="10"/>
  <c r="W389" i="10"/>
  <c r="W388" i="10"/>
  <c r="W387" i="10"/>
  <c r="W386" i="10"/>
  <c r="W385" i="10"/>
  <c r="W384" i="10"/>
  <c r="W383" i="10"/>
  <c r="W382" i="10"/>
  <c r="W381" i="10"/>
  <c r="W380" i="10"/>
  <c r="W379" i="10"/>
  <c r="W378" i="10"/>
  <c r="W377" i="10"/>
  <c r="W376" i="10"/>
  <c r="W375" i="10"/>
  <c r="W374" i="10"/>
  <c r="W373" i="10"/>
  <c r="W372" i="10"/>
  <c r="W371" i="10"/>
  <c r="W370" i="10"/>
  <c r="W369" i="10"/>
  <c r="W368" i="10"/>
  <c r="W367" i="10"/>
  <c r="W366" i="10"/>
  <c r="W365" i="10"/>
  <c r="W364" i="10"/>
  <c r="W363" i="10"/>
  <c r="W362" i="10"/>
  <c r="W361" i="10"/>
  <c r="W360" i="10"/>
  <c r="W359" i="10"/>
  <c r="W358" i="10"/>
  <c r="W357" i="10"/>
  <c r="W356" i="10"/>
  <c r="W355" i="10"/>
  <c r="W354" i="10"/>
  <c r="W353" i="10"/>
  <c r="W352" i="10"/>
  <c r="W351" i="10"/>
  <c r="W350" i="10"/>
  <c r="W349" i="10"/>
  <c r="W348" i="10"/>
  <c r="W347" i="10"/>
  <c r="W346" i="10"/>
  <c r="W345" i="10"/>
  <c r="W344" i="10"/>
  <c r="W343" i="10"/>
  <c r="W342" i="10"/>
  <c r="W341" i="10"/>
  <c r="W340" i="10"/>
  <c r="W339" i="10"/>
  <c r="W338" i="10"/>
  <c r="W337" i="10"/>
  <c r="W336" i="10"/>
  <c r="W335" i="10"/>
  <c r="W334" i="10"/>
  <c r="W333" i="10"/>
  <c r="W332" i="10"/>
  <c r="W331" i="10"/>
  <c r="W330" i="10"/>
  <c r="W329" i="10"/>
  <c r="W328" i="10"/>
  <c r="W327" i="10"/>
  <c r="W326" i="10"/>
  <c r="W325" i="10"/>
  <c r="W324" i="10"/>
  <c r="W323" i="10"/>
  <c r="W322" i="10"/>
  <c r="W321" i="10"/>
  <c r="W320" i="10"/>
  <c r="W319" i="10"/>
  <c r="W318" i="10"/>
  <c r="W317" i="10"/>
  <c r="W316" i="10"/>
  <c r="W315" i="10"/>
  <c r="W314" i="10"/>
  <c r="W313" i="10"/>
  <c r="W312" i="10"/>
  <c r="W311" i="10"/>
  <c r="W310" i="10"/>
  <c r="W309" i="10"/>
  <c r="W308" i="10"/>
  <c r="W307" i="10"/>
  <c r="W306" i="10"/>
  <c r="W305" i="10"/>
  <c r="W304" i="10"/>
  <c r="W303" i="10"/>
  <c r="W302" i="10"/>
  <c r="W301" i="10"/>
  <c r="W300" i="10"/>
  <c r="W299" i="10"/>
  <c r="W298" i="10"/>
  <c r="W297" i="10"/>
  <c r="W296" i="10"/>
  <c r="W295" i="10"/>
  <c r="W294" i="10"/>
  <c r="W293" i="10"/>
  <c r="W292" i="10"/>
  <c r="W291" i="10"/>
  <c r="W290" i="10"/>
  <c r="W289" i="10"/>
  <c r="W288" i="10"/>
  <c r="W287" i="10"/>
  <c r="W286" i="10"/>
  <c r="W285" i="10"/>
  <c r="W284" i="10"/>
  <c r="W283" i="10"/>
  <c r="W282" i="10"/>
  <c r="W281" i="10"/>
  <c r="W280" i="10"/>
  <c r="W279" i="10"/>
  <c r="W278" i="10"/>
  <c r="W277" i="10"/>
  <c r="W276" i="10"/>
  <c r="W275" i="10"/>
  <c r="W274" i="10"/>
  <c r="W273" i="10"/>
  <c r="W272" i="10"/>
  <c r="W271" i="10"/>
  <c r="W270" i="10"/>
  <c r="W269" i="10"/>
  <c r="W268" i="10"/>
  <c r="W267" i="10"/>
  <c r="W266" i="10"/>
  <c r="W265" i="10"/>
  <c r="W264" i="10"/>
  <c r="W263" i="10"/>
  <c r="W262" i="10"/>
  <c r="W261" i="10"/>
  <c r="W260" i="10"/>
  <c r="W259" i="10"/>
  <c r="W258" i="10"/>
  <c r="W257" i="10"/>
  <c r="W256" i="10"/>
  <c r="W255" i="10"/>
  <c r="W254" i="10"/>
  <c r="W253" i="10"/>
  <c r="W252" i="10"/>
  <c r="W251" i="10"/>
  <c r="W250" i="10"/>
  <c r="W249" i="10"/>
  <c r="W248" i="10"/>
  <c r="W247" i="10"/>
  <c r="W246" i="10"/>
  <c r="W245" i="10"/>
  <c r="W244" i="10"/>
  <c r="W243" i="10"/>
  <c r="W242" i="10"/>
  <c r="W241" i="10"/>
  <c r="W240" i="10"/>
  <c r="W239" i="10"/>
  <c r="W238" i="10"/>
  <c r="W237" i="10"/>
  <c r="W236" i="10"/>
  <c r="W235" i="10"/>
  <c r="W234" i="10"/>
  <c r="W233" i="10"/>
  <c r="W232" i="10"/>
  <c r="W231" i="10"/>
  <c r="W230" i="10"/>
  <c r="W229" i="10"/>
  <c r="W228" i="10"/>
  <c r="W227" i="10"/>
  <c r="W226" i="10"/>
  <c r="W225" i="10"/>
  <c r="W224" i="10"/>
  <c r="W223" i="10"/>
  <c r="W222" i="10"/>
  <c r="W221" i="10"/>
  <c r="W220" i="10"/>
  <c r="W219" i="10"/>
  <c r="W218" i="10"/>
  <c r="W217" i="10"/>
  <c r="W216" i="10"/>
  <c r="W215" i="10"/>
  <c r="W214" i="10"/>
  <c r="W213" i="10"/>
  <c r="W212" i="10"/>
  <c r="W211" i="10"/>
  <c r="W210" i="10"/>
  <c r="W209" i="10"/>
  <c r="W208" i="10"/>
  <c r="W207" i="10"/>
  <c r="W206" i="10"/>
  <c r="W205" i="10"/>
  <c r="W204" i="10"/>
  <c r="W203" i="10"/>
  <c r="W202" i="10"/>
  <c r="W201" i="10"/>
  <c r="W200" i="10"/>
  <c r="W199" i="10"/>
  <c r="W198" i="10"/>
  <c r="W197" i="10"/>
  <c r="W196" i="10"/>
  <c r="W195" i="10"/>
  <c r="W194" i="10"/>
  <c r="W193" i="10"/>
  <c r="W192" i="10"/>
  <c r="W191" i="10"/>
  <c r="W190" i="10"/>
  <c r="W189" i="10"/>
  <c r="W188" i="10"/>
  <c r="W187" i="10"/>
  <c r="W186" i="10"/>
  <c r="W185" i="10"/>
  <c r="W184" i="10"/>
  <c r="W183" i="10"/>
  <c r="W182" i="10"/>
  <c r="W181" i="10"/>
  <c r="W180" i="10"/>
  <c r="W179" i="10"/>
  <c r="W178" i="10"/>
  <c r="W177" i="10"/>
  <c r="W176" i="10"/>
  <c r="W175" i="10"/>
  <c r="W174" i="10"/>
  <c r="W173" i="10"/>
  <c r="W172" i="10"/>
  <c r="W171" i="10"/>
  <c r="W170" i="10"/>
  <c r="W169" i="10"/>
  <c r="W168" i="10"/>
  <c r="W167" i="10"/>
  <c r="W166" i="10"/>
  <c r="W165" i="10"/>
  <c r="W164" i="10"/>
  <c r="W163" i="10"/>
  <c r="W162" i="10"/>
  <c r="W161" i="10"/>
  <c r="W160" i="10"/>
  <c r="W159" i="10"/>
  <c r="W158" i="10"/>
  <c r="W157" i="10"/>
  <c r="W156" i="10"/>
  <c r="W155" i="10"/>
  <c r="W154" i="10"/>
  <c r="W153" i="10"/>
  <c r="W152" i="10"/>
  <c r="W151" i="10"/>
  <c r="W150" i="10"/>
  <c r="W149" i="10"/>
  <c r="W148" i="10"/>
  <c r="W147" i="10"/>
  <c r="W146" i="10"/>
  <c r="W145" i="10"/>
  <c r="W144" i="10"/>
  <c r="W143" i="10"/>
  <c r="W142" i="10"/>
  <c r="W141" i="10"/>
  <c r="W140" i="10"/>
  <c r="W139" i="10"/>
  <c r="W138" i="10"/>
  <c r="W137" i="10"/>
  <c r="W136" i="10"/>
  <c r="W135" i="10"/>
  <c r="W134" i="10"/>
  <c r="W133" i="10"/>
  <c r="W132" i="10"/>
  <c r="W131" i="10"/>
  <c r="W130" i="10"/>
  <c r="W129" i="10"/>
  <c r="W128" i="10"/>
  <c r="W127" i="10"/>
  <c r="W126" i="10"/>
  <c r="W125" i="10"/>
  <c r="W124" i="10"/>
  <c r="W123" i="10"/>
  <c r="W122" i="10"/>
  <c r="W121" i="10"/>
  <c r="W120" i="10"/>
  <c r="W119" i="10"/>
  <c r="W118" i="10"/>
  <c r="W117" i="10"/>
  <c r="W116" i="10"/>
  <c r="W115" i="10"/>
  <c r="W114" i="10"/>
  <c r="W113" i="10"/>
  <c r="W112" i="10"/>
  <c r="W111" i="10"/>
  <c r="W110" i="10"/>
  <c r="W109" i="10"/>
  <c r="W108" i="10"/>
  <c r="W107" i="10"/>
  <c r="W106" i="10"/>
  <c r="W105" i="10"/>
  <c r="W104" i="10"/>
  <c r="W103" i="10"/>
  <c r="W102" i="10"/>
  <c r="W101" i="10"/>
  <c r="W100" i="10"/>
  <c r="W99" i="10"/>
  <c r="W98" i="10"/>
  <c r="W97" i="10"/>
  <c r="W96" i="10"/>
  <c r="W95" i="10"/>
  <c r="W94" i="10"/>
  <c r="W93" i="10"/>
  <c r="W92" i="10"/>
  <c r="W91" i="10"/>
  <c r="W90" i="10"/>
  <c r="W89" i="10"/>
  <c r="W88" i="10"/>
  <c r="W87" i="10"/>
  <c r="W86" i="10"/>
  <c r="W85" i="10"/>
  <c r="W84" i="10"/>
  <c r="W83" i="10"/>
  <c r="W82" i="10"/>
  <c r="W81" i="10"/>
  <c r="W80" i="10"/>
  <c r="W79" i="10"/>
  <c r="W78" i="10"/>
  <c r="W77" i="10"/>
  <c r="W76" i="10"/>
  <c r="W75" i="10"/>
  <c r="W74" i="10"/>
  <c r="W73" i="10"/>
  <c r="W72" i="10"/>
  <c r="W71" i="10"/>
  <c r="W70" i="10"/>
  <c r="W69" i="10"/>
  <c r="W68" i="10"/>
  <c r="W67" i="10"/>
  <c r="W66" i="10"/>
  <c r="W65" i="10"/>
  <c r="W64" i="10"/>
  <c r="W63" i="10"/>
  <c r="W62" i="10"/>
  <c r="W61" i="10"/>
  <c r="W60" i="10"/>
  <c r="W59" i="10"/>
  <c r="W58" i="10"/>
  <c r="W57" i="10"/>
  <c r="W56" i="10"/>
  <c r="W55" i="10"/>
  <c r="W54" i="10"/>
  <c r="W53" i="10"/>
  <c r="W52" i="10"/>
  <c r="W51" i="10"/>
  <c r="W50" i="10"/>
  <c r="W49" i="10"/>
  <c r="W48" i="10"/>
  <c r="W47" i="10"/>
  <c r="W46" i="10"/>
  <c r="W45" i="10"/>
  <c r="W44" i="10"/>
  <c r="W43" i="10"/>
  <c r="W42" i="10"/>
  <c r="W41" i="10"/>
  <c r="W40" i="10"/>
  <c r="W39" i="10"/>
  <c r="W38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W15" i="10"/>
  <c r="W14" i="10"/>
  <c r="W13" i="10"/>
  <c r="W12" i="10"/>
  <c r="W11" i="10"/>
  <c r="W10" i="10"/>
  <c r="W9" i="10"/>
  <c r="W8" i="10"/>
  <c r="W7" i="10"/>
  <c r="W6" i="10"/>
  <c r="V2855" i="10"/>
  <c r="V2854" i="10"/>
  <c r="V2853" i="10"/>
  <c r="V2852" i="10"/>
  <c r="V2851" i="10"/>
  <c r="V2850" i="10"/>
  <c r="V2849" i="10"/>
  <c r="V2848" i="10"/>
  <c r="V2847" i="10"/>
  <c r="V2846" i="10"/>
  <c r="V2845" i="10"/>
  <c r="V2844" i="10"/>
  <c r="V2843" i="10"/>
  <c r="V2842" i="10"/>
  <c r="V2841" i="10"/>
  <c r="V2840" i="10"/>
  <c r="V2839" i="10"/>
  <c r="V2838" i="10"/>
  <c r="V2837" i="10"/>
  <c r="V2836" i="10"/>
  <c r="V2835" i="10"/>
  <c r="V2834" i="10"/>
  <c r="V2833" i="10"/>
  <c r="V2832" i="10"/>
  <c r="V2831" i="10"/>
  <c r="V2830" i="10"/>
  <c r="V2829" i="10"/>
  <c r="V2828" i="10"/>
  <c r="V2827" i="10"/>
  <c r="V2826" i="10"/>
  <c r="V2825" i="10"/>
  <c r="V2824" i="10"/>
  <c r="V2823" i="10"/>
  <c r="V2822" i="10"/>
  <c r="V2821" i="10"/>
  <c r="V2820" i="10"/>
  <c r="V2819" i="10"/>
  <c r="V2818" i="10"/>
  <c r="V2817" i="10"/>
  <c r="V2816" i="10"/>
  <c r="V2815" i="10"/>
  <c r="V2814" i="10"/>
  <c r="V2813" i="10"/>
  <c r="V2812" i="10"/>
  <c r="V2811" i="10"/>
  <c r="V2810" i="10"/>
  <c r="V2809" i="10"/>
  <c r="V2808" i="10"/>
  <c r="V2807" i="10"/>
  <c r="V2806" i="10"/>
  <c r="V2805" i="10"/>
  <c r="V2804" i="10"/>
  <c r="V2803" i="10"/>
  <c r="V2802" i="10"/>
  <c r="V2801" i="10"/>
  <c r="V2800" i="10"/>
  <c r="V2799" i="10"/>
  <c r="V2798" i="10"/>
  <c r="V2797" i="10"/>
  <c r="V2796" i="10"/>
  <c r="V2795" i="10"/>
  <c r="V2794" i="10"/>
  <c r="V2793" i="10"/>
  <c r="V2792" i="10"/>
  <c r="V2791" i="10"/>
  <c r="V2790" i="10"/>
  <c r="V2789" i="10"/>
  <c r="V2788" i="10"/>
  <c r="V2787" i="10"/>
  <c r="V2786" i="10"/>
  <c r="V2785" i="10"/>
  <c r="V2784" i="10"/>
  <c r="V2783" i="10"/>
  <c r="V2782" i="10"/>
  <c r="V2781" i="10"/>
  <c r="V2780" i="10"/>
  <c r="V2779" i="10"/>
  <c r="V2778" i="10"/>
  <c r="V2777" i="10"/>
  <c r="V2776" i="10"/>
  <c r="V2775" i="10"/>
  <c r="V2774" i="10"/>
  <c r="V2773" i="10"/>
  <c r="V2772" i="10"/>
  <c r="V2771" i="10"/>
  <c r="V2770" i="10"/>
  <c r="V2769" i="10"/>
  <c r="V2768" i="10"/>
  <c r="V2767" i="10"/>
  <c r="V2766" i="10"/>
  <c r="V2765" i="10"/>
  <c r="V2764" i="10"/>
  <c r="V2763" i="10"/>
  <c r="V2762" i="10"/>
  <c r="V2761" i="10"/>
  <c r="V2760" i="10"/>
  <c r="V2759" i="10"/>
  <c r="V2758" i="10"/>
  <c r="V2757" i="10"/>
  <c r="V2756" i="10"/>
  <c r="V2755" i="10"/>
  <c r="V2754" i="10"/>
  <c r="V2753" i="10"/>
  <c r="V2752" i="10"/>
  <c r="V2751" i="10"/>
  <c r="V2750" i="10"/>
  <c r="V2749" i="10"/>
  <c r="V2748" i="10"/>
  <c r="V2747" i="10"/>
  <c r="V2746" i="10"/>
  <c r="V2745" i="10"/>
  <c r="V2744" i="10"/>
  <c r="V2743" i="10"/>
  <c r="V2742" i="10"/>
  <c r="V2741" i="10"/>
  <c r="V2740" i="10"/>
  <c r="V2739" i="10"/>
  <c r="V2738" i="10"/>
  <c r="V2737" i="10"/>
  <c r="V2736" i="10"/>
  <c r="V2735" i="10"/>
  <c r="V2734" i="10"/>
  <c r="V2733" i="10"/>
  <c r="V2732" i="10"/>
  <c r="V2731" i="10"/>
  <c r="V2730" i="10"/>
  <c r="V2729" i="10"/>
  <c r="V2728" i="10"/>
  <c r="V2727" i="10"/>
  <c r="V2726" i="10"/>
  <c r="V2725" i="10"/>
  <c r="V2724" i="10"/>
  <c r="V2723" i="10"/>
  <c r="V2722" i="10"/>
  <c r="V2721" i="10"/>
  <c r="V2720" i="10"/>
  <c r="V2719" i="10"/>
  <c r="V2718" i="10"/>
  <c r="V2717" i="10"/>
  <c r="V2716" i="10"/>
  <c r="V2715" i="10"/>
  <c r="V2714" i="10"/>
  <c r="V2713" i="10"/>
  <c r="V2712" i="10"/>
  <c r="V2711" i="10"/>
  <c r="V2710" i="10"/>
  <c r="V2709" i="10"/>
  <c r="V2708" i="10"/>
  <c r="V2707" i="10"/>
  <c r="V2706" i="10"/>
  <c r="V2705" i="10"/>
  <c r="V2704" i="10"/>
  <c r="V2703" i="10"/>
  <c r="V2702" i="10"/>
  <c r="V2701" i="10"/>
  <c r="V2700" i="10"/>
  <c r="V2699" i="10"/>
  <c r="V2698" i="10"/>
  <c r="V2697" i="10"/>
  <c r="V2696" i="10"/>
  <c r="V2695" i="10"/>
  <c r="V2694" i="10"/>
  <c r="V2693" i="10"/>
  <c r="V2692" i="10"/>
  <c r="V2691" i="10"/>
  <c r="V2690" i="10"/>
  <c r="V2689" i="10"/>
  <c r="V2688" i="10"/>
  <c r="V2687" i="10"/>
  <c r="V2686" i="10"/>
  <c r="V2685" i="10"/>
  <c r="V2684" i="10"/>
  <c r="V2683" i="10"/>
  <c r="V2682" i="10"/>
  <c r="V2681" i="10"/>
  <c r="V2680" i="10"/>
  <c r="V2679" i="10"/>
  <c r="V2678" i="10"/>
  <c r="V2677" i="10"/>
  <c r="V2676" i="10"/>
  <c r="V2675" i="10"/>
  <c r="V2674" i="10"/>
  <c r="V2673" i="10"/>
  <c r="V2672" i="10"/>
  <c r="V2671" i="10"/>
  <c r="V2670" i="10"/>
  <c r="V2669" i="10"/>
  <c r="V2668" i="10"/>
  <c r="V2667" i="10"/>
  <c r="V2666" i="10"/>
  <c r="V2665" i="10"/>
  <c r="V2664" i="10"/>
  <c r="V2663" i="10"/>
  <c r="V2662" i="10"/>
  <c r="V2661" i="10"/>
  <c r="V2660" i="10"/>
  <c r="V2659" i="10"/>
  <c r="V2658" i="10"/>
  <c r="V2657" i="10"/>
  <c r="V2656" i="10"/>
  <c r="V2655" i="10"/>
  <c r="V2654" i="10"/>
  <c r="V2653" i="10"/>
  <c r="V2652" i="10"/>
  <c r="V2651" i="10"/>
  <c r="V2650" i="10"/>
  <c r="V2649" i="10"/>
  <c r="V2648" i="10"/>
  <c r="V2647" i="10"/>
  <c r="V2646" i="10"/>
  <c r="V2645" i="10"/>
  <c r="V2644" i="10"/>
  <c r="V2643" i="10"/>
  <c r="V2642" i="10"/>
  <c r="V2641" i="10"/>
  <c r="V2640" i="10"/>
  <c r="V2639" i="10"/>
  <c r="V2638" i="10"/>
  <c r="V2637" i="10"/>
  <c r="V2636" i="10"/>
  <c r="V2635" i="10"/>
  <c r="V2634" i="10"/>
  <c r="V2633" i="10"/>
  <c r="V2632" i="10"/>
  <c r="V2631" i="10"/>
  <c r="V2630" i="10"/>
  <c r="V2629" i="10"/>
  <c r="V2628" i="10"/>
  <c r="V2627" i="10"/>
  <c r="V2626" i="10"/>
  <c r="V2625" i="10"/>
  <c r="V2624" i="10"/>
  <c r="V2623" i="10"/>
  <c r="V2622" i="10"/>
  <c r="V2621" i="10"/>
  <c r="V2620" i="10"/>
  <c r="V2619" i="10"/>
  <c r="V2618" i="10"/>
  <c r="V2617" i="10"/>
  <c r="V2616" i="10"/>
  <c r="V2615" i="10"/>
  <c r="V2614" i="10"/>
  <c r="V2613" i="10"/>
  <c r="V2612" i="10"/>
  <c r="V2611" i="10"/>
  <c r="V2610" i="10"/>
  <c r="V2609" i="10"/>
  <c r="V2608" i="10"/>
  <c r="V2607" i="10"/>
  <c r="V2606" i="10"/>
  <c r="V2605" i="10"/>
  <c r="V2604" i="10"/>
  <c r="V2603" i="10"/>
  <c r="V2602" i="10"/>
  <c r="V2601" i="10"/>
  <c r="V2600" i="10"/>
  <c r="V2599" i="10"/>
  <c r="V2598" i="10"/>
  <c r="V2597" i="10"/>
  <c r="V2596" i="10"/>
  <c r="V2595" i="10"/>
  <c r="V2594" i="10"/>
  <c r="V2593" i="10"/>
  <c r="V2592" i="10"/>
  <c r="V2591" i="10"/>
  <c r="V2590" i="10"/>
  <c r="V2589" i="10"/>
  <c r="V2588" i="10"/>
  <c r="V2587" i="10"/>
  <c r="V2586" i="10"/>
  <c r="V2585" i="10"/>
  <c r="V2584" i="10"/>
  <c r="V2583" i="10"/>
  <c r="V2582" i="10"/>
  <c r="V2581" i="10"/>
  <c r="V2580" i="10"/>
  <c r="V2579" i="10"/>
  <c r="V2578" i="10"/>
  <c r="V2577" i="10"/>
  <c r="V2576" i="10"/>
  <c r="V2575" i="10"/>
  <c r="V2574" i="10"/>
  <c r="V2573" i="10"/>
  <c r="V2572" i="10"/>
  <c r="V2571" i="10"/>
  <c r="V2570" i="10"/>
  <c r="V2569" i="10"/>
  <c r="V2568" i="10"/>
  <c r="V2567" i="10"/>
  <c r="V2566" i="10"/>
  <c r="V2565" i="10"/>
  <c r="V2564" i="10"/>
  <c r="V2563" i="10"/>
  <c r="V2562" i="10"/>
  <c r="V2561" i="10"/>
  <c r="V2560" i="10"/>
  <c r="V2559" i="10"/>
  <c r="V2558" i="10"/>
  <c r="V2557" i="10"/>
  <c r="V2556" i="10"/>
  <c r="V2555" i="10"/>
  <c r="V2554" i="10"/>
  <c r="V2553" i="10"/>
  <c r="V2552" i="10"/>
  <c r="V2551" i="10"/>
  <c r="V2550" i="10"/>
  <c r="V2549" i="10"/>
  <c r="V2548" i="10"/>
  <c r="V2547" i="10"/>
  <c r="V2546" i="10"/>
  <c r="V2545" i="10"/>
  <c r="V2544" i="10"/>
  <c r="V2543" i="10"/>
  <c r="V2542" i="10"/>
  <c r="V2541" i="10"/>
  <c r="V2540" i="10"/>
  <c r="V2539" i="10"/>
  <c r="V2538" i="10"/>
  <c r="V2537" i="10"/>
  <c r="V2536" i="10"/>
  <c r="V2535" i="10"/>
  <c r="V2534" i="10"/>
  <c r="V2533" i="10"/>
  <c r="V2532" i="10"/>
  <c r="V2531" i="10"/>
  <c r="V2530" i="10"/>
  <c r="V2529" i="10"/>
  <c r="V2528" i="10"/>
  <c r="V2527" i="10"/>
  <c r="V2526" i="10"/>
  <c r="V2525" i="10"/>
  <c r="V2524" i="10"/>
  <c r="V2523" i="10"/>
  <c r="V2522" i="10"/>
  <c r="V2521" i="10"/>
  <c r="V2520" i="10"/>
  <c r="V2519" i="10"/>
  <c r="V2518" i="10"/>
  <c r="V2517" i="10"/>
  <c r="V2516" i="10"/>
  <c r="V2515" i="10"/>
  <c r="V2514" i="10"/>
  <c r="V2513" i="10"/>
  <c r="V2512" i="10"/>
  <c r="V2511" i="10"/>
  <c r="V2510" i="10"/>
  <c r="V2509" i="10"/>
  <c r="V2508" i="10"/>
  <c r="V2507" i="10"/>
  <c r="V2506" i="10"/>
  <c r="V2505" i="10"/>
  <c r="V2504" i="10"/>
  <c r="V2503" i="10"/>
  <c r="V2502" i="10"/>
  <c r="V2501" i="10"/>
  <c r="V2500" i="10"/>
  <c r="V2499" i="10"/>
  <c r="V2498" i="10"/>
  <c r="V2497" i="10"/>
  <c r="V2496" i="10"/>
  <c r="V2495" i="10"/>
  <c r="V2494" i="10"/>
  <c r="V2493" i="10"/>
  <c r="V2492" i="10"/>
  <c r="V2491" i="10"/>
  <c r="V2490" i="10"/>
  <c r="V2489" i="10"/>
  <c r="V2488" i="10"/>
  <c r="V2487" i="10"/>
  <c r="V2486" i="10"/>
  <c r="V2485" i="10"/>
  <c r="V2484" i="10"/>
  <c r="V2483" i="10"/>
  <c r="V2482" i="10"/>
  <c r="V2481" i="10"/>
  <c r="V2480" i="10"/>
  <c r="V2479" i="10"/>
  <c r="V2478" i="10"/>
  <c r="V2477" i="10"/>
  <c r="V2476" i="10"/>
  <c r="V2475" i="10"/>
  <c r="V2474" i="10"/>
  <c r="V2473" i="10"/>
  <c r="V2472" i="10"/>
  <c r="V2471" i="10"/>
  <c r="V2470" i="10"/>
  <c r="V2469" i="10"/>
  <c r="V2468" i="10"/>
  <c r="V2467" i="10"/>
  <c r="V2466" i="10"/>
  <c r="V2465" i="10"/>
  <c r="V2464" i="10"/>
  <c r="V2463" i="10"/>
  <c r="V2462" i="10"/>
  <c r="V2461" i="10"/>
  <c r="V2460" i="10"/>
  <c r="V2459" i="10"/>
  <c r="V2458" i="10"/>
  <c r="V2457" i="10"/>
  <c r="V2456" i="10"/>
  <c r="V2455" i="10"/>
  <c r="V2454" i="10"/>
  <c r="V2453" i="10"/>
  <c r="V2452" i="10"/>
  <c r="V2451" i="10"/>
  <c r="V2450" i="10"/>
  <c r="V2449" i="10"/>
  <c r="V2448" i="10"/>
  <c r="V2447" i="10"/>
  <c r="V2446" i="10"/>
  <c r="V2445" i="10"/>
  <c r="V2444" i="10"/>
  <c r="V2443" i="10"/>
  <c r="V2442" i="10"/>
  <c r="V2441" i="10"/>
  <c r="V2440" i="10"/>
  <c r="V2439" i="10"/>
  <c r="V2438" i="10"/>
  <c r="V2437" i="10"/>
  <c r="V2436" i="10"/>
  <c r="V2435" i="10"/>
  <c r="V2434" i="10"/>
  <c r="V2433" i="10"/>
  <c r="V2432" i="10"/>
  <c r="V2431" i="10"/>
  <c r="V2430" i="10"/>
  <c r="V2429" i="10"/>
  <c r="V2428" i="10"/>
  <c r="V2427" i="10"/>
  <c r="V2426" i="10"/>
  <c r="V2425" i="10"/>
  <c r="V2424" i="10"/>
  <c r="V2423" i="10"/>
  <c r="V2422" i="10"/>
  <c r="V2421" i="10"/>
  <c r="V2420" i="10"/>
  <c r="V2419" i="10"/>
  <c r="V2418" i="10"/>
  <c r="V2417" i="10"/>
  <c r="V2416" i="10"/>
  <c r="V2415" i="10"/>
  <c r="V2414" i="10"/>
  <c r="V2413" i="10"/>
  <c r="V2412" i="10"/>
  <c r="V2411" i="10"/>
  <c r="V2410" i="10"/>
  <c r="V2409" i="10"/>
  <c r="V2408" i="10"/>
  <c r="V2407" i="10"/>
  <c r="V2406" i="10"/>
  <c r="V2405" i="10"/>
  <c r="V2404" i="10"/>
  <c r="V2403" i="10"/>
  <c r="V2402" i="10"/>
  <c r="V2401" i="10"/>
  <c r="V2400" i="10"/>
  <c r="V2399" i="10"/>
  <c r="V2398" i="10"/>
  <c r="V2397" i="10"/>
  <c r="V2396" i="10"/>
  <c r="V2395" i="10"/>
  <c r="V2394" i="10"/>
  <c r="V2393" i="10"/>
  <c r="V2392" i="10"/>
  <c r="V2391" i="10"/>
  <c r="V2390" i="10"/>
  <c r="V2389" i="10"/>
  <c r="V2388" i="10"/>
  <c r="V2387" i="10"/>
  <c r="V2386" i="10"/>
  <c r="V2385" i="10"/>
  <c r="V2384" i="10"/>
  <c r="V2383" i="10"/>
  <c r="V2382" i="10"/>
  <c r="V2381" i="10"/>
  <c r="V2380" i="10"/>
  <c r="V2379" i="10"/>
  <c r="V2378" i="10"/>
  <c r="V2377" i="10"/>
  <c r="V2376" i="10"/>
  <c r="V2375" i="10"/>
  <c r="V2374" i="10"/>
  <c r="V2373" i="10"/>
  <c r="V2372" i="10"/>
  <c r="V2371" i="10"/>
  <c r="V2370" i="10"/>
  <c r="V2369" i="10"/>
  <c r="V2368" i="10"/>
  <c r="V2367" i="10"/>
  <c r="V2366" i="10"/>
  <c r="V2365" i="10"/>
  <c r="V2364" i="10"/>
  <c r="V2363" i="10"/>
  <c r="V2362" i="10"/>
  <c r="V2361" i="10"/>
  <c r="V2360" i="10"/>
  <c r="V2359" i="10"/>
  <c r="V2358" i="10"/>
  <c r="V2357" i="10"/>
  <c r="V2356" i="10"/>
  <c r="V2355" i="10"/>
  <c r="V2354" i="10"/>
  <c r="V2353" i="10"/>
  <c r="V2352" i="10"/>
  <c r="V2351" i="10"/>
  <c r="V2350" i="10"/>
  <c r="V2349" i="10"/>
  <c r="V2348" i="10"/>
  <c r="V2347" i="10"/>
  <c r="V2346" i="10"/>
  <c r="V2345" i="10"/>
  <c r="V2344" i="10"/>
  <c r="V2343" i="10"/>
  <c r="V2342" i="10"/>
  <c r="V2341" i="10"/>
  <c r="V2340" i="10"/>
  <c r="V2339" i="10"/>
  <c r="V2338" i="10"/>
  <c r="V2337" i="10"/>
  <c r="V2336" i="10"/>
  <c r="V2335" i="10"/>
  <c r="V2334" i="10"/>
  <c r="V2333" i="10"/>
  <c r="V2332" i="10"/>
  <c r="V2331" i="10"/>
  <c r="V2330" i="10"/>
  <c r="V2329" i="10"/>
  <c r="V2328" i="10"/>
  <c r="V2327" i="10"/>
  <c r="V2326" i="10"/>
  <c r="V2325" i="10"/>
  <c r="V2324" i="10"/>
  <c r="V2323" i="10"/>
  <c r="V2322" i="10"/>
  <c r="V2321" i="10"/>
  <c r="V2320" i="10"/>
  <c r="V2319" i="10"/>
  <c r="V2318" i="10"/>
  <c r="V2317" i="10"/>
  <c r="V2316" i="10"/>
  <c r="V2315" i="10"/>
  <c r="V2314" i="10"/>
  <c r="V2313" i="10"/>
  <c r="V2312" i="10"/>
  <c r="V2311" i="10"/>
  <c r="V2310" i="10"/>
  <c r="V2309" i="10"/>
  <c r="V2308" i="10"/>
  <c r="V2307" i="10"/>
  <c r="V2306" i="10"/>
  <c r="V2305" i="10"/>
  <c r="V2304" i="10"/>
  <c r="V2303" i="10"/>
  <c r="V2302" i="10"/>
  <c r="V2301" i="10"/>
  <c r="V2300" i="10"/>
  <c r="V2299" i="10"/>
  <c r="V2298" i="10"/>
  <c r="V2297" i="10"/>
  <c r="V2296" i="10"/>
  <c r="V2295" i="10"/>
  <c r="V2294" i="10"/>
  <c r="V2293" i="10"/>
  <c r="V2292" i="10"/>
  <c r="V2291" i="10"/>
  <c r="V2290" i="10"/>
  <c r="V2289" i="10"/>
  <c r="V2288" i="10"/>
  <c r="V2287" i="10"/>
  <c r="V2286" i="10"/>
  <c r="V2285" i="10"/>
  <c r="V2284" i="10"/>
  <c r="V2283" i="10"/>
  <c r="V2282" i="10"/>
  <c r="V2281" i="10"/>
  <c r="V2280" i="10"/>
  <c r="V2279" i="10"/>
  <c r="V2278" i="10"/>
  <c r="V2277" i="10"/>
  <c r="V2276" i="10"/>
  <c r="V2275" i="10"/>
  <c r="V2274" i="10"/>
  <c r="V2273" i="10"/>
  <c r="V2272" i="10"/>
  <c r="V2271" i="10"/>
  <c r="V2270" i="10"/>
  <c r="V2269" i="10"/>
  <c r="V2268" i="10"/>
  <c r="V2267" i="10"/>
  <c r="V2266" i="10"/>
  <c r="V2265" i="10"/>
  <c r="V2264" i="10"/>
  <c r="V2263" i="10"/>
  <c r="V2262" i="10"/>
  <c r="V2261" i="10"/>
  <c r="V2260" i="10"/>
  <c r="V2259" i="10"/>
  <c r="V2258" i="10"/>
  <c r="V2257" i="10"/>
  <c r="V2256" i="10"/>
  <c r="V2255" i="10"/>
  <c r="V2254" i="10"/>
  <c r="V2253" i="10"/>
  <c r="V2252" i="10"/>
  <c r="V2251" i="10"/>
  <c r="V2250" i="10"/>
  <c r="V2249" i="10"/>
  <c r="V2248" i="10"/>
  <c r="V2247" i="10"/>
  <c r="V2246" i="10"/>
  <c r="V2245" i="10"/>
  <c r="V2244" i="10"/>
  <c r="V2243" i="10"/>
  <c r="V2242" i="10"/>
  <c r="V2241" i="10"/>
  <c r="V2240" i="10"/>
  <c r="V2239" i="10"/>
  <c r="V2238" i="10"/>
  <c r="V2237" i="10"/>
  <c r="V2236" i="10"/>
  <c r="V2235" i="10"/>
  <c r="V2234" i="10"/>
  <c r="V2233" i="10"/>
  <c r="V2232" i="10"/>
  <c r="V2231" i="10"/>
  <c r="V2230" i="10"/>
  <c r="V2229" i="10"/>
  <c r="V2228" i="10"/>
  <c r="V2227" i="10"/>
  <c r="V2226" i="10"/>
  <c r="V2225" i="10"/>
  <c r="V2224" i="10"/>
  <c r="V2223" i="10"/>
  <c r="V2222" i="10"/>
  <c r="V2221" i="10"/>
  <c r="V2220" i="10"/>
  <c r="V2219" i="10"/>
  <c r="V2218" i="10"/>
  <c r="V2217" i="10"/>
  <c r="V2216" i="10"/>
  <c r="V2215" i="10"/>
  <c r="V2214" i="10"/>
  <c r="V2213" i="10"/>
  <c r="V2212" i="10"/>
  <c r="V2211" i="10"/>
  <c r="V2210" i="10"/>
  <c r="V2209" i="10"/>
  <c r="V2208" i="10"/>
  <c r="V2207" i="10"/>
  <c r="V2206" i="10"/>
  <c r="V2205" i="10"/>
  <c r="V2204" i="10"/>
  <c r="V2203" i="10"/>
  <c r="V2202" i="10"/>
  <c r="V2201" i="10"/>
  <c r="V2200" i="10"/>
  <c r="V2199" i="10"/>
  <c r="V2198" i="10"/>
  <c r="V2197" i="10"/>
  <c r="V2196" i="10"/>
  <c r="V2195" i="10"/>
  <c r="V2194" i="10"/>
  <c r="V2193" i="10"/>
  <c r="V2192" i="10"/>
  <c r="V2191" i="10"/>
  <c r="V2190" i="10"/>
  <c r="V2189" i="10"/>
  <c r="V2188" i="10"/>
  <c r="V2187" i="10"/>
  <c r="V2186" i="10"/>
  <c r="V2185" i="10"/>
  <c r="V2184" i="10"/>
  <c r="V2183" i="10"/>
  <c r="V2182" i="10"/>
  <c r="V2181" i="10"/>
  <c r="V2180" i="10"/>
  <c r="V2179" i="10"/>
  <c r="V2178" i="10"/>
  <c r="V2177" i="10"/>
  <c r="V2176" i="10"/>
  <c r="V2175" i="10"/>
  <c r="V2174" i="10"/>
  <c r="V2173" i="10"/>
  <c r="V2172" i="10"/>
  <c r="V2171" i="10"/>
  <c r="V2170" i="10"/>
  <c r="V2169" i="10"/>
  <c r="V2168" i="10"/>
  <c r="V2167" i="10"/>
  <c r="V2166" i="10"/>
  <c r="V2165" i="10"/>
  <c r="V2164" i="10"/>
  <c r="V2163" i="10"/>
  <c r="V2162" i="10"/>
  <c r="V2161" i="10"/>
  <c r="V2160" i="10"/>
  <c r="V2159" i="10"/>
  <c r="V2158" i="10"/>
  <c r="V2157" i="10"/>
  <c r="V2156" i="10"/>
  <c r="V2155" i="10"/>
  <c r="V2154" i="10"/>
  <c r="V2153" i="10"/>
  <c r="V2152" i="10"/>
  <c r="V2151" i="10"/>
  <c r="V2150" i="10"/>
  <c r="V2149" i="10"/>
  <c r="V2148" i="10"/>
  <c r="V2147" i="10"/>
  <c r="V2146" i="10"/>
  <c r="V2145" i="10"/>
  <c r="V2144" i="10"/>
  <c r="V2143" i="10"/>
  <c r="V2142" i="10"/>
  <c r="V2141" i="10"/>
  <c r="V2140" i="10"/>
  <c r="V2139" i="10"/>
  <c r="V2138" i="10"/>
  <c r="V2137" i="10"/>
  <c r="V2136" i="10"/>
  <c r="V2135" i="10"/>
  <c r="V2134" i="10"/>
  <c r="V2133" i="10"/>
  <c r="V2132" i="10"/>
  <c r="V2131" i="10"/>
  <c r="V2130" i="10"/>
  <c r="V2129" i="10"/>
  <c r="V2128" i="10"/>
  <c r="V2127" i="10"/>
  <c r="V2126" i="10"/>
  <c r="V2125" i="10"/>
  <c r="V2124" i="10"/>
  <c r="V2123" i="10"/>
  <c r="V2122" i="10"/>
  <c r="V2121" i="10"/>
  <c r="V2120" i="10"/>
  <c r="V2119" i="10"/>
  <c r="V2118" i="10"/>
  <c r="V2117" i="10"/>
  <c r="V2116" i="10"/>
  <c r="V2115" i="10"/>
  <c r="V2114" i="10"/>
  <c r="V2113" i="10"/>
  <c r="V2112" i="10"/>
  <c r="V2111" i="10"/>
  <c r="V2110" i="10"/>
  <c r="V2109" i="10"/>
  <c r="V2108" i="10"/>
  <c r="V2107" i="10"/>
  <c r="V2106" i="10"/>
  <c r="V2105" i="10"/>
  <c r="V2104" i="10"/>
  <c r="V2103" i="10"/>
  <c r="V2102" i="10"/>
  <c r="V2101" i="10"/>
  <c r="V2100" i="10"/>
  <c r="V2099" i="10"/>
  <c r="V2098" i="10"/>
  <c r="V2097" i="10"/>
  <c r="V2096" i="10"/>
  <c r="V2095" i="10"/>
  <c r="V2094" i="10"/>
  <c r="V2093" i="10"/>
  <c r="V2092" i="10"/>
  <c r="V2091" i="10"/>
  <c r="V2090" i="10"/>
  <c r="V2089" i="10"/>
  <c r="V2088" i="10"/>
  <c r="V2087" i="10"/>
  <c r="V2086" i="10"/>
  <c r="V2085" i="10"/>
  <c r="V2084" i="10"/>
  <c r="V2083" i="10"/>
  <c r="V2082" i="10"/>
  <c r="V2081" i="10"/>
  <c r="V2080" i="10"/>
  <c r="V2079" i="10"/>
  <c r="V2078" i="10"/>
  <c r="V2077" i="10"/>
  <c r="V2076" i="10"/>
  <c r="V2075" i="10"/>
  <c r="V2074" i="10"/>
  <c r="V2073" i="10"/>
  <c r="V2072" i="10"/>
  <c r="V2071" i="10"/>
  <c r="V2070" i="10"/>
  <c r="V2069" i="10"/>
  <c r="V2068" i="10"/>
  <c r="V2067" i="10"/>
  <c r="V2066" i="10"/>
  <c r="V2065" i="10"/>
  <c r="V2064" i="10"/>
  <c r="V2063" i="10"/>
  <c r="V2062" i="10"/>
  <c r="V2061" i="10"/>
  <c r="V2060" i="10"/>
  <c r="V2059" i="10"/>
  <c r="V2058" i="10"/>
  <c r="V2057" i="10"/>
  <c r="V2056" i="10"/>
  <c r="V2055" i="10"/>
  <c r="V2054" i="10"/>
  <c r="V2053" i="10"/>
  <c r="V2052" i="10"/>
  <c r="V2051" i="10"/>
  <c r="V2050" i="10"/>
  <c r="V2049" i="10"/>
  <c r="V2048" i="10"/>
  <c r="V2047" i="10"/>
  <c r="V2046" i="10"/>
  <c r="V2045" i="10"/>
  <c r="V2044" i="10"/>
  <c r="V2043" i="10"/>
  <c r="V2042" i="10"/>
  <c r="V2041" i="10"/>
  <c r="V2040" i="10"/>
  <c r="V2039" i="10"/>
  <c r="V2038" i="10"/>
  <c r="V2037" i="10"/>
  <c r="V2036" i="10"/>
  <c r="V2035" i="10"/>
  <c r="V2034" i="10"/>
  <c r="V2033" i="10"/>
  <c r="V2032" i="10"/>
  <c r="V2031" i="10"/>
  <c r="V2030" i="10"/>
  <c r="V2029" i="10"/>
  <c r="V2028" i="10"/>
  <c r="V2027" i="10"/>
  <c r="V2026" i="10"/>
  <c r="V2025" i="10"/>
  <c r="V2024" i="10"/>
  <c r="V2023" i="10"/>
  <c r="V2022" i="10"/>
  <c r="V2021" i="10"/>
  <c r="V2020" i="10"/>
  <c r="V2019" i="10"/>
  <c r="V2018" i="10"/>
  <c r="V2017" i="10"/>
  <c r="V2016" i="10"/>
  <c r="V2015" i="10"/>
  <c r="V2014" i="10"/>
  <c r="V2013" i="10"/>
  <c r="V2012" i="10"/>
  <c r="V2011" i="10"/>
  <c r="V2010" i="10"/>
  <c r="V2009" i="10"/>
  <c r="V2008" i="10"/>
  <c r="V2007" i="10"/>
  <c r="V2006" i="10"/>
  <c r="V2005" i="10"/>
  <c r="V2004" i="10"/>
  <c r="V2003" i="10"/>
  <c r="V2002" i="10"/>
  <c r="V2001" i="10"/>
  <c r="V2000" i="10"/>
  <c r="V1999" i="10"/>
  <c r="V1998" i="10"/>
  <c r="V1997" i="10"/>
  <c r="V1996" i="10"/>
  <c r="V1995" i="10"/>
  <c r="V1994" i="10"/>
  <c r="V1993" i="10"/>
  <c r="V1992" i="10"/>
  <c r="V1991" i="10"/>
  <c r="V1990" i="10"/>
  <c r="V1989" i="10"/>
  <c r="V1988" i="10"/>
  <c r="V1987" i="10"/>
  <c r="V1986" i="10"/>
  <c r="V1985" i="10"/>
  <c r="V1984" i="10"/>
  <c r="V1983" i="10"/>
  <c r="V1982" i="10"/>
  <c r="V1981" i="10"/>
  <c r="V1980" i="10"/>
  <c r="V1979" i="10"/>
  <c r="V1978" i="10"/>
  <c r="V1977" i="10"/>
  <c r="V1976" i="10"/>
  <c r="V1975" i="10"/>
  <c r="V1974" i="10"/>
  <c r="V1973" i="10"/>
  <c r="V1972" i="10"/>
  <c r="V1971" i="10"/>
  <c r="V1970" i="10"/>
  <c r="V1969" i="10"/>
  <c r="V1968" i="10"/>
  <c r="V1967" i="10"/>
  <c r="V1966" i="10"/>
  <c r="V1965" i="10"/>
  <c r="V1964" i="10"/>
  <c r="V1963" i="10"/>
  <c r="V1962" i="10"/>
  <c r="V1961" i="10"/>
  <c r="V1960" i="10"/>
  <c r="V1959" i="10"/>
  <c r="V1958" i="10"/>
  <c r="V1957" i="10"/>
  <c r="V1956" i="10"/>
  <c r="V1955" i="10"/>
  <c r="V1954" i="10"/>
  <c r="V1953" i="10"/>
  <c r="V1952" i="10"/>
  <c r="V1951" i="10"/>
  <c r="V1950" i="10"/>
  <c r="V1949" i="10"/>
  <c r="V1948" i="10"/>
  <c r="V1947" i="10"/>
  <c r="V1946" i="10"/>
  <c r="V1945" i="10"/>
  <c r="V1944" i="10"/>
  <c r="V1943" i="10"/>
  <c r="V1942" i="10"/>
  <c r="V1941" i="10"/>
  <c r="V1940" i="10"/>
  <c r="V1939" i="10"/>
  <c r="V1938" i="10"/>
  <c r="V1937" i="10"/>
  <c r="V1936" i="10"/>
  <c r="V1935" i="10"/>
  <c r="V1934" i="10"/>
  <c r="V1933" i="10"/>
  <c r="V1932" i="10"/>
  <c r="V1931" i="10"/>
  <c r="V1930" i="10"/>
  <c r="V1929" i="10"/>
  <c r="V1928" i="10"/>
  <c r="V1927" i="10"/>
  <c r="V1926" i="10"/>
  <c r="V1925" i="10"/>
  <c r="V1924" i="10"/>
  <c r="V1923" i="10"/>
  <c r="V1922" i="10"/>
  <c r="V1921" i="10"/>
  <c r="V1920" i="10"/>
  <c r="V1919" i="10"/>
  <c r="V1918" i="10"/>
  <c r="V1917" i="10"/>
  <c r="V1916" i="10"/>
  <c r="V1915" i="10"/>
  <c r="V1914" i="10"/>
  <c r="V1913" i="10"/>
  <c r="V1912" i="10"/>
  <c r="V1911" i="10"/>
  <c r="V1910" i="10"/>
  <c r="V1909" i="10"/>
  <c r="V1908" i="10"/>
  <c r="V1907" i="10"/>
  <c r="V1906" i="10"/>
  <c r="V1905" i="10"/>
  <c r="V1904" i="10"/>
  <c r="V1903" i="10"/>
  <c r="V1902" i="10"/>
  <c r="V1901" i="10"/>
  <c r="V1900" i="10"/>
  <c r="V1899" i="10"/>
  <c r="V1898" i="10"/>
  <c r="V1897" i="10"/>
  <c r="V1896" i="10"/>
  <c r="V1895" i="10"/>
  <c r="V1894" i="10"/>
  <c r="V1893" i="10"/>
  <c r="V1892" i="10"/>
  <c r="V1891" i="10"/>
  <c r="V1890" i="10"/>
  <c r="V1889" i="10"/>
  <c r="V1888" i="10"/>
  <c r="V1887" i="10"/>
  <c r="V1886" i="10"/>
  <c r="V1885" i="10"/>
  <c r="V1884" i="10"/>
  <c r="V1883" i="10"/>
  <c r="V1882" i="10"/>
  <c r="V1881" i="10"/>
  <c r="V1880" i="10"/>
  <c r="V1879" i="10"/>
  <c r="V1878" i="10"/>
  <c r="V1877" i="10"/>
  <c r="V1876" i="10"/>
  <c r="V1875" i="10"/>
  <c r="V1874" i="10"/>
  <c r="V1873" i="10"/>
  <c r="V1872" i="10"/>
  <c r="V1871" i="10"/>
  <c r="V1870" i="10"/>
  <c r="V1869" i="10"/>
  <c r="V1868" i="10"/>
  <c r="V1867" i="10"/>
  <c r="V1866" i="10"/>
  <c r="V1865" i="10"/>
  <c r="V1864" i="10"/>
  <c r="V1863" i="10"/>
  <c r="V1862" i="10"/>
  <c r="V1861" i="10"/>
  <c r="V1860" i="10"/>
  <c r="V1859" i="10"/>
  <c r="V1858" i="10"/>
  <c r="V1857" i="10"/>
  <c r="V1856" i="10"/>
  <c r="V1855" i="10"/>
  <c r="V1854" i="10"/>
  <c r="V1853" i="10"/>
  <c r="V1852" i="10"/>
  <c r="V1851" i="10"/>
  <c r="V1850" i="10"/>
  <c r="V1849" i="10"/>
  <c r="V1848" i="10"/>
  <c r="V1847" i="10"/>
  <c r="V1846" i="10"/>
  <c r="V1845" i="10"/>
  <c r="V1844" i="10"/>
  <c r="V1843" i="10"/>
  <c r="V1842" i="10"/>
  <c r="V1841" i="10"/>
  <c r="V1840" i="10"/>
  <c r="V1839" i="10"/>
  <c r="V1838" i="10"/>
  <c r="V1837" i="10"/>
  <c r="V1836" i="10"/>
  <c r="V1835" i="10"/>
  <c r="V1834" i="10"/>
  <c r="V1833" i="10"/>
  <c r="V1832" i="10"/>
  <c r="V1831" i="10"/>
  <c r="V1830" i="10"/>
  <c r="V1829" i="10"/>
  <c r="V1828" i="10"/>
  <c r="V1827" i="10"/>
  <c r="V1826" i="10"/>
  <c r="V1825" i="10"/>
  <c r="V1824" i="10"/>
  <c r="V1823" i="10"/>
  <c r="V1822" i="10"/>
  <c r="V1821" i="10"/>
  <c r="V1820" i="10"/>
  <c r="V1819" i="10"/>
  <c r="V1818" i="10"/>
  <c r="V1817" i="10"/>
  <c r="V1816" i="10"/>
  <c r="V1815" i="10"/>
  <c r="V1814" i="10"/>
  <c r="V1813" i="10"/>
  <c r="V1812" i="10"/>
  <c r="V1811" i="10"/>
  <c r="V1810" i="10"/>
  <c r="V1809" i="10"/>
  <c r="V1808" i="10"/>
  <c r="V1807" i="10"/>
  <c r="V1806" i="10"/>
  <c r="V1805" i="10"/>
  <c r="V1804" i="10"/>
  <c r="V1803" i="10"/>
  <c r="V1802" i="10"/>
  <c r="V1801" i="10"/>
  <c r="V1800" i="10"/>
  <c r="V1799" i="10"/>
  <c r="V1798" i="10"/>
  <c r="V1797" i="10"/>
  <c r="V1796" i="10"/>
  <c r="V1795" i="10"/>
  <c r="V1794" i="10"/>
  <c r="V1793" i="10"/>
  <c r="V1792" i="10"/>
  <c r="V1791" i="10"/>
  <c r="V1790" i="10"/>
  <c r="V1789" i="10"/>
  <c r="V1788" i="10"/>
  <c r="V1787" i="10"/>
  <c r="V1786" i="10"/>
  <c r="V1785" i="10"/>
  <c r="V1784" i="10"/>
  <c r="V1783" i="10"/>
  <c r="V1782" i="10"/>
  <c r="V1781" i="10"/>
  <c r="V1780" i="10"/>
  <c r="V1779" i="10"/>
  <c r="V1778" i="10"/>
  <c r="V1777" i="10"/>
  <c r="V1776" i="10"/>
  <c r="V1775" i="10"/>
  <c r="V1774" i="10"/>
  <c r="V1773" i="10"/>
  <c r="V1772" i="10"/>
  <c r="V1771" i="10"/>
  <c r="V1770" i="10"/>
  <c r="V1769" i="10"/>
  <c r="V1768" i="10"/>
  <c r="V1767" i="10"/>
  <c r="V1766" i="10"/>
  <c r="V1765" i="10"/>
  <c r="V1764" i="10"/>
  <c r="V1763" i="10"/>
  <c r="V1762" i="10"/>
  <c r="V1761" i="10"/>
  <c r="V1760" i="10"/>
  <c r="V1759" i="10"/>
  <c r="V1758" i="10"/>
  <c r="V1757" i="10"/>
  <c r="V1756" i="10"/>
  <c r="V1755" i="10"/>
  <c r="V1754" i="10"/>
  <c r="V1753" i="10"/>
  <c r="V1752" i="10"/>
  <c r="V1751" i="10"/>
  <c r="V1750" i="10"/>
  <c r="V1749" i="10"/>
  <c r="V1748" i="10"/>
  <c r="V1747" i="10"/>
  <c r="V1746" i="10"/>
  <c r="V1745" i="10"/>
  <c r="V1744" i="10"/>
  <c r="V1743" i="10"/>
  <c r="V1742" i="10"/>
  <c r="V1741" i="10"/>
  <c r="V1740" i="10"/>
  <c r="V1739" i="10"/>
  <c r="V1738" i="10"/>
  <c r="V1737" i="10"/>
  <c r="V1736" i="10"/>
  <c r="V1735" i="10"/>
  <c r="V1734" i="10"/>
  <c r="V1733" i="10"/>
  <c r="V1732" i="10"/>
  <c r="V1731" i="10"/>
  <c r="V1730" i="10"/>
  <c r="V1729" i="10"/>
  <c r="V1728" i="10"/>
  <c r="V1727" i="10"/>
  <c r="V1726" i="10"/>
  <c r="V1725" i="10"/>
  <c r="V1724" i="10"/>
  <c r="V1723" i="10"/>
  <c r="V1722" i="10"/>
  <c r="V1721" i="10"/>
  <c r="V1720" i="10"/>
  <c r="V1719" i="10"/>
  <c r="V1718" i="10"/>
  <c r="V1717" i="10"/>
  <c r="V1716" i="10"/>
  <c r="V1715" i="10"/>
  <c r="V1714" i="10"/>
  <c r="V1713" i="10"/>
  <c r="V1712" i="10"/>
  <c r="V1711" i="10"/>
  <c r="V1710" i="10"/>
  <c r="V1709" i="10"/>
  <c r="V1708" i="10"/>
  <c r="V1707" i="10"/>
  <c r="V1706" i="10"/>
  <c r="V1705" i="10"/>
  <c r="V1704" i="10"/>
  <c r="V1703" i="10"/>
  <c r="V1702" i="10"/>
  <c r="V1701" i="10"/>
  <c r="V1700" i="10"/>
  <c r="V1699" i="10"/>
  <c r="V1698" i="10"/>
  <c r="V1697" i="10"/>
  <c r="V1696" i="10"/>
  <c r="V1695" i="10"/>
  <c r="V1694" i="10"/>
  <c r="V1693" i="10"/>
  <c r="V1692" i="10"/>
  <c r="V1691" i="10"/>
  <c r="V1690" i="10"/>
  <c r="V1689" i="10"/>
  <c r="V1688" i="10"/>
  <c r="V1687" i="10"/>
  <c r="V1686" i="10"/>
  <c r="V1685" i="10"/>
  <c r="V1684" i="10"/>
  <c r="V1683" i="10"/>
  <c r="V1682" i="10"/>
  <c r="V1681" i="10"/>
  <c r="V1680" i="10"/>
  <c r="V1679" i="10"/>
  <c r="V1678" i="10"/>
  <c r="V1677" i="10"/>
  <c r="V1676" i="10"/>
  <c r="V1675" i="10"/>
  <c r="V1674" i="10"/>
  <c r="V1673" i="10"/>
  <c r="V1672" i="10"/>
  <c r="V1671" i="10"/>
  <c r="V1670" i="10"/>
  <c r="V1669" i="10"/>
  <c r="V1668" i="10"/>
  <c r="V1667" i="10"/>
  <c r="V1666" i="10"/>
  <c r="V1665" i="10"/>
  <c r="V1664" i="10"/>
  <c r="V1663" i="10"/>
  <c r="V1662" i="10"/>
  <c r="V1661" i="10"/>
  <c r="V1660" i="10"/>
  <c r="V1659" i="10"/>
  <c r="V1658" i="10"/>
  <c r="V1657" i="10"/>
  <c r="V1656" i="10"/>
  <c r="V1655" i="10"/>
  <c r="V1654" i="10"/>
  <c r="V1653" i="10"/>
  <c r="V1652" i="10"/>
  <c r="V1651" i="10"/>
  <c r="V1650" i="10"/>
  <c r="V1649" i="10"/>
  <c r="V1648" i="10"/>
  <c r="V1647" i="10"/>
  <c r="V1646" i="10"/>
  <c r="V1645" i="10"/>
  <c r="V1644" i="10"/>
  <c r="V1643" i="10"/>
  <c r="V1642" i="10"/>
  <c r="V1641" i="10"/>
  <c r="V1640" i="10"/>
  <c r="V1639" i="10"/>
  <c r="V1638" i="10"/>
  <c r="V1637" i="10"/>
  <c r="V1636" i="10"/>
  <c r="V1635" i="10"/>
  <c r="V1634" i="10"/>
  <c r="V1633" i="10"/>
  <c r="V1632" i="10"/>
  <c r="V1631" i="10"/>
  <c r="V1630" i="10"/>
  <c r="V1629" i="10"/>
  <c r="V1628" i="10"/>
  <c r="V1627" i="10"/>
  <c r="V1626" i="10"/>
  <c r="V1625" i="10"/>
  <c r="V1624" i="10"/>
  <c r="V1623" i="10"/>
  <c r="V1622" i="10"/>
  <c r="V1621" i="10"/>
  <c r="V1620" i="10"/>
  <c r="V1619" i="10"/>
  <c r="V1618" i="10"/>
  <c r="V1617" i="10"/>
  <c r="V1616" i="10"/>
  <c r="V1615" i="10"/>
  <c r="V1614" i="10"/>
  <c r="V1613" i="10"/>
  <c r="V1612" i="10"/>
  <c r="V1611" i="10"/>
  <c r="V1610" i="10"/>
  <c r="V1609" i="10"/>
  <c r="V1608" i="10"/>
  <c r="V1607" i="10"/>
  <c r="V1606" i="10"/>
  <c r="V1605" i="10"/>
  <c r="V1604" i="10"/>
  <c r="V1603" i="10"/>
  <c r="V1602" i="10"/>
  <c r="V1601" i="10"/>
  <c r="V1600" i="10"/>
  <c r="V1599" i="10"/>
  <c r="V1598" i="10"/>
  <c r="V1597" i="10"/>
  <c r="V1596" i="10"/>
  <c r="V1595" i="10"/>
  <c r="V1594" i="10"/>
  <c r="V1593" i="10"/>
  <c r="V1592" i="10"/>
  <c r="V1591" i="10"/>
  <c r="V1590" i="10"/>
  <c r="V1589" i="10"/>
  <c r="V1588" i="10"/>
  <c r="V1587" i="10"/>
  <c r="V1586" i="10"/>
  <c r="V1585" i="10"/>
  <c r="V1584" i="10"/>
  <c r="V1583" i="10"/>
  <c r="V1582" i="10"/>
  <c r="V1581" i="10"/>
  <c r="V1580" i="10"/>
  <c r="V1579" i="10"/>
  <c r="V1578" i="10"/>
  <c r="V1577" i="10"/>
  <c r="V1576" i="10"/>
  <c r="V1575" i="10"/>
  <c r="V1574" i="10"/>
  <c r="V1573" i="10"/>
  <c r="V1572" i="10"/>
  <c r="V1571" i="10"/>
  <c r="V1570" i="10"/>
  <c r="V1569" i="10"/>
  <c r="V1568" i="10"/>
  <c r="V1567" i="10"/>
  <c r="V1566" i="10"/>
  <c r="V1565" i="10"/>
  <c r="V1564" i="10"/>
  <c r="V1563" i="10"/>
  <c r="V1562" i="10"/>
  <c r="V1561" i="10"/>
  <c r="V1560" i="10"/>
  <c r="V1559" i="10"/>
  <c r="V1558" i="10"/>
  <c r="V1557" i="10"/>
  <c r="V1556" i="10"/>
  <c r="V1555" i="10"/>
  <c r="V1554" i="10"/>
  <c r="V1553" i="10"/>
  <c r="V1552" i="10"/>
  <c r="V1551" i="10"/>
  <c r="V1550" i="10"/>
  <c r="V1549" i="10"/>
  <c r="V1548" i="10"/>
  <c r="V1547" i="10"/>
  <c r="V1546" i="10"/>
  <c r="V1545" i="10"/>
  <c r="V1544" i="10"/>
  <c r="V1543" i="10"/>
  <c r="V1542" i="10"/>
  <c r="V1541" i="10"/>
  <c r="V1540" i="10"/>
  <c r="V1539" i="10"/>
  <c r="V1538" i="10"/>
  <c r="V1537" i="10"/>
  <c r="V1536" i="10"/>
  <c r="V1535" i="10"/>
  <c r="V1534" i="10"/>
  <c r="V1533" i="10"/>
  <c r="V1532" i="10"/>
  <c r="V1531" i="10"/>
  <c r="V1530" i="10"/>
  <c r="V1529" i="10"/>
  <c r="V1528" i="10"/>
  <c r="V1527" i="10"/>
  <c r="V1526" i="10"/>
  <c r="V1525" i="10"/>
  <c r="V1524" i="10"/>
  <c r="V1523" i="10"/>
  <c r="V1522" i="10"/>
  <c r="V1521" i="10"/>
  <c r="V1520" i="10"/>
  <c r="V1519" i="10"/>
  <c r="V1518" i="10"/>
  <c r="V1517" i="10"/>
  <c r="V1516" i="10"/>
  <c r="V1515" i="10"/>
  <c r="V1514" i="10"/>
  <c r="V1513" i="10"/>
  <c r="V1512" i="10"/>
  <c r="V1511" i="10"/>
  <c r="V1510" i="10"/>
  <c r="V1509" i="10"/>
  <c r="V1508" i="10"/>
  <c r="V1507" i="10"/>
  <c r="V1506" i="10"/>
  <c r="V1505" i="10"/>
  <c r="V1504" i="10"/>
  <c r="V1503" i="10"/>
  <c r="V1502" i="10"/>
  <c r="V1501" i="10"/>
  <c r="V1500" i="10"/>
  <c r="V1499" i="10"/>
  <c r="V1498" i="10"/>
  <c r="V1497" i="10"/>
  <c r="V1496" i="10"/>
  <c r="V1495" i="10"/>
  <c r="V1494" i="10"/>
  <c r="V1493" i="10"/>
  <c r="V1492" i="10"/>
  <c r="V1491" i="10"/>
  <c r="V1490" i="10"/>
  <c r="V1489" i="10"/>
  <c r="V1488" i="10"/>
  <c r="V1487" i="10"/>
  <c r="V1486" i="10"/>
  <c r="V1485" i="10"/>
  <c r="V1484" i="10"/>
  <c r="V1483" i="10"/>
  <c r="V1482" i="10"/>
  <c r="V1481" i="10"/>
  <c r="V1480" i="10"/>
  <c r="V1479" i="10"/>
  <c r="V1478" i="10"/>
  <c r="V1477" i="10"/>
  <c r="V1476" i="10"/>
  <c r="V1475" i="10"/>
  <c r="V1474" i="10"/>
  <c r="V1473" i="10"/>
  <c r="V1472" i="10"/>
  <c r="V1471" i="10"/>
  <c r="V1470" i="10"/>
  <c r="V1469" i="10"/>
  <c r="V1468" i="10"/>
  <c r="V1467" i="10"/>
  <c r="V1466" i="10"/>
  <c r="V1465" i="10"/>
  <c r="V1464" i="10"/>
  <c r="V1463" i="10"/>
  <c r="V1462" i="10"/>
  <c r="V1461" i="10"/>
  <c r="V1460" i="10"/>
  <c r="V1459" i="10"/>
  <c r="V1458" i="10"/>
  <c r="V1457" i="10"/>
  <c r="V1456" i="10"/>
  <c r="V1455" i="10"/>
  <c r="V1454" i="10"/>
  <c r="V1453" i="10"/>
  <c r="V1452" i="10"/>
  <c r="V1451" i="10"/>
  <c r="V1450" i="10"/>
  <c r="V1449" i="10"/>
  <c r="V1448" i="10"/>
  <c r="V1447" i="10"/>
  <c r="V1446" i="10"/>
  <c r="V1445" i="10"/>
  <c r="V1444" i="10"/>
  <c r="V1443" i="10"/>
  <c r="V1442" i="10"/>
  <c r="V1441" i="10"/>
  <c r="V1440" i="10"/>
  <c r="V1439" i="10"/>
  <c r="V1438" i="10"/>
  <c r="V1437" i="10"/>
  <c r="V1436" i="10"/>
  <c r="V1435" i="10"/>
  <c r="V1434" i="10"/>
  <c r="V1433" i="10"/>
  <c r="V1432" i="10"/>
  <c r="V1431" i="10"/>
  <c r="V1430" i="10"/>
  <c r="V1429" i="10"/>
  <c r="V1428" i="10"/>
  <c r="V1427" i="10"/>
  <c r="V1426" i="10"/>
  <c r="V1425" i="10"/>
  <c r="V1424" i="10"/>
  <c r="V1423" i="10"/>
  <c r="V1422" i="10"/>
  <c r="V1421" i="10"/>
  <c r="V1420" i="10"/>
  <c r="V1419" i="10"/>
  <c r="V1418" i="10"/>
  <c r="V1417" i="10"/>
  <c r="V1416" i="10"/>
  <c r="V1415" i="10"/>
  <c r="V1414" i="10"/>
  <c r="V1413" i="10"/>
  <c r="V1412" i="10"/>
  <c r="V1411" i="10"/>
  <c r="V1410" i="10"/>
  <c r="V1409" i="10"/>
  <c r="V1408" i="10"/>
  <c r="V1407" i="10"/>
  <c r="V1406" i="10"/>
  <c r="V1405" i="10"/>
  <c r="V1404" i="10"/>
  <c r="V1403" i="10"/>
  <c r="V1402" i="10"/>
  <c r="V1401" i="10"/>
  <c r="V1400" i="10"/>
  <c r="V1399" i="10"/>
  <c r="V1398" i="10"/>
  <c r="V1397" i="10"/>
  <c r="V1396" i="10"/>
  <c r="V1395" i="10"/>
  <c r="V1394" i="10"/>
  <c r="V1393" i="10"/>
  <c r="V1392" i="10"/>
  <c r="V1391" i="10"/>
  <c r="V1390" i="10"/>
  <c r="V1389" i="10"/>
  <c r="V1388" i="10"/>
  <c r="V1387" i="10"/>
  <c r="V1386" i="10"/>
  <c r="V1385" i="10"/>
  <c r="V1384" i="10"/>
  <c r="V1383" i="10"/>
  <c r="V1382" i="10"/>
  <c r="V1381" i="10"/>
  <c r="V1380" i="10"/>
  <c r="V1379" i="10"/>
  <c r="V1378" i="10"/>
  <c r="V1377" i="10"/>
  <c r="V1376" i="10"/>
  <c r="V1375" i="10"/>
  <c r="V1374" i="10"/>
  <c r="V1373" i="10"/>
  <c r="V1372" i="10"/>
  <c r="V1371" i="10"/>
  <c r="V1370" i="10"/>
  <c r="V1369" i="10"/>
  <c r="V1368" i="10"/>
  <c r="V1367" i="10"/>
  <c r="V1366" i="10"/>
  <c r="V1365" i="10"/>
  <c r="V1364" i="10"/>
  <c r="V1363" i="10"/>
  <c r="V1362" i="10"/>
  <c r="V1361" i="10"/>
  <c r="V1360" i="10"/>
  <c r="V1359" i="10"/>
  <c r="V1358" i="10"/>
  <c r="V1357" i="10"/>
  <c r="V1356" i="10"/>
  <c r="V1355" i="10"/>
  <c r="V1354" i="10"/>
  <c r="V1353" i="10"/>
  <c r="V1352" i="10"/>
  <c r="V1351" i="10"/>
  <c r="V1350" i="10"/>
  <c r="V1349" i="10"/>
  <c r="V1348" i="10"/>
  <c r="V1347" i="10"/>
  <c r="V1346" i="10"/>
  <c r="V1345" i="10"/>
  <c r="V1344" i="10"/>
  <c r="V1343" i="10"/>
  <c r="V1342" i="10"/>
  <c r="V1341" i="10"/>
  <c r="V1340" i="10"/>
  <c r="V1339" i="10"/>
  <c r="V1338" i="10"/>
  <c r="V1337" i="10"/>
  <c r="V1336" i="10"/>
  <c r="V1335" i="10"/>
  <c r="V1334" i="10"/>
  <c r="V1333" i="10"/>
  <c r="V1332" i="10"/>
  <c r="V1331" i="10"/>
  <c r="V1330" i="10"/>
  <c r="V1329" i="10"/>
  <c r="V1328" i="10"/>
  <c r="V1327" i="10"/>
  <c r="V1326" i="10"/>
  <c r="V1325" i="10"/>
  <c r="V1324" i="10"/>
  <c r="V1323" i="10"/>
  <c r="V1322" i="10"/>
  <c r="V1321" i="10"/>
  <c r="V1320" i="10"/>
  <c r="V1319" i="10"/>
  <c r="V1318" i="10"/>
  <c r="V1317" i="10"/>
  <c r="V1316" i="10"/>
  <c r="V1315" i="10"/>
  <c r="V1314" i="10"/>
  <c r="V1313" i="10"/>
  <c r="V1312" i="10"/>
  <c r="V1311" i="10"/>
  <c r="V1310" i="10"/>
  <c r="V1309" i="10"/>
  <c r="V1308" i="10"/>
  <c r="V1307" i="10"/>
  <c r="V1306" i="10"/>
  <c r="V1305" i="10"/>
  <c r="V1304" i="10"/>
  <c r="V1303" i="10"/>
  <c r="V1302" i="10"/>
  <c r="V1301" i="10"/>
  <c r="V1300" i="10"/>
  <c r="V1299" i="10"/>
  <c r="V1298" i="10"/>
  <c r="V1297" i="10"/>
  <c r="V1296" i="10"/>
  <c r="V1295" i="10"/>
  <c r="V1294" i="10"/>
  <c r="V1293" i="10"/>
  <c r="V1292" i="10"/>
  <c r="V1291" i="10"/>
  <c r="V1290" i="10"/>
  <c r="V1289" i="10"/>
  <c r="V1288" i="10"/>
  <c r="V1287" i="10"/>
  <c r="V1286" i="10"/>
  <c r="V1285" i="10"/>
  <c r="V1284" i="10"/>
  <c r="V1283" i="10"/>
  <c r="V1282" i="10"/>
  <c r="V1281" i="10"/>
  <c r="V1280" i="10"/>
  <c r="V1279" i="10"/>
  <c r="V1278" i="10"/>
  <c r="V1277" i="10"/>
  <c r="V1276" i="10"/>
  <c r="V1275" i="10"/>
  <c r="V1274" i="10"/>
  <c r="V1273" i="10"/>
  <c r="V1272" i="10"/>
  <c r="V1271" i="10"/>
  <c r="V1270" i="10"/>
  <c r="V1269" i="10"/>
  <c r="V1268" i="10"/>
  <c r="V1267" i="10"/>
  <c r="V1266" i="10"/>
  <c r="V1265" i="10"/>
  <c r="V1264" i="10"/>
  <c r="V1263" i="10"/>
  <c r="V1262" i="10"/>
  <c r="V1261" i="10"/>
  <c r="V1260" i="10"/>
  <c r="V1259" i="10"/>
  <c r="V1258" i="10"/>
  <c r="V1257" i="10"/>
  <c r="V1256" i="10"/>
  <c r="V1255" i="10"/>
  <c r="V1254" i="10"/>
  <c r="V1253" i="10"/>
  <c r="V1252" i="10"/>
  <c r="V1251" i="10"/>
  <c r="V1250" i="10"/>
  <c r="V1249" i="10"/>
  <c r="V1248" i="10"/>
  <c r="V1247" i="10"/>
  <c r="V1246" i="10"/>
  <c r="V1245" i="10"/>
  <c r="V1244" i="10"/>
  <c r="V1243" i="10"/>
  <c r="V1242" i="10"/>
  <c r="V1241" i="10"/>
  <c r="V1240" i="10"/>
  <c r="V1239" i="10"/>
  <c r="V1238" i="10"/>
  <c r="V1237" i="10"/>
  <c r="V1236" i="10"/>
  <c r="V1235" i="10"/>
  <c r="V1234" i="10"/>
  <c r="V1233" i="10"/>
  <c r="V1232" i="10"/>
  <c r="V1231" i="10"/>
  <c r="V1230" i="10"/>
  <c r="V1229" i="10"/>
  <c r="V1228" i="10"/>
  <c r="V1227" i="10"/>
  <c r="V1226" i="10"/>
  <c r="V1225" i="10"/>
  <c r="V1224" i="10"/>
  <c r="V1223" i="10"/>
  <c r="V1222" i="10"/>
  <c r="V1221" i="10"/>
  <c r="V1220" i="10"/>
  <c r="V1219" i="10"/>
  <c r="V1218" i="10"/>
  <c r="V1217" i="10"/>
  <c r="V1216" i="10"/>
  <c r="V1215" i="10"/>
  <c r="V1214" i="10"/>
  <c r="V1213" i="10"/>
  <c r="V1212" i="10"/>
  <c r="V1211" i="10"/>
  <c r="V1210" i="10"/>
  <c r="V1209" i="10"/>
  <c r="V1208" i="10"/>
  <c r="V1207" i="10"/>
  <c r="V1206" i="10"/>
  <c r="V1205" i="10"/>
  <c r="V1204" i="10"/>
  <c r="V1203" i="10"/>
  <c r="V1202" i="10"/>
  <c r="V1201" i="10"/>
  <c r="V1200" i="10"/>
  <c r="V1199" i="10"/>
  <c r="V1198" i="10"/>
  <c r="V1197" i="10"/>
  <c r="V1196" i="10"/>
  <c r="V1195" i="10"/>
  <c r="V1194" i="10"/>
  <c r="V1193" i="10"/>
  <c r="V1192" i="10"/>
  <c r="V1191" i="10"/>
  <c r="V1190" i="10"/>
  <c r="V1189" i="10"/>
  <c r="V1188" i="10"/>
  <c r="V1187" i="10"/>
  <c r="V1186" i="10"/>
  <c r="V1185" i="10"/>
  <c r="V1184" i="10"/>
  <c r="V1183" i="10"/>
  <c r="V1182" i="10"/>
  <c r="V1181" i="10"/>
  <c r="V1180" i="10"/>
  <c r="V1179" i="10"/>
  <c r="V1178" i="10"/>
  <c r="V1177" i="10"/>
  <c r="V1176" i="10"/>
  <c r="V1175" i="10"/>
  <c r="V1174" i="10"/>
  <c r="V1173" i="10"/>
  <c r="V1172" i="10"/>
  <c r="V1171" i="10"/>
  <c r="V1170" i="10"/>
  <c r="V1169" i="10"/>
  <c r="V1168" i="10"/>
  <c r="V1167" i="10"/>
  <c r="V1166" i="10"/>
  <c r="V1165" i="10"/>
  <c r="V1164" i="10"/>
  <c r="V1163" i="10"/>
  <c r="V1162" i="10"/>
  <c r="V1161" i="10"/>
  <c r="V1160" i="10"/>
  <c r="V1159" i="10"/>
  <c r="V1158" i="10"/>
  <c r="V1157" i="10"/>
  <c r="V1156" i="10"/>
  <c r="V1155" i="10"/>
  <c r="V1154" i="10"/>
  <c r="V1153" i="10"/>
  <c r="V1152" i="10"/>
  <c r="V1151" i="10"/>
  <c r="V1150" i="10"/>
  <c r="V1149" i="10"/>
  <c r="V1148" i="10"/>
  <c r="V1147" i="10"/>
  <c r="V1146" i="10"/>
  <c r="V1145" i="10"/>
  <c r="V1144" i="10"/>
  <c r="V1143" i="10"/>
  <c r="V1142" i="10"/>
  <c r="V1141" i="10"/>
  <c r="V1140" i="10"/>
  <c r="V1139" i="10"/>
  <c r="V1138" i="10"/>
  <c r="V1137" i="10"/>
  <c r="V1136" i="10"/>
  <c r="V1135" i="10"/>
  <c r="V1134" i="10"/>
  <c r="V1133" i="10"/>
  <c r="V1132" i="10"/>
  <c r="V1131" i="10"/>
  <c r="V1130" i="10"/>
  <c r="V1129" i="10"/>
  <c r="V1128" i="10"/>
  <c r="V1127" i="10"/>
  <c r="V1126" i="10"/>
  <c r="V1125" i="10"/>
  <c r="V1124" i="10"/>
  <c r="V1123" i="10"/>
  <c r="V1122" i="10"/>
  <c r="V1121" i="10"/>
  <c r="V1120" i="10"/>
  <c r="V1119" i="10"/>
  <c r="V1118" i="10"/>
  <c r="V1117" i="10"/>
  <c r="V1116" i="10"/>
  <c r="V1115" i="10"/>
  <c r="V1114" i="10"/>
  <c r="V1113" i="10"/>
  <c r="V1112" i="10"/>
  <c r="V1111" i="10"/>
  <c r="V1110" i="10"/>
  <c r="V1109" i="10"/>
  <c r="V1108" i="10"/>
  <c r="V1107" i="10"/>
  <c r="V1106" i="10"/>
  <c r="V1105" i="10"/>
  <c r="V1104" i="10"/>
  <c r="V1103" i="10"/>
  <c r="V1102" i="10"/>
  <c r="V1101" i="10"/>
  <c r="V1100" i="10"/>
  <c r="V1099" i="10"/>
  <c r="V1098" i="10"/>
  <c r="V1097" i="10"/>
  <c r="V1096" i="10"/>
  <c r="V1095" i="10"/>
  <c r="V1094" i="10"/>
  <c r="V1093" i="10"/>
  <c r="V1092" i="10"/>
  <c r="V1091" i="10"/>
  <c r="V1090" i="10"/>
  <c r="V1089" i="10"/>
  <c r="V1088" i="10"/>
  <c r="V1087" i="10"/>
  <c r="V1086" i="10"/>
  <c r="V1085" i="10"/>
  <c r="V1084" i="10"/>
  <c r="V1083" i="10"/>
  <c r="V1082" i="10"/>
  <c r="V1081" i="10"/>
  <c r="V1080" i="10"/>
  <c r="V1079" i="10"/>
  <c r="V1078" i="10"/>
  <c r="V1077" i="10"/>
  <c r="V1076" i="10"/>
  <c r="V1075" i="10"/>
  <c r="V1074" i="10"/>
  <c r="V1073" i="10"/>
  <c r="V1072" i="10"/>
  <c r="V1071" i="10"/>
  <c r="V1070" i="10"/>
  <c r="V1069" i="10"/>
  <c r="V1068" i="10"/>
  <c r="V1067" i="10"/>
  <c r="V1066" i="10"/>
  <c r="V1065" i="10"/>
  <c r="V1064" i="10"/>
  <c r="V1063" i="10"/>
  <c r="V1062" i="10"/>
  <c r="V1061" i="10"/>
  <c r="V1060" i="10"/>
  <c r="V1059" i="10"/>
  <c r="V1058" i="10"/>
  <c r="V1057" i="10"/>
  <c r="V1056" i="10"/>
  <c r="V1055" i="10"/>
  <c r="V1054" i="10"/>
  <c r="V1053" i="10"/>
  <c r="V1052" i="10"/>
  <c r="V1051" i="10"/>
  <c r="V1050" i="10"/>
  <c r="V1049" i="10"/>
  <c r="V1048" i="10"/>
  <c r="V1047" i="10"/>
  <c r="V1046" i="10"/>
  <c r="V1045" i="10"/>
  <c r="V1044" i="10"/>
  <c r="V1043" i="10"/>
  <c r="V1042" i="10"/>
  <c r="V1041" i="10"/>
  <c r="V1040" i="10"/>
  <c r="V1039" i="10"/>
  <c r="V1038" i="10"/>
  <c r="V1037" i="10"/>
  <c r="V1036" i="10"/>
  <c r="V1035" i="10"/>
  <c r="V1034" i="10"/>
  <c r="V1033" i="10"/>
  <c r="V1032" i="10"/>
  <c r="V1031" i="10"/>
  <c r="V1030" i="10"/>
  <c r="V1029" i="10"/>
  <c r="V1028" i="10"/>
  <c r="V1027" i="10"/>
  <c r="V1026" i="10"/>
  <c r="V1025" i="10"/>
  <c r="V1024" i="10"/>
  <c r="V1023" i="10"/>
  <c r="V1022" i="10"/>
  <c r="V1021" i="10"/>
  <c r="V1020" i="10"/>
  <c r="V1019" i="10"/>
  <c r="V1018" i="10"/>
  <c r="V1017" i="10"/>
  <c r="V1016" i="10"/>
  <c r="V1015" i="10"/>
  <c r="V1014" i="10"/>
  <c r="V1013" i="10"/>
  <c r="V1012" i="10"/>
  <c r="V1011" i="10"/>
  <c r="V1010" i="10"/>
  <c r="V1009" i="10"/>
  <c r="V1008" i="10"/>
  <c r="V1007" i="10"/>
  <c r="V1006" i="10"/>
  <c r="V1005" i="10"/>
  <c r="V1004" i="10"/>
  <c r="V1003" i="10"/>
  <c r="V1002" i="10"/>
  <c r="V1001" i="10"/>
  <c r="V1000" i="10"/>
  <c r="V999" i="10"/>
  <c r="V998" i="10"/>
  <c r="V997" i="10"/>
  <c r="V996" i="10"/>
  <c r="V995" i="10"/>
  <c r="V994" i="10"/>
  <c r="V993" i="10"/>
  <c r="V992" i="10"/>
  <c r="V991" i="10"/>
  <c r="V990" i="10"/>
  <c r="V989" i="10"/>
  <c r="V988" i="10"/>
  <c r="V987" i="10"/>
  <c r="V986" i="10"/>
  <c r="V985" i="10"/>
  <c r="V984" i="10"/>
  <c r="V983" i="10"/>
  <c r="V982" i="10"/>
  <c r="V981" i="10"/>
  <c r="V980" i="10"/>
  <c r="V979" i="10"/>
  <c r="V978" i="10"/>
  <c r="V977" i="10"/>
  <c r="V976" i="10"/>
  <c r="V975" i="10"/>
  <c r="V974" i="10"/>
  <c r="V973" i="10"/>
  <c r="V972" i="10"/>
  <c r="V971" i="10"/>
  <c r="V970" i="10"/>
  <c r="V969" i="10"/>
  <c r="V968" i="10"/>
  <c r="V967" i="10"/>
  <c r="V966" i="10"/>
  <c r="V965" i="10"/>
  <c r="V964" i="10"/>
  <c r="V963" i="10"/>
  <c r="V962" i="10"/>
  <c r="V961" i="10"/>
  <c r="V960" i="10"/>
  <c r="V959" i="10"/>
  <c r="V958" i="10"/>
  <c r="V957" i="10"/>
  <c r="V956" i="10"/>
  <c r="V955" i="10"/>
  <c r="V954" i="10"/>
  <c r="V953" i="10"/>
  <c r="V952" i="10"/>
  <c r="V951" i="10"/>
  <c r="V950" i="10"/>
  <c r="V949" i="10"/>
  <c r="V948" i="10"/>
  <c r="V947" i="10"/>
  <c r="V946" i="10"/>
  <c r="V945" i="10"/>
  <c r="V944" i="10"/>
  <c r="V943" i="10"/>
  <c r="V942" i="10"/>
  <c r="V941" i="10"/>
  <c r="V940" i="10"/>
  <c r="V939" i="10"/>
  <c r="V938" i="10"/>
  <c r="V937" i="10"/>
  <c r="V936" i="10"/>
  <c r="V935" i="10"/>
  <c r="V934" i="10"/>
  <c r="V933" i="10"/>
  <c r="V932" i="10"/>
  <c r="V931" i="10"/>
  <c r="V930" i="10"/>
  <c r="V929" i="10"/>
  <c r="V928" i="10"/>
  <c r="V927" i="10"/>
  <c r="V926" i="10"/>
  <c r="V925" i="10"/>
  <c r="V924" i="10"/>
  <c r="V923" i="10"/>
  <c r="V922" i="10"/>
  <c r="V921" i="10"/>
  <c r="V920" i="10"/>
  <c r="V919" i="10"/>
  <c r="V918" i="10"/>
  <c r="V917" i="10"/>
  <c r="V916" i="10"/>
  <c r="V915" i="10"/>
  <c r="V914" i="10"/>
  <c r="V913" i="10"/>
  <c r="V912" i="10"/>
  <c r="V911" i="10"/>
  <c r="V910" i="10"/>
  <c r="V909" i="10"/>
  <c r="V908" i="10"/>
  <c r="V907" i="10"/>
  <c r="V906" i="10"/>
  <c r="V905" i="10"/>
  <c r="V904" i="10"/>
  <c r="V903" i="10"/>
  <c r="V902" i="10"/>
  <c r="V901" i="10"/>
  <c r="V900" i="10"/>
  <c r="V899" i="10"/>
  <c r="V898" i="10"/>
  <c r="V897" i="10"/>
  <c r="V896" i="10"/>
  <c r="V895" i="10"/>
  <c r="V894" i="10"/>
  <c r="V893" i="10"/>
  <c r="V892" i="10"/>
  <c r="V891" i="10"/>
  <c r="V890" i="10"/>
  <c r="V889" i="10"/>
  <c r="V888" i="10"/>
  <c r="V887" i="10"/>
  <c r="V886" i="10"/>
  <c r="V885" i="10"/>
  <c r="V884" i="10"/>
  <c r="V883" i="10"/>
  <c r="V882" i="10"/>
  <c r="V881" i="10"/>
  <c r="V880" i="10"/>
  <c r="V879" i="10"/>
  <c r="V878" i="10"/>
  <c r="V877" i="10"/>
  <c r="V876" i="10"/>
  <c r="V875" i="10"/>
  <c r="V874" i="10"/>
  <c r="V873" i="10"/>
  <c r="V872" i="10"/>
  <c r="V871" i="10"/>
  <c r="V870" i="10"/>
  <c r="V869" i="10"/>
  <c r="V868" i="10"/>
  <c r="V867" i="10"/>
  <c r="V866" i="10"/>
  <c r="V865" i="10"/>
  <c r="V864" i="10"/>
  <c r="V863" i="10"/>
  <c r="V862" i="10"/>
  <c r="V861" i="10"/>
  <c r="V860" i="10"/>
  <c r="V859" i="10"/>
  <c r="V858" i="10"/>
  <c r="V857" i="10"/>
  <c r="V856" i="10"/>
  <c r="V855" i="10"/>
  <c r="V854" i="10"/>
  <c r="V853" i="10"/>
  <c r="V852" i="10"/>
  <c r="V851" i="10"/>
  <c r="V850" i="10"/>
  <c r="V849" i="10"/>
  <c r="V848" i="10"/>
  <c r="V847" i="10"/>
  <c r="V846" i="10"/>
  <c r="V845" i="10"/>
  <c r="V844" i="10"/>
  <c r="V843" i="10"/>
  <c r="V842" i="10"/>
  <c r="V841" i="10"/>
  <c r="V840" i="10"/>
  <c r="V839" i="10"/>
  <c r="V838" i="10"/>
  <c r="V837" i="10"/>
  <c r="V836" i="10"/>
  <c r="V835" i="10"/>
  <c r="V834" i="10"/>
  <c r="V833" i="10"/>
  <c r="V832" i="10"/>
  <c r="V831" i="10"/>
  <c r="V830" i="10"/>
  <c r="V829" i="10"/>
  <c r="V828" i="10"/>
  <c r="V827" i="10"/>
  <c r="V826" i="10"/>
  <c r="V825" i="10"/>
  <c r="V824" i="10"/>
  <c r="V823" i="10"/>
  <c r="V822" i="10"/>
  <c r="V821" i="10"/>
  <c r="V820" i="10"/>
  <c r="V819" i="10"/>
  <c r="V818" i="10"/>
  <c r="V817" i="10"/>
  <c r="V816" i="10"/>
  <c r="V815" i="10"/>
  <c r="V814" i="10"/>
  <c r="V813" i="10"/>
  <c r="V812" i="10"/>
  <c r="V811" i="10"/>
  <c r="V810" i="10"/>
  <c r="V809" i="10"/>
  <c r="V808" i="10"/>
  <c r="V807" i="10"/>
  <c r="V806" i="10"/>
  <c r="V805" i="10"/>
  <c r="V804" i="10"/>
  <c r="V803" i="10"/>
  <c r="V802" i="10"/>
  <c r="V801" i="10"/>
  <c r="V800" i="10"/>
  <c r="V799" i="10"/>
  <c r="V798" i="10"/>
  <c r="V797" i="10"/>
  <c r="V796" i="10"/>
  <c r="V795" i="10"/>
  <c r="V794" i="10"/>
  <c r="V793" i="10"/>
  <c r="V792" i="10"/>
  <c r="V791" i="10"/>
  <c r="V790" i="10"/>
  <c r="V789" i="10"/>
  <c r="V788" i="10"/>
  <c r="V787" i="10"/>
  <c r="V786" i="10"/>
  <c r="V785" i="10"/>
  <c r="V784" i="10"/>
  <c r="V783" i="10"/>
  <c r="V782" i="10"/>
  <c r="V781" i="10"/>
  <c r="V780" i="10"/>
  <c r="V779" i="10"/>
  <c r="V778" i="10"/>
  <c r="V777" i="10"/>
  <c r="V776" i="10"/>
  <c r="V775" i="10"/>
  <c r="V774" i="10"/>
  <c r="V773" i="10"/>
  <c r="V772" i="10"/>
  <c r="V771" i="10"/>
  <c r="V770" i="10"/>
  <c r="V769" i="10"/>
  <c r="V768" i="10"/>
  <c r="V767" i="10"/>
  <c r="V766" i="10"/>
  <c r="V765" i="10"/>
  <c r="V764" i="10"/>
  <c r="V763" i="10"/>
  <c r="V762" i="10"/>
  <c r="V761" i="10"/>
  <c r="V760" i="10"/>
  <c r="V759" i="10"/>
  <c r="V758" i="10"/>
  <c r="V757" i="10"/>
  <c r="V756" i="10"/>
  <c r="V755" i="10"/>
  <c r="V754" i="10"/>
  <c r="V753" i="10"/>
  <c r="V752" i="10"/>
  <c r="V751" i="10"/>
  <c r="V750" i="10"/>
  <c r="V749" i="10"/>
  <c r="V748" i="10"/>
  <c r="V747" i="10"/>
  <c r="V746" i="10"/>
  <c r="V745" i="10"/>
  <c r="V744" i="10"/>
  <c r="V743" i="10"/>
  <c r="V742" i="10"/>
  <c r="V741" i="10"/>
  <c r="V740" i="10"/>
  <c r="V739" i="10"/>
  <c r="V738" i="10"/>
  <c r="V737" i="10"/>
  <c r="V736" i="10"/>
  <c r="V735" i="10"/>
  <c r="V734" i="10"/>
  <c r="V733" i="10"/>
  <c r="V732" i="10"/>
  <c r="V731" i="10"/>
  <c r="V730" i="10"/>
  <c r="V729" i="10"/>
  <c r="V728" i="10"/>
  <c r="V727" i="10"/>
  <c r="V726" i="10"/>
  <c r="V725" i="10"/>
  <c r="V724" i="10"/>
  <c r="V723" i="10"/>
  <c r="V722" i="10"/>
  <c r="V721" i="10"/>
  <c r="V720" i="10"/>
  <c r="V719" i="10"/>
  <c r="V718" i="10"/>
  <c r="V717" i="10"/>
  <c r="V716" i="10"/>
  <c r="V715" i="10"/>
  <c r="V714" i="10"/>
  <c r="V713" i="10"/>
  <c r="V712" i="10"/>
  <c r="V711" i="10"/>
  <c r="V710" i="10"/>
  <c r="V709" i="10"/>
  <c r="V708" i="10"/>
  <c r="V707" i="10"/>
  <c r="V706" i="10"/>
  <c r="V705" i="10"/>
  <c r="V704" i="10"/>
  <c r="V703" i="10"/>
  <c r="V702" i="10"/>
  <c r="V701" i="10"/>
  <c r="V700" i="10"/>
  <c r="V699" i="10"/>
  <c r="V698" i="10"/>
  <c r="V697" i="10"/>
  <c r="V696" i="10"/>
  <c r="V695" i="10"/>
  <c r="V694" i="10"/>
  <c r="V693" i="10"/>
  <c r="V692" i="10"/>
  <c r="V691" i="10"/>
  <c r="V690" i="10"/>
  <c r="V689" i="10"/>
  <c r="V688" i="10"/>
  <c r="V687" i="10"/>
  <c r="V686" i="10"/>
  <c r="V685" i="10"/>
  <c r="V684" i="10"/>
  <c r="V683" i="10"/>
  <c r="V682" i="10"/>
  <c r="V681" i="10"/>
  <c r="V680" i="10"/>
  <c r="V679" i="10"/>
  <c r="V678" i="10"/>
  <c r="V677" i="10"/>
  <c r="V676" i="10"/>
  <c r="V675" i="10"/>
  <c r="V674" i="10"/>
  <c r="V673" i="10"/>
  <c r="V672" i="10"/>
  <c r="V671" i="10"/>
  <c r="V670" i="10"/>
  <c r="V669" i="10"/>
  <c r="V668" i="10"/>
  <c r="V667" i="10"/>
  <c r="V666" i="10"/>
  <c r="V665" i="10"/>
  <c r="V664" i="10"/>
  <c r="V663" i="10"/>
  <c r="V662" i="10"/>
  <c r="V661" i="10"/>
  <c r="V660" i="10"/>
  <c r="V659" i="10"/>
  <c r="V658" i="10"/>
  <c r="V657" i="10"/>
  <c r="V656" i="10"/>
  <c r="V655" i="10"/>
  <c r="V654" i="10"/>
  <c r="V653" i="10"/>
  <c r="V652" i="10"/>
  <c r="V651" i="10"/>
  <c r="V650" i="10"/>
  <c r="V649" i="10"/>
  <c r="V648" i="10"/>
  <c r="V647" i="10"/>
  <c r="V646" i="10"/>
  <c r="V645" i="10"/>
  <c r="V644" i="10"/>
  <c r="V643" i="10"/>
  <c r="V642" i="10"/>
  <c r="V641" i="10"/>
  <c r="V640" i="10"/>
  <c r="V639" i="10"/>
  <c r="V638" i="10"/>
  <c r="V637" i="10"/>
  <c r="V636" i="10"/>
  <c r="V635" i="10"/>
  <c r="V634" i="10"/>
  <c r="V633" i="10"/>
  <c r="V632" i="10"/>
  <c r="V631" i="10"/>
  <c r="V630" i="10"/>
  <c r="V629" i="10"/>
  <c r="V628" i="10"/>
  <c r="V627" i="10"/>
  <c r="V626" i="10"/>
  <c r="V625" i="10"/>
  <c r="V624" i="10"/>
  <c r="V623" i="10"/>
  <c r="V622" i="10"/>
  <c r="V621" i="10"/>
  <c r="V620" i="10"/>
  <c r="V619" i="10"/>
  <c r="V618" i="10"/>
  <c r="V617" i="10"/>
  <c r="V616" i="10"/>
  <c r="V615" i="10"/>
  <c r="V614" i="10"/>
  <c r="V613" i="10"/>
  <c r="V612" i="10"/>
  <c r="V611" i="10"/>
  <c r="V610" i="10"/>
  <c r="V609" i="10"/>
  <c r="V608" i="10"/>
  <c r="V607" i="10"/>
  <c r="V606" i="10"/>
  <c r="V605" i="10"/>
  <c r="V604" i="10"/>
  <c r="V603" i="10"/>
  <c r="V602" i="10"/>
  <c r="V601" i="10"/>
  <c r="V600" i="10"/>
  <c r="V599" i="10"/>
  <c r="V598" i="10"/>
  <c r="V597" i="10"/>
  <c r="V596" i="10"/>
  <c r="V595" i="10"/>
  <c r="V594" i="10"/>
  <c r="V593" i="10"/>
  <c r="V592" i="10"/>
  <c r="V591" i="10"/>
  <c r="V590" i="10"/>
  <c r="V589" i="10"/>
  <c r="V588" i="10"/>
  <c r="V587" i="10"/>
  <c r="V586" i="10"/>
  <c r="V585" i="10"/>
  <c r="V584" i="10"/>
  <c r="V583" i="10"/>
  <c r="V582" i="10"/>
  <c r="V581" i="10"/>
  <c r="V580" i="10"/>
  <c r="V579" i="10"/>
  <c r="V578" i="10"/>
  <c r="V577" i="10"/>
  <c r="V576" i="10"/>
  <c r="V575" i="10"/>
  <c r="V574" i="10"/>
  <c r="V573" i="10"/>
  <c r="V572" i="10"/>
  <c r="V571" i="10"/>
  <c r="V570" i="10"/>
  <c r="V569" i="10"/>
  <c r="V568" i="10"/>
  <c r="V567" i="10"/>
  <c r="V566" i="10"/>
  <c r="V565" i="10"/>
  <c r="V564" i="10"/>
  <c r="V563" i="10"/>
  <c r="V562" i="10"/>
  <c r="V561" i="10"/>
  <c r="V560" i="10"/>
  <c r="V559" i="10"/>
  <c r="V558" i="10"/>
  <c r="V557" i="10"/>
  <c r="V556" i="10"/>
  <c r="V555" i="10"/>
  <c r="V554" i="10"/>
  <c r="V553" i="10"/>
  <c r="V552" i="10"/>
  <c r="V551" i="10"/>
  <c r="V550" i="10"/>
  <c r="V549" i="10"/>
  <c r="V548" i="10"/>
  <c r="V547" i="10"/>
  <c r="V546" i="10"/>
  <c r="V545" i="10"/>
  <c r="V544" i="10"/>
  <c r="V543" i="10"/>
  <c r="V542" i="10"/>
  <c r="V541" i="10"/>
  <c r="V540" i="10"/>
  <c r="V539" i="10"/>
  <c r="V538" i="10"/>
  <c r="V537" i="10"/>
  <c r="V536" i="10"/>
  <c r="V535" i="10"/>
  <c r="V534" i="10"/>
  <c r="V533" i="10"/>
  <c r="V532" i="10"/>
  <c r="V531" i="10"/>
  <c r="V530" i="10"/>
  <c r="V529" i="10"/>
  <c r="V528" i="10"/>
  <c r="V527" i="10"/>
  <c r="V526" i="10"/>
  <c r="V525" i="10"/>
  <c r="V524" i="10"/>
  <c r="V523" i="10"/>
  <c r="V522" i="10"/>
  <c r="V521" i="10"/>
  <c r="V520" i="10"/>
  <c r="V519" i="10"/>
  <c r="V518" i="10"/>
  <c r="V517" i="10"/>
  <c r="V516" i="10"/>
  <c r="V515" i="10"/>
  <c r="V514" i="10"/>
  <c r="V513" i="10"/>
  <c r="V512" i="10"/>
  <c r="V511" i="10"/>
  <c r="V510" i="10"/>
  <c r="V509" i="10"/>
  <c r="V508" i="10"/>
  <c r="V507" i="10"/>
  <c r="V506" i="10"/>
  <c r="V505" i="10"/>
  <c r="V504" i="10"/>
  <c r="V503" i="10"/>
  <c r="V502" i="10"/>
  <c r="V501" i="10"/>
  <c r="V500" i="10"/>
  <c r="V499" i="10"/>
  <c r="V498" i="10"/>
  <c r="V497" i="10"/>
  <c r="V496" i="10"/>
  <c r="V495" i="10"/>
  <c r="V494" i="10"/>
  <c r="V493" i="10"/>
  <c r="V492" i="10"/>
  <c r="V491" i="10"/>
  <c r="V490" i="10"/>
  <c r="V489" i="10"/>
  <c r="V488" i="10"/>
  <c r="V487" i="10"/>
  <c r="V486" i="10"/>
  <c r="V485" i="10"/>
  <c r="V484" i="10"/>
  <c r="V483" i="10"/>
  <c r="V482" i="10"/>
  <c r="V481" i="10"/>
  <c r="V480" i="10"/>
  <c r="V479" i="10"/>
  <c r="V478" i="10"/>
  <c r="V477" i="10"/>
  <c r="V476" i="10"/>
  <c r="V475" i="10"/>
  <c r="V474" i="10"/>
  <c r="V473" i="10"/>
  <c r="V472" i="10"/>
  <c r="V471" i="10"/>
  <c r="V470" i="10"/>
  <c r="V469" i="10"/>
  <c r="V468" i="10"/>
  <c r="V467" i="10"/>
  <c r="V466" i="10"/>
  <c r="V465" i="10"/>
  <c r="V464" i="10"/>
  <c r="V463" i="10"/>
  <c r="V462" i="10"/>
  <c r="V461" i="10"/>
  <c r="V460" i="10"/>
  <c r="V459" i="10"/>
  <c r="V458" i="10"/>
  <c r="V457" i="10"/>
  <c r="V456" i="10"/>
  <c r="V455" i="10"/>
  <c r="V454" i="10"/>
  <c r="V453" i="10"/>
  <c r="V452" i="10"/>
  <c r="V451" i="10"/>
  <c r="V450" i="10"/>
  <c r="V449" i="10"/>
  <c r="V448" i="10"/>
  <c r="V447" i="10"/>
  <c r="V446" i="10"/>
  <c r="V445" i="10"/>
  <c r="V444" i="10"/>
  <c r="V443" i="10"/>
  <c r="V442" i="10"/>
  <c r="V441" i="10"/>
  <c r="V440" i="10"/>
  <c r="V439" i="10"/>
  <c r="V438" i="10"/>
  <c r="V437" i="10"/>
  <c r="V436" i="10"/>
  <c r="V435" i="10"/>
  <c r="V434" i="10"/>
  <c r="V433" i="10"/>
  <c r="V432" i="10"/>
  <c r="V431" i="10"/>
  <c r="V430" i="10"/>
  <c r="V429" i="10"/>
  <c r="V428" i="10"/>
  <c r="V427" i="10"/>
  <c r="V426" i="10"/>
  <c r="V425" i="10"/>
  <c r="V424" i="10"/>
  <c r="V423" i="10"/>
  <c r="V422" i="10"/>
  <c r="V421" i="10"/>
  <c r="V420" i="10"/>
  <c r="V419" i="10"/>
  <c r="V418" i="10"/>
  <c r="V417" i="10"/>
  <c r="V416" i="10"/>
  <c r="V415" i="10"/>
  <c r="V414" i="10"/>
  <c r="V413" i="10"/>
  <c r="V412" i="10"/>
  <c r="V411" i="10"/>
  <c r="V410" i="10"/>
  <c r="V409" i="10"/>
  <c r="V408" i="10"/>
  <c r="V407" i="10"/>
  <c r="V406" i="10"/>
  <c r="V405" i="10"/>
  <c r="V404" i="10"/>
  <c r="V403" i="10"/>
  <c r="V402" i="10"/>
  <c r="V401" i="10"/>
  <c r="V400" i="10"/>
  <c r="V399" i="10"/>
  <c r="V398" i="10"/>
  <c r="V397" i="10"/>
  <c r="V396" i="10"/>
  <c r="V395" i="10"/>
  <c r="V394" i="10"/>
  <c r="V393" i="10"/>
  <c r="V392" i="10"/>
  <c r="V391" i="10"/>
  <c r="V390" i="10"/>
  <c r="V389" i="10"/>
  <c r="V388" i="10"/>
  <c r="V387" i="10"/>
  <c r="V386" i="10"/>
  <c r="V385" i="10"/>
  <c r="V384" i="10"/>
  <c r="V383" i="10"/>
  <c r="V382" i="10"/>
  <c r="V381" i="10"/>
  <c r="V380" i="10"/>
  <c r="V379" i="10"/>
  <c r="V378" i="10"/>
  <c r="V377" i="10"/>
  <c r="V376" i="10"/>
  <c r="V375" i="10"/>
  <c r="V374" i="10"/>
  <c r="V373" i="10"/>
  <c r="V372" i="10"/>
  <c r="V371" i="10"/>
  <c r="V370" i="10"/>
  <c r="V369" i="10"/>
  <c r="V368" i="10"/>
  <c r="V367" i="10"/>
  <c r="V366" i="10"/>
  <c r="V365" i="10"/>
  <c r="V364" i="10"/>
  <c r="V363" i="10"/>
  <c r="V362" i="10"/>
  <c r="V361" i="10"/>
  <c r="V360" i="10"/>
  <c r="V359" i="10"/>
  <c r="V358" i="10"/>
  <c r="V357" i="10"/>
  <c r="V356" i="10"/>
  <c r="V355" i="10"/>
  <c r="V354" i="10"/>
  <c r="V353" i="10"/>
  <c r="V352" i="10"/>
  <c r="V351" i="10"/>
  <c r="V350" i="10"/>
  <c r="V349" i="10"/>
  <c r="V348" i="10"/>
  <c r="V347" i="10"/>
  <c r="V346" i="10"/>
  <c r="V345" i="10"/>
  <c r="V344" i="10"/>
  <c r="V343" i="10"/>
  <c r="V342" i="10"/>
  <c r="V341" i="10"/>
  <c r="V340" i="10"/>
  <c r="V339" i="10"/>
  <c r="V338" i="10"/>
  <c r="V337" i="10"/>
  <c r="V336" i="10"/>
  <c r="V335" i="10"/>
  <c r="V334" i="10"/>
  <c r="V333" i="10"/>
  <c r="V332" i="10"/>
  <c r="V331" i="10"/>
  <c r="V330" i="10"/>
  <c r="V329" i="10"/>
  <c r="V328" i="10"/>
  <c r="V327" i="10"/>
  <c r="V326" i="10"/>
  <c r="V325" i="10"/>
  <c r="V324" i="10"/>
  <c r="V323" i="10"/>
  <c r="V322" i="10"/>
  <c r="V321" i="10"/>
  <c r="V320" i="10"/>
  <c r="V319" i="10"/>
  <c r="V318" i="10"/>
  <c r="V317" i="10"/>
  <c r="V316" i="10"/>
  <c r="V315" i="10"/>
  <c r="V314" i="10"/>
  <c r="V313" i="10"/>
  <c r="V312" i="10"/>
  <c r="V311" i="10"/>
  <c r="V310" i="10"/>
  <c r="V309" i="10"/>
  <c r="V308" i="10"/>
  <c r="V307" i="10"/>
  <c r="V306" i="10"/>
  <c r="V305" i="10"/>
  <c r="V304" i="10"/>
  <c r="V303" i="10"/>
  <c r="V302" i="10"/>
  <c r="V301" i="10"/>
  <c r="V300" i="10"/>
  <c r="V299" i="10"/>
  <c r="V298" i="10"/>
  <c r="V297" i="10"/>
  <c r="V296" i="10"/>
  <c r="V295" i="10"/>
  <c r="V294" i="10"/>
  <c r="V293" i="10"/>
  <c r="V292" i="10"/>
  <c r="V291" i="10"/>
  <c r="V290" i="10"/>
  <c r="V289" i="10"/>
  <c r="V288" i="10"/>
  <c r="V287" i="10"/>
  <c r="V286" i="10"/>
  <c r="V285" i="10"/>
  <c r="V284" i="10"/>
  <c r="V283" i="10"/>
  <c r="V282" i="10"/>
  <c r="V281" i="10"/>
  <c r="V280" i="10"/>
  <c r="V279" i="10"/>
  <c r="V278" i="10"/>
  <c r="V277" i="10"/>
  <c r="V276" i="10"/>
  <c r="V275" i="10"/>
  <c r="V274" i="10"/>
  <c r="V273" i="10"/>
  <c r="V272" i="10"/>
  <c r="V271" i="10"/>
  <c r="V270" i="10"/>
  <c r="V269" i="10"/>
  <c r="V268" i="10"/>
  <c r="V267" i="10"/>
  <c r="V266" i="10"/>
  <c r="V265" i="10"/>
  <c r="V264" i="10"/>
  <c r="V263" i="10"/>
  <c r="V262" i="10"/>
  <c r="V261" i="10"/>
  <c r="V260" i="10"/>
  <c r="V259" i="10"/>
  <c r="V258" i="10"/>
  <c r="V257" i="10"/>
  <c r="V256" i="10"/>
  <c r="V255" i="10"/>
  <c r="V254" i="10"/>
  <c r="V253" i="10"/>
  <c r="V252" i="10"/>
  <c r="V251" i="10"/>
  <c r="V250" i="10"/>
  <c r="V249" i="10"/>
  <c r="V248" i="10"/>
  <c r="V247" i="10"/>
  <c r="V246" i="10"/>
  <c r="V245" i="10"/>
  <c r="V244" i="10"/>
  <c r="V243" i="10"/>
  <c r="V242" i="10"/>
  <c r="V241" i="10"/>
  <c r="V240" i="10"/>
  <c r="V239" i="10"/>
  <c r="V238" i="10"/>
  <c r="V237" i="10"/>
  <c r="V236" i="10"/>
  <c r="V235" i="10"/>
  <c r="V234" i="10"/>
  <c r="V233" i="10"/>
  <c r="V232" i="10"/>
  <c r="V231" i="10"/>
  <c r="V230" i="10"/>
  <c r="V229" i="10"/>
  <c r="V228" i="10"/>
  <c r="V227" i="10"/>
  <c r="V226" i="10"/>
  <c r="V225" i="10"/>
  <c r="V224" i="10"/>
  <c r="V223" i="10"/>
  <c r="V222" i="10"/>
  <c r="V221" i="10"/>
  <c r="V220" i="10"/>
  <c r="V219" i="10"/>
  <c r="V218" i="10"/>
  <c r="V217" i="10"/>
  <c r="V216" i="10"/>
  <c r="V215" i="10"/>
  <c r="V214" i="10"/>
  <c r="V213" i="10"/>
  <c r="V212" i="10"/>
  <c r="V211" i="10"/>
  <c r="V210" i="10"/>
  <c r="V209" i="10"/>
  <c r="V208" i="10"/>
  <c r="V207" i="10"/>
  <c r="V206" i="10"/>
  <c r="V205" i="10"/>
  <c r="V204" i="10"/>
  <c r="V203" i="10"/>
  <c r="V202" i="10"/>
  <c r="V201" i="10"/>
  <c r="V200" i="10"/>
  <c r="V199" i="10"/>
  <c r="V198" i="10"/>
  <c r="V197" i="10"/>
  <c r="V196" i="10"/>
  <c r="V195" i="10"/>
  <c r="V194" i="10"/>
  <c r="V193" i="10"/>
  <c r="V192" i="10"/>
  <c r="V191" i="10"/>
  <c r="V190" i="10"/>
  <c r="V189" i="10"/>
  <c r="V188" i="10"/>
  <c r="V187" i="10"/>
  <c r="V186" i="10"/>
  <c r="V185" i="10"/>
  <c r="V184" i="10"/>
  <c r="V183" i="10"/>
  <c r="V182" i="10"/>
  <c r="V181" i="10"/>
  <c r="V180" i="10"/>
  <c r="V179" i="10"/>
  <c r="V178" i="10"/>
  <c r="V177" i="10"/>
  <c r="V176" i="10"/>
  <c r="V175" i="10"/>
  <c r="V174" i="10"/>
  <c r="V173" i="10"/>
  <c r="V172" i="10"/>
  <c r="V171" i="10"/>
  <c r="V170" i="10"/>
  <c r="V169" i="10"/>
  <c r="V168" i="10"/>
  <c r="V167" i="10"/>
  <c r="V166" i="10"/>
  <c r="V165" i="10"/>
  <c r="V164" i="10"/>
  <c r="V163" i="10"/>
  <c r="V162" i="10"/>
  <c r="V161" i="10"/>
  <c r="V160" i="10"/>
  <c r="V159" i="10"/>
  <c r="V158" i="10"/>
  <c r="V157" i="10"/>
  <c r="V156" i="10"/>
  <c r="V155" i="10"/>
  <c r="V154" i="10"/>
  <c r="V153" i="10"/>
  <c r="V152" i="10"/>
  <c r="V151" i="10"/>
  <c r="V150" i="10"/>
  <c r="V149" i="10"/>
  <c r="V148" i="10"/>
  <c r="V147" i="10"/>
  <c r="V146" i="10"/>
  <c r="V145" i="10"/>
  <c r="V144" i="10"/>
  <c r="V143" i="10"/>
  <c r="V142" i="10"/>
  <c r="V141" i="10"/>
  <c r="V140" i="10"/>
  <c r="V139" i="10"/>
  <c r="V138" i="10"/>
  <c r="V137" i="10"/>
  <c r="V136" i="10"/>
  <c r="V135" i="10"/>
  <c r="V134" i="10"/>
  <c r="V133" i="10"/>
  <c r="V132" i="10"/>
  <c r="V131" i="10"/>
  <c r="V130" i="10"/>
  <c r="V129" i="10"/>
  <c r="V128" i="10"/>
  <c r="V127" i="10"/>
  <c r="V126" i="10"/>
  <c r="V125" i="10"/>
  <c r="V124" i="10"/>
  <c r="V123" i="10"/>
  <c r="V122" i="10"/>
  <c r="V121" i="10"/>
  <c r="V120" i="10"/>
  <c r="V119" i="10"/>
  <c r="V118" i="10"/>
  <c r="V117" i="10"/>
  <c r="V116" i="10"/>
  <c r="V115" i="10"/>
  <c r="V114" i="10"/>
  <c r="V113" i="10"/>
  <c r="V112" i="10"/>
  <c r="V111" i="10"/>
  <c r="V110" i="10"/>
  <c r="V109" i="10"/>
  <c r="V108" i="10"/>
  <c r="V107" i="10"/>
  <c r="V106" i="10"/>
  <c r="V105" i="10"/>
  <c r="V104" i="10"/>
  <c r="V103" i="10"/>
  <c r="V102" i="10"/>
  <c r="V101" i="10"/>
  <c r="V100" i="10"/>
  <c r="V99" i="10"/>
  <c r="V98" i="10"/>
  <c r="V97" i="10"/>
  <c r="V96" i="10"/>
  <c r="V95" i="10"/>
  <c r="V94" i="10"/>
  <c r="V93" i="10"/>
  <c r="V92" i="10"/>
  <c r="V91" i="10"/>
  <c r="V90" i="10"/>
  <c r="V89" i="10"/>
  <c r="V88" i="10"/>
  <c r="V87" i="10"/>
  <c r="V86" i="10"/>
  <c r="V85" i="10"/>
  <c r="V84" i="10"/>
  <c r="V83" i="10"/>
  <c r="V82" i="10"/>
  <c r="V81" i="10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V46" i="10"/>
  <c r="V45" i="10"/>
  <c r="V44" i="10"/>
  <c r="V43" i="10"/>
  <c r="V42" i="10"/>
  <c r="V41" i="10"/>
  <c r="V40" i="10"/>
  <c r="V39" i="10"/>
  <c r="V38" i="10"/>
  <c r="V37" i="10"/>
  <c r="V36" i="10"/>
  <c r="V35" i="10"/>
  <c r="V34" i="10"/>
  <c r="V33" i="10"/>
  <c r="V32" i="10"/>
  <c r="V31" i="10"/>
  <c r="V30" i="10"/>
  <c r="V29" i="10"/>
  <c r="V28" i="10"/>
  <c r="V27" i="10"/>
  <c r="V26" i="10"/>
  <c r="V25" i="10"/>
  <c r="V24" i="10"/>
  <c r="V23" i="10"/>
  <c r="V22" i="10"/>
  <c r="V21" i="10"/>
  <c r="V20" i="10"/>
  <c r="V19" i="10"/>
  <c r="V18" i="10"/>
  <c r="V17" i="10"/>
  <c r="V16" i="10"/>
  <c r="V15" i="10"/>
  <c r="V14" i="10"/>
  <c r="V13" i="10"/>
  <c r="V12" i="10"/>
  <c r="V11" i="10"/>
  <c r="V10" i="10"/>
  <c r="V9" i="10"/>
  <c r="V8" i="10"/>
  <c r="V7" i="10"/>
  <c r="V6" i="10"/>
  <c r="U2855" i="10"/>
  <c r="U2854" i="10"/>
  <c r="U2853" i="10"/>
  <c r="U2852" i="10"/>
  <c r="U2851" i="10"/>
  <c r="U2850" i="10"/>
  <c r="U2849" i="10"/>
  <c r="U2848" i="10"/>
  <c r="U2847" i="10"/>
  <c r="U2846" i="10"/>
  <c r="U2845" i="10"/>
  <c r="U2844" i="10"/>
  <c r="U2843" i="10"/>
  <c r="U2842" i="10"/>
  <c r="U2841" i="10"/>
  <c r="U2840" i="10"/>
  <c r="U2839" i="10"/>
  <c r="U2838" i="10"/>
  <c r="U2837" i="10"/>
  <c r="U2836" i="10"/>
  <c r="U2835" i="10"/>
  <c r="U2834" i="10"/>
  <c r="U2833" i="10"/>
  <c r="U2832" i="10"/>
  <c r="U2831" i="10"/>
  <c r="U2830" i="10"/>
  <c r="U2829" i="10"/>
  <c r="U2828" i="10"/>
  <c r="U2827" i="10"/>
  <c r="U2826" i="10"/>
  <c r="U2825" i="10"/>
  <c r="U2824" i="10"/>
  <c r="U2823" i="10"/>
  <c r="U2822" i="10"/>
  <c r="U2821" i="10"/>
  <c r="U2820" i="10"/>
  <c r="U2819" i="10"/>
  <c r="U2818" i="10"/>
  <c r="U2817" i="10"/>
  <c r="U2816" i="10"/>
  <c r="U2815" i="10"/>
  <c r="U2814" i="10"/>
  <c r="U2813" i="10"/>
  <c r="U2812" i="10"/>
  <c r="U2811" i="10"/>
  <c r="U2810" i="10"/>
  <c r="U2809" i="10"/>
  <c r="U2808" i="10"/>
  <c r="U2807" i="10"/>
  <c r="U2806" i="10"/>
  <c r="U2805" i="10"/>
  <c r="U2804" i="10"/>
  <c r="U2803" i="10"/>
  <c r="U2802" i="10"/>
  <c r="U2801" i="10"/>
  <c r="U2800" i="10"/>
  <c r="U2799" i="10"/>
  <c r="U2798" i="10"/>
  <c r="U2797" i="10"/>
  <c r="U2796" i="10"/>
  <c r="U2795" i="10"/>
  <c r="U2794" i="10"/>
  <c r="U2793" i="10"/>
  <c r="U2792" i="10"/>
  <c r="U2791" i="10"/>
  <c r="U2790" i="10"/>
  <c r="U2789" i="10"/>
  <c r="U2788" i="10"/>
  <c r="U2787" i="10"/>
  <c r="U2786" i="10"/>
  <c r="U2785" i="10"/>
  <c r="U2784" i="10"/>
  <c r="U2783" i="10"/>
  <c r="U2782" i="10"/>
  <c r="U2781" i="10"/>
  <c r="U2780" i="10"/>
  <c r="U2779" i="10"/>
  <c r="U2778" i="10"/>
  <c r="U2777" i="10"/>
  <c r="U2776" i="10"/>
  <c r="U2775" i="10"/>
  <c r="U2774" i="10"/>
  <c r="U2773" i="10"/>
  <c r="U2772" i="10"/>
  <c r="U2771" i="10"/>
  <c r="U2770" i="10"/>
  <c r="U2769" i="10"/>
  <c r="U2768" i="10"/>
  <c r="U2767" i="10"/>
  <c r="U2766" i="10"/>
  <c r="U2765" i="10"/>
  <c r="U2764" i="10"/>
  <c r="U2763" i="10"/>
  <c r="U2762" i="10"/>
  <c r="U2761" i="10"/>
  <c r="U2760" i="10"/>
  <c r="U2759" i="10"/>
  <c r="U2758" i="10"/>
  <c r="U2757" i="10"/>
  <c r="U2756" i="10"/>
  <c r="U2755" i="10"/>
  <c r="U2754" i="10"/>
  <c r="U2753" i="10"/>
  <c r="U2752" i="10"/>
  <c r="U2751" i="10"/>
  <c r="U2750" i="10"/>
  <c r="U2749" i="10"/>
  <c r="U2748" i="10"/>
  <c r="U2747" i="10"/>
  <c r="U2746" i="10"/>
  <c r="U2745" i="10"/>
  <c r="U2744" i="10"/>
  <c r="U2743" i="10"/>
  <c r="U2742" i="10"/>
  <c r="U2741" i="10"/>
  <c r="U2740" i="10"/>
  <c r="U2739" i="10"/>
  <c r="U2738" i="10"/>
  <c r="U2737" i="10"/>
  <c r="U2736" i="10"/>
  <c r="U2735" i="10"/>
  <c r="U2734" i="10"/>
  <c r="U2733" i="10"/>
  <c r="U2732" i="10"/>
  <c r="U2731" i="10"/>
  <c r="U2730" i="10"/>
  <c r="U2729" i="10"/>
  <c r="U2728" i="10"/>
  <c r="U2727" i="10"/>
  <c r="U2726" i="10"/>
  <c r="U2725" i="10"/>
  <c r="U2724" i="10"/>
  <c r="U2723" i="10"/>
  <c r="U2722" i="10"/>
  <c r="U2721" i="10"/>
  <c r="U2720" i="10"/>
  <c r="U2719" i="10"/>
  <c r="U2718" i="10"/>
  <c r="U2717" i="10"/>
  <c r="U2716" i="10"/>
  <c r="U2715" i="10"/>
  <c r="U2714" i="10"/>
  <c r="U2713" i="10"/>
  <c r="U2712" i="10"/>
  <c r="U2711" i="10"/>
  <c r="U2710" i="10"/>
  <c r="U2709" i="10"/>
  <c r="U2708" i="10"/>
  <c r="U2707" i="10"/>
  <c r="U2706" i="10"/>
  <c r="U2705" i="10"/>
  <c r="U2704" i="10"/>
  <c r="U2703" i="10"/>
  <c r="U2702" i="10"/>
  <c r="U2701" i="10"/>
  <c r="U2700" i="10"/>
  <c r="U2699" i="10"/>
  <c r="U2698" i="10"/>
  <c r="U2697" i="10"/>
  <c r="U2696" i="10"/>
  <c r="U2695" i="10"/>
  <c r="U2694" i="10"/>
  <c r="U2693" i="10"/>
  <c r="U2692" i="10"/>
  <c r="U2691" i="10"/>
  <c r="U2690" i="10"/>
  <c r="U2689" i="10"/>
  <c r="U2688" i="10"/>
  <c r="U2687" i="10"/>
  <c r="U2686" i="10"/>
  <c r="U2685" i="10"/>
  <c r="U2684" i="10"/>
  <c r="U2683" i="10"/>
  <c r="U2682" i="10"/>
  <c r="U2681" i="10"/>
  <c r="U2680" i="10"/>
  <c r="U2679" i="10"/>
  <c r="U2678" i="10"/>
  <c r="U2677" i="10"/>
  <c r="U2676" i="10"/>
  <c r="U2675" i="10"/>
  <c r="U2674" i="10"/>
  <c r="U2673" i="10"/>
  <c r="U2672" i="10"/>
  <c r="U2671" i="10"/>
  <c r="U2670" i="10"/>
  <c r="U2669" i="10"/>
  <c r="U2668" i="10"/>
  <c r="U2667" i="10"/>
  <c r="U2666" i="10"/>
  <c r="U2665" i="10"/>
  <c r="U2664" i="10"/>
  <c r="U2663" i="10"/>
  <c r="U2662" i="10"/>
  <c r="U2661" i="10"/>
  <c r="U2660" i="10"/>
  <c r="U2659" i="10"/>
  <c r="U2658" i="10"/>
  <c r="U2657" i="10"/>
  <c r="U2656" i="10"/>
  <c r="U2655" i="10"/>
  <c r="U2654" i="10"/>
  <c r="U2653" i="10"/>
  <c r="U2652" i="10"/>
  <c r="U2651" i="10"/>
  <c r="U2650" i="10"/>
  <c r="U2649" i="10"/>
  <c r="U2648" i="10"/>
  <c r="U2647" i="10"/>
  <c r="U2646" i="10"/>
  <c r="U2645" i="10"/>
  <c r="U2644" i="10"/>
  <c r="U2643" i="10"/>
  <c r="U2642" i="10"/>
  <c r="U2641" i="10"/>
  <c r="U2640" i="10"/>
  <c r="U2639" i="10"/>
  <c r="U2638" i="10"/>
  <c r="U2637" i="10"/>
  <c r="U2636" i="10"/>
  <c r="U2635" i="10"/>
  <c r="U2634" i="10"/>
  <c r="U2633" i="10"/>
  <c r="U2632" i="10"/>
  <c r="U2631" i="10"/>
  <c r="U2630" i="10"/>
  <c r="U2629" i="10"/>
  <c r="U2628" i="10"/>
  <c r="U2627" i="10"/>
  <c r="U2626" i="10"/>
  <c r="U2625" i="10"/>
  <c r="U2624" i="10"/>
  <c r="U2623" i="10"/>
  <c r="U2622" i="10"/>
  <c r="U2621" i="10"/>
  <c r="U2620" i="10"/>
  <c r="U2619" i="10"/>
  <c r="U2618" i="10"/>
  <c r="U2617" i="10"/>
  <c r="U2616" i="10"/>
  <c r="U2615" i="10"/>
  <c r="U2614" i="10"/>
  <c r="U2613" i="10"/>
  <c r="U2612" i="10"/>
  <c r="U2611" i="10"/>
  <c r="U2610" i="10"/>
  <c r="U2609" i="10"/>
  <c r="U2608" i="10"/>
  <c r="U2607" i="10"/>
  <c r="U2606" i="10"/>
  <c r="U2605" i="10"/>
  <c r="U2604" i="10"/>
  <c r="U2603" i="10"/>
  <c r="U2602" i="10"/>
  <c r="U2601" i="10"/>
  <c r="U2600" i="10"/>
  <c r="U2599" i="10"/>
  <c r="U2598" i="10"/>
  <c r="U2597" i="10"/>
  <c r="U2596" i="10"/>
  <c r="U2595" i="10"/>
  <c r="U2594" i="10"/>
  <c r="U2593" i="10"/>
  <c r="U2592" i="10"/>
  <c r="U2591" i="10"/>
  <c r="U2590" i="10"/>
  <c r="U2589" i="10"/>
  <c r="U2588" i="10"/>
  <c r="U2587" i="10"/>
  <c r="U2586" i="10"/>
  <c r="U2585" i="10"/>
  <c r="U2584" i="10"/>
  <c r="U2583" i="10"/>
  <c r="U2582" i="10"/>
  <c r="U2581" i="10"/>
  <c r="U2580" i="10"/>
  <c r="U2579" i="10"/>
  <c r="U2578" i="10"/>
  <c r="U2577" i="10"/>
  <c r="U2576" i="10"/>
  <c r="U2575" i="10"/>
  <c r="U2574" i="10"/>
  <c r="U2573" i="10"/>
  <c r="U2572" i="10"/>
  <c r="U2571" i="10"/>
  <c r="U2570" i="10"/>
  <c r="U2569" i="10"/>
  <c r="U2568" i="10"/>
  <c r="U2567" i="10"/>
  <c r="U2566" i="10"/>
  <c r="U2565" i="10"/>
  <c r="U2564" i="10"/>
  <c r="U2563" i="10"/>
  <c r="U2562" i="10"/>
  <c r="U2561" i="10"/>
  <c r="U2560" i="10"/>
  <c r="U2559" i="10"/>
  <c r="U2558" i="10"/>
  <c r="U2557" i="10"/>
  <c r="U2556" i="10"/>
  <c r="U2555" i="10"/>
  <c r="U2554" i="10"/>
  <c r="U2553" i="10"/>
  <c r="U2552" i="10"/>
  <c r="U2551" i="10"/>
  <c r="U2550" i="10"/>
  <c r="U2549" i="10"/>
  <c r="U2548" i="10"/>
  <c r="U2547" i="10"/>
  <c r="U2546" i="10"/>
  <c r="U2545" i="10"/>
  <c r="U2544" i="10"/>
  <c r="U2543" i="10"/>
  <c r="U2542" i="10"/>
  <c r="U2541" i="10"/>
  <c r="U2540" i="10"/>
  <c r="U2539" i="10"/>
  <c r="U2538" i="10"/>
  <c r="U2537" i="10"/>
  <c r="U2536" i="10"/>
  <c r="U2535" i="10"/>
  <c r="U2534" i="10"/>
  <c r="U2533" i="10"/>
  <c r="U2532" i="10"/>
  <c r="U2531" i="10"/>
  <c r="U2530" i="10"/>
  <c r="U2529" i="10"/>
  <c r="U2528" i="10"/>
  <c r="U2527" i="10"/>
  <c r="U2526" i="10"/>
  <c r="U2525" i="10"/>
  <c r="U2524" i="10"/>
  <c r="U2523" i="10"/>
  <c r="U2522" i="10"/>
  <c r="U2521" i="10"/>
  <c r="U2520" i="10"/>
  <c r="U2519" i="10"/>
  <c r="U2518" i="10"/>
  <c r="U2517" i="10"/>
  <c r="U2516" i="10"/>
  <c r="U2515" i="10"/>
  <c r="U2514" i="10"/>
  <c r="U2513" i="10"/>
  <c r="U2512" i="10"/>
  <c r="U2511" i="10"/>
  <c r="U2510" i="10"/>
  <c r="U2509" i="10"/>
  <c r="U2508" i="10"/>
  <c r="U2507" i="10"/>
  <c r="U2506" i="10"/>
  <c r="U2505" i="10"/>
  <c r="U2504" i="10"/>
  <c r="U2503" i="10"/>
  <c r="U2502" i="10"/>
  <c r="U2501" i="10"/>
  <c r="U2500" i="10"/>
  <c r="U2499" i="10"/>
  <c r="U2498" i="10"/>
  <c r="U2497" i="10"/>
  <c r="U2496" i="10"/>
  <c r="U2495" i="10"/>
  <c r="U2494" i="10"/>
  <c r="U2493" i="10"/>
  <c r="U2492" i="10"/>
  <c r="U2491" i="10"/>
  <c r="U2490" i="10"/>
  <c r="U2489" i="10"/>
  <c r="U2488" i="10"/>
  <c r="U2487" i="10"/>
  <c r="U2486" i="10"/>
  <c r="U2485" i="10"/>
  <c r="U2484" i="10"/>
  <c r="U2483" i="10"/>
  <c r="U2482" i="10"/>
  <c r="U2481" i="10"/>
  <c r="U2480" i="10"/>
  <c r="U2479" i="10"/>
  <c r="U2478" i="10"/>
  <c r="U2477" i="10"/>
  <c r="U2476" i="10"/>
  <c r="U2475" i="10"/>
  <c r="U2474" i="10"/>
  <c r="U2473" i="10"/>
  <c r="U2472" i="10"/>
  <c r="U2471" i="10"/>
  <c r="U2470" i="10"/>
  <c r="U2469" i="10"/>
  <c r="U2468" i="10"/>
  <c r="U2467" i="10"/>
  <c r="U2466" i="10"/>
  <c r="U2465" i="10"/>
  <c r="U2464" i="10"/>
  <c r="U2463" i="10"/>
  <c r="U2462" i="10"/>
  <c r="U2461" i="10"/>
  <c r="U2460" i="10"/>
  <c r="U2459" i="10"/>
  <c r="U2458" i="10"/>
  <c r="U2457" i="10"/>
  <c r="U2456" i="10"/>
  <c r="U2455" i="10"/>
  <c r="U2454" i="10"/>
  <c r="U2453" i="10"/>
  <c r="U2452" i="10"/>
  <c r="U2451" i="10"/>
  <c r="U2450" i="10"/>
  <c r="U2449" i="10"/>
  <c r="U2448" i="10"/>
  <c r="U2447" i="10"/>
  <c r="U2446" i="10"/>
  <c r="U2445" i="10"/>
  <c r="U2444" i="10"/>
  <c r="U2443" i="10"/>
  <c r="U2442" i="10"/>
  <c r="U2441" i="10"/>
  <c r="U2440" i="10"/>
  <c r="U2439" i="10"/>
  <c r="U2438" i="10"/>
  <c r="U2437" i="10"/>
  <c r="U2436" i="10"/>
  <c r="U2435" i="10"/>
  <c r="U2434" i="10"/>
  <c r="U2433" i="10"/>
  <c r="U2432" i="10"/>
  <c r="U2431" i="10"/>
  <c r="U2430" i="10"/>
  <c r="U2429" i="10"/>
  <c r="U2428" i="10"/>
  <c r="U2427" i="10"/>
  <c r="U2426" i="10"/>
  <c r="U2425" i="10"/>
  <c r="U2424" i="10"/>
  <c r="U2423" i="10"/>
  <c r="U2422" i="10"/>
  <c r="U2421" i="10"/>
  <c r="U2420" i="10"/>
  <c r="U2419" i="10"/>
  <c r="U2418" i="10"/>
  <c r="U2417" i="10"/>
  <c r="U2416" i="10"/>
  <c r="U2415" i="10"/>
  <c r="U2414" i="10"/>
  <c r="U2413" i="10"/>
  <c r="U2412" i="10"/>
  <c r="U2411" i="10"/>
  <c r="U2410" i="10"/>
  <c r="U2409" i="10"/>
  <c r="U2408" i="10"/>
  <c r="U2407" i="10"/>
  <c r="U2406" i="10"/>
  <c r="U2405" i="10"/>
  <c r="U2404" i="10"/>
  <c r="U2403" i="10"/>
  <c r="U2402" i="10"/>
  <c r="U2401" i="10"/>
  <c r="U2400" i="10"/>
  <c r="U2399" i="10"/>
  <c r="U2398" i="10"/>
  <c r="U2397" i="10"/>
  <c r="U2396" i="10"/>
  <c r="U2395" i="10"/>
  <c r="U2394" i="10"/>
  <c r="U2393" i="10"/>
  <c r="U2392" i="10"/>
  <c r="U2391" i="10"/>
  <c r="U2390" i="10"/>
  <c r="U2389" i="10"/>
  <c r="U2388" i="10"/>
  <c r="U2387" i="10"/>
  <c r="U2386" i="10"/>
  <c r="U2385" i="10"/>
  <c r="U2384" i="10"/>
  <c r="U2383" i="10"/>
  <c r="U2382" i="10"/>
  <c r="U2381" i="10"/>
  <c r="U2380" i="10"/>
  <c r="U2379" i="10"/>
  <c r="U2378" i="10"/>
  <c r="U2377" i="10"/>
  <c r="U2376" i="10"/>
  <c r="U2375" i="10"/>
  <c r="U2374" i="10"/>
  <c r="U2373" i="10"/>
  <c r="U2372" i="10"/>
  <c r="U2371" i="10"/>
  <c r="U2370" i="10"/>
  <c r="U2369" i="10"/>
  <c r="U2368" i="10"/>
  <c r="U2367" i="10"/>
  <c r="U2366" i="10"/>
  <c r="U2365" i="10"/>
  <c r="U2364" i="10"/>
  <c r="U2363" i="10"/>
  <c r="U2362" i="10"/>
  <c r="U2361" i="10"/>
  <c r="U2360" i="10"/>
  <c r="U2359" i="10"/>
  <c r="U2358" i="10"/>
  <c r="U2357" i="10"/>
  <c r="U2356" i="10"/>
  <c r="U2355" i="10"/>
  <c r="U2354" i="10"/>
  <c r="U2353" i="10"/>
  <c r="U2352" i="10"/>
  <c r="U2351" i="10"/>
  <c r="U2350" i="10"/>
  <c r="U2349" i="10"/>
  <c r="U2348" i="10"/>
  <c r="U2347" i="10"/>
  <c r="U2346" i="10"/>
  <c r="U2345" i="10"/>
  <c r="U2344" i="10"/>
  <c r="U2343" i="10"/>
  <c r="U2342" i="10"/>
  <c r="U2341" i="10"/>
  <c r="U2340" i="10"/>
  <c r="U2339" i="10"/>
  <c r="U2338" i="10"/>
  <c r="U2337" i="10"/>
  <c r="U2336" i="10"/>
  <c r="U2335" i="10"/>
  <c r="U2334" i="10"/>
  <c r="U2333" i="10"/>
  <c r="U2332" i="10"/>
  <c r="U2331" i="10"/>
  <c r="U2330" i="10"/>
  <c r="U2329" i="10"/>
  <c r="U2328" i="10"/>
  <c r="U2327" i="10"/>
  <c r="U2326" i="10"/>
  <c r="U2325" i="10"/>
  <c r="U2324" i="10"/>
  <c r="U2323" i="10"/>
  <c r="U2322" i="10"/>
  <c r="U2321" i="10"/>
  <c r="U2320" i="10"/>
  <c r="U2319" i="10"/>
  <c r="U2318" i="10"/>
  <c r="U2317" i="10"/>
  <c r="U2316" i="10"/>
  <c r="U2315" i="10"/>
  <c r="U2314" i="10"/>
  <c r="U2313" i="10"/>
  <c r="U2312" i="10"/>
  <c r="U2311" i="10"/>
  <c r="U2310" i="10"/>
  <c r="U2309" i="10"/>
  <c r="U2308" i="10"/>
  <c r="U2307" i="10"/>
  <c r="U2306" i="10"/>
  <c r="U2305" i="10"/>
  <c r="U2304" i="10"/>
  <c r="U2303" i="10"/>
  <c r="U2302" i="10"/>
  <c r="U2301" i="10"/>
  <c r="U2300" i="10"/>
  <c r="U2299" i="10"/>
  <c r="U2298" i="10"/>
  <c r="U2297" i="10"/>
  <c r="U2296" i="10"/>
  <c r="U2295" i="10"/>
  <c r="U2294" i="10"/>
  <c r="U2293" i="10"/>
  <c r="U2292" i="10"/>
  <c r="U2291" i="10"/>
  <c r="U2290" i="10"/>
  <c r="U2289" i="10"/>
  <c r="U2288" i="10"/>
  <c r="U2287" i="10"/>
  <c r="U2286" i="10"/>
  <c r="U2285" i="10"/>
  <c r="U2284" i="10"/>
  <c r="U2283" i="10"/>
  <c r="U2282" i="10"/>
  <c r="U2281" i="10"/>
  <c r="U2280" i="10"/>
  <c r="U2279" i="10"/>
  <c r="U2278" i="10"/>
  <c r="U2277" i="10"/>
  <c r="U2276" i="10"/>
  <c r="U2275" i="10"/>
  <c r="U2274" i="10"/>
  <c r="U2273" i="10"/>
  <c r="U2272" i="10"/>
  <c r="U2271" i="10"/>
  <c r="U2270" i="10"/>
  <c r="U2269" i="10"/>
  <c r="U2268" i="10"/>
  <c r="U2267" i="10"/>
  <c r="U2266" i="10"/>
  <c r="U2265" i="10"/>
  <c r="U2264" i="10"/>
  <c r="U2263" i="10"/>
  <c r="U2262" i="10"/>
  <c r="U2261" i="10"/>
  <c r="U2260" i="10"/>
  <c r="U2259" i="10"/>
  <c r="U2258" i="10"/>
  <c r="U2257" i="10"/>
  <c r="U2256" i="10"/>
  <c r="U2255" i="10"/>
  <c r="U2254" i="10"/>
  <c r="U2253" i="10"/>
  <c r="U2252" i="10"/>
  <c r="U2251" i="10"/>
  <c r="U2250" i="10"/>
  <c r="U2249" i="10"/>
  <c r="U2248" i="10"/>
  <c r="U2247" i="10"/>
  <c r="U2246" i="10"/>
  <c r="U2245" i="10"/>
  <c r="U2244" i="10"/>
  <c r="U2243" i="10"/>
  <c r="U2242" i="10"/>
  <c r="U2241" i="10"/>
  <c r="U2240" i="10"/>
  <c r="U2239" i="10"/>
  <c r="U2238" i="10"/>
  <c r="U2237" i="10"/>
  <c r="U2236" i="10"/>
  <c r="U2235" i="10"/>
  <c r="U2234" i="10"/>
  <c r="U2233" i="10"/>
  <c r="U2232" i="10"/>
  <c r="U2231" i="10"/>
  <c r="U2230" i="10"/>
  <c r="U2229" i="10"/>
  <c r="U2228" i="10"/>
  <c r="U2227" i="10"/>
  <c r="U2226" i="10"/>
  <c r="U2225" i="10"/>
  <c r="U2224" i="10"/>
  <c r="U2223" i="10"/>
  <c r="U2222" i="10"/>
  <c r="U2221" i="10"/>
  <c r="U2220" i="10"/>
  <c r="U2219" i="10"/>
  <c r="U2218" i="10"/>
  <c r="U2217" i="10"/>
  <c r="U2216" i="10"/>
  <c r="U2215" i="10"/>
  <c r="U2214" i="10"/>
  <c r="U2213" i="10"/>
  <c r="U2212" i="10"/>
  <c r="U2211" i="10"/>
  <c r="U2210" i="10"/>
  <c r="U2209" i="10"/>
  <c r="U2208" i="10"/>
  <c r="U2207" i="10"/>
  <c r="U2206" i="10"/>
  <c r="U2205" i="10"/>
  <c r="U2204" i="10"/>
  <c r="U2203" i="10"/>
  <c r="U2202" i="10"/>
  <c r="U2201" i="10"/>
  <c r="U2200" i="10"/>
  <c r="U2199" i="10"/>
  <c r="U2198" i="10"/>
  <c r="U2197" i="10"/>
  <c r="U2196" i="10"/>
  <c r="U2195" i="10"/>
  <c r="U2194" i="10"/>
  <c r="U2193" i="10"/>
  <c r="U2192" i="10"/>
  <c r="U2191" i="10"/>
  <c r="U2190" i="10"/>
  <c r="U2189" i="10"/>
  <c r="U2188" i="10"/>
  <c r="U2187" i="10"/>
  <c r="U2186" i="10"/>
  <c r="U2185" i="10"/>
  <c r="U2184" i="10"/>
  <c r="U2183" i="10"/>
  <c r="U2182" i="10"/>
  <c r="U2181" i="10"/>
  <c r="U2180" i="10"/>
  <c r="U2179" i="10"/>
  <c r="U2178" i="10"/>
  <c r="U2177" i="10"/>
  <c r="U2176" i="10"/>
  <c r="U2175" i="10"/>
  <c r="U2174" i="10"/>
  <c r="U2173" i="10"/>
  <c r="U2172" i="10"/>
  <c r="U2171" i="10"/>
  <c r="U2170" i="10"/>
  <c r="U2169" i="10"/>
  <c r="U2168" i="10"/>
  <c r="U2167" i="10"/>
  <c r="U2166" i="10"/>
  <c r="U2165" i="10"/>
  <c r="U2164" i="10"/>
  <c r="U2163" i="10"/>
  <c r="U2162" i="10"/>
  <c r="U2161" i="10"/>
  <c r="U2160" i="10"/>
  <c r="U2159" i="10"/>
  <c r="U2158" i="10"/>
  <c r="U2157" i="10"/>
  <c r="U2156" i="10"/>
  <c r="U2155" i="10"/>
  <c r="U2154" i="10"/>
  <c r="U2153" i="10"/>
  <c r="U2152" i="10"/>
  <c r="U2151" i="10"/>
  <c r="U2150" i="10"/>
  <c r="U2149" i="10"/>
  <c r="U2148" i="10"/>
  <c r="U2147" i="10"/>
  <c r="U2146" i="10"/>
  <c r="U2145" i="10"/>
  <c r="U2144" i="10"/>
  <c r="U2143" i="10"/>
  <c r="U2142" i="10"/>
  <c r="U2141" i="10"/>
  <c r="U2140" i="10"/>
  <c r="U2139" i="10"/>
  <c r="U2138" i="10"/>
  <c r="U2137" i="10"/>
  <c r="U2136" i="10"/>
  <c r="U2135" i="10"/>
  <c r="U2134" i="10"/>
  <c r="U2133" i="10"/>
  <c r="U2132" i="10"/>
  <c r="U2131" i="10"/>
  <c r="U2130" i="10"/>
  <c r="U2129" i="10"/>
  <c r="U2128" i="10"/>
  <c r="U2127" i="10"/>
  <c r="U2126" i="10"/>
  <c r="U2125" i="10"/>
  <c r="U2124" i="10"/>
  <c r="U2123" i="10"/>
  <c r="U2122" i="10"/>
  <c r="U2121" i="10"/>
  <c r="U2120" i="10"/>
  <c r="U2119" i="10"/>
  <c r="U2118" i="10"/>
  <c r="U2117" i="10"/>
  <c r="U2116" i="10"/>
  <c r="U2115" i="10"/>
  <c r="U2114" i="10"/>
  <c r="U2113" i="10"/>
  <c r="U2112" i="10"/>
  <c r="U2111" i="10"/>
  <c r="U2110" i="10"/>
  <c r="U2109" i="10"/>
  <c r="U2108" i="10"/>
  <c r="U2107" i="10"/>
  <c r="U2106" i="10"/>
  <c r="U2105" i="10"/>
  <c r="U2104" i="10"/>
  <c r="U2103" i="10"/>
  <c r="U2102" i="10"/>
  <c r="U2101" i="10"/>
  <c r="U2100" i="10"/>
  <c r="U2099" i="10"/>
  <c r="U2098" i="10"/>
  <c r="U2097" i="10"/>
  <c r="U2096" i="10"/>
  <c r="U2095" i="10"/>
  <c r="U2094" i="10"/>
  <c r="U2093" i="10"/>
  <c r="U2092" i="10"/>
  <c r="U2091" i="10"/>
  <c r="U2090" i="10"/>
  <c r="U2089" i="10"/>
  <c r="U2088" i="10"/>
  <c r="U2087" i="10"/>
  <c r="U2086" i="10"/>
  <c r="U2085" i="10"/>
  <c r="U2084" i="10"/>
  <c r="U2083" i="10"/>
  <c r="U2082" i="10"/>
  <c r="U2081" i="10"/>
  <c r="U2080" i="10"/>
  <c r="U2079" i="10"/>
  <c r="U2078" i="10"/>
  <c r="U2077" i="10"/>
  <c r="U2076" i="10"/>
  <c r="U2075" i="10"/>
  <c r="U2074" i="10"/>
  <c r="U2073" i="10"/>
  <c r="U2072" i="10"/>
  <c r="U2071" i="10"/>
  <c r="U2070" i="10"/>
  <c r="U2069" i="10"/>
  <c r="U2068" i="10"/>
  <c r="U2067" i="10"/>
  <c r="U2066" i="10"/>
  <c r="U2065" i="10"/>
  <c r="U2064" i="10"/>
  <c r="U2063" i="10"/>
  <c r="U2062" i="10"/>
  <c r="U2061" i="10"/>
  <c r="U2060" i="10"/>
  <c r="U2059" i="10"/>
  <c r="U2058" i="10"/>
  <c r="U2057" i="10"/>
  <c r="U2056" i="10"/>
  <c r="U2055" i="10"/>
  <c r="U2054" i="10"/>
  <c r="U2053" i="10"/>
  <c r="U2052" i="10"/>
  <c r="U2051" i="10"/>
  <c r="U2050" i="10"/>
  <c r="U2049" i="10"/>
  <c r="U2048" i="10"/>
  <c r="U2047" i="10"/>
  <c r="U2046" i="10"/>
  <c r="U2045" i="10"/>
  <c r="U2044" i="10"/>
  <c r="U2043" i="10"/>
  <c r="U2042" i="10"/>
  <c r="U2041" i="10"/>
  <c r="U2040" i="10"/>
  <c r="U2039" i="10"/>
  <c r="U2038" i="10"/>
  <c r="U2037" i="10"/>
  <c r="U2036" i="10"/>
  <c r="U2035" i="10"/>
  <c r="U2034" i="10"/>
  <c r="U2033" i="10"/>
  <c r="U2032" i="10"/>
  <c r="U2031" i="10"/>
  <c r="U2030" i="10"/>
  <c r="U2029" i="10"/>
  <c r="U2028" i="10"/>
  <c r="U2027" i="10"/>
  <c r="U2026" i="10"/>
  <c r="U2025" i="10"/>
  <c r="U2024" i="10"/>
  <c r="U2023" i="10"/>
  <c r="U2022" i="10"/>
  <c r="U2021" i="10"/>
  <c r="U2020" i="10"/>
  <c r="U2019" i="10"/>
  <c r="U2018" i="10"/>
  <c r="U2017" i="10"/>
  <c r="U2016" i="10"/>
  <c r="U2015" i="10"/>
  <c r="U2014" i="10"/>
  <c r="U2013" i="10"/>
  <c r="U2012" i="10"/>
  <c r="U2011" i="10"/>
  <c r="U2010" i="10"/>
  <c r="U2009" i="10"/>
  <c r="U2008" i="10"/>
  <c r="U2007" i="10"/>
  <c r="U2006" i="10"/>
  <c r="U2005" i="10"/>
  <c r="U2004" i="10"/>
  <c r="U2003" i="10"/>
  <c r="U2002" i="10"/>
  <c r="U2001" i="10"/>
  <c r="U2000" i="10"/>
  <c r="U1999" i="10"/>
  <c r="U1998" i="10"/>
  <c r="U1997" i="10"/>
  <c r="U1996" i="10"/>
  <c r="U1995" i="10"/>
  <c r="U1994" i="10"/>
  <c r="U1993" i="10"/>
  <c r="U1992" i="10"/>
  <c r="U1991" i="10"/>
  <c r="U1990" i="10"/>
  <c r="U1989" i="10"/>
  <c r="U1988" i="10"/>
  <c r="U1987" i="10"/>
  <c r="U1986" i="10"/>
  <c r="U1985" i="10"/>
  <c r="U1984" i="10"/>
  <c r="U1983" i="10"/>
  <c r="U1982" i="10"/>
  <c r="U1981" i="10"/>
  <c r="U1980" i="10"/>
  <c r="U1979" i="10"/>
  <c r="U1978" i="10"/>
  <c r="U1977" i="10"/>
  <c r="U1976" i="10"/>
  <c r="U1975" i="10"/>
  <c r="U1974" i="10"/>
  <c r="U1973" i="10"/>
  <c r="U1972" i="10"/>
  <c r="U1971" i="10"/>
  <c r="U1970" i="10"/>
  <c r="U1969" i="10"/>
  <c r="U1968" i="10"/>
  <c r="U1967" i="10"/>
  <c r="U1966" i="10"/>
  <c r="U1965" i="10"/>
  <c r="U1964" i="10"/>
  <c r="U1963" i="10"/>
  <c r="U1962" i="10"/>
  <c r="U1961" i="10"/>
  <c r="U1960" i="10"/>
  <c r="U1959" i="10"/>
  <c r="U1958" i="10"/>
  <c r="U1957" i="10"/>
  <c r="U1956" i="10"/>
  <c r="U1955" i="10"/>
  <c r="U1954" i="10"/>
  <c r="U1953" i="10"/>
  <c r="U1952" i="10"/>
  <c r="U1951" i="10"/>
  <c r="U1950" i="10"/>
  <c r="U1949" i="10"/>
  <c r="U1948" i="10"/>
  <c r="U1947" i="10"/>
  <c r="U1946" i="10"/>
  <c r="U1945" i="10"/>
  <c r="U1944" i="10"/>
  <c r="U1943" i="10"/>
  <c r="U1942" i="10"/>
  <c r="U1941" i="10"/>
  <c r="U1940" i="10"/>
  <c r="U1939" i="10"/>
  <c r="U1938" i="10"/>
  <c r="U1937" i="10"/>
  <c r="U1936" i="10"/>
  <c r="U1935" i="10"/>
  <c r="U1934" i="10"/>
  <c r="U1933" i="10"/>
  <c r="U1932" i="10"/>
  <c r="U1931" i="10"/>
  <c r="U1930" i="10"/>
  <c r="U1929" i="10"/>
  <c r="U1928" i="10"/>
  <c r="U1927" i="10"/>
  <c r="U1926" i="10"/>
  <c r="U1925" i="10"/>
  <c r="U1924" i="10"/>
  <c r="U1923" i="10"/>
  <c r="U1922" i="10"/>
  <c r="U1921" i="10"/>
  <c r="U1920" i="10"/>
  <c r="U1919" i="10"/>
  <c r="U1918" i="10"/>
  <c r="U1917" i="10"/>
  <c r="U1916" i="10"/>
  <c r="U1915" i="10"/>
  <c r="U1914" i="10"/>
  <c r="U1913" i="10"/>
  <c r="U1912" i="10"/>
  <c r="U1911" i="10"/>
  <c r="U1910" i="10"/>
  <c r="U1909" i="10"/>
  <c r="U1908" i="10"/>
  <c r="U1907" i="10"/>
  <c r="U1906" i="10"/>
  <c r="U1905" i="10"/>
  <c r="U1904" i="10"/>
  <c r="U1903" i="10"/>
  <c r="U1902" i="10"/>
  <c r="U1901" i="10"/>
  <c r="U1900" i="10"/>
  <c r="U1899" i="10"/>
  <c r="U1898" i="10"/>
  <c r="U1897" i="10"/>
  <c r="U1896" i="10"/>
  <c r="U1895" i="10"/>
  <c r="U1894" i="10"/>
  <c r="U1893" i="10"/>
  <c r="U1892" i="10"/>
  <c r="U1891" i="10"/>
  <c r="U1890" i="10"/>
  <c r="U1889" i="10"/>
  <c r="U1888" i="10"/>
  <c r="U1887" i="10"/>
  <c r="U1886" i="10"/>
  <c r="U1885" i="10"/>
  <c r="U1884" i="10"/>
  <c r="U1883" i="10"/>
  <c r="U1882" i="10"/>
  <c r="U1881" i="10"/>
  <c r="U1880" i="10"/>
  <c r="U1879" i="10"/>
  <c r="U1878" i="10"/>
  <c r="U1877" i="10"/>
  <c r="U1876" i="10"/>
  <c r="U1875" i="10"/>
  <c r="U1874" i="10"/>
  <c r="U1873" i="10"/>
  <c r="U1872" i="10"/>
  <c r="U1871" i="10"/>
  <c r="U1870" i="10"/>
  <c r="U1869" i="10"/>
  <c r="U1868" i="10"/>
  <c r="U1867" i="10"/>
  <c r="U1866" i="10"/>
  <c r="U1865" i="10"/>
  <c r="U1864" i="10"/>
  <c r="U1863" i="10"/>
  <c r="U1862" i="10"/>
  <c r="U1861" i="10"/>
  <c r="U1860" i="10"/>
  <c r="U1859" i="10"/>
  <c r="U1858" i="10"/>
  <c r="U1857" i="10"/>
  <c r="U1856" i="10"/>
  <c r="U1855" i="10"/>
  <c r="U1854" i="10"/>
  <c r="U1853" i="10"/>
  <c r="U1852" i="10"/>
  <c r="U1851" i="10"/>
  <c r="U1850" i="10"/>
  <c r="U1849" i="10"/>
  <c r="U1848" i="10"/>
  <c r="U1847" i="10"/>
  <c r="U1846" i="10"/>
  <c r="U1845" i="10"/>
  <c r="U1844" i="10"/>
  <c r="U1843" i="10"/>
  <c r="U1842" i="10"/>
  <c r="U1841" i="10"/>
  <c r="U1840" i="10"/>
  <c r="U1839" i="10"/>
  <c r="U1838" i="10"/>
  <c r="U1837" i="10"/>
  <c r="U1836" i="10"/>
  <c r="U1835" i="10"/>
  <c r="U1834" i="10"/>
  <c r="U1833" i="10"/>
  <c r="U1832" i="10"/>
  <c r="U1831" i="10"/>
  <c r="U1830" i="10"/>
  <c r="U1829" i="10"/>
  <c r="U1828" i="10"/>
  <c r="U1827" i="10"/>
  <c r="U1826" i="10"/>
  <c r="U1825" i="10"/>
  <c r="U1824" i="10"/>
  <c r="U1823" i="10"/>
  <c r="U1822" i="10"/>
  <c r="U1821" i="10"/>
  <c r="U1820" i="10"/>
  <c r="U1819" i="10"/>
  <c r="U1818" i="10"/>
  <c r="U1817" i="10"/>
  <c r="U1816" i="10"/>
  <c r="U1815" i="10"/>
  <c r="U1814" i="10"/>
  <c r="U1813" i="10"/>
  <c r="U1812" i="10"/>
  <c r="U1811" i="10"/>
  <c r="U1810" i="10"/>
  <c r="U1809" i="10"/>
  <c r="U1808" i="10"/>
  <c r="U1807" i="10"/>
  <c r="U1806" i="10"/>
  <c r="U1805" i="10"/>
  <c r="U1804" i="10"/>
  <c r="U1803" i="10"/>
  <c r="U1802" i="10"/>
  <c r="U1801" i="10"/>
  <c r="U1800" i="10"/>
  <c r="U1799" i="10"/>
  <c r="U1798" i="10"/>
  <c r="U1797" i="10"/>
  <c r="U1796" i="10"/>
  <c r="U1795" i="10"/>
  <c r="U1794" i="10"/>
  <c r="U1793" i="10"/>
  <c r="U1792" i="10"/>
  <c r="U1791" i="10"/>
  <c r="U1790" i="10"/>
  <c r="U1789" i="10"/>
  <c r="U1788" i="10"/>
  <c r="U1787" i="10"/>
  <c r="U1786" i="10"/>
  <c r="U1785" i="10"/>
  <c r="U1784" i="10"/>
  <c r="U1783" i="10"/>
  <c r="U1782" i="10"/>
  <c r="U1781" i="10"/>
  <c r="U1780" i="10"/>
  <c r="U1779" i="10"/>
  <c r="U1778" i="10"/>
  <c r="U1777" i="10"/>
  <c r="U1776" i="10"/>
  <c r="U1775" i="10"/>
  <c r="U1774" i="10"/>
  <c r="U1773" i="10"/>
  <c r="U1772" i="10"/>
  <c r="U1771" i="10"/>
  <c r="U1770" i="10"/>
  <c r="U1769" i="10"/>
  <c r="U1768" i="10"/>
  <c r="U1767" i="10"/>
  <c r="U1766" i="10"/>
  <c r="U1765" i="10"/>
  <c r="U1764" i="10"/>
  <c r="U1763" i="10"/>
  <c r="U1762" i="10"/>
  <c r="U1761" i="10"/>
  <c r="U1760" i="10"/>
  <c r="U1759" i="10"/>
  <c r="U1758" i="10"/>
  <c r="U1757" i="10"/>
  <c r="U1756" i="10"/>
  <c r="U1755" i="10"/>
  <c r="U1754" i="10"/>
  <c r="U1753" i="10"/>
  <c r="U1752" i="10"/>
  <c r="U1751" i="10"/>
  <c r="U1750" i="10"/>
  <c r="U1749" i="10"/>
  <c r="U1748" i="10"/>
  <c r="U1747" i="10"/>
  <c r="U1746" i="10"/>
  <c r="U1745" i="10"/>
  <c r="U1744" i="10"/>
  <c r="U1743" i="10"/>
  <c r="U1742" i="10"/>
  <c r="U1741" i="10"/>
  <c r="U1740" i="10"/>
  <c r="U1739" i="10"/>
  <c r="U1738" i="10"/>
  <c r="U1737" i="10"/>
  <c r="U1736" i="10"/>
  <c r="U1735" i="10"/>
  <c r="U1734" i="10"/>
  <c r="U1733" i="10"/>
  <c r="U1732" i="10"/>
  <c r="U1731" i="10"/>
  <c r="U1730" i="10"/>
  <c r="U1729" i="10"/>
  <c r="U1728" i="10"/>
  <c r="U1727" i="10"/>
  <c r="U1726" i="10"/>
  <c r="U1725" i="10"/>
  <c r="U1724" i="10"/>
  <c r="U1723" i="10"/>
  <c r="U1722" i="10"/>
  <c r="U1721" i="10"/>
  <c r="U1720" i="10"/>
  <c r="U1719" i="10"/>
  <c r="U1718" i="10"/>
  <c r="U1717" i="10"/>
  <c r="U1716" i="10"/>
  <c r="U1715" i="10"/>
  <c r="U1714" i="10"/>
  <c r="U1713" i="10"/>
  <c r="U1712" i="10"/>
  <c r="U1711" i="10"/>
  <c r="U1710" i="10"/>
  <c r="U1709" i="10"/>
  <c r="U1708" i="10"/>
  <c r="U1707" i="10"/>
  <c r="U1706" i="10"/>
  <c r="U1705" i="10"/>
  <c r="U1704" i="10"/>
  <c r="U1703" i="10"/>
  <c r="U1702" i="10"/>
  <c r="U1701" i="10"/>
  <c r="U1700" i="10"/>
  <c r="U1699" i="10"/>
  <c r="U1698" i="10"/>
  <c r="U1697" i="10"/>
  <c r="U1696" i="10"/>
  <c r="U1695" i="10"/>
  <c r="U1694" i="10"/>
  <c r="U1693" i="10"/>
  <c r="U1692" i="10"/>
  <c r="U1691" i="10"/>
  <c r="U1690" i="10"/>
  <c r="U1689" i="10"/>
  <c r="U1688" i="10"/>
  <c r="U1687" i="10"/>
  <c r="U1686" i="10"/>
  <c r="U1685" i="10"/>
  <c r="U1684" i="10"/>
  <c r="U1683" i="10"/>
  <c r="U1682" i="10"/>
  <c r="U1681" i="10"/>
  <c r="U1680" i="10"/>
  <c r="U1679" i="10"/>
  <c r="U1678" i="10"/>
  <c r="U1677" i="10"/>
  <c r="U1676" i="10"/>
  <c r="U1675" i="10"/>
  <c r="U1674" i="10"/>
  <c r="U1673" i="10"/>
  <c r="U1672" i="10"/>
  <c r="U1671" i="10"/>
  <c r="U1670" i="10"/>
  <c r="U1669" i="10"/>
  <c r="U1668" i="10"/>
  <c r="U1667" i="10"/>
  <c r="U1666" i="10"/>
  <c r="U1665" i="10"/>
  <c r="U1664" i="10"/>
  <c r="U1663" i="10"/>
  <c r="U1662" i="10"/>
  <c r="U1661" i="10"/>
  <c r="U1660" i="10"/>
  <c r="U1659" i="10"/>
  <c r="U1658" i="10"/>
  <c r="U1657" i="10"/>
  <c r="U1656" i="10"/>
  <c r="U1655" i="10"/>
  <c r="U1654" i="10"/>
  <c r="U1653" i="10"/>
  <c r="U1652" i="10"/>
  <c r="U1651" i="10"/>
  <c r="U1650" i="10"/>
  <c r="U1649" i="10"/>
  <c r="U1648" i="10"/>
  <c r="U1647" i="10"/>
  <c r="U1646" i="10"/>
  <c r="U1645" i="10"/>
  <c r="U1644" i="10"/>
  <c r="U1643" i="10"/>
  <c r="U1642" i="10"/>
  <c r="U1641" i="10"/>
  <c r="U1640" i="10"/>
  <c r="U1639" i="10"/>
  <c r="U1638" i="10"/>
  <c r="U1637" i="10"/>
  <c r="U1636" i="10"/>
  <c r="U1635" i="10"/>
  <c r="U1634" i="10"/>
  <c r="U1633" i="10"/>
  <c r="U1632" i="10"/>
  <c r="U1631" i="10"/>
  <c r="U1630" i="10"/>
  <c r="U1629" i="10"/>
  <c r="U1628" i="10"/>
  <c r="U1627" i="10"/>
  <c r="U1626" i="10"/>
  <c r="U1625" i="10"/>
  <c r="U1624" i="10"/>
  <c r="U1623" i="10"/>
  <c r="U1622" i="10"/>
  <c r="U1621" i="10"/>
  <c r="U1620" i="10"/>
  <c r="U1619" i="10"/>
  <c r="U1618" i="10"/>
  <c r="U1617" i="10"/>
  <c r="U1616" i="10"/>
  <c r="U1615" i="10"/>
  <c r="U1614" i="10"/>
  <c r="U1613" i="10"/>
  <c r="U1612" i="10"/>
  <c r="U1611" i="10"/>
  <c r="U1610" i="10"/>
  <c r="U1609" i="10"/>
  <c r="U1608" i="10"/>
  <c r="U1607" i="10"/>
  <c r="U1606" i="10"/>
  <c r="U1605" i="10"/>
  <c r="U1604" i="10"/>
  <c r="U1603" i="10"/>
  <c r="U1602" i="10"/>
  <c r="U1601" i="10"/>
  <c r="U1600" i="10"/>
  <c r="U1599" i="10"/>
  <c r="U1598" i="10"/>
  <c r="U1597" i="10"/>
  <c r="U1596" i="10"/>
  <c r="U1595" i="10"/>
  <c r="U1594" i="10"/>
  <c r="U1593" i="10"/>
  <c r="U1592" i="10"/>
  <c r="U1591" i="10"/>
  <c r="U1590" i="10"/>
  <c r="U1589" i="10"/>
  <c r="U1588" i="10"/>
  <c r="U1587" i="10"/>
  <c r="U1586" i="10"/>
  <c r="U1585" i="10"/>
  <c r="U1584" i="10"/>
  <c r="U1583" i="10"/>
  <c r="U1582" i="10"/>
  <c r="U1581" i="10"/>
  <c r="U1580" i="10"/>
  <c r="U1579" i="10"/>
  <c r="U1578" i="10"/>
  <c r="U1577" i="10"/>
  <c r="U1576" i="10"/>
  <c r="U1575" i="10"/>
  <c r="U1574" i="10"/>
  <c r="U1573" i="10"/>
  <c r="U1572" i="10"/>
  <c r="U1571" i="10"/>
  <c r="U1570" i="10"/>
  <c r="U1569" i="10"/>
  <c r="U1568" i="10"/>
  <c r="U1567" i="10"/>
  <c r="U1566" i="10"/>
  <c r="U1565" i="10"/>
  <c r="U1564" i="10"/>
  <c r="U1563" i="10"/>
  <c r="U1562" i="10"/>
  <c r="U1561" i="10"/>
  <c r="U1560" i="10"/>
  <c r="U1559" i="10"/>
  <c r="U1558" i="10"/>
  <c r="U1557" i="10"/>
  <c r="U1556" i="10"/>
  <c r="U1555" i="10"/>
  <c r="U1554" i="10"/>
  <c r="U1553" i="10"/>
  <c r="U1552" i="10"/>
  <c r="U1551" i="10"/>
  <c r="U1550" i="10"/>
  <c r="U1549" i="10"/>
  <c r="U1548" i="10"/>
  <c r="U1547" i="10"/>
  <c r="U1546" i="10"/>
  <c r="U1545" i="10"/>
  <c r="U1544" i="10"/>
  <c r="U1543" i="10"/>
  <c r="U1542" i="10"/>
  <c r="U1541" i="10"/>
  <c r="U1540" i="10"/>
  <c r="U1539" i="10"/>
  <c r="U1538" i="10"/>
  <c r="U1537" i="10"/>
  <c r="U1536" i="10"/>
  <c r="U1535" i="10"/>
  <c r="U1534" i="10"/>
  <c r="U1533" i="10"/>
  <c r="U1532" i="10"/>
  <c r="U1531" i="10"/>
  <c r="U1530" i="10"/>
  <c r="U1529" i="10"/>
  <c r="U1528" i="10"/>
  <c r="U1527" i="10"/>
  <c r="U1526" i="10"/>
  <c r="U1525" i="10"/>
  <c r="U1524" i="10"/>
  <c r="U1523" i="10"/>
  <c r="U1522" i="10"/>
  <c r="U1521" i="10"/>
  <c r="U1520" i="10"/>
  <c r="U1519" i="10"/>
  <c r="U1518" i="10"/>
  <c r="U1517" i="10"/>
  <c r="U1516" i="10"/>
  <c r="U1515" i="10"/>
  <c r="U1514" i="10"/>
  <c r="U1513" i="10"/>
  <c r="U1512" i="10"/>
  <c r="U1511" i="10"/>
  <c r="U1510" i="10"/>
  <c r="U1509" i="10"/>
  <c r="U1508" i="10"/>
  <c r="U1507" i="10"/>
  <c r="U1506" i="10"/>
  <c r="U1505" i="10"/>
  <c r="U1504" i="10"/>
  <c r="U1503" i="10"/>
  <c r="U1502" i="10"/>
  <c r="U1501" i="10"/>
  <c r="U1500" i="10"/>
  <c r="U1499" i="10"/>
  <c r="U1498" i="10"/>
  <c r="U1497" i="10"/>
  <c r="U1496" i="10"/>
  <c r="U1495" i="10"/>
  <c r="U1494" i="10"/>
  <c r="U1493" i="10"/>
  <c r="U1492" i="10"/>
  <c r="U1491" i="10"/>
  <c r="U1490" i="10"/>
  <c r="U1489" i="10"/>
  <c r="U1488" i="10"/>
  <c r="U1487" i="10"/>
  <c r="U1486" i="10"/>
  <c r="U1485" i="10"/>
  <c r="U1484" i="10"/>
  <c r="U1483" i="10"/>
  <c r="U1482" i="10"/>
  <c r="U1481" i="10"/>
  <c r="U1480" i="10"/>
  <c r="U1479" i="10"/>
  <c r="U1478" i="10"/>
  <c r="U1477" i="10"/>
  <c r="U1476" i="10"/>
  <c r="U1475" i="10"/>
  <c r="U1474" i="10"/>
  <c r="U1473" i="10"/>
  <c r="U1472" i="10"/>
  <c r="U1471" i="10"/>
  <c r="U1470" i="10"/>
  <c r="U1469" i="10"/>
  <c r="U1468" i="10"/>
  <c r="U1467" i="10"/>
  <c r="U1466" i="10"/>
  <c r="U1465" i="10"/>
  <c r="U1464" i="10"/>
  <c r="U1463" i="10"/>
  <c r="U1462" i="10"/>
  <c r="U1461" i="10"/>
  <c r="U1460" i="10"/>
  <c r="U1459" i="10"/>
  <c r="U1458" i="10"/>
  <c r="U1457" i="10"/>
  <c r="U1456" i="10"/>
  <c r="U1455" i="10"/>
  <c r="U1454" i="10"/>
  <c r="U1453" i="10"/>
  <c r="U1452" i="10"/>
  <c r="U1451" i="10"/>
  <c r="U1450" i="10"/>
  <c r="U1449" i="10"/>
  <c r="U1448" i="10"/>
  <c r="U1447" i="10"/>
  <c r="U1446" i="10"/>
  <c r="U1445" i="10"/>
  <c r="U1444" i="10"/>
  <c r="U1443" i="10"/>
  <c r="U1442" i="10"/>
  <c r="U1441" i="10"/>
  <c r="U1440" i="10"/>
  <c r="U1439" i="10"/>
  <c r="U1438" i="10"/>
  <c r="U1437" i="10"/>
  <c r="U1436" i="10"/>
  <c r="U1435" i="10"/>
  <c r="U1434" i="10"/>
  <c r="U1433" i="10"/>
  <c r="U1432" i="10"/>
  <c r="U1431" i="10"/>
  <c r="U1430" i="10"/>
  <c r="U1429" i="10"/>
  <c r="U1428" i="10"/>
  <c r="U1427" i="10"/>
  <c r="U1426" i="10"/>
  <c r="U1425" i="10"/>
  <c r="U1424" i="10"/>
  <c r="U1423" i="10"/>
  <c r="U1422" i="10"/>
  <c r="U1421" i="10"/>
  <c r="U1420" i="10"/>
  <c r="U1419" i="10"/>
  <c r="U1418" i="10"/>
  <c r="U1417" i="10"/>
  <c r="U1416" i="10"/>
  <c r="U1415" i="10"/>
  <c r="U1414" i="10"/>
  <c r="U1413" i="10"/>
  <c r="U1412" i="10"/>
  <c r="U1411" i="10"/>
  <c r="U1410" i="10"/>
  <c r="U1409" i="10"/>
  <c r="U1408" i="10"/>
  <c r="U1407" i="10"/>
  <c r="U1406" i="10"/>
  <c r="U1405" i="10"/>
  <c r="U1404" i="10"/>
  <c r="U1403" i="10"/>
  <c r="U1402" i="10"/>
  <c r="U1401" i="10"/>
  <c r="U1400" i="10"/>
  <c r="U1399" i="10"/>
  <c r="U1398" i="10"/>
  <c r="U1397" i="10"/>
  <c r="U1396" i="10"/>
  <c r="U1395" i="10"/>
  <c r="U1394" i="10"/>
  <c r="U1393" i="10"/>
  <c r="U1392" i="10"/>
  <c r="U1391" i="10"/>
  <c r="U1390" i="10"/>
  <c r="U1389" i="10"/>
  <c r="U1388" i="10"/>
  <c r="U1387" i="10"/>
  <c r="U1386" i="10"/>
  <c r="U1385" i="10"/>
  <c r="U1384" i="10"/>
  <c r="U1383" i="10"/>
  <c r="U1382" i="10"/>
  <c r="U1381" i="10"/>
  <c r="U1380" i="10"/>
  <c r="U1379" i="10"/>
  <c r="U1378" i="10"/>
  <c r="U1377" i="10"/>
  <c r="U1376" i="10"/>
  <c r="U1375" i="10"/>
  <c r="U1374" i="10"/>
  <c r="U1373" i="10"/>
  <c r="U1372" i="10"/>
  <c r="U1371" i="10"/>
  <c r="U1370" i="10"/>
  <c r="U1369" i="10"/>
  <c r="U1368" i="10"/>
  <c r="U1367" i="10"/>
  <c r="U1366" i="10"/>
  <c r="U1365" i="10"/>
  <c r="U1364" i="10"/>
  <c r="U1363" i="10"/>
  <c r="U1362" i="10"/>
  <c r="U1361" i="10"/>
  <c r="U1360" i="10"/>
  <c r="U1359" i="10"/>
  <c r="U1358" i="10"/>
  <c r="U1357" i="10"/>
  <c r="U1356" i="10"/>
  <c r="U1355" i="10"/>
  <c r="U1354" i="10"/>
  <c r="U1353" i="10"/>
  <c r="U1352" i="10"/>
  <c r="U1351" i="10"/>
  <c r="U1350" i="10"/>
  <c r="U1349" i="10"/>
  <c r="U1348" i="10"/>
  <c r="U1347" i="10"/>
  <c r="U1346" i="10"/>
  <c r="U1345" i="10"/>
  <c r="U1344" i="10"/>
  <c r="U1343" i="10"/>
  <c r="U1342" i="10"/>
  <c r="U1341" i="10"/>
  <c r="U1340" i="10"/>
  <c r="U1339" i="10"/>
  <c r="U1338" i="10"/>
  <c r="U1337" i="10"/>
  <c r="U1336" i="10"/>
  <c r="U1335" i="10"/>
  <c r="U1334" i="10"/>
  <c r="U1333" i="10"/>
  <c r="U1332" i="10"/>
  <c r="U1331" i="10"/>
  <c r="U1330" i="10"/>
  <c r="U1329" i="10"/>
  <c r="U1328" i="10"/>
  <c r="U1327" i="10"/>
  <c r="U1326" i="10"/>
  <c r="U1325" i="10"/>
  <c r="U1324" i="10"/>
  <c r="U1323" i="10"/>
  <c r="U1322" i="10"/>
  <c r="U1321" i="10"/>
  <c r="U1320" i="10"/>
  <c r="U1319" i="10"/>
  <c r="U1318" i="10"/>
  <c r="U1317" i="10"/>
  <c r="U1316" i="10"/>
  <c r="U1315" i="10"/>
  <c r="U1314" i="10"/>
  <c r="U1313" i="10"/>
  <c r="U1312" i="10"/>
  <c r="U1311" i="10"/>
  <c r="U1310" i="10"/>
  <c r="U1309" i="10"/>
  <c r="U1308" i="10"/>
  <c r="U1307" i="10"/>
  <c r="U1306" i="10"/>
  <c r="U1305" i="10"/>
  <c r="U1304" i="10"/>
  <c r="U1303" i="10"/>
  <c r="U1302" i="10"/>
  <c r="U1301" i="10"/>
  <c r="U1300" i="10"/>
  <c r="U1299" i="10"/>
  <c r="U1298" i="10"/>
  <c r="U1297" i="10"/>
  <c r="U1296" i="10"/>
  <c r="U1295" i="10"/>
  <c r="U1294" i="10"/>
  <c r="U1293" i="10"/>
  <c r="U1292" i="10"/>
  <c r="U1291" i="10"/>
  <c r="U1290" i="10"/>
  <c r="U1289" i="10"/>
  <c r="U1288" i="10"/>
  <c r="U1287" i="10"/>
  <c r="U1286" i="10"/>
  <c r="U1285" i="10"/>
  <c r="U1284" i="10"/>
  <c r="U1283" i="10"/>
  <c r="U1282" i="10"/>
  <c r="U1281" i="10"/>
  <c r="U1280" i="10"/>
  <c r="U1279" i="10"/>
  <c r="U1278" i="10"/>
  <c r="U1277" i="10"/>
  <c r="U1276" i="10"/>
  <c r="U1275" i="10"/>
  <c r="U1274" i="10"/>
  <c r="U1273" i="10"/>
  <c r="U1272" i="10"/>
  <c r="U1271" i="10"/>
  <c r="U1270" i="10"/>
  <c r="U1269" i="10"/>
  <c r="U1268" i="10"/>
  <c r="U1267" i="10"/>
  <c r="U1266" i="10"/>
  <c r="U1265" i="10"/>
  <c r="U1264" i="10"/>
  <c r="U1263" i="10"/>
  <c r="U1262" i="10"/>
  <c r="U1261" i="10"/>
  <c r="U1260" i="10"/>
  <c r="U1259" i="10"/>
  <c r="U1258" i="10"/>
  <c r="U1257" i="10"/>
  <c r="U1256" i="10"/>
  <c r="U1255" i="10"/>
  <c r="U1254" i="10"/>
  <c r="U1253" i="10"/>
  <c r="U1252" i="10"/>
  <c r="U1251" i="10"/>
  <c r="U1250" i="10"/>
  <c r="U1249" i="10"/>
  <c r="U1248" i="10"/>
  <c r="U1247" i="10"/>
  <c r="U1246" i="10"/>
  <c r="U1245" i="10"/>
  <c r="U1244" i="10"/>
  <c r="U1243" i="10"/>
  <c r="U1242" i="10"/>
  <c r="U1241" i="10"/>
  <c r="U1240" i="10"/>
  <c r="U1239" i="10"/>
  <c r="U1238" i="10"/>
  <c r="U1237" i="10"/>
  <c r="U1236" i="10"/>
  <c r="U1235" i="10"/>
  <c r="U1234" i="10"/>
  <c r="U1233" i="10"/>
  <c r="U1232" i="10"/>
  <c r="U1231" i="10"/>
  <c r="U1230" i="10"/>
  <c r="U1229" i="10"/>
  <c r="U1228" i="10"/>
  <c r="U1227" i="10"/>
  <c r="U1226" i="10"/>
  <c r="U1225" i="10"/>
  <c r="U1224" i="10"/>
  <c r="U1223" i="10"/>
  <c r="U1222" i="10"/>
  <c r="U1221" i="10"/>
  <c r="U1220" i="10"/>
  <c r="U1219" i="10"/>
  <c r="U1218" i="10"/>
  <c r="U1217" i="10"/>
  <c r="U1216" i="10"/>
  <c r="U1215" i="10"/>
  <c r="U1214" i="10"/>
  <c r="U1213" i="10"/>
  <c r="U1212" i="10"/>
  <c r="U1211" i="10"/>
  <c r="U1210" i="10"/>
  <c r="U1209" i="10"/>
  <c r="U1208" i="10"/>
  <c r="U1207" i="10"/>
  <c r="U1206" i="10"/>
  <c r="U1205" i="10"/>
  <c r="U1204" i="10"/>
  <c r="U1203" i="10"/>
  <c r="U1202" i="10"/>
  <c r="U1201" i="10"/>
  <c r="U1200" i="10"/>
  <c r="U1199" i="10"/>
  <c r="U1198" i="10"/>
  <c r="U1197" i="10"/>
  <c r="U1196" i="10"/>
  <c r="U1195" i="10"/>
  <c r="U1194" i="10"/>
  <c r="U1193" i="10"/>
  <c r="U1192" i="10"/>
  <c r="U1191" i="10"/>
  <c r="U1190" i="10"/>
  <c r="U1189" i="10"/>
  <c r="U1188" i="10"/>
  <c r="U1187" i="10"/>
  <c r="U1186" i="10"/>
  <c r="U1185" i="10"/>
  <c r="U1184" i="10"/>
  <c r="U1183" i="10"/>
  <c r="U1182" i="10"/>
  <c r="U1181" i="10"/>
  <c r="U1180" i="10"/>
  <c r="U1179" i="10"/>
  <c r="U1178" i="10"/>
  <c r="U1177" i="10"/>
  <c r="U1176" i="10"/>
  <c r="U1175" i="10"/>
  <c r="U1174" i="10"/>
  <c r="U1173" i="10"/>
  <c r="U1172" i="10"/>
  <c r="U1171" i="10"/>
  <c r="U1170" i="10"/>
  <c r="U1169" i="10"/>
  <c r="U1168" i="10"/>
  <c r="U1167" i="10"/>
  <c r="U1166" i="10"/>
  <c r="U1165" i="10"/>
  <c r="U1164" i="10"/>
  <c r="U1163" i="10"/>
  <c r="U1162" i="10"/>
  <c r="U1161" i="10"/>
  <c r="U1160" i="10"/>
  <c r="U1159" i="10"/>
  <c r="U1158" i="10"/>
  <c r="U1157" i="10"/>
  <c r="U1156" i="10"/>
  <c r="U1155" i="10"/>
  <c r="U1154" i="10"/>
  <c r="U1153" i="10"/>
  <c r="U1152" i="10"/>
  <c r="U1151" i="10"/>
  <c r="U1150" i="10"/>
  <c r="U1149" i="10"/>
  <c r="U1148" i="10"/>
  <c r="U1147" i="10"/>
  <c r="U1146" i="10"/>
  <c r="U1145" i="10"/>
  <c r="U1144" i="10"/>
  <c r="U1143" i="10"/>
  <c r="U1142" i="10"/>
  <c r="U1141" i="10"/>
  <c r="U1140" i="10"/>
  <c r="U1139" i="10"/>
  <c r="U1138" i="10"/>
  <c r="U1137" i="10"/>
  <c r="U1136" i="10"/>
  <c r="U1135" i="10"/>
  <c r="U1134" i="10"/>
  <c r="U1133" i="10"/>
  <c r="U1132" i="10"/>
  <c r="U1131" i="10"/>
  <c r="U1130" i="10"/>
  <c r="U1129" i="10"/>
  <c r="U1128" i="10"/>
  <c r="U1127" i="10"/>
  <c r="U1126" i="10"/>
  <c r="U1125" i="10"/>
  <c r="U1124" i="10"/>
  <c r="U1123" i="10"/>
  <c r="U1122" i="10"/>
  <c r="U1121" i="10"/>
  <c r="U1120" i="10"/>
  <c r="U1119" i="10"/>
  <c r="U1118" i="10"/>
  <c r="U1117" i="10"/>
  <c r="U1116" i="10"/>
  <c r="U1115" i="10"/>
  <c r="U1114" i="10"/>
  <c r="U1113" i="10"/>
  <c r="U1112" i="10"/>
  <c r="U1111" i="10"/>
  <c r="U1110" i="10"/>
  <c r="U1109" i="10"/>
  <c r="U1108" i="10"/>
  <c r="U1107" i="10"/>
  <c r="U1106" i="10"/>
  <c r="U1105" i="10"/>
  <c r="U1104" i="10"/>
  <c r="U1103" i="10"/>
  <c r="U1102" i="10"/>
  <c r="U1101" i="10"/>
  <c r="U1100" i="10"/>
  <c r="U1099" i="10"/>
  <c r="U1098" i="10"/>
  <c r="U1097" i="10"/>
  <c r="U1096" i="10"/>
  <c r="U1095" i="10"/>
  <c r="U1094" i="10"/>
  <c r="U1093" i="10"/>
  <c r="U1092" i="10"/>
  <c r="U1091" i="10"/>
  <c r="U1090" i="10"/>
  <c r="U1089" i="10"/>
  <c r="U1088" i="10"/>
  <c r="U1087" i="10"/>
  <c r="U1086" i="10"/>
  <c r="U1085" i="10"/>
  <c r="U1084" i="10"/>
  <c r="U1083" i="10"/>
  <c r="U1082" i="10"/>
  <c r="U1081" i="10"/>
  <c r="U1080" i="10"/>
  <c r="U1079" i="10"/>
  <c r="U1078" i="10"/>
  <c r="U1077" i="10"/>
  <c r="U1076" i="10"/>
  <c r="U1075" i="10"/>
  <c r="U1074" i="10"/>
  <c r="U1073" i="10"/>
  <c r="U1072" i="10"/>
  <c r="U1071" i="10"/>
  <c r="U1070" i="10"/>
  <c r="U1069" i="10"/>
  <c r="U1068" i="10"/>
  <c r="U1067" i="10"/>
  <c r="U1066" i="10"/>
  <c r="U1065" i="10"/>
  <c r="U1064" i="10"/>
  <c r="U1063" i="10"/>
  <c r="U1062" i="10"/>
  <c r="U1061" i="10"/>
  <c r="U1060" i="10"/>
  <c r="U1059" i="10"/>
  <c r="U1058" i="10"/>
  <c r="U1057" i="10"/>
  <c r="U1056" i="10"/>
  <c r="U1055" i="10"/>
  <c r="U1054" i="10"/>
  <c r="U1053" i="10"/>
  <c r="U1052" i="10"/>
  <c r="U1051" i="10"/>
  <c r="U1050" i="10"/>
  <c r="U1049" i="10"/>
  <c r="U1048" i="10"/>
  <c r="U1047" i="10"/>
  <c r="U1046" i="10"/>
  <c r="U1045" i="10"/>
  <c r="U1044" i="10"/>
  <c r="U1043" i="10"/>
  <c r="U1042" i="10"/>
  <c r="U1041" i="10"/>
  <c r="U1040" i="10"/>
  <c r="U1039" i="10"/>
  <c r="U1038" i="10"/>
  <c r="U1037" i="10"/>
  <c r="U1036" i="10"/>
  <c r="U1035" i="10"/>
  <c r="U1034" i="10"/>
  <c r="U1033" i="10"/>
  <c r="U1032" i="10"/>
  <c r="U1031" i="10"/>
  <c r="U1030" i="10"/>
  <c r="U1029" i="10"/>
  <c r="U1028" i="10"/>
  <c r="U1027" i="10"/>
  <c r="U1026" i="10"/>
  <c r="U1025" i="10"/>
  <c r="U1024" i="10"/>
  <c r="U1023" i="10"/>
  <c r="U1022" i="10"/>
  <c r="U1021" i="10"/>
  <c r="U1020" i="10"/>
  <c r="U1019" i="10"/>
  <c r="U1018" i="10"/>
  <c r="U1017" i="10"/>
  <c r="U1016" i="10"/>
  <c r="U1015" i="10"/>
  <c r="U1014" i="10"/>
  <c r="U1013" i="10"/>
  <c r="U1012" i="10"/>
  <c r="U1011" i="10"/>
  <c r="U1010" i="10"/>
  <c r="U1009" i="10"/>
  <c r="U1008" i="10"/>
  <c r="U1007" i="10"/>
  <c r="U1006" i="10"/>
  <c r="U1005" i="10"/>
  <c r="U1004" i="10"/>
  <c r="U1003" i="10"/>
  <c r="U1002" i="10"/>
  <c r="U1001" i="10"/>
  <c r="U1000" i="10"/>
  <c r="U999" i="10"/>
  <c r="U998" i="10"/>
  <c r="U997" i="10"/>
  <c r="U996" i="10"/>
  <c r="U995" i="10"/>
  <c r="U994" i="10"/>
  <c r="U993" i="10"/>
  <c r="U992" i="10"/>
  <c r="U991" i="10"/>
  <c r="U990" i="10"/>
  <c r="U989" i="10"/>
  <c r="U988" i="10"/>
  <c r="U987" i="10"/>
  <c r="U986" i="10"/>
  <c r="U985" i="10"/>
  <c r="U984" i="10"/>
  <c r="U983" i="10"/>
  <c r="U982" i="10"/>
  <c r="U981" i="10"/>
  <c r="U980" i="10"/>
  <c r="U979" i="10"/>
  <c r="U978" i="10"/>
  <c r="U977" i="10"/>
  <c r="U976" i="10"/>
  <c r="U975" i="10"/>
  <c r="U974" i="10"/>
  <c r="U973" i="10"/>
  <c r="U972" i="10"/>
  <c r="U971" i="10"/>
  <c r="U970" i="10"/>
  <c r="U969" i="10"/>
  <c r="U968" i="10"/>
  <c r="U967" i="10"/>
  <c r="U966" i="10"/>
  <c r="U965" i="10"/>
  <c r="U964" i="10"/>
  <c r="U963" i="10"/>
  <c r="U962" i="10"/>
  <c r="U961" i="10"/>
  <c r="U960" i="10"/>
  <c r="U959" i="10"/>
  <c r="U958" i="10"/>
  <c r="U957" i="10"/>
  <c r="U956" i="10"/>
  <c r="U955" i="10"/>
  <c r="U954" i="10"/>
  <c r="U953" i="10"/>
  <c r="U952" i="10"/>
  <c r="U951" i="10"/>
  <c r="U950" i="10"/>
  <c r="U949" i="10"/>
  <c r="U948" i="10"/>
  <c r="U947" i="10"/>
  <c r="U946" i="10"/>
  <c r="U945" i="10"/>
  <c r="U944" i="10"/>
  <c r="U943" i="10"/>
  <c r="U942" i="10"/>
  <c r="U941" i="10"/>
  <c r="U940" i="10"/>
  <c r="U939" i="10"/>
  <c r="U938" i="10"/>
  <c r="U937" i="10"/>
  <c r="U936" i="10"/>
  <c r="U935" i="10"/>
  <c r="U934" i="10"/>
  <c r="U933" i="10"/>
  <c r="U932" i="10"/>
  <c r="U931" i="10"/>
  <c r="U930" i="10"/>
  <c r="U929" i="10"/>
  <c r="U928" i="10"/>
  <c r="U927" i="10"/>
  <c r="U926" i="10"/>
  <c r="U925" i="10"/>
  <c r="U924" i="10"/>
  <c r="U923" i="10"/>
  <c r="U922" i="10"/>
  <c r="U921" i="10"/>
  <c r="U920" i="10"/>
  <c r="U919" i="10"/>
  <c r="U918" i="10"/>
  <c r="U917" i="10"/>
  <c r="U916" i="10"/>
  <c r="U915" i="10"/>
  <c r="U914" i="10"/>
  <c r="U913" i="10"/>
  <c r="U912" i="10"/>
  <c r="U911" i="10"/>
  <c r="U910" i="10"/>
  <c r="U909" i="10"/>
  <c r="U908" i="10"/>
  <c r="U907" i="10"/>
  <c r="U906" i="10"/>
  <c r="U905" i="10"/>
  <c r="U904" i="10"/>
  <c r="U903" i="10"/>
  <c r="U902" i="10"/>
  <c r="U901" i="10"/>
  <c r="U900" i="10"/>
  <c r="U899" i="10"/>
  <c r="U898" i="10"/>
  <c r="U897" i="10"/>
  <c r="U896" i="10"/>
  <c r="U895" i="10"/>
  <c r="U894" i="10"/>
  <c r="U893" i="10"/>
  <c r="U892" i="10"/>
  <c r="U891" i="10"/>
  <c r="U890" i="10"/>
  <c r="U889" i="10"/>
  <c r="U888" i="10"/>
  <c r="U887" i="10"/>
  <c r="U886" i="10"/>
  <c r="U885" i="10"/>
  <c r="U884" i="10"/>
  <c r="U883" i="10"/>
  <c r="U882" i="10"/>
  <c r="U881" i="10"/>
  <c r="U880" i="10"/>
  <c r="U879" i="10"/>
  <c r="U878" i="10"/>
  <c r="U877" i="10"/>
  <c r="U876" i="10"/>
  <c r="U875" i="10"/>
  <c r="U874" i="10"/>
  <c r="U873" i="10"/>
  <c r="U872" i="10"/>
  <c r="U871" i="10"/>
  <c r="U870" i="10"/>
  <c r="U869" i="10"/>
  <c r="U868" i="10"/>
  <c r="U867" i="10"/>
  <c r="U866" i="10"/>
  <c r="U865" i="10"/>
  <c r="U864" i="10"/>
  <c r="U863" i="10"/>
  <c r="U862" i="10"/>
  <c r="U861" i="10"/>
  <c r="U860" i="10"/>
  <c r="U859" i="10"/>
  <c r="U858" i="10"/>
  <c r="U857" i="10"/>
  <c r="U856" i="10"/>
  <c r="U855" i="10"/>
  <c r="U854" i="10"/>
  <c r="U853" i="10"/>
  <c r="U852" i="10"/>
  <c r="U851" i="10"/>
  <c r="U850" i="10"/>
  <c r="U849" i="10"/>
  <c r="U848" i="10"/>
  <c r="U847" i="10"/>
  <c r="U846" i="10"/>
  <c r="U845" i="10"/>
  <c r="U844" i="10"/>
  <c r="U843" i="10"/>
  <c r="U842" i="10"/>
  <c r="U841" i="10"/>
  <c r="U840" i="10"/>
  <c r="U839" i="10"/>
  <c r="U838" i="10"/>
  <c r="U837" i="10"/>
  <c r="U836" i="10"/>
  <c r="U835" i="10"/>
  <c r="U834" i="10"/>
  <c r="U833" i="10"/>
  <c r="U832" i="10"/>
  <c r="U831" i="10"/>
  <c r="U830" i="10"/>
  <c r="U829" i="10"/>
  <c r="U828" i="10"/>
  <c r="U827" i="10"/>
  <c r="U826" i="10"/>
  <c r="U825" i="10"/>
  <c r="U824" i="10"/>
  <c r="U823" i="10"/>
  <c r="U822" i="10"/>
  <c r="U821" i="10"/>
  <c r="U820" i="10"/>
  <c r="U819" i="10"/>
  <c r="U818" i="10"/>
  <c r="U817" i="10"/>
  <c r="U816" i="10"/>
  <c r="U815" i="10"/>
  <c r="U814" i="10"/>
  <c r="U813" i="10"/>
  <c r="U812" i="10"/>
  <c r="U811" i="10"/>
  <c r="U810" i="10"/>
  <c r="U809" i="10"/>
  <c r="U808" i="10"/>
  <c r="U807" i="10"/>
  <c r="U806" i="10"/>
  <c r="U805" i="10"/>
  <c r="U804" i="10"/>
  <c r="U803" i="10"/>
  <c r="U802" i="10"/>
  <c r="U801" i="10"/>
  <c r="U800" i="10"/>
  <c r="U799" i="10"/>
  <c r="U798" i="10"/>
  <c r="U797" i="10"/>
  <c r="U796" i="10"/>
  <c r="U795" i="10"/>
  <c r="U794" i="10"/>
  <c r="U793" i="10"/>
  <c r="U792" i="10"/>
  <c r="U791" i="10"/>
  <c r="U790" i="10"/>
  <c r="U789" i="10"/>
  <c r="U788" i="10"/>
  <c r="U787" i="10"/>
  <c r="U786" i="10"/>
  <c r="U785" i="10"/>
  <c r="U784" i="10"/>
  <c r="U783" i="10"/>
  <c r="U782" i="10"/>
  <c r="U781" i="10"/>
  <c r="U780" i="10"/>
  <c r="U779" i="10"/>
  <c r="U778" i="10"/>
  <c r="U777" i="10"/>
  <c r="U776" i="10"/>
  <c r="U775" i="10"/>
  <c r="U774" i="10"/>
  <c r="U773" i="10"/>
  <c r="U772" i="10"/>
  <c r="U771" i="10"/>
  <c r="U770" i="10"/>
  <c r="U769" i="10"/>
  <c r="U768" i="10"/>
  <c r="U767" i="10"/>
  <c r="U766" i="10"/>
  <c r="U765" i="10"/>
  <c r="U764" i="10"/>
  <c r="U763" i="10"/>
  <c r="U762" i="10"/>
  <c r="U761" i="10"/>
  <c r="U760" i="10"/>
  <c r="U759" i="10"/>
  <c r="U758" i="10"/>
  <c r="U757" i="10"/>
  <c r="U756" i="10"/>
  <c r="U755" i="10"/>
  <c r="U754" i="10"/>
  <c r="U753" i="10"/>
  <c r="U752" i="10"/>
  <c r="U751" i="10"/>
  <c r="U750" i="10"/>
  <c r="U749" i="10"/>
  <c r="U748" i="10"/>
  <c r="U747" i="10"/>
  <c r="U746" i="10"/>
  <c r="U745" i="10"/>
  <c r="U744" i="10"/>
  <c r="U743" i="10"/>
  <c r="U742" i="10"/>
  <c r="U741" i="10"/>
  <c r="U740" i="10"/>
  <c r="U739" i="10"/>
  <c r="U738" i="10"/>
  <c r="U737" i="10"/>
  <c r="U736" i="10"/>
  <c r="U735" i="10"/>
  <c r="U734" i="10"/>
  <c r="U733" i="10"/>
  <c r="U732" i="10"/>
  <c r="U731" i="10"/>
  <c r="U730" i="10"/>
  <c r="U729" i="10"/>
  <c r="U728" i="10"/>
  <c r="U727" i="10"/>
  <c r="U726" i="10"/>
  <c r="U725" i="10"/>
  <c r="U724" i="10"/>
  <c r="U723" i="10"/>
  <c r="U722" i="10"/>
  <c r="U721" i="10"/>
  <c r="U720" i="10"/>
  <c r="U719" i="10"/>
  <c r="U718" i="10"/>
  <c r="U717" i="10"/>
  <c r="U716" i="10"/>
  <c r="U715" i="10"/>
  <c r="U714" i="10"/>
  <c r="U713" i="10"/>
  <c r="U712" i="10"/>
  <c r="U711" i="10"/>
  <c r="U710" i="10"/>
  <c r="U709" i="10"/>
  <c r="U708" i="10"/>
  <c r="U707" i="10"/>
  <c r="U706" i="10"/>
  <c r="U705" i="10"/>
  <c r="U704" i="10"/>
  <c r="U703" i="10"/>
  <c r="U702" i="10"/>
  <c r="U701" i="10"/>
  <c r="U700" i="10"/>
  <c r="U699" i="10"/>
  <c r="U698" i="10"/>
  <c r="U697" i="10"/>
  <c r="U696" i="10"/>
  <c r="U695" i="10"/>
  <c r="U694" i="10"/>
  <c r="U693" i="10"/>
  <c r="U692" i="10"/>
  <c r="U691" i="10"/>
  <c r="U690" i="10"/>
  <c r="U689" i="10"/>
  <c r="U688" i="10"/>
  <c r="U687" i="10"/>
  <c r="U686" i="10"/>
  <c r="U685" i="10"/>
  <c r="U684" i="10"/>
  <c r="U683" i="10"/>
  <c r="U682" i="10"/>
  <c r="U681" i="10"/>
  <c r="U680" i="10"/>
  <c r="U679" i="10"/>
  <c r="U678" i="10"/>
  <c r="U677" i="10"/>
  <c r="U676" i="10"/>
  <c r="U675" i="10"/>
  <c r="U674" i="10"/>
  <c r="U673" i="10"/>
  <c r="U672" i="10"/>
  <c r="U671" i="10"/>
  <c r="U670" i="10"/>
  <c r="U669" i="10"/>
  <c r="U668" i="10"/>
  <c r="U667" i="10"/>
  <c r="U666" i="10"/>
  <c r="U665" i="10"/>
  <c r="U664" i="10"/>
  <c r="U663" i="10"/>
  <c r="U662" i="10"/>
  <c r="U661" i="10"/>
  <c r="U660" i="10"/>
  <c r="U659" i="10"/>
  <c r="U658" i="10"/>
  <c r="U657" i="10"/>
  <c r="U656" i="10"/>
  <c r="U655" i="10"/>
  <c r="U654" i="10"/>
  <c r="U653" i="10"/>
  <c r="U652" i="10"/>
  <c r="U651" i="10"/>
  <c r="U650" i="10"/>
  <c r="U649" i="10"/>
  <c r="U648" i="10"/>
  <c r="U647" i="10"/>
  <c r="U646" i="10"/>
  <c r="U645" i="10"/>
  <c r="U644" i="10"/>
  <c r="U643" i="10"/>
  <c r="U642" i="10"/>
  <c r="U641" i="10"/>
  <c r="U640" i="10"/>
  <c r="U639" i="10"/>
  <c r="U638" i="10"/>
  <c r="U637" i="10"/>
  <c r="U636" i="10"/>
  <c r="U635" i="10"/>
  <c r="U634" i="10"/>
  <c r="U633" i="10"/>
  <c r="U632" i="10"/>
  <c r="U631" i="10"/>
  <c r="U630" i="10"/>
  <c r="U629" i="10"/>
  <c r="U628" i="10"/>
  <c r="U627" i="10"/>
  <c r="U626" i="10"/>
  <c r="U625" i="10"/>
  <c r="U624" i="10"/>
  <c r="U623" i="10"/>
  <c r="U622" i="10"/>
  <c r="U621" i="10"/>
  <c r="U620" i="10"/>
  <c r="U619" i="10"/>
  <c r="U618" i="10"/>
  <c r="U617" i="10"/>
  <c r="U616" i="10"/>
  <c r="U615" i="10"/>
  <c r="U614" i="10"/>
  <c r="U613" i="10"/>
  <c r="U612" i="10"/>
  <c r="U611" i="10"/>
  <c r="U610" i="10"/>
  <c r="U609" i="10"/>
  <c r="U608" i="10"/>
  <c r="U607" i="10"/>
  <c r="U606" i="10"/>
  <c r="U605" i="10"/>
  <c r="U604" i="10"/>
  <c r="U603" i="10"/>
  <c r="U602" i="10"/>
  <c r="U601" i="10"/>
  <c r="U600" i="10"/>
  <c r="U599" i="10"/>
  <c r="U598" i="10"/>
  <c r="U597" i="10"/>
  <c r="U596" i="10"/>
  <c r="U595" i="10"/>
  <c r="U594" i="10"/>
  <c r="U593" i="10"/>
  <c r="U592" i="10"/>
  <c r="U591" i="10"/>
  <c r="U590" i="10"/>
  <c r="U589" i="10"/>
  <c r="U588" i="10"/>
  <c r="U587" i="10"/>
  <c r="U586" i="10"/>
  <c r="U585" i="10"/>
  <c r="U584" i="10"/>
  <c r="U583" i="10"/>
  <c r="U582" i="10"/>
  <c r="U581" i="10"/>
  <c r="U580" i="10"/>
  <c r="U579" i="10"/>
  <c r="U578" i="10"/>
  <c r="U577" i="10"/>
  <c r="U576" i="10"/>
  <c r="U575" i="10"/>
  <c r="U574" i="10"/>
  <c r="U573" i="10"/>
  <c r="U572" i="10"/>
  <c r="U571" i="10"/>
  <c r="U570" i="10"/>
  <c r="U569" i="10"/>
  <c r="U568" i="10"/>
  <c r="U567" i="10"/>
  <c r="U566" i="10"/>
  <c r="U565" i="10"/>
  <c r="U564" i="10"/>
  <c r="U563" i="10"/>
  <c r="U562" i="10"/>
  <c r="U561" i="10"/>
  <c r="U560" i="10"/>
  <c r="U559" i="10"/>
  <c r="U558" i="10"/>
  <c r="U557" i="10"/>
  <c r="U556" i="10"/>
  <c r="U555" i="10"/>
  <c r="U554" i="10"/>
  <c r="U553" i="10"/>
  <c r="U552" i="10"/>
  <c r="U551" i="10"/>
  <c r="U550" i="10"/>
  <c r="U549" i="10"/>
  <c r="U548" i="10"/>
  <c r="U547" i="10"/>
  <c r="U546" i="10"/>
  <c r="U545" i="10"/>
  <c r="U544" i="10"/>
  <c r="U543" i="10"/>
  <c r="U542" i="10"/>
  <c r="U541" i="10"/>
  <c r="U540" i="10"/>
  <c r="U539" i="10"/>
  <c r="U538" i="10"/>
  <c r="U537" i="10"/>
  <c r="U536" i="10"/>
  <c r="U535" i="10"/>
  <c r="U534" i="10"/>
  <c r="U533" i="10"/>
  <c r="U532" i="10"/>
  <c r="U531" i="10"/>
  <c r="U530" i="10"/>
  <c r="U529" i="10"/>
  <c r="U528" i="10"/>
  <c r="U527" i="10"/>
  <c r="U526" i="10"/>
  <c r="U525" i="10"/>
  <c r="U524" i="10"/>
  <c r="U523" i="10"/>
  <c r="U522" i="10"/>
  <c r="U521" i="10"/>
  <c r="U520" i="10"/>
  <c r="U519" i="10"/>
  <c r="U518" i="10"/>
  <c r="U517" i="10"/>
  <c r="U516" i="10"/>
  <c r="U515" i="10"/>
  <c r="U514" i="10"/>
  <c r="U513" i="10"/>
  <c r="U512" i="10"/>
  <c r="U511" i="10"/>
  <c r="U510" i="10"/>
  <c r="U509" i="10"/>
  <c r="U508" i="10"/>
  <c r="U507" i="10"/>
  <c r="U506" i="10"/>
  <c r="U505" i="10"/>
  <c r="U504" i="10"/>
  <c r="U503" i="10"/>
  <c r="U502" i="10"/>
  <c r="U501" i="10"/>
  <c r="U500" i="10"/>
  <c r="U499" i="10"/>
  <c r="U498" i="10"/>
  <c r="U497" i="10"/>
  <c r="U496" i="10"/>
  <c r="U495" i="10"/>
  <c r="U494" i="10"/>
  <c r="U493" i="10"/>
  <c r="U492" i="10"/>
  <c r="U491" i="10"/>
  <c r="U490" i="10"/>
  <c r="U489" i="10"/>
  <c r="U488" i="10"/>
  <c r="U487" i="10"/>
  <c r="U486" i="10"/>
  <c r="U485" i="10"/>
  <c r="U484" i="10"/>
  <c r="U483" i="10"/>
  <c r="U482" i="10"/>
  <c r="U481" i="10"/>
  <c r="U480" i="10"/>
  <c r="U479" i="10"/>
  <c r="U478" i="10"/>
  <c r="U477" i="10"/>
  <c r="U476" i="10"/>
  <c r="U475" i="10"/>
  <c r="U474" i="10"/>
  <c r="U473" i="10"/>
  <c r="U472" i="10"/>
  <c r="U471" i="10"/>
  <c r="U470" i="10"/>
  <c r="U469" i="10"/>
  <c r="U468" i="10"/>
  <c r="U467" i="10"/>
  <c r="U466" i="10"/>
  <c r="U465" i="10"/>
  <c r="U464" i="10"/>
  <c r="U463" i="10"/>
  <c r="U462" i="10"/>
  <c r="U461" i="10"/>
  <c r="U460" i="10"/>
  <c r="U459" i="10"/>
  <c r="U458" i="10"/>
  <c r="U457" i="10"/>
  <c r="U456" i="10"/>
  <c r="U455" i="10"/>
  <c r="U454" i="10"/>
  <c r="U453" i="10"/>
  <c r="U452" i="10"/>
  <c r="U451" i="10"/>
  <c r="U450" i="10"/>
  <c r="U449" i="10"/>
  <c r="U448" i="10"/>
  <c r="U447" i="10"/>
  <c r="U446" i="10"/>
  <c r="U445" i="10"/>
  <c r="U444" i="10"/>
  <c r="U443" i="10"/>
  <c r="U442" i="10"/>
  <c r="U441" i="10"/>
  <c r="U440" i="10"/>
  <c r="U439" i="10"/>
  <c r="U438" i="10"/>
  <c r="U437" i="10"/>
  <c r="U436" i="10"/>
  <c r="U435" i="10"/>
  <c r="U434" i="10"/>
  <c r="U433" i="10"/>
  <c r="U432" i="10"/>
  <c r="U431" i="10"/>
  <c r="U430" i="10"/>
  <c r="U429" i="10"/>
  <c r="U428" i="10"/>
  <c r="U427" i="10"/>
  <c r="U426" i="10"/>
  <c r="U425" i="10"/>
  <c r="U424" i="10"/>
  <c r="U423" i="10"/>
  <c r="U422" i="10"/>
  <c r="U421" i="10"/>
  <c r="U420" i="10"/>
  <c r="U419" i="10"/>
  <c r="U418" i="10"/>
  <c r="U417" i="10"/>
  <c r="U416" i="10"/>
  <c r="U415" i="10"/>
  <c r="U414" i="10"/>
  <c r="U413" i="10"/>
  <c r="U412" i="10"/>
  <c r="U411" i="10"/>
  <c r="U410" i="10"/>
  <c r="U409" i="10"/>
  <c r="U408" i="10"/>
  <c r="U407" i="10"/>
  <c r="U406" i="10"/>
  <c r="U405" i="10"/>
  <c r="U404" i="10"/>
  <c r="U403" i="10"/>
  <c r="U402" i="10"/>
  <c r="U401" i="10"/>
  <c r="U400" i="10"/>
  <c r="U399" i="10"/>
  <c r="U398" i="10"/>
  <c r="U397" i="10"/>
  <c r="U396" i="10"/>
  <c r="U395" i="10"/>
  <c r="U394" i="10"/>
  <c r="U393" i="10"/>
  <c r="U392" i="10"/>
  <c r="U391" i="10"/>
  <c r="U390" i="10"/>
  <c r="U389" i="10"/>
  <c r="U388" i="10"/>
  <c r="U387" i="10"/>
  <c r="U386" i="10"/>
  <c r="U385" i="10"/>
  <c r="U384" i="10"/>
  <c r="U383" i="10"/>
  <c r="U382" i="10"/>
  <c r="U381" i="10"/>
  <c r="U380" i="10"/>
  <c r="U379" i="10"/>
  <c r="U378" i="10"/>
  <c r="U377" i="10"/>
  <c r="U376" i="10"/>
  <c r="U375" i="10"/>
  <c r="U374" i="10"/>
  <c r="U373" i="10"/>
  <c r="U372" i="10"/>
  <c r="U371" i="10"/>
  <c r="U370" i="10"/>
  <c r="U369" i="10"/>
  <c r="U368" i="10"/>
  <c r="U367" i="10"/>
  <c r="U366" i="10"/>
  <c r="U365" i="10"/>
  <c r="U364" i="10"/>
  <c r="U363" i="10"/>
  <c r="U362" i="10"/>
  <c r="U361" i="10"/>
  <c r="U360" i="10"/>
  <c r="U359" i="10"/>
  <c r="U358" i="10"/>
  <c r="U357" i="10"/>
  <c r="U356" i="10"/>
  <c r="U355" i="10"/>
  <c r="U354" i="10"/>
  <c r="U353" i="10"/>
  <c r="U352" i="10"/>
  <c r="U351" i="10"/>
  <c r="U350" i="10"/>
  <c r="U349" i="10"/>
  <c r="U348" i="10"/>
  <c r="U347" i="10"/>
  <c r="U346" i="10"/>
  <c r="U345" i="10"/>
  <c r="U344" i="10"/>
  <c r="U343" i="10"/>
  <c r="U342" i="10"/>
  <c r="U341" i="10"/>
  <c r="U340" i="10"/>
  <c r="U339" i="10"/>
  <c r="U338" i="10"/>
  <c r="U337" i="10"/>
  <c r="U336" i="10"/>
  <c r="U335" i="10"/>
  <c r="U334" i="10"/>
  <c r="U333" i="10"/>
  <c r="U332" i="10"/>
  <c r="U331" i="10"/>
  <c r="U330" i="10"/>
  <c r="U329" i="10"/>
  <c r="U328" i="10"/>
  <c r="U327" i="10"/>
  <c r="U326" i="10"/>
  <c r="U325" i="10"/>
  <c r="U324" i="10"/>
  <c r="U323" i="10"/>
  <c r="U322" i="10"/>
  <c r="U321" i="10"/>
  <c r="U320" i="10"/>
  <c r="U319" i="10"/>
  <c r="U318" i="10"/>
  <c r="U317" i="10"/>
  <c r="U316" i="10"/>
  <c r="U315" i="10"/>
  <c r="U314" i="10"/>
  <c r="U313" i="10"/>
  <c r="U312" i="10"/>
  <c r="U311" i="10"/>
  <c r="U310" i="10"/>
  <c r="U309" i="10"/>
  <c r="U308" i="10"/>
  <c r="U307" i="10"/>
  <c r="U306" i="10"/>
  <c r="U305" i="10"/>
  <c r="U304" i="10"/>
  <c r="U303" i="10"/>
  <c r="U302" i="10"/>
  <c r="U301" i="10"/>
  <c r="U300" i="10"/>
  <c r="U299" i="10"/>
  <c r="U298" i="10"/>
  <c r="U297" i="10"/>
  <c r="U296" i="10"/>
  <c r="U295" i="10"/>
  <c r="U294" i="10"/>
  <c r="U293" i="10"/>
  <c r="U292" i="10"/>
  <c r="U291" i="10"/>
  <c r="U290" i="10"/>
  <c r="U289" i="10"/>
  <c r="U288" i="10"/>
  <c r="U287" i="10"/>
  <c r="U286" i="10"/>
  <c r="U285" i="10"/>
  <c r="U284" i="10"/>
  <c r="U283" i="10"/>
  <c r="U282" i="10"/>
  <c r="U281" i="10"/>
  <c r="U280" i="10"/>
  <c r="U279" i="10"/>
  <c r="U278" i="10"/>
  <c r="U277" i="10"/>
  <c r="U276" i="10"/>
  <c r="U275" i="10"/>
  <c r="U274" i="10"/>
  <c r="U273" i="10"/>
  <c r="U272" i="10"/>
  <c r="U271" i="10"/>
  <c r="U270" i="10"/>
  <c r="U269" i="10"/>
  <c r="U268" i="10"/>
  <c r="U267" i="10"/>
  <c r="U266" i="10"/>
  <c r="U265" i="10"/>
  <c r="U264" i="10"/>
  <c r="U263" i="10"/>
  <c r="U262" i="10"/>
  <c r="U261" i="10"/>
  <c r="U260" i="10"/>
  <c r="U259" i="10"/>
  <c r="U258" i="10"/>
  <c r="U257" i="10"/>
  <c r="U256" i="10"/>
  <c r="U255" i="10"/>
  <c r="U254" i="10"/>
  <c r="U253" i="10"/>
  <c r="U252" i="10"/>
  <c r="U251" i="10"/>
  <c r="U250" i="10"/>
  <c r="U249" i="10"/>
  <c r="U248" i="10"/>
  <c r="U247" i="10"/>
  <c r="U246" i="10"/>
  <c r="U245" i="10"/>
  <c r="U244" i="10"/>
  <c r="U243" i="10"/>
  <c r="U242" i="10"/>
  <c r="U241" i="10"/>
  <c r="U240" i="10"/>
  <c r="U239" i="10"/>
  <c r="U238" i="10"/>
  <c r="U237" i="10"/>
  <c r="U236" i="10"/>
  <c r="U235" i="10"/>
  <c r="U234" i="10"/>
  <c r="U233" i="10"/>
  <c r="U232" i="10"/>
  <c r="U231" i="10"/>
  <c r="U230" i="10"/>
  <c r="U229" i="10"/>
  <c r="U228" i="10"/>
  <c r="U227" i="10"/>
  <c r="U226" i="10"/>
  <c r="U225" i="10"/>
  <c r="U224" i="10"/>
  <c r="U223" i="10"/>
  <c r="U222" i="10"/>
  <c r="U221" i="10"/>
  <c r="U220" i="10"/>
  <c r="U219" i="10"/>
  <c r="U218" i="10"/>
  <c r="U217" i="10"/>
  <c r="U216" i="10"/>
  <c r="U215" i="10"/>
  <c r="U214" i="10"/>
  <c r="U213" i="10"/>
  <c r="U212" i="10"/>
  <c r="U211" i="10"/>
  <c r="U210" i="10"/>
  <c r="U209" i="10"/>
  <c r="U208" i="10"/>
  <c r="U207" i="10"/>
  <c r="U206" i="10"/>
  <c r="U205" i="10"/>
  <c r="U204" i="10"/>
  <c r="U203" i="10"/>
  <c r="U202" i="10"/>
  <c r="U201" i="10"/>
  <c r="U200" i="10"/>
  <c r="U199" i="10"/>
  <c r="U198" i="10"/>
  <c r="U197" i="10"/>
  <c r="U196" i="10"/>
  <c r="U195" i="10"/>
  <c r="U194" i="10"/>
  <c r="U193" i="10"/>
  <c r="U192" i="10"/>
  <c r="U191" i="10"/>
  <c r="U190" i="10"/>
  <c r="U189" i="10"/>
  <c r="U188" i="10"/>
  <c r="U187" i="10"/>
  <c r="U186" i="10"/>
  <c r="U185" i="10"/>
  <c r="U184" i="10"/>
  <c r="U183" i="10"/>
  <c r="U182" i="10"/>
  <c r="U181" i="10"/>
  <c r="U180" i="10"/>
  <c r="U179" i="10"/>
  <c r="U178" i="10"/>
  <c r="U177" i="10"/>
  <c r="U176" i="10"/>
  <c r="U175" i="10"/>
  <c r="U174" i="10"/>
  <c r="U173" i="10"/>
  <c r="U172" i="10"/>
  <c r="U171" i="10"/>
  <c r="U170" i="10"/>
  <c r="U169" i="10"/>
  <c r="U168" i="10"/>
  <c r="U167" i="10"/>
  <c r="U166" i="10"/>
  <c r="U165" i="10"/>
  <c r="U164" i="10"/>
  <c r="U163" i="10"/>
  <c r="U162" i="10"/>
  <c r="U161" i="10"/>
  <c r="U160" i="10"/>
  <c r="U159" i="10"/>
  <c r="U158" i="10"/>
  <c r="U157" i="10"/>
  <c r="U156" i="10"/>
  <c r="U155" i="10"/>
  <c r="U154" i="10"/>
  <c r="U153" i="10"/>
  <c r="U152" i="10"/>
  <c r="U151" i="10"/>
  <c r="U150" i="10"/>
  <c r="U149" i="10"/>
  <c r="U148" i="10"/>
  <c r="U147" i="10"/>
  <c r="U146" i="10"/>
  <c r="U145" i="10"/>
  <c r="U144" i="10"/>
  <c r="U143" i="10"/>
  <c r="U142" i="10"/>
  <c r="U141" i="10"/>
  <c r="U140" i="10"/>
  <c r="U139" i="10"/>
  <c r="U138" i="10"/>
  <c r="U137" i="10"/>
  <c r="U136" i="10"/>
  <c r="U135" i="10"/>
  <c r="U134" i="10"/>
  <c r="U133" i="10"/>
  <c r="U132" i="10"/>
  <c r="U131" i="10"/>
  <c r="U130" i="10"/>
  <c r="U129" i="10"/>
  <c r="U128" i="10"/>
  <c r="U127" i="10"/>
  <c r="U126" i="10"/>
  <c r="U125" i="10"/>
  <c r="U124" i="10"/>
  <c r="U123" i="10"/>
  <c r="U122" i="10"/>
  <c r="U121" i="10"/>
  <c r="U120" i="10"/>
  <c r="U119" i="10"/>
  <c r="U118" i="10"/>
  <c r="U117" i="10"/>
  <c r="U116" i="10"/>
  <c r="U115" i="10"/>
  <c r="U114" i="10"/>
  <c r="U113" i="10"/>
  <c r="U112" i="10"/>
  <c r="U111" i="10"/>
  <c r="U110" i="10"/>
  <c r="U109" i="10"/>
  <c r="U108" i="10"/>
  <c r="U107" i="10"/>
  <c r="U106" i="10"/>
  <c r="U105" i="10"/>
  <c r="U104" i="10"/>
  <c r="U103" i="10"/>
  <c r="U102" i="10"/>
  <c r="U101" i="10"/>
  <c r="U100" i="10"/>
  <c r="U99" i="10"/>
  <c r="U98" i="10"/>
  <c r="U97" i="10"/>
  <c r="U96" i="10"/>
  <c r="U95" i="10"/>
  <c r="U94" i="10"/>
  <c r="U93" i="10"/>
  <c r="U92" i="10"/>
  <c r="U91" i="10"/>
  <c r="U90" i="10"/>
  <c r="U89" i="10"/>
  <c r="U88" i="10"/>
  <c r="U87" i="10"/>
  <c r="U86" i="10"/>
  <c r="U85" i="10"/>
  <c r="U84" i="10"/>
  <c r="U83" i="10"/>
  <c r="U82" i="10"/>
  <c r="U81" i="10"/>
  <c r="U80" i="10"/>
  <c r="U79" i="10"/>
  <c r="U78" i="10"/>
  <c r="U77" i="10"/>
  <c r="U76" i="10"/>
  <c r="U75" i="10"/>
  <c r="U74" i="10"/>
  <c r="U73" i="10"/>
  <c r="U72" i="10"/>
  <c r="U71" i="10"/>
  <c r="U70" i="10"/>
  <c r="U69" i="10"/>
  <c r="U68" i="10"/>
  <c r="U67" i="10"/>
  <c r="U66" i="10"/>
  <c r="U65" i="10"/>
  <c r="U64" i="10"/>
  <c r="U63" i="10"/>
  <c r="U62" i="10"/>
  <c r="U61" i="10"/>
  <c r="U60" i="10"/>
  <c r="U59" i="10"/>
  <c r="U58" i="10"/>
  <c r="U57" i="10"/>
  <c r="U56" i="10"/>
  <c r="U55" i="10"/>
  <c r="U54" i="10"/>
  <c r="U53" i="10"/>
  <c r="U52" i="10"/>
  <c r="U51" i="10"/>
  <c r="U50" i="10"/>
  <c r="U49" i="10"/>
  <c r="U48" i="10"/>
  <c r="U47" i="10"/>
  <c r="U46" i="10"/>
  <c r="U45" i="10"/>
  <c r="U44" i="10"/>
  <c r="U43" i="10"/>
  <c r="U42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U7" i="10"/>
  <c r="U6" i="10"/>
  <c r="T2855" i="10"/>
  <c r="T2854" i="10"/>
  <c r="T2853" i="10"/>
  <c r="T2852" i="10"/>
  <c r="T2851" i="10"/>
  <c r="T2850" i="10"/>
  <c r="T2849" i="10"/>
  <c r="T2848" i="10"/>
  <c r="T2847" i="10"/>
  <c r="T2846" i="10"/>
  <c r="T2845" i="10"/>
  <c r="T2844" i="10"/>
  <c r="T2843" i="10"/>
  <c r="T2842" i="10"/>
  <c r="T2841" i="10"/>
  <c r="T2840" i="10"/>
  <c r="T2839" i="10"/>
  <c r="T2838" i="10"/>
  <c r="T2837" i="10"/>
  <c r="T2836" i="10"/>
  <c r="T2835" i="10"/>
  <c r="T2834" i="10"/>
  <c r="T2833" i="10"/>
  <c r="T2832" i="10"/>
  <c r="T2831" i="10"/>
  <c r="T2830" i="10"/>
  <c r="T2829" i="10"/>
  <c r="T2828" i="10"/>
  <c r="T2827" i="10"/>
  <c r="T2826" i="10"/>
  <c r="T2825" i="10"/>
  <c r="T2824" i="10"/>
  <c r="T2823" i="10"/>
  <c r="T2822" i="10"/>
  <c r="T2821" i="10"/>
  <c r="T2820" i="10"/>
  <c r="T2819" i="10"/>
  <c r="T2818" i="10"/>
  <c r="T2817" i="10"/>
  <c r="T2816" i="10"/>
  <c r="T2815" i="10"/>
  <c r="T2814" i="10"/>
  <c r="T2813" i="10"/>
  <c r="T2812" i="10"/>
  <c r="T2811" i="10"/>
  <c r="T2810" i="10"/>
  <c r="T2809" i="10"/>
  <c r="T2808" i="10"/>
  <c r="T2807" i="10"/>
  <c r="T2806" i="10"/>
  <c r="T2805" i="10"/>
  <c r="T2804" i="10"/>
  <c r="T2803" i="10"/>
  <c r="T2802" i="10"/>
  <c r="T2801" i="10"/>
  <c r="T2800" i="10"/>
  <c r="T2799" i="10"/>
  <c r="T2798" i="10"/>
  <c r="T2797" i="10"/>
  <c r="T2796" i="10"/>
  <c r="T2795" i="10"/>
  <c r="T2794" i="10"/>
  <c r="T2793" i="10"/>
  <c r="T2792" i="10"/>
  <c r="T2791" i="10"/>
  <c r="T2790" i="10"/>
  <c r="T2789" i="10"/>
  <c r="T2788" i="10"/>
  <c r="T2787" i="10"/>
  <c r="T2786" i="10"/>
  <c r="T2785" i="10"/>
  <c r="T2784" i="10"/>
  <c r="T2783" i="10"/>
  <c r="T2782" i="10"/>
  <c r="T2781" i="10"/>
  <c r="T2780" i="10"/>
  <c r="T2779" i="10"/>
  <c r="T2778" i="10"/>
  <c r="T2777" i="10"/>
  <c r="T2776" i="10"/>
  <c r="T2775" i="10"/>
  <c r="T2774" i="10"/>
  <c r="T2773" i="10"/>
  <c r="T2772" i="10"/>
  <c r="T2771" i="10"/>
  <c r="T2770" i="10"/>
  <c r="T2769" i="10"/>
  <c r="T2768" i="10"/>
  <c r="T2767" i="10"/>
  <c r="T2766" i="10"/>
  <c r="T2765" i="10"/>
  <c r="T2764" i="10"/>
  <c r="T2763" i="10"/>
  <c r="T2762" i="10"/>
  <c r="T2761" i="10"/>
  <c r="T2760" i="10"/>
  <c r="T2759" i="10"/>
  <c r="T2758" i="10"/>
  <c r="T2757" i="10"/>
  <c r="T2756" i="10"/>
  <c r="T2755" i="10"/>
  <c r="T2754" i="10"/>
  <c r="T2753" i="10"/>
  <c r="T2752" i="10"/>
  <c r="T2751" i="10"/>
  <c r="T2750" i="10"/>
  <c r="T2749" i="10"/>
  <c r="T2748" i="10"/>
  <c r="T2747" i="10"/>
  <c r="T2746" i="10"/>
  <c r="T2745" i="10"/>
  <c r="T2744" i="10"/>
  <c r="T2743" i="10"/>
  <c r="T2742" i="10"/>
  <c r="T2741" i="10"/>
  <c r="T2740" i="10"/>
  <c r="T2739" i="10"/>
  <c r="T2738" i="10"/>
  <c r="T2737" i="10"/>
  <c r="T2736" i="10"/>
  <c r="T2735" i="10"/>
  <c r="T2734" i="10"/>
  <c r="T2733" i="10"/>
  <c r="T2732" i="10"/>
  <c r="T2731" i="10"/>
  <c r="T2730" i="10"/>
  <c r="T2729" i="10"/>
  <c r="T2728" i="10"/>
  <c r="T2727" i="10"/>
  <c r="T2726" i="10"/>
  <c r="T2725" i="10"/>
  <c r="T2724" i="10"/>
  <c r="T2723" i="10"/>
  <c r="T2722" i="10"/>
  <c r="T2721" i="10"/>
  <c r="T2720" i="10"/>
  <c r="T2719" i="10"/>
  <c r="T2718" i="10"/>
  <c r="T2717" i="10"/>
  <c r="T2716" i="10"/>
  <c r="T2715" i="10"/>
  <c r="T2714" i="10"/>
  <c r="T2713" i="10"/>
  <c r="T2712" i="10"/>
  <c r="T2711" i="10"/>
  <c r="T2710" i="10"/>
  <c r="T2709" i="10"/>
  <c r="T2708" i="10"/>
  <c r="T2707" i="10"/>
  <c r="T2706" i="10"/>
  <c r="T2705" i="10"/>
  <c r="T2704" i="10"/>
  <c r="T2703" i="10"/>
  <c r="T2702" i="10"/>
  <c r="T2701" i="10"/>
  <c r="T2700" i="10"/>
  <c r="T2699" i="10"/>
  <c r="T2698" i="10"/>
  <c r="T2697" i="10"/>
  <c r="T2696" i="10"/>
  <c r="T2695" i="10"/>
  <c r="T2694" i="10"/>
  <c r="T2693" i="10"/>
  <c r="T2692" i="10"/>
  <c r="T2691" i="10"/>
  <c r="T2690" i="10"/>
  <c r="T2689" i="10"/>
  <c r="T2688" i="10"/>
  <c r="T2687" i="10"/>
  <c r="T2686" i="10"/>
  <c r="T2685" i="10"/>
  <c r="T2684" i="10"/>
  <c r="T2683" i="10"/>
  <c r="T2682" i="10"/>
  <c r="T2681" i="10"/>
  <c r="T2680" i="10"/>
  <c r="T2679" i="10"/>
  <c r="T2678" i="10"/>
  <c r="T2677" i="10"/>
  <c r="T2676" i="10"/>
  <c r="T2675" i="10"/>
  <c r="T2674" i="10"/>
  <c r="T2673" i="10"/>
  <c r="T2672" i="10"/>
  <c r="T2671" i="10"/>
  <c r="T2670" i="10"/>
  <c r="T2669" i="10"/>
  <c r="T2668" i="10"/>
  <c r="T2667" i="10"/>
  <c r="T2666" i="10"/>
  <c r="T2665" i="10"/>
  <c r="T2664" i="10"/>
  <c r="T2663" i="10"/>
  <c r="T2662" i="10"/>
  <c r="T2661" i="10"/>
  <c r="T2660" i="10"/>
  <c r="T2659" i="10"/>
  <c r="T2658" i="10"/>
  <c r="T2657" i="10"/>
  <c r="T2656" i="10"/>
  <c r="T2655" i="10"/>
  <c r="T2654" i="10"/>
  <c r="T2653" i="10"/>
  <c r="T2652" i="10"/>
  <c r="T2651" i="10"/>
  <c r="T2650" i="10"/>
  <c r="T2649" i="10"/>
  <c r="T2648" i="10"/>
  <c r="T2647" i="10"/>
  <c r="T2646" i="10"/>
  <c r="T2645" i="10"/>
  <c r="T2644" i="10"/>
  <c r="T2643" i="10"/>
  <c r="T2642" i="10"/>
  <c r="T2641" i="10"/>
  <c r="T2640" i="10"/>
  <c r="T2639" i="10"/>
  <c r="T2638" i="10"/>
  <c r="T2637" i="10"/>
  <c r="T2636" i="10"/>
  <c r="T2635" i="10"/>
  <c r="T2634" i="10"/>
  <c r="T2633" i="10"/>
  <c r="T2632" i="10"/>
  <c r="T2631" i="10"/>
  <c r="T2630" i="10"/>
  <c r="T2629" i="10"/>
  <c r="T2628" i="10"/>
  <c r="T2627" i="10"/>
  <c r="T2626" i="10"/>
  <c r="T2625" i="10"/>
  <c r="T2624" i="10"/>
  <c r="T2623" i="10"/>
  <c r="T2622" i="10"/>
  <c r="T2621" i="10"/>
  <c r="T2620" i="10"/>
  <c r="T2619" i="10"/>
  <c r="T2618" i="10"/>
  <c r="T2617" i="10"/>
  <c r="T2616" i="10"/>
  <c r="T2615" i="10"/>
  <c r="T2614" i="10"/>
  <c r="T2613" i="10"/>
  <c r="T2612" i="10"/>
  <c r="T2611" i="10"/>
  <c r="T2610" i="10"/>
  <c r="T2609" i="10"/>
  <c r="T2608" i="10"/>
  <c r="T2607" i="10"/>
  <c r="T2606" i="10"/>
  <c r="T2605" i="10"/>
  <c r="T2604" i="10"/>
  <c r="T2603" i="10"/>
  <c r="T2602" i="10"/>
  <c r="T2601" i="10"/>
  <c r="T2600" i="10"/>
  <c r="T2599" i="10"/>
  <c r="T2598" i="10"/>
  <c r="T2597" i="10"/>
  <c r="T2596" i="10"/>
  <c r="T2595" i="10"/>
  <c r="T2594" i="10"/>
  <c r="T2593" i="10"/>
  <c r="T2592" i="10"/>
  <c r="T2591" i="10"/>
  <c r="T2590" i="10"/>
  <c r="T2589" i="10"/>
  <c r="T2588" i="10"/>
  <c r="T2587" i="10"/>
  <c r="T2586" i="10"/>
  <c r="T2585" i="10"/>
  <c r="T2584" i="10"/>
  <c r="T2583" i="10"/>
  <c r="T2582" i="10"/>
  <c r="T2581" i="10"/>
  <c r="T2580" i="10"/>
  <c r="T2579" i="10"/>
  <c r="T2578" i="10"/>
  <c r="T2577" i="10"/>
  <c r="T2576" i="10"/>
  <c r="T2575" i="10"/>
  <c r="T2574" i="10"/>
  <c r="T2573" i="10"/>
  <c r="T2572" i="10"/>
  <c r="T2571" i="10"/>
  <c r="T2570" i="10"/>
  <c r="T2569" i="10"/>
  <c r="T2568" i="10"/>
  <c r="T2567" i="10"/>
  <c r="T2566" i="10"/>
  <c r="T2565" i="10"/>
  <c r="T2564" i="10"/>
  <c r="T2563" i="10"/>
  <c r="T2562" i="10"/>
  <c r="T2561" i="10"/>
  <c r="T2560" i="10"/>
  <c r="T2559" i="10"/>
  <c r="T2558" i="10"/>
  <c r="T2557" i="10"/>
  <c r="T2556" i="10"/>
  <c r="T2555" i="10"/>
  <c r="T2554" i="10"/>
  <c r="T2553" i="10"/>
  <c r="T2552" i="10"/>
  <c r="T2551" i="10"/>
  <c r="T2550" i="10"/>
  <c r="T2549" i="10"/>
  <c r="T2548" i="10"/>
  <c r="T2547" i="10"/>
  <c r="T2546" i="10"/>
  <c r="T2545" i="10"/>
  <c r="T2544" i="10"/>
  <c r="T2543" i="10"/>
  <c r="T2542" i="10"/>
  <c r="T2541" i="10"/>
  <c r="T2540" i="10"/>
  <c r="T2539" i="10"/>
  <c r="T2538" i="10"/>
  <c r="T2537" i="10"/>
  <c r="T2536" i="10"/>
  <c r="T2535" i="10"/>
  <c r="T2534" i="10"/>
  <c r="T2533" i="10"/>
  <c r="T2532" i="10"/>
  <c r="T2531" i="10"/>
  <c r="T2530" i="10"/>
  <c r="T2529" i="10"/>
  <c r="T2528" i="10"/>
  <c r="T2527" i="10"/>
  <c r="T2526" i="10"/>
  <c r="T2525" i="10"/>
  <c r="T2524" i="10"/>
  <c r="T2523" i="10"/>
  <c r="T2522" i="10"/>
  <c r="T2521" i="10"/>
  <c r="T2520" i="10"/>
  <c r="T2519" i="10"/>
  <c r="T2518" i="10"/>
  <c r="T2517" i="10"/>
  <c r="T2516" i="10"/>
  <c r="T2515" i="10"/>
  <c r="T2514" i="10"/>
  <c r="T2513" i="10"/>
  <c r="T2512" i="10"/>
  <c r="T2511" i="10"/>
  <c r="T2510" i="10"/>
  <c r="T2509" i="10"/>
  <c r="T2508" i="10"/>
  <c r="T2507" i="10"/>
  <c r="T2506" i="10"/>
  <c r="T2505" i="10"/>
  <c r="T2504" i="10"/>
  <c r="T2503" i="10"/>
  <c r="T2502" i="10"/>
  <c r="T2501" i="10"/>
  <c r="T2500" i="10"/>
  <c r="T2499" i="10"/>
  <c r="T2498" i="10"/>
  <c r="T2497" i="10"/>
  <c r="T2496" i="10"/>
  <c r="T2495" i="10"/>
  <c r="T2494" i="10"/>
  <c r="T2493" i="10"/>
  <c r="T2492" i="10"/>
  <c r="T2491" i="10"/>
  <c r="T2490" i="10"/>
  <c r="T2489" i="10"/>
  <c r="T2488" i="10"/>
  <c r="T2487" i="10"/>
  <c r="T2486" i="10"/>
  <c r="T2485" i="10"/>
  <c r="T2484" i="10"/>
  <c r="T2483" i="10"/>
  <c r="T2482" i="10"/>
  <c r="T2481" i="10"/>
  <c r="T2480" i="10"/>
  <c r="T2479" i="10"/>
  <c r="T2478" i="10"/>
  <c r="T2477" i="10"/>
  <c r="T2476" i="10"/>
  <c r="T2475" i="10"/>
  <c r="T2474" i="10"/>
  <c r="T2473" i="10"/>
  <c r="T2472" i="10"/>
  <c r="T2471" i="10"/>
  <c r="T2470" i="10"/>
  <c r="T2469" i="10"/>
  <c r="T2468" i="10"/>
  <c r="T2467" i="10"/>
  <c r="T2466" i="10"/>
  <c r="T2465" i="10"/>
  <c r="T2464" i="10"/>
  <c r="T2463" i="10"/>
  <c r="T2462" i="10"/>
  <c r="T2461" i="10"/>
  <c r="T2460" i="10"/>
  <c r="T2459" i="10"/>
  <c r="T2458" i="10"/>
  <c r="T2457" i="10"/>
  <c r="T2456" i="10"/>
  <c r="T2455" i="10"/>
  <c r="T2454" i="10"/>
  <c r="T2453" i="10"/>
  <c r="T2452" i="10"/>
  <c r="T2451" i="10"/>
  <c r="T2450" i="10"/>
  <c r="T2449" i="10"/>
  <c r="T2448" i="10"/>
  <c r="T2447" i="10"/>
  <c r="T2446" i="10"/>
  <c r="T2445" i="10"/>
  <c r="T2444" i="10"/>
  <c r="T2443" i="10"/>
  <c r="T2442" i="10"/>
  <c r="T2441" i="10"/>
  <c r="T2440" i="10"/>
  <c r="T2439" i="10"/>
  <c r="T2438" i="10"/>
  <c r="T2437" i="10"/>
  <c r="T2436" i="10"/>
  <c r="T2435" i="10"/>
  <c r="T2434" i="10"/>
  <c r="T2433" i="10"/>
  <c r="T2432" i="10"/>
  <c r="T2431" i="10"/>
  <c r="T2430" i="10"/>
  <c r="T2429" i="10"/>
  <c r="T2428" i="10"/>
  <c r="T2427" i="10"/>
  <c r="T2426" i="10"/>
  <c r="T2425" i="10"/>
  <c r="T2424" i="10"/>
  <c r="T2423" i="10"/>
  <c r="T2422" i="10"/>
  <c r="T2421" i="10"/>
  <c r="T2420" i="10"/>
  <c r="T2419" i="10"/>
  <c r="T2418" i="10"/>
  <c r="T2417" i="10"/>
  <c r="T2416" i="10"/>
  <c r="T2415" i="10"/>
  <c r="T2414" i="10"/>
  <c r="T2413" i="10"/>
  <c r="T2412" i="10"/>
  <c r="T2411" i="10"/>
  <c r="T2410" i="10"/>
  <c r="T2409" i="10"/>
  <c r="T2408" i="10"/>
  <c r="T2407" i="10"/>
  <c r="T2406" i="10"/>
  <c r="T2405" i="10"/>
  <c r="T2404" i="10"/>
  <c r="T2403" i="10"/>
  <c r="T2402" i="10"/>
  <c r="T2401" i="10"/>
  <c r="T2400" i="10"/>
  <c r="T2399" i="10"/>
  <c r="T2398" i="10"/>
  <c r="T2397" i="10"/>
  <c r="T2396" i="10"/>
  <c r="T2395" i="10"/>
  <c r="T2394" i="10"/>
  <c r="T2393" i="10"/>
  <c r="T2392" i="10"/>
  <c r="T2391" i="10"/>
  <c r="T2390" i="10"/>
  <c r="T2389" i="10"/>
  <c r="T2388" i="10"/>
  <c r="T2387" i="10"/>
  <c r="T2386" i="10"/>
  <c r="T2385" i="10"/>
  <c r="T2384" i="10"/>
  <c r="T2383" i="10"/>
  <c r="T2382" i="10"/>
  <c r="T2381" i="10"/>
  <c r="T2380" i="10"/>
  <c r="T2379" i="10"/>
  <c r="T2378" i="10"/>
  <c r="T2377" i="10"/>
  <c r="T2376" i="10"/>
  <c r="T2375" i="10"/>
  <c r="T2374" i="10"/>
  <c r="T2373" i="10"/>
  <c r="T2372" i="10"/>
  <c r="T2371" i="10"/>
  <c r="T2370" i="10"/>
  <c r="T2369" i="10"/>
  <c r="T2368" i="10"/>
  <c r="T2367" i="10"/>
  <c r="T2366" i="10"/>
  <c r="T2365" i="10"/>
  <c r="T2364" i="10"/>
  <c r="T2363" i="10"/>
  <c r="T2362" i="10"/>
  <c r="T2361" i="10"/>
  <c r="T2360" i="10"/>
  <c r="T2359" i="10"/>
  <c r="T2358" i="10"/>
  <c r="T2357" i="10"/>
  <c r="T2356" i="10"/>
  <c r="T2355" i="10"/>
  <c r="T2354" i="10"/>
  <c r="T2353" i="10"/>
  <c r="T2352" i="10"/>
  <c r="T2351" i="10"/>
  <c r="T2350" i="10"/>
  <c r="T2349" i="10"/>
  <c r="T2348" i="10"/>
  <c r="T2347" i="10"/>
  <c r="T2346" i="10"/>
  <c r="T2345" i="10"/>
  <c r="T2344" i="10"/>
  <c r="T2343" i="10"/>
  <c r="T2342" i="10"/>
  <c r="T2341" i="10"/>
  <c r="T2340" i="10"/>
  <c r="T2339" i="10"/>
  <c r="T2338" i="10"/>
  <c r="T2337" i="10"/>
  <c r="T2336" i="10"/>
  <c r="T2335" i="10"/>
  <c r="T2334" i="10"/>
  <c r="T2333" i="10"/>
  <c r="T2332" i="10"/>
  <c r="T2331" i="10"/>
  <c r="T2330" i="10"/>
  <c r="T2329" i="10"/>
  <c r="T2328" i="10"/>
  <c r="T2327" i="10"/>
  <c r="T2326" i="10"/>
  <c r="T2325" i="10"/>
  <c r="T2324" i="10"/>
  <c r="T2323" i="10"/>
  <c r="T2322" i="10"/>
  <c r="T2321" i="10"/>
  <c r="T2320" i="10"/>
  <c r="T2319" i="10"/>
  <c r="T2318" i="10"/>
  <c r="T2317" i="10"/>
  <c r="T2316" i="10"/>
  <c r="T2315" i="10"/>
  <c r="T2314" i="10"/>
  <c r="T2313" i="10"/>
  <c r="T2312" i="10"/>
  <c r="T2311" i="10"/>
  <c r="T2310" i="10"/>
  <c r="T2309" i="10"/>
  <c r="T2308" i="10"/>
  <c r="T2307" i="10"/>
  <c r="T2306" i="10"/>
  <c r="T2305" i="10"/>
  <c r="T2304" i="10"/>
  <c r="T2303" i="10"/>
  <c r="T2302" i="10"/>
  <c r="T2301" i="10"/>
  <c r="T2300" i="10"/>
  <c r="T2299" i="10"/>
  <c r="T2298" i="10"/>
  <c r="T2297" i="10"/>
  <c r="T2296" i="10"/>
  <c r="T2295" i="10"/>
  <c r="T2294" i="10"/>
  <c r="T2293" i="10"/>
  <c r="T2292" i="10"/>
  <c r="T2291" i="10"/>
  <c r="T2290" i="10"/>
  <c r="T2289" i="10"/>
  <c r="T2288" i="10"/>
  <c r="T2287" i="10"/>
  <c r="T2286" i="10"/>
  <c r="T2285" i="10"/>
  <c r="T2284" i="10"/>
  <c r="T2283" i="10"/>
  <c r="T2282" i="10"/>
  <c r="T2281" i="10"/>
  <c r="T2280" i="10"/>
  <c r="T2279" i="10"/>
  <c r="T2278" i="10"/>
  <c r="T2277" i="10"/>
  <c r="T2276" i="10"/>
  <c r="T2275" i="10"/>
  <c r="T2274" i="10"/>
  <c r="T2273" i="10"/>
  <c r="T2272" i="10"/>
  <c r="T2271" i="10"/>
  <c r="T2270" i="10"/>
  <c r="T2269" i="10"/>
  <c r="T2268" i="10"/>
  <c r="T2267" i="10"/>
  <c r="T2266" i="10"/>
  <c r="T2265" i="10"/>
  <c r="T2264" i="10"/>
  <c r="T2263" i="10"/>
  <c r="T2262" i="10"/>
  <c r="T2261" i="10"/>
  <c r="T2260" i="10"/>
  <c r="T2259" i="10"/>
  <c r="T2258" i="10"/>
  <c r="T2257" i="10"/>
  <c r="T2256" i="10"/>
  <c r="T2255" i="10"/>
  <c r="T2254" i="10"/>
  <c r="T2253" i="10"/>
  <c r="T2252" i="10"/>
  <c r="T2251" i="10"/>
  <c r="T2250" i="10"/>
  <c r="T2249" i="10"/>
  <c r="T2248" i="10"/>
  <c r="T2247" i="10"/>
  <c r="T2246" i="10"/>
  <c r="T2245" i="10"/>
  <c r="T2244" i="10"/>
  <c r="T2243" i="10"/>
  <c r="T2242" i="10"/>
  <c r="T2241" i="10"/>
  <c r="T2240" i="10"/>
  <c r="T2239" i="10"/>
  <c r="T2238" i="10"/>
  <c r="T2237" i="10"/>
  <c r="T2236" i="10"/>
  <c r="T2235" i="10"/>
  <c r="T2234" i="10"/>
  <c r="T2233" i="10"/>
  <c r="T2232" i="10"/>
  <c r="T2231" i="10"/>
  <c r="T2230" i="10"/>
  <c r="T2229" i="10"/>
  <c r="T2228" i="10"/>
  <c r="T2227" i="10"/>
  <c r="T2226" i="10"/>
  <c r="T2225" i="10"/>
  <c r="T2224" i="10"/>
  <c r="T2223" i="10"/>
  <c r="T2222" i="10"/>
  <c r="T2221" i="10"/>
  <c r="T2220" i="10"/>
  <c r="T2219" i="10"/>
  <c r="T2218" i="10"/>
  <c r="T2217" i="10"/>
  <c r="T2216" i="10"/>
  <c r="T2215" i="10"/>
  <c r="T2214" i="10"/>
  <c r="T2213" i="10"/>
  <c r="T2212" i="10"/>
  <c r="T2211" i="10"/>
  <c r="T2210" i="10"/>
  <c r="T2209" i="10"/>
  <c r="T2208" i="10"/>
  <c r="T2207" i="10"/>
  <c r="T2206" i="10"/>
  <c r="T2205" i="10"/>
  <c r="T2204" i="10"/>
  <c r="T2203" i="10"/>
  <c r="T2202" i="10"/>
  <c r="T2201" i="10"/>
  <c r="T2200" i="10"/>
  <c r="T2199" i="10"/>
  <c r="T2198" i="10"/>
  <c r="T2197" i="10"/>
  <c r="T2196" i="10"/>
  <c r="T2195" i="10"/>
  <c r="T2194" i="10"/>
  <c r="T2193" i="10"/>
  <c r="T2192" i="10"/>
  <c r="T2191" i="10"/>
  <c r="T2190" i="10"/>
  <c r="T2189" i="10"/>
  <c r="T2188" i="10"/>
  <c r="T2187" i="10"/>
  <c r="T2186" i="10"/>
  <c r="T2185" i="10"/>
  <c r="T2184" i="10"/>
  <c r="T2183" i="10"/>
  <c r="T2182" i="10"/>
  <c r="T2181" i="10"/>
  <c r="T2180" i="10"/>
  <c r="T2179" i="10"/>
  <c r="T2178" i="10"/>
  <c r="T2177" i="10"/>
  <c r="T2176" i="10"/>
  <c r="T2175" i="10"/>
  <c r="T2174" i="10"/>
  <c r="T2173" i="10"/>
  <c r="T2172" i="10"/>
  <c r="T2171" i="10"/>
  <c r="T2170" i="10"/>
  <c r="T2169" i="10"/>
  <c r="T2168" i="10"/>
  <c r="T2167" i="10"/>
  <c r="T2166" i="10"/>
  <c r="T2165" i="10"/>
  <c r="T2164" i="10"/>
  <c r="T2163" i="10"/>
  <c r="T2162" i="10"/>
  <c r="T2161" i="10"/>
  <c r="T2160" i="10"/>
  <c r="T2159" i="10"/>
  <c r="T2158" i="10"/>
  <c r="T2157" i="10"/>
  <c r="T2156" i="10"/>
  <c r="T2155" i="10"/>
  <c r="T2154" i="10"/>
  <c r="T2153" i="10"/>
  <c r="T2152" i="10"/>
  <c r="T2151" i="10"/>
  <c r="T2150" i="10"/>
  <c r="T2149" i="10"/>
  <c r="T2148" i="10"/>
  <c r="T2147" i="10"/>
  <c r="T2146" i="10"/>
  <c r="T2145" i="10"/>
  <c r="T2144" i="10"/>
  <c r="T2143" i="10"/>
  <c r="T2142" i="10"/>
  <c r="T2141" i="10"/>
  <c r="T2140" i="10"/>
  <c r="T2139" i="10"/>
  <c r="T2138" i="10"/>
  <c r="T2137" i="10"/>
  <c r="T2136" i="10"/>
  <c r="T2135" i="10"/>
  <c r="T2134" i="10"/>
  <c r="T2133" i="10"/>
  <c r="T2132" i="10"/>
  <c r="T2131" i="10"/>
  <c r="T2130" i="10"/>
  <c r="T2129" i="10"/>
  <c r="T2128" i="10"/>
  <c r="T2127" i="10"/>
  <c r="T2126" i="10"/>
  <c r="T2125" i="10"/>
  <c r="T2124" i="10"/>
  <c r="T2123" i="10"/>
  <c r="T2122" i="10"/>
  <c r="T2121" i="10"/>
  <c r="T2120" i="10"/>
  <c r="T2119" i="10"/>
  <c r="T2118" i="10"/>
  <c r="T2117" i="10"/>
  <c r="T2116" i="10"/>
  <c r="T2115" i="10"/>
  <c r="T2114" i="10"/>
  <c r="T2113" i="10"/>
  <c r="T2112" i="10"/>
  <c r="T2111" i="10"/>
  <c r="T2110" i="10"/>
  <c r="T2109" i="10"/>
  <c r="T2108" i="10"/>
  <c r="T2107" i="10"/>
  <c r="T2106" i="10"/>
  <c r="T2105" i="10"/>
  <c r="T2104" i="10"/>
  <c r="T2103" i="10"/>
  <c r="T2102" i="10"/>
  <c r="T2101" i="10"/>
  <c r="T2100" i="10"/>
  <c r="T2099" i="10"/>
  <c r="T2098" i="10"/>
  <c r="T2097" i="10"/>
  <c r="T2096" i="10"/>
  <c r="T2095" i="10"/>
  <c r="T2094" i="10"/>
  <c r="T2093" i="10"/>
  <c r="T2092" i="10"/>
  <c r="T2091" i="10"/>
  <c r="T2090" i="10"/>
  <c r="T2089" i="10"/>
  <c r="T2088" i="10"/>
  <c r="T2087" i="10"/>
  <c r="T2086" i="10"/>
  <c r="T2085" i="10"/>
  <c r="T2084" i="10"/>
  <c r="T2083" i="10"/>
  <c r="T2082" i="10"/>
  <c r="T2081" i="10"/>
  <c r="T2080" i="10"/>
  <c r="T2079" i="10"/>
  <c r="T2078" i="10"/>
  <c r="T2077" i="10"/>
  <c r="T2076" i="10"/>
  <c r="T2075" i="10"/>
  <c r="T2074" i="10"/>
  <c r="T2073" i="10"/>
  <c r="T2072" i="10"/>
  <c r="T2071" i="10"/>
  <c r="T2070" i="10"/>
  <c r="T2069" i="10"/>
  <c r="T2068" i="10"/>
  <c r="T2067" i="10"/>
  <c r="T2066" i="10"/>
  <c r="T2065" i="10"/>
  <c r="T2064" i="10"/>
  <c r="T2063" i="10"/>
  <c r="T2062" i="10"/>
  <c r="T2061" i="10"/>
  <c r="T2060" i="10"/>
  <c r="T2059" i="10"/>
  <c r="T2058" i="10"/>
  <c r="T2057" i="10"/>
  <c r="T2056" i="10"/>
  <c r="T2055" i="10"/>
  <c r="T2054" i="10"/>
  <c r="T2053" i="10"/>
  <c r="T2052" i="10"/>
  <c r="T2051" i="10"/>
  <c r="T2050" i="10"/>
  <c r="T2049" i="10"/>
  <c r="T2048" i="10"/>
  <c r="T2047" i="10"/>
  <c r="T2046" i="10"/>
  <c r="T2045" i="10"/>
  <c r="T2044" i="10"/>
  <c r="T2043" i="10"/>
  <c r="T2042" i="10"/>
  <c r="T2041" i="10"/>
  <c r="T2040" i="10"/>
  <c r="T2039" i="10"/>
  <c r="T2038" i="10"/>
  <c r="T2037" i="10"/>
  <c r="T2036" i="10"/>
  <c r="T2035" i="10"/>
  <c r="T2034" i="10"/>
  <c r="T2033" i="10"/>
  <c r="T2032" i="10"/>
  <c r="T2031" i="10"/>
  <c r="T2030" i="10"/>
  <c r="T2029" i="10"/>
  <c r="T2028" i="10"/>
  <c r="T2027" i="10"/>
  <c r="T2026" i="10"/>
  <c r="T2025" i="10"/>
  <c r="T2024" i="10"/>
  <c r="T2023" i="10"/>
  <c r="T2022" i="10"/>
  <c r="T2021" i="10"/>
  <c r="T2020" i="10"/>
  <c r="T2019" i="10"/>
  <c r="T2018" i="10"/>
  <c r="T2017" i="10"/>
  <c r="T2016" i="10"/>
  <c r="T2015" i="10"/>
  <c r="T2014" i="10"/>
  <c r="T2013" i="10"/>
  <c r="T2012" i="10"/>
  <c r="T2011" i="10"/>
  <c r="T2010" i="10"/>
  <c r="T2009" i="10"/>
  <c r="T2008" i="10"/>
  <c r="T2007" i="10"/>
  <c r="T2006" i="10"/>
  <c r="T2005" i="10"/>
  <c r="T2004" i="10"/>
  <c r="T2003" i="10"/>
  <c r="T2002" i="10"/>
  <c r="T2001" i="10"/>
  <c r="T2000" i="10"/>
  <c r="T1999" i="10"/>
  <c r="T1998" i="10"/>
  <c r="T1997" i="10"/>
  <c r="T1996" i="10"/>
  <c r="T1995" i="10"/>
  <c r="T1994" i="10"/>
  <c r="T1993" i="10"/>
  <c r="T1992" i="10"/>
  <c r="T1991" i="10"/>
  <c r="T1990" i="10"/>
  <c r="T1989" i="10"/>
  <c r="T1988" i="10"/>
  <c r="T1987" i="10"/>
  <c r="T1986" i="10"/>
  <c r="T1985" i="10"/>
  <c r="T1984" i="10"/>
  <c r="T1983" i="10"/>
  <c r="T1982" i="10"/>
  <c r="T1981" i="10"/>
  <c r="T1980" i="10"/>
  <c r="T1979" i="10"/>
  <c r="T1978" i="10"/>
  <c r="T1977" i="10"/>
  <c r="T1976" i="10"/>
  <c r="T1975" i="10"/>
  <c r="T1974" i="10"/>
  <c r="T1973" i="10"/>
  <c r="T1972" i="10"/>
  <c r="T1971" i="10"/>
  <c r="T1970" i="10"/>
  <c r="T1969" i="10"/>
  <c r="T1968" i="10"/>
  <c r="T1967" i="10"/>
  <c r="T1966" i="10"/>
  <c r="T1965" i="10"/>
  <c r="T1964" i="10"/>
  <c r="T1963" i="10"/>
  <c r="T1962" i="10"/>
  <c r="T1961" i="10"/>
  <c r="T1960" i="10"/>
  <c r="T1959" i="10"/>
  <c r="T1958" i="10"/>
  <c r="T1957" i="10"/>
  <c r="T1956" i="10"/>
  <c r="T1955" i="10"/>
  <c r="T1954" i="10"/>
  <c r="T1953" i="10"/>
  <c r="T1952" i="10"/>
  <c r="T1951" i="10"/>
  <c r="T1950" i="10"/>
  <c r="T1949" i="10"/>
  <c r="T1948" i="10"/>
  <c r="T1947" i="10"/>
  <c r="T1946" i="10"/>
  <c r="T1945" i="10"/>
  <c r="T1944" i="10"/>
  <c r="T1943" i="10"/>
  <c r="T1942" i="10"/>
  <c r="T1941" i="10"/>
  <c r="T1940" i="10"/>
  <c r="T1939" i="10"/>
  <c r="T1938" i="10"/>
  <c r="T1937" i="10"/>
  <c r="T1936" i="10"/>
  <c r="T1935" i="10"/>
  <c r="T1934" i="10"/>
  <c r="T1933" i="10"/>
  <c r="T1932" i="10"/>
  <c r="T1931" i="10"/>
  <c r="T1930" i="10"/>
  <c r="T1929" i="10"/>
  <c r="T1928" i="10"/>
  <c r="T1927" i="10"/>
  <c r="T1926" i="10"/>
  <c r="T1925" i="10"/>
  <c r="T1924" i="10"/>
  <c r="T1923" i="10"/>
  <c r="T1922" i="10"/>
  <c r="T1921" i="10"/>
  <c r="T1920" i="10"/>
  <c r="T1919" i="10"/>
  <c r="T1918" i="10"/>
  <c r="T1917" i="10"/>
  <c r="T1916" i="10"/>
  <c r="T1915" i="10"/>
  <c r="T1914" i="10"/>
  <c r="T1913" i="10"/>
  <c r="T1912" i="10"/>
  <c r="T1911" i="10"/>
  <c r="T1910" i="10"/>
  <c r="T1909" i="10"/>
  <c r="T1908" i="10"/>
  <c r="T1907" i="10"/>
  <c r="T1906" i="10"/>
  <c r="T1905" i="10"/>
  <c r="T1904" i="10"/>
  <c r="T1903" i="10"/>
  <c r="T1902" i="10"/>
  <c r="T1901" i="10"/>
  <c r="T1900" i="10"/>
  <c r="T1899" i="10"/>
  <c r="T1898" i="10"/>
  <c r="T1897" i="10"/>
  <c r="T1896" i="10"/>
  <c r="T1895" i="10"/>
  <c r="T1894" i="10"/>
  <c r="T1893" i="10"/>
  <c r="T1892" i="10"/>
  <c r="T1891" i="10"/>
  <c r="T1890" i="10"/>
  <c r="T1889" i="10"/>
  <c r="T1888" i="10"/>
  <c r="T1887" i="10"/>
  <c r="T1886" i="10"/>
  <c r="T1885" i="10"/>
  <c r="T1884" i="10"/>
  <c r="T1883" i="10"/>
  <c r="T1882" i="10"/>
  <c r="T1881" i="10"/>
  <c r="T1880" i="10"/>
  <c r="T1879" i="10"/>
  <c r="T1878" i="10"/>
  <c r="T1877" i="10"/>
  <c r="T1876" i="10"/>
  <c r="T1875" i="10"/>
  <c r="T1874" i="10"/>
  <c r="T1873" i="10"/>
  <c r="T1872" i="10"/>
  <c r="T1871" i="10"/>
  <c r="T1870" i="10"/>
  <c r="T1869" i="10"/>
  <c r="T1868" i="10"/>
  <c r="T1867" i="10"/>
  <c r="T1866" i="10"/>
  <c r="T1865" i="10"/>
  <c r="T1864" i="10"/>
  <c r="T1863" i="10"/>
  <c r="T1862" i="10"/>
  <c r="T1861" i="10"/>
  <c r="T1860" i="10"/>
  <c r="T1859" i="10"/>
  <c r="T1858" i="10"/>
  <c r="T1857" i="10"/>
  <c r="T1856" i="10"/>
  <c r="T1855" i="10"/>
  <c r="T1854" i="10"/>
  <c r="T1853" i="10"/>
  <c r="T1852" i="10"/>
  <c r="T1851" i="10"/>
  <c r="T1850" i="10"/>
  <c r="T1849" i="10"/>
  <c r="T1848" i="10"/>
  <c r="T1847" i="10"/>
  <c r="T1846" i="10"/>
  <c r="T1845" i="10"/>
  <c r="T1844" i="10"/>
  <c r="T1843" i="10"/>
  <c r="T1842" i="10"/>
  <c r="T1841" i="10"/>
  <c r="T1840" i="10"/>
  <c r="T1839" i="10"/>
  <c r="T1838" i="10"/>
  <c r="T1837" i="10"/>
  <c r="T1836" i="10"/>
  <c r="T1835" i="10"/>
  <c r="T1834" i="10"/>
  <c r="T1833" i="10"/>
  <c r="T1832" i="10"/>
  <c r="T1831" i="10"/>
  <c r="T1830" i="10"/>
  <c r="T1829" i="10"/>
  <c r="T1828" i="10"/>
  <c r="T1827" i="10"/>
  <c r="T1826" i="10"/>
  <c r="T1825" i="10"/>
  <c r="T1824" i="10"/>
  <c r="T1823" i="10"/>
  <c r="T1822" i="10"/>
  <c r="T1821" i="10"/>
  <c r="T1820" i="10"/>
  <c r="T1819" i="10"/>
  <c r="T1818" i="10"/>
  <c r="T1817" i="10"/>
  <c r="T1816" i="10"/>
  <c r="T1815" i="10"/>
  <c r="T1814" i="10"/>
  <c r="T1813" i="10"/>
  <c r="T1812" i="10"/>
  <c r="T1811" i="10"/>
  <c r="T1810" i="10"/>
  <c r="T1809" i="10"/>
  <c r="T1808" i="10"/>
  <c r="T1807" i="10"/>
  <c r="T1806" i="10"/>
  <c r="T1805" i="10"/>
  <c r="T1804" i="10"/>
  <c r="T1803" i="10"/>
  <c r="T1802" i="10"/>
  <c r="T1801" i="10"/>
  <c r="T1800" i="10"/>
  <c r="T1799" i="10"/>
  <c r="T1798" i="10"/>
  <c r="T1797" i="10"/>
  <c r="T1796" i="10"/>
  <c r="T1795" i="10"/>
  <c r="T1794" i="10"/>
  <c r="T1793" i="10"/>
  <c r="T1792" i="10"/>
  <c r="T1791" i="10"/>
  <c r="T1790" i="10"/>
  <c r="T1789" i="10"/>
  <c r="T1788" i="10"/>
  <c r="T1787" i="10"/>
  <c r="T1786" i="10"/>
  <c r="T1785" i="10"/>
  <c r="T1784" i="10"/>
  <c r="T1783" i="10"/>
  <c r="T1782" i="10"/>
  <c r="T1781" i="10"/>
  <c r="T1780" i="10"/>
  <c r="T1779" i="10"/>
  <c r="T1778" i="10"/>
  <c r="T1777" i="10"/>
  <c r="T1776" i="10"/>
  <c r="T1775" i="10"/>
  <c r="T1774" i="10"/>
  <c r="T1773" i="10"/>
  <c r="T1772" i="10"/>
  <c r="T1771" i="10"/>
  <c r="T1770" i="10"/>
  <c r="T1769" i="10"/>
  <c r="T1768" i="10"/>
  <c r="T1767" i="10"/>
  <c r="T1766" i="10"/>
  <c r="T1765" i="10"/>
  <c r="T1764" i="10"/>
  <c r="T1763" i="10"/>
  <c r="T1762" i="10"/>
  <c r="T1761" i="10"/>
  <c r="T1760" i="10"/>
  <c r="T1759" i="10"/>
  <c r="T1758" i="10"/>
  <c r="T1757" i="10"/>
  <c r="T1756" i="10"/>
  <c r="T1755" i="10"/>
  <c r="T1754" i="10"/>
  <c r="T1753" i="10"/>
  <c r="T1752" i="10"/>
  <c r="T1751" i="10"/>
  <c r="T1750" i="10"/>
  <c r="T1749" i="10"/>
  <c r="T1748" i="10"/>
  <c r="T1747" i="10"/>
  <c r="T1746" i="10"/>
  <c r="T1745" i="10"/>
  <c r="T1744" i="10"/>
  <c r="T1743" i="10"/>
  <c r="T1742" i="10"/>
  <c r="T1741" i="10"/>
  <c r="T1740" i="10"/>
  <c r="T1739" i="10"/>
  <c r="T1738" i="10"/>
  <c r="T1737" i="10"/>
  <c r="T1736" i="10"/>
  <c r="T1735" i="10"/>
  <c r="T1734" i="10"/>
  <c r="T1733" i="10"/>
  <c r="T1732" i="10"/>
  <c r="T1731" i="10"/>
  <c r="T1730" i="10"/>
  <c r="T1729" i="10"/>
  <c r="T1728" i="10"/>
  <c r="T1727" i="10"/>
  <c r="T1726" i="10"/>
  <c r="T1725" i="10"/>
  <c r="T1724" i="10"/>
  <c r="T1723" i="10"/>
  <c r="T1722" i="10"/>
  <c r="T1721" i="10"/>
  <c r="T1720" i="10"/>
  <c r="T1719" i="10"/>
  <c r="T1718" i="10"/>
  <c r="T1717" i="10"/>
  <c r="T1716" i="10"/>
  <c r="T1715" i="10"/>
  <c r="T1714" i="10"/>
  <c r="T1713" i="10"/>
  <c r="T1712" i="10"/>
  <c r="T1711" i="10"/>
  <c r="T1710" i="10"/>
  <c r="T1709" i="10"/>
  <c r="T1708" i="10"/>
  <c r="T1707" i="10"/>
  <c r="T1706" i="10"/>
  <c r="T1705" i="10"/>
  <c r="T1704" i="10"/>
  <c r="T1703" i="10"/>
  <c r="T1702" i="10"/>
  <c r="T1701" i="10"/>
  <c r="T1700" i="10"/>
  <c r="T1699" i="10"/>
  <c r="T1698" i="10"/>
  <c r="T1697" i="10"/>
  <c r="T1696" i="10"/>
  <c r="T1695" i="10"/>
  <c r="T1694" i="10"/>
  <c r="T1693" i="10"/>
  <c r="T1692" i="10"/>
  <c r="T1691" i="10"/>
  <c r="T1690" i="10"/>
  <c r="T1689" i="10"/>
  <c r="T1688" i="10"/>
  <c r="T1687" i="10"/>
  <c r="T1686" i="10"/>
  <c r="T1685" i="10"/>
  <c r="T1684" i="10"/>
  <c r="T1683" i="10"/>
  <c r="T1682" i="10"/>
  <c r="T1681" i="10"/>
  <c r="T1680" i="10"/>
  <c r="T1679" i="10"/>
  <c r="T1678" i="10"/>
  <c r="T1677" i="10"/>
  <c r="T1676" i="10"/>
  <c r="T1675" i="10"/>
  <c r="T1674" i="10"/>
  <c r="T1673" i="10"/>
  <c r="T1672" i="10"/>
  <c r="T1671" i="10"/>
  <c r="T1670" i="10"/>
  <c r="T1669" i="10"/>
  <c r="T1668" i="10"/>
  <c r="T1667" i="10"/>
  <c r="T1666" i="10"/>
  <c r="T1665" i="10"/>
  <c r="T1664" i="10"/>
  <c r="T1663" i="10"/>
  <c r="T1662" i="10"/>
  <c r="T1661" i="10"/>
  <c r="T1660" i="10"/>
  <c r="T1659" i="10"/>
  <c r="T1658" i="10"/>
  <c r="T1657" i="10"/>
  <c r="T1656" i="10"/>
  <c r="T1655" i="10"/>
  <c r="T1654" i="10"/>
  <c r="T1653" i="10"/>
  <c r="T1652" i="10"/>
  <c r="T1651" i="10"/>
  <c r="T1650" i="10"/>
  <c r="T1649" i="10"/>
  <c r="T1648" i="10"/>
  <c r="T1647" i="10"/>
  <c r="T1646" i="10"/>
  <c r="T1645" i="10"/>
  <c r="T1644" i="10"/>
  <c r="T1643" i="10"/>
  <c r="T1642" i="10"/>
  <c r="T1641" i="10"/>
  <c r="T1640" i="10"/>
  <c r="T1639" i="10"/>
  <c r="T1638" i="10"/>
  <c r="T1637" i="10"/>
  <c r="T1636" i="10"/>
  <c r="T1635" i="10"/>
  <c r="T1634" i="10"/>
  <c r="T1633" i="10"/>
  <c r="T1632" i="10"/>
  <c r="T1631" i="10"/>
  <c r="T1630" i="10"/>
  <c r="T1629" i="10"/>
  <c r="T1628" i="10"/>
  <c r="T1627" i="10"/>
  <c r="T1626" i="10"/>
  <c r="T1625" i="10"/>
  <c r="T1624" i="10"/>
  <c r="T1623" i="10"/>
  <c r="T1622" i="10"/>
  <c r="T1621" i="10"/>
  <c r="T1620" i="10"/>
  <c r="T1619" i="10"/>
  <c r="T1618" i="10"/>
  <c r="T1617" i="10"/>
  <c r="T1616" i="10"/>
  <c r="T1615" i="10"/>
  <c r="T1614" i="10"/>
  <c r="T1613" i="10"/>
  <c r="T1612" i="10"/>
  <c r="T1611" i="10"/>
  <c r="T1610" i="10"/>
  <c r="T1609" i="10"/>
  <c r="T1608" i="10"/>
  <c r="T1607" i="10"/>
  <c r="T1606" i="10"/>
  <c r="T1605" i="10"/>
  <c r="T1604" i="10"/>
  <c r="T1603" i="10"/>
  <c r="T1602" i="10"/>
  <c r="T1601" i="10"/>
  <c r="T1600" i="10"/>
  <c r="T1599" i="10"/>
  <c r="T1598" i="10"/>
  <c r="T1597" i="10"/>
  <c r="T1596" i="10"/>
  <c r="T1595" i="10"/>
  <c r="T1594" i="10"/>
  <c r="T1593" i="10"/>
  <c r="T1592" i="10"/>
  <c r="T1591" i="10"/>
  <c r="T1590" i="10"/>
  <c r="T1589" i="10"/>
  <c r="T1588" i="10"/>
  <c r="T1587" i="10"/>
  <c r="T1586" i="10"/>
  <c r="T1585" i="10"/>
  <c r="T1584" i="10"/>
  <c r="T1583" i="10"/>
  <c r="T1582" i="10"/>
  <c r="T1581" i="10"/>
  <c r="T1580" i="10"/>
  <c r="T1579" i="10"/>
  <c r="T1578" i="10"/>
  <c r="T1577" i="10"/>
  <c r="T1576" i="10"/>
  <c r="T1575" i="10"/>
  <c r="T1574" i="10"/>
  <c r="T1573" i="10"/>
  <c r="T1572" i="10"/>
  <c r="T1571" i="10"/>
  <c r="T1570" i="10"/>
  <c r="T1569" i="10"/>
  <c r="T1568" i="10"/>
  <c r="T1567" i="10"/>
  <c r="T1566" i="10"/>
  <c r="T1565" i="10"/>
  <c r="T1564" i="10"/>
  <c r="T1563" i="10"/>
  <c r="T1562" i="10"/>
  <c r="T1561" i="10"/>
  <c r="T1560" i="10"/>
  <c r="T1559" i="10"/>
  <c r="T1558" i="10"/>
  <c r="T1557" i="10"/>
  <c r="T1556" i="10"/>
  <c r="T1555" i="10"/>
  <c r="T1554" i="10"/>
  <c r="T1553" i="10"/>
  <c r="T1552" i="10"/>
  <c r="T1551" i="10"/>
  <c r="T1550" i="10"/>
  <c r="T1549" i="10"/>
  <c r="T1548" i="10"/>
  <c r="T1547" i="10"/>
  <c r="T1546" i="10"/>
  <c r="T1545" i="10"/>
  <c r="T1544" i="10"/>
  <c r="T1543" i="10"/>
  <c r="T1542" i="10"/>
  <c r="T1541" i="10"/>
  <c r="T1540" i="10"/>
  <c r="T1539" i="10"/>
  <c r="T1538" i="10"/>
  <c r="T1537" i="10"/>
  <c r="T1536" i="10"/>
  <c r="T1535" i="10"/>
  <c r="T1534" i="10"/>
  <c r="T1533" i="10"/>
  <c r="T1532" i="10"/>
  <c r="T1531" i="10"/>
  <c r="T1530" i="10"/>
  <c r="T1529" i="10"/>
  <c r="T1528" i="10"/>
  <c r="T1527" i="10"/>
  <c r="T1526" i="10"/>
  <c r="T1525" i="10"/>
  <c r="T1524" i="10"/>
  <c r="T1523" i="10"/>
  <c r="T1522" i="10"/>
  <c r="T1521" i="10"/>
  <c r="T1520" i="10"/>
  <c r="T1519" i="10"/>
  <c r="T1518" i="10"/>
  <c r="T1517" i="10"/>
  <c r="T1516" i="10"/>
  <c r="T1515" i="10"/>
  <c r="T1514" i="10"/>
  <c r="T1513" i="10"/>
  <c r="T1512" i="10"/>
  <c r="T1511" i="10"/>
  <c r="T1510" i="10"/>
  <c r="T1509" i="10"/>
  <c r="T1508" i="10"/>
  <c r="T1507" i="10"/>
  <c r="T1506" i="10"/>
  <c r="T1505" i="10"/>
  <c r="T1504" i="10"/>
  <c r="T1503" i="10"/>
  <c r="T1502" i="10"/>
  <c r="T1501" i="10"/>
  <c r="T1500" i="10"/>
  <c r="T1499" i="10"/>
  <c r="T1498" i="10"/>
  <c r="T1497" i="10"/>
  <c r="T1496" i="10"/>
  <c r="T1495" i="10"/>
  <c r="T1494" i="10"/>
  <c r="T1493" i="10"/>
  <c r="T1492" i="10"/>
  <c r="T1491" i="10"/>
  <c r="T1490" i="10"/>
  <c r="T1489" i="10"/>
  <c r="T1488" i="10"/>
  <c r="T1487" i="10"/>
  <c r="T1486" i="10"/>
  <c r="T1485" i="10"/>
  <c r="T1484" i="10"/>
  <c r="T1483" i="10"/>
  <c r="T1482" i="10"/>
  <c r="T1481" i="10"/>
  <c r="T1480" i="10"/>
  <c r="T1479" i="10"/>
  <c r="T1478" i="10"/>
  <c r="T1477" i="10"/>
  <c r="T1476" i="10"/>
  <c r="T1475" i="10"/>
  <c r="T1474" i="10"/>
  <c r="T1473" i="10"/>
  <c r="T1472" i="10"/>
  <c r="T1471" i="10"/>
  <c r="T1470" i="10"/>
  <c r="T1469" i="10"/>
  <c r="T1468" i="10"/>
  <c r="T1467" i="10"/>
  <c r="T1466" i="10"/>
  <c r="T1465" i="10"/>
  <c r="T1464" i="10"/>
  <c r="T1463" i="10"/>
  <c r="T1462" i="10"/>
  <c r="T1461" i="10"/>
  <c r="T1460" i="10"/>
  <c r="T1459" i="10"/>
  <c r="T1458" i="10"/>
  <c r="T1457" i="10"/>
  <c r="T1456" i="10"/>
  <c r="T1455" i="10"/>
  <c r="T1454" i="10"/>
  <c r="T1453" i="10"/>
  <c r="T1452" i="10"/>
  <c r="T1451" i="10"/>
  <c r="T1450" i="10"/>
  <c r="T1449" i="10"/>
  <c r="T1448" i="10"/>
  <c r="T1447" i="10"/>
  <c r="T1446" i="10"/>
  <c r="T1445" i="10"/>
  <c r="T1444" i="10"/>
  <c r="T1443" i="10"/>
  <c r="T1442" i="10"/>
  <c r="T1441" i="10"/>
  <c r="T1440" i="10"/>
  <c r="T1439" i="10"/>
  <c r="T1438" i="10"/>
  <c r="T1437" i="10"/>
  <c r="T1436" i="10"/>
  <c r="T1435" i="10"/>
  <c r="T1434" i="10"/>
  <c r="T1433" i="10"/>
  <c r="T1432" i="10"/>
  <c r="T1431" i="10"/>
  <c r="T1430" i="10"/>
  <c r="T1429" i="10"/>
  <c r="T1428" i="10"/>
  <c r="T1427" i="10"/>
  <c r="T1426" i="10"/>
  <c r="T1425" i="10"/>
  <c r="T1424" i="10"/>
  <c r="T1423" i="10"/>
  <c r="T1422" i="10"/>
  <c r="T1421" i="10"/>
  <c r="T1420" i="10"/>
  <c r="T1419" i="10"/>
  <c r="T1418" i="10"/>
  <c r="T1417" i="10"/>
  <c r="T1416" i="10"/>
  <c r="T1415" i="10"/>
  <c r="T1414" i="10"/>
  <c r="T1413" i="10"/>
  <c r="T1412" i="10"/>
  <c r="T1411" i="10"/>
  <c r="T1410" i="10"/>
  <c r="T1409" i="10"/>
  <c r="T1408" i="10"/>
  <c r="T1407" i="10"/>
  <c r="T1406" i="10"/>
  <c r="T1405" i="10"/>
  <c r="T1404" i="10"/>
  <c r="T1403" i="10"/>
  <c r="T1402" i="10"/>
  <c r="T1401" i="10"/>
  <c r="T1400" i="10"/>
  <c r="T1399" i="10"/>
  <c r="T1398" i="10"/>
  <c r="T1397" i="10"/>
  <c r="T1396" i="10"/>
  <c r="T1395" i="10"/>
  <c r="T1394" i="10"/>
  <c r="T1393" i="10"/>
  <c r="T1392" i="10"/>
  <c r="T1391" i="10"/>
  <c r="T1390" i="10"/>
  <c r="T1389" i="10"/>
  <c r="T1388" i="10"/>
  <c r="T1387" i="10"/>
  <c r="T1386" i="10"/>
  <c r="T1385" i="10"/>
  <c r="T1384" i="10"/>
  <c r="T1383" i="10"/>
  <c r="T1382" i="10"/>
  <c r="T1381" i="10"/>
  <c r="T1380" i="10"/>
  <c r="T1379" i="10"/>
  <c r="T1378" i="10"/>
  <c r="T1377" i="10"/>
  <c r="T1376" i="10"/>
  <c r="T1375" i="10"/>
  <c r="T1374" i="10"/>
  <c r="T1373" i="10"/>
  <c r="T1372" i="10"/>
  <c r="T1371" i="10"/>
  <c r="T1370" i="10"/>
  <c r="T1369" i="10"/>
  <c r="T1368" i="10"/>
  <c r="T1367" i="10"/>
  <c r="T1366" i="10"/>
  <c r="T1365" i="10"/>
  <c r="T1364" i="10"/>
  <c r="T1363" i="10"/>
  <c r="T1362" i="10"/>
  <c r="T1361" i="10"/>
  <c r="T1360" i="10"/>
  <c r="T1359" i="10"/>
  <c r="T1358" i="10"/>
  <c r="T1357" i="10"/>
  <c r="T1356" i="10"/>
  <c r="T1355" i="10"/>
  <c r="T1354" i="10"/>
  <c r="T1353" i="10"/>
  <c r="T1352" i="10"/>
  <c r="T1351" i="10"/>
  <c r="T1350" i="10"/>
  <c r="T1349" i="10"/>
  <c r="T1348" i="10"/>
  <c r="T1347" i="10"/>
  <c r="T1346" i="10"/>
  <c r="T1345" i="10"/>
  <c r="T1344" i="10"/>
  <c r="T1343" i="10"/>
  <c r="T1342" i="10"/>
  <c r="T1341" i="10"/>
  <c r="T1340" i="10"/>
  <c r="T1339" i="10"/>
  <c r="T1338" i="10"/>
  <c r="T1337" i="10"/>
  <c r="T1336" i="10"/>
  <c r="T1335" i="10"/>
  <c r="T1334" i="10"/>
  <c r="T1333" i="10"/>
  <c r="T1332" i="10"/>
  <c r="T1331" i="10"/>
  <c r="T1330" i="10"/>
  <c r="T1329" i="10"/>
  <c r="T1328" i="10"/>
  <c r="T1327" i="10"/>
  <c r="T1326" i="10"/>
  <c r="T1325" i="10"/>
  <c r="T1324" i="10"/>
  <c r="T1323" i="10"/>
  <c r="T1322" i="10"/>
  <c r="T1321" i="10"/>
  <c r="T1320" i="10"/>
  <c r="T1319" i="10"/>
  <c r="T1318" i="10"/>
  <c r="T1317" i="10"/>
  <c r="T1316" i="10"/>
  <c r="T1315" i="10"/>
  <c r="T1314" i="10"/>
  <c r="T1313" i="10"/>
  <c r="T1312" i="10"/>
  <c r="T1311" i="10"/>
  <c r="T1310" i="10"/>
  <c r="T1309" i="10"/>
  <c r="T1308" i="10"/>
  <c r="T1307" i="10"/>
  <c r="T1306" i="10"/>
  <c r="T1305" i="10"/>
  <c r="T1304" i="10"/>
  <c r="T1303" i="10"/>
  <c r="T1302" i="10"/>
  <c r="T1301" i="10"/>
  <c r="T1300" i="10"/>
  <c r="T1299" i="10"/>
  <c r="T1298" i="10"/>
  <c r="T1297" i="10"/>
  <c r="T1296" i="10"/>
  <c r="T1295" i="10"/>
  <c r="T1294" i="10"/>
  <c r="T1293" i="10"/>
  <c r="T1292" i="10"/>
  <c r="T1291" i="10"/>
  <c r="T1290" i="10"/>
  <c r="T1289" i="10"/>
  <c r="T1288" i="10"/>
  <c r="T1287" i="10"/>
  <c r="T1286" i="10"/>
  <c r="T1285" i="10"/>
  <c r="T1284" i="10"/>
  <c r="T1283" i="10"/>
  <c r="T1282" i="10"/>
  <c r="T1281" i="10"/>
  <c r="T1280" i="10"/>
  <c r="T1279" i="10"/>
  <c r="T1278" i="10"/>
  <c r="T1277" i="10"/>
  <c r="T1276" i="10"/>
  <c r="T1275" i="10"/>
  <c r="T1274" i="10"/>
  <c r="T1273" i="10"/>
  <c r="T1272" i="10"/>
  <c r="T1271" i="10"/>
  <c r="T1270" i="10"/>
  <c r="T1269" i="10"/>
  <c r="T1268" i="10"/>
  <c r="T1267" i="10"/>
  <c r="T1266" i="10"/>
  <c r="T1265" i="10"/>
  <c r="T1264" i="10"/>
  <c r="T1263" i="10"/>
  <c r="T1262" i="10"/>
  <c r="T1261" i="10"/>
  <c r="T1260" i="10"/>
  <c r="T1259" i="10"/>
  <c r="T1258" i="10"/>
  <c r="T1257" i="10"/>
  <c r="T1256" i="10"/>
  <c r="T1255" i="10"/>
  <c r="T1254" i="10"/>
  <c r="T1253" i="10"/>
  <c r="T1252" i="10"/>
  <c r="T1251" i="10"/>
  <c r="T1250" i="10"/>
  <c r="T1249" i="10"/>
  <c r="T1248" i="10"/>
  <c r="T1247" i="10"/>
  <c r="T1246" i="10"/>
  <c r="T1245" i="10"/>
  <c r="T1244" i="10"/>
  <c r="T1243" i="10"/>
  <c r="T1242" i="10"/>
  <c r="T1241" i="10"/>
  <c r="T1240" i="10"/>
  <c r="T1239" i="10"/>
  <c r="T1238" i="10"/>
  <c r="T1237" i="10"/>
  <c r="T1236" i="10"/>
  <c r="T1235" i="10"/>
  <c r="T1234" i="10"/>
  <c r="T1233" i="10"/>
  <c r="T1232" i="10"/>
  <c r="T1231" i="10"/>
  <c r="T1230" i="10"/>
  <c r="T1229" i="10"/>
  <c r="T1228" i="10"/>
  <c r="T1227" i="10"/>
  <c r="T1226" i="10"/>
  <c r="T1225" i="10"/>
  <c r="T1224" i="10"/>
  <c r="T1223" i="10"/>
  <c r="T1222" i="10"/>
  <c r="T1221" i="10"/>
  <c r="T1220" i="10"/>
  <c r="T1219" i="10"/>
  <c r="T1218" i="10"/>
  <c r="T1217" i="10"/>
  <c r="T1216" i="10"/>
  <c r="T1215" i="10"/>
  <c r="T1214" i="10"/>
  <c r="T1213" i="10"/>
  <c r="T1212" i="10"/>
  <c r="T1211" i="10"/>
  <c r="T1210" i="10"/>
  <c r="T1209" i="10"/>
  <c r="T1208" i="10"/>
  <c r="T1207" i="10"/>
  <c r="T1206" i="10"/>
  <c r="T1205" i="10"/>
  <c r="T1204" i="10"/>
  <c r="T1203" i="10"/>
  <c r="T1202" i="10"/>
  <c r="T1201" i="10"/>
  <c r="T1200" i="10"/>
  <c r="T1199" i="10"/>
  <c r="T1198" i="10"/>
  <c r="T1197" i="10"/>
  <c r="T1196" i="10"/>
  <c r="T1195" i="10"/>
  <c r="T1194" i="10"/>
  <c r="T1193" i="10"/>
  <c r="T1192" i="10"/>
  <c r="T1191" i="10"/>
  <c r="T1190" i="10"/>
  <c r="T1189" i="10"/>
  <c r="T1188" i="10"/>
  <c r="T1187" i="10"/>
  <c r="T1186" i="10"/>
  <c r="T1185" i="10"/>
  <c r="T1184" i="10"/>
  <c r="T1183" i="10"/>
  <c r="T1182" i="10"/>
  <c r="T1181" i="10"/>
  <c r="T1180" i="10"/>
  <c r="T1179" i="10"/>
  <c r="T1178" i="10"/>
  <c r="T1177" i="10"/>
  <c r="T1176" i="10"/>
  <c r="T1175" i="10"/>
  <c r="T1174" i="10"/>
  <c r="T1173" i="10"/>
  <c r="T1172" i="10"/>
  <c r="T1171" i="10"/>
  <c r="T1170" i="10"/>
  <c r="T1169" i="10"/>
  <c r="T1168" i="10"/>
  <c r="T1167" i="10"/>
  <c r="T1166" i="10"/>
  <c r="T1165" i="10"/>
  <c r="T1164" i="10"/>
  <c r="T1163" i="10"/>
  <c r="T1162" i="10"/>
  <c r="T1161" i="10"/>
  <c r="T1160" i="10"/>
  <c r="T1159" i="10"/>
  <c r="T1158" i="10"/>
  <c r="T1157" i="10"/>
  <c r="T1156" i="10"/>
  <c r="T1155" i="10"/>
  <c r="T1154" i="10"/>
  <c r="T1153" i="10"/>
  <c r="T1152" i="10"/>
  <c r="T1151" i="10"/>
  <c r="T1150" i="10"/>
  <c r="T1149" i="10"/>
  <c r="T1148" i="10"/>
  <c r="T1147" i="10"/>
  <c r="T1146" i="10"/>
  <c r="T1145" i="10"/>
  <c r="T1144" i="10"/>
  <c r="T1143" i="10"/>
  <c r="T1142" i="10"/>
  <c r="T1141" i="10"/>
  <c r="T1140" i="10"/>
  <c r="T1139" i="10"/>
  <c r="T1138" i="10"/>
  <c r="T1137" i="10"/>
  <c r="T1136" i="10"/>
  <c r="T1135" i="10"/>
  <c r="T1134" i="10"/>
  <c r="T1133" i="10"/>
  <c r="T1132" i="10"/>
  <c r="T1131" i="10"/>
  <c r="T1130" i="10"/>
  <c r="T1129" i="10"/>
  <c r="T1128" i="10"/>
  <c r="T1127" i="10"/>
  <c r="T1126" i="10"/>
  <c r="T1125" i="10"/>
  <c r="T1124" i="10"/>
  <c r="T1123" i="10"/>
  <c r="T1122" i="10"/>
  <c r="T1121" i="10"/>
  <c r="T1120" i="10"/>
  <c r="T1119" i="10"/>
  <c r="T1118" i="10"/>
  <c r="T1117" i="10"/>
  <c r="T1116" i="10"/>
  <c r="T1115" i="10"/>
  <c r="T1114" i="10"/>
  <c r="T1113" i="10"/>
  <c r="T1112" i="10"/>
  <c r="T1111" i="10"/>
  <c r="T1110" i="10"/>
  <c r="T1109" i="10"/>
  <c r="T1108" i="10"/>
  <c r="T1107" i="10"/>
  <c r="T1106" i="10"/>
  <c r="T1105" i="10"/>
  <c r="T1104" i="10"/>
  <c r="T1103" i="10"/>
  <c r="T1102" i="10"/>
  <c r="T1101" i="10"/>
  <c r="T1100" i="10"/>
  <c r="T1099" i="10"/>
  <c r="T1098" i="10"/>
  <c r="T1097" i="10"/>
  <c r="T1096" i="10"/>
  <c r="T1095" i="10"/>
  <c r="T1094" i="10"/>
  <c r="T1093" i="10"/>
  <c r="T1092" i="10"/>
  <c r="T1091" i="10"/>
  <c r="T1090" i="10"/>
  <c r="T1089" i="10"/>
  <c r="T1088" i="10"/>
  <c r="T1087" i="10"/>
  <c r="T1086" i="10"/>
  <c r="T1085" i="10"/>
  <c r="T1084" i="10"/>
  <c r="T1083" i="10"/>
  <c r="T1082" i="10"/>
  <c r="T1081" i="10"/>
  <c r="T1080" i="10"/>
  <c r="T1079" i="10"/>
  <c r="T1078" i="10"/>
  <c r="T1077" i="10"/>
  <c r="T1076" i="10"/>
  <c r="T1075" i="10"/>
  <c r="T1074" i="10"/>
  <c r="T1073" i="10"/>
  <c r="T1072" i="10"/>
  <c r="T1071" i="10"/>
  <c r="T1070" i="10"/>
  <c r="T1069" i="10"/>
  <c r="T1068" i="10"/>
  <c r="T1067" i="10"/>
  <c r="T1066" i="10"/>
  <c r="T1065" i="10"/>
  <c r="T1064" i="10"/>
  <c r="T1063" i="10"/>
  <c r="T1062" i="10"/>
  <c r="T1061" i="10"/>
  <c r="T1060" i="10"/>
  <c r="T1059" i="10"/>
  <c r="T1058" i="10"/>
  <c r="T1057" i="10"/>
  <c r="T1056" i="10"/>
  <c r="T1055" i="10"/>
  <c r="T1054" i="10"/>
  <c r="T1053" i="10"/>
  <c r="T1052" i="10"/>
  <c r="T1051" i="10"/>
  <c r="T1050" i="10"/>
  <c r="T1049" i="10"/>
  <c r="T1048" i="10"/>
  <c r="T1047" i="10"/>
  <c r="T1046" i="10"/>
  <c r="T1045" i="10"/>
  <c r="T1044" i="10"/>
  <c r="T1043" i="10"/>
  <c r="T1042" i="10"/>
  <c r="T1041" i="10"/>
  <c r="T1040" i="10"/>
  <c r="T1039" i="10"/>
  <c r="T1038" i="10"/>
  <c r="T1037" i="10"/>
  <c r="T1036" i="10"/>
  <c r="T1035" i="10"/>
  <c r="T1034" i="10"/>
  <c r="T1033" i="10"/>
  <c r="T1032" i="10"/>
  <c r="T1031" i="10"/>
  <c r="T1030" i="10"/>
  <c r="T1029" i="10"/>
  <c r="T1028" i="10"/>
  <c r="T1027" i="10"/>
  <c r="T1026" i="10"/>
  <c r="T1025" i="10"/>
  <c r="T1024" i="10"/>
  <c r="T1023" i="10"/>
  <c r="T1022" i="10"/>
  <c r="T1021" i="10"/>
  <c r="T1020" i="10"/>
  <c r="T1019" i="10"/>
  <c r="T1018" i="10"/>
  <c r="T1017" i="10"/>
  <c r="T1016" i="10"/>
  <c r="T1015" i="10"/>
  <c r="T1014" i="10"/>
  <c r="T1013" i="10"/>
  <c r="T1012" i="10"/>
  <c r="T1011" i="10"/>
  <c r="T1010" i="10"/>
  <c r="T1009" i="10"/>
  <c r="T1008" i="10"/>
  <c r="T1007" i="10"/>
  <c r="T1006" i="10"/>
  <c r="T1005" i="10"/>
  <c r="T1004" i="10"/>
  <c r="T1003" i="10"/>
  <c r="T1002" i="10"/>
  <c r="T1001" i="10"/>
  <c r="T1000" i="10"/>
  <c r="T999" i="10"/>
  <c r="T998" i="10"/>
  <c r="T997" i="10"/>
  <c r="T996" i="10"/>
  <c r="T995" i="10"/>
  <c r="T994" i="10"/>
  <c r="T993" i="10"/>
  <c r="T992" i="10"/>
  <c r="T991" i="10"/>
  <c r="T990" i="10"/>
  <c r="T989" i="10"/>
  <c r="T988" i="10"/>
  <c r="T987" i="10"/>
  <c r="T986" i="10"/>
  <c r="T985" i="10"/>
  <c r="T984" i="10"/>
  <c r="T983" i="10"/>
  <c r="T982" i="10"/>
  <c r="T981" i="10"/>
  <c r="T980" i="10"/>
  <c r="T979" i="10"/>
  <c r="T978" i="10"/>
  <c r="T977" i="10"/>
  <c r="T976" i="10"/>
  <c r="T975" i="10"/>
  <c r="T974" i="10"/>
  <c r="T973" i="10"/>
  <c r="T972" i="10"/>
  <c r="T971" i="10"/>
  <c r="T970" i="10"/>
  <c r="T969" i="10"/>
  <c r="T968" i="10"/>
  <c r="T967" i="10"/>
  <c r="T966" i="10"/>
  <c r="T965" i="10"/>
  <c r="T964" i="10"/>
  <c r="T963" i="10"/>
  <c r="T962" i="10"/>
  <c r="T961" i="10"/>
  <c r="T960" i="10"/>
  <c r="T959" i="10"/>
  <c r="T958" i="10"/>
  <c r="T957" i="10"/>
  <c r="T956" i="10"/>
  <c r="T955" i="10"/>
  <c r="T954" i="10"/>
  <c r="T953" i="10"/>
  <c r="T952" i="10"/>
  <c r="T951" i="10"/>
  <c r="T950" i="10"/>
  <c r="T949" i="10"/>
  <c r="T948" i="10"/>
  <c r="T947" i="10"/>
  <c r="T946" i="10"/>
  <c r="T945" i="10"/>
  <c r="T944" i="10"/>
  <c r="T943" i="10"/>
  <c r="T942" i="10"/>
  <c r="T941" i="10"/>
  <c r="T940" i="10"/>
  <c r="T939" i="10"/>
  <c r="T938" i="10"/>
  <c r="T937" i="10"/>
  <c r="T936" i="10"/>
  <c r="T935" i="10"/>
  <c r="T934" i="10"/>
  <c r="T933" i="10"/>
  <c r="T932" i="10"/>
  <c r="T931" i="10"/>
  <c r="T930" i="10"/>
  <c r="T929" i="10"/>
  <c r="T928" i="10"/>
  <c r="T927" i="10"/>
  <c r="T926" i="10"/>
  <c r="T925" i="10"/>
  <c r="T924" i="10"/>
  <c r="T923" i="10"/>
  <c r="T922" i="10"/>
  <c r="T921" i="10"/>
  <c r="T920" i="10"/>
  <c r="T919" i="10"/>
  <c r="T918" i="10"/>
  <c r="T917" i="10"/>
  <c r="T916" i="10"/>
  <c r="T915" i="10"/>
  <c r="T914" i="10"/>
  <c r="T913" i="10"/>
  <c r="T912" i="10"/>
  <c r="T911" i="10"/>
  <c r="T910" i="10"/>
  <c r="T909" i="10"/>
  <c r="T908" i="10"/>
  <c r="T907" i="10"/>
  <c r="T906" i="10"/>
  <c r="T905" i="10"/>
  <c r="T904" i="10"/>
  <c r="T903" i="10"/>
  <c r="T902" i="10"/>
  <c r="T901" i="10"/>
  <c r="T900" i="10"/>
  <c r="T899" i="10"/>
  <c r="T898" i="10"/>
  <c r="T897" i="10"/>
  <c r="T896" i="10"/>
  <c r="T895" i="10"/>
  <c r="T894" i="10"/>
  <c r="T893" i="10"/>
  <c r="T892" i="10"/>
  <c r="T891" i="10"/>
  <c r="T890" i="10"/>
  <c r="T889" i="10"/>
  <c r="T888" i="10"/>
  <c r="T887" i="10"/>
  <c r="T886" i="10"/>
  <c r="T885" i="10"/>
  <c r="T884" i="10"/>
  <c r="T883" i="10"/>
  <c r="T882" i="10"/>
  <c r="T881" i="10"/>
  <c r="T880" i="10"/>
  <c r="T879" i="10"/>
  <c r="T878" i="10"/>
  <c r="T877" i="10"/>
  <c r="T876" i="10"/>
  <c r="T875" i="10"/>
  <c r="T874" i="10"/>
  <c r="T873" i="10"/>
  <c r="T872" i="10"/>
  <c r="T871" i="10"/>
  <c r="T870" i="10"/>
  <c r="T869" i="10"/>
  <c r="T868" i="10"/>
  <c r="T867" i="10"/>
  <c r="T866" i="10"/>
  <c r="T865" i="10"/>
  <c r="T864" i="10"/>
  <c r="T863" i="10"/>
  <c r="T862" i="10"/>
  <c r="T861" i="10"/>
  <c r="T860" i="10"/>
  <c r="T859" i="10"/>
  <c r="T858" i="10"/>
  <c r="T857" i="10"/>
  <c r="T856" i="10"/>
  <c r="T855" i="10"/>
  <c r="T854" i="10"/>
  <c r="T853" i="10"/>
  <c r="T852" i="10"/>
  <c r="T851" i="10"/>
  <c r="T850" i="10"/>
  <c r="T849" i="10"/>
  <c r="T848" i="10"/>
  <c r="T847" i="10"/>
  <c r="T846" i="10"/>
  <c r="T845" i="10"/>
  <c r="T844" i="10"/>
  <c r="T843" i="10"/>
  <c r="T842" i="10"/>
  <c r="T841" i="10"/>
  <c r="T840" i="10"/>
  <c r="T839" i="10"/>
  <c r="T838" i="10"/>
  <c r="T837" i="10"/>
  <c r="T836" i="10"/>
  <c r="T835" i="10"/>
  <c r="T834" i="10"/>
  <c r="T833" i="10"/>
  <c r="T832" i="10"/>
  <c r="T831" i="10"/>
  <c r="T830" i="10"/>
  <c r="T829" i="10"/>
  <c r="T828" i="10"/>
  <c r="T827" i="10"/>
  <c r="T826" i="10"/>
  <c r="T825" i="10"/>
  <c r="T824" i="10"/>
  <c r="T823" i="10"/>
  <c r="T822" i="10"/>
  <c r="T821" i="10"/>
  <c r="T820" i="10"/>
  <c r="T819" i="10"/>
  <c r="T818" i="10"/>
  <c r="T817" i="10"/>
  <c r="T816" i="10"/>
  <c r="T815" i="10"/>
  <c r="T814" i="10"/>
  <c r="T813" i="10"/>
  <c r="T812" i="10"/>
  <c r="T811" i="10"/>
  <c r="T810" i="10"/>
  <c r="T809" i="10"/>
  <c r="T808" i="10"/>
  <c r="T807" i="10"/>
  <c r="T806" i="10"/>
  <c r="T805" i="10"/>
  <c r="T804" i="10"/>
  <c r="T803" i="10"/>
  <c r="T802" i="10"/>
  <c r="T801" i="10"/>
  <c r="T800" i="10"/>
  <c r="T799" i="10"/>
  <c r="T798" i="10"/>
  <c r="T797" i="10"/>
  <c r="T796" i="10"/>
  <c r="T795" i="10"/>
  <c r="T794" i="10"/>
  <c r="T793" i="10"/>
  <c r="T792" i="10"/>
  <c r="T791" i="10"/>
  <c r="T790" i="10"/>
  <c r="T789" i="10"/>
  <c r="T788" i="10"/>
  <c r="T787" i="10"/>
  <c r="T786" i="10"/>
  <c r="T785" i="10"/>
  <c r="T784" i="10"/>
  <c r="T783" i="10"/>
  <c r="T782" i="10"/>
  <c r="T781" i="10"/>
  <c r="T780" i="10"/>
  <c r="T779" i="10"/>
  <c r="T778" i="10"/>
  <c r="T777" i="10"/>
  <c r="T776" i="10"/>
  <c r="T775" i="10"/>
  <c r="T774" i="10"/>
  <c r="T773" i="10"/>
  <c r="T772" i="10"/>
  <c r="T771" i="10"/>
  <c r="T770" i="10"/>
  <c r="T769" i="10"/>
  <c r="T768" i="10"/>
  <c r="T767" i="10"/>
  <c r="T766" i="10"/>
  <c r="T765" i="10"/>
  <c r="T764" i="10"/>
  <c r="T763" i="10"/>
  <c r="T762" i="10"/>
  <c r="T761" i="10"/>
  <c r="T760" i="10"/>
  <c r="T759" i="10"/>
  <c r="T758" i="10"/>
  <c r="T757" i="10"/>
  <c r="T756" i="10"/>
  <c r="T755" i="10"/>
  <c r="T754" i="10"/>
  <c r="T753" i="10"/>
  <c r="T752" i="10"/>
  <c r="T751" i="10"/>
  <c r="T750" i="10"/>
  <c r="T749" i="10"/>
  <c r="T748" i="10"/>
  <c r="T747" i="10"/>
  <c r="T746" i="10"/>
  <c r="T745" i="10"/>
  <c r="T744" i="10"/>
  <c r="T743" i="10"/>
  <c r="T742" i="10"/>
  <c r="T741" i="10"/>
  <c r="T740" i="10"/>
  <c r="T739" i="10"/>
  <c r="T738" i="10"/>
  <c r="T737" i="10"/>
  <c r="T736" i="10"/>
  <c r="T735" i="10"/>
  <c r="T734" i="10"/>
  <c r="T733" i="10"/>
  <c r="T732" i="10"/>
  <c r="T731" i="10"/>
  <c r="T730" i="10"/>
  <c r="T729" i="10"/>
  <c r="T728" i="10"/>
  <c r="T727" i="10"/>
  <c r="T726" i="10"/>
  <c r="T725" i="10"/>
  <c r="T724" i="10"/>
  <c r="T723" i="10"/>
  <c r="T722" i="10"/>
  <c r="T721" i="10"/>
  <c r="T720" i="10"/>
  <c r="T719" i="10"/>
  <c r="T718" i="10"/>
  <c r="T717" i="10"/>
  <c r="T716" i="10"/>
  <c r="T715" i="10"/>
  <c r="T714" i="10"/>
  <c r="T713" i="10"/>
  <c r="T712" i="10"/>
  <c r="T711" i="10"/>
  <c r="T710" i="10"/>
  <c r="T709" i="10"/>
  <c r="T708" i="10"/>
  <c r="T707" i="10"/>
  <c r="T706" i="10"/>
  <c r="T705" i="10"/>
  <c r="T704" i="10"/>
  <c r="T703" i="10"/>
  <c r="T702" i="10"/>
  <c r="T701" i="10"/>
  <c r="T700" i="10"/>
  <c r="T699" i="10"/>
  <c r="T698" i="10"/>
  <c r="T697" i="10"/>
  <c r="T696" i="10"/>
  <c r="T695" i="10"/>
  <c r="T694" i="10"/>
  <c r="T693" i="10"/>
  <c r="T692" i="10"/>
  <c r="T691" i="10"/>
  <c r="T690" i="10"/>
  <c r="T689" i="10"/>
  <c r="T688" i="10"/>
  <c r="T687" i="10"/>
  <c r="T686" i="10"/>
  <c r="T685" i="10"/>
  <c r="T684" i="10"/>
  <c r="T683" i="10"/>
  <c r="T682" i="10"/>
  <c r="T681" i="10"/>
  <c r="T680" i="10"/>
  <c r="T679" i="10"/>
  <c r="T678" i="10"/>
  <c r="T677" i="10"/>
  <c r="T676" i="10"/>
  <c r="T675" i="10"/>
  <c r="T674" i="10"/>
  <c r="T673" i="10"/>
  <c r="T672" i="10"/>
  <c r="T671" i="10"/>
  <c r="T670" i="10"/>
  <c r="T669" i="10"/>
  <c r="T668" i="10"/>
  <c r="T667" i="10"/>
  <c r="T666" i="10"/>
  <c r="T665" i="10"/>
  <c r="T664" i="10"/>
  <c r="T663" i="10"/>
  <c r="T662" i="10"/>
  <c r="T661" i="10"/>
  <c r="T660" i="10"/>
  <c r="T659" i="10"/>
  <c r="T658" i="10"/>
  <c r="T657" i="10"/>
  <c r="T656" i="10"/>
  <c r="T655" i="10"/>
  <c r="T654" i="10"/>
  <c r="T653" i="10"/>
  <c r="T652" i="10"/>
  <c r="T651" i="10"/>
  <c r="T650" i="10"/>
  <c r="T649" i="10"/>
  <c r="T648" i="10"/>
  <c r="T647" i="10"/>
  <c r="T646" i="10"/>
  <c r="T645" i="10"/>
  <c r="T644" i="10"/>
  <c r="T643" i="10"/>
  <c r="T642" i="10"/>
  <c r="T641" i="10"/>
  <c r="T640" i="10"/>
  <c r="T639" i="10"/>
  <c r="T638" i="10"/>
  <c r="T637" i="10"/>
  <c r="T636" i="10"/>
  <c r="T635" i="10"/>
  <c r="T634" i="10"/>
  <c r="T633" i="10"/>
  <c r="T632" i="10"/>
  <c r="T631" i="10"/>
  <c r="T630" i="10"/>
  <c r="T629" i="10"/>
  <c r="T628" i="10"/>
  <c r="T627" i="10"/>
  <c r="T626" i="10"/>
  <c r="T625" i="10"/>
  <c r="T624" i="10"/>
  <c r="T623" i="10"/>
  <c r="T622" i="10"/>
  <c r="T621" i="10"/>
  <c r="T620" i="10"/>
  <c r="T619" i="10"/>
  <c r="T618" i="10"/>
  <c r="T617" i="10"/>
  <c r="T616" i="10"/>
  <c r="T615" i="10"/>
  <c r="T614" i="10"/>
  <c r="T613" i="10"/>
  <c r="T612" i="10"/>
  <c r="T611" i="10"/>
  <c r="T610" i="10"/>
  <c r="T609" i="10"/>
  <c r="T608" i="10"/>
  <c r="T607" i="10"/>
  <c r="T606" i="10"/>
  <c r="T605" i="10"/>
  <c r="T604" i="10"/>
  <c r="T603" i="10"/>
  <c r="T602" i="10"/>
  <c r="T601" i="10"/>
  <c r="T600" i="10"/>
  <c r="T599" i="10"/>
  <c r="T598" i="10"/>
  <c r="T597" i="10"/>
  <c r="T596" i="10"/>
  <c r="T595" i="10"/>
  <c r="T594" i="10"/>
  <c r="T593" i="10"/>
  <c r="T592" i="10"/>
  <c r="T591" i="10"/>
  <c r="T590" i="10"/>
  <c r="T589" i="10"/>
  <c r="T588" i="10"/>
  <c r="T587" i="10"/>
  <c r="T586" i="10"/>
  <c r="T585" i="10"/>
  <c r="T584" i="10"/>
  <c r="T583" i="10"/>
  <c r="T582" i="10"/>
  <c r="T581" i="10"/>
  <c r="T580" i="10"/>
  <c r="T579" i="10"/>
  <c r="T578" i="10"/>
  <c r="T577" i="10"/>
  <c r="T576" i="10"/>
  <c r="T575" i="10"/>
  <c r="T574" i="10"/>
  <c r="T573" i="10"/>
  <c r="T572" i="10"/>
  <c r="T571" i="10"/>
  <c r="T570" i="10"/>
  <c r="T569" i="10"/>
  <c r="T568" i="10"/>
  <c r="T567" i="10"/>
  <c r="T566" i="10"/>
  <c r="T565" i="10"/>
  <c r="T564" i="10"/>
  <c r="T563" i="10"/>
  <c r="T562" i="10"/>
  <c r="T561" i="10"/>
  <c r="T560" i="10"/>
  <c r="T559" i="10"/>
  <c r="T558" i="10"/>
  <c r="T557" i="10"/>
  <c r="T556" i="10"/>
  <c r="T555" i="10"/>
  <c r="T554" i="10"/>
  <c r="T553" i="10"/>
  <c r="T552" i="10"/>
  <c r="T551" i="10"/>
  <c r="T550" i="10"/>
  <c r="T549" i="10"/>
  <c r="T548" i="10"/>
  <c r="T547" i="10"/>
  <c r="T546" i="10"/>
  <c r="T545" i="10"/>
  <c r="T544" i="10"/>
  <c r="T543" i="10"/>
  <c r="T542" i="10"/>
  <c r="T541" i="10"/>
  <c r="T540" i="10"/>
  <c r="T539" i="10"/>
  <c r="T538" i="10"/>
  <c r="T537" i="10"/>
  <c r="T536" i="10"/>
  <c r="T535" i="10"/>
  <c r="T534" i="10"/>
  <c r="T533" i="10"/>
  <c r="T532" i="10"/>
  <c r="T531" i="10"/>
  <c r="T530" i="10"/>
  <c r="T529" i="10"/>
  <c r="T528" i="10"/>
  <c r="T527" i="10"/>
  <c r="T526" i="10"/>
  <c r="T525" i="10"/>
  <c r="T524" i="10"/>
  <c r="T523" i="10"/>
  <c r="T522" i="10"/>
  <c r="T521" i="10"/>
  <c r="T520" i="10"/>
  <c r="T519" i="10"/>
  <c r="T518" i="10"/>
  <c r="T517" i="10"/>
  <c r="T516" i="10"/>
  <c r="T515" i="10"/>
  <c r="T514" i="10"/>
  <c r="T513" i="10"/>
  <c r="T512" i="10"/>
  <c r="T511" i="10"/>
  <c r="T510" i="10"/>
  <c r="T509" i="10"/>
  <c r="T508" i="10"/>
  <c r="T507" i="10"/>
  <c r="T506" i="10"/>
  <c r="T505" i="10"/>
  <c r="T504" i="10"/>
  <c r="T503" i="10"/>
  <c r="T502" i="10"/>
  <c r="T501" i="10"/>
  <c r="T500" i="10"/>
  <c r="T499" i="10"/>
  <c r="T498" i="10"/>
  <c r="T497" i="10"/>
  <c r="T496" i="10"/>
  <c r="T495" i="10"/>
  <c r="T494" i="10"/>
  <c r="T493" i="10"/>
  <c r="T492" i="10"/>
  <c r="T491" i="10"/>
  <c r="T490" i="10"/>
  <c r="T489" i="10"/>
  <c r="T488" i="10"/>
  <c r="T487" i="10"/>
  <c r="T486" i="10"/>
  <c r="T485" i="10"/>
  <c r="T484" i="10"/>
  <c r="T483" i="10"/>
  <c r="T482" i="10"/>
  <c r="T481" i="10"/>
  <c r="T480" i="10"/>
  <c r="T479" i="10"/>
  <c r="T478" i="10"/>
  <c r="T477" i="10"/>
  <c r="T476" i="10"/>
  <c r="T475" i="10"/>
  <c r="T474" i="10"/>
  <c r="T473" i="10"/>
  <c r="T472" i="10"/>
  <c r="T471" i="10"/>
  <c r="T470" i="10"/>
  <c r="T469" i="10"/>
  <c r="T468" i="10"/>
  <c r="T467" i="10"/>
  <c r="T466" i="10"/>
  <c r="T465" i="10"/>
  <c r="T464" i="10"/>
  <c r="T463" i="10"/>
  <c r="T462" i="10"/>
  <c r="T461" i="10"/>
  <c r="T460" i="10"/>
  <c r="T459" i="10"/>
  <c r="T458" i="10"/>
  <c r="T457" i="10"/>
  <c r="T456" i="10"/>
  <c r="T455" i="10"/>
  <c r="T454" i="10"/>
  <c r="T453" i="10"/>
  <c r="T452" i="10"/>
  <c r="T451" i="10"/>
  <c r="T450" i="10"/>
  <c r="T449" i="10"/>
  <c r="T448" i="10"/>
  <c r="T447" i="10"/>
  <c r="T446" i="10"/>
  <c r="T445" i="10"/>
  <c r="T444" i="10"/>
  <c r="T443" i="10"/>
  <c r="T442" i="10"/>
  <c r="T441" i="10"/>
  <c r="T440" i="10"/>
  <c r="T439" i="10"/>
  <c r="T438" i="10"/>
  <c r="T437" i="10"/>
  <c r="T436" i="10"/>
  <c r="T435" i="10"/>
  <c r="T434" i="10"/>
  <c r="T433" i="10"/>
  <c r="T432" i="10"/>
  <c r="T431" i="10"/>
  <c r="T430" i="10"/>
  <c r="T429" i="10"/>
  <c r="T428" i="10"/>
  <c r="T427" i="10"/>
  <c r="T426" i="10"/>
  <c r="T425" i="10"/>
  <c r="T424" i="10"/>
  <c r="T423" i="10"/>
  <c r="T422" i="10"/>
  <c r="T421" i="10"/>
  <c r="T420" i="10"/>
  <c r="T419" i="10"/>
  <c r="T418" i="10"/>
  <c r="T417" i="10"/>
  <c r="T416" i="10"/>
  <c r="T415" i="10"/>
  <c r="T414" i="10"/>
  <c r="T413" i="10"/>
  <c r="T412" i="10"/>
  <c r="T411" i="10"/>
  <c r="T410" i="10"/>
  <c r="T409" i="10"/>
  <c r="T408" i="10"/>
  <c r="T407" i="10"/>
  <c r="T406" i="10"/>
  <c r="T405" i="10"/>
  <c r="T404" i="10"/>
  <c r="T403" i="10"/>
  <c r="T402" i="10"/>
  <c r="T401" i="10"/>
  <c r="T400" i="10"/>
  <c r="T399" i="10"/>
  <c r="T398" i="10"/>
  <c r="T397" i="10"/>
  <c r="T396" i="10"/>
  <c r="T395" i="10"/>
  <c r="T394" i="10"/>
  <c r="T393" i="10"/>
  <c r="T392" i="10"/>
  <c r="T391" i="10"/>
  <c r="T390" i="10"/>
  <c r="T389" i="10"/>
  <c r="T388" i="10"/>
  <c r="T387" i="10"/>
  <c r="T386" i="10"/>
  <c r="T385" i="10"/>
  <c r="T384" i="10"/>
  <c r="T383" i="10"/>
  <c r="T382" i="10"/>
  <c r="T381" i="10"/>
  <c r="T380" i="10"/>
  <c r="T379" i="10"/>
  <c r="T378" i="10"/>
  <c r="T377" i="10"/>
  <c r="T376" i="10"/>
  <c r="T375" i="10"/>
  <c r="T374" i="10"/>
  <c r="T373" i="10"/>
  <c r="T372" i="10"/>
  <c r="T371" i="10"/>
  <c r="T370" i="10"/>
  <c r="T369" i="10"/>
  <c r="T368" i="10"/>
  <c r="T367" i="10"/>
  <c r="T366" i="10"/>
  <c r="T365" i="10"/>
  <c r="T364" i="10"/>
  <c r="T363" i="10"/>
  <c r="T362" i="10"/>
  <c r="T361" i="10"/>
  <c r="T360" i="10"/>
  <c r="T359" i="10"/>
  <c r="T358" i="10"/>
  <c r="T357" i="10"/>
  <c r="T356" i="10"/>
  <c r="T355" i="10"/>
  <c r="T354" i="10"/>
  <c r="T353" i="10"/>
  <c r="T352" i="10"/>
  <c r="T351" i="10"/>
  <c r="T350" i="10"/>
  <c r="T349" i="10"/>
  <c r="T348" i="10"/>
  <c r="T347" i="10"/>
  <c r="T346" i="10"/>
  <c r="T345" i="10"/>
  <c r="T344" i="10"/>
  <c r="T343" i="10"/>
  <c r="T342" i="10"/>
  <c r="T341" i="10"/>
  <c r="T340" i="10"/>
  <c r="T339" i="10"/>
  <c r="T338" i="10"/>
  <c r="T337" i="10"/>
  <c r="T336" i="10"/>
  <c r="T335" i="10"/>
  <c r="T334" i="10"/>
  <c r="T333" i="10"/>
  <c r="T332" i="10"/>
  <c r="T331" i="10"/>
  <c r="T330" i="10"/>
  <c r="T329" i="10"/>
  <c r="T328" i="10"/>
  <c r="T327" i="10"/>
  <c r="T326" i="10"/>
  <c r="T325" i="10"/>
  <c r="T324" i="10"/>
  <c r="T323" i="10"/>
  <c r="T322" i="10"/>
  <c r="T321" i="10"/>
  <c r="T320" i="10"/>
  <c r="T319" i="10"/>
  <c r="T318" i="10"/>
  <c r="T317" i="10"/>
  <c r="T316" i="10"/>
  <c r="T315" i="10"/>
  <c r="T314" i="10"/>
  <c r="T313" i="10"/>
  <c r="T312" i="10"/>
  <c r="T311" i="10"/>
  <c r="T310" i="10"/>
  <c r="T309" i="10"/>
  <c r="T308" i="10"/>
  <c r="T307" i="10"/>
  <c r="T306" i="10"/>
  <c r="T305" i="10"/>
  <c r="T304" i="10"/>
  <c r="T303" i="10"/>
  <c r="T302" i="10"/>
  <c r="T301" i="10"/>
  <c r="T300" i="10"/>
  <c r="T299" i="10"/>
  <c r="T298" i="10"/>
  <c r="T297" i="10"/>
  <c r="T296" i="10"/>
  <c r="T295" i="10"/>
  <c r="T294" i="10"/>
  <c r="T293" i="10"/>
  <c r="T292" i="10"/>
  <c r="T291" i="10"/>
  <c r="T290" i="10"/>
  <c r="T289" i="10"/>
  <c r="T288" i="10"/>
  <c r="T287" i="10"/>
  <c r="T286" i="10"/>
  <c r="T285" i="10"/>
  <c r="T284" i="10"/>
  <c r="T283" i="10"/>
  <c r="T282" i="10"/>
  <c r="T281" i="10"/>
  <c r="T280" i="10"/>
  <c r="T279" i="10"/>
  <c r="T278" i="10"/>
  <c r="T277" i="10"/>
  <c r="T276" i="10"/>
  <c r="T275" i="10"/>
  <c r="T274" i="10"/>
  <c r="T273" i="10"/>
  <c r="T272" i="10"/>
  <c r="T271" i="10"/>
  <c r="T270" i="10"/>
  <c r="T269" i="10"/>
  <c r="T268" i="10"/>
  <c r="T267" i="10"/>
  <c r="T266" i="10"/>
  <c r="T265" i="10"/>
  <c r="T264" i="10"/>
  <c r="T263" i="10"/>
  <c r="T262" i="10"/>
  <c r="T261" i="10"/>
  <c r="T260" i="10"/>
  <c r="T259" i="10"/>
  <c r="T258" i="10"/>
  <c r="T257" i="10"/>
  <c r="T256" i="10"/>
  <c r="T255" i="10"/>
  <c r="T254" i="10"/>
  <c r="T253" i="10"/>
  <c r="T252" i="10"/>
  <c r="T251" i="10"/>
  <c r="T250" i="10"/>
  <c r="T249" i="10"/>
  <c r="T248" i="10"/>
  <c r="T247" i="10"/>
  <c r="T246" i="10"/>
  <c r="T245" i="10"/>
  <c r="T244" i="10"/>
  <c r="T243" i="10"/>
  <c r="T242" i="10"/>
  <c r="T241" i="10"/>
  <c r="T240" i="10"/>
  <c r="T239" i="10"/>
  <c r="T238" i="10"/>
  <c r="T237" i="10"/>
  <c r="T236" i="10"/>
  <c r="T235" i="10"/>
  <c r="T234" i="10"/>
  <c r="T233" i="10"/>
  <c r="T232" i="10"/>
  <c r="T231" i="10"/>
  <c r="T230" i="10"/>
  <c r="T229" i="10"/>
  <c r="T228" i="10"/>
  <c r="T227" i="10"/>
  <c r="T226" i="10"/>
  <c r="T225" i="10"/>
  <c r="T224" i="10"/>
  <c r="T223" i="10"/>
  <c r="T222" i="10"/>
  <c r="T221" i="10"/>
  <c r="T220" i="10"/>
  <c r="T219" i="10"/>
  <c r="T218" i="10"/>
  <c r="T217" i="10"/>
  <c r="T216" i="10"/>
  <c r="T215" i="10"/>
  <c r="T214" i="10"/>
  <c r="T213" i="10"/>
  <c r="T212" i="10"/>
  <c r="T211" i="10"/>
  <c r="T210" i="10"/>
  <c r="T209" i="10"/>
  <c r="T208" i="10"/>
  <c r="T207" i="10"/>
  <c r="T206" i="10"/>
  <c r="T205" i="10"/>
  <c r="T204" i="10"/>
  <c r="T203" i="10"/>
  <c r="T202" i="10"/>
  <c r="T201" i="10"/>
  <c r="T200" i="10"/>
  <c r="T199" i="10"/>
  <c r="T198" i="10"/>
  <c r="T197" i="10"/>
  <c r="T196" i="10"/>
  <c r="T195" i="10"/>
  <c r="T194" i="10"/>
  <c r="T193" i="10"/>
  <c r="T192" i="10"/>
  <c r="T191" i="10"/>
  <c r="T190" i="10"/>
  <c r="T189" i="10"/>
  <c r="T188" i="10"/>
  <c r="T187" i="10"/>
  <c r="T186" i="10"/>
  <c r="T185" i="10"/>
  <c r="T184" i="10"/>
  <c r="T183" i="10"/>
  <c r="T182" i="10"/>
  <c r="T181" i="10"/>
  <c r="T180" i="10"/>
  <c r="T179" i="10"/>
  <c r="T178" i="10"/>
  <c r="T177" i="10"/>
  <c r="T176" i="10"/>
  <c r="T175" i="10"/>
  <c r="T174" i="10"/>
  <c r="T173" i="10"/>
  <c r="T172" i="10"/>
  <c r="T171" i="10"/>
  <c r="T170" i="10"/>
  <c r="T169" i="10"/>
  <c r="T168" i="10"/>
  <c r="T167" i="10"/>
  <c r="T166" i="10"/>
  <c r="T165" i="10"/>
  <c r="T164" i="10"/>
  <c r="T163" i="10"/>
  <c r="T162" i="10"/>
  <c r="T161" i="10"/>
  <c r="T160" i="10"/>
  <c r="T159" i="10"/>
  <c r="T158" i="10"/>
  <c r="T157" i="10"/>
  <c r="T156" i="10"/>
  <c r="T155" i="10"/>
  <c r="T154" i="10"/>
  <c r="T153" i="10"/>
  <c r="T152" i="10"/>
  <c r="T151" i="10"/>
  <c r="T150" i="10"/>
  <c r="T149" i="10"/>
  <c r="T148" i="10"/>
  <c r="T147" i="10"/>
  <c r="T146" i="10"/>
  <c r="T145" i="10"/>
  <c r="T144" i="10"/>
  <c r="T143" i="10"/>
  <c r="T142" i="10"/>
  <c r="T141" i="10"/>
  <c r="T140" i="10"/>
  <c r="T139" i="10"/>
  <c r="T138" i="10"/>
  <c r="T137" i="10"/>
  <c r="T136" i="10"/>
  <c r="T135" i="10"/>
  <c r="T134" i="10"/>
  <c r="T133" i="10"/>
  <c r="T132" i="10"/>
  <c r="T131" i="10"/>
  <c r="T130" i="10"/>
  <c r="T129" i="10"/>
  <c r="T128" i="10"/>
  <c r="T127" i="10"/>
  <c r="T126" i="10"/>
  <c r="T125" i="10"/>
  <c r="T124" i="10"/>
  <c r="T123" i="10"/>
  <c r="T122" i="10"/>
  <c r="T121" i="10"/>
  <c r="T120" i="10"/>
  <c r="T119" i="10"/>
  <c r="T118" i="10"/>
  <c r="T117" i="10"/>
  <c r="T116" i="10"/>
  <c r="T115" i="10"/>
  <c r="T114" i="10"/>
  <c r="T113" i="10"/>
  <c r="T112" i="10"/>
  <c r="T111" i="10"/>
  <c r="T110" i="10"/>
  <c r="T109" i="10"/>
  <c r="T108" i="10"/>
  <c r="T107" i="10"/>
  <c r="T106" i="10"/>
  <c r="T105" i="10"/>
  <c r="T104" i="10"/>
  <c r="T103" i="10"/>
  <c r="T102" i="10"/>
  <c r="T101" i="10"/>
  <c r="T100" i="10"/>
  <c r="T99" i="10"/>
  <c r="T98" i="10"/>
  <c r="T97" i="10"/>
  <c r="T96" i="10"/>
  <c r="T95" i="10"/>
  <c r="T94" i="10"/>
  <c r="T93" i="10"/>
  <c r="T92" i="10"/>
  <c r="T91" i="10"/>
  <c r="T90" i="10"/>
  <c r="T89" i="10"/>
  <c r="T88" i="10"/>
  <c r="T87" i="10"/>
  <c r="T86" i="10"/>
  <c r="T85" i="10"/>
  <c r="T84" i="10"/>
  <c r="T83" i="10"/>
  <c r="T82" i="10"/>
  <c r="T81" i="10"/>
  <c r="T80" i="10"/>
  <c r="T79" i="10"/>
  <c r="T78" i="10"/>
  <c r="T77" i="10"/>
  <c r="T76" i="10"/>
  <c r="T75" i="10"/>
  <c r="T74" i="10"/>
  <c r="T73" i="10"/>
  <c r="T72" i="10"/>
  <c r="T71" i="10"/>
  <c r="T70" i="10"/>
  <c r="T69" i="10"/>
  <c r="T68" i="10"/>
  <c r="T67" i="10"/>
  <c r="T66" i="10"/>
  <c r="T65" i="10"/>
  <c r="T64" i="10"/>
  <c r="T63" i="10"/>
  <c r="T62" i="10"/>
  <c r="T61" i="10"/>
  <c r="T60" i="10"/>
  <c r="T59" i="10"/>
  <c r="T58" i="10"/>
  <c r="T57" i="10"/>
  <c r="T56" i="10"/>
  <c r="T55" i="10"/>
  <c r="T54" i="10"/>
  <c r="T53" i="10"/>
  <c r="T52" i="10"/>
  <c r="T51" i="10"/>
  <c r="T50" i="10"/>
  <c r="T49" i="10"/>
  <c r="T48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T6" i="10"/>
  <c r="S2855" i="10"/>
  <c r="S2854" i="10"/>
  <c r="S2853" i="10"/>
  <c r="S2852" i="10"/>
  <c r="S2851" i="10"/>
  <c r="S2850" i="10"/>
  <c r="S2849" i="10"/>
  <c r="S2848" i="10"/>
  <c r="S2847" i="10"/>
  <c r="S2846" i="10"/>
  <c r="S2845" i="10"/>
  <c r="S2844" i="10"/>
  <c r="S2843" i="10"/>
  <c r="S2842" i="10"/>
  <c r="S2841" i="10"/>
  <c r="S2840" i="10"/>
  <c r="S2839" i="10"/>
  <c r="S2838" i="10"/>
  <c r="S2837" i="10"/>
  <c r="S2836" i="10"/>
  <c r="S2835" i="10"/>
  <c r="S2834" i="10"/>
  <c r="S2833" i="10"/>
  <c r="S2832" i="10"/>
  <c r="S2831" i="10"/>
  <c r="S2830" i="10"/>
  <c r="S2829" i="10"/>
  <c r="S2828" i="10"/>
  <c r="S2827" i="10"/>
  <c r="S2826" i="10"/>
  <c r="S2825" i="10"/>
  <c r="S2824" i="10"/>
  <c r="S2823" i="10"/>
  <c r="S2822" i="10"/>
  <c r="S2821" i="10"/>
  <c r="S2820" i="10"/>
  <c r="S2819" i="10"/>
  <c r="S2818" i="10"/>
  <c r="S2817" i="10"/>
  <c r="S2816" i="10"/>
  <c r="S2815" i="10"/>
  <c r="S2814" i="10"/>
  <c r="S2813" i="10"/>
  <c r="S2812" i="10"/>
  <c r="S2811" i="10"/>
  <c r="S2810" i="10"/>
  <c r="S2809" i="10"/>
  <c r="S2808" i="10"/>
  <c r="S2807" i="10"/>
  <c r="S2806" i="10"/>
  <c r="S2805" i="10"/>
  <c r="S2804" i="10"/>
  <c r="S2803" i="10"/>
  <c r="S2802" i="10"/>
  <c r="S2801" i="10"/>
  <c r="S2800" i="10"/>
  <c r="S2799" i="10"/>
  <c r="S2798" i="10"/>
  <c r="S2797" i="10"/>
  <c r="S2796" i="10"/>
  <c r="S2795" i="10"/>
  <c r="S2794" i="10"/>
  <c r="S2793" i="10"/>
  <c r="S2792" i="10"/>
  <c r="S2791" i="10"/>
  <c r="S2790" i="10"/>
  <c r="S2789" i="10"/>
  <c r="S2788" i="10"/>
  <c r="S2787" i="10"/>
  <c r="S2786" i="10"/>
  <c r="S2785" i="10"/>
  <c r="S2784" i="10"/>
  <c r="S2783" i="10"/>
  <c r="S2782" i="10"/>
  <c r="S2781" i="10"/>
  <c r="S2780" i="10"/>
  <c r="S2779" i="10"/>
  <c r="S2778" i="10"/>
  <c r="S2777" i="10"/>
  <c r="S2776" i="10"/>
  <c r="S2775" i="10"/>
  <c r="S2774" i="10"/>
  <c r="S2773" i="10"/>
  <c r="S2772" i="10"/>
  <c r="S2771" i="10"/>
  <c r="S2770" i="10"/>
  <c r="S2769" i="10"/>
  <c r="S2768" i="10"/>
  <c r="S2767" i="10"/>
  <c r="S2766" i="10"/>
  <c r="S2765" i="10"/>
  <c r="S2764" i="10"/>
  <c r="S2763" i="10"/>
  <c r="S2762" i="10"/>
  <c r="S2761" i="10"/>
  <c r="S2760" i="10"/>
  <c r="S2759" i="10"/>
  <c r="S2758" i="10"/>
  <c r="S2757" i="10"/>
  <c r="S2756" i="10"/>
  <c r="S2755" i="10"/>
  <c r="S2754" i="10"/>
  <c r="S2753" i="10"/>
  <c r="S2752" i="10"/>
  <c r="S2751" i="10"/>
  <c r="S2750" i="10"/>
  <c r="S2749" i="10"/>
  <c r="S2748" i="10"/>
  <c r="S2747" i="10"/>
  <c r="S2746" i="10"/>
  <c r="S2745" i="10"/>
  <c r="S2744" i="10"/>
  <c r="S2743" i="10"/>
  <c r="S2742" i="10"/>
  <c r="S2741" i="10"/>
  <c r="S2740" i="10"/>
  <c r="S2739" i="10"/>
  <c r="S2738" i="10"/>
  <c r="S2737" i="10"/>
  <c r="S2736" i="10"/>
  <c r="S2735" i="10"/>
  <c r="S2734" i="10"/>
  <c r="S2733" i="10"/>
  <c r="S2732" i="10"/>
  <c r="S2731" i="10"/>
  <c r="S2730" i="10"/>
  <c r="S2729" i="10"/>
  <c r="S2728" i="10"/>
  <c r="S2727" i="10"/>
  <c r="S2726" i="10"/>
  <c r="S2725" i="10"/>
  <c r="S2724" i="10"/>
  <c r="S2723" i="10"/>
  <c r="S2722" i="10"/>
  <c r="S2721" i="10"/>
  <c r="S2720" i="10"/>
  <c r="S2719" i="10"/>
  <c r="S2718" i="10"/>
  <c r="S2717" i="10"/>
  <c r="S2716" i="10"/>
  <c r="S2715" i="10"/>
  <c r="S2714" i="10"/>
  <c r="S2713" i="10"/>
  <c r="S2712" i="10"/>
  <c r="S2711" i="10"/>
  <c r="S2710" i="10"/>
  <c r="S2709" i="10"/>
  <c r="S2708" i="10"/>
  <c r="S2707" i="10"/>
  <c r="S2706" i="10"/>
  <c r="S2705" i="10"/>
  <c r="S2704" i="10"/>
  <c r="S2703" i="10"/>
  <c r="S2702" i="10"/>
  <c r="S2701" i="10"/>
  <c r="S2700" i="10"/>
  <c r="S2699" i="10"/>
  <c r="S2698" i="10"/>
  <c r="S2697" i="10"/>
  <c r="S2696" i="10"/>
  <c r="S2695" i="10"/>
  <c r="S2694" i="10"/>
  <c r="S2693" i="10"/>
  <c r="S2692" i="10"/>
  <c r="S2691" i="10"/>
  <c r="S2690" i="10"/>
  <c r="S2689" i="10"/>
  <c r="S2688" i="10"/>
  <c r="S2687" i="10"/>
  <c r="S2686" i="10"/>
  <c r="S2685" i="10"/>
  <c r="S2684" i="10"/>
  <c r="S2683" i="10"/>
  <c r="S2682" i="10"/>
  <c r="S2681" i="10"/>
  <c r="S2680" i="10"/>
  <c r="S2679" i="10"/>
  <c r="S2678" i="10"/>
  <c r="S2677" i="10"/>
  <c r="S2676" i="10"/>
  <c r="S2675" i="10"/>
  <c r="S2674" i="10"/>
  <c r="S2673" i="10"/>
  <c r="S2672" i="10"/>
  <c r="S2671" i="10"/>
  <c r="S2670" i="10"/>
  <c r="S2669" i="10"/>
  <c r="S2668" i="10"/>
  <c r="S2667" i="10"/>
  <c r="S2666" i="10"/>
  <c r="S2665" i="10"/>
  <c r="S2664" i="10"/>
  <c r="S2663" i="10"/>
  <c r="S2662" i="10"/>
  <c r="S2661" i="10"/>
  <c r="S2660" i="10"/>
  <c r="S2659" i="10"/>
  <c r="S2658" i="10"/>
  <c r="S2657" i="10"/>
  <c r="S2656" i="10"/>
  <c r="S2655" i="10"/>
  <c r="S2654" i="10"/>
  <c r="S2653" i="10"/>
  <c r="S2652" i="10"/>
  <c r="S2651" i="10"/>
  <c r="S2650" i="10"/>
  <c r="S2649" i="10"/>
  <c r="S2648" i="10"/>
  <c r="S2647" i="10"/>
  <c r="S2646" i="10"/>
  <c r="S2645" i="10"/>
  <c r="S2644" i="10"/>
  <c r="S2643" i="10"/>
  <c r="S2642" i="10"/>
  <c r="S2641" i="10"/>
  <c r="S2640" i="10"/>
  <c r="S2639" i="10"/>
  <c r="S2638" i="10"/>
  <c r="S2637" i="10"/>
  <c r="S2636" i="10"/>
  <c r="S2635" i="10"/>
  <c r="S2634" i="10"/>
  <c r="S2633" i="10"/>
  <c r="S2632" i="10"/>
  <c r="S2631" i="10"/>
  <c r="S2630" i="10"/>
  <c r="S2629" i="10"/>
  <c r="S2628" i="10"/>
  <c r="S2627" i="10"/>
  <c r="S2626" i="10"/>
  <c r="S2625" i="10"/>
  <c r="S2624" i="10"/>
  <c r="S2623" i="10"/>
  <c r="S2622" i="10"/>
  <c r="S2621" i="10"/>
  <c r="S2620" i="10"/>
  <c r="S2619" i="10"/>
  <c r="S2618" i="10"/>
  <c r="S2617" i="10"/>
  <c r="S2616" i="10"/>
  <c r="S2615" i="10"/>
  <c r="S2614" i="10"/>
  <c r="S2613" i="10"/>
  <c r="S2612" i="10"/>
  <c r="S2611" i="10"/>
  <c r="S2610" i="10"/>
  <c r="S2609" i="10"/>
  <c r="S2608" i="10"/>
  <c r="S2607" i="10"/>
  <c r="S2606" i="10"/>
  <c r="S2605" i="10"/>
  <c r="S2604" i="10"/>
  <c r="S2603" i="10"/>
  <c r="S2602" i="10"/>
  <c r="S2601" i="10"/>
  <c r="S2600" i="10"/>
  <c r="S2599" i="10"/>
  <c r="S2598" i="10"/>
  <c r="S2597" i="10"/>
  <c r="S2596" i="10"/>
  <c r="S2595" i="10"/>
  <c r="S2594" i="10"/>
  <c r="S2593" i="10"/>
  <c r="S2592" i="10"/>
  <c r="S2591" i="10"/>
  <c r="S2590" i="10"/>
  <c r="S2589" i="10"/>
  <c r="S2588" i="10"/>
  <c r="S2587" i="10"/>
  <c r="S2586" i="10"/>
  <c r="S2585" i="10"/>
  <c r="S2584" i="10"/>
  <c r="S2583" i="10"/>
  <c r="S2582" i="10"/>
  <c r="S2581" i="10"/>
  <c r="S2580" i="10"/>
  <c r="S2579" i="10"/>
  <c r="S2578" i="10"/>
  <c r="S2577" i="10"/>
  <c r="S2576" i="10"/>
  <c r="S2575" i="10"/>
  <c r="S2574" i="10"/>
  <c r="S2573" i="10"/>
  <c r="S2572" i="10"/>
  <c r="S2571" i="10"/>
  <c r="S2570" i="10"/>
  <c r="S2569" i="10"/>
  <c r="S2568" i="10"/>
  <c r="S2567" i="10"/>
  <c r="S2566" i="10"/>
  <c r="S2565" i="10"/>
  <c r="S2564" i="10"/>
  <c r="S2563" i="10"/>
  <c r="S2562" i="10"/>
  <c r="S2561" i="10"/>
  <c r="S2560" i="10"/>
  <c r="S2559" i="10"/>
  <c r="S2558" i="10"/>
  <c r="S2557" i="10"/>
  <c r="S2556" i="10"/>
  <c r="S2555" i="10"/>
  <c r="S2554" i="10"/>
  <c r="S2553" i="10"/>
  <c r="S2552" i="10"/>
  <c r="S2551" i="10"/>
  <c r="S2550" i="10"/>
  <c r="S2549" i="10"/>
  <c r="S2548" i="10"/>
  <c r="S2547" i="10"/>
  <c r="S2546" i="10"/>
  <c r="S2545" i="10"/>
  <c r="S2544" i="10"/>
  <c r="S2543" i="10"/>
  <c r="S2542" i="10"/>
  <c r="S2541" i="10"/>
  <c r="S2540" i="10"/>
  <c r="S2539" i="10"/>
  <c r="S2538" i="10"/>
  <c r="S2537" i="10"/>
  <c r="S2536" i="10"/>
  <c r="S2535" i="10"/>
  <c r="S2534" i="10"/>
  <c r="S2533" i="10"/>
  <c r="S2532" i="10"/>
  <c r="S2531" i="10"/>
  <c r="S2530" i="10"/>
  <c r="S2529" i="10"/>
  <c r="S2528" i="10"/>
  <c r="S2527" i="10"/>
  <c r="S2526" i="10"/>
  <c r="S2525" i="10"/>
  <c r="S2524" i="10"/>
  <c r="S2523" i="10"/>
  <c r="S2522" i="10"/>
  <c r="S2521" i="10"/>
  <c r="S2520" i="10"/>
  <c r="S2519" i="10"/>
  <c r="S2518" i="10"/>
  <c r="S2517" i="10"/>
  <c r="S2516" i="10"/>
  <c r="S2515" i="10"/>
  <c r="S2514" i="10"/>
  <c r="S2513" i="10"/>
  <c r="S2512" i="10"/>
  <c r="S2511" i="10"/>
  <c r="S2510" i="10"/>
  <c r="S2509" i="10"/>
  <c r="S2508" i="10"/>
  <c r="S2507" i="10"/>
  <c r="S2506" i="10"/>
  <c r="S2505" i="10"/>
  <c r="S2504" i="10"/>
  <c r="S2503" i="10"/>
  <c r="S2502" i="10"/>
  <c r="S2501" i="10"/>
  <c r="S2500" i="10"/>
  <c r="S2499" i="10"/>
  <c r="S2498" i="10"/>
  <c r="S2497" i="10"/>
  <c r="S2496" i="10"/>
  <c r="S2495" i="10"/>
  <c r="S2494" i="10"/>
  <c r="S2493" i="10"/>
  <c r="S2492" i="10"/>
  <c r="S2491" i="10"/>
  <c r="S2490" i="10"/>
  <c r="S2489" i="10"/>
  <c r="S2488" i="10"/>
  <c r="S2487" i="10"/>
  <c r="S2486" i="10"/>
  <c r="S2485" i="10"/>
  <c r="S2484" i="10"/>
  <c r="S2483" i="10"/>
  <c r="S2482" i="10"/>
  <c r="S2481" i="10"/>
  <c r="S2480" i="10"/>
  <c r="S2479" i="10"/>
  <c r="S2478" i="10"/>
  <c r="S2477" i="10"/>
  <c r="S2476" i="10"/>
  <c r="S2475" i="10"/>
  <c r="S2474" i="10"/>
  <c r="S2473" i="10"/>
  <c r="S2472" i="10"/>
  <c r="S2471" i="10"/>
  <c r="S2470" i="10"/>
  <c r="S2469" i="10"/>
  <c r="S2468" i="10"/>
  <c r="S2467" i="10"/>
  <c r="S2466" i="10"/>
  <c r="S2465" i="10"/>
  <c r="S2464" i="10"/>
  <c r="S2463" i="10"/>
  <c r="S2462" i="10"/>
  <c r="S2461" i="10"/>
  <c r="S2460" i="10"/>
  <c r="S2459" i="10"/>
  <c r="S2458" i="10"/>
  <c r="S2457" i="10"/>
  <c r="S2456" i="10"/>
  <c r="S2455" i="10"/>
  <c r="S2454" i="10"/>
  <c r="S2453" i="10"/>
  <c r="S2452" i="10"/>
  <c r="S2451" i="10"/>
  <c r="S2450" i="10"/>
  <c r="S2449" i="10"/>
  <c r="S2448" i="10"/>
  <c r="S2447" i="10"/>
  <c r="S2446" i="10"/>
  <c r="S2445" i="10"/>
  <c r="S2444" i="10"/>
  <c r="S2443" i="10"/>
  <c r="S2442" i="10"/>
  <c r="S2441" i="10"/>
  <c r="S2440" i="10"/>
  <c r="S2439" i="10"/>
  <c r="S2438" i="10"/>
  <c r="S2437" i="10"/>
  <c r="S2436" i="10"/>
  <c r="S2435" i="10"/>
  <c r="S2434" i="10"/>
  <c r="S2433" i="10"/>
  <c r="S2432" i="10"/>
  <c r="S2431" i="10"/>
  <c r="S2430" i="10"/>
  <c r="S2429" i="10"/>
  <c r="S2428" i="10"/>
  <c r="S2427" i="10"/>
  <c r="S2426" i="10"/>
  <c r="S2425" i="10"/>
  <c r="S2424" i="10"/>
  <c r="S2423" i="10"/>
  <c r="S2422" i="10"/>
  <c r="S2421" i="10"/>
  <c r="S2420" i="10"/>
  <c r="S2419" i="10"/>
  <c r="S2418" i="10"/>
  <c r="S2417" i="10"/>
  <c r="S2416" i="10"/>
  <c r="S2415" i="10"/>
  <c r="S2414" i="10"/>
  <c r="S2413" i="10"/>
  <c r="S2412" i="10"/>
  <c r="S2411" i="10"/>
  <c r="S2410" i="10"/>
  <c r="S2409" i="10"/>
  <c r="S2408" i="10"/>
  <c r="S2407" i="10"/>
  <c r="S2406" i="10"/>
  <c r="S2405" i="10"/>
  <c r="S2404" i="10"/>
  <c r="S2403" i="10"/>
  <c r="S2402" i="10"/>
  <c r="S2401" i="10"/>
  <c r="S2400" i="10"/>
  <c r="S2399" i="10"/>
  <c r="S2398" i="10"/>
  <c r="S2397" i="10"/>
  <c r="S2396" i="10"/>
  <c r="S2395" i="10"/>
  <c r="S2394" i="10"/>
  <c r="S2393" i="10"/>
  <c r="S2392" i="10"/>
  <c r="S2391" i="10"/>
  <c r="S2390" i="10"/>
  <c r="S2389" i="10"/>
  <c r="S2388" i="10"/>
  <c r="S2387" i="10"/>
  <c r="S2386" i="10"/>
  <c r="S2385" i="10"/>
  <c r="S2384" i="10"/>
  <c r="S2383" i="10"/>
  <c r="S2382" i="10"/>
  <c r="S2381" i="10"/>
  <c r="S2380" i="10"/>
  <c r="S2379" i="10"/>
  <c r="S2378" i="10"/>
  <c r="S2377" i="10"/>
  <c r="S2376" i="10"/>
  <c r="S2375" i="10"/>
  <c r="S2374" i="10"/>
  <c r="S2373" i="10"/>
  <c r="S2372" i="10"/>
  <c r="S2371" i="10"/>
  <c r="S2370" i="10"/>
  <c r="S2369" i="10"/>
  <c r="S2368" i="10"/>
  <c r="S2367" i="10"/>
  <c r="S2366" i="10"/>
  <c r="S2365" i="10"/>
  <c r="S2364" i="10"/>
  <c r="S2363" i="10"/>
  <c r="S2362" i="10"/>
  <c r="S2361" i="10"/>
  <c r="S2360" i="10"/>
  <c r="S2359" i="10"/>
  <c r="S2358" i="10"/>
  <c r="S2357" i="10"/>
  <c r="S2356" i="10"/>
  <c r="S2355" i="10"/>
  <c r="S2354" i="10"/>
  <c r="S2353" i="10"/>
  <c r="S2352" i="10"/>
  <c r="S2351" i="10"/>
  <c r="S2350" i="10"/>
  <c r="S2349" i="10"/>
  <c r="S2348" i="10"/>
  <c r="S2347" i="10"/>
  <c r="S2346" i="10"/>
  <c r="S2345" i="10"/>
  <c r="S2344" i="10"/>
  <c r="S2343" i="10"/>
  <c r="S2342" i="10"/>
  <c r="S2341" i="10"/>
  <c r="S2340" i="10"/>
  <c r="S2339" i="10"/>
  <c r="S2338" i="10"/>
  <c r="S2337" i="10"/>
  <c r="S2336" i="10"/>
  <c r="S2335" i="10"/>
  <c r="S2334" i="10"/>
  <c r="S2333" i="10"/>
  <c r="S2332" i="10"/>
  <c r="S2331" i="10"/>
  <c r="S2330" i="10"/>
  <c r="S2329" i="10"/>
  <c r="S2328" i="10"/>
  <c r="S2327" i="10"/>
  <c r="S2326" i="10"/>
  <c r="S2325" i="10"/>
  <c r="S2324" i="10"/>
  <c r="S2323" i="10"/>
  <c r="S2322" i="10"/>
  <c r="S2321" i="10"/>
  <c r="S2320" i="10"/>
  <c r="S2319" i="10"/>
  <c r="S2318" i="10"/>
  <c r="S2317" i="10"/>
  <c r="S2316" i="10"/>
  <c r="S2315" i="10"/>
  <c r="S2314" i="10"/>
  <c r="S2313" i="10"/>
  <c r="S2312" i="10"/>
  <c r="S2311" i="10"/>
  <c r="S2310" i="10"/>
  <c r="S2309" i="10"/>
  <c r="S2308" i="10"/>
  <c r="S2307" i="10"/>
  <c r="S2306" i="10"/>
  <c r="S2305" i="10"/>
  <c r="S2304" i="10"/>
  <c r="S2303" i="10"/>
  <c r="S2302" i="10"/>
  <c r="S2301" i="10"/>
  <c r="S2300" i="10"/>
  <c r="S2299" i="10"/>
  <c r="S2298" i="10"/>
  <c r="S2297" i="10"/>
  <c r="S2296" i="10"/>
  <c r="S2295" i="10"/>
  <c r="S2294" i="10"/>
  <c r="S2293" i="10"/>
  <c r="S2292" i="10"/>
  <c r="S2291" i="10"/>
  <c r="S2290" i="10"/>
  <c r="S2289" i="10"/>
  <c r="S2288" i="10"/>
  <c r="S2287" i="10"/>
  <c r="S2286" i="10"/>
  <c r="S2285" i="10"/>
  <c r="S2284" i="10"/>
  <c r="S2283" i="10"/>
  <c r="S2282" i="10"/>
  <c r="S2281" i="10"/>
  <c r="S2280" i="10"/>
  <c r="S2279" i="10"/>
  <c r="S2278" i="10"/>
  <c r="S2277" i="10"/>
  <c r="S2276" i="10"/>
  <c r="S2275" i="10"/>
  <c r="S2274" i="10"/>
  <c r="S2273" i="10"/>
  <c r="S2272" i="10"/>
  <c r="S2271" i="10"/>
  <c r="S2270" i="10"/>
  <c r="S2269" i="10"/>
  <c r="S2268" i="10"/>
  <c r="S2267" i="10"/>
  <c r="S2266" i="10"/>
  <c r="S2265" i="10"/>
  <c r="S2264" i="10"/>
  <c r="S2263" i="10"/>
  <c r="S2262" i="10"/>
  <c r="S2261" i="10"/>
  <c r="S2260" i="10"/>
  <c r="S2259" i="10"/>
  <c r="S2258" i="10"/>
  <c r="S2257" i="10"/>
  <c r="S2256" i="10"/>
  <c r="S2255" i="10"/>
  <c r="S2254" i="10"/>
  <c r="S2253" i="10"/>
  <c r="S2252" i="10"/>
  <c r="S2251" i="10"/>
  <c r="S2250" i="10"/>
  <c r="S2249" i="10"/>
  <c r="S2248" i="10"/>
  <c r="S2247" i="10"/>
  <c r="S2246" i="10"/>
  <c r="S2245" i="10"/>
  <c r="S2244" i="10"/>
  <c r="S2243" i="10"/>
  <c r="S2242" i="10"/>
  <c r="S2241" i="10"/>
  <c r="S2240" i="10"/>
  <c r="S2239" i="10"/>
  <c r="S2238" i="10"/>
  <c r="S2237" i="10"/>
  <c r="S2236" i="10"/>
  <c r="S2235" i="10"/>
  <c r="S2234" i="10"/>
  <c r="S2233" i="10"/>
  <c r="S2232" i="10"/>
  <c r="S2231" i="10"/>
  <c r="S2230" i="10"/>
  <c r="S2229" i="10"/>
  <c r="S2228" i="10"/>
  <c r="S2227" i="10"/>
  <c r="S2226" i="10"/>
  <c r="S2225" i="10"/>
  <c r="S2224" i="10"/>
  <c r="S2223" i="10"/>
  <c r="S2222" i="10"/>
  <c r="S2221" i="10"/>
  <c r="S2220" i="10"/>
  <c r="S2219" i="10"/>
  <c r="S2218" i="10"/>
  <c r="S2217" i="10"/>
  <c r="S2216" i="10"/>
  <c r="S2215" i="10"/>
  <c r="S2214" i="10"/>
  <c r="S2213" i="10"/>
  <c r="S2212" i="10"/>
  <c r="S2211" i="10"/>
  <c r="S2210" i="10"/>
  <c r="S2209" i="10"/>
  <c r="S2208" i="10"/>
  <c r="S2207" i="10"/>
  <c r="S2206" i="10"/>
  <c r="S2205" i="10"/>
  <c r="S2204" i="10"/>
  <c r="S2203" i="10"/>
  <c r="S2202" i="10"/>
  <c r="S2201" i="10"/>
  <c r="S2200" i="10"/>
  <c r="S2199" i="10"/>
  <c r="S2198" i="10"/>
  <c r="S2197" i="10"/>
  <c r="S2196" i="10"/>
  <c r="S2195" i="10"/>
  <c r="S2194" i="10"/>
  <c r="S2193" i="10"/>
  <c r="S2192" i="10"/>
  <c r="S2191" i="10"/>
  <c r="S2190" i="10"/>
  <c r="S2189" i="10"/>
  <c r="S2188" i="10"/>
  <c r="S2187" i="10"/>
  <c r="S2186" i="10"/>
  <c r="S2185" i="10"/>
  <c r="S2184" i="10"/>
  <c r="S2183" i="10"/>
  <c r="S2182" i="10"/>
  <c r="S2181" i="10"/>
  <c r="S2180" i="10"/>
  <c r="S2179" i="10"/>
  <c r="S2178" i="10"/>
  <c r="S2177" i="10"/>
  <c r="S2176" i="10"/>
  <c r="S2175" i="10"/>
  <c r="S2174" i="10"/>
  <c r="S2173" i="10"/>
  <c r="S2172" i="10"/>
  <c r="S2171" i="10"/>
  <c r="S2170" i="10"/>
  <c r="S2169" i="10"/>
  <c r="S2168" i="10"/>
  <c r="S2167" i="10"/>
  <c r="S2166" i="10"/>
  <c r="S2165" i="10"/>
  <c r="S2164" i="10"/>
  <c r="S2163" i="10"/>
  <c r="S2162" i="10"/>
  <c r="S2161" i="10"/>
  <c r="S2160" i="10"/>
  <c r="S2159" i="10"/>
  <c r="S2158" i="10"/>
  <c r="S2157" i="10"/>
  <c r="S2156" i="10"/>
  <c r="S2155" i="10"/>
  <c r="S2154" i="10"/>
  <c r="S2153" i="10"/>
  <c r="S2152" i="10"/>
  <c r="S2151" i="10"/>
  <c r="S2150" i="10"/>
  <c r="S2149" i="10"/>
  <c r="S2148" i="10"/>
  <c r="S2147" i="10"/>
  <c r="S2146" i="10"/>
  <c r="S2145" i="10"/>
  <c r="S2144" i="10"/>
  <c r="S2143" i="10"/>
  <c r="S2142" i="10"/>
  <c r="S2141" i="10"/>
  <c r="S2140" i="10"/>
  <c r="S2139" i="10"/>
  <c r="S2138" i="10"/>
  <c r="S2137" i="10"/>
  <c r="S2136" i="10"/>
  <c r="S2135" i="10"/>
  <c r="S2134" i="10"/>
  <c r="S2133" i="10"/>
  <c r="S2132" i="10"/>
  <c r="S2131" i="10"/>
  <c r="S2130" i="10"/>
  <c r="S2129" i="10"/>
  <c r="S2128" i="10"/>
  <c r="S2127" i="10"/>
  <c r="S2126" i="10"/>
  <c r="S2125" i="10"/>
  <c r="S2124" i="10"/>
  <c r="S2123" i="10"/>
  <c r="S2122" i="10"/>
  <c r="S2121" i="10"/>
  <c r="S2120" i="10"/>
  <c r="S2119" i="10"/>
  <c r="S2118" i="10"/>
  <c r="S2117" i="10"/>
  <c r="S2116" i="10"/>
  <c r="S2115" i="10"/>
  <c r="S2114" i="10"/>
  <c r="S2113" i="10"/>
  <c r="S2112" i="10"/>
  <c r="S2111" i="10"/>
  <c r="S2110" i="10"/>
  <c r="S2109" i="10"/>
  <c r="S2108" i="10"/>
  <c r="S2107" i="10"/>
  <c r="S2106" i="10"/>
  <c r="S2105" i="10"/>
  <c r="S2104" i="10"/>
  <c r="S2103" i="10"/>
  <c r="S2102" i="10"/>
  <c r="S2101" i="10"/>
  <c r="S2100" i="10"/>
  <c r="S2099" i="10"/>
  <c r="S2098" i="10"/>
  <c r="S2097" i="10"/>
  <c r="S2096" i="10"/>
  <c r="S2095" i="10"/>
  <c r="S2094" i="10"/>
  <c r="S2093" i="10"/>
  <c r="S2092" i="10"/>
  <c r="S2091" i="10"/>
  <c r="S2090" i="10"/>
  <c r="S2089" i="10"/>
  <c r="S2088" i="10"/>
  <c r="S2087" i="10"/>
  <c r="S2086" i="10"/>
  <c r="S2085" i="10"/>
  <c r="S2084" i="10"/>
  <c r="S2083" i="10"/>
  <c r="S2082" i="10"/>
  <c r="S2081" i="10"/>
  <c r="S2080" i="10"/>
  <c r="S2079" i="10"/>
  <c r="S2078" i="10"/>
  <c r="S2077" i="10"/>
  <c r="S2076" i="10"/>
  <c r="S2075" i="10"/>
  <c r="S2074" i="10"/>
  <c r="S2073" i="10"/>
  <c r="S2072" i="10"/>
  <c r="S2071" i="10"/>
  <c r="S2070" i="10"/>
  <c r="S2069" i="10"/>
  <c r="S2068" i="10"/>
  <c r="S2067" i="10"/>
  <c r="S2066" i="10"/>
  <c r="S2065" i="10"/>
  <c r="S2064" i="10"/>
  <c r="S2063" i="10"/>
  <c r="S2062" i="10"/>
  <c r="S2061" i="10"/>
  <c r="S2060" i="10"/>
  <c r="S2059" i="10"/>
  <c r="S2058" i="10"/>
  <c r="S2057" i="10"/>
  <c r="S2056" i="10"/>
  <c r="S2055" i="10"/>
  <c r="S2054" i="10"/>
  <c r="S2053" i="10"/>
  <c r="S2052" i="10"/>
  <c r="S2051" i="10"/>
  <c r="S2050" i="10"/>
  <c r="S2049" i="10"/>
  <c r="S2048" i="10"/>
  <c r="S2047" i="10"/>
  <c r="S2046" i="10"/>
  <c r="S2045" i="10"/>
  <c r="S2044" i="10"/>
  <c r="S2043" i="10"/>
  <c r="S2042" i="10"/>
  <c r="S2041" i="10"/>
  <c r="S2040" i="10"/>
  <c r="S2039" i="10"/>
  <c r="S2038" i="10"/>
  <c r="S2037" i="10"/>
  <c r="S2036" i="10"/>
  <c r="S2035" i="10"/>
  <c r="S2034" i="10"/>
  <c r="S2033" i="10"/>
  <c r="S2032" i="10"/>
  <c r="S2031" i="10"/>
  <c r="S2030" i="10"/>
  <c r="S2029" i="10"/>
  <c r="S2028" i="10"/>
  <c r="S2027" i="10"/>
  <c r="S2026" i="10"/>
  <c r="S2025" i="10"/>
  <c r="S2024" i="10"/>
  <c r="S2023" i="10"/>
  <c r="S2022" i="10"/>
  <c r="S2021" i="10"/>
  <c r="S2020" i="10"/>
  <c r="S2019" i="10"/>
  <c r="S2018" i="10"/>
  <c r="S2017" i="10"/>
  <c r="S2016" i="10"/>
  <c r="S2015" i="10"/>
  <c r="S2014" i="10"/>
  <c r="S2013" i="10"/>
  <c r="S2012" i="10"/>
  <c r="S2011" i="10"/>
  <c r="S2010" i="10"/>
  <c r="S2009" i="10"/>
  <c r="S2008" i="10"/>
  <c r="S2007" i="10"/>
  <c r="S2006" i="10"/>
  <c r="S2005" i="10"/>
  <c r="S2004" i="10"/>
  <c r="S2003" i="10"/>
  <c r="S2002" i="10"/>
  <c r="S2001" i="10"/>
  <c r="S2000" i="10"/>
  <c r="S1999" i="10"/>
  <c r="S1998" i="10"/>
  <c r="S1997" i="10"/>
  <c r="S1996" i="10"/>
  <c r="S1995" i="10"/>
  <c r="S1994" i="10"/>
  <c r="S1993" i="10"/>
  <c r="S1992" i="10"/>
  <c r="S1991" i="10"/>
  <c r="S1990" i="10"/>
  <c r="S1989" i="10"/>
  <c r="S1988" i="10"/>
  <c r="S1987" i="10"/>
  <c r="S1986" i="10"/>
  <c r="S1985" i="10"/>
  <c r="S1984" i="10"/>
  <c r="S1983" i="10"/>
  <c r="S1982" i="10"/>
  <c r="S1981" i="10"/>
  <c r="S1980" i="10"/>
  <c r="S1979" i="10"/>
  <c r="S1978" i="10"/>
  <c r="S1977" i="10"/>
  <c r="S1976" i="10"/>
  <c r="S1975" i="10"/>
  <c r="S1974" i="10"/>
  <c r="S1973" i="10"/>
  <c r="S1972" i="10"/>
  <c r="S1971" i="10"/>
  <c r="S1970" i="10"/>
  <c r="S1969" i="10"/>
  <c r="S1968" i="10"/>
  <c r="S1967" i="10"/>
  <c r="S1966" i="10"/>
  <c r="S1965" i="10"/>
  <c r="S1964" i="10"/>
  <c r="S1963" i="10"/>
  <c r="S1962" i="10"/>
  <c r="S1961" i="10"/>
  <c r="S1960" i="10"/>
  <c r="S1959" i="10"/>
  <c r="S1958" i="10"/>
  <c r="S1957" i="10"/>
  <c r="S1956" i="10"/>
  <c r="S1955" i="10"/>
  <c r="S1954" i="10"/>
  <c r="S1953" i="10"/>
  <c r="S1952" i="10"/>
  <c r="S1951" i="10"/>
  <c r="S1950" i="10"/>
  <c r="S1949" i="10"/>
  <c r="S1948" i="10"/>
  <c r="S1947" i="10"/>
  <c r="S1946" i="10"/>
  <c r="S1945" i="10"/>
  <c r="S1944" i="10"/>
  <c r="S1943" i="10"/>
  <c r="S1942" i="10"/>
  <c r="S1941" i="10"/>
  <c r="S1940" i="10"/>
  <c r="S1939" i="10"/>
  <c r="S1938" i="10"/>
  <c r="S1937" i="10"/>
  <c r="S1936" i="10"/>
  <c r="S1935" i="10"/>
  <c r="S1934" i="10"/>
  <c r="S1933" i="10"/>
  <c r="S1932" i="10"/>
  <c r="S1931" i="10"/>
  <c r="S1930" i="10"/>
  <c r="S1929" i="10"/>
  <c r="S1928" i="10"/>
  <c r="S1927" i="10"/>
  <c r="S1926" i="10"/>
  <c r="S1925" i="10"/>
  <c r="S1924" i="10"/>
  <c r="S1923" i="10"/>
  <c r="S1922" i="10"/>
  <c r="S1921" i="10"/>
  <c r="S1920" i="10"/>
  <c r="S1919" i="10"/>
  <c r="S1918" i="10"/>
  <c r="S1917" i="10"/>
  <c r="S1916" i="10"/>
  <c r="S1915" i="10"/>
  <c r="S1914" i="10"/>
  <c r="S1913" i="10"/>
  <c r="S1912" i="10"/>
  <c r="S1911" i="10"/>
  <c r="S1910" i="10"/>
  <c r="S1909" i="10"/>
  <c r="S1908" i="10"/>
  <c r="S1907" i="10"/>
  <c r="S1906" i="10"/>
  <c r="S1905" i="10"/>
  <c r="S1904" i="10"/>
  <c r="S1903" i="10"/>
  <c r="S1902" i="10"/>
  <c r="S1901" i="10"/>
  <c r="S1900" i="10"/>
  <c r="S1899" i="10"/>
  <c r="S1898" i="10"/>
  <c r="S1897" i="10"/>
  <c r="S1896" i="10"/>
  <c r="S1895" i="10"/>
  <c r="S1894" i="10"/>
  <c r="S1893" i="10"/>
  <c r="S1892" i="10"/>
  <c r="S1891" i="10"/>
  <c r="S1890" i="10"/>
  <c r="S1889" i="10"/>
  <c r="S1888" i="10"/>
  <c r="S1887" i="10"/>
  <c r="S1886" i="10"/>
  <c r="S1885" i="10"/>
  <c r="S1884" i="10"/>
  <c r="S1883" i="10"/>
  <c r="S1882" i="10"/>
  <c r="S1881" i="10"/>
  <c r="S1880" i="10"/>
  <c r="S1879" i="10"/>
  <c r="S1878" i="10"/>
  <c r="S1877" i="10"/>
  <c r="S1876" i="10"/>
  <c r="S1875" i="10"/>
  <c r="S1874" i="10"/>
  <c r="S1873" i="10"/>
  <c r="S1872" i="10"/>
  <c r="S1871" i="10"/>
  <c r="S1870" i="10"/>
  <c r="S1869" i="10"/>
  <c r="S1868" i="10"/>
  <c r="S1867" i="10"/>
  <c r="S1866" i="10"/>
  <c r="S1865" i="10"/>
  <c r="S1864" i="10"/>
  <c r="S1863" i="10"/>
  <c r="S1862" i="10"/>
  <c r="S1861" i="10"/>
  <c r="S1860" i="10"/>
  <c r="S1859" i="10"/>
  <c r="S1858" i="10"/>
  <c r="S1857" i="10"/>
  <c r="S1856" i="10"/>
  <c r="S1855" i="10"/>
  <c r="S1854" i="10"/>
  <c r="S1853" i="10"/>
  <c r="S1852" i="10"/>
  <c r="S1851" i="10"/>
  <c r="S1850" i="10"/>
  <c r="S1849" i="10"/>
  <c r="S1848" i="10"/>
  <c r="S1847" i="10"/>
  <c r="S1846" i="10"/>
  <c r="S1845" i="10"/>
  <c r="S1844" i="10"/>
  <c r="S1843" i="10"/>
  <c r="S1842" i="10"/>
  <c r="S1841" i="10"/>
  <c r="S1840" i="10"/>
  <c r="S1839" i="10"/>
  <c r="S1838" i="10"/>
  <c r="S1837" i="10"/>
  <c r="S1836" i="10"/>
  <c r="S1835" i="10"/>
  <c r="S1834" i="10"/>
  <c r="S1833" i="10"/>
  <c r="S1832" i="10"/>
  <c r="S1831" i="10"/>
  <c r="S1830" i="10"/>
  <c r="S1829" i="10"/>
  <c r="S1828" i="10"/>
  <c r="S1827" i="10"/>
  <c r="S1826" i="10"/>
  <c r="S1825" i="10"/>
  <c r="S1824" i="10"/>
  <c r="S1823" i="10"/>
  <c r="S1822" i="10"/>
  <c r="S1821" i="10"/>
  <c r="S1820" i="10"/>
  <c r="S1819" i="10"/>
  <c r="S1818" i="10"/>
  <c r="S1817" i="10"/>
  <c r="S1816" i="10"/>
  <c r="S1815" i="10"/>
  <c r="S1814" i="10"/>
  <c r="S1813" i="10"/>
  <c r="S1812" i="10"/>
  <c r="S1811" i="10"/>
  <c r="S1810" i="10"/>
  <c r="S1809" i="10"/>
  <c r="S1808" i="10"/>
  <c r="S1807" i="10"/>
  <c r="S1806" i="10"/>
  <c r="S1805" i="10"/>
  <c r="S1804" i="10"/>
  <c r="S1803" i="10"/>
  <c r="S1802" i="10"/>
  <c r="S1801" i="10"/>
  <c r="S1800" i="10"/>
  <c r="S1799" i="10"/>
  <c r="S1798" i="10"/>
  <c r="S1797" i="10"/>
  <c r="S1796" i="10"/>
  <c r="S1795" i="10"/>
  <c r="S1794" i="10"/>
  <c r="S1793" i="10"/>
  <c r="S1792" i="10"/>
  <c r="S1791" i="10"/>
  <c r="S1790" i="10"/>
  <c r="S1789" i="10"/>
  <c r="S1788" i="10"/>
  <c r="S1787" i="10"/>
  <c r="S1786" i="10"/>
  <c r="S1785" i="10"/>
  <c r="S1784" i="10"/>
  <c r="S1783" i="10"/>
  <c r="S1782" i="10"/>
  <c r="S1781" i="10"/>
  <c r="S1780" i="10"/>
  <c r="S1779" i="10"/>
  <c r="S1778" i="10"/>
  <c r="S1777" i="10"/>
  <c r="S1776" i="10"/>
  <c r="S1775" i="10"/>
  <c r="S1774" i="10"/>
  <c r="S1773" i="10"/>
  <c r="S1772" i="10"/>
  <c r="S1771" i="10"/>
  <c r="S1770" i="10"/>
  <c r="S1769" i="10"/>
  <c r="S1768" i="10"/>
  <c r="S1767" i="10"/>
  <c r="S1766" i="10"/>
  <c r="S1765" i="10"/>
  <c r="S1764" i="10"/>
  <c r="S1763" i="10"/>
  <c r="S1762" i="10"/>
  <c r="S1761" i="10"/>
  <c r="S1760" i="10"/>
  <c r="S1759" i="10"/>
  <c r="S1758" i="10"/>
  <c r="S1757" i="10"/>
  <c r="S1756" i="10"/>
  <c r="S1755" i="10"/>
  <c r="S1754" i="10"/>
  <c r="S1753" i="10"/>
  <c r="S1752" i="10"/>
  <c r="S1751" i="10"/>
  <c r="S1750" i="10"/>
  <c r="S1749" i="10"/>
  <c r="S1748" i="10"/>
  <c r="S1747" i="10"/>
  <c r="S1746" i="10"/>
  <c r="S1745" i="10"/>
  <c r="S1744" i="10"/>
  <c r="S1743" i="10"/>
  <c r="S1742" i="10"/>
  <c r="S1741" i="10"/>
  <c r="S1740" i="10"/>
  <c r="S1739" i="10"/>
  <c r="S1738" i="10"/>
  <c r="S1737" i="10"/>
  <c r="S1736" i="10"/>
  <c r="S1735" i="10"/>
  <c r="S1734" i="10"/>
  <c r="S1733" i="10"/>
  <c r="S1732" i="10"/>
  <c r="S1731" i="10"/>
  <c r="S1730" i="10"/>
  <c r="S1729" i="10"/>
  <c r="S1728" i="10"/>
  <c r="S1727" i="10"/>
  <c r="S1726" i="10"/>
  <c r="S1725" i="10"/>
  <c r="S1724" i="10"/>
  <c r="S1723" i="10"/>
  <c r="S1722" i="10"/>
  <c r="S1721" i="10"/>
  <c r="S1720" i="10"/>
  <c r="S1719" i="10"/>
  <c r="S1718" i="10"/>
  <c r="S1717" i="10"/>
  <c r="S1716" i="10"/>
  <c r="S1715" i="10"/>
  <c r="S1714" i="10"/>
  <c r="S1713" i="10"/>
  <c r="S1712" i="10"/>
  <c r="S1711" i="10"/>
  <c r="S1710" i="10"/>
  <c r="S1709" i="10"/>
  <c r="S1708" i="10"/>
  <c r="S1707" i="10"/>
  <c r="S1706" i="10"/>
  <c r="S1705" i="10"/>
  <c r="S1704" i="10"/>
  <c r="S1703" i="10"/>
  <c r="S1702" i="10"/>
  <c r="S1701" i="10"/>
  <c r="S1700" i="10"/>
  <c r="S1699" i="10"/>
  <c r="S1698" i="10"/>
  <c r="S1697" i="10"/>
  <c r="S1696" i="10"/>
  <c r="S1695" i="10"/>
  <c r="S1694" i="10"/>
  <c r="S1693" i="10"/>
  <c r="S1692" i="10"/>
  <c r="S1691" i="10"/>
  <c r="S1690" i="10"/>
  <c r="S1689" i="10"/>
  <c r="S1688" i="10"/>
  <c r="S1687" i="10"/>
  <c r="S1686" i="10"/>
  <c r="S1685" i="10"/>
  <c r="S1684" i="10"/>
  <c r="S1683" i="10"/>
  <c r="S1682" i="10"/>
  <c r="S1681" i="10"/>
  <c r="S1680" i="10"/>
  <c r="S1679" i="10"/>
  <c r="S1678" i="10"/>
  <c r="S1677" i="10"/>
  <c r="S1676" i="10"/>
  <c r="S1675" i="10"/>
  <c r="S1674" i="10"/>
  <c r="S1673" i="10"/>
  <c r="S1672" i="10"/>
  <c r="S1671" i="10"/>
  <c r="S1670" i="10"/>
  <c r="S1669" i="10"/>
  <c r="S1668" i="10"/>
  <c r="S1667" i="10"/>
  <c r="S1666" i="10"/>
  <c r="S1665" i="10"/>
  <c r="S1664" i="10"/>
  <c r="S1663" i="10"/>
  <c r="S1662" i="10"/>
  <c r="S1661" i="10"/>
  <c r="S1660" i="10"/>
  <c r="S1659" i="10"/>
  <c r="S1658" i="10"/>
  <c r="S1657" i="10"/>
  <c r="S1656" i="10"/>
  <c r="S1655" i="10"/>
  <c r="S1654" i="10"/>
  <c r="S1653" i="10"/>
  <c r="S1652" i="10"/>
  <c r="S1651" i="10"/>
  <c r="S1650" i="10"/>
  <c r="S1649" i="10"/>
  <c r="S1648" i="10"/>
  <c r="S1647" i="10"/>
  <c r="S1646" i="10"/>
  <c r="S1645" i="10"/>
  <c r="S1644" i="10"/>
  <c r="S1643" i="10"/>
  <c r="S1642" i="10"/>
  <c r="S1641" i="10"/>
  <c r="S1640" i="10"/>
  <c r="S1639" i="10"/>
  <c r="S1638" i="10"/>
  <c r="S1637" i="10"/>
  <c r="S1636" i="10"/>
  <c r="S1635" i="10"/>
  <c r="S1634" i="10"/>
  <c r="S1633" i="10"/>
  <c r="S1632" i="10"/>
  <c r="S1631" i="10"/>
  <c r="S1630" i="10"/>
  <c r="S1629" i="10"/>
  <c r="S1628" i="10"/>
  <c r="S1627" i="10"/>
  <c r="S1626" i="10"/>
  <c r="S1625" i="10"/>
  <c r="S1624" i="10"/>
  <c r="S1623" i="10"/>
  <c r="S1622" i="10"/>
  <c r="S1621" i="10"/>
  <c r="S1620" i="10"/>
  <c r="S1619" i="10"/>
  <c r="S1618" i="10"/>
  <c r="S1617" i="10"/>
  <c r="S1616" i="10"/>
  <c r="S1615" i="10"/>
  <c r="S1614" i="10"/>
  <c r="S1613" i="10"/>
  <c r="S1612" i="10"/>
  <c r="S1611" i="10"/>
  <c r="S1610" i="10"/>
  <c r="S1609" i="10"/>
  <c r="S1608" i="10"/>
  <c r="S1607" i="10"/>
  <c r="S1606" i="10"/>
  <c r="S1605" i="10"/>
  <c r="S1604" i="10"/>
  <c r="S1603" i="10"/>
  <c r="S1602" i="10"/>
  <c r="S1601" i="10"/>
  <c r="S1600" i="10"/>
  <c r="S1599" i="10"/>
  <c r="S1598" i="10"/>
  <c r="S1597" i="10"/>
  <c r="S1596" i="10"/>
  <c r="S1595" i="10"/>
  <c r="S1594" i="10"/>
  <c r="S1593" i="10"/>
  <c r="S1592" i="10"/>
  <c r="S1591" i="10"/>
  <c r="S1590" i="10"/>
  <c r="S1589" i="10"/>
  <c r="S1588" i="10"/>
  <c r="S1587" i="10"/>
  <c r="S1586" i="10"/>
  <c r="S1585" i="10"/>
  <c r="S1584" i="10"/>
  <c r="S1583" i="10"/>
  <c r="S1582" i="10"/>
  <c r="S1581" i="10"/>
  <c r="S1580" i="10"/>
  <c r="S1579" i="10"/>
  <c r="S1578" i="10"/>
  <c r="S1577" i="10"/>
  <c r="S1576" i="10"/>
  <c r="S1575" i="10"/>
  <c r="S1574" i="10"/>
  <c r="S1573" i="10"/>
  <c r="S1572" i="10"/>
  <c r="S1571" i="10"/>
  <c r="S1570" i="10"/>
  <c r="S1569" i="10"/>
  <c r="S1568" i="10"/>
  <c r="S1567" i="10"/>
  <c r="S1566" i="10"/>
  <c r="S1565" i="10"/>
  <c r="S1564" i="10"/>
  <c r="S1563" i="10"/>
  <c r="S1562" i="10"/>
  <c r="S1561" i="10"/>
  <c r="S1560" i="10"/>
  <c r="S1559" i="10"/>
  <c r="S1558" i="10"/>
  <c r="S1557" i="10"/>
  <c r="S1556" i="10"/>
  <c r="S1555" i="10"/>
  <c r="S1554" i="10"/>
  <c r="S1553" i="10"/>
  <c r="S1552" i="10"/>
  <c r="S1551" i="10"/>
  <c r="S1550" i="10"/>
  <c r="S1549" i="10"/>
  <c r="S1548" i="10"/>
  <c r="S1547" i="10"/>
  <c r="S1546" i="10"/>
  <c r="S1545" i="10"/>
  <c r="S1544" i="10"/>
  <c r="S1543" i="10"/>
  <c r="S1542" i="10"/>
  <c r="S1541" i="10"/>
  <c r="S1540" i="10"/>
  <c r="S1539" i="10"/>
  <c r="S1538" i="10"/>
  <c r="S1537" i="10"/>
  <c r="S1536" i="10"/>
  <c r="S1535" i="10"/>
  <c r="S1534" i="10"/>
  <c r="S1533" i="10"/>
  <c r="S1532" i="10"/>
  <c r="S1531" i="10"/>
  <c r="S1530" i="10"/>
  <c r="S1529" i="10"/>
  <c r="S1528" i="10"/>
  <c r="S1527" i="10"/>
  <c r="S1526" i="10"/>
  <c r="S1525" i="10"/>
  <c r="S1524" i="10"/>
  <c r="S1523" i="10"/>
  <c r="S1522" i="10"/>
  <c r="S1521" i="10"/>
  <c r="S1520" i="10"/>
  <c r="S1519" i="10"/>
  <c r="S1518" i="10"/>
  <c r="S1517" i="10"/>
  <c r="S1516" i="10"/>
  <c r="S1515" i="10"/>
  <c r="S1514" i="10"/>
  <c r="S1513" i="10"/>
  <c r="S1512" i="10"/>
  <c r="S1511" i="10"/>
  <c r="S1510" i="10"/>
  <c r="S1509" i="10"/>
  <c r="S1508" i="10"/>
  <c r="S1507" i="10"/>
  <c r="S1506" i="10"/>
  <c r="S1505" i="10"/>
  <c r="S1504" i="10"/>
  <c r="S1503" i="10"/>
  <c r="S1502" i="10"/>
  <c r="S1501" i="10"/>
  <c r="S1500" i="10"/>
  <c r="S1499" i="10"/>
  <c r="S1498" i="10"/>
  <c r="S1497" i="10"/>
  <c r="S1496" i="10"/>
  <c r="S1495" i="10"/>
  <c r="S1494" i="10"/>
  <c r="S1493" i="10"/>
  <c r="S1492" i="10"/>
  <c r="S1491" i="10"/>
  <c r="S1490" i="10"/>
  <c r="S1489" i="10"/>
  <c r="S1488" i="10"/>
  <c r="S1487" i="10"/>
  <c r="S1486" i="10"/>
  <c r="S1485" i="10"/>
  <c r="S1484" i="10"/>
  <c r="S1483" i="10"/>
  <c r="S1482" i="10"/>
  <c r="S1481" i="10"/>
  <c r="S1480" i="10"/>
  <c r="S1479" i="10"/>
  <c r="S1478" i="10"/>
  <c r="S1477" i="10"/>
  <c r="S1476" i="10"/>
  <c r="S1475" i="10"/>
  <c r="S1474" i="10"/>
  <c r="S1473" i="10"/>
  <c r="S1472" i="10"/>
  <c r="S1471" i="10"/>
  <c r="S1470" i="10"/>
  <c r="S1469" i="10"/>
  <c r="S1468" i="10"/>
  <c r="S1467" i="10"/>
  <c r="S1466" i="10"/>
  <c r="S1465" i="10"/>
  <c r="S1464" i="10"/>
  <c r="S1463" i="10"/>
  <c r="S1462" i="10"/>
  <c r="S1461" i="10"/>
  <c r="S1460" i="10"/>
  <c r="S1459" i="10"/>
  <c r="S1458" i="10"/>
  <c r="S1457" i="10"/>
  <c r="S1456" i="10"/>
  <c r="S1455" i="10"/>
  <c r="S1454" i="10"/>
  <c r="S1453" i="10"/>
  <c r="S1452" i="10"/>
  <c r="S1451" i="10"/>
  <c r="S1450" i="10"/>
  <c r="S1449" i="10"/>
  <c r="S1448" i="10"/>
  <c r="S1447" i="10"/>
  <c r="S1446" i="10"/>
  <c r="S1445" i="10"/>
  <c r="S1444" i="10"/>
  <c r="S1443" i="10"/>
  <c r="S1442" i="10"/>
  <c r="S1441" i="10"/>
  <c r="S1440" i="10"/>
  <c r="S1439" i="10"/>
  <c r="S1438" i="10"/>
  <c r="S1437" i="10"/>
  <c r="S1436" i="10"/>
  <c r="S1435" i="10"/>
  <c r="S1434" i="10"/>
  <c r="S1433" i="10"/>
  <c r="S1432" i="10"/>
  <c r="S1431" i="10"/>
  <c r="S1430" i="10"/>
  <c r="S1429" i="10"/>
  <c r="S1428" i="10"/>
  <c r="S1427" i="10"/>
  <c r="S1426" i="10"/>
  <c r="S1425" i="10"/>
  <c r="S1424" i="10"/>
  <c r="S1423" i="10"/>
  <c r="S1422" i="10"/>
  <c r="S1421" i="10"/>
  <c r="S1420" i="10"/>
  <c r="S1419" i="10"/>
  <c r="S1418" i="10"/>
  <c r="S1417" i="10"/>
  <c r="S1416" i="10"/>
  <c r="S1415" i="10"/>
  <c r="S1414" i="10"/>
  <c r="S1413" i="10"/>
  <c r="S1412" i="10"/>
  <c r="S1411" i="10"/>
  <c r="S1410" i="10"/>
  <c r="S1409" i="10"/>
  <c r="S1408" i="10"/>
  <c r="S1407" i="10"/>
  <c r="S1406" i="10"/>
  <c r="S1405" i="10"/>
  <c r="S1404" i="10"/>
  <c r="S1403" i="10"/>
  <c r="S1402" i="10"/>
  <c r="S1401" i="10"/>
  <c r="S1400" i="10"/>
  <c r="S1399" i="10"/>
  <c r="S1398" i="10"/>
  <c r="S1397" i="10"/>
  <c r="S1396" i="10"/>
  <c r="S1395" i="10"/>
  <c r="S1394" i="10"/>
  <c r="S1393" i="10"/>
  <c r="S1392" i="10"/>
  <c r="S1391" i="10"/>
  <c r="S1390" i="10"/>
  <c r="S1389" i="10"/>
  <c r="S1388" i="10"/>
  <c r="S1387" i="10"/>
  <c r="S1386" i="10"/>
  <c r="S1385" i="10"/>
  <c r="S1384" i="10"/>
  <c r="S1383" i="10"/>
  <c r="S1382" i="10"/>
  <c r="S1381" i="10"/>
  <c r="S1380" i="10"/>
  <c r="S1379" i="10"/>
  <c r="S1378" i="10"/>
  <c r="S1377" i="10"/>
  <c r="S1376" i="10"/>
  <c r="S1375" i="10"/>
  <c r="S1374" i="10"/>
  <c r="S1373" i="10"/>
  <c r="S1372" i="10"/>
  <c r="S1371" i="10"/>
  <c r="S1370" i="10"/>
  <c r="S1369" i="10"/>
  <c r="S1368" i="10"/>
  <c r="S1367" i="10"/>
  <c r="S1366" i="10"/>
  <c r="S1365" i="10"/>
  <c r="S1364" i="10"/>
  <c r="S1363" i="10"/>
  <c r="S1362" i="10"/>
  <c r="S1361" i="10"/>
  <c r="S1360" i="10"/>
  <c r="S1359" i="10"/>
  <c r="S1358" i="10"/>
  <c r="S1357" i="10"/>
  <c r="S1356" i="10"/>
  <c r="S1355" i="10"/>
  <c r="S1354" i="10"/>
  <c r="S1353" i="10"/>
  <c r="S1352" i="10"/>
  <c r="S1351" i="10"/>
  <c r="S1350" i="10"/>
  <c r="S1349" i="10"/>
  <c r="S1348" i="10"/>
  <c r="S1347" i="10"/>
  <c r="S1346" i="10"/>
  <c r="S1345" i="10"/>
  <c r="S1344" i="10"/>
  <c r="S1343" i="10"/>
  <c r="S1342" i="10"/>
  <c r="S1341" i="10"/>
  <c r="S1340" i="10"/>
  <c r="S1339" i="10"/>
  <c r="S1338" i="10"/>
  <c r="S1337" i="10"/>
  <c r="S1336" i="10"/>
  <c r="S1335" i="10"/>
  <c r="S1334" i="10"/>
  <c r="S1333" i="10"/>
  <c r="S1332" i="10"/>
  <c r="S1331" i="10"/>
  <c r="S1330" i="10"/>
  <c r="S1329" i="10"/>
  <c r="S1328" i="10"/>
  <c r="S1327" i="10"/>
  <c r="S1326" i="10"/>
  <c r="S1325" i="10"/>
  <c r="S1324" i="10"/>
  <c r="S1323" i="10"/>
  <c r="S1322" i="10"/>
  <c r="S1321" i="10"/>
  <c r="S1320" i="10"/>
  <c r="S1319" i="10"/>
  <c r="S1318" i="10"/>
  <c r="S1317" i="10"/>
  <c r="S1316" i="10"/>
  <c r="S1315" i="10"/>
  <c r="S1314" i="10"/>
  <c r="S1313" i="10"/>
  <c r="S1312" i="10"/>
  <c r="S1311" i="10"/>
  <c r="S1310" i="10"/>
  <c r="S1309" i="10"/>
  <c r="S1308" i="10"/>
  <c r="S1307" i="10"/>
  <c r="S1306" i="10"/>
  <c r="S1305" i="10"/>
  <c r="S1304" i="10"/>
  <c r="S1303" i="10"/>
  <c r="S1302" i="10"/>
  <c r="S1301" i="10"/>
  <c r="S1300" i="10"/>
  <c r="S1299" i="10"/>
  <c r="S1298" i="10"/>
  <c r="S1297" i="10"/>
  <c r="S1296" i="10"/>
  <c r="S1295" i="10"/>
  <c r="S1294" i="10"/>
  <c r="S1293" i="10"/>
  <c r="S1292" i="10"/>
  <c r="S1291" i="10"/>
  <c r="S1290" i="10"/>
  <c r="S1289" i="10"/>
  <c r="S1288" i="10"/>
  <c r="S1287" i="10"/>
  <c r="S1286" i="10"/>
  <c r="S1285" i="10"/>
  <c r="S1284" i="10"/>
  <c r="S1283" i="10"/>
  <c r="S1282" i="10"/>
  <c r="S1281" i="10"/>
  <c r="S1280" i="10"/>
  <c r="S1279" i="10"/>
  <c r="S1278" i="10"/>
  <c r="S1277" i="10"/>
  <c r="S1276" i="10"/>
  <c r="S1275" i="10"/>
  <c r="S1274" i="10"/>
  <c r="S1273" i="10"/>
  <c r="S1272" i="10"/>
  <c r="S1271" i="10"/>
  <c r="S1270" i="10"/>
  <c r="S1269" i="10"/>
  <c r="S1268" i="10"/>
  <c r="S1267" i="10"/>
  <c r="S1266" i="10"/>
  <c r="S1265" i="10"/>
  <c r="S1264" i="10"/>
  <c r="S1263" i="10"/>
  <c r="S1262" i="10"/>
  <c r="S1261" i="10"/>
  <c r="S1260" i="10"/>
  <c r="S1259" i="10"/>
  <c r="S1258" i="10"/>
  <c r="S1257" i="10"/>
  <c r="S1256" i="10"/>
  <c r="S1255" i="10"/>
  <c r="S1254" i="10"/>
  <c r="S1253" i="10"/>
  <c r="S1252" i="10"/>
  <c r="S1251" i="10"/>
  <c r="S1250" i="10"/>
  <c r="S1249" i="10"/>
  <c r="S1248" i="10"/>
  <c r="S1247" i="10"/>
  <c r="S1246" i="10"/>
  <c r="S1245" i="10"/>
  <c r="S1244" i="10"/>
  <c r="S1243" i="10"/>
  <c r="S1242" i="10"/>
  <c r="S1241" i="10"/>
  <c r="S1240" i="10"/>
  <c r="S1239" i="10"/>
  <c r="S1238" i="10"/>
  <c r="S1237" i="10"/>
  <c r="S1236" i="10"/>
  <c r="S1235" i="10"/>
  <c r="S1234" i="10"/>
  <c r="S1233" i="10"/>
  <c r="S1232" i="10"/>
  <c r="S1231" i="10"/>
  <c r="S1230" i="10"/>
  <c r="S1229" i="10"/>
  <c r="S1228" i="10"/>
  <c r="S1227" i="10"/>
  <c r="S1226" i="10"/>
  <c r="S1225" i="10"/>
  <c r="S1224" i="10"/>
  <c r="S1223" i="10"/>
  <c r="S1222" i="10"/>
  <c r="S1221" i="10"/>
  <c r="S1220" i="10"/>
  <c r="S1219" i="10"/>
  <c r="S1218" i="10"/>
  <c r="S1217" i="10"/>
  <c r="S1216" i="10"/>
  <c r="S1215" i="10"/>
  <c r="S1214" i="10"/>
  <c r="S1213" i="10"/>
  <c r="S1212" i="10"/>
  <c r="S1211" i="10"/>
  <c r="S1210" i="10"/>
  <c r="S1209" i="10"/>
  <c r="S1208" i="10"/>
  <c r="S1207" i="10"/>
  <c r="S1206" i="10"/>
  <c r="S1205" i="10"/>
  <c r="S1204" i="10"/>
  <c r="S1203" i="10"/>
  <c r="S1202" i="10"/>
  <c r="S1201" i="10"/>
  <c r="S1200" i="10"/>
  <c r="S1199" i="10"/>
  <c r="S1198" i="10"/>
  <c r="S1197" i="10"/>
  <c r="S1196" i="10"/>
  <c r="S1195" i="10"/>
  <c r="S1194" i="10"/>
  <c r="S1193" i="10"/>
  <c r="S1192" i="10"/>
  <c r="S1191" i="10"/>
  <c r="S1190" i="10"/>
  <c r="S1189" i="10"/>
  <c r="S1188" i="10"/>
  <c r="S1187" i="10"/>
  <c r="S1186" i="10"/>
  <c r="S1185" i="10"/>
  <c r="S1184" i="10"/>
  <c r="S1183" i="10"/>
  <c r="S1182" i="10"/>
  <c r="S1181" i="10"/>
  <c r="S1180" i="10"/>
  <c r="S1179" i="10"/>
  <c r="S1178" i="10"/>
  <c r="S1177" i="10"/>
  <c r="S1176" i="10"/>
  <c r="S1175" i="10"/>
  <c r="S1174" i="10"/>
  <c r="S1173" i="10"/>
  <c r="S1172" i="10"/>
  <c r="S1171" i="10"/>
  <c r="S1170" i="10"/>
  <c r="S1169" i="10"/>
  <c r="S1168" i="10"/>
  <c r="S1167" i="10"/>
  <c r="S1166" i="10"/>
  <c r="S1165" i="10"/>
  <c r="S1164" i="10"/>
  <c r="S1163" i="10"/>
  <c r="S1162" i="10"/>
  <c r="S1161" i="10"/>
  <c r="S1160" i="10"/>
  <c r="S1159" i="10"/>
  <c r="S1158" i="10"/>
  <c r="S1157" i="10"/>
  <c r="S1156" i="10"/>
  <c r="S1155" i="10"/>
  <c r="S1154" i="10"/>
  <c r="S1153" i="10"/>
  <c r="S1152" i="10"/>
  <c r="S1151" i="10"/>
  <c r="S1150" i="10"/>
  <c r="S1149" i="10"/>
  <c r="S1148" i="10"/>
  <c r="S1147" i="10"/>
  <c r="S1146" i="10"/>
  <c r="S1145" i="10"/>
  <c r="S1144" i="10"/>
  <c r="S1143" i="10"/>
  <c r="S1142" i="10"/>
  <c r="S1141" i="10"/>
  <c r="S1140" i="10"/>
  <c r="S1139" i="10"/>
  <c r="S1138" i="10"/>
  <c r="S1137" i="10"/>
  <c r="S1136" i="10"/>
  <c r="S1135" i="10"/>
  <c r="S1134" i="10"/>
  <c r="S1133" i="10"/>
  <c r="S1132" i="10"/>
  <c r="S1131" i="10"/>
  <c r="S1130" i="10"/>
  <c r="S1129" i="10"/>
  <c r="S1128" i="10"/>
  <c r="S1127" i="10"/>
  <c r="S1126" i="10"/>
  <c r="S1125" i="10"/>
  <c r="S1124" i="10"/>
  <c r="S1123" i="10"/>
  <c r="S1122" i="10"/>
  <c r="S1121" i="10"/>
  <c r="S1120" i="10"/>
  <c r="S1119" i="10"/>
  <c r="S1118" i="10"/>
  <c r="S1117" i="10"/>
  <c r="S1116" i="10"/>
  <c r="S1115" i="10"/>
  <c r="S1114" i="10"/>
  <c r="S1113" i="10"/>
  <c r="S1112" i="10"/>
  <c r="S1111" i="10"/>
  <c r="S1110" i="10"/>
  <c r="S1109" i="10"/>
  <c r="S1108" i="10"/>
  <c r="S1107" i="10"/>
  <c r="S1106" i="10"/>
  <c r="S1105" i="10"/>
  <c r="S1104" i="10"/>
  <c r="S1103" i="10"/>
  <c r="S1102" i="10"/>
  <c r="S1101" i="10"/>
  <c r="S1100" i="10"/>
  <c r="S1099" i="10"/>
  <c r="S1098" i="10"/>
  <c r="S1097" i="10"/>
  <c r="S1096" i="10"/>
  <c r="S1095" i="10"/>
  <c r="S1094" i="10"/>
  <c r="S1093" i="10"/>
  <c r="S1092" i="10"/>
  <c r="S1091" i="10"/>
  <c r="S1090" i="10"/>
  <c r="S1089" i="10"/>
  <c r="S1088" i="10"/>
  <c r="S1087" i="10"/>
  <c r="S1086" i="10"/>
  <c r="S1085" i="10"/>
  <c r="S1084" i="10"/>
  <c r="S1083" i="10"/>
  <c r="S1082" i="10"/>
  <c r="S1081" i="10"/>
  <c r="S1080" i="10"/>
  <c r="S1079" i="10"/>
  <c r="S1078" i="10"/>
  <c r="S1077" i="10"/>
  <c r="S1076" i="10"/>
  <c r="S1075" i="10"/>
  <c r="S1074" i="10"/>
  <c r="S1073" i="10"/>
  <c r="S1072" i="10"/>
  <c r="S1071" i="10"/>
  <c r="S1070" i="10"/>
  <c r="S1069" i="10"/>
  <c r="S1068" i="10"/>
  <c r="S1067" i="10"/>
  <c r="S1066" i="10"/>
  <c r="S1065" i="10"/>
  <c r="S1064" i="10"/>
  <c r="S1063" i="10"/>
  <c r="S1062" i="10"/>
  <c r="S1061" i="10"/>
  <c r="S1060" i="10"/>
  <c r="S1059" i="10"/>
  <c r="S1058" i="10"/>
  <c r="S1057" i="10"/>
  <c r="S1056" i="10"/>
  <c r="S1055" i="10"/>
  <c r="S1054" i="10"/>
  <c r="S1053" i="10"/>
  <c r="S1052" i="10"/>
  <c r="S1051" i="10"/>
  <c r="S1050" i="10"/>
  <c r="S1049" i="10"/>
  <c r="S1048" i="10"/>
  <c r="S1047" i="10"/>
  <c r="S1046" i="10"/>
  <c r="S1045" i="10"/>
  <c r="S1044" i="10"/>
  <c r="S1043" i="10"/>
  <c r="S1042" i="10"/>
  <c r="S1041" i="10"/>
  <c r="S1040" i="10"/>
  <c r="S1039" i="10"/>
  <c r="S1038" i="10"/>
  <c r="S1037" i="10"/>
  <c r="S1036" i="10"/>
  <c r="S1035" i="10"/>
  <c r="S1034" i="10"/>
  <c r="S1033" i="10"/>
  <c r="S1032" i="10"/>
  <c r="S1031" i="10"/>
  <c r="S1030" i="10"/>
  <c r="S1029" i="10"/>
  <c r="S1028" i="10"/>
  <c r="S1027" i="10"/>
  <c r="S1026" i="10"/>
  <c r="S1025" i="10"/>
  <c r="S1024" i="10"/>
  <c r="S1023" i="10"/>
  <c r="S1022" i="10"/>
  <c r="S1021" i="10"/>
  <c r="S1020" i="10"/>
  <c r="S1019" i="10"/>
  <c r="S1018" i="10"/>
  <c r="S1017" i="10"/>
  <c r="S1016" i="10"/>
  <c r="S1015" i="10"/>
  <c r="S1014" i="10"/>
  <c r="S1013" i="10"/>
  <c r="S1012" i="10"/>
  <c r="S1011" i="10"/>
  <c r="S1010" i="10"/>
  <c r="S1009" i="10"/>
  <c r="S1008" i="10"/>
  <c r="S1007" i="10"/>
  <c r="S1006" i="10"/>
  <c r="S1005" i="10"/>
  <c r="S1004" i="10"/>
  <c r="S1003" i="10"/>
  <c r="S1002" i="10"/>
  <c r="S1001" i="10"/>
  <c r="S1000" i="10"/>
  <c r="S999" i="10"/>
  <c r="S998" i="10"/>
  <c r="S997" i="10"/>
  <c r="S996" i="10"/>
  <c r="S995" i="10"/>
  <c r="S994" i="10"/>
  <c r="S993" i="10"/>
  <c r="S992" i="10"/>
  <c r="S991" i="10"/>
  <c r="S990" i="10"/>
  <c r="S989" i="10"/>
  <c r="S988" i="10"/>
  <c r="S987" i="10"/>
  <c r="S986" i="10"/>
  <c r="S985" i="10"/>
  <c r="S984" i="10"/>
  <c r="S983" i="10"/>
  <c r="S982" i="10"/>
  <c r="S981" i="10"/>
  <c r="S980" i="10"/>
  <c r="S979" i="10"/>
  <c r="S978" i="10"/>
  <c r="S977" i="10"/>
  <c r="S976" i="10"/>
  <c r="S975" i="10"/>
  <c r="S974" i="10"/>
  <c r="S973" i="10"/>
  <c r="S972" i="10"/>
  <c r="S971" i="10"/>
  <c r="S970" i="10"/>
  <c r="S969" i="10"/>
  <c r="S968" i="10"/>
  <c r="S967" i="10"/>
  <c r="S966" i="10"/>
  <c r="S965" i="10"/>
  <c r="S964" i="10"/>
  <c r="S963" i="10"/>
  <c r="S962" i="10"/>
  <c r="S961" i="10"/>
  <c r="S960" i="10"/>
  <c r="S959" i="10"/>
  <c r="S958" i="10"/>
  <c r="S957" i="10"/>
  <c r="S956" i="10"/>
  <c r="S955" i="10"/>
  <c r="S954" i="10"/>
  <c r="S953" i="10"/>
  <c r="S952" i="10"/>
  <c r="S951" i="10"/>
  <c r="S950" i="10"/>
  <c r="S949" i="10"/>
  <c r="S948" i="10"/>
  <c r="S947" i="10"/>
  <c r="S946" i="10"/>
  <c r="S945" i="10"/>
  <c r="S944" i="10"/>
  <c r="S943" i="10"/>
  <c r="S942" i="10"/>
  <c r="S941" i="10"/>
  <c r="S940" i="10"/>
  <c r="S939" i="10"/>
  <c r="S938" i="10"/>
  <c r="S937" i="10"/>
  <c r="S936" i="10"/>
  <c r="S935" i="10"/>
  <c r="S934" i="10"/>
  <c r="S933" i="10"/>
  <c r="S932" i="10"/>
  <c r="S931" i="10"/>
  <c r="S930" i="10"/>
  <c r="S929" i="10"/>
  <c r="S928" i="10"/>
  <c r="S927" i="10"/>
  <c r="S926" i="10"/>
  <c r="S925" i="10"/>
  <c r="S924" i="10"/>
  <c r="S923" i="10"/>
  <c r="S922" i="10"/>
  <c r="S921" i="10"/>
  <c r="S920" i="10"/>
  <c r="S919" i="10"/>
  <c r="S918" i="10"/>
  <c r="S917" i="10"/>
  <c r="S916" i="10"/>
  <c r="S915" i="10"/>
  <c r="S914" i="10"/>
  <c r="S913" i="10"/>
  <c r="S912" i="10"/>
  <c r="S911" i="10"/>
  <c r="S910" i="10"/>
  <c r="S909" i="10"/>
  <c r="S908" i="10"/>
  <c r="S907" i="10"/>
  <c r="S906" i="10"/>
  <c r="S905" i="10"/>
  <c r="S904" i="10"/>
  <c r="S903" i="10"/>
  <c r="S902" i="10"/>
  <c r="S901" i="10"/>
  <c r="S900" i="10"/>
  <c r="S899" i="10"/>
  <c r="S898" i="10"/>
  <c r="S897" i="10"/>
  <c r="S896" i="10"/>
  <c r="S895" i="10"/>
  <c r="S894" i="10"/>
  <c r="S893" i="10"/>
  <c r="S892" i="10"/>
  <c r="S891" i="10"/>
  <c r="S890" i="10"/>
  <c r="S889" i="10"/>
  <c r="S888" i="10"/>
  <c r="S887" i="10"/>
  <c r="S886" i="10"/>
  <c r="S885" i="10"/>
  <c r="S884" i="10"/>
  <c r="S883" i="10"/>
  <c r="S882" i="10"/>
  <c r="S881" i="10"/>
  <c r="S880" i="10"/>
  <c r="S879" i="10"/>
  <c r="S878" i="10"/>
  <c r="S877" i="10"/>
  <c r="S876" i="10"/>
  <c r="S875" i="10"/>
  <c r="S874" i="10"/>
  <c r="S873" i="10"/>
  <c r="S872" i="10"/>
  <c r="S871" i="10"/>
  <c r="S870" i="10"/>
  <c r="S869" i="10"/>
  <c r="S868" i="10"/>
  <c r="S867" i="10"/>
  <c r="S866" i="10"/>
  <c r="S865" i="10"/>
  <c r="S864" i="10"/>
  <c r="S863" i="10"/>
  <c r="S862" i="10"/>
  <c r="S861" i="10"/>
  <c r="S860" i="10"/>
  <c r="S859" i="10"/>
  <c r="S858" i="10"/>
  <c r="S857" i="10"/>
  <c r="S856" i="10"/>
  <c r="S855" i="10"/>
  <c r="S854" i="10"/>
  <c r="S853" i="10"/>
  <c r="S852" i="10"/>
  <c r="S851" i="10"/>
  <c r="S850" i="10"/>
  <c r="S849" i="10"/>
  <c r="S848" i="10"/>
  <c r="S847" i="10"/>
  <c r="S846" i="10"/>
  <c r="S845" i="10"/>
  <c r="S844" i="10"/>
  <c r="S843" i="10"/>
  <c r="S842" i="10"/>
  <c r="S841" i="10"/>
  <c r="S840" i="10"/>
  <c r="S839" i="10"/>
  <c r="S838" i="10"/>
  <c r="S837" i="10"/>
  <c r="S836" i="10"/>
  <c r="S835" i="10"/>
  <c r="S834" i="10"/>
  <c r="S833" i="10"/>
  <c r="S832" i="10"/>
  <c r="S831" i="10"/>
  <c r="S830" i="10"/>
  <c r="S829" i="10"/>
  <c r="S828" i="10"/>
  <c r="S827" i="10"/>
  <c r="S826" i="10"/>
  <c r="S825" i="10"/>
  <c r="S824" i="10"/>
  <c r="S823" i="10"/>
  <c r="S822" i="10"/>
  <c r="S821" i="10"/>
  <c r="S820" i="10"/>
  <c r="S819" i="10"/>
  <c r="S818" i="10"/>
  <c r="S817" i="10"/>
  <c r="S816" i="10"/>
  <c r="S815" i="10"/>
  <c r="S814" i="10"/>
  <c r="S813" i="10"/>
  <c r="S812" i="10"/>
  <c r="S811" i="10"/>
  <c r="S810" i="10"/>
  <c r="S809" i="10"/>
  <c r="S808" i="10"/>
  <c r="S807" i="10"/>
  <c r="S806" i="10"/>
  <c r="S805" i="10"/>
  <c r="S804" i="10"/>
  <c r="S803" i="10"/>
  <c r="S802" i="10"/>
  <c r="S801" i="10"/>
  <c r="S800" i="10"/>
  <c r="S799" i="10"/>
  <c r="S798" i="10"/>
  <c r="S797" i="10"/>
  <c r="S796" i="10"/>
  <c r="S795" i="10"/>
  <c r="S794" i="10"/>
  <c r="S793" i="10"/>
  <c r="S792" i="10"/>
  <c r="S791" i="10"/>
  <c r="S790" i="10"/>
  <c r="S789" i="10"/>
  <c r="S788" i="10"/>
  <c r="S787" i="10"/>
  <c r="S786" i="10"/>
  <c r="S785" i="10"/>
  <c r="S784" i="10"/>
  <c r="S783" i="10"/>
  <c r="S782" i="10"/>
  <c r="S781" i="10"/>
  <c r="S780" i="10"/>
  <c r="S779" i="10"/>
  <c r="S778" i="10"/>
  <c r="S777" i="10"/>
  <c r="S776" i="10"/>
  <c r="S775" i="10"/>
  <c r="S774" i="10"/>
  <c r="S773" i="10"/>
  <c r="S772" i="10"/>
  <c r="S771" i="10"/>
  <c r="S770" i="10"/>
  <c r="S769" i="10"/>
  <c r="S768" i="10"/>
  <c r="S767" i="10"/>
  <c r="S766" i="10"/>
  <c r="S765" i="10"/>
  <c r="S764" i="10"/>
  <c r="S763" i="10"/>
  <c r="S762" i="10"/>
  <c r="S761" i="10"/>
  <c r="S760" i="10"/>
  <c r="S759" i="10"/>
  <c r="S758" i="10"/>
  <c r="S757" i="10"/>
  <c r="S756" i="10"/>
  <c r="S755" i="10"/>
  <c r="S754" i="10"/>
  <c r="S753" i="10"/>
  <c r="S752" i="10"/>
  <c r="S751" i="10"/>
  <c r="S750" i="10"/>
  <c r="S749" i="10"/>
  <c r="S748" i="10"/>
  <c r="S747" i="10"/>
  <c r="S746" i="10"/>
  <c r="S745" i="10"/>
  <c r="S744" i="10"/>
  <c r="S743" i="10"/>
  <c r="S742" i="10"/>
  <c r="S741" i="10"/>
  <c r="S740" i="10"/>
  <c r="S739" i="10"/>
  <c r="S738" i="10"/>
  <c r="S737" i="10"/>
  <c r="S736" i="10"/>
  <c r="S735" i="10"/>
  <c r="S734" i="10"/>
  <c r="S733" i="10"/>
  <c r="S732" i="10"/>
  <c r="S731" i="10"/>
  <c r="S730" i="10"/>
  <c r="S729" i="10"/>
  <c r="S728" i="10"/>
  <c r="S727" i="10"/>
  <c r="S726" i="10"/>
  <c r="S725" i="10"/>
  <c r="S724" i="10"/>
  <c r="S723" i="10"/>
  <c r="S722" i="10"/>
  <c r="S721" i="10"/>
  <c r="S720" i="10"/>
  <c r="S719" i="10"/>
  <c r="S718" i="10"/>
  <c r="S717" i="10"/>
  <c r="S716" i="10"/>
  <c r="S715" i="10"/>
  <c r="S714" i="10"/>
  <c r="S713" i="10"/>
  <c r="S712" i="10"/>
  <c r="S711" i="10"/>
  <c r="S710" i="10"/>
  <c r="S709" i="10"/>
  <c r="S708" i="10"/>
  <c r="S707" i="10"/>
  <c r="S706" i="10"/>
  <c r="S705" i="10"/>
  <c r="S704" i="10"/>
  <c r="S703" i="10"/>
  <c r="S702" i="10"/>
  <c r="S701" i="10"/>
  <c r="S700" i="10"/>
  <c r="S699" i="10"/>
  <c r="S698" i="10"/>
  <c r="S697" i="10"/>
  <c r="S696" i="10"/>
  <c r="S695" i="10"/>
  <c r="S694" i="10"/>
  <c r="S693" i="10"/>
  <c r="S692" i="10"/>
  <c r="S691" i="10"/>
  <c r="S690" i="10"/>
  <c r="S689" i="10"/>
  <c r="S688" i="10"/>
  <c r="S687" i="10"/>
  <c r="S686" i="10"/>
  <c r="S685" i="10"/>
  <c r="S684" i="10"/>
  <c r="S683" i="10"/>
  <c r="S682" i="10"/>
  <c r="S681" i="10"/>
  <c r="S680" i="10"/>
  <c r="S679" i="10"/>
  <c r="S678" i="10"/>
  <c r="S677" i="10"/>
  <c r="S676" i="10"/>
  <c r="S675" i="10"/>
  <c r="S674" i="10"/>
  <c r="S673" i="10"/>
  <c r="S672" i="10"/>
  <c r="S671" i="10"/>
  <c r="S670" i="10"/>
  <c r="S669" i="10"/>
  <c r="S668" i="10"/>
  <c r="S667" i="10"/>
  <c r="S666" i="10"/>
  <c r="S665" i="10"/>
  <c r="S664" i="10"/>
  <c r="S663" i="10"/>
  <c r="S662" i="10"/>
  <c r="S661" i="10"/>
  <c r="S660" i="10"/>
  <c r="S659" i="10"/>
  <c r="S658" i="10"/>
  <c r="S657" i="10"/>
  <c r="S656" i="10"/>
  <c r="S655" i="10"/>
  <c r="S654" i="10"/>
  <c r="S653" i="10"/>
  <c r="S652" i="10"/>
  <c r="S651" i="10"/>
  <c r="S650" i="10"/>
  <c r="S649" i="10"/>
  <c r="S648" i="10"/>
  <c r="S647" i="10"/>
  <c r="S646" i="10"/>
  <c r="S645" i="10"/>
  <c r="S644" i="10"/>
  <c r="S643" i="10"/>
  <c r="S642" i="10"/>
  <c r="S641" i="10"/>
  <c r="S640" i="10"/>
  <c r="S639" i="10"/>
  <c r="S638" i="10"/>
  <c r="S637" i="10"/>
  <c r="S636" i="10"/>
  <c r="S635" i="10"/>
  <c r="S634" i="10"/>
  <c r="S633" i="10"/>
  <c r="S632" i="10"/>
  <c r="S631" i="10"/>
  <c r="S630" i="10"/>
  <c r="S629" i="10"/>
  <c r="S628" i="10"/>
  <c r="S627" i="10"/>
  <c r="S626" i="10"/>
  <c r="S625" i="10"/>
  <c r="S624" i="10"/>
  <c r="S623" i="10"/>
  <c r="S622" i="10"/>
  <c r="S621" i="10"/>
  <c r="S620" i="10"/>
  <c r="S619" i="10"/>
  <c r="S618" i="10"/>
  <c r="S617" i="10"/>
  <c r="S616" i="10"/>
  <c r="S615" i="10"/>
  <c r="S614" i="10"/>
  <c r="S613" i="10"/>
  <c r="S612" i="10"/>
  <c r="S611" i="10"/>
  <c r="S610" i="10"/>
  <c r="S609" i="10"/>
  <c r="S608" i="10"/>
  <c r="S607" i="10"/>
  <c r="S606" i="10"/>
  <c r="S605" i="10"/>
  <c r="S604" i="10"/>
  <c r="S603" i="10"/>
  <c r="S602" i="10"/>
  <c r="S601" i="10"/>
  <c r="S600" i="10"/>
  <c r="S599" i="10"/>
  <c r="S598" i="10"/>
  <c r="S597" i="10"/>
  <c r="S596" i="10"/>
  <c r="S595" i="10"/>
  <c r="S594" i="10"/>
  <c r="S593" i="10"/>
  <c r="S592" i="10"/>
  <c r="S591" i="10"/>
  <c r="S590" i="10"/>
  <c r="S589" i="10"/>
  <c r="S588" i="10"/>
  <c r="S587" i="10"/>
  <c r="S586" i="10"/>
  <c r="S585" i="10"/>
  <c r="S584" i="10"/>
  <c r="S583" i="10"/>
  <c r="S582" i="10"/>
  <c r="S581" i="10"/>
  <c r="S580" i="10"/>
  <c r="S579" i="10"/>
  <c r="S578" i="10"/>
  <c r="S577" i="10"/>
  <c r="S576" i="10"/>
  <c r="S575" i="10"/>
  <c r="S574" i="10"/>
  <c r="S573" i="10"/>
  <c r="S572" i="10"/>
  <c r="S571" i="10"/>
  <c r="S570" i="10"/>
  <c r="S569" i="10"/>
  <c r="S568" i="10"/>
  <c r="S567" i="10"/>
  <c r="S566" i="10"/>
  <c r="S565" i="10"/>
  <c r="S564" i="10"/>
  <c r="S563" i="10"/>
  <c r="S562" i="10"/>
  <c r="S561" i="10"/>
  <c r="S560" i="10"/>
  <c r="S559" i="10"/>
  <c r="S558" i="10"/>
  <c r="S557" i="10"/>
  <c r="S556" i="10"/>
  <c r="S555" i="10"/>
  <c r="S554" i="10"/>
  <c r="S553" i="10"/>
  <c r="S552" i="10"/>
  <c r="S551" i="10"/>
  <c r="S550" i="10"/>
  <c r="S549" i="10"/>
  <c r="S548" i="10"/>
  <c r="S547" i="10"/>
  <c r="S546" i="10"/>
  <c r="S545" i="10"/>
  <c r="S544" i="10"/>
  <c r="S543" i="10"/>
  <c r="S542" i="10"/>
  <c r="S541" i="10"/>
  <c r="S540" i="10"/>
  <c r="S539" i="10"/>
  <c r="S538" i="10"/>
  <c r="S537" i="10"/>
  <c r="S536" i="10"/>
  <c r="S535" i="10"/>
  <c r="S534" i="10"/>
  <c r="S533" i="10"/>
  <c r="S532" i="10"/>
  <c r="S531" i="10"/>
  <c r="S530" i="10"/>
  <c r="S529" i="10"/>
  <c r="S528" i="10"/>
  <c r="S527" i="10"/>
  <c r="S526" i="10"/>
  <c r="S525" i="10"/>
  <c r="S524" i="10"/>
  <c r="S523" i="10"/>
  <c r="S522" i="10"/>
  <c r="S521" i="10"/>
  <c r="S520" i="10"/>
  <c r="S519" i="10"/>
  <c r="S518" i="10"/>
  <c r="S517" i="10"/>
  <c r="S516" i="10"/>
  <c r="S515" i="10"/>
  <c r="S514" i="10"/>
  <c r="S513" i="10"/>
  <c r="S512" i="10"/>
  <c r="S511" i="10"/>
  <c r="S510" i="10"/>
  <c r="S509" i="10"/>
  <c r="S508" i="10"/>
  <c r="S507" i="10"/>
  <c r="S506" i="10"/>
  <c r="S505" i="10"/>
  <c r="S504" i="10"/>
  <c r="S503" i="10"/>
  <c r="S502" i="10"/>
  <c r="S501" i="10"/>
  <c r="S500" i="10"/>
  <c r="S499" i="10"/>
  <c r="S498" i="10"/>
  <c r="S497" i="10"/>
  <c r="S496" i="10"/>
  <c r="S495" i="10"/>
  <c r="S494" i="10"/>
  <c r="S493" i="10"/>
  <c r="S492" i="10"/>
  <c r="S491" i="10"/>
  <c r="S490" i="10"/>
  <c r="S489" i="10"/>
  <c r="S488" i="10"/>
  <c r="S487" i="10"/>
  <c r="S486" i="10"/>
  <c r="S485" i="10"/>
  <c r="S484" i="10"/>
  <c r="S483" i="10"/>
  <c r="S482" i="10"/>
  <c r="S481" i="10"/>
  <c r="S480" i="10"/>
  <c r="S479" i="10"/>
  <c r="S478" i="10"/>
  <c r="S477" i="10"/>
  <c r="S476" i="10"/>
  <c r="S475" i="10"/>
  <c r="S474" i="10"/>
  <c r="S473" i="10"/>
  <c r="S472" i="10"/>
  <c r="S471" i="10"/>
  <c r="S470" i="10"/>
  <c r="S469" i="10"/>
  <c r="S468" i="10"/>
  <c r="S467" i="10"/>
  <c r="S466" i="10"/>
  <c r="S465" i="10"/>
  <c r="S464" i="10"/>
  <c r="S463" i="10"/>
  <c r="S462" i="10"/>
  <c r="S461" i="10"/>
  <c r="S460" i="10"/>
  <c r="S459" i="10"/>
  <c r="S458" i="10"/>
  <c r="S457" i="10"/>
  <c r="S456" i="10"/>
  <c r="S455" i="10"/>
  <c r="S454" i="10"/>
  <c r="S453" i="10"/>
  <c r="S452" i="10"/>
  <c r="S451" i="10"/>
  <c r="S450" i="10"/>
  <c r="S449" i="10"/>
  <c r="S448" i="10"/>
  <c r="S447" i="10"/>
  <c r="S446" i="10"/>
  <c r="S445" i="10"/>
  <c r="S444" i="10"/>
  <c r="S443" i="10"/>
  <c r="S442" i="10"/>
  <c r="S441" i="10"/>
  <c r="S440" i="10"/>
  <c r="S439" i="10"/>
  <c r="S438" i="10"/>
  <c r="S437" i="10"/>
  <c r="S436" i="10"/>
  <c r="S435" i="10"/>
  <c r="S434" i="10"/>
  <c r="S433" i="10"/>
  <c r="S432" i="10"/>
  <c r="S431" i="10"/>
  <c r="S430" i="10"/>
  <c r="S429" i="10"/>
  <c r="S428" i="10"/>
  <c r="S427" i="10"/>
  <c r="S426" i="10"/>
  <c r="S425" i="10"/>
  <c r="S424" i="10"/>
  <c r="S423" i="10"/>
  <c r="S422" i="10"/>
  <c r="S421" i="10"/>
  <c r="S420" i="10"/>
  <c r="S419" i="10"/>
  <c r="S418" i="10"/>
  <c r="S417" i="10"/>
  <c r="S416" i="10"/>
  <c r="S415" i="10"/>
  <c r="S414" i="10"/>
  <c r="S413" i="10"/>
  <c r="S412" i="10"/>
  <c r="S411" i="10"/>
  <c r="S410" i="10"/>
  <c r="S409" i="10"/>
  <c r="S408" i="10"/>
  <c r="S407" i="10"/>
  <c r="S406" i="10"/>
  <c r="S405" i="10"/>
  <c r="S404" i="10"/>
  <c r="S403" i="10"/>
  <c r="S402" i="10"/>
  <c r="S401" i="10"/>
  <c r="S400" i="10"/>
  <c r="S399" i="10"/>
  <c r="S398" i="10"/>
  <c r="S397" i="10"/>
  <c r="S396" i="10"/>
  <c r="S395" i="10"/>
  <c r="S394" i="10"/>
  <c r="S393" i="10"/>
  <c r="S392" i="10"/>
  <c r="S391" i="10"/>
  <c r="S390" i="10"/>
  <c r="S389" i="10"/>
  <c r="S388" i="10"/>
  <c r="S387" i="10"/>
  <c r="S386" i="10"/>
  <c r="S385" i="10"/>
  <c r="S384" i="10"/>
  <c r="S383" i="10"/>
  <c r="S382" i="10"/>
  <c r="S381" i="10"/>
  <c r="S380" i="10"/>
  <c r="S379" i="10"/>
  <c r="S378" i="10"/>
  <c r="S377" i="10"/>
  <c r="S376" i="10"/>
  <c r="S375" i="10"/>
  <c r="S374" i="10"/>
  <c r="S373" i="10"/>
  <c r="S372" i="10"/>
  <c r="S371" i="10"/>
  <c r="S370" i="10"/>
  <c r="S369" i="10"/>
  <c r="S368" i="10"/>
  <c r="S367" i="10"/>
  <c r="S366" i="10"/>
  <c r="S365" i="10"/>
  <c r="S364" i="10"/>
  <c r="S363" i="10"/>
  <c r="S362" i="10"/>
  <c r="S361" i="10"/>
  <c r="S360" i="10"/>
  <c r="S359" i="10"/>
  <c r="S358" i="10"/>
  <c r="S357" i="10"/>
  <c r="S356" i="10"/>
  <c r="S355" i="10"/>
  <c r="S354" i="10"/>
  <c r="S353" i="10"/>
  <c r="S352" i="10"/>
  <c r="S351" i="10"/>
  <c r="S350" i="10"/>
  <c r="S349" i="10"/>
  <c r="S348" i="10"/>
  <c r="S347" i="10"/>
  <c r="S346" i="10"/>
  <c r="S345" i="10"/>
  <c r="S344" i="10"/>
  <c r="S343" i="10"/>
  <c r="S342" i="10"/>
  <c r="S341" i="10"/>
  <c r="S340" i="10"/>
  <c r="S339" i="10"/>
  <c r="S338" i="10"/>
  <c r="S337" i="10"/>
  <c r="S336" i="10"/>
  <c r="S335" i="10"/>
  <c r="S334" i="10"/>
  <c r="S333" i="10"/>
  <c r="S332" i="10"/>
  <c r="S331" i="10"/>
  <c r="S330" i="10"/>
  <c r="S329" i="10"/>
  <c r="S328" i="10"/>
  <c r="S327" i="10"/>
  <c r="S326" i="10"/>
  <c r="S325" i="10"/>
  <c r="S324" i="10"/>
  <c r="S323" i="10"/>
  <c r="S322" i="10"/>
  <c r="S321" i="10"/>
  <c r="S320" i="10"/>
  <c r="S319" i="10"/>
  <c r="S318" i="10"/>
  <c r="S317" i="10"/>
  <c r="S316" i="10"/>
  <c r="S315" i="10"/>
  <c r="S314" i="10"/>
  <c r="S313" i="10"/>
  <c r="S312" i="10"/>
  <c r="S311" i="10"/>
  <c r="S310" i="10"/>
  <c r="S309" i="10"/>
  <c r="S308" i="10"/>
  <c r="S307" i="10"/>
  <c r="S306" i="10"/>
  <c r="S305" i="10"/>
  <c r="S304" i="10"/>
  <c r="S303" i="10"/>
  <c r="S302" i="10"/>
  <c r="S301" i="10"/>
  <c r="S300" i="10"/>
  <c r="S299" i="10"/>
  <c r="S298" i="10"/>
  <c r="S297" i="10"/>
  <c r="S296" i="10"/>
  <c r="S295" i="10"/>
  <c r="S294" i="10"/>
  <c r="S293" i="10"/>
  <c r="S292" i="10"/>
  <c r="S291" i="10"/>
  <c r="S290" i="10"/>
  <c r="S289" i="10"/>
  <c r="S288" i="10"/>
  <c r="S287" i="10"/>
  <c r="S286" i="10"/>
  <c r="S285" i="10"/>
  <c r="S284" i="10"/>
  <c r="S283" i="10"/>
  <c r="S282" i="10"/>
  <c r="S281" i="10"/>
  <c r="S280" i="10"/>
  <c r="S279" i="10"/>
  <c r="S278" i="10"/>
  <c r="S277" i="10"/>
  <c r="S276" i="10"/>
  <c r="S275" i="10"/>
  <c r="S274" i="10"/>
  <c r="S273" i="10"/>
  <c r="S272" i="10"/>
  <c r="S271" i="10"/>
  <c r="S270" i="10"/>
  <c r="S269" i="10"/>
  <c r="S268" i="10"/>
  <c r="S267" i="10"/>
  <c r="S266" i="10"/>
  <c r="S265" i="10"/>
  <c r="S264" i="10"/>
  <c r="S263" i="10"/>
  <c r="S262" i="10"/>
  <c r="S261" i="10"/>
  <c r="S260" i="10"/>
  <c r="S259" i="10"/>
  <c r="S258" i="10"/>
  <c r="S257" i="10"/>
  <c r="S256" i="10"/>
  <c r="S255" i="10"/>
  <c r="S254" i="10"/>
  <c r="S253" i="10"/>
  <c r="S252" i="10"/>
  <c r="S251" i="10"/>
  <c r="S250" i="10"/>
  <c r="S249" i="10"/>
  <c r="S248" i="10"/>
  <c r="S247" i="10"/>
  <c r="S246" i="10"/>
  <c r="S245" i="10"/>
  <c r="S244" i="10"/>
  <c r="S243" i="10"/>
  <c r="S242" i="10"/>
  <c r="S241" i="10"/>
  <c r="S240" i="10"/>
  <c r="S239" i="10"/>
  <c r="S238" i="10"/>
  <c r="S237" i="10"/>
  <c r="S236" i="10"/>
  <c r="S235" i="10"/>
  <c r="S234" i="10"/>
  <c r="S233" i="10"/>
  <c r="S232" i="10"/>
  <c r="S231" i="10"/>
  <c r="S230" i="10"/>
  <c r="S229" i="10"/>
  <c r="S228" i="10"/>
  <c r="S227" i="10"/>
  <c r="S226" i="10"/>
  <c r="S225" i="10"/>
  <c r="S224" i="10"/>
  <c r="S223" i="10"/>
  <c r="S222" i="10"/>
  <c r="S221" i="10"/>
  <c r="S220" i="10"/>
  <c r="S219" i="10"/>
  <c r="S218" i="10"/>
  <c r="S217" i="10"/>
  <c r="S216" i="10"/>
  <c r="S215" i="10"/>
  <c r="S214" i="10"/>
  <c r="S213" i="10"/>
  <c r="S212" i="10"/>
  <c r="S211" i="10"/>
  <c r="S210" i="10"/>
  <c r="S209" i="10"/>
  <c r="S208" i="10"/>
  <c r="S207" i="10"/>
  <c r="S206" i="10"/>
  <c r="S205" i="10"/>
  <c r="S204" i="10"/>
  <c r="S203" i="10"/>
  <c r="S202" i="10"/>
  <c r="S201" i="10"/>
  <c r="S200" i="10"/>
  <c r="S199" i="10"/>
  <c r="S198" i="10"/>
  <c r="S197" i="10"/>
  <c r="S196" i="10"/>
  <c r="S195" i="10"/>
  <c r="S194" i="10"/>
  <c r="S193" i="10"/>
  <c r="S192" i="10"/>
  <c r="S191" i="10"/>
  <c r="S190" i="10"/>
  <c r="S189" i="10"/>
  <c r="S188" i="10"/>
  <c r="S187" i="10"/>
  <c r="S186" i="10"/>
  <c r="S185" i="10"/>
  <c r="S184" i="10"/>
  <c r="S183" i="10"/>
  <c r="S182" i="10"/>
  <c r="S181" i="10"/>
  <c r="S180" i="10"/>
  <c r="S179" i="10"/>
  <c r="S178" i="10"/>
  <c r="S177" i="10"/>
  <c r="S176" i="10"/>
  <c r="S175" i="10"/>
  <c r="S174" i="10"/>
  <c r="S173" i="10"/>
  <c r="S172" i="10"/>
  <c r="S171" i="10"/>
  <c r="S170" i="10"/>
  <c r="S169" i="10"/>
  <c r="S168" i="10"/>
  <c r="S167" i="10"/>
  <c r="S166" i="10"/>
  <c r="S165" i="10"/>
  <c r="S164" i="10"/>
  <c r="S163" i="10"/>
  <c r="S162" i="10"/>
  <c r="S161" i="10"/>
  <c r="S160" i="10"/>
  <c r="S159" i="10"/>
  <c r="S158" i="10"/>
  <c r="S157" i="10"/>
  <c r="S156" i="10"/>
  <c r="S155" i="10"/>
  <c r="S154" i="10"/>
  <c r="S153" i="10"/>
  <c r="S152" i="10"/>
  <c r="S151" i="10"/>
  <c r="S150" i="10"/>
  <c r="S149" i="10"/>
  <c r="S148" i="10"/>
  <c r="S147" i="10"/>
  <c r="S146" i="10"/>
  <c r="S145" i="10"/>
  <c r="S144" i="10"/>
  <c r="S143" i="10"/>
  <c r="S142" i="10"/>
  <c r="S141" i="10"/>
  <c r="S140" i="10"/>
  <c r="S139" i="10"/>
  <c r="S138" i="10"/>
  <c r="S137" i="10"/>
  <c r="S136" i="10"/>
  <c r="S135" i="10"/>
  <c r="S134" i="10"/>
  <c r="S133" i="10"/>
  <c r="S132" i="10"/>
  <c r="S131" i="10"/>
  <c r="S130" i="10"/>
  <c r="S129" i="10"/>
  <c r="S128" i="10"/>
  <c r="S127" i="10"/>
  <c r="S126" i="10"/>
  <c r="S125" i="10"/>
  <c r="S124" i="10"/>
  <c r="S123" i="10"/>
  <c r="S122" i="10"/>
  <c r="S121" i="10"/>
  <c r="S120" i="10"/>
  <c r="S119" i="10"/>
  <c r="S118" i="10"/>
  <c r="S117" i="10"/>
  <c r="S116" i="10"/>
  <c r="S115" i="10"/>
  <c r="S114" i="10"/>
  <c r="S113" i="10"/>
  <c r="S112" i="10"/>
  <c r="S111" i="10"/>
  <c r="S110" i="10"/>
  <c r="S109" i="10"/>
  <c r="S108" i="10"/>
  <c r="S107" i="10"/>
  <c r="S106" i="10"/>
  <c r="S105" i="10"/>
  <c r="S104" i="10"/>
  <c r="S103" i="10"/>
  <c r="S102" i="10"/>
  <c r="S101" i="10"/>
  <c r="S100" i="10"/>
  <c r="S99" i="10"/>
  <c r="S98" i="10"/>
  <c r="S97" i="10"/>
  <c r="S96" i="10"/>
  <c r="S95" i="10"/>
  <c r="S94" i="10"/>
  <c r="S93" i="10"/>
  <c r="S92" i="10"/>
  <c r="S91" i="10"/>
  <c r="S90" i="10"/>
  <c r="S89" i="10"/>
  <c r="S88" i="10"/>
  <c r="S87" i="10"/>
  <c r="S86" i="10"/>
  <c r="S85" i="10"/>
  <c r="S84" i="10"/>
  <c r="S83" i="10"/>
  <c r="S82" i="10"/>
  <c r="S81" i="10"/>
  <c r="S80" i="10"/>
  <c r="S79" i="10"/>
  <c r="S78" i="10"/>
  <c r="S77" i="10"/>
  <c r="S76" i="10"/>
  <c r="S75" i="10"/>
  <c r="S74" i="10"/>
  <c r="S73" i="10"/>
  <c r="S72" i="10"/>
  <c r="S71" i="10"/>
  <c r="S70" i="10"/>
  <c r="S69" i="10"/>
  <c r="S68" i="10"/>
  <c r="S67" i="10"/>
  <c r="S66" i="10"/>
  <c r="S65" i="10"/>
  <c r="S64" i="10"/>
  <c r="S63" i="10"/>
  <c r="S62" i="10"/>
  <c r="S61" i="10"/>
  <c r="S60" i="10"/>
  <c r="S59" i="10"/>
  <c r="S58" i="10"/>
  <c r="S57" i="10"/>
  <c r="S56" i="10"/>
  <c r="S55" i="10"/>
  <c r="S54" i="10"/>
  <c r="S53" i="10"/>
  <c r="S52" i="10"/>
  <c r="S51" i="10"/>
  <c r="S50" i="10"/>
  <c r="S49" i="10"/>
  <c r="S48" i="10"/>
  <c r="S47" i="10"/>
  <c r="S46" i="10"/>
  <c r="S45" i="10"/>
  <c r="S44" i="10"/>
  <c r="S43" i="10"/>
  <c r="S42" i="10"/>
  <c r="S41" i="10"/>
  <c r="S40" i="10"/>
  <c r="S39" i="10"/>
  <c r="S38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R2855" i="10"/>
  <c r="R2854" i="10"/>
  <c r="R2853" i="10"/>
  <c r="R2852" i="10"/>
  <c r="R2851" i="10"/>
  <c r="R2850" i="10"/>
  <c r="R2849" i="10"/>
  <c r="R2848" i="10"/>
  <c r="R2847" i="10"/>
  <c r="R2846" i="10"/>
  <c r="R2845" i="10"/>
  <c r="R2844" i="10"/>
  <c r="R2843" i="10"/>
  <c r="R2842" i="10"/>
  <c r="R2841" i="10"/>
  <c r="R2840" i="10"/>
  <c r="R2839" i="10"/>
  <c r="R2838" i="10"/>
  <c r="R2837" i="10"/>
  <c r="R2836" i="10"/>
  <c r="R2835" i="10"/>
  <c r="R2834" i="10"/>
  <c r="R2833" i="10"/>
  <c r="R2832" i="10"/>
  <c r="R2831" i="10"/>
  <c r="R2830" i="10"/>
  <c r="R2829" i="10"/>
  <c r="R2828" i="10"/>
  <c r="R2827" i="10"/>
  <c r="R2826" i="10"/>
  <c r="R2825" i="10"/>
  <c r="R2824" i="10"/>
  <c r="R2823" i="10"/>
  <c r="R2822" i="10"/>
  <c r="R2821" i="10"/>
  <c r="R2820" i="10"/>
  <c r="R2819" i="10"/>
  <c r="R2818" i="10"/>
  <c r="R2817" i="10"/>
  <c r="R2816" i="10"/>
  <c r="R2815" i="10"/>
  <c r="R2814" i="10"/>
  <c r="R2813" i="10"/>
  <c r="R2812" i="10"/>
  <c r="R2811" i="10"/>
  <c r="R2810" i="10"/>
  <c r="R2809" i="10"/>
  <c r="R2808" i="10"/>
  <c r="R2807" i="10"/>
  <c r="R2806" i="10"/>
  <c r="R2805" i="10"/>
  <c r="R2804" i="10"/>
  <c r="R2803" i="10"/>
  <c r="R2802" i="10"/>
  <c r="R2801" i="10"/>
  <c r="R2800" i="10"/>
  <c r="R2799" i="10"/>
  <c r="R2798" i="10"/>
  <c r="R2797" i="10"/>
  <c r="R2796" i="10"/>
  <c r="R2795" i="10"/>
  <c r="R2794" i="10"/>
  <c r="R2793" i="10"/>
  <c r="R2792" i="10"/>
  <c r="R2791" i="10"/>
  <c r="R2790" i="10"/>
  <c r="R2789" i="10"/>
  <c r="R2788" i="10"/>
  <c r="R2787" i="10"/>
  <c r="R2786" i="10"/>
  <c r="R2785" i="10"/>
  <c r="R2784" i="10"/>
  <c r="R2783" i="10"/>
  <c r="R2782" i="10"/>
  <c r="R2781" i="10"/>
  <c r="R2780" i="10"/>
  <c r="R2779" i="10"/>
  <c r="R2778" i="10"/>
  <c r="R2777" i="10"/>
  <c r="R2776" i="10"/>
  <c r="R2775" i="10"/>
  <c r="R2774" i="10"/>
  <c r="R2773" i="10"/>
  <c r="R2772" i="10"/>
  <c r="R2771" i="10"/>
  <c r="R2770" i="10"/>
  <c r="R2769" i="10"/>
  <c r="R2768" i="10"/>
  <c r="R2767" i="10"/>
  <c r="R2766" i="10"/>
  <c r="R2765" i="10"/>
  <c r="R2764" i="10"/>
  <c r="R2763" i="10"/>
  <c r="R2762" i="10"/>
  <c r="R2761" i="10"/>
  <c r="R2760" i="10"/>
  <c r="R2759" i="10"/>
  <c r="R2758" i="10"/>
  <c r="R2757" i="10"/>
  <c r="R2756" i="10"/>
  <c r="R2755" i="10"/>
  <c r="R2754" i="10"/>
  <c r="R2753" i="10"/>
  <c r="R2752" i="10"/>
  <c r="R2751" i="10"/>
  <c r="R2750" i="10"/>
  <c r="R2749" i="10"/>
  <c r="R2748" i="10"/>
  <c r="R2747" i="10"/>
  <c r="R2746" i="10"/>
  <c r="R2745" i="10"/>
  <c r="R2744" i="10"/>
  <c r="R2743" i="10"/>
  <c r="R2742" i="10"/>
  <c r="R2741" i="10"/>
  <c r="R2740" i="10"/>
  <c r="R2739" i="10"/>
  <c r="R2738" i="10"/>
  <c r="R2737" i="10"/>
  <c r="R2736" i="10"/>
  <c r="R2735" i="10"/>
  <c r="R2734" i="10"/>
  <c r="R2733" i="10"/>
  <c r="R2732" i="10"/>
  <c r="R2731" i="10"/>
  <c r="R2730" i="10"/>
  <c r="R2729" i="10"/>
  <c r="R2728" i="10"/>
  <c r="R2727" i="10"/>
  <c r="R2726" i="10"/>
  <c r="R2725" i="10"/>
  <c r="R2724" i="10"/>
  <c r="R2723" i="10"/>
  <c r="R2722" i="10"/>
  <c r="R2721" i="10"/>
  <c r="R2720" i="10"/>
  <c r="R2719" i="10"/>
  <c r="R2718" i="10"/>
  <c r="R2717" i="10"/>
  <c r="R2716" i="10"/>
  <c r="R2715" i="10"/>
  <c r="R2714" i="10"/>
  <c r="R2713" i="10"/>
  <c r="R2712" i="10"/>
  <c r="R2711" i="10"/>
  <c r="R2710" i="10"/>
  <c r="R2709" i="10"/>
  <c r="R2708" i="10"/>
  <c r="R2707" i="10"/>
  <c r="R2706" i="10"/>
  <c r="R2705" i="10"/>
  <c r="R2704" i="10"/>
  <c r="R2703" i="10"/>
  <c r="R2702" i="10"/>
  <c r="R2701" i="10"/>
  <c r="R2700" i="10"/>
  <c r="R2699" i="10"/>
  <c r="R2698" i="10"/>
  <c r="R2697" i="10"/>
  <c r="R2696" i="10"/>
  <c r="R2695" i="10"/>
  <c r="R2694" i="10"/>
  <c r="R2693" i="10"/>
  <c r="R2692" i="10"/>
  <c r="R2691" i="10"/>
  <c r="R2690" i="10"/>
  <c r="R2689" i="10"/>
  <c r="R2688" i="10"/>
  <c r="R2687" i="10"/>
  <c r="R2686" i="10"/>
  <c r="R2685" i="10"/>
  <c r="R2684" i="10"/>
  <c r="R2683" i="10"/>
  <c r="R2682" i="10"/>
  <c r="R2681" i="10"/>
  <c r="R2680" i="10"/>
  <c r="R2679" i="10"/>
  <c r="R2678" i="10"/>
  <c r="R2677" i="10"/>
  <c r="R2676" i="10"/>
  <c r="R2675" i="10"/>
  <c r="R2674" i="10"/>
  <c r="R2673" i="10"/>
  <c r="R2672" i="10"/>
  <c r="R2671" i="10"/>
  <c r="R2670" i="10"/>
  <c r="R2669" i="10"/>
  <c r="R2668" i="10"/>
  <c r="R2667" i="10"/>
  <c r="R2666" i="10"/>
  <c r="R2665" i="10"/>
  <c r="R2664" i="10"/>
  <c r="R2663" i="10"/>
  <c r="R2662" i="10"/>
  <c r="R2661" i="10"/>
  <c r="R2660" i="10"/>
  <c r="R2659" i="10"/>
  <c r="R2658" i="10"/>
  <c r="R2657" i="10"/>
  <c r="R2656" i="10"/>
  <c r="R2655" i="10"/>
  <c r="R2654" i="10"/>
  <c r="R2653" i="10"/>
  <c r="R2652" i="10"/>
  <c r="R2651" i="10"/>
  <c r="R2650" i="10"/>
  <c r="R2649" i="10"/>
  <c r="R2648" i="10"/>
  <c r="R2647" i="10"/>
  <c r="R2646" i="10"/>
  <c r="R2645" i="10"/>
  <c r="R2644" i="10"/>
  <c r="R2643" i="10"/>
  <c r="R2642" i="10"/>
  <c r="R2641" i="10"/>
  <c r="R2640" i="10"/>
  <c r="R2639" i="10"/>
  <c r="R2638" i="10"/>
  <c r="R2637" i="10"/>
  <c r="R2636" i="10"/>
  <c r="R2635" i="10"/>
  <c r="R2634" i="10"/>
  <c r="R2633" i="10"/>
  <c r="R2632" i="10"/>
  <c r="R2631" i="10"/>
  <c r="R2630" i="10"/>
  <c r="R2629" i="10"/>
  <c r="R2628" i="10"/>
  <c r="R2627" i="10"/>
  <c r="R2626" i="10"/>
  <c r="R2625" i="10"/>
  <c r="R2624" i="10"/>
  <c r="R2623" i="10"/>
  <c r="R2622" i="10"/>
  <c r="R2621" i="10"/>
  <c r="R2620" i="10"/>
  <c r="R2619" i="10"/>
  <c r="R2618" i="10"/>
  <c r="R2617" i="10"/>
  <c r="R2616" i="10"/>
  <c r="R2615" i="10"/>
  <c r="R2614" i="10"/>
  <c r="R2613" i="10"/>
  <c r="R2612" i="10"/>
  <c r="R2611" i="10"/>
  <c r="R2610" i="10"/>
  <c r="R2609" i="10"/>
  <c r="R2608" i="10"/>
  <c r="R2607" i="10"/>
  <c r="R2606" i="10"/>
  <c r="R2605" i="10"/>
  <c r="R2604" i="10"/>
  <c r="R2603" i="10"/>
  <c r="R2602" i="10"/>
  <c r="R2601" i="10"/>
  <c r="R2600" i="10"/>
  <c r="R2599" i="10"/>
  <c r="R2598" i="10"/>
  <c r="R2597" i="10"/>
  <c r="R2596" i="10"/>
  <c r="R2595" i="10"/>
  <c r="R2594" i="10"/>
  <c r="R2593" i="10"/>
  <c r="R2592" i="10"/>
  <c r="R2591" i="10"/>
  <c r="R2590" i="10"/>
  <c r="R2589" i="10"/>
  <c r="R2588" i="10"/>
  <c r="R2587" i="10"/>
  <c r="R2586" i="10"/>
  <c r="R2585" i="10"/>
  <c r="R2584" i="10"/>
  <c r="R2583" i="10"/>
  <c r="R2582" i="10"/>
  <c r="R2581" i="10"/>
  <c r="R2580" i="10"/>
  <c r="R2579" i="10"/>
  <c r="R2578" i="10"/>
  <c r="R2577" i="10"/>
  <c r="R2576" i="10"/>
  <c r="R2575" i="10"/>
  <c r="R2574" i="10"/>
  <c r="R2573" i="10"/>
  <c r="R2572" i="10"/>
  <c r="R2571" i="10"/>
  <c r="R2570" i="10"/>
  <c r="R2569" i="10"/>
  <c r="R2568" i="10"/>
  <c r="R2567" i="10"/>
  <c r="R2566" i="10"/>
  <c r="R2565" i="10"/>
  <c r="R2564" i="10"/>
  <c r="R2563" i="10"/>
  <c r="R2562" i="10"/>
  <c r="R2561" i="10"/>
  <c r="R2560" i="10"/>
  <c r="R2559" i="10"/>
  <c r="R2558" i="10"/>
  <c r="R2557" i="10"/>
  <c r="R2556" i="10"/>
  <c r="R2555" i="10"/>
  <c r="R2554" i="10"/>
  <c r="R2553" i="10"/>
  <c r="R2552" i="10"/>
  <c r="R2551" i="10"/>
  <c r="R2550" i="10"/>
  <c r="R2549" i="10"/>
  <c r="R2548" i="10"/>
  <c r="R2547" i="10"/>
  <c r="R2546" i="10"/>
  <c r="R2545" i="10"/>
  <c r="R2544" i="10"/>
  <c r="R2543" i="10"/>
  <c r="R2542" i="10"/>
  <c r="R2541" i="10"/>
  <c r="R2540" i="10"/>
  <c r="R2539" i="10"/>
  <c r="R2538" i="10"/>
  <c r="R2537" i="10"/>
  <c r="R2536" i="10"/>
  <c r="R2535" i="10"/>
  <c r="R2534" i="10"/>
  <c r="R2533" i="10"/>
  <c r="R2532" i="10"/>
  <c r="R2531" i="10"/>
  <c r="R2530" i="10"/>
  <c r="R2529" i="10"/>
  <c r="R2528" i="10"/>
  <c r="R2527" i="10"/>
  <c r="R2526" i="10"/>
  <c r="R2525" i="10"/>
  <c r="R2524" i="10"/>
  <c r="R2523" i="10"/>
  <c r="R2522" i="10"/>
  <c r="R2521" i="10"/>
  <c r="R2520" i="10"/>
  <c r="R2519" i="10"/>
  <c r="R2518" i="10"/>
  <c r="R2517" i="10"/>
  <c r="R2516" i="10"/>
  <c r="R2515" i="10"/>
  <c r="R2514" i="10"/>
  <c r="R2513" i="10"/>
  <c r="R2512" i="10"/>
  <c r="R2511" i="10"/>
  <c r="R2510" i="10"/>
  <c r="R2509" i="10"/>
  <c r="R2508" i="10"/>
  <c r="R2507" i="10"/>
  <c r="R2506" i="10"/>
  <c r="R2505" i="10"/>
  <c r="R2504" i="10"/>
  <c r="R2503" i="10"/>
  <c r="R2502" i="10"/>
  <c r="R2501" i="10"/>
  <c r="R2500" i="10"/>
  <c r="R2499" i="10"/>
  <c r="R2498" i="10"/>
  <c r="R2497" i="10"/>
  <c r="R2496" i="10"/>
  <c r="R2495" i="10"/>
  <c r="R2494" i="10"/>
  <c r="R2493" i="10"/>
  <c r="R2492" i="10"/>
  <c r="R2491" i="10"/>
  <c r="R2490" i="10"/>
  <c r="R2489" i="10"/>
  <c r="R2488" i="10"/>
  <c r="R2487" i="10"/>
  <c r="R2486" i="10"/>
  <c r="R2485" i="10"/>
  <c r="R2484" i="10"/>
  <c r="R2483" i="10"/>
  <c r="R2482" i="10"/>
  <c r="R2481" i="10"/>
  <c r="R2480" i="10"/>
  <c r="R2479" i="10"/>
  <c r="R2478" i="10"/>
  <c r="R2477" i="10"/>
  <c r="R2476" i="10"/>
  <c r="R2475" i="10"/>
  <c r="R2474" i="10"/>
  <c r="R2473" i="10"/>
  <c r="R2472" i="10"/>
  <c r="R2471" i="10"/>
  <c r="R2470" i="10"/>
  <c r="R2469" i="10"/>
  <c r="R2468" i="10"/>
  <c r="R2467" i="10"/>
  <c r="R2466" i="10"/>
  <c r="R2465" i="10"/>
  <c r="R2464" i="10"/>
  <c r="R2463" i="10"/>
  <c r="R2462" i="10"/>
  <c r="R2461" i="10"/>
  <c r="R2460" i="10"/>
  <c r="R2459" i="10"/>
  <c r="R2458" i="10"/>
  <c r="R2457" i="10"/>
  <c r="R2456" i="10"/>
  <c r="R2455" i="10"/>
  <c r="R2454" i="10"/>
  <c r="R2453" i="10"/>
  <c r="R2452" i="10"/>
  <c r="R2451" i="10"/>
  <c r="R2450" i="10"/>
  <c r="R2449" i="10"/>
  <c r="R2448" i="10"/>
  <c r="R2447" i="10"/>
  <c r="R2446" i="10"/>
  <c r="R2445" i="10"/>
  <c r="R2444" i="10"/>
  <c r="R2443" i="10"/>
  <c r="R2442" i="10"/>
  <c r="R2441" i="10"/>
  <c r="R2440" i="10"/>
  <c r="R2439" i="10"/>
  <c r="R2438" i="10"/>
  <c r="R2437" i="10"/>
  <c r="R2436" i="10"/>
  <c r="R2435" i="10"/>
  <c r="R2434" i="10"/>
  <c r="R2433" i="10"/>
  <c r="R2432" i="10"/>
  <c r="R2431" i="10"/>
  <c r="R2430" i="10"/>
  <c r="R2429" i="10"/>
  <c r="R2428" i="10"/>
  <c r="R2427" i="10"/>
  <c r="R2426" i="10"/>
  <c r="R2425" i="10"/>
  <c r="R2424" i="10"/>
  <c r="R2423" i="10"/>
  <c r="R2422" i="10"/>
  <c r="R2421" i="10"/>
  <c r="R2420" i="10"/>
  <c r="R2419" i="10"/>
  <c r="R2418" i="10"/>
  <c r="R2417" i="10"/>
  <c r="R2416" i="10"/>
  <c r="R2415" i="10"/>
  <c r="R2414" i="10"/>
  <c r="R2413" i="10"/>
  <c r="R2412" i="10"/>
  <c r="R2411" i="10"/>
  <c r="R2410" i="10"/>
  <c r="R2409" i="10"/>
  <c r="R2408" i="10"/>
  <c r="R2407" i="10"/>
  <c r="R2406" i="10"/>
  <c r="R2405" i="10"/>
  <c r="R2404" i="10"/>
  <c r="R2403" i="10"/>
  <c r="R2402" i="10"/>
  <c r="R2401" i="10"/>
  <c r="R2400" i="10"/>
  <c r="R2399" i="10"/>
  <c r="R2398" i="10"/>
  <c r="R2397" i="10"/>
  <c r="R2396" i="10"/>
  <c r="R2395" i="10"/>
  <c r="R2394" i="10"/>
  <c r="R2393" i="10"/>
  <c r="R2392" i="10"/>
  <c r="R2391" i="10"/>
  <c r="R2390" i="10"/>
  <c r="R2389" i="10"/>
  <c r="R2388" i="10"/>
  <c r="R2387" i="10"/>
  <c r="R2386" i="10"/>
  <c r="R2385" i="10"/>
  <c r="R2384" i="10"/>
  <c r="R2383" i="10"/>
  <c r="R2382" i="10"/>
  <c r="R2381" i="10"/>
  <c r="R2380" i="10"/>
  <c r="R2379" i="10"/>
  <c r="R2378" i="10"/>
  <c r="R2377" i="10"/>
  <c r="R2376" i="10"/>
  <c r="R2375" i="10"/>
  <c r="R2374" i="10"/>
  <c r="R2373" i="10"/>
  <c r="R2372" i="10"/>
  <c r="R2371" i="10"/>
  <c r="R2370" i="10"/>
  <c r="R2369" i="10"/>
  <c r="R2368" i="10"/>
  <c r="R2367" i="10"/>
  <c r="R2366" i="10"/>
  <c r="R2365" i="10"/>
  <c r="R2364" i="10"/>
  <c r="R2363" i="10"/>
  <c r="R2362" i="10"/>
  <c r="R2361" i="10"/>
  <c r="R2360" i="10"/>
  <c r="R2359" i="10"/>
  <c r="R2358" i="10"/>
  <c r="R2357" i="10"/>
  <c r="R2356" i="10"/>
  <c r="R2355" i="10"/>
  <c r="R2354" i="10"/>
  <c r="R2353" i="10"/>
  <c r="R2352" i="10"/>
  <c r="R2351" i="10"/>
  <c r="R2350" i="10"/>
  <c r="R2349" i="10"/>
  <c r="R2348" i="10"/>
  <c r="R2347" i="10"/>
  <c r="R2346" i="10"/>
  <c r="R2345" i="10"/>
  <c r="R2344" i="10"/>
  <c r="R2343" i="10"/>
  <c r="R2342" i="10"/>
  <c r="R2341" i="10"/>
  <c r="R2340" i="10"/>
  <c r="R2339" i="10"/>
  <c r="R2338" i="10"/>
  <c r="R2337" i="10"/>
  <c r="R2336" i="10"/>
  <c r="R2335" i="10"/>
  <c r="R2334" i="10"/>
  <c r="R2333" i="10"/>
  <c r="R2332" i="10"/>
  <c r="R2331" i="10"/>
  <c r="R2330" i="10"/>
  <c r="R2329" i="10"/>
  <c r="R2328" i="10"/>
  <c r="R2327" i="10"/>
  <c r="R2326" i="10"/>
  <c r="R2325" i="10"/>
  <c r="R2324" i="10"/>
  <c r="R2323" i="10"/>
  <c r="R2322" i="10"/>
  <c r="R2321" i="10"/>
  <c r="R2320" i="10"/>
  <c r="R2319" i="10"/>
  <c r="R2318" i="10"/>
  <c r="R2317" i="10"/>
  <c r="R2316" i="10"/>
  <c r="R2315" i="10"/>
  <c r="R2314" i="10"/>
  <c r="R2313" i="10"/>
  <c r="R2312" i="10"/>
  <c r="R2311" i="10"/>
  <c r="R2310" i="10"/>
  <c r="R2309" i="10"/>
  <c r="R2308" i="10"/>
  <c r="R2307" i="10"/>
  <c r="R2306" i="10"/>
  <c r="R2305" i="10"/>
  <c r="R2304" i="10"/>
  <c r="R2303" i="10"/>
  <c r="R2302" i="10"/>
  <c r="R2301" i="10"/>
  <c r="R2300" i="10"/>
  <c r="R2299" i="10"/>
  <c r="R2298" i="10"/>
  <c r="R2297" i="10"/>
  <c r="R2296" i="10"/>
  <c r="R2295" i="10"/>
  <c r="R2294" i="10"/>
  <c r="R2293" i="10"/>
  <c r="R2292" i="10"/>
  <c r="R2291" i="10"/>
  <c r="R2290" i="10"/>
  <c r="R2289" i="10"/>
  <c r="R2288" i="10"/>
  <c r="R2287" i="10"/>
  <c r="R2286" i="10"/>
  <c r="R2285" i="10"/>
  <c r="R2284" i="10"/>
  <c r="R2283" i="10"/>
  <c r="R2282" i="10"/>
  <c r="R2281" i="10"/>
  <c r="R2280" i="10"/>
  <c r="R2279" i="10"/>
  <c r="R2278" i="10"/>
  <c r="R2277" i="10"/>
  <c r="R2276" i="10"/>
  <c r="R2275" i="10"/>
  <c r="R2274" i="10"/>
  <c r="R2273" i="10"/>
  <c r="R2272" i="10"/>
  <c r="R2271" i="10"/>
  <c r="R2270" i="10"/>
  <c r="R2269" i="10"/>
  <c r="R2268" i="10"/>
  <c r="R2267" i="10"/>
  <c r="R2266" i="10"/>
  <c r="R2265" i="10"/>
  <c r="R2264" i="10"/>
  <c r="R2263" i="10"/>
  <c r="R2262" i="10"/>
  <c r="R2261" i="10"/>
  <c r="R2260" i="10"/>
  <c r="R2259" i="10"/>
  <c r="R2258" i="10"/>
  <c r="R2257" i="10"/>
  <c r="R2256" i="10"/>
  <c r="R2255" i="10"/>
  <c r="R2254" i="10"/>
  <c r="R2253" i="10"/>
  <c r="R2252" i="10"/>
  <c r="R2251" i="10"/>
  <c r="R2250" i="10"/>
  <c r="R2249" i="10"/>
  <c r="R2248" i="10"/>
  <c r="R2247" i="10"/>
  <c r="R2246" i="10"/>
  <c r="R2245" i="10"/>
  <c r="R2244" i="10"/>
  <c r="R2243" i="10"/>
  <c r="R2242" i="10"/>
  <c r="R2241" i="10"/>
  <c r="R2240" i="10"/>
  <c r="R2239" i="10"/>
  <c r="R2238" i="10"/>
  <c r="R2237" i="10"/>
  <c r="R2236" i="10"/>
  <c r="R2235" i="10"/>
  <c r="R2234" i="10"/>
  <c r="R2233" i="10"/>
  <c r="R2232" i="10"/>
  <c r="R2231" i="10"/>
  <c r="R2230" i="10"/>
  <c r="R2229" i="10"/>
  <c r="R2228" i="10"/>
  <c r="R2227" i="10"/>
  <c r="R2226" i="10"/>
  <c r="R2225" i="10"/>
  <c r="R2224" i="10"/>
  <c r="R2223" i="10"/>
  <c r="R2222" i="10"/>
  <c r="R2221" i="10"/>
  <c r="R2220" i="10"/>
  <c r="R2219" i="10"/>
  <c r="R2218" i="10"/>
  <c r="R2217" i="10"/>
  <c r="R2216" i="10"/>
  <c r="R2215" i="10"/>
  <c r="R2214" i="10"/>
  <c r="R2213" i="10"/>
  <c r="R2212" i="10"/>
  <c r="R2211" i="10"/>
  <c r="R2210" i="10"/>
  <c r="R2209" i="10"/>
  <c r="R2208" i="10"/>
  <c r="R2207" i="10"/>
  <c r="R2206" i="10"/>
  <c r="R2205" i="10"/>
  <c r="R2204" i="10"/>
  <c r="R2203" i="10"/>
  <c r="R2202" i="10"/>
  <c r="R2201" i="10"/>
  <c r="R2200" i="10"/>
  <c r="R2199" i="10"/>
  <c r="R2198" i="10"/>
  <c r="R2197" i="10"/>
  <c r="R2196" i="10"/>
  <c r="R2195" i="10"/>
  <c r="R2194" i="10"/>
  <c r="R2193" i="10"/>
  <c r="R2192" i="10"/>
  <c r="R2191" i="10"/>
  <c r="R2190" i="10"/>
  <c r="R2189" i="10"/>
  <c r="R2188" i="10"/>
  <c r="R2187" i="10"/>
  <c r="R2186" i="10"/>
  <c r="R2185" i="10"/>
  <c r="R2184" i="10"/>
  <c r="R2183" i="10"/>
  <c r="R2182" i="10"/>
  <c r="R2181" i="10"/>
  <c r="R2180" i="10"/>
  <c r="R2179" i="10"/>
  <c r="R2178" i="10"/>
  <c r="R2177" i="10"/>
  <c r="R2176" i="10"/>
  <c r="R2175" i="10"/>
  <c r="R2174" i="10"/>
  <c r="R2173" i="10"/>
  <c r="R2172" i="10"/>
  <c r="R2171" i="10"/>
  <c r="R2170" i="10"/>
  <c r="R2169" i="10"/>
  <c r="R2168" i="10"/>
  <c r="R2167" i="10"/>
  <c r="R2166" i="10"/>
  <c r="R2165" i="10"/>
  <c r="R2164" i="10"/>
  <c r="R2163" i="10"/>
  <c r="R2162" i="10"/>
  <c r="R2161" i="10"/>
  <c r="R2160" i="10"/>
  <c r="R2159" i="10"/>
  <c r="R2158" i="10"/>
  <c r="R2157" i="10"/>
  <c r="R2156" i="10"/>
  <c r="R2155" i="10"/>
  <c r="R2154" i="10"/>
  <c r="R2153" i="10"/>
  <c r="R2152" i="10"/>
  <c r="R2151" i="10"/>
  <c r="R2150" i="10"/>
  <c r="R2149" i="10"/>
  <c r="R2148" i="10"/>
  <c r="R2147" i="10"/>
  <c r="R2146" i="10"/>
  <c r="R2145" i="10"/>
  <c r="R2144" i="10"/>
  <c r="R2143" i="10"/>
  <c r="R2142" i="10"/>
  <c r="R2141" i="10"/>
  <c r="R2140" i="10"/>
  <c r="R2139" i="10"/>
  <c r="R2138" i="10"/>
  <c r="R2137" i="10"/>
  <c r="R2136" i="10"/>
  <c r="R2135" i="10"/>
  <c r="R2134" i="10"/>
  <c r="R2133" i="10"/>
  <c r="R2132" i="10"/>
  <c r="R2131" i="10"/>
  <c r="R2130" i="10"/>
  <c r="R2129" i="10"/>
  <c r="R2128" i="10"/>
  <c r="R2127" i="10"/>
  <c r="R2126" i="10"/>
  <c r="R2125" i="10"/>
  <c r="R2124" i="10"/>
  <c r="R2123" i="10"/>
  <c r="R2122" i="10"/>
  <c r="R2121" i="10"/>
  <c r="R2120" i="10"/>
  <c r="R2119" i="10"/>
  <c r="R2118" i="10"/>
  <c r="R2117" i="10"/>
  <c r="R2116" i="10"/>
  <c r="R2115" i="10"/>
  <c r="R2114" i="10"/>
  <c r="R2113" i="10"/>
  <c r="R2112" i="10"/>
  <c r="R2111" i="10"/>
  <c r="R2110" i="10"/>
  <c r="R2109" i="10"/>
  <c r="R2108" i="10"/>
  <c r="R2107" i="10"/>
  <c r="R2106" i="10"/>
  <c r="R2105" i="10"/>
  <c r="R2104" i="10"/>
  <c r="R2103" i="10"/>
  <c r="R2102" i="10"/>
  <c r="R2101" i="10"/>
  <c r="R2100" i="10"/>
  <c r="R2099" i="10"/>
  <c r="R2098" i="10"/>
  <c r="R2097" i="10"/>
  <c r="R2096" i="10"/>
  <c r="R2095" i="10"/>
  <c r="R2094" i="10"/>
  <c r="R2093" i="10"/>
  <c r="R2092" i="10"/>
  <c r="R2091" i="10"/>
  <c r="R2090" i="10"/>
  <c r="R2089" i="10"/>
  <c r="R2088" i="10"/>
  <c r="R2087" i="10"/>
  <c r="R2086" i="10"/>
  <c r="R2085" i="10"/>
  <c r="R2084" i="10"/>
  <c r="R2083" i="10"/>
  <c r="R2082" i="10"/>
  <c r="R2081" i="10"/>
  <c r="R2080" i="10"/>
  <c r="R2079" i="10"/>
  <c r="R2078" i="10"/>
  <c r="R2077" i="10"/>
  <c r="R2076" i="10"/>
  <c r="R2075" i="10"/>
  <c r="R2074" i="10"/>
  <c r="R2073" i="10"/>
  <c r="R2072" i="10"/>
  <c r="R2071" i="10"/>
  <c r="R2070" i="10"/>
  <c r="R2069" i="10"/>
  <c r="R2068" i="10"/>
  <c r="R2067" i="10"/>
  <c r="R2066" i="10"/>
  <c r="R2065" i="10"/>
  <c r="R2064" i="10"/>
  <c r="R2063" i="10"/>
  <c r="R2062" i="10"/>
  <c r="R2061" i="10"/>
  <c r="R2060" i="10"/>
  <c r="R2059" i="10"/>
  <c r="R2058" i="10"/>
  <c r="R2057" i="10"/>
  <c r="R2056" i="10"/>
  <c r="R2055" i="10"/>
  <c r="R2054" i="10"/>
  <c r="R2053" i="10"/>
  <c r="R2052" i="10"/>
  <c r="R2051" i="10"/>
  <c r="R2050" i="10"/>
  <c r="R2049" i="10"/>
  <c r="R2048" i="10"/>
  <c r="R2047" i="10"/>
  <c r="R2046" i="10"/>
  <c r="R2045" i="10"/>
  <c r="R2044" i="10"/>
  <c r="R2043" i="10"/>
  <c r="R2042" i="10"/>
  <c r="R2041" i="10"/>
  <c r="R2040" i="10"/>
  <c r="R2039" i="10"/>
  <c r="R2038" i="10"/>
  <c r="R2037" i="10"/>
  <c r="R2036" i="10"/>
  <c r="R2035" i="10"/>
  <c r="R2034" i="10"/>
  <c r="R2033" i="10"/>
  <c r="R2032" i="10"/>
  <c r="R2031" i="10"/>
  <c r="R2030" i="10"/>
  <c r="R2029" i="10"/>
  <c r="R2028" i="10"/>
  <c r="R2027" i="10"/>
  <c r="R2026" i="10"/>
  <c r="R2025" i="10"/>
  <c r="R2024" i="10"/>
  <c r="R2023" i="10"/>
  <c r="R2022" i="10"/>
  <c r="R2021" i="10"/>
  <c r="R2020" i="10"/>
  <c r="R2019" i="10"/>
  <c r="R2018" i="10"/>
  <c r="R2017" i="10"/>
  <c r="R2016" i="10"/>
  <c r="R2015" i="10"/>
  <c r="R2014" i="10"/>
  <c r="R2013" i="10"/>
  <c r="R2012" i="10"/>
  <c r="R2011" i="10"/>
  <c r="R2010" i="10"/>
  <c r="R2009" i="10"/>
  <c r="R2008" i="10"/>
  <c r="R2007" i="10"/>
  <c r="R2006" i="10"/>
  <c r="R2005" i="10"/>
  <c r="R2004" i="10"/>
  <c r="R2003" i="10"/>
  <c r="R2002" i="10"/>
  <c r="R2001" i="10"/>
  <c r="R2000" i="10"/>
  <c r="R1999" i="10"/>
  <c r="R1998" i="10"/>
  <c r="R1997" i="10"/>
  <c r="R1996" i="10"/>
  <c r="R1995" i="10"/>
  <c r="R1994" i="10"/>
  <c r="R1993" i="10"/>
  <c r="R1992" i="10"/>
  <c r="R1991" i="10"/>
  <c r="R1990" i="10"/>
  <c r="R1989" i="10"/>
  <c r="R1988" i="10"/>
  <c r="R1987" i="10"/>
  <c r="R1986" i="10"/>
  <c r="R1985" i="10"/>
  <c r="R1984" i="10"/>
  <c r="R1983" i="10"/>
  <c r="R1982" i="10"/>
  <c r="R1981" i="10"/>
  <c r="R1980" i="10"/>
  <c r="R1979" i="10"/>
  <c r="R1978" i="10"/>
  <c r="R1977" i="10"/>
  <c r="R1976" i="10"/>
  <c r="R1975" i="10"/>
  <c r="R1974" i="10"/>
  <c r="R1973" i="10"/>
  <c r="R1972" i="10"/>
  <c r="R1971" i="10"/>
  <c r="R1970" i="10"/>
  <c r="R1969" i="10"/>
  <c r="R1968" i="10"/>
  <c r="R1967" i="10"/>
  <c r="R1966" i="10"/>
  <c r="R1965" i="10"/>
  <c r="R1964" i="10"/>
  <c r="R1963" i="10"/>
  <c r="R1962" i="10"/>
  <c r="R1961" i="10"/>
  <c r="R1960" i="10"/>
  <c r="R1959" i="10"/>
  <c r="R1958" i="10"/>
  <c r="R1957" i="10"/>
  <c r="R1956" i="10"/>
  <c r="R1955" i="10"/>
  <c r="R1954" i="10"/>
  <c r="R1953" i="10"/>
  <c r="R1952" i="10"/>
  <c r="R1951" i="10"/>
  <c r="R1950" i="10"/>
  <c r="R1949" i="10"/>
  <c r="R1948" i="10"/>
  <c r="R1947" i="10"/>
  <c r="R1946" i="10"/>
  <c r="R1945" i="10"/>
  <c r="R1944" i="10"/>
  <c r="R1943" i="10"/>
  <c r="R1942" i="10"/>
  <c r="R1941" i="10"/>
  <c r="R1940" i="10"/>
  <c r="R1939" i="10"/>
  <c r="R1938" i="10"/>
  <c r="R1937" i="10"/>
  <c r="R1936" i="10"/>
  <c r="R1935" i="10"/>
  <c r="R1934" i="10"/>
  <c r="R1933" i="10"/>
  <c r="R1932" i="10"/>
  <c r="R1931" i="10"/>
  <c r="R1930" i="10"/>
  <c r="R1929" i="10"/>
  <c r="R1928" i="10"/>
  <c r="R1927" i="10"/>
  <c r="R1926" i="10"/>
  <c r="R1925" i="10"/>
  <c r="R1924" i="10"/>
  <c r="R1923" i="10"/>
  <c r="R1922" i="10"/>
  <c r="R1921" i="10"/>
  <c r="R1920" i="10"/>
  <c r="R1919" i="10"/>
  <c r="R1918" i="10"/>
  <c r="R1917" i="10"/>
  <c r="R1916" i="10"/>
  <c r="R1915" i="10"/>
  <c r="R1914" i="10"/>
  <c r="R1913" i="10"/>
  <c r="R1912" i="10"/>
  <c r="R1911" i="10"/>
  <c r="R1910" i="10"/>
  <c r="R1909" i="10"/>
  <c r="R1908" i="10"/>
  <c r="R1907" i="10"/>
  <c r="R1906" i="10"/>
  <c r="R1905" i="10"/>
  <c r="R1904" i="10"/>
  <c r="R1903" i="10"/>
  <c r="R1902" i="10"/>
  <c r="R1901" i="10"/>
  <c r="R1900" i="10"/>
  <c r="R1899" i="10"/>
  <c r="R1898" i="10"/>
  <c r="R1897" i="10"/>
  <c r="R1896" i="10"/>
  <c r="R1895" i="10"/>
  <c r="R1894" i="10"/>
  <c r="R1893" i="10"/>
  <c r="R1892" i="10"/>
  <c r="R1891" i="10"/>
  <c r="R1890" i="10"/>
  <c r="R1889" i="10"/>
  <c r="R1888" i="10"/>
  <c r="R1887" i="10"/>
  <c r="R1886" i="10"/>
  <c r="R1885" i="10"/>
  <c r="R1884" i="10"/>
  <c r="R1883" i="10"/>
  <c r="R1882" i="10"/>
  <c r="R1881" i="10"/>
  <c r="R1880" i="10"/>
  <c r="R1879" i="10"/>
  <c r="R1878" i="10"/>
  <c r="R1877" i="10"/>
  <c r="R1876" i="10"/>
  <c r="R1875" i="10"/>
  <c r="R1874" i="10"/>
  <c r="R1873" i="10"/>
  <c r="R1872" i="10"/>
  <c r="R1871" i="10"/>
  <c r="R1870" i="10"/>
  <c r="R1869" i="10"/>
  <c r="R1868" i="10"/>
  <c r="R1867" i="10"/>
  <c r="R1866" i="10"/>
  <c r="R1865" i="10"/>
  <c r="R1864" i="10"/>
  <c r="R1863" i="10"/>
  <c r="R1862" i="10"/>
  <c r="R1861" i="10"/>
  <c r="R1860" i="10"/>
  <c r="R1859" i="10"/>
  <c r="R1858" i="10"/>
  <c r="R1857" i="10"/>
  <c r="R1856" i="10"/>
  <c r="R1855" i="10"/>
  <c r="R1854" i="10"/>
  <c r="R1853" i="10"/>
  <c r="R1852" i="10"/>
  <c r="R1851" i="10"/>
  <c r="R1850" i="10"/>
  <c r="R1849" i="10"/>
  <c r="R1848" i="10"/>
  <c r="R1847" i="10"/>
  <c r="R1846" i="10"/>
  <c r="R1845" i="10"/>
  <c r="R1844" i="10"/>
  <c r="R1843" i="10"/>
  <c r="R1842" i="10"/>
  <c r="R1841" i="10"/>
  <c r="R1840" i="10"/>
  <c r="R1839" i="10"/>
  <c r="R1838" i="10"/>
  <c r="R1837" i="10"/>
  <c r="R1836" i="10"/>
  <c r="R1835" i="10"/>
  <c r="R1834" i="10"/>
  <c r="R1833" i="10"/>
  <c r="R1832" i="10"/>
  <c r="R1831" i="10"/>
  <c r="R1830" i="10"/>
  <c r="R1829" i="10"/>
  <c r="R1828" i="10"/>
  <c r="R1827" i="10"/>
  <c r="R1826" i="10"/>
  <c r="R1825" i="10"/>
  <c r="R1824" i="10"/>
  <c r="R1823" i="10"/>
  <c r="R1822" i="10"/>
  <c r="R1821" i="10"/>
  <c r="R1820" i="10"/>
  <c r="R1819" i="10"/>
  <c r="R1818" i="10"/>
  <c r="R1817" i="10"/>
  <c r="R1816" i="10"/>
  <c r="R1815" i="10"/>
  <c r="R1814" i="10"/>
  <c r="R1813" i="10"/>
  <c r="R1812" i="10"/>
  <c r="R1811" i="10"/>
  <c r="R1810" i="10"/>
  <c r="R1809" i="10"/>
  <c r="R1808" i="10"/>
  <c r="R1807" i="10"/>
  <c r="R1806" i="10"/>
  <c r="R1805" i="10"/>
  <c r="R1804" i="10"/>
  <c r="R1803" i="10"/>
  <c r="R1802" i="10"/>
  <c r="R1801" i="10"/>
  <c r="R1800" i="10"/>
  <c r="R1799" i="10"/>
  <c r="R1798" i="10"/>
  <c r="R1797" i="10"/>
  <c r="R1796" i="10"/>
  <c r="R1795" i="10"/>
  <c r="R1794" i="10"/>
  <c r="R1793" i="10"/>
  <c r="R1792" i="10"/>
  <c r="R1791" i="10"/>
  <c r="R1790" i="10"/>
  <c r="R1789" i="10"/>
  <c r="R1788" i="10"/>
  <c r="R1787" i="10"/>
  <c r="R1786" i="10"/>
  <c r="R1785" i="10"/>
  <c r="R1784" i="10"/>
  <c r="R1783" i="10"/>
  <c r="R1782" i="10"/>
  <c r="R1781" i="10"/>
  <c r="R1780" i="10"/>
  <c r="R1779" i="10"/>
  <c r="R1778" i="10"/>
  <c r="R1777" i="10"/>
  <c r="R1776" i="10"/>
  <c r="R1775" i="10"/>
  <c r="R1774" i="10"/>
  <c r="R1773" i="10"/>
  <c r="R1772" i="10"/>
  <c r="R1771" i="10"/>
  <c r="R1770" i="10"/>
  <c r="R1769" i="10"/>
  <c r="R1768" i="10"/>
  <c r="R1767" i="10"/>
  <c r="R1766" i="10"/>
  <c r="R1765" i="10"/>
  <c r="R1764" i="10"/>
  <c r="R1763" i="10"/>
  <c r="R1762" i="10"/>
  <c r="R1761" i="10"/>
  <c r="R1760" i="10"/>
  <c r="R1759" i="10"/>
  <c r="R1758" i="10"/>
  <c r="R1757" i="10"/>
  <c r="R1756" i="10"/>
  <c r="R1755" i="10"/>
  <c r="R1754" i="10"/>
  <c r="R1753" i="10"/>
  <c r="R1752" i="10"/>
  <c r="R1751" i="10"/>
  <c r="R1750" i="10"/>
  <c r="R1749" i="10"/>
  <c r="R1748" i="10"/>
  <c r="R1747" i="10"/>
  <c r="R1746" i="10"/>
  <c r="R1745" i="10"/>
  <c r="R1744" i="10"/>
  <c r="R1743" i="10"/>
  <c r="R1742" i="10"/>
  <c r="R1741" i="10"/>
  <c r="R1740" i="10"/>
  <c r="R1739" i="10"/>
  <c r="R1738" i="10"/>
  <c r="R1737" i="10"/>
  <c r="R1736" i="10"/>
  <c r="R1735" i="10"/>
  <c r="R1734" i="10"/>
  <c r="R1733" i="10"/>
  <c r="R1732" i="10"/>
  <c r="R1731" i="10"/>
  <c r="R1730" i="10"/>
  <c r="R1729" i="10"/>
  <c r="R1728" i="10"/>
  <c r="R1727" i="10"/>
  <c r="R1726" i="10"/>
  <c r="R1725" i="10"/>
  <c r="R1724" i="10"/>
  <c r="R1723" i="10"/>
  <c r="R1722" i="10"/>
  <c r="R1721" i="10"/>
  <c r="R1720" i="10"/>
  <c r="R1719" i="10"/>
  <c r="R1718" i="10"/>
  <c r="R1717" i="10"/>
  <c r="R1716" i="10"/>
  <c r="R1715" i="10"/>
  <c r="R1714" i="10"/>
  <c r="R1713" i="10"/>
  <c r="R1712" i="10"/>
  <c r="R1711" i="10"/>
  <c r="R1710" i="10"/>
  <c r="R1709" i="10"/>
  <c r="R1708" i="10"/>
  <c r="R1707" i="10"/>
  <c r="R1706" i="10"/>
  <c r="R1705" i="10"/>
  <c r="R1704" i="10"/>
  <c r="R1703" i="10"/>
  <c r="R1702" i="10"/>
  <c r="R1701" i="10"/>
  <c r="R1700" i="10"/>
  <c r="R1699" i="10"/>
  <c r="R1698" i="10"/>
  <c r="R1697" i="10"/>
  <c r="R1696" i="10"/>
  <c r="R1695" i="10"/>
  <c r="R1694" i="10"/>
  <c r="R1693" i="10"/>
  <c r="R1692" i="10"/>
  <c r="R1691" i="10"/>
  <c r="R1690" i="10"/>
  <c r="R1689" i="10"/>
  <c r="R1688" i="10"/>
  <c r="R1687" i="10"/>
  <c r="R1686" i="10"/>
  <c r="R1685" i="10"/>
  <c r="R1684" i="10"/>
  <c r="R1683" i="10"/>
  <c r="R1682" i="10"/>
  <c r="R1681" i="10"/>
  <c r="R1680" i="10"/>
  <c r="R1679" i="10"/>
  <c r="R1678" i="10"/>
  <c r="R1677" i="10"/>
  <c r="R1676" i="10"/>
  <c r="R1675" i="10"/>
  <c r="R1674" i="10"/>
  <c r="R1673" i="10"/>
  <c r="R1672" i="10"/>
  <c r="R1671" i="10"/>
  <c r="R1670" i="10"/>
  <c r="R1669" i="10"/>
  <c r="R1668" i="10"/>
  <c r="R1667" i="10"/>
  <c r="R1666" i="10"/>
  <c r="R1665" i="10"/>
  <c r="R1664" i="10"/>
  <c r="R1663" i="10"/>
  <c r="R1662" i="10"/>
  <c r="R1661" i="10"/>
  <c r="R1660" i="10"/>
  <c r="R1659" i="10"/>
  <c r="R1658" i="10"/>
  <c r="R1657" i="10"/>
  <c r="R1656" i="10"/>
  <c r="R1655" i="10"/>
  <c r="R1654" i="10"/>
  <c r="R1653" i="10"/>
  <c r="R1652" i="10"/>
  <c r="R1651" i="10"/>
  <c r="R1650" i="10"/>
  <c r="R1649" i="10"/>
  <c r="R1648" i="10"/>
  <c r="R1647" i="10"/>
  <c r="R1646" i="10"/>
  <c r="R1645" i="10"/>
  <c r="R1644" i="10"/>
  <c r="R1643" i="10"/>
  <c r="R1642" i="10"/>
  <c r="R1641" i="10"/>
  <c r="R1640" i="10"/>
  <c r="R1639" i="10"/>
  <c r="R1638" i="10"/>
  <c r="R1637" i="10"/>
  <c r="R1636" i="10"/>
  <c r="R1635" i="10"/>
  <c r="R1634" i="10"/>
  <c r="R1633" i="10"/>
  <c r="R1632" i="10"/>
  <c r="R1631" i="10"/>
  <c r="R1630" i="10"/>
  <c r="R1629" i="10"/>
  <c r="R1628" i="10"/>
  <c r="R1627" i="10"/>
  <c r="R1626" i="10"/>
  <c r="R1625" i="10"/>
  <c r="R1624" i="10"/>
  <c r="R1623" i="10"/>
  <c r="R1622" i="10"/>
  <c r="R1621" i="10"/>
  <c r="R1620" i="10"/>
  <c r="R1619" i="10"/>
  <c r="R1618" i="10"/>
  <c r="R1617" i="10"/>
  <c r="R1616" i="10"/>
  <c r="R1615" i="10"/>
  <c r="R1614" i="10"/>
  <c r="R1613" i="10"/>
  <c r="R1612" i="10"/>
  <c r="R1611" i="10"/>
  <c r="R1610" i="10"/>
  <c r="R1609" i="10"/>
  <c r="R1608" i="10"/>
  <c r="R1607" i="10"/>
  <c r="R1606" i="10"/>
  <c r="R1605" i="10"/>
  <c r="R1604" i="10"/>
  <c r="R1603" i="10"/>
  <c r="R1602" i="10"/>
  <c r="R1601" i="10"/>
  <c r="R1600" i="10"/>
  <c r="R1599" i="10"/>
  <c r="R1598" i="10"/>
  <c r="R1597" i="10"/>
  <c r="R1596" i="10"/>
  <c r="R1595" i="10"/>
  <c r="R1594" i="10"/>
  <c r="R1593" i="10"/>
  <c r="R1592" i="10"/>
  <c r="R1591" i="10"/>
  <c r="R1590" i="10"/>
  <c r="R1589" i="10"/>
  <c r="R1588" i="10"/>
  <c r="R1587" i="10"/>
  <c r="R1586" i="10"/>
  <c r="R1585" i="10"/>
  <c r="R1584" i="10"/>
  <c r="R1583" i="10"/>
  <c r="R1582" i="10"/>
  <c r="R1581" i="10"/>
  <c r="R1580" i="10"/>
  <c r="R1579" i="10"/>
  <c r="R1578" i="10"/>
  <c r="R1577" i="10"/>
  <c r="R1576" i="10"/>
  <c r="R1575" i="10"/>
  <c r="R1574" i="10"/>
  <c r="R1573" i="10"/>
  <c r="R1572" i="10"/>
  <c r="R1571" i="10"/>
  <c r="R1570" i="10"/>
  <c r="R1569" i="10"/>
  <c r="R1568" i="10"/>
  <c r="R1567" i="10"/>
  <c r="R1566" i="10"/>
  <c r="R1565" i="10"/>
  <c r="R1564" i="10"/>
  <c r="R1563" i="10"/>
  <c r="R1562" i="10"/>
  <c r="R1561" i="10"/>
  <c r="R1560" i="10"/>
  <c r="R1559" i="10"/>
  <c r="R1558" i="10"/>
  <c r="R1557" i="10"/>
  <c r="R1556" i="10"/>
  <c r="R1555" i="10"/>
  <c r="R1554" i="10"/>
  <c r="R1553" i="10"/>
  <c r="R1552" i="10"/>
  <c r="R1551" i="10"/>
  <c r="R1550" i="10"/>
  <c r="R1549" i="10"/>
  <c r="R1548" i="10"/>
  <c r="R1547" i="10"/>
  <c r="R1546" i="10"/>
  <c r="R1545" i="10"/>
  <c r="R1544" i="10"/>
  <c r="R1543" i="10"/>
  <c r="R1542" i="10"/>
  <c r="R1541" i="10"/>
  <c r="R1540" i="10"/>
  <c r="R1539" i="10"/>
  <c r="R1538" i="10"/>
  <c r="R1537" i="10"/>
  <c r="R1536" i="10"/>
  <c r="R1535" i="10"/>
  <c r="R1534" i="10"/>
  <c r="R1533" i="10"/>
  <c r="R1532" i="10"/>
  <c r="R1531" i="10"/>
  <c r="R1530" i="10"/>
  <c r="R1529" i="10"/>
  <c r="R1528" i="10"/>
  <c r="R1527" i="10"/>
  <c r="R1526" i="10"/>
  <c r="R1525" i="10"/>
  <c r="R1524" i="10"/>
  <c r="R1523" i="10"/>
  <c r="R1522" i="10"/>
  <c r="R1521" i="10"/>
  <c r="R1520" i="10"/>
  <c r="R1519" i="10"/>
  <c r="R1518" i="10"/>
  <c r="R1517" i="10"/>
  <c r="R1516" i="10"/>
  <c r="R1515" i="10"/>
  <c r="R1514" i="10"/>
  <c r="R1513" i="10"/>
  <c r="R1512" i="10"/>
  <c r="R1511" i="10"/>
  <c r="R1510" i="10"/>
  <c r="R1509" i="10"/>
  <c r="R1508" i="10"/>
  <c r="R1507" i="10"/>
  <c r="R1506" i="10"/>
  <c r="R1505" i="10"/>
  <c r="R1504" i="10"/>
  <c r="R1503" i="10"/>
  <c r="R1502" i="10"/>
  <c r="R1501" i="10"/>
  <c r="R1500" i="10"/>
  <c r="R1499" i="10"/>
  <c r="R1498" i="10"/>
  <c r="R1497" i="10"/>
  <c r="R1496" i="10"/>
  <c r="R1495" i="10"/>
  <c r="R1494" i="10"/>
  <c r="R1493" i="10"/>
  <c r="R1492" i="10"/>
  <c r="R1491" i="10"/>
  <c r="R1490" i="10"/>
  <c r="R1489" i="10"/>
  <c r="R1488" i="10"/>
  <c r="R1487" i="10"/>
  <c r="R1486" i="10"/>
  <c r="R1485" i="10"/>
  <c r="R1484" i="10"/>
  <c r="R1483" i="10"/>
  <c r="R1482" i="10"/>
  <c r="R1481" i="10"/>
  <c r="R1480" i="10"/>
  <c r="R1479" i="10"/>
  <c r="R1478" i="10"/>
  <c r="R1477" i="10"/>
  <c r="R1476" i="10"/>
  <c r="R1475" i="10"/>
  <c r="R1474" i="10"/>
  <c r="R1473" i="10"/>
  <c r="R1472" i="10"/>
  <c r="R1471" i="10"/>
  <c r="R1470" i="10"/>
  <c r="R1469" i="10"/>
  <c r="R1468" i="10"/>
  <c r="R1467" i="10"/>
  <c r="R1466" i="10"/>
  <c r="R1465" i="10"/>
  <c r="R1464" i="10"/>
  <c r="R1463" i="10"/>
  <c r="R1462" i="10"/>
  <c r="R1461" i="10"/>
  <c r="R1460" i="10"/>
  <c r="R1459" i="10"/>
  <c r="R1458" i="10"/>
  <c r="R1457" i="10"/>
  <c r="R1456" i="10"/>
  <c r="R1455" i="10"/>
  <c r="R1454" i="10"/>
  <c r="R1453" i="10"/>
  <c r="R1452" i="10"/>
  <c r="R1451" i="10"/>
  <c r="R1450" i="10"/>
  <c r="R1449" i="10"/>
  <c r="R1448" i="10"/>
  <c r="R1447" i="10"/>
  <c r="R1446" i="10"/>
  <c r="R1445" i="10"/>
  <c r="R1444" i="10"/>
  <c r="R1443" i="10"/>
  <c r="R1442" i="10"/>
  <c r="R1441" i="10"/>
  <c r="R1440" i="10"/>
  <c r="R1439" i="10"/>
  <c r="R1438" i="10"/>
  <c r="R1437" i="10"/>
  <c r="R1436" i="10"/>
  <c r="R1435" i="10"/>
  <c r="R1434" i="10"/>
  <c r="R1433" i="10"/>
  <c r="R1432" i="10"/>
  <c r="R1431" i="10"/>
  <c r="R1430" i="10"/>
  <c r="R1429" i="10"/>
  <c r="R1428" i="10"/>
  <c r="R1427" i="10"/>
  <c r="R1426" i="10"/>
  <c r="R1425" i="10"/>
  <c r="R1424" i="10"/>
  <c r="R1423" i="10"/>
  <c r="R1422" i="10"/>
  <c r="R1421" i="10"/>
  <c r="R1420" i="10"/>
  <c r="R1419" i="10"/>
  <c r="R1418" i="10"/>
  <c r="R1417" i="10"/>
  <c r="R1416" i="10"/>
  <c r="R1415" i="10"/>
  <c r="R1414" i="10"/>
  <c r="R1413" i="10"/>
  <c r="R1412" i="10"/>
  <c r="R1411" i="10"/>
  <c r="R1410" i="10"/>
  <c r="R1409" i="10"/>
  <c r="R1408" i="10"/>
  <c r="R1407" i="10"/>
  <c r="R1406" i="10"/>
  <c r="R1405" i="10"/>
  <c r="R1404" i="10"/>
  <c r="R1403" i="10"/>
  <c r="R1402" i="10"/>
  <c r="R1401" i="10"/>
  <c r="R1400" i="10"/>
  <c r="R1399" i="10"/>
  <c r="R1398" i="10"/>
  <c r="R1397" i="10"/>
  <c r="R1396" i="10"/>
  <c r="R1395" i="10"/>
  <c r="R1394" i="10"/>
  <c r="R1393" i="10"/>
  <c r="R1392" i="10"/>
  <c r="R1391" i="10"/>
  <c r="R1390" i="10"/>
  <c r="R1389" i="10"/>
  <c r="R1388" i="10"/>
  <c r="R1387" i="10"/>
  <c r="R1386" i="10"/>
  <c r="R1385" i="10"/>
  <c r="R1384" i="10"/>
  <c r="R1383" i="10"/>
  <c r="R1382" i="10"/>
  <c r="R1381" i="10"/>
  <c r="R1380" i="10"/>
  <c r="R1379" i="10"/>
  <c r="R1378" i="10"/>
  <c r="R1377" i="10"/>
  <c r="R1376" i="10"/>
  <c r="R1375" i="10"/>
  <c r="R1374" i="10"/>
  <c r="R1373" i="10"/>
  <c r="R1372" i="10"/>
  <c r="R1371" i="10"/>
  <c r="R1370" i="10"/>
  <c r="R1369" i="10"/>
  <c r="R1368" i="10"/>
  <c r="R1367" i="10"/>
  <c r="R1366" i="10"/>
  <c r="R1365" i="10"/>
  <c r="R1364" i="10"/>
  <c r="R1363" i="10"/>
  <c r="R1362" i="10"/>
  <c r="R1361" i="10"/>
  <c r="R1360" i="10"/>
  <c r="R1359" i="10"/>
  <c r="R1358" i="10"/>
  <c r="R1357" i="10"/>
  <c r="R1356" i="10"/>
  <c r="R1355" i="10"/>
  <c r="R1354" i="10"/>
  <c r="R1353" i="10"/>
  <c r="R1352" i="10"/>
  <c r="R1351" i="10"/>
  <c r="R1350" i="10"/>
  <c r="R1349" i="10"/>
  <c r="R1348" i="10"/>
  <c r="R1347" i="10"/>
  <c r="R1346" i="10"/>
  <c r="R1345" i="10"/>
  <c r="R1344" i="10"/>
  <c r="R1343" i="10"/>
  <c r="R1342" i="10"/>
  <c r="R1341" i="10"/>
  <c r="R1340" i="10"/>
  <c r="R1339" i="10"/>
  <c r="R1338" i="10"/>
  <c r="R1337" i="10"/>
  <c r="R1336" i="10"/>
  <c r="R1335" i="10"/>
  <c r="R1334" i="10"/>
  <c r="R1333" i="10"/>
  <c r="R1332" i="10"/>
  <c r="R1331" i="10"/>
  <c r="R1330" i="10"/>
  <c r="R1329" i="10"/>
  <c r="R1328" i="10"/>
  <c r="R1327" i="10"/>
  <c r="R1326" i="10"/>
  <c r="R1325" i="10"/>
  <c r="R1324" i="10"/>
  <c r="R1323" i="10"/>
  <c r="R1322" i="10"/>
  <c r="R1321" i="10"/>
  <c r="R1320" i="10"/>
  <c r="R1319" i="10"/>
  <c r="R1318" i="10"/>
  <c r="R1317" i="10"/>
  <c r="R1316" i="10"/>
  <c r="R1315" i="10"/>
  <c r="R1314" i="10"/>
  <c r="R1313" i="10"/>
  <c r="R1312" i="10"/>
  <c r="R1311" i="10"/>
  <c r="R1310" i="10"/>
  <c r="R1309" i="10"/>
  <c r="R1308" i="10"/>
  <c r="R1307" i="10"/>
  <c r="R1306" i="10"/>
  <c r="R1305" i="10"/>
  <c r="R1304" i="10"/>
  <c r="R1303" i="10"/>
  <c r="R1302" i="10"/>
  <c r="R1301" i="10"/>
  <c r="R1300" i="10"/>
  <c r="R1299" i="10"/>
  <c r="R1298" i="10"/>
  <c r="R1297" i="10"/>
  <c r="R1296" i="10"/>
  <c r="R1295" i="10"/>
  <c r="R1294" i="10"/>
  <c r="R1293" i="10"/>
  <c r="R1292" i="10"/>
  <c r="R1291" i="10"/>
  <c r="R1290" i="10"/>
  <c r="R1289" i="10"/>
  <c r="R1288" i="10"/>
  <c r="R1287" i="10"/>
  <c r="R1286" i="10"/>
  <c r="R1285" i="10"/>
  <c r="R1284" i="10"/>
  <c r="R1283" i="10"/>
  <c r="R1282" i="10"/>
  <c r="R1281" i="10"/>
  <c r="R1280" i="10"/>
  <c r="R1279" i="10"/>
  <c r="R1278" i="10"/>
  <c r="R1277" i="10"/>
  <c r="R1276" i="10"/>
  <c r="R1275" i="10"/>
  <c r="R1274" i="10"/>
  <c r="R1273" i="10"/>
  <c r="R1272" i="10"/>
  <c r="R1271" i="10"/>
  <c r="R1270" i="10"/>
  <c r="R1269" i="10"/>
  <c r="R1268" i="10"/>
  <c r="R1267" i="10"/>
  <c r="R1266" i="10"/>
  <c r="R1265" i="10"/>
  <c r="R1264" i="10"/>
  <c r="R1263" i="10"/>
  <c r="R1262" i="10"/>
  <c r="R1261" i="10"/>
  <c r="R1260" i="10"/>
  <c r="R1259" i="10"/>
  <c r="R1258" i="10"/>
  <c r="R1257" i="10"/>
  <c r="R1256" i="10"/>
  <c r="R1255" i="10"/>
  <c r="R1254" i="10"/>
  <c r="R1253" i="10"/>
  <c r="R1252" i="10"/>
  <c r="R1251" i="10"/>
  <c r="R1250" i="10"/>
  <c r="R1249" i="10"/>
  <c r="R1248" i="10"/>
  <c r="R1247" i="10"/>
  <c r="R1246" i="10"/>
  <c r="R1245" i="10"/>
  <c r="R1244" i="10"/>
  <c r="R1243" i="10"/>
  <c r="R1242" i="10"/>
  <c r="R1241" i="10"/>
  <c r="R1240" i="10"/>
  <c r="R1239" i="10"/>
  <c r="R1238" i="10"/>
  <c r="R1237" i="10"/>
  <c r="R1236" i="10"/>
  <c r="R1235" i="10"/>
  <c r="R1234" i="10"/>
  <c r="R1233" i="10"/>
  <c r="R1232" i="10"/>
  <c r="R1231" i="10"/>
  <c r="R1230" i="10"/>
  <c r="R1229" i="10"/>
  <c r="R1228" i="10"/>
  <c r="R1227" i="10"/>
  <c r="R1226" i="10"/>
  <c r="R1225" i="10"/>
  <c r="R1224" i="10"/>
  <c r="R1223" i="10"/>
  <c r="R1222" i="10"/>
  <c r="R1221" i="10"/>
  <c r="R1220" i="10"/>
  <c r="R1219" i="10"/>
  <c r="R1218" i="10"/>
  <c r="R1217" i="10"/>
  <c r="R1216" i="10"/>
  <c r="R1215" i="10"/>
  <c r="R1214" i="10"/>
  <c r="R1213" i="10"/>
  <c r="R1212" i="10"/>
  <c r="R1211" i="10"/>
  <c r="R1210" i="10"/>
  <c r="R1209" i="10"/>
  <c r="R1208" i="10"/>
  <c r="R1207" i="10"/>
  <c r="R1206" i="10"/>
  <c r="R1205" i="10"/>
  <c r="R1204" i="10"/>
  <c r="R1203" i="10"/>
  <c r="R1202" i="10"/>
  <c r="R1201" i="10"/>
  <c r="R1200" i="10"/>
  <c r="R1199" i="10"/>
  <c r="R1198" i="10"/>
  <c r="R1197" i="10"/>
  <c r="R1196" i="10"/>
  <c r="R1195" i="10"/>
  <c r="R1194" i="10"/>
  <c r="R1193" i="10"/>
  <c r="R1192" i="10"/>
  <c r="R1191" i="10"/>
  <c r="R1190" i="10"/>
  <c r="R1189" i="10"/>
  <c r="R1188" i="10"/>
  <c r="R1187" i="10"/>
  <c r="R1186" i="10"/>
  <c r="R1185" i="10"/>
  <c r="R1184" i="10"/>
  <c r="R1183" i="10"/>
  <c r="R1182" i="10"/>
  <c r="R1181" i="10"/>
  <c r="R1180" i="10"/>
  <c r="R1179" i="10"/>
  <c r="R1178" i="10"/>
  <c r="R1177" i="10"/>
  <c r="R1176" i="10"/>
  <c r="R1175" i="10"/>
  <c r="R1174" i="10"/>
  <c r="R1173" i="10"/>
  <c r="R1172" i="10"/>
  <c r="R1171" i="10"/>
  <c r="R1170" i="10"/>
  <c r="R1169" i="10"/>
  <c r="R1168" i="10"/>
  <c r="R1167" i="10"/>
  <c r="R1166" i="10"/>
  <c r="R1165" i="10"/>
  <c r="R1164" i="10"/>
  <c r="R1163" i="10"/>
  <c r="R1162" i="10"/>
  <c r="R1161" i="10"/>
  <c r="R1160" i="10"/>
  <c r="R1159" i="10"/>
  <c r="R1158" i="10"/>
  <c r="R1157" i="10"/>
  <c r="R1156" i="10"/>
  <c r="R1155" i="10"/>
  <c r="R1154" i="10"/>
  <c r="R1153" i="10"/>
  <c r="R1152" i="10"/>
  <c r="R1151" i="10"/>
  <c r="R1150" i="10"/>
  <c r="R1149" i="10"/>
  <c r="R1148" i="10"/>
  <c r="R1147" i="10"/>
  <c r="R1146" i="10"/>
  <c r="R1145" i="10"/>
  <c r="R1144" i="10"/>
  <c r="R1143" i="10"/>
  <c r="R1142" i="10"/>
  <c r="R1141" i="10"/>
  <c r="R1140" i="10"/>
  <c r="R1139" i="10"/>
  <c r="R1138" i="10"/>
  <c r="R1137" i="10"/>
  <c r="R1136" i="10"/>
  <c r="R1135" i="10"/>
  <c r="R1134" i="10"/>
  <c r="R1133" i="10"/>
  <c r="R1132" i="10"/>
  <c r="R1131" i="10"/>
  <c r="R1130" i="10"/>
  <c r="R1129" i="10"/>
  <c r="R1128" i="10"/>
  <c r="R1127" i="10"/>
  <c r="R1126" i="10"/>
  <c r="R1125" i="10"/>
  <c r="R1124" i="10"/>
  <c r="R1123" i="10"/>
  <c r="R1122" i="10"/>
  <c r="R1121" i="10"/>
  <c r="R1120" i="10"/>
  <c r="R1119" i="10"/>
  <c r="R1118" i="10"/>
  <c r="R1117" i="10"/>
  <c r="R1116" i="10"/>
  <c r="R1115" i="10"/>
  <c r="R1114" i="10"/>
  <c r="R1113" i="10"/>
  <c r="R1112" i="10"/>
  <c r="R1111" i="10"/>
  <c r="R1110" i="10"/>
  <c r="R1109" i="10"/>
  <c r="R1108" i="10"/>
  <c r="R1107" i="10"/>
  <c r="R1106" i="10"/>
  <c r="R1105" i="10"/>
  <c r="R1104" i="10"/>
  <c r="R1103" i="10"/>
  <c r="R1102" i="10"/>
  <c r="R1101" i="10"/>
  <c r="R1100" i="10"/>
  <c r="R1099" i="10"/>
  <c r="R1098" i="10"/>
  <c r="R1097" i="10"/>
  <c r="R1096" i="10"/>
  <c r="R1095" i="10"/>
  <c r="R1094" i="10"/>
  <c r="R1093" i="10"/>
  <c r="R1092" i="10"/>
  <c r="R1091" i="10"/>
  <c r="R1090" i="10"/>
  <c r="R1089" i="10"/>
  <c r="R1088" i="10"/>
  <c r="R1087" i="10"/>
  <c r="R1086" i="10"/>
  <c r="R1085" i="10"/>
  <c r="R1084" i="10"/>
  <c r="R1083" i="10"/>
  <c r="R1082" i="10"/>
  <c r="R1081" i="10"/>
  <c r="R1080" i="10"/>
  <c r="R1079" i="10"/>
  <c r="R1078" i="10"/>
  <c r="R1077" i="10"/>
  <c r="R1076" i="10"/>
  <c r="R1075" i="10"/>
  <c r="R1074" i="10"/>
  <c r="R1073" i="10"/>
  <c r="R1072" i="10"/>
  <c r="R1071" i="10"/>
  <c r="R1070" i="10"/>
  <c r="R1069" i="10"/>
  <c r="R1068" i="10"/>
  <c r="R1067" i="10"/>
  <c r="R1066" i="10"/>
  <c r="R1065" i="10"/>
  <c r="R1064" i="10"/>
  <c r="R1063" i="10"/>
  <c r="R1062" i="10"/>
  <c r="R1061" i="10"/>
  <c r="R1060" i="10"/>
  <c r="R1059" i="10"/>
  <c r="R1058" i="10"/>
  <c r="R1057" i="10"/>
  <c r="R1056" i="10"/>
  <c r="R1055" i="10"/>
  <c r="R1054" i="10"/>
  <c r="R1053" i="10"/>
  <c r="R1052" i="10"/>
  <c r="R1051" i="10"/>
  <c r="R1050" i="10"/>
  <c r="R1049" i="10"/>
  <c r="R1048" i="10"/>
  <c r="R1047" i="10"/>
  <c r="R1046" i="10"/>
  <c r="R1045" i="10"/>
  <c r="R1044" i="10"/>
  <c r="R1043" i="10"/>
  <c r="R1042" i="10"/>
  <c r="R1041" i="10"/>
  <c r="R1040" i="10"/>
  <c r="R1039" i="10"/>
  <c r="R1038" i="10"/>
  <c r="R1037" i="10"/>
  <c r="R1036" i="10"/>
  <c r="R1035" i="10"/>
  <c r="R1034" i="10"/>
  <c r="R1033" i="10"/>
  <c r="R1032" i="10"/>
  <c r="R1031" i="10"/>
  <c r="R1030" i="10"/>
  <c r="R1029" i="10"/>
  <c r="R1028" i="10"/>
  <c r="R1027" i="10"/>
  <c r="R1026" i="10"/>
  <c r="R1025" i="10"/>
  <c r="R1024" i="10"/>
  <c r="R1023" i="10"/>
  <c r="R1022" i="10"/>
  <c r="R1021" i="10"/>
  <c r="R1020" i="10"/>
  <c r="R1019" i="10"/>
  <c r="R1018" i="10"/>
  <c r="R1017" i="10"/>
  <c r="R1016" i="10"/>
  <c r="R1015" i="10"/>
  <c r="R1014" i="10"/>
  <c r="R1013" i="10"/>
  <c r="R1012" i="10"/>
  <c r="R1011" i="10"/>
  <c r="R1010" i="10"/>
  <c r="R1009" i="10"/>
  <c r="R1008" i="10"/>
  <c r="R1007" i="10"/>
  <c r="R1006" i="10"/>
  <c r="R1005" i="10"/>
  <c r="R1004" i="10"/>
  <c r="R1003" i="10"/>
  <c r="R1002" i="10"/>
  <c r="R1001" i="10"/>
  <c r="R1000" i="10"/>
  <c r="R999" i="10"/>
  <c r="R998" i="10"/>
  <c r="R997" i="10"/>
  <c r="R996" i="10"/>
  <c r="R995" i="10"/>
  <c r="R994" i="10"/>
  <c r="R993" i="10"/>
  <c r="R992" i="10"/>
  <c r="R991" i="10"/>
  <c r="R990" i="10"/>
  <c r="R989" i="10"/>
  <c r="R988" i="10"/>
  <c r="R987" i="10"/>
  <c r="R986" i="10"/>
  <c r="R985" i="10"/>
  <c r="R984" i="10"/>
  <c r="R983" i="10"/>
  <c r="R982" i="10"/>
  <c r="R981" i="10"/>
  <c r="R980" i="10"/>
  <c r="R979" i="10"/>
  <c r="R978" i="10"/>
  <c r="R977" i="10"/>
  <c r="R976" i="10"/>
  <c r="R975" i="10"/>
  <c r="R974" i="10"/>
  <c r="R973" i="10"/>
  <c r="R972" i="10"/>
  <c r="R971" i="10"/>
  <c r="R970" i="10"/>
  <c r="R969" i="10"/>
  <c r="R968" i="10"/>
  <c r="R967" i="10"/>
  <c r="R966" i="10"/>
  <c r="R965" i="10"/>
  <c r="R964" i="10"/>
  <c r="R963" i="10"/>
  <c r="R962" i="10"/>
  <c r="R961" i="10"/>
  <c r="R960" i="10"/>
  <c r="R959" i="10"/>
  <c r="R958" i="10"/>
  <c r="R957" i="10"/>
  <c r="R956" i="10"/>
  <c r="R955" i="10"/>
  <c r="R954" i="10"/>
  <c r="R953" i="10"/>
  <c r="R952" i="10"/>
  <c r="R951" i="10"/>
  <c r="R950" i="10"/>
  <c r="R949" i="10"/>
  <c r="R948" i="10"/>
  <c r="R947" i="10"/>
  <c r="R946" i="10"/>
  <c r="R945" i="10"/>
  <c r="R944" i="10"/>
  <c r="R943" i="10"/>
  <c r="R942" i="10"/>
  <c r="R941" i="10"/>
  <c r="R940" i="10"/>
  <c r="R939" i="10"/>
  <c r="R938" i="10"/>
  <c r="R937" i="10"/>
  <c r="R936" i="10"/>
  <c r="R935" i="10"/>
  <c r="R934" i="10"/>
  <c r="R933" i="10"/>
  <c r="R932" i="10"/>
  <c r="R931" i="10"/>
  <c r="R930" i="10"/>
  <c r="R929" i="10"/>
  <c r="R928" i="10"/>
  <c r="R927" i="10"/>
  <c r="R926" i="10"/>
  <c r="R925" i="10"/>
  <c r="R924" i="10"/>
  <c r="R923" i="10"/>
  <c r="R922" i="10"/>
  <c r="R921" i="10"/>
  <c r="R920" i="10"/>
  <c r="R919" i="10"/>
  <c r="R918" i="10"/>
  <c r="R917" i="10"/>
  <c r="R916" i="10"/>
  <c r="R915" i="10"/>
  <c r="R914" i="10"/>
  <c r="R913" i="10"/>
  <c r="R912" i="10"/>
  <c r="R911" i="10"/>
  <c r="R910" i="10"/>
  <c r="R909" i="10"/>
  <c r="R908" i="10"/>
  <c r="R907" i="10"/>
  <c r="R906" i="10"/>
  <c r="R905" i="10"/>
  <c r="R904" i="10"/>
  <c r="R903" i="10"/>
  <c r="R902" i="10"/>
  <c r="R901" i="10"/>
  <c r="R900" i="10"/>
  <c r="R899" i="10"/>
  <c r="R898" i="10"/>
  <c r="R897" i="10"/>
  <c r="R896" i="10"/>
  <c r="R895" i="10"/>
  <c r="R894" i="10"/>
  <c r="R893" i="10"/>
  <c r="R892" i="10"/>
  <c r="R891" i="10"/>
  <c r="R890" i="10"/>
  <c r="R889" i="10"/>
  <c r="R888" i="10"/>
  <c r="R887" i="10"/>
  <c r="R886" i="10"/>
  <c r="R885" i="10"/>
  <c r="R884" i="10"/>
  <c r="R883" i="10"/>
  <c r="R882" i="10"/>
  <c r="R881" i="10"/>
  <c r="R880" i="10"/>
  <c r="R879" i="10"/>
  <c r="R878" i="10"/>
  <c r="R877" i="10"/>
  <c r="R876" i="10"/>
  <c r="R875" i="10"/>
  <c r="R874" i="10"/>
  <c r="R873" i="10"/>
  <c r="R872" i="10"/>
  <c r="R871" i="10"/>
  <c r="R870" i="10"/>
  <c r="R869" i="10"/>
  <c r="R868" i="10"/>
  <c r="R867" i="10"/>
  <c r="R866" i="10"/>
  <c r="R865" i="10"/>
  <c r="R864" i="10"/>
  <c r="R863" i="10"/>
  <c r="R862" i="10"/>
  <c r="R861" i="10"/>
  <c r="R860" i="10"/>
  <c r="R859" i="10"/>
  <c r="R858" i="10"/>
  <c r="R857" i="10"/>
  <c r="R856" i="10"/>
  <c r="R855" i="10"/>
  <c r="R854" i="10"/>
  <c r="R853" i="10"/>
  <c r="R852" i="10"/>
  <c r="R851" i="10"/>
  <c r="R850" i="10"/>
  <c r="R849" i="10"/>
  <c r="R848" i="10"/>
  <c r="R847" i="10"/>
  <c r="R846" i="10"/>
  <c r="R845" i="10"/>
  <c r="R844" i="10"/>
  <c r="R843" i="10"/>
  <c r="R842" i="10"/>
  <c r="R841" i="10"/>
  <c r="R840" i="10"/>
  <c r="R839" i="10"/>
  <c r="R838" i="10"/>
  <c r="R837" i="10"/>
  <c r="R836" i="10"/>
  <c r="R835" i="10"/>
  <c r="R834" i="10"/>
  <c r="R833" i="10"/>
  <c r="R832" i="10"/>
  <c r="R831" i="10"/>
  <c r="R830" i="10"/>
  <c r="R829" i="10"/>
  <c r="R828" i="10"/>
  <c r="R827" i="10"/>
  <c r="R826" i="10"/>
  <c r="R825" i="10"/>
  <c r="R824" i="10"/>
  <c r="R823" i="10"/>
  <c r="R822" i="10"/>
  <c r="R821" i="10"/>
  <c r="R820" i="10"/>
  <c r="R819" i="10"/>
  <c r="R818" i="10"/>
  <c r="R817" i="10"/>
  <c r="R816" i="10"/>
  <c r="R815" i="10"/>
  <c r="R814" i="10"/>
  <c r="R813" i="10"/>
  <c r="R812" i="10"/>
  <c r="R811" i="10"/>
  <c r="R810" i="10"/>
  <c r="R809" i="10"/>
  <c r="R808" i="10"/>
  <c r="R807" i="10"/>
  <c r="R806" i="10"/>
  <c r="R805" i="10"/>
  <c r="R804" i="10"/>
  <c r="R803" i="10"/>
  <c r="R802" i="10"/>
  <c r="R801" i="10"/>
  <c r="R800" i="10"/>
  <c r="R799" i="10"/>
  <c r="R798" i="10"/>
  <c r="R797" i="10"/>
  <c r="R796" i="10"/>
  <c r="R795" i="10"/>
  <c r="R794" i="10"/>
  <c r="R793" i="10"/>
  <c r="R792" i="10"/>
  <c r="R791" i="10"/>
  <c r="R790" i="10"/>
  <c r="R789" i="10"/>
  <c r="R788" i="10"/>
  <c r="R787" i="10"/>
  <c r="R786" i="10"/>
  <c r="R785" i="10"/>
  <c r="R784" i="10"/>
  <c r="R783" i="10"/>
  <c r="R782" i="10"/>
  <c r="R781" i="10"/>
  <c r="R780" i="10"/>
  <c r="R779" i="10"/>
  <c r="R778" i="10"/>
  <c r="R777" i="10"/>
  <c r="R776" i="10"/>
  <c r="R775" i="10"/>
  <c r="R774" i="10"/>
  <c r="R773" i="10"/>
  <c r="R772" i="10"/>
  <c r="R771" i="10"/>
  <c r="R770" i="10"/>
  <c r="R769" i="10"/>
  <c r="R768" i="10"/>
  <c r="R767" i="10"/>
  <c r="R766" i="10"/>
  <c r="R765" i="10"/>
  <c r="R764" i="10"/>
  <c r="R763" i="10"/>
  <c r="R762" i="10"/>
  <c r="R761" i="10"/>
  <c r="R760" i="10"/>
  <c r="R759" i="10"/>
  <c r="R758" i="10"/>
  <c r="R757" i="10"/>
  <c r="R756" i="10"/>
  <c r="R755" i="10"/>
  <c r="R754" i="10"/>
  <c r="R753" i="10"/>
  <c r="R752" i="10"/>
  <c r="R751" i="10"/>
  <c r="R750" i="10"/>
  <c r="R749" i="10"/>
  <c r="R748" i="10"/>
  <c r="R747" i="10"/>
  <c r="R746" i="10"/>
  <c r="R745" i="10"/>
  <c r="R744" i="10"/>
  <c r="R743" i="10"/>
  <c r="R742" i="10"/>
  <c r="R741" i="10"/>
  <c r="R740" i="10"/>
  <c r="R739" i="10"/>
  <c r="R738" i="10"/>
  <c r="R737" i="10"/>
  <c r="R736" i="10"/>
  <c r="R735" i="10"/>
  <c r="R734" i="10"/>
  <c r="R733" i="10"/>
  <c r="R732" i="10"/>
  <c r="R731" i="10"/>
  <c r="R730" i="10"/>
  <c r="R729" i="10"/>
  <c r="R728" i="10"/>
  <c r="R727" i="10"/>
  <c r="R726" i="10"/>
  <c r="R725" i="10"/>
  <c r="R724" i="10"/>
  <c r="R723" i="10"/>
  <c r="R722" i="10"/>
  <c r="R721" i="10"/>
  <c r="R720" i="10"/>
  <c r="R719" i="10"/>
  <c r="R718" i="10"/>
  <c r="R717" i="10"/>
  <c r="R716" i="10"/>
  <c r="R715" i="10"/>
  <c r="R714" i="10"/>
  <c r="R713" i="10"/>
  <c r="R712" i="10"/>
  <c r="R711" i="10"/>
  <c r="R710" i="10"/>
  <c r="R709" i="10"/>
  <c r="R708" i="10"/>
  <c r="R707" i="10"/>
  <c r="R706" i="10"/>
  <c r="R705" i="10"/>
  <c r="R704" i="10"/>
  <c r="R703" i="10"/>
  <c r="R702" i="10"/>
  <c r="R701" i="10"/>
  <c r="R700" i="10"/>
  <c r="R699" i="10"/>
  <c r="R698" i="10"/>
  <c r="R697" i="10"/>
  <c r="R696" i="10"/>
  <c r="R695" i="10"/>
  <c r="R694" i="10"/>
  <c r="R693" i="10"/>
  <c r="R692" i="10"/>
  <c r="R691" i="10"/>
  <c r="R690" i="10"/>
  <c r="R689" i="10"/>
  <c r="R688" i="10"/>
  <c r="R687" i="10"/>
  <c r="R686" i="10"/>
  <c r="R685" i="10"/>
  <c r="R684" i="10"/>
  <c r="R683" i="10"/>
  <c r="R682" i="10"/>
  <c r="R681" i="10"/>
  <c r="R680" i="10"/>
  <c r="R679" i="10"/>
  <c r="R678" i="10"/>
  <c r="R677" i="10"/>
  <c r="R676" i="10"/>
  <c r="R675" i="10"/>
  <c r="R674" i="10"/>
  <c r="R673" i="10"/>
  <c r="R672" i="10"/>
  <c r="R671" i="10"/>
  <c r="R670" i="10"/>
  <c r="R669" i="10"/>
  <c r="R668" i="10"/>
  <c r="R667" i="10"/>
  <c r="R666" i="10"/>
  <c r="R665" i="10"/>
  <c r="R664" i="10"/>
  <c r="R663" i="10"/>
  <c r="R662" i="10"/>
  <c r="R661" i="10"/>
  <c r="R660" i="10"/>
  <c r="R659" i="10"/>
  <c r="R658" i="10"/>
  <c r="R657" i="10"/>
  <c r="R656" i="10"/>
  <c r="R655" i="10"/>
  <c r="R654" i="10"/>
  <c r="R653" i="10"/>
  <c r="R652" i="10"/>
  <c r="R651" i="10"/>
  <c r="R650" i="10"/>
  <c r="R649" i="10"/>
  <c r="R648" i="10"/>
  <c r="R647" i="10"/>
  <c r="R646" i="10"/>
  <c r="R645" i="10"/>
  <c r="R644" i="10"/>
  <c r="R643" i="10"/>
  <c r="R642" i="10"/>
  <c r="R641" i="10"/>
  <c r="R640" i="10"/>
  <c r="R639" i="10"/>
  <c r="R638" i="10"/>
  <c r="R637" i="10"/>
  <c r="R636" i="10"/>
  <c r="R635" i="10"/>
  <c r="R634" i="10"/>
  <c r="R633" i="10"/>
  <c r="R632" i="10"/>
  <c r="R631" i="10"/>
  <c r="R630" i="10"/>
  <c r="R629" i="10"/>
  <c r="R628" i="10"/>
  <c r="R627" i="10"/>
  <c r="R626" i="10"/>
  <c r="R625" i="10"/>
  <c r="R624" i="10"/>
  <c r="R623" i="10"/>
  <c r="R622" i="10"/>
  <c r="R621" i="10"/>
  <c r="R620" i="10"/>
  <c r="R619" i="10"/>
  <c r="R618" i="10"/>
  <c r="R617" i="10"/>
  <c r="R616" i="10"/>
  <c r="R615" i="10"/>
  <c r="R614" i="10"/>
  <c r="R613" i="10"/>
  <c r="R612" i="10"/>
  <c r="R611" i="10"/>
  <c r="R610" i="10"/>
  <c r="R609" i="10"/>
  <c r="R608" i="10"/>
  <c r="R607" i="10"/>
  <c r="R606" i="10"/>
  <c r="R605" i="10"/>
  <c r="R604" i="10"/>
  <c r="R603" i="10"/>
  <c r="R602" i="10"/>
  <c r="R601" i="10"/>
  <c r="R600" i="10"/>
  <c r="R599" i="10"/>
  <c r="R598" i="10"/>
  <c r="R597" i="10"/>
  <c r="R596" i="10"/>
  <c r="R595" i="10"/>
  <c r="R594" i="10"/>
  <c r="R593" i="10"/>
  <c r="R592" i="10"/>
  <c r="R591" i="10"/>
  <c r="R590" i="10"/>
  <c r="R589" i="10"/>
  <c r="R588" i="10"/>
  <c r="R587" i="10"/>
  <c r="R586" i="10"/>
  <c r="R585" i="10"/>
  <c r="R584" i="10"/>
  <c r="R583" i="10"/>
  <c r="R582" i="10"/>
  <c r="R581" i="10"/>
  <c r="R580" i="10"/>
  <c r="R579" i="10"/>
  <c r="R578" i="10"/>
  <c r="R577" i="10"/>
  <c r="R576" i="10"/>
  <c r="R575" i="10"/>
  <c r="R574" i="10"/>
  <c r="R573" i="10"/>
  <c r="R572" i="10"/>
  <c r="R571" i="10"/>
  <c r="R570" i="10"/>
  <c r="R569" i="10"/>
  <c r="R568" i="10"/>
  <c r="R567" i="10"/>
  <c r="R566" i="10"/>
  <c r="R565" i="10"/>
  <c r="R564" i="10"/>
  <c r="R563" i="10"/>
  <c r="R562" i="10"/>
  <c r="R561" i="10"/>
  <c r="R560" i="10"/>
  <c r="R559" i="10"/>
  <c r="R558" i="10"/>
  <c r="R557" i="10"/>
  <c r="R556" i="10"/>
  <c r="R555" i="10"/>
  <c r="R554" i="10"/>
  <c r="R553" i="10"/>
  <c r="R552" i="10"/>
  <c r="R551" i="10"/>
  <c r="R550" i="10"/>
  <c r="R549" i="10"/>
  <c r="R548" i="10"/>
  <c r="R547" i="10"/>
  <c r="R546" i="10"/>
  <c r="R545" i="10"/>
  <c r="R544" i="10"/>
  <c r="R543" i="10"/>
  <c r="R542" i="10"/>
  <c r="R541" i="10"/>
  <c r="R540" i="10"/>
  <c r="R539" i="10"/>
  <c r="R538" i="10"/>
  <c r="R537" i="10"/>
  <c r="R536" i="10"/>
  <c r="R535" i="10"/>
  <c r="R534" i="10"/>
  <c r="R533" i="10"/>
  <c r="R532" i="10"/>
  <c r="R531" i="10"/>
  <c r="R530" i="10"/>
  <c r="R529" i="10"/>
  <c r="R528" i="10"/>
  <c r="R527" i="10"/>
  <c r="R526" i="10"/>
  <c r="R525" i="10"/>
  <c r="R524" i="10"/>
  <c r="R523" i="10"/>
  <c r="R522" i="10"/>
  <c r="R521" i="10"/>
  <c r="R520" i="10"/>
  <c r="R519" i="10"/>
  <c r="R518" i="10"/>
  <c r="R517" i="10"/>
  <c r="R516" i="10"/>
  <c r="R515" i="10"/>
  <c r="R514" i="10"/>
  <c r="R513" i="10"/>
  <c r="R512" i="10"/>
  <c r="R511" i="10"/>
  <c r="R510" i="10"/>
  <c r="R509" i="10"/>
  <c r="R508" i="10"/>
  <c r="R507" i="10"/>
  <c r="R506" i="10"/>
  <c r="R505" i="10"/>
  <c r="R504" i="10"/>
  <c r="R503" i="10"/>
  <c r="R502" i="10"/>
  <c r="R501" i="10"/>
  <c r="R500" i="10"/>
  <c r="R499" i="10"/>
  <c r="R498" i="10"/>
  <c r="R497" i="10"/>
  <c r="R496" i="10"/>
  <c r="R495" i="10"/>
  <c r="R494" i="10"/>
  <c r="R493" i="10"/>
  <c r="R492" i="10"/>
  <c r="R491" i="10"/>
  <c r="R490" i="10"/>
  <c r="R489" i="10"/>
  <c r="R488" i="10"/>
  <c r="R487" i="10"/>
  <c r="R486" i="10"/>
  <c r="R485" i="10"/>
  <c r="R484" i="10"/>
  <c r="R483" i="10"/>
  <c r="R482" i="10"/>
  <c r="R481" i="10"/>
  <c r="R480" i="10"/>
  <c r="R479" i="10"/>
  <c r="R478" i="10"/>
  <c r="R477" i="10"/>
  <c r="R476" i="10"/>
  <c r="R475" i="10"/>
  <c r="R474" i="10"/>
  <c r="R473" i="10"/>
  <c r="R472" i="10"/>
  <c r="R471" i="10"/>
  <c r="R470" i="10"/>
  <c r="R469" i="10"/>
  <c r="R468" i="10"/>
  <c r="R467" i="10"/>
  <c r="R466" i="10"/>
  <c r="R465" i="10"/>
  <c r="R464" i="10"/>
  <c r="R463" i="10"/>
  <c r="R462" i="10"/>
  <c r="R461" i="10"/>
  <c r="R460" i="10"/>
  <c r="R459" i="10"/>
  <c r="R458" i="10"/>
  <c r="R457" i="10"/>
  <c r="R456" i="10"/>
  <c r="R455" i="10"/>
  <c r="R454" i="10"/>
  <c r="R453" i="10"/>
  <c r="R452" i="10"/>
  <c r="R451" i="10"/>
  <c r="R450" i="10"/>
  <c r="R449" i="10"/>
  <c r="R448" i="10"/>
  <c r="R447" i="10"/>
  <c r="R446" i="10"/>
  <c r="R445" i="10"/>
  <c r="R444" i="10"/>
  <c r="R443" i="10"/>
  <c r="R442" i="10"/>
  <c r="R441" i="10"/>
  <c r="R440" i="10"/>
  <c r="R439" i="10"/>
  <c r="R438" i="10"/>
  <c r="R437" i="10"/>
  <c r="R436" i="10"/>
  <c r="R435" i="10"/>
  <c r="R434" i="10"/>
  <c r="R433" i="10"/>
  <c r="R432" i="10"/>
  <c r="R431" i="10"/>
  <c r="R430" i="10"/>
  <c r="R429" i="10"/>
  <c r="R428" i="10"/>
  <c r="R427" i="10"/>
  <c r="R426" i="10"/>
  <c r="R425" i="10"/>
  <c r="R424" i="10"/>
  <c r="R423" i="10"/>
  <c r="R422" i="10"/>
  <c r="R421" i="10"/>
  <c r="R420" i="10"/>
  <c r="R419" i="10"/>
  <c r="R418" i="10"/>
  <c r="R417" i="10"/>
  <c r="R416" i="10"/>
  <c r="R415" i="10"/>
  <c r="R414" i="10"/>
  <c r="R413" i="10"/>
  <c r="R412" i="10"/>
  <c r="R411" i="10"/>
  <c r="R410" i="10"/>
  <c r="R409" i="10"/>
  <c r="R408" i="10"/>
  <c r="R407" i="10"/>
  <c r="R406" i="10"/>
  <c r="R405" i="10"/>
  <c r="R404" i="10"/>
  <c r="R403" i="10"/>
  <c r="R402" i="10"/>
  <c r="R401" i="10"/>
  <c r="R400" i="10"/>
  <c r="R399" i="10"/>
  <c r="R398" i="10"/>
  <c r="R397" i="10"/>
  <c r="R396" i="10"/>
  <c r="R395" i="10"/>
  <c r="R394" i="10"/>
  <c r="R393" i="10"/>
  <c r="R392" i="10"/>
  <c r="R391" i="10"/>
  <c r="R390" i="10"/>
  <c r="R389" i="10"/>
  <c r="R388" i="10"/>
  <c r="R387" i="10"/>
  <c r="R386" i="10"/>
  <c r="R385" i="10"/>
  <c r="R384" i="10"/>
  <c r="R383" i="10"/>
  <c r="R382" i="10"/>
  <c r="R381" i="10"/>
  <c r="R380" i="10"/>
  <c r="R379" i="10"/>
  <c r="R378" i="10"/>
  <c r="R377" i="10"/>
  <c r="R376" i="10"/>
  <c r="R375" i="10"/>
  <c r="R374" i="10"/>
  <c r="R373" i="10"/>
  <c r="R372" i="10"/>
  <c r="R371" i="10"/>
  <c r="R370" i="10"/>
  <c r="R369" i="10"/>
  <c r="R368" i="10"/>
  <c r="R367" i="10"/>
  <c r="R366" i="10"/>
  <c r="R365" i="10"/>
  <c r="R364" i="10"/>
  <c r="R363" i="10"/>
  <c r="R362" i="10"/>
  <c r="R361" i="10"/>
  <c r="R360" i="10"/>
  <c r="R359" i="10"/>
  <c r="R358" i="10"/>
  <c r="R357" i="10"/>
  <c r="R356" i="10"/>
  <c r="R355" i="10"/>
  <c r="R354" i="10"/>
  <c r="R353" i="10"/>
  <c r="R352" i="10"/>
  <c r="R351" i="10"/>
  <c r="R350" i="10"/>
  <c r="R349" i="10"/>
  <c r="R348" i="10"/>
  <c r="R347" i="10"/>
  <c r="R346" i="10"/>
  <c r="R345" i="10"/>
  <c r="R344" i="10"/>
  <c r="R343" i="10"/>
  <c r="R342" i="10"/>
  <c r="R341" i="10"/>
  <c r="R340" i="10"/>
  <c r="R339" i="10"/>
  <c r="R338" i="10"/>
  <c r="R337" i="10"/>
  <c r="R336" i="10"/>
  <c r="R335" i="10"/>
  <c r="R334" i="10"/>
  <c r="R333" i="10"/>
  <c r="R332" i="10"/>
  <c r="R331" i="10"/>
  <c r="R330" i="10"/>
  <c r="R329" i="10"/>
  <c r="R328" i="10"/>
  <c r="R327" i="10"/>
  <c r="R326" i="10"/>
  <c r="R325" i="10"/>
  <c r="R324" i="10"/>
  <c r="R323" i="10"/>
  <c r="R322" i="10"/>
  <c r="R321" i="10"/>
  <c r="R320" i="10"/>
  <c r="R319" i="10"/>
  <c r="R318" i="10"/>
  <c r="R317" i="10"/>
  <c r="R316" i="10"/>
  <c r="R315" i="10"/>
  <c r="R314" i="10"/>
  <c r="R313" i="10"/>
  <c r="R312" i="10"/>
  <c r="R311" i="10"/>
  <c r="R310" i="10"/>
  <c r="R309" i="10"/>
  <c r="R308" i="10"/>
  <c r="R307" i="10"/>
  <c r="R306" i="10"/>
  <c r="R305" i="10"/>
  <c r="R304" i="10"/>
  <c r="R303" i="10"/>
  <c r="R302" i="10"/>
  <c r="R301" i="10"/>
  <c r="R300" i="10"/>
  <c r="R299" i="10"/>
  <c r="R298" i="10"/>
  <c r="R297" i="10"/>
  <c r="R296" i="10"/>
  <c r="R295" i="10"/>
  <c r="R294" i="10"/>
  <c r="R293" i="10"/>
  <c r="R292" i="10"/>
  <c r="R291" i="10"/>
  <c r="R290" i="10"/>
  <c r="R289" i="10"/>
  <c r="R288" i="10"/>
  <c r="R287" i="10"/>
  <c r="R286" i="10"/>
  <c r="R285" i="10"/>
  <c r="R284" i="10"/>
  <c r="R283" i="10"/>
  <c r="R282" i="10"/>
  <c r="R281" i="10"/>
  <c r="R280" i="10"/>
  <c r="R279" i="10"/>
  <c r="R278" i="10"/>
  <c r="R277" i="10"/>
  <c r="R276" i="10"/>
  <c r="R275" i="10"/>
  <c r="R274" i="10"/>
  <c r="R273" i="10"/>
  <c r="R272" i="10"/>
  <c r="R271" i="10"/>
  <c r="R270" i="10"/>
  <c r="R269" i="10"/>
  <c r="R268" i="10"/>
  <c r="R267" i="10"/>
  <c r="R266" i="10"/>
  <c r="R265" i="10"/>
  <c r="R264" i="10"/>
  <c r="R263" i="10"/>
  <c r="R262" i="10"/>
  <c r="R261" i="10"/>
  <c r="R260" i="10"/>
  <c r="R259" i="10"/>
  <c r="R258" i="10"/>
  <c r="R257" i="10"/>
  <c r="R256" i="10"/>
  <c r="R255" i="10"/>
  <c r="R254" i="10"/>
  <c r="R253" i="10"/>
  <c r="R252" i="10"/>
  <c r="R251" i="10"/>
  <c r="R250" i="10"/>
  <c r="R249" i="10"/>
  <c r="R248" i="10"/>
  <c r="R247" i="10"/>
  <c r="R246" i="10"/>
  <c r="R245" i="10"/>
  <c r="R244" i="10"/>
  <c r="R243" i="10"/>
  <c r="R242" i="10"/>
  <c r="R241" i="10"/>
  <c r="R240" i="10"/>
  <c r="R239" i="10"/>
  <c r="R238" i="10"/>
  <c r="R237" i="10"/>
  <c r="R236" i="10"/>
  <c r="R235" i="10"/>
  <c r="R234" i="10"/>
  <c r="R233" i="10"/>
  <c r="R232" i="10"/>
  <c r="R231" i="10"/>
  <c r="R230" i="10"/>
  <c r="R229" i="10"/>
  <c r="R228" i="10"/>
  <c r="R227" i="10"/>
  <c r="R226" i="10"/>
  <c r="R225" i="10"/>
  <c r="R224" i="10"/>
  <c r="R223" i="10"/>
  <c r="R222" i="10"/>
  <c r="R221" i="10"/>
  <c r="R220" i="10"/>
  <c r="R219" i="10"/>
  <c r="R218" i="10"/>
  <c r="R217" i="10"/>
  <c r="R216" i="10"/>
  <c r="R215" i="10"/>
  <c r="R214" i="10"/>
  <c r="R213" i="10"/>
  <c r="R212" i="10"/>
  <c r="R211" i="10"/>
  <c r="R210" i="10"/>
  <c r="R209" i="10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4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9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6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3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7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4" i="10"/>
  <c r="R123" i="10"/>
  <c r="R122" i="10"/>
  <c r="R121" i="10"/>
  <c r="R120" i="10"/>
  <c r="R119" i="10"/>
  <c r="R118" i="10"/>
  <c r="R117" i="10"/>
  <c r="R116" i="10"/>
  <c r="R115" i="10"/>
  <c r="R114" i="10"/>
  <c r="R113" i="10"/>
  <c r="R112" i="10"/>
  <c r="R111" i="10"/>
  <c r="R110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R15" i="10"/>
  <c r="R14" i="10"/>
  <c r="R13" i="10"/>
  <c r="R12" i="10"/>
  <c r="R11" i="10"/>
  <c r="R10" i="10"/>
  <c r="R9" i="10"/>
  <c r="R8" i="10"/>
  <c r="R7" i="10"/>
  <c r="R6" i="10"/>
  <c r="Q2855" i="10"/>
  <c r="Q2854" i="10"/>
  <c r="Q2853" i="10"/>
  <c r="Q2852" i="10"/>
  <c r="Q2851" i="10"/>
  <c r="Q2850" i="10"/>
  <c r="Q2849" i="10"/>
  <c r="Q2848" i="10"/>
  <c r="Q2847" i="10"/>
  <c r="Q2846" i="10"/>
  <c r="Q2845" i="10"/>
  <c r="Q2844" i="10"/>
  <c r="Q2843" i="10"/>
  <c r="Q2842" i="10"/>
  <c r="Q2841" i="10"/>
  <c r="Q2840" i="10"/>
  <c r="Q2839" i="10"/>
  <c r="Q2838" i="10"/>
  <c r="Q2837" i="10"/>
  <c r="Q2836" i="10"/>
  <c r="Q2835" i="10"/>
  <c r="Q2834" i="10"/>
  <c r="Q2833" i="10"/>
  <c r="Q2832" i="10"/>
  <c r="Q2831" i="10"/>
  <c r="Q2830" i="10"/>
  <c r="Q2829" i="10"/>
  <c r="Q2828" i="10"/>
  <c r="Q2827" i="10"/>
  <c r="Q2826" i="10"/>
  <c r="Q2825" i="10"/>
  <c r="Q2824" i="10"/>
  <c r="Q2823" i="10"/>
  <c r="Q2822" i="10"/>
  <c r="Q2821" i="10"/>
  <c r="Q2820" i="10"/>
  <c r="Q2819" i="10"/>
  <c r="Q2818" i="10"/>
  <c r="Q2817" i="10"/>
  <c r="Q2816" i="10"/>
  <c r="Q2815" i="10"/>
  <c r="Q2814" i="10"/>
  <c r="Q2813" i="10"/>
  <c r="Q2812" i="10"/>
  <c r="Q2811" i="10"/>
  <c r="Q2810" i="10"/>
  <c r="Q2809" i="10"/>
  <c r="Q2808" i="10"/>
  <c r="Q2807" i="10"/>
  <c r="Q2806" i="10"/>
  <c r="Q2805" i="10"/>
  <c r="Q2804" i="10"/>
  <c r="Q2803" i="10"/>
  <c r="Q2802" i="10"/>
  <c r="Q2801" i="10"/>
  <c r="Q2800" i="10"/>
  <c r="Q2799" i="10"/>
  <c r="Q2798" i="10"/>
  <c r="Q2797" i="10"/>
  <c r="Q2796" i="10"/>
  <c r="Q2795" i="10"/>
  <c r="Q2794" i="10"/>
  <c r="Q2793" i="10"/>
  <c r="Q2792" i="10"/>
  <c r="Q2791" i="10"/>
  <c r="Q2790" i="10"/>
  <c r="Q2789" i="10"/>
  <c r="Q2788" i="10"/>
  <c r="Q2787" i="10"/>
  <c r="Q2786" i="10"/>
  <c r="Q2785" i="10"/>
  <c r="Q2784" i="10"/>
  <c r="Q2783" i="10"/>
  <c r="Q2782" i="10"/>
  <c r="Q2781" i="10"/>
  <c r="Q2780" i="10"/>
  <c r="Q2779" i="10"/>
  <c r="Q2778" i="10"/>
  <c r="Q2777" i="10"/>
  <c r="Q2776" i="10"/>
  <c r="Q2775" i="10"/>
  <c r="Q2774" i="10"/>
  <c r="Q2773" i="10"/>
  <c r="Q2772" i="10"/>
  <c r="Q2771" i="10"/>
  <c r="Q2770" i="10"/>
  <c r="Q2769" i="10"/>
  <c r="Q2768" i="10"/>
  <c r="Q2767" i="10"/>
  <c r="Q2766" i="10"/>
  <c r="Q2765" i="10"/>
  <c r="Q2764" i="10"/>
  <c r="Q2763" i="10"/>
  <c r="Q2762" i="10"/>
  <c r="Q2761" i="10"/>
  <c r="Q2760" i="10"/>
  <c r="Q2759" i="10"/>
  <c r="Q2758" i="10"/>
  <c r="Q2757" i="10"/>
  <c r="Q2756" i="10"/>
  <c r="Q2755" i="10"/>
  <c r="Q2754" i="10"/>
  <c r="Q2753" i="10"/>
  <c r="Q2752" i="10"/>
  <c r="Q2751" i="10"/>
  <c r="Q2750" i="10"/>
  <c r="Q2749" i="10"/>
  <c r="Q2748" i="10"/>
  <c r="Q2747" i="10"/>
  <c r="Q2746" i="10"/>
  <c r="Q2745" i="10"/>
  <c r="Q2744" i="10"/>
  <c r="Q2743" i="10"/>
  <c r="Q2742" i="10"/>
  <c r="Q2741" i="10"/>
  <c r="Q2740" i="10"/>
  <c r="Q2739" i="10"/>
  <c r="Q2738" i="10"/>
  <c r="Q2737" i="10"/>
  <c r="Q2736" i="10"/>
  <c r="Q2735" i="10"/>
  <c r="Q2734" i="10"/>
  <c r="Q2733" i="10"/>
  <c r="Q2732" i="10"/>
  <c r="Q2731" i="10"/>
  <c r="Q2730" i="10"/>
  <c r="Q2729" i="10"/>
  <c r="Q2728" i="10"/>
  <c r="Q2727" i="10"/>
  <c r="Q2726" i="10"/>
  <c r="Q2725" i="10"/>
  <c r="Q2724" i="10"/>
  <c r="Q2723" i="10"/>
  <c r="Q2722" i="10"/>
  <c r="Q2721" i="10"/>
  <c r="Q2720" i="10"/>
  <c r="Q2719" i="10"/>
  <c r="Q2718" i="10"/>
  <c r="Q2717" i="10"/>
  <c r="Q2716" i="10"/>
  <c r="Q2715" i="10"/>
  <c r="Q2714" i="10"/>
  <c r="Q2713" i="10"/>
  <c r="Q2712" i="10"/>
  <c r="Q2711" i="10"/>
  <c r="Q2710" i="10"/>
  <c r="Q2709" i="10"/>
  <c r="Q2708" i="10"/>
  <c r="Q2707" i="10"/>
  <c r="Q2706" i="10"/>
  <c r="Q2705" i="10"/>
  <c r="Q2704" i="10"/>
  <c r="Q2703" i="10"/>
  <c r="Q2702" i="10"/>
  <c r="Q2701" i="10"/>
  <c r="Q2700" i="10"/>
  <c r="Q2699" i="10"/>
  <c r="Q2698" i="10"/>
  <c r="Q2697" i="10"/>
  <c r="Q2696" i="10"/>
  <c r="Q2695" i="10"/>
  <c r="Q2694" i="10"/>
  <c r="Q2693" i="10"/>
  <c r="Q2692" i="10"/>
  <c r="Q2691" i="10"/>
  <c r="Q2690" i="10"/>
  <c r="Q2689" i="10"/>
  <c r="Q2688" i="10"/>
  <c r="Q2687" i="10"/>
  <c r="Q2686" i="10"/>
  <c r="Q2685" i="10"/>
  <c r="Q2684" i="10"/>
  <c r="Q2683" i="10"/>
  <c r="Q2682" i="10"/>
  <c r="Q2681" i="10"/>
  <c r="Q2680" i="10"/>
  <c r="Q2679" i="10"/>
  <c r="Q2678" i="10"/>
  <c r="Q2677" i="10"/>
  <c r="Q2676" i="10"/>
  <c r="Q2675" i="10"/>
  <c r="Q2674" i="10"/>
  <c r="Q2673" i="10"/>
  <c r="Q2672" i="10"/>
  <c r="Q2671" i="10"/>
  <c r="Q2670" i="10"/>
  <c r="Q2669" i="10"/>
  <c r="Q2668" i="10"/>
  <c r="Q2667" i="10"/>
  <c r="Q2666" i="10"/>
  <c r="Q2665" i="10"/>
  <c r="Q2664" i="10"/>
  <c r="Q2663" i="10"/>
  <c r="Q2662" i="10"/>
  <c r="Q2661" i="10"/>
  <c r="Q2660" i="10"/>
  <c r="Q2659" i="10"/>
  <c r="Q2658" i="10"/>
  <c r="Q2657" i="10"/>
  <c r="Q2656" i="10"/>
  <c r="Q2655" i="10"/>
  <c r="Q2654" i="10"/>
  <c r="Q2653" i="10"/>
  <c r="Q2652" i="10"/>
  <c r="Q2651" i="10"/>
  <c r="Q2650" i="10"/>
  <c r="Q2649" i="10"/>
  <c r="Q2648" i="10"/>
  <c r="Q2647" i="10"/>
  <c r="Q2646" i="10"/>
  <c r="Q2645" i="10"/>
  <c r="Q2644" i="10"/>
  <c r="Q2643" i="10"/>
  <c r="Q2642" i="10"/>
  <c r="Q2641" i="10"/>
  <c r="Q2640" i="10"/>
  <c r="Q2639" i="10"/>
  <c r="Q2638" i="10"/>
  <c r="Q2637" i="10"/>
  <c r="Q2636" i="10"/>
  <c r="Q2635" i="10"/>
  <c r="Q2634" i="10"/>
  <c r="Q2633" i="10"/>
  <c r="Q2632" i="10"/>
  <c r="Q2631" i="10"/>
  <c r="Q2630" i="10"/>
  <c r="Q2629" i="10"/>
  <c r="Q2628" i="10"/>
  <c r="Q2627" i="10"/>
  <c r="Q2626" i="10"/>
  <c r="Q2625" i="10"/>
  <c r="Q2624" i="10"/>
  <c r="Q2623" i="10"/>
  <c r="Q2622" i="10"/>
  <c r="Q2621" i="10"/>
  <c r="Q2620" i="10"/>
  <c r="Q2619" i="10"/>
  <c r="Q2618" i="10"/>
  <c r="Q2617" i="10"/>
  <c r="Q2616" i="10"/>
  <c r="Q2615" i="10"/>
  <c r="Q2614" i="10"/>
  <c r="Q2613" i="10"/>
  <c r="Q2612" i="10"/>
  <c r="Q2611" i="10"/>
  <c r="Q2610" i="10"/>
  <c r="Q2609" i="10"/>
  <c r="Q2608" i="10"/>
  <c r="Q2607" i="10"/>
  <c r="Q2606" i="10"/>
  <c r="Q2605" i="10"/>
  <c r="Q2604" i="10"/>
  <c r="Q2603" i="10"/>
  <c r="Q2602" i="10"/>
  <c r="Q2601" i="10"/>
  <c r="Q2600" i="10"/>
  <c r="Q2599" i="10"/>
  <c r="Q2598" i="10"/>
  <c r="Q2597" i="10"/>
  <c r="Q2596" i="10"/>
  <c r="Q2595" i="10"/>
  <c r="Q2594" i="10"/>
  <c r="Q2593" i="10"/>
  <c r="Q2592" i="10"/>
  <c r="Q2591" i="10"/>
  <c r="Q2590" i="10"/>
  <c r="Q2589" i="10"/>
  <c r="Q2588" i="10"/>
  <c r="Q2587" i="10"/>
  <c r="Q2586" i="10"/>
  <c r="Q2585" i="10"/>
  <c r="Q2584" i="10"/>
  <c r="Q2583" i="10"/>
  <c r="Q2582" i="10"/>
  <c r="Q2581" i="10"/>
  <c r="Q2580" i="10"/>
  <c r="Q2579" i="10"/>
  <c r="Q2578" i="10"/>
  <c r="Q2577" i="10"/>
  <c r="Q2576" i="10"/>
  <c r="Q2575" i="10"/>
  <c r="Q2574" i="10"/>
  <c r="Q2573" i="10"/>
  <c r="Q2572" i="10"/>
  <c r="Q2571" i="10"/>
  <c r="Q2570" i="10"/>
  <c r="Q2569" i="10"/>
  <c r="Q2568" i="10"/>
  <c r="Q2567" i="10"/>
  <c r="Q2566" i="10"/>
  <c r="Q2565" i="10"/>
  <c r="Q2564" i="10"/>
  <c r="Q2563" i="10"/>
  <c r="Q2562" i="10"/>
  <c r="Q2561" i="10"/>
  <c r="Q2560" i="10"/>
  <c r="Q2559" i="10"/>
  <c r="Q2558" i="10"/>
  <c r="Q2557" i="10"/>
  <c r="Q2556" i="10"/>
  <c r="Q2555" i="10"/>
  <c r="Q2554" i="10"/>
  <c r="Q2553" i="10"/>
  <c r="Q2552" i="10"/>
  <c r="Q2551" i="10"/>
  <c r="Q2550" i="10"/>
  <c r="Q2549" i="10"/>
  <c r="Q2548" i="10"/>
  <c r="Q2547" i="10"/>
  <c r="Q2546" i="10"/>
  <c r="Q2545" i="10"/>
  <c r="Q2544" i="10"/>
  <c r="Q2543" i="10"/>
  <c r="Q2542" i="10"/>
  <c r="Q2541" i="10"/>
  <c r="Q2540" i="10"/>
  <c r="Q2539" i="10"/>
  <c r="Q2538" i="10"/>
  <c r="Q2537" i="10"/>
  <c r="Q2536" i="10"/>
  <c r="Q2535" i="10"/>
  <c r="Q2534" i="10"/>
  <c r="Q2533" i="10"/>
  <c r="Q2532" i="10"/>
  <c r="Q2531" i="10"/>
  <c r="Q2530" i="10"/>
  <c r="Q2529" i="10"/>
  <c r="Q2528" i="10"/>
  <c r="Q2527" i="10"/>
  <c r="Q2526" i="10"/>
  <c r="Q2525" i="10"/>
  <c r="Q2524" i="10"/>
  <c r="Q2523" i="10"/>
  <c r="Q2522" i="10"/>
  <c r="Q2521" i="10"/>
  <c r="Q2520" i="10"/>
  <c r="Q2519" i="10"/>
  <c r="Q2518" i="10"/>
  <c r="Q2517" i="10"/>
  <c r="Q2516" i="10"/>
  <c r="Q2515" i="10"/>
  <c r="Q2514" i="10"/>
  <c r="Q2513" i="10"/>
  <c r="Q2512" i="10"/>
  <c r="Q2511" i="10"/>
  <c r="Q2510" i="10"/>
  <c r="Q2509" i="10"/>
  <c r="Q2508" i="10"/>
  <c r="Q2507" i="10"/>
  <c r="Q2506" i="10"/>
  <c r="Q2505" i="10"/>
  <c r="Q2504" i="10"/>
  <c r="Q2503" i="10"/>
  <c r="Q2502" i="10"/>
  <c r="Q2501" i="10"/>
  <c r="Q2500" i="10"/>
  <c r="Q2499" i="10"/>
  <c r="Q2498" i="10"/>
  <c r="Q2497" i="10"/>
  <c r="Q2496" i="10"/>
  <c r="Q2495" i="10"/>
  <c r="Q2494" i="10"/>
  <c r="Q2493" i="10"/>
  <c r="Q2492" i="10"/>
  <c r="Q2491" i="10"/>
  <c r="Q2490" i="10"/>
  <c r="Q2489" i="10"/>
  <c r="Q2488" i="10"/>
  <c r="Q2487" i="10"/>
  <c r="Q2486" i="10"/>
  <c r="Q2485" i="10"/>
  <c r="Q2484" i="10"/>
  <c r="Q2483" i="10"/>
  <c r="Q2482" i="10"/>
  <c r="Q2481" i="10"/>
  <c r="Q2480" i="10"/>
  <c r="Q2479" i="10"/>
  <c r="Q2478" i="10"/>
  <c r="Q2477" i="10"/>
  <c r="Q2476" i="10"/>
  <c r="Q2475" i="10"/>
  <c r="Q2474" i="10"/>
  <c r="Q2473" i="10"/>
  <c r="Q2472" i="10"/>
  <c r="Q2471" i="10"/>
  <c r="Q2470" i="10"/>
  <c r="Q2469" i="10"/>
  <c r="Q2468" i="10"/>
  <c r="Q2467" i="10"/>
  <c r="Q2466" i="10"/>
  <c r="Q2465" i="10"/>
  <c r="Q2464" i="10"/>
  <c r="Q2463" i="10"/>
  <c r="Q2462" i="10"/>
  <c r="Q2461" i="10"/>
  <c r="Q2460" i="10"/>
  <c r="Q2459" i="10"/>
  <c r="Q2458" i="10"/>
  <c r="Q2457" i="10"/>
  <c r="Q2456" i="10"/>
  <c r="Q2455" i="10"/>
  <c r="Q2454" i="10"/>
  <c r="Q2453" i="10"/>
  <c r="Q2452" i="10"/>
  <c r="Q2451" i="10"/>
  <c r="Q2450" i="10"/>
  <c r="Q2449" i="10"/>
  <c r="Q2448" i="10"/>
  <c r="Q2447" i="10"/>
  <c r="Q2446" i="10"/>
  <c r="Q2445" i="10"/>
  <c r="Q2444" i="10"/>
  <c r="Q2443" i="10"/>
  <c r="Q2442" i="10"/>
  <c r="Q2441" i="10"/>
  <c r="Q2440" i="10"/>
  <c r="Q2439" i="10"/>
  <c r="Q2438" i="10"/>
  <c r="Q2437" i="10"/>
  <c r="Q2436" i="10"/>
  <c r="Q2435" i="10"/>
  <c r="Q2434" i="10"/>
  <c r="Q2433" i="10"/>
  <c r="Q2432" i="10"/>
  <c r="Q2431" i="10"/>
  <c r="Q2430" i="10"/>
  <c r="Q2429" i="10"/>
  <c r="Q2428" i="10"/>
  <c r="Q2427" i="10"/>
  <c r="Q2426" i="10"/>
  <c r="Q2425" i="10"/>
  <c r="Q2424" i="10"/>
  <c r="Q2423" i="10"/>
  <c r="Q2422" i="10"/>
  <c r="Q2421" i="10"/>
  <c r="Q2420" i="10"/>
  <c r="Q2419" i="10"/>
  <c r="Q2418" i="10"/>
  <c r="Q2417" i="10"/>
  <c r="Q2416" i="10"/>
  <c r="Q2415" i="10"/>
  <c r="Q2414" i="10"/>
  <c r="Q2413" i="10"/>
  <c r="Q2412" i="10"/>
  <c r="Q2411" i="10"/>
  <c r="Q2410" i="10"/>
  <c r="Q2409" i="10"/>
  <c r="Q2408" i="10"/>
  <c r="Q2407" i="10"/>
  <c r="Q2406" i="10"/>
  <c r="Q2405" i="10"/>
  <c r="Q2404" i="10"/>
  <c r="Q2403" i="10"/>
  <c r="Q2402" i="10"/>
  <c r="Q2401" i="10"/>
  <c r="Q2400" i="10"/>
  <c r="Q2399" i="10"/>
  <c r="Q2398" i="10"/>
  <c r="Q2397" i="10"/>
  <c r="Q2396" i="10"/>
  <c r="Q2395" i="10"/>
  <c r="Q2394" i="10"/>
  <c r="Q2393" i="10"/>
  <c r="Q2392" i="10"/>
  <c r="Q2391" i="10"/>
  <c r="Q2390" i="10"/>
  <c r="Q2389" i="10"/>
  <c r="Q2388" i="10"/>
  <c r="Q2387" i="10"/>
  <c r="Q2386" i="10"/>
  <c r="Q2385" i="10"/>
  <c r="Q2384" i="10"/>
  <c r="Q2383" i="10"/>
  <c r="Q2382" i="10"/>
  <c r="Q2381" i="10"/>
  <c r="Q2380" i="10"/>
  <c r="Q2379" i="10"/>
  <c r="Q2378" i="10"/>
  <c r="Q2377" i="10"/>
  <c r="Q2376" i="10"/>
  <c r="Q2375" i="10"/>
  <c r="Q2374" i="10"/>
  <c r="Q2373" i="10"/>
  <c r="Q2372" i="10"/>
  <c r="Q2371" i="10"/>
  <c r="Q2370" i="10"/>
  <c r="Q2369" i="10"/>
  <c r="Q2368" i="10"/>
  <c r="Q2367" i="10"/>
  <c r="Q2366" i="10"/>
  <c r="Q2365" i="10"/>
  <c r="Q2364" i="10"/>
  <c r="Q2363" i="10"/>
  <c r="Q2362" i="10"/>
  <c r="Q2361" i="10"/>
  <c r="Q2360" i="10"/>
  <c r="Q2359" i="10"/>
  <c r="Q2358" i="10"/>
  <c r="Q2357" i="10"/>
  <c r="Q2356" i="10"/>
  <c r="Q2355" i="10"/>
  <c r="Q2354" i="10"/>
  <c r="Q2353" i="10"/>
  <c r="Q2352" i="10"/>
  <c r="Q2351" i="10"/>
  <c r="Q2350" i="10"/>
  <c r="Q2349" i="10"/>
  <c r="Q2348" i="10"/>
  <c r="Q2347" i="10"/>
  <c r="Q2346" i="10"/>
  <c r="Q2345" i="10"/>
  <c r="Q2344" i="10"/>
  <c r="Q2343" i="10"/>
  <c r="Q2342" i="10"/>
  <c r="Q2341" i="10"/>
  <c r="Q2340" i="10"/>
  <c r="Q2339" i="10"/>
  <c r="Q2338" i="10"/>
  <c r="Q2337" i="10"/>
  <c r="Q2336" i="10"/>
  <c r="Q2335" i="10"/>
  <c r="Q2334" i="10"/>
  <c r="Q2333" i="10"/>
  <c r="Q2332" i="10"/>
  <c r="Q2331" i="10"/>
  <c r="Q2330" i="10"/>
  <c r="Q2329" i="10"/>
  <c r="Q2328" i="10"/>
  <c r="Q2327" i="10"/>
  <c r="Q2326" i="10"/>
  <c r="Q2325" i="10"/>
  <c r="Q2324" i="10"/>
  <c r="Q2323" i="10"/>
  <c r="Q2322" i="10"/>
  <c r="Q2321" i="10"/>
  <c r="Q2320" i="10"/>
  <c r="Q2319" i="10"/>
  <c r="Q2318" i="10"/>
  <c r="Q2317" i="10"/>
  <c r="Q2316" i="10"/>
  <c r="Q2315" i="10"/>
  <c r="Q2314" i="10"/>
  <c r="Q2313" i="10"/>
  <c r="Q2312" i="10"/>
  <c r="Q2311" i="10"/>
  <c r="Q2310" i="10"/>
  <c r="Q2309" i="10"/>
  <c r="Q2308" i="10"/>
  <c r="Q2307" i="10"/>
  <c r="Q2306" i="10"/>
  <c r="Q2305" i="10"/>
  <c r="Q2304" i="10"/>
  <c r="Q2303" i="10"/>
  <c r="Q2302" i="10"/>
  <c r="Q2301" i="10"/>
  <c r="Q2300" i="10"/>
  <c r="Q2299" i="10"/>
  <c r="Q2298" i="10"/>
  <c r="Q2297" i="10"/>
  <c r="Q2296" i="10"/>
  <c r="Q2295" i="10"/>
  <c r="Q2294" i="10"/>
  <c r="Q2293" i="10"/>
  <c r="Q2292" i="10"/>
  <c r="Q2291" i="10"/>
  <c r="Q2290" i="10"/>
  <c r="Q2289" i="10"/>
  <c r="Q2288" i="10"/>
  <c r="Q2287" i="10"/>
  <c r="Q2286" i="10"/>
  <c r="Q2285" i="10"/>
  <c r="Q2284" i="10"/>
  <c r="Q2283" i="10"/>
  <c r="Q2282" i="10"/>
  <c r="Q2281" i="10"/>
  <c r="Q2280" i="10"/>
  <c r="Q2279" i="10"/>
  <c r="Q2278" i="10"/>
  <c r="Q2277" i="10"/>
  <c r="Q2276" i="10"/>
  <c r="Q2275" i="10"/>
  <c r="Q2274" i="10"/>
  <c r="Q2273" i="10"/>
  <c r="Q2272" i="10"/>
  <c r="Q2271" i="10"/>
  <c r="Q2270" i="10"/>
  <c r="Q2269" i="10"/>
  <c r="Q2268" i="10"/>
  <c r="Q2267" i="10"/>
  <c r="Q2266" i="10"/>
  <c r="Q2265" i="10"/>
  <c r="Q2264" i="10"/>
  <c r="Q2263" i="10"/>
  <c r="Q2262" i="10"/>
  <c r="Q2261" i="10"/>
  <c r="Q2260" i="10"/>
  <c r="Q2259" i="10"/>
  <c r="Q2258" i="10"/>
  <c r="Q2257" i="10"/>
  <c r="Q2256" i="10"/>
  <c r="Q2255" i="10"/>
  <c r="Q2254" i="10"/>
  <c r="Q2253" i="10"/>
  <c r="Q2252" i="10"/>
  <c r="Q2251" i="10"/>
  <c r="Q2250" i="10"/>
  <c r="Q2249" i="10"/>
  <c r="Q2248" i="10"/>
  <c r="Q2247" i="10"/>
  <c r="Q2246" i="10"/>
  <c r="Q2245" i="10"/>
  <c r="Q2244" i="10"/>
  <c r="Q2243" i="10"/>
  <c r="Q2242" i="10"/>
  <c r="Q2241" i="10"/>
  <c r="Q2240" i="10"/>
  <c r="Q2239" i="10"/>
  <c r="Q2238" i="10"/>
  <c r="Q2237" i="10"/>
  <c r="Q2236" i="10"/>
  <c r="Q2235" i="10"/>
  <c r="Q2234" i="10"/>
  <c r="Q2233" i="10"/>
  <c r="Q2232" i="10"/>
  <c r="Q2231" i="10"/>
  <c r="Q2230" i="10"/>
  <c r="Q2229" i="10"/>
  <c r="Q2228" i="10"/>
  <c r="Q2227" i="10"/>
  <c r="Q2226" i="10"/>
  <c r="Q2225" i="10"/>
  <c r="Q2224" i="10"/>
  <c r="Q2223" i="10"/>
  <c r="Q2222" i="10"/>
  <c r="Q2221" i="10"/>
  <c r="Q2220" i="10"/>
  <c r="Q2219" i="10"/>
  <c r="Q2218" i="10"/>
  <c r="Q2217" i="10"/>
  <c r="Q2216" i="10"/>
  <c r="Q2215" i="10"/>
  <c r="Q2214" i="10"/>
  <c r="Q2213" i="10"/>
  <c r="Q2212" i="10"/>
  <c r="Q2211" i="10"/>
  <c r="Q2210" i="10"/>
  <c r="Q2209" i="10"/>
  <c r="Q2208" i="10"/>
  <c r="Q2207" i="10"/>
  <c r="Q2206" i="10"/>
  <c r="Q2205" i="10"/>
  <c r="Q2204" i="10"/>
  <c r="Q2203" i="10"/>
  <c r="Q2202" i="10"/>
  <c r="Q2201" i="10"/>
  <c r="Q2200" i="10"/>
  <c r="Q2199" i="10"/>
  <c r="Q2198" i="10"/>
  <c r="Q2197" i="10"/>
  <c r="Q2196" i="10"/>
  <c r="Q2195" i="10"/>
  <c r="Q2194" i="10"/>
  <c r="Q2193" i="10"/>
  <c r="Q2192" i="10"/>
  <c r="Q2191" i="10"/>
  <c r="Q2190" i="10"/>
  <c r="Q2189" i="10"/>
  <c r="Q2188" i="10"/>
  <c r="Q2187" i="10"/>
  <c r="Q2186" i="10"/>
  <c r="Q2185" i="10"/>
  <c r="Q2184" i="10"/>
  <c r="Q2183" i="10"/>
  <c r="Q2182" i="10"/>
  <c r="Q2181" i="10"/>
  <c r="Q2180" i="10"/>
  <c r="Q2179" i="10"/>
  <c r="Q2178" i="10"/>
  <c r="Q2177" i="10"/>
  <c r="Q2176" i="10"/>
  <c r="Q2175" i="10"/>
  <c r="Q2174" i="10"/>
  <c r="Q2173" i="10"/>
  <c r="Q2172" i="10"/>
  <c r="Q2171" i="10"/>
  <c r="Q2170" i="10"/>
  <c r="Q2169" i="10"/>
  <c r="Q2168" i="10"/>
  <c r="Q2167" i="10"/>
  <c r="Q2166" i="10"/>
  <c r="Q2165" i="10"/>
  <c r="Q2164" i="10"/>
  <c r="Q2163" i="10"/>
  <c r="Q2162" i="10"/>
  <c r="Q2161" i="10"/>
  <c r="Q2160" i="10"/>
  <c r="Q2159" i="10"/>
  <c r="Q2158" i="10"/>
  <c r="Q2157" i="10"/>
  <c r="Q2156" i="10"/>
  <c r="Q2155" i="10"/>
  <c r="Q2154" i="10"/>
  <c r="Q2153" i="10"/>
  <c r="Q2152" i="10"/>
  <c r="Q2151" i="10"/>
  <c r="Q2150" i="10"/>
  <c r="Q2149" i="10"/>
  <c r="Q2148" i="10"/>
  <c r="Q2147" i="10"/>
  <c r="Q2146" i="10"/>
  <c r="Q2145" i="10"/>
  <c r="Q2144" i="10"/>
  <c r="Q2143" i="10"/>
  <c r="Q2142" i="10"/>
  <c r="Q2141" i="10"/>
  <c r="Q2140" i="10"/>
  <c r="Q2139" i="10"/>
  <c r="Q2138" i="10"/>
  <c r="Q2137" i="10"/>
  <c r="Q2136" i="10"/>
  <c r="Q2135" i="10"/>
  <c r="Q2134" i="10"/>
  <c r="Q2133" i="10"/>
  <c r="Q2132" i="10"/>
  <c r="Q2131" i="10"/>
  <c r="Q2130" i="10"/>
  <c r="Q2129" i="10"/>
  <c r="Q2128" i="10"/>
  <c r="Q2127" i="10"/>
  <c r="Q2126" i="10"/>
  <c r="Q2125" i="10"/>
  <c r="Q2124" i="10"/>
  <c r="Q2123" i="10"/>
  <c r="Q2122" i="10"/>
  <c r="Q2121" i="10"/>
  <c r="Q2120" i="10"/>
  <c r="Q2119" i="10"/>
  <c r="Q2118" i="10"/>
  <c r="Q2117" i="10"/>
  <c r="Q2116" i="10"/>
  <c r="Q2115" i="10"/>
  <c r="Q2114" i="10"/>
  <c r="Q2113" i="10"/>
  <c r="Q2112" i="10"/>
  <c r="Q2111" i="10"/>
  <c r="Q2110" i="10"/>
  <c r="Q2109" i="10"/>
  <c r="Q2108" i="10"/>
  <c r="Q2107" i="10"/>
  <c r="Q2106" i="10"/>
  <c r="Q2105" i="10"/>
  <c r="Q2104" i="10"/>
  <c r="Q2103" i="10"/>
  <c r="Q2102" i="10"/>
  <c r="Q2101" i="10"/>
  <c r="Q2100" i="10"/>
  <c r="Q2099" i="10"/>
  <c r="Q2098" i="10"/>
  <c r="Q2097" i="10"/>
  <c r="Q2096" i="10"/>
  <c r="Q2095" i="10"/>
  <c r="Q2094" i="10"/>
  <c r="Q2093" i="10"/>
  <c r="Q2092" i="10"/>
  <c r="Q2091" i="10"/>
  <c r="Q2090" i="10"/>
  <c r="Q2089" i="10"/>
  <c r="Q2088" i="10"/>
  <c r="Q2087" i="10"/>
  <c r="Q2086" i="10"/>
  <c r="Q2085" i="10"/>
  <c r="Q2084" i="10"/>
  <c r="Q2083" i="10"/>
  <c r="Q2082" i="10"/>
  <c r="Q2081" i="10"/>
  <c r="Q2080" i="10"/>
  <c r="Q2079" i="10"/>
  <c r="Q2078" i="10"/>
  <c r="Q2077" i="10"/>
  <c r="Q2076" i="10"/>
  <c r="Q2075" i="10"/>
  <c r="Q2074" i="10"/>
  <c r="Q2073" i="10"/>
  <c r="Q2072" i="10"/>
  <c r="Q2071" i="10"/>
  <c r="Q2070" i="10"/>
  <c r="Q2069" i="10"/>
  <c r="Q2068" i="10"/>
  <c r="Q2067" i="10"/>
  <c r="Q2066" i="10"/>
  <c r="Q2065" i="10"/>
  <c r="Q2064" i="10"/>
  <c r="Q2063" i="10"/>
  <c r="Q2062" i="10"/>
  <c r="Q2061" i="10"/>
  <c r="Q2060" i="10"/>
  <c r="Q2059" i="10"/>
  <c r="Q2058" i="10"/>
  <c r="Q2057" i="10"/>
  <c r="Q2056" i="10"/>
  <c r="Q2055" i="10"/>
  <c r="Q2054" i="10"/>
  <c r="Q2053" i="10"/>
  <c r="Q2052" i="10"/>
  <c r="Q2051" i="10"/>
  <c r="Q2050" i="10"/>
  <c r="Q2049" i="10"/>
  <c r="Q2048" i="10"/>
  <c r="Q2047" i="10"/>
  <c r="Q2046" i="10"/>
  <c r="Q2045" i="10"/>
  <c r="Q2044" i="10"/>
  <c r="Q2043" i="10"/>
  <c r="Q2042" i="10"/>
  <c r="Q2041" i="10"/>
  <c r="Q2040" i="10"/>
  <c r="Q2039" i="10"/>
  <c r="Q2038" i="10"/>
  <c r="Q2037" i="10"/>
  <c r="Q2036" i="10"/>
  <c r="Q2035" i="10"/>
  <c r="Q2034" i="10"/>
  <c r="Q2033" i="10"/>
  <c r="Q2032" i="10"/>
  <c r="Q2031" i="10"/>
  <c r="Q2030" i="10"/>
  <c r="Q2029" i="10"/>
  <c r="Q2028" i="10"/>
  <c r="Q2027" i="10"/>
  <c r="Q2026" i="10"/>
  <c r="Q2025" i="10"/>
  <c r="Q2024" i="10"/>
  <c r="Q2023" i="10"/>
  <c r="Q2022" i="10"/>
  <c r="Q2021" i="10"/>
  <c r="Q2020" i="10"/>
  <c r="Q2019" i="10"/>
  <c r="Q2018" i="10"/>
  <c r="Q2017" i="10"/>
  <c r="Q2016" i="10"/>
  <c r="Q2015" i="10"/>
  <c r="Q2014" i="10"/>
  <c r="Q2013" i="10"/>
  <c r="Q2012" i="10"/>
  <c r="Q2011" i="10"/>
  <c r="Q2010" i="10"/>
  <c r="Q2009" i="10"/>
  <c r="Q2008" i="10"/>
  <c r="Q2007" i="10"/>
  <c r="Q2006" i="10"/>
  <c r="Q2005" i="10"/>
  <c r="Q2004" i="10"/>
  <c r="Q2003" i="10"/>
  <c r="Q2002" i="10"/>
  <c r="Q2001" i="10"/>
  <c r="Q2000" i="10"/>
  <c r="Q1999" i="10"/>
  <c r="Q1998" i="10"/>
  <c r="Q1997" i="10"/>
  <c r="Q1996" i="10"/>
  <c r="Q1995" i="10"/>
  <c r="Q1994" i="10"/>
  <c r="Q1993" i="10"/>
  <c r="Q1992" i="10"/>
  <c r="Q1991" i="10"/>
  <c r="Q1990" i="10"/>
  <c r="Q1989" i="10"/>
  <c r="Q1988" i="10"/>
  <c r="Q1987" i="10"/>
  <c r="Q1986" i="10"/>
  <c r="Q1985" i="10"/>
  <c r="Q1984" i="10"/>
  <c r="Q1983" i="10"/>
  <c r="Q1982" i="10"/>
  <c r="Q1981" i="10"/>
  <c r="Q1980" i="10"/>
  <c r="Q1979" i="10"/>
  <c r="Q1978" i="10"/>
  <c r="Q1977" i="10"/>
  <c r="Q1976" i="10"/>
  <c r="Q1975" i="10"/>
  <c r="Q1974" i="10"/>
  <c r="Q1973" i="10"/>
  <c r="Q1972" i="10"/>
  <c r="Q1971" i="10"/>
  <c r="Q1970" i="10"/>
  <c r="Q1969" i="10"/>
  <c r="Q1968" i="10"/>
  <c r="Q1967" i="10"/>
  <c r="Q1966" i="10"/>
  <c r="Q1965" i="10"/>
  <c r="Q1964" i="10"/>
  <c r="Q1963" i="10"/>
  <c r="Q1962" i="10"/>
  <c r="Q1961" i="10"/>
  <c r="Q1960" i="10"/>
  <c r="Q1959" i="10"/>
  <c r="Q1958" i="10"/>
  <c r="Q1957" i="10"/>
  <c r="Q1956" i="10"/>
  <c r="Q1955" i="10"/>
  <c r="Q1954" i="10"/>
  <c r="Q1953" i="10"/>
  <c r="Q1952" i="10"/>
  <c r="Q1951" i="10"/>
  <c r="Q1950" i="10"/>
  <c r="Q1949" i="10"/>
  <c r="Q1948" i="10"/>
  <c r="Q1947" i="10"/>
  <c r="Q1946" i="10"/>
  <c r="Q1945" i="10"/>
  <c r="Q1944" i="10"/>
  <c r="Q1943" i="10"/>
  <c r="Q1942" i="10"/>
  <c r="Q1941" i="10"/>
  <c r="Q1940" i="10"/>
  <c r="Q1939" i="10"/>
  <c r="Q1938" i="10"/>
  <c r="Q1937" i="10"/>
  <c r="Q1936" i="10"/>
  <c r="Q1935" i="10"/>
  <c r="Q1934" i="10"/>
  <c r="Q1933" i="10"/>
  <c r="Q1932" i="10"/>
  <c r="Q1931" i="10"/>
  <c r="Q1930" i="10"/>
  <c r="Q1929" i="10"/>
  <c r="Q1928" i="10"/>
  <c r="Q1927" i="10"/>
  <c r="Q1926" i="10"/>
  <c r="Q1925" i="10"/>
  <c r="Q1924" i="10"/>
  <c r="Q1923" i="10"/>
  <c r="Q1922" i="10"/>
  <c r="Q1921" i="10"/>
  <c r="Q1920" i="10"/>
  <c r="Q1919" i="10"/>
  <c r="Q1918" i="10"/>
  <c r="Q1917" i="10"/>
  <c r="Q1916" i="10"/>
  <c r="Q1915" i="10"/>
  <c r="Q1914" i="10"/>
  <c r="Q1913" i="10"/>
  <c r="Q1912" i="10"/>
  <c r="Q1911" i="10"/>
  <c r="Q1910" i="10"/>
  <c r="Q1909" i="10"/>
  <c r="Q1908" i="10"/>
  <c r="Q1907" i="10"/>
  <c r="Q1906" i="10"/>
  <c r="Q1905" i="10"/>
  <c r="Q1904" i="10"/>
  <c r="Q1903" i="10"/>
  <c r="Q1902" i="10"/>
  <c r="Q1901" i="10"/>
  <c r="Q1900" i="10"/>
  <c r="Q1899" i="10"/>
  <c r="Q1898" i="10"/>
  <c r="Q1897" i="10"/>
  <c r="Q1896" i="10"/>
  <c r="Q1895" i="10"/>
  <c r="Q1894" i="10"/>
  <c r="Q1893" i="10"/>
  <c r="Q1892" i="10"/>
  <c r="Q1891" i="10"/>
  <c r="Q1890" i="10"/>
  <c r="Q1889" i="10"/>
  <c r="Q1888" i="10"/>
  <c r="Q1887" i="10"/>
  <c r="Q1886" i="10"/>
  <c r="Q1885" i="10"/>
  <c r="Q1884" i="10"/>
  <c r="Q1883" i="10"/>
  <c r="Q1882" i="10"/>
  <c r="Q1881" i="10"/>
  <c r="Q1880" i="10"/>
  <c r="Q1879" i="10"/>
  <c r="Q1878" i="10"/>
  <c r="Q1877" i="10"/>
  <c r="Q1876" i="10"/>
  <c r="Q1875" i="10"/>
  <c r="Q1874" i="10"/>
  <c r="Q1873" i="10"/>
  <c r="Q1872" i="10"/>
  <c r="Q1871" i="10"/>
  <c r="Q1870" i="10"/>
  <c r="Q1869" i="10"/>
  <c r="Q1868" i="10"/>
  <c r="Q1867" i="10"/>
  <c r="Q1866" i="10"/>
  <c r="Q1865" i="10"/>
  <c r="Q1864" i="10"/>
  <c r="Q1863" i="10"/>
  <c r="Q1862" i="10"/>
  <c r="Q1861" i="10"/>
  <c r="Q1860" i="10"/>
  <c r="Q1859" i="10"/>
  <c r="Q1858" i="10"/>
  <c r="Q1857" i="10"/>
  <c r="Q1856" i="10"/>
  <c r="Q1855" i="10"/>
  <c r="Q1854" i="10"/>
  <c r="Q1853" i="10"/>
  <c r="Q1852" i="10"/>
  <c r="Q1851" i="10"/>
  <c r="Q1850" i="10"/>
  <c r="Q1849" i="10"/>
  <c r="Q1848" i="10"/>
  <c r="Q1847" i="10"/>
  <c r="Q1846" i="10"/>
  <c r="Q1845" i="10"/>
  <c r="Q1844" i="10"/>
  <c r="Q1843" i="10"/>
  <c r="Q1842" i="10"/>
  <c r="Q1841" i="10"/>
  <c r="Q1840" i="10"/>
  <c r="Q1839" i="10"/>
  <c r="Q1838" i="10"/>
  <c r="Q1837" i="10"/>
  <c r="Q1836" i="10"/>
  <c r="Q1835" i="10"/>
  <c r="Q1834" i="10"/>
  <c r="Q1833" i="10"/>
  <c r="Q1832" i="10"/>
  <c r="Q1831" i="10"/>
  <c r="Q1830" i="10"/>
  <c r="Q1829" i="10"/>
  <c r="Q1828" i="10"/>
  <c r="Q1827" i="10"/>
  <c r="Q1826" i="10"/>
  <c r="Q1825" i="10"/>
  <c r="Q1824" i="10"/>
  <c r="Q1823" i="10"/>
  <c r="Q1822" i="10"/>
  <c r="Q1821" i="10"/>
  <c r="Q1820" i="10"/>
  <c r="Q1819" i="10"/>
  <c r="Q1818" i="10"/>
  <c r="Q1817" i="10"/>
  <c r="Q1816" i="10"/>
  <c r="Q1815" i="10"/>
  <c r="Q1814" i="10"/>
  <c r="Q1813" i="10"/>
  <c r="Q1812" i="10"/>
  <c r="Q1811" i="10"/>
  <c r="Q1810" i="10"/>
  <c r="Q1809" i="10"/>
  <c r="Q1808" i="10"/>
  <c r="Q1807" i="10"/>
  <c r="Q1806" i="10"/>
  <c r="Q1805" i="10"/>
  <c r="Q1804" i="10"/>
  <c r="Q1803" i="10"/>
  <c r="Q1802" i="10"/>
  <c r="Q1801" i="10"/>
  <c r="Q1800" i="10"/>
  <c r="Q1799" i="10"/>
  <c r="Q1798" i="10"/>
  <c r="Q1797" i="10"/>
  <c r="Q1796" i="10"/>
  <c r="Q1795" i="10"/>
  <c r="Q1794" i="10"/>
  <c r="Q1793" i="10"/>
  <c r="Q1792" i="10"/>
  <c r="Q1791" i="10"/>
  <c r="Q1790" i="10"/>
  <c r="Q1789" i="10"/>
  <c r="Q1788" i="10"/>
  <c r="Q1787" i="10"/>
  <c r="Q1786" i="10"/>
  <c r="Q1785" i="10"/>
  <c r="Q1784" i="10"/>
  <c r="Q1783" i="10"/>
  <c r="Q1782" i="10"/>
  <c r="Q1781" i="10"/>
  <c r="Q1780" i="10"/>
  <c r="Q1779" i="10"/>
  <c r="Q1778" i="10"/>
  <c r="Q1777" i="10"/>
  <c r="Q1776" i="10"/>
  <c r="Q1775" i="10"/>
  <c r="Q1774" i="10"/>
  <c r="Q1773" i="10"/>
  <c r="Q1772" i="10"/>
  <c r="Q1771" i="10"/>
  <c r="Q1770" i="10"/>
  <c r="Q1769" i="10"/>
  <c r="Q1768" i="10"/>
  <c r="Q1767" i="10"/>
  <c r="Q1766" i="10"/>
  <c r="Q1765" i="10"/>
  <c r="Q1764" i="10"/>
  <c r="Q1763" i="10"/>
  <c r="Q1762" i="10"/>
  <c r="Q1761" i="10"/>
  <c r="Q1760" i="10"/>
  <c r="Q1759" i="10"/>
  <c r="Q1758" i="10"/>
  <c r="Q1757" i="10"/>
  <c r="Q1756" i="10"/>
  <c r="Q1755" i="10"/>
  <c r="Q1754" i="10"/>
  <c r="Q1753" i="10"/>
  <c r="Q1752" i="10"/>
  <c r="Q1751" i="10"/>
  <c r="Q1750" i="10"/>
  <c r="Q1749" i="10"/>
  <c r="Q1748" i="10"/>
  <c r="Q1747" i="10"/>
  <c r="Q1746" i="10"/>
  <c r="Q1745" i="10"/>
  <c r="Q1744" i="10"/>
  <c r="Q1743" i="10"/>
  <c r="Q1742" i="10"/>
  <c r="Q1741" i="10"/>
  <c r="Q1740" i="10"/>
  <c r="Q1739" i="10"/>
  <c r="Q1738" i="10"/>
  <c r="Q1737" i="10"/>
  <c r="Q1736" i="10"/>
  <c r="Q1735" i="10"/>
  <c r="Q1734" i="10"/>
  <c r="Q1733" i="10"/>
  <c r="Q1732" i="10"/>
  <c r="Q1731" i="10"/>
  <c r="Q1730" i="10"/>
  <c r="Q1729" i="10"/>
  <c r="Q1728" i="10"/>
  <c r="Q1727" i="10"/>
  <c r="Q1726" i="10"/>
  <c r="Q1725" i="10"/>
  <c r="Q1724" i="10"/>
  <c r="Q1723" i="10"/>
  <c r="Q1722" i="10"/>
  <c r="Q1721" i="10"/>
  <c r="Q1720" i="10"/>
  <c r="Q1719" i="10"/>
  <c r="Q1718" i="10"/>
  <c r="Q1717" i="10"/>
  <c r="Q1716" i="10"/>
  <c r="Q1715" i="10"/>
  <c r="Q1714" i="10"/>
  <c r="Q1713" i="10"/>
  <c r="Q1712" i="10"/>
  <c r="Q1711" i="10"/>
  <c r="Q1710" i="10"/>
  <c r="Q1709" i="10"/>
  <c r="Q1708" i="10"/>
  <c r="Q1707" i="10"/>
  <c r="Q1706" i="10"/>
  <c r="Q1705" i="10"/>
  <c r="Q1704" i="10"/>
  <c r="Q1703" i="10"/>
  <c r="Q1702" i="10"/>
  <c r="Q1701" i="10"/>
  <c r="Q1700" i="10"/>
  <c r="Q1699" i="10"/>
  <c r="Q1698" i="10"/>
  <c r="Q1697" i="10"/>
  <c r="Q1696" i="10"/>
  <c r="Q1695" i="10"/>
  <c r="Q1694" i="10"/>
  <c r="Q1693" i="10"/>
  <c r="Q1692" i="10"/>
  <c r="Q1691" i="10"/>
  <c r="Q1690" i="10"/>
  <c r="Q1689" i="10"/>
  <c r="Q1688" i="10"/>
  <c r="Q1687" i="10"/>
  <c r="Q1686" i="10"/>
  <c r="Q1685" i="10"/>
  <c r="Q1684" i="10"/>
  <c r="Q1683" i="10"/>
  <c r="Q1682" i="10"/>
  <c r="Q1681" i="10"/>
  <c r="Q1680" i="10"/>
  <c r="Q1679" i="10"/>
  <c r="Q1678" i="10"/>
  <c r="Q1677" i="10"/>
  <c r="Q1676" i="10"/>
  <c r="Q1675" i="10"/>
  <c r="Q1674" i="10"/>
  <c r="Q1673" i="10"/>
  <c r="Q1672" i="10"/>
  <c r="Q1671" i="10"/>
  <c r="Q1670" i="10"/>
  <c r="Q1669" i="10"/>
  <c r="Q1668" i="10"/>
  <c r="Q1667" i="10"/>
  <c r="Q1666" i="10"/>
  <c r="Q1665" i="10"/>
  <c r="Q1664" i="10"/>
  <c r="Q1663" i="10"/>
  <c r="Q1662" i="10"/>
  <c r="Q1661" i="10"/>
  <c r="Q1660" i="10"/>
  <c r="Q1659" i="10"/>
  <c r="Q1658" i="10"/>
  <c r="Q1657" i="10"/>
  <c r="Q1656" i="10"/>
  <c r="Q1655" i="10"/>
  <c r="Q1654" i="10"/>
  <c r="Q1653" i="10"/>
  <c r="Q1652" i="10"/>
  <c r="Q1651" i="10"/>
  <c r="Q1650" i="10"/>
  <c r="Q1649" i="10"/>
  <c r="Q1648" i="10"/>
  <c r="Q1647" i="10"/>
  <c r="Q1646" i="10"/>
  <c r="Q1645" i="10"/>
  <c r="Q1644" i="10"/>
  <c r="Q1643" i="10"/>
  <c r="Q1642" i="10"/>
  <c r="Q1641" i="10"/>
  <c r="Q1640" i="10"/>
  <c r="Q1639" i="10"/>
  <c r="Q1638" i="10"/>
  <c r="Q1637" i="10"/>
  <c r="Q1636" i="10"/>
  <c r="Q1635" i="10"/>
  <c r="Q1634" i="10"/>
  <c r="Q1633" i="10"/>
  <c r="Q1632" i="10"/>
  <c r="Q1631" i="10"/>
  <c r="Q1630" i="10"/>
  <c r="Q1629" i="10"/>
  <c r="Q1628" i="10"/>
  <c r="Q1627" i="10"/>
  <c r="Q1626" i="10"/>
  <c r="Q1625" i="10"/>
  <c r="Q1624" i="10"/>
  <c r="Q1623" i="10"/>
  <c r="Q1622" i="10"/>
  <c r="Q1621" i="10"/>
  <c r="Q1620" i="10"/>
  <c r="Q1619" i="10"/>
  <c r="Q1618" i="10"/>
  <c r="Q1617" i="10"/>
  <c r="Q1616" i="10"/>
  <c r="Q1615" i="10"/>
  <c r="Q1614" i="10"/>
  <c r="Q1613" i="10"/>
  <c r="Q1612" i="10"/>
  <c r="Q1611" i="10"/>
  <c r="Q1610" i="10"/>
  <c r="Q1609" i="10"/>
  <c r="Q1608" i="10"/>
  <c r="Q1607" i="10"/>
  <c r="Q1606" i="10"/>
  <c r="Q1605" i="10"/>
  <c r="Q1604" i="10"/>
  <c r="Q1603" i="10"/>
  <c r="Q1602" i="10"/>
  <c r="Q1601" i="10"/>
  <c r="Q1600" i="10"/>
  <c r="Q1599" i="10"/>
  <c r="Q1598" i="10"/>
  <c r="Q1597" i="10"/>
  <c r="Q1596" i="10"/>
  <c r="Q1595" i="10"/>
  <c r="Q1594" i="10"/>
  <c r="Q1593" i="10"/>
  <c r="Q1592" i="10"/>
  <c r="Q1591" i="10"/>
  <c r="Q1590" i="10"/>
  <c r="Q1589" i="10"/>
  <c r="Q1588" i="10"/>
  <c r="Q1587" i="10"/>
  <c r="Q1586" i="10"/>
  <c r="Q1585" i="10"/>
  <c r="Q1584" i="10"/>
  <c r="Q1583" i="10"/>
  <c r="Q1582" i="10"/>
  <c r="Q1581" i="10"/>
  <c r="Q1580" i="10"/>
  <c r="Q1579" i="10"/>
  <c r="Q1578" i="10"/>
  <c r="Q1577" i="10"/>
  <c r="Q1576" i="10"/>
  <c r="Q1575" i="10"/>
  <c r="Q1574" i="10"/>
  <c r="Q1573" i="10"/>
  <c r="Q1572" i="10"/>
  <c r="Q1571" i="10"/>
  <c r="Q1570" i="10"/>
  <c r="Q1569" i="10"/>
  <c r="Q1568" i="10"/>
  <c r="Q1567" i="10"/>
  <c r="Q1566" i="10"/>
  <c r="Q1565" i="10"/>
  <c r="Q1564" i="10"/>
  <c r="Q1563" i="10"/>
  <c r="Q1562" i="10"/>
  <c r="Q1561" i="10"/>
  <c r="Q1560" i="10"/>
  <c r="Q1559" i="10"/>
  <c r="Q1558" i="10"/>
  <c r="Q1557" i="10"/>
  <c r="Q1556" i="10"/>
  <c r="Q1555" i="10"/>
  <c r="Q1554" i="10"/>
  <c r="Q1553" i="10"/>
  <c r="Q1552" i="10"/>
  <c r="Q1551" i="10"/>
  <c r="Q1550" i="10"/>
  <c r="Q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Q1537" i="10"/>
  <c r="Q1536" i="10"/>
  <c r="Q1535" i="10"/>
  <c r="Q1534" i="10"/>
  <c r="Q1533" i="10"/>
  <c r="Q1532" i="10"/>
  <c r="Q1531" i="10"/>
  <c r="Q1530" i="10"/>
  <c r="Q1529" i="10"/>
  <c r="Q1528" i="10"/>
  <c r="Q1527" i="10"/>
  <c r="Q1526" i="10"/>
  <c r="Q1525" i="10"/>
  <c r="Q1524" i="10"/>
  <c r="Q1523" i="10"/>
  <c r="Q1522" i="10"/>
  <c r="Q1521" i="10"/>
  <c r="Q1520" i="10"/>
  <c r="Q1519" i="10"/>
  <c r="Q1518" i="10"/>
  <c r="Q1517" i="10"/>
  <c r="Q1516" i="10"/>
  <c r="Q1515" i="10"/>
  <c r="Q1514" i="10"/>
  <c r="Q1513" i="10"/>
  <c r="Q1512" i="10"/>
  <c r="Q1511" i="10"/>
  <c r="Q1510" i="10"/>
  <c r="Q1509" i="10"/>
  <c r="Q1508" i="10"/>
  <c r="Q1507" i="10"/>
  <c r="Q1506" i="10"/>
  <c r="Q1505" i="10"/>
  <c r="Q1504" i="10"/>
  <c r="Q1503" i="10"/>
  <c r="Q1502" i="10"/>
  <c r="Q1501" i="10"/>
  <c r="Q1500" i="10"/>
  <c r="Q1499" i="10"/>
  <c r="Q1498" i="10"/>
  <c r="Q1497" i="10"/>
  <c r="Q1496" i="10"/>
  <c r="Q1495" i="10"/>
  <c r="Q1494" i="10"/>
  <c r="Q1493" i="10"/>
  <c r="Q1492" i="10"/>
  <c r="Q1491" i="10"/>
  <c r="Q1490" i="10"/>
  <c r="Q1489" i="10"/>
  <c r="Q1488" i="10"/>
  <c r="Q1487" i="10"/>
  <c r="Q1486" i="10"/>
  <c r="Q1485" i="10"/>
  <c r="Q1484" i="10"/>
  <c r="Q1483" i="10"/>
  <c r="Q1482" i="10"/>
  <c r="Q1481" i="10"/>
  <c r="Q1480" i="10"/>
  <c r="Q1479" i="10"/>
  <c r="Q1478" i="10"/>
  <c r="Q1477" i="10"/>
  <c r="Q1476" i="10"/>
  <c r="Q1475" i="10"/>
  <c r="Q1474" i="10"/>
  <c r="Q1473" i="10"/>
  <c r="Q1472" i="10"/>
  <c r="Q1471" i="10"/>
  <c r="Q1470" i="10"/>
  <c r="Q1469" i="10"/>
  <c r="Q1468" i="10"/>
  <c r="Q1467" i="10"/>
  <c r="Q1466" i="10"/>
  <c r="Q1465" i="10"/>
  <c r="Q1464" i="10"/>
  <c r="Q1463" i="10"/>
  <c r="Q1462" i="10"/>
  <c r="Q1461" i="10"/>
  <c r="Q1460" i="10"/>
  <c r="Q1459" i="10"/>
  <c r="Q1458" i="10"/>
  <c r="Q1457" i="10"/>
  <c r="Q1456" i="10"/>
  <c r="Q1455" i="10"/>
  <c r="Q1454" i="10"/>
  <c r="Q1453" i="10"/>
  <c r="Q1452" i="10"/>
  <c r="Q1451" i="10"/>
  <c r="Q1450" i="10"/>
  <c r="Q1449" i="10"/>
  <c r="Q1448" i="10"/>
  <c r="Q1447" i="10"/>
  <c r="Q1446" i="10"/>
  <c r="Q1445" i="10"/>
  <c r="Q1444" i="10"/>
  <c r="Q1443" i="10"/>
  <c r="Q1442" i="10"/>
  <c r="Q1441" i="10"/>
  <c r="Q1440" i="10"/>
  <c r="Q1439" i="10"/>
  <c r="Q1438" i="10"/>
  <c r="Q1437" i="10"/>
  <c r="Q1436" i="10"/>
  <c r="Q1435" i="10"/>
  <c r="Q1434" i="10"/>
  <c r="Q1433" i="10"/>
  <c r="Q1432" i="10"/>
  <c r="Q1431" i="10"/>
  <c r="Q1430" i="10"/>
  <c r="Q1429" i="10"/>
  <c r="Q1428" i="10"/>
  <c r="Q1427" i="10"/>
  <c r="Q1426" i="10"/>
  <c r="Q1425" i="10"/>
  <c r="Q1424" i="10"/>
  <c r="Q1423" i="10"/>
  <c r="Q1422" i="10"/>
  <c r="Q1421" i="10"/>
  <c r="Q1420" i="10"/>
  <c r="Q1419" i="10"/>
  <c r="Q1418" i="10"/>
  <c r="Q1417" i="10"/>
  <c r="Q1416" i="10"/>
  <c r="Q1415" i="10"/>
  <c r="Q1414" i="10"/>
  <c r="Q1413" i="10"/>
  <c r="Q1412" i="10"/>
  <c r="Q1411" i="10"/>
  <c r="Q1410" i="10"/>
  <c r="Q1409" i="10"/>
  <c r="Q1408" i="10"/>
  <c r="Q1407" i="10"/>
  <c r="Q1406" i="10"/>
  <c r="Q1405" i="10"/>
  <c r="Q1404" i="10"/>
  <c r="Q1403" i="10"/>
  <c r="Q1402" i="10"/>
  <c r="Q1401" i="10"/>
  <c r="Q1400" i="10"/>
  <c r="Q1399" i="10"/>
  <c r="Q1398" i="10"/>
  <c r="Q1397" i="10"/>
  <c r="Q1396" i="10"/>
  <c r="Q1395" i="10"/>
  <c r="Q1394" i="10"/>
  <c r="Q1393" i="10"/>
  <c r="Q1392" i="10"/>
  <c r="Q1391" i="10"/>
  <c r="Q1390" i="10"/>
  <c r="Q1389" i="10"/>
  <c r="Q1388" i="10"/>
  <c r="Q1387" i="10"/>
  <c r="Q1386" i="10"/>
  <c r="Q1385" i="10"/>
  <c r="Q1384" i="10"/>
  <c r="Q1383" i="10"/>
  <c r="Q1382" i="10"/>
  <c r="Q1381" i="10"/>
  <c r="Q1380" i="10"/>
  <c r="Q1379" i="10"/>
  <c r="Q1378" i="10"/>
  <c r="Q1377" i="10"/>
  <c r="Q1376" i="10"/>
  <c r="Q1375" i="10"/>
  <c r="Q1374" i="10"/>
  <c r="Q1373" i="10"/>
  <c r="Q1372" i="10"/>
  <c r="Q1371" i="10"/>
  <c r="Q1370" i="10"/>
  <c r="Q1369" i="10"/>
  <c r="Q1368" i="10"/>
  <c r="Q1367" i="10"/>
  <c r="Q1366" i="10"/>
  <c r="Q1365" i="10"/>
  <c r="Q1364" i="10"/>
  <c r="Q1363" i="10"/>
  <c r="Q1362" i="10"/>
  <c r="Q1361" i="10"/>
  <c r="Q1360" i="10"/>
  <c r="Q1359" i="10"/>
  <c r="Q1358" i="10"/>
  <c r="Q1357" i="10"/>
  <c r="Q1356" i="10"/>
  <c r="Q1355" i="10"/>
  <c r="Q1354" i="10"/>
  <c r="Q1353" i="10"/>
  <c r="Q1352" i="10"/>
  <c r="Q1351" i="10"/>
  <c r="Q1350" i="10"/>
  <c r="Q1349" i="10"/>
  <c r="Q1348" i="10"/>
  <c r="Q1347" i="10"/>
  <c r="Q1346" i="10"/>
  <c r="Q1345" i="10"/>
  <c r="Q1344" i="10"/>
  <c r="Q1343" i="10"/>
  <c r="Q1342" i="10"/>
  <c r="Q1341" i="10"/>
  <c r="Q1340" i="10"/>
  <c r="Q1339" i="10"/>
  <c r="Q1338" i="10"/>
  <c r="Q1337" i="10"/>
  <c r="Q1336" i="10"/>
  <c r="Q1335" i="10"/>
  <c r="Q1334" i="10"/>
  <c r="Q1333" i="10"/>
  <c r="Q1332" i="10"/>
  <c r="Q1331" i="10"/>
  <c r="Q1330" i="10"/>
  <c r="Q1329" i="10"/>
  <c r="Q1328" i="10"/>
  <c r="Q1327" i="10"/>
  <c r="Q1326" i="10"/>
  <c r="Q1325" i="10"/>
  <c r="Q1324" i="10"/>
  <c r="Q1323" i="10"/>
  <c r="Q1322" i="10"/>
  <c r="Q1321" i="10"/>
  <c r="Q1320" i="10"/>
  <c r="Q1319" i="10"/>
  <c r="Q1318" i="10"/>
  <c r="Q1317" i="10"/>
  <c r="Q1316" i="10"/>
  <c r="Q1315" i="10"/>
  <c r="Q1314" i="10"/>
  <c r="Q1313" i="10"/>
  <c r="Q1312" i="10"/>
  <c r="Q1311" i="10"/>
  <c r="Q1310" i="10"/>
  <c r="Q1309" i="10"/>
  <c r="Q1308" i="10"/>
  <c r="Q1307" i="10"/>
  <c r="Q1306" i="10"/>
  <c r="Q1305" i="10"/>
  <c r="Q1304" i="10"/>
  <c r="Q1303" i="10"/>
  <c r="Q1302" i="10"/>
  <c r="Q1301" i="10"/>
  <c r="Q1300" i="10"/>
  <c r="Q1299" i="10"/>
  <c r="Q1298" i="10"/>
  <c r="Q1297" i="10"/>
  <c r="Q1296" i="10"/>
  <c r="Q1295" i="10"/>
  <c r="Q1294" i="10"/>
  <c r="Q1293" i="10"/>
  <c r="Q1292" i="10"/>
  <c r="Q1291" i="10"/>
  <c r="Q1290" i="10"/>
  <c r="Q1289" i="10"/>
  <c r="Q1288" i="10"/>
  <c r="Q1287" i="10"/>
  <c r="Q1286" i="10"/>
  <c r="Q1285" i="10"/>
  <c r="Q1284" i="10"/>
  <c r="Q1283" i="10"/>
  <c r="Q1282" i="10"/>
  <c r="Q1281" i="10"/>
  <c r="Q1280" i="10"/>
  <c r="Q1279" i="10"/>
  <c r="Q1278" i="10"/>
  <c r="Q1277" i="10"/>
  <c r="Q1276" i="10"/>
  <c r="Q1275" i="10"/>
  <c r="Q1274" i="10"/>
  <c r="Q1273" i="10"/>
  <c r="Q1272" i="10"/>
  <c r="Q1271" i="10"/>
  <c r="Q1270" i="10"/>
  <c r="Q1269" i="10"/>
  <c r="Q1268" i="10"/>
  <c r="Q1267" i="10"/>
  <c r="Q1266" i="10"/>
  <c r="Q1265" i="10"/>
  <c r="Q1264" i="10"/>
  <c r="Q1263" i="10"/>
  <c r="Q1262" i="10"/>
  <c r="Q1261" i="10"/>
  <c r="Q1260" i="10"/>
  <c r="Q1259" i="10"/>
  <c r="Q1258" i="10"/>
  <c r="Q1257" i="10"/>
  <c r="Q1256" i="10"/>
  <c r="Q1255" i="10"/>
  <c r="Q1254" i="10"/>
  <c r="Q1253" i="10"/>
  <c r="Q1252" i="10"/>
  <c r="Q1251" i="10"/>
  <c r="Q1250" i="10"/>
  <c r="Q1249" i="10"/>
  <c r="Q1248" i="10"/>
  <c r="Q1247" i="10"/>
  <c r="Q1246" i="10"/>
  <c r="Q1245" i="10"/>
  <c r="Q1244" i="10"/>
  <c r="Q1243" i="10"/>
  <c r="Q1242" i="10"/>
  <c r="Q1241" i="10"/>
  <c r="Q1240" i="10"/>
  <c r="Q1239" i="10"/>
  <c r="Q1238" i="10"/>
  <c r="Q1237" i="10"/>
  <c r="Q1236" i="10"/>
  <c r="Q1235" i="10"/>
  <c r="Q1234" i="10"/>
  <c r="Q1233" i="10"/>
  <c r="Q1232" i="10"/>
  <c r="Q1231" i="10"/>
  <c r="Q1230" i="10"/>
  <c r="Q1229" i="10"/>
  <c r="Q1228" i="10"/>
  <c r="Q1227" i="10"/>
  <c r="Q1226" i="10"/>
  <c r="Q1225" i="10"/>
  <c r="Q1224" i="10"/>
  <c r="Q1223" i="10"/>
  <c r="Q1222" i="10"/>
  <c r="Q1221" i="10"/>
  <c r="Q1220" i="10"/>
  <c r="Q1219" i="10"/>
  <c r="Q1218" i="10"/>
  <c r="Q1217" i="10"/>
  <c r="Q1216" i="10"/>
  <c r="Q1215" i="10"/>
  <c r="Q1214" i="10"/>
  <c r="Q1213" i="10"/>
  <c r="Q1212" i="10"/>
  <c r="Q1211" i="10"/>
  <c r="Q1210" i="10"/>
  <c r="Q1209" i="10"/>
  <c r="Q1208" i="10"/>
  <c r="Q1207" i="10"/>
  <c r="Q1206" i="10"/>
  <c r="Q1205" i="10"/>
  <c r="Q1204" i="10"/>
  <c r="Q1203" i="10"/>
  <c r="Q1202" i="10"/>
  <c r="Q1201" i="10"/>
  <c r="Q1200" i="10"/>
  <c r="Q1199" i="10"/>
  <c r="Q1198" i="10"/>
  <c r="Q1197" i="10"/>
  <c r="Q1196" i="10"/>
  <c r="Q1195" i="10"/>
  <c r="Q1194" i="10"/>
  <c r="Q1193" i="10"/>
  <c r="Q1192" i="10"/>
  <c r="Q1191" i="10"/>
  <c r="Q1190" i="10"/>
  <c r="Q1189" i="10"/>
  <c r="Q1188" i="10"/>
  <c r="Q1187" i="10"/>
  <c r="Q1186" i="10"/>
  <c r="Q1185" i="10"/>
  <c r="Q1184" i="10"/>
  <c r="Q1183" i="10"/>
  <c r="Q1182" i="10"/>
  <c r="Q1181" i="10"/>
  <c r="Q1180" i="10"/>
  <c r="Q1179" i="10"/>
  <c r="Q1178" i="10"/>
  <c r="Q1177" i="10"/>
  <c r="Q1176" i="10"/>
  <c r="Q1175" i="10"/>
  <c r="Q1174" i="10"/>
  <c r="Q1173" i="10"/>
  <c r="Q1172" i="10"/>
  <c r="Q1171" i="10"/>
  <c r="Q1170" i="10"/>
  <c r="Q1169" i="10"/>
  <c r="Q1168" i="10"/>
  <c r="Q1167" i="10"/>
  <c r="Q1166" i="10"/>
  <c r="Q1165" i="10"/>
  <c r="Q1164" i="10"/>
  <c r="Q1163" i="10"/>
  <c r="Q1162" i="10"/>
  <c r="Q1161" i="10"/>
  <c r="Q1160" i="10"/>
  <c r="Q1159" i="10"/>
  <c r="Q1158" i="10"/>
  <c r="Q1157" i="10"/>
  <c r="Q1156" i="10"/>
  <c r="Q1155" i="10"/>
  <c r="Q1154" i="10"/>
  <c r="Q1153" i="10"/>
  <c r="Q1152" i="10"/>
  <c r="Q1151" i="10"/>
  <c r="Q1150" i="10"/>
  <c r="Q1149" i="10"/>
  <c r="Q1148" i="10"/>
  <c r="Q1147" i="10"/>
  <c r="Q1146" i="10"/>
  <c r="Q1145" i="10"/>
  <c r="Q1144" i="10"/>
  <c r="Q1143" i="10"/>
  <c r="Q1142" i="10"/>
  <c r="Q1141" i="10"/>
  <c r="Q1140" i="10"/>
  <c r="Q1139" i="10"/>
  <c r="Q1138" i="10"/>
  <c r="Q1137" i="10"/>
  <c r="Q1136" i="10"/>
  <c r="Q1135" i="10"/>
  <c r="Q1134" i="10"/>
  <c r="Q1133" i="10"/>
  <c r="Q1132" i="10"/>
  <c r="Q1131" i="10"/>
  <c r="Q1130" i="10"/>
  <c r="Q1129" i="10"/>
  <c r="Q1128" i="10"/>
  <c r="Q1127" i="10"/>
  <c r="Q1126" i="10"/>
  <c r="Q1125" i="10"/>
  <c r="Q1124" i="10"/>
  <c r="Q1123" i="10"/>
  <c r="Q1122" i="10"/>
  <c r="Q1121" i="10"/>
  <c r="Q1120" i="10"/>
  <c r="Q1119" i="10"/>
  <c r="Q1118" i="10"/>
  <c r="Q1117" i="10"/>
  <c r="Q1116" i="10"/>
  <c r="Q1115" i="10"/>
  <c r="Q1114" i="10"/>
  <c r="Q1113" i="10"/>
  <c r="Q1112" i="10"/>
  <c r="Q1111" i="10"/>
  <c r="Q1110" i="10"/>
  <c r="Q1109" i="10"/>
  <c r="Q1108" i="10"/>
  <c r="Q1107" i="10"/>
  <c r="Q1106" i="10"/>
  <c r="Q1105" i="10"/>
  <c r="Q1104" i="10"/>
  <c r="Q1103" i="10"/>
  <c r="Q1102" i="10"/>
  <c r="Q1101" i="10"/>
  <c r="Q1100" i="10"/>
  <c r="Q1099" i="10"/>
  <c r="Q1098" i="10"/>
  <c r="Q1097" i="10"/>
  <c r="Q1096" i="10"/>
  <c r="Q1095" i="10"/>
  <c r="Q1094" i="10"/>
  <c r="Q1093" i="10"/>
  <c r="Q1092" i="10"/>
  <c r="Q1091" i="10"/>
  <c r="Q1090" i="10"/>
  <c r="Q1089" i="10"/>
  <c r="Q1088" i="10"/>
  <c r="Q1087" i="10"/>
  <c r="Q1086" i="10"/>
  <c r="Q1085" i="10"/>
  <c r="Q1084" i="10"/>
  <c r="Q1083" i="10"/>
  <c r="Q1082" i="10"/>
  <c r="Q1081" i="10"/>
  <c r="Q1080" i="10"/>
  <c r="Q1079" i="10"/>
  <c r="Q1078" i="10"/>
  <c r="Q1077" i="10"/>
  <c r="Q1076" i="10"/>
  <c r="Q1075" i="10"/>
  <c r="Q1074" i="10"/>
  <c r="Q1073" i="10"/>
  <c r="Q1072" i="10"/>
  <c r="Q1071" i="10"/>
  <c r="Q1070" i="10"/>
  <c r="Q1069" i="10"/>
  <c r="Q1068" i="10"/>
  <c r="Q1067" i="10"/>
  <c r="Q1066" i="10"/>
  <c r="Q1065" i="10"/>
  <c r="Q1064" i="10"/>
  <c r="Q1063" i="10"/>
  <c r="Q1062" i="10"/>
  <c r="Q1061" i="10"/>
  <c r="Q1060" i="10"/>
  <c r="Q1059" i="10"/>
  <c r="Q1058" i="10"/>
  <c r="Q1057" i="10"/>
  <c r="Q1056" i="10"/>
  <c r="Q1055" i="10"/>
  <c r="Q1054" i="10"/>
  <c r="Q1053" i="10"/>
  <c r="Q1052" i="10"/>
  <c r="Q1051" i="10"/>
  <c r="Q1050" i="10"/>
  <c r="Q1049" i="10"/>
  <c r="Q1048" i="10"/>
  <c r="Q1047" i="10"/>
  <c r="Q1046" i="10"/>
  <c r="Q1045" i="10"/>
  <c r="Q1044" i="10"/>
  <c r="Q1043" i="10"/>
  <c r="Q1042" i="10"/>
  <c r="Q1041" i="10"/>
  <c r="Q1040" i="10"/>
  <c r="Q1039" i="10"/>
  <c r="Q1038" i="10"/>
  <c r="Q1037" i="10"/>
  <c r="Q1036" i="10"/>
  <c r="Q1035" i="10"/>
  <c r="Q1034" i="10"/>
  <c r="Q1033" i="10"/>
  <c r="Q1032" i="10"/>
  <c r="Q1031" i="10"/>
  <c r="Q1030" i="10"/>
  <c r="Q1029" i="10"/>
  <c r="Q1028" i="10"/>
  <c r="Q1027" i="10"/>
  <c r="Q1026" i="10"/>
  <c r="Q1025" i="10"/>
  <c r="Q1024" i="10"/>
  <c r="Q1023" i="10"/>
  <c r="Q1022" i="10"/>
  <c r="Q1021" i="10"/>
  <c r="Q1020" i="10"/>
  <c r="Q1019" i="10"/>
  <c r="Q1018" i="10"/>
  <c r="Q1017" i="10"/>
  <c r="Q1016" i="10"/>
  <c r="Q1015" i="10"/>
  <c r="Q1014" i="10"/>
  <c r="Q1013" i="10"/>
  <c r="Q1012" i="10"/>
  <c r="Q1011" i="10"/>
  <c r="Q1010" i="10"/>
  <c r="Q1009" i="10"/>
  <c r="Q1008" i="10"/>
  <c r="Q1007" i="10"/>
  <c r="Q1006" i="10"/>
  <c r="Q1005" i="10"/>
  <c r="Q1004" i="10"/>
  <c r="Q1003" i="10"/>
  <c r="Q1002" i="10"/>
  <c r="Q1001" i="10"/>
  <c r="Q1000" i="10"/>
  <c r="Q999" i="10"/>
  <c r="Q998" i="10"/>
  <c r="Q997" i="10"/>
  <c r="Q996" i="10"/>
  <c r="Q995" i="10"/>
  <c r="Q994" i="10"/>
  <c r="Q993" i="10"/>
  <c r="Q992" i="10"/>
  <c r="Q991" i="10"/>
  <c r="Q990" i="10"/>
  <c r="Q989" i="10"/>
  <c r="Q988" i="10"/>
  <c r="Q987" i="10"/>
  <c r="Q986" i="10"/>
  <c r="Q985" i="10"/>
  <c r="Q984" i="10"/>
  <c r="Q983" i="10"/>
  <c r="Q982" i="10"/>
  <c r="Q981" i="10"/>
  <c r="Q980" i="10"/>
  <c r="Q979" i="10"/>
  <c r="Q978" i="10"/>
  <c r="Q977" i="10"/>
  <c r="Q976" i="10"/>
  <c r="Q975" i="10"/>
  <c r="Q974" i="10"/>
  <c r="Q973" i="10"/>
  <c r="Q972" i="10"/>
  <c r="Q971" i="10"/>
  <c r="Q970" i="10"/>
  <c r="Q969" i="10"/>
  <c r="Q968" i="10"/>
  <c r="Q967" i="10"/>
  <c r="Q966" i="10"/>
  <c r="Q965" i="10"/>
  <c r="Q964" i="10"/>
  <c r="Q963" i="10"/>
  <c r="Q962" i="10"/>
  <c r="Q961" i="10"/>
  <c r="Q960" i="10"/>
  <c r="Q959" i="10"/>
  <c r="Q958" i="10"/>
  <c r="Q957" i="10"/>
  <c r="Q956" i="10"/>
  <c r="Q955" i="10"/>
  <c r="Q954" i="10"/>
  <c r="Q953" i="10"/>
  <c r="Q952" i="10"/>
  <c r="Q951" i="10"/>
  <c r="Q950" i="10"/>
  <c r="Q949" i="10"/>
  <c r="Q948" i="10"/>
  <c r="Q947" i="10"/>
  <c r="Q946" i="10"/>
  <c r="Q945" i="10"/>
  <c r="Q944" i="10"/>
  <c r="Q943" i="10"/>
  <c r="Q942" i="10"/>
  <c r="Q941" i="10"/>
  <c r="Q940" i="10"/>
  <c r="Q939" i="10"/>
  <c r="Q938" i="10"/>
  <c r="Q937" i="10"/>
  <c r="Q936" i="10"/>
  <c r="Q935" i="10"/>
  <c r="Q934" i="10"/>
  <c r="Q933" i="10"/>
  <c r="Q932" i="10"/>
  <c r="Q931" i="10"/>
  <c r="Q930" i="10"/>
  <c r="Q929" i="10"/>
  <c r="Q928" i="10"/>
  <c r="Q927" i="10"/>
  <c r="Q926" i="10"/>
  <c r="Q925" i="10"/>
  <c r="Q924" i="10"/>
  <c r="Q923" i="10"/>
  <c r="Q922" i="10"/>
  <c r="Q921" i="10"/>
  <c r="Q920" i="10"/>
  <c r="Q919" i="10"/>
  <c r="Q918" i="10"/>
  <c r="Q917" i="10"/>
  <c r="Q916" i="10"/>
  <c r="Q915" i="10"/>
  <c r="Q914" i="10"/>
  <c r="Q913" i="10"/>
  <c r="Q912" i="10"/>
  <c r="Q911" i="10"/>
  <c r="Q910" i="10"/>
  <c r="Q909" i="10"/>
  <c r="Q908" i="10"/>
  <c r="Q907" i="10"/>
  <c r="Q906" i="10"/>
  <c r="Q905" i="10"/>
  <c r="Q904" i="10"/>
  <c r="Q903" i="10"/>
  <c r="Q902" i="10"/>
  <c r="Q901" i="10"/>
  <c r="Q900" i="10"/>
  <c r="Q899" i="10"/>
  <c r="Q898" i="10"/>
  <c r="Q897" i="10"/>
  <c r="Q896" i="10"/>
  <c r="Q895" i="10"/>
  <c r="Q894" i="10"/>
  <c r="Q893" i="10"/>
  <c r="Q892" i="10"/>
  <c r="Q891" i="10"/>
  <c r="Q890" i="10"/>
  <c r="Q889" i="10"/>
  <c r="Q888" i="10"/>
  <c r="Q887" i="10"/>
  <c r="Q886" i="10"/>
  <c r="Q885" i="10"/>
  <c r="Q884" i="10"/>
  <c r="Q883" i="10"/>
  <c r="Q882" i="10"/>
  <c r="Q881" i="10"/>
  <c r="Q880" i="10"/>
  <c r="Q879" i="10"/>
  <c r="Q878" i="10"/>
  <c r="Q877" i="10"/>
  <c r="Q876" i="10"/>
  <c r="Q875" i="10"/>
  <c r="Q874" i="10"/>
  <c r="Q873" i="10"/>
  <c r="Q872" i="10"/>
  <c r="Q871" i="10"/>
  <c r="Q870" i="10"/>
  <c r="Q869" i="10"/>
  <c r="Q868" i="10"/>
  <c r="Q867" i="10"/>
  <c r="Q866" i="10"/>
  <c r="Q865" i="10"/>
  <c r="Q864" i="10"/>
  <c r="Q863" i="10"/>
  <c r="Q862" i="10"/>
  <c r="Q861" i="10"/>
  <c r="Q860" i="10"/>
  <c r="Q859" i="10"/>
  <c r="Q858" i="10"/>
  <c r="Q857" i="10"/>
  <c r="Q856" i="10"/>
  <c r="Q855" i="10"/>
  <c r="Q854" i="10"/>
  <c r="Q853" i="10"/>
  <c r="Q852" i="10"/>
  <c r="Q851" i="10"/>
  <c r="Q850" i="10"/>
  <c r="Q849" i="10"/>
  <c r="Q848" i="10"/>
  <c r="Q847" i="10"/>
  <c r="Q846" i="10"/>
  <c r="Q845" i="10"/>
  <c r="Q844" i="10"/>
  <c r="Q843" i="10"/>
  <c r="Q842" i="10"/>
  <c r="Q841" i="10"/>
  <c r="Q840" i="10"/>
  <c r="Q839" i="10"/>
  <c r="Q838" i="10"/>
  <c r="Q837" i="10"/>
  <c r="Q836" i="10"/>
  <c r="Q835" i="10"/>
  <c r="Q834" i="10"/>
  <c r="Q833" i="10"/>
  <c r="Q832" i="10"/>
  <c r="Q831" i="10"/>
  <c r="Q830" i="10"/>
  <c r="Q829" i="10"/>
  <c r="Q828" i="10"/>
  <c r="Q827" i="10"/>
  <c r="Q826" i="10"/>
  <c r="Q825" i="10"/>
  <c r="Q824" i="10"/>
  <c r="Q823" i="10"/>
  <c r="Q822" i="10"/>
  <c r="Q821" i="10"/>
  <c r="Q820" i="10"/>
  <c r="Q819" i="10"/>
  <c r="Q818" i="10"/>
  <c r="Q817" i="10"/>
  <c r="Q816" i="10"/>
  <c r="Q815" i="10"/>
  <c r="Q814" i="10"/>
  <c r="Q813" i="10"/>
  <c r="Q812" i="10"/>
  <c r="Q811" i="10"/>
  <c r="Q810" i="10"/>
  <c r="Q809" i="10"/>
  <c r="Q808" i="10"/>
  <c r="Q807" i="10"/>
  <c r="Q806" i="10"/>
  <c r="Q805" i="10"/>
  <c r="Q804" i="10"/>
  <c r="Q803" i="10"/>
  <c r="Q802" i="10"/>
  <c r="Q801" i="10"/>
  <c r="Q800" i="10"/>
  <c r="Q799" i="10"/>
  <c r="Q798" i="10"/>
  <c r="Q797" i="10"/>
  <c r="Q796" i="10"/>
  <c r="Q795" i="10"/>
  <c r="Q794" i="10"/>
  <c r="Q793" i="10"/>
  <c r="Q792" i="10"/>
  <c r="Q791" i="10"/>
  <c r="Q790" i="10"/>
  <c r="Q789" i="10"/>
  <c r="Q788" i="10"/>
  <c r="Q787" i="10"/>
  <c r="Q786" i="10"/>
  <c r="Q785" i="10"/>
  <c r="Q784" i="10"/>
  <c r="Q783" i="10"/>
  <c r="Q782" i="10"/>
  <c r="Q781" i="10"/>
  <c r="Q780" i="10"/>
  <c r="Q779" i="10"/>
  <c r="Q778" i="10"/>
  <c r="Q777" i="10"/>
  <c r="Q776" i="10"/>
  <c r="Q775" i="10"/>
  <c r="Q774" i="10"/>
  <c r="Q773" i="10"/>
  <c r="Q772" i="10"/>
  <c r="Q771" i="10"/>
  <c r="Q770" i="10"/>
  <c r="Q769" i="10"/>
  <c r="Q768" i="10"/>
  <c r="Q767" i="10"/>
  <c r="Q766" i="10"/>
  <c r="Q765" i="10"/>
  <c r="Q764" i="10"/>
  <c r="Q763" i="10"/>
  <c r="Q762" i="10"/>
  <c r="Q761" i="10"/>
  <c r="Q760" i="10"/>
  <c r="Q759" i="10"/>
  <c r="Q758" i="10"/>
  <c r="Q757" i="10"/>
  <c r="Q756" i="10"/>
  <c r="Q755" i="10"/>
  <c r="Q754" i="10"/>
  <c r="Q753" i="10"/>
  <c r="Q752" i="10"/>
  <c r="Q751" i="10"/>
  <c r="Q750" i="10"/>
  <c r="Q749" i="10"/>
  <c r="Q748" i="10"/>
  <c r="Q747" i="10"/>
  <c r="Q746" i="10"/>
  <c r="Q745" i="10"/>
  <c r="Q744" i="10"/>
  <c r="Q743" i="10"/>
  <c r="Q742" i="10"/>
  <c r="Q741" i="10"/>
  <c r="Q740" i="10"/>
  <c r="Q739" i="10"/>
  <c r="Q738" i="10"/>
  <c r="Q737" i="10"/>
  <c r="Q736" i="10"/>
  <c r="Q735" i="10"/>
  <c r="Q734" i="10"/>
  <c r="Q733" i="10"/>
  <c r="Q732" i="10"/>
  <c r="Q731" i="10"/>
  <c r="Q730" i="10"/>
  <c r="Q729" i="10"/>
  <c r="Q728" i="10"/>
  <c r="Q727" i="10"/>
  <c r="Q726" i="10"/>
  <c r="Q725" i="10"/>
  <c r="Q724" i="10"/>
  <c r="Q723" i="10"/>
  <c r="Q722" i="10"/>
  <c r="Q721" i="10"/>
  <c r="Q720" i="10"/>
  <c r="Q719" i="10"/>
  <c r="Q718" i="10"/>
  <c r="Q717" i="10"/>
  <c r="Q716" i="10"/>
  <c r="Q715" i="10"/>
  <c r="Q714" i="10"/>
  <c r="Q713" i="10"/>
  <c r="Q712" i="10"/>
  <c r="Q711" i="10"/>
  <c r="Q710" i="10"/>
  <c r="Q709" i="10"/>
  <c r="Q708" i="10"/>
  <c r="Q707" i="10"/>
  <c r="Q706" i="10"/>
  <c r="Q705" i="10"/>
  <c r="Q704" i="10"/>
  <c r="Q703" i="10"/>
  <c r="Q702" i="10"/>
  <c r="Q701" i="10"/>
  <c r="Q700" i="10"/>
  <c r="Q699" i="10"/>
  <c r="Q698" i="10"/>
  <c r="Q697" i="10"/>
  <c r="Q696" i="10"/>
  <c r="Q695" i="10"/>
  <c r="Q694" i="10"/>
  <c r="Q693" i="10"/>
  <c r="Q692" i="10"/>
  <c r="Q691" i="10"/>
  <c r="Q690" i="10"/>
  <c r="Q689" i="10"/>
  <c r="Q688" i="10"/>
  <c r="Q687" i="10"/>
  <c r="Q686" i="10"/>
  <c r="Q685" i="10"/>
  <c r="Q684" i="10"/>
  <c r="Q683" i="10"/>
  <c r="Q682" i="10"/>
  <c r="Q681" i="10"/>
  <c r="Q680" i="10"/>
  <c r="Q679" i="10"/>
  <c r="Q678" i="10"/>
  <c r="Q677" i="10"/>
  <c r="Q676" i="10"/>
  <c r="Q675" i="10"/>
  <c r="Q674" i="10"/>
  <c r="Q673" i="10"/>
  <c r="Q672" i="10"/>
  <c r="Q671" i="10"/>
  <c r="Q670" i="10"/>
  <c r="Q669" i="10"/>
  <c r="Q668" i="10"/>
  <c r="Q667" i="10"/>
  <c r="Q666" i="10"/>
  <c r="Q665" i="10"/>
  <c r="Q664" i="10"/>
  <c r="Q663" i="10"/>
  <c r="Q662" i="10"/>
  <c r="Q661" i="10"/>
  <c r="Q660" i="10"/>
  <c r="Q659" i="10"/>
  <c r="Q658" i="10"/>
  <c r="Q657" i="10"/>
  <c r="Q656" i="10"/>
  <c r="Q655" i="10"/>
  <c r="Q654" i="10"/>
  <c r="Q653" i="10"/>
  <c r="Q652" i="10"/>
  <c r="Q651" i="10"/>
  <c r="Q650" i="10"/>
  <c r="Q649" i="10"/>
  <c r="Q648" i="10"/>
  <c r="Q647" i="10"/>
  <c r="Q646" i="10"/>
  <c r="Q645" i="10"/>
  <c r="Q644" i="10"/>
  <c r="Q643" i="10"/>
  <c r="Q642" i="10"/>
  <c r="Q641" i="10"/>
  <c r="Q640" i="10"/>
  <c r="Q639" i="10"/>
  <c r="Q638" i="10"/>
  <c r="Q637" i="10"/>
  <c r="Q636" i="10"/>
  <c r="Q635" i="10"/>
  <c r="Q634" i="10"/>
  <c r="Q633" i="10"/>
  <c r="Q632" i="10"/>
  <c r="Q631" i="10"/>
  <c r="Q630" i="10"/>
  <c r="Q629" i="10"/>
  <c r="Q628" i="10"/>
  <c r="Q627" i="10"/>
  <c r="Q626" i="10"/>
  <c r="Q625" i="10"/>
  <c r="Q624" i="10"/>
  <c r="Q623" i="10"/>
  <c r="Q622" i="10"/>
  <c r="Q621" i="10"/>
  <c r="Q620" i="10"/>
  <c r="Q619" i="10"/>
  <c r="Q618" i="10"/>
  <c r="Q617" i="10"/>
  <c r="Q616" i="10"/>
  <c r="Q615" i="10"/>
  <c r="Q614" i="10"/>
  <c r="Q613" i="10"/>
  <c r="Q612" i="10"/>
  <c r="Q611" i="10"/>
  <c r="Q610" i="10"/>
  <c r="Q609" i="10"/>
  <c r="Q608" i="10"/>
  <c r="Q607" i="10"/>
  <c r="Q606" i="10"/>
  <c r="Q605" i="10"/>
  <c r="Q604" i="10"/>
  <c r="Q603" i="10"/>
  <c r="Q602" i="10"/>
  <c r="Q601" i="10"/>
  <c r="Q600" i="10"/>
  <c r="Q599" i="10"/>
  <c r="Q598" i="10"/>
  <c r="Q597" i="10"/>
  <c r="Q596" i="10"/>
  <c r="Q595" i="10"/>
  <c r="Q594" i="10"/>
  <c r="Q593" i="10"/>
  <c r="Q592" i="10"/>
  <c r="Q591" i="10"/>
  <c r="Q590" i="10"/>
  <c r="Q589" i="10"/>
  <c r="Q588" i="10"/>
  <c r="Q587" i="10"/>
  <c r="Q586" i="10"/>
  <c r="Q585" i="10"/>
  <c r="Q584" i="10"/>
  <c r="Q583" i="10"/>
  <c r="Q582" i="10"/>
  <c r="Q581" i="10"/>
  <c r="Q580" i="10"/>
  <c r="Q579" i="10"/>
  <c r="Q578" i="10"/>
  <c r="Q577" i="10"/>
  <c r="Q576" i="10"/>
  <c r="Q575" i="10"/>
  <c r="Q574" i="10"/>
  <c r="Q573" i="10"/>
  <c r="Q572" i="10"/>
  <c r="Q571" i="10"/>
  <c r="Q570" i="10"/>
  <c r="Q569" i="10"/>
  <c r="Q568" i="10"/>
  <c r="Q567" i="10"/>
  <c r="Q566" i="10"/>
  <c r="Q565" i="10"/>
  <c r="Q564" i="10"/>
  <c r="Q563" i="10"/>
  <c r="Q562" i="10"/>
  <c r="Q561" i="10"/>
  <c r="Q560" i="10"/>
  <c r="Q559" i="10"/>
  <c r="Q558" i="10"/>
  <c r="Q557" i="10"/>
  <c r="Q556" i="10"/>
  <c r="Q555" i="10"/>
  <c r="Q554" i="10"/>
  <c r="Q553" i="10"/>
  <c r="Q552" i="10"/>
  <c r="Q551" i="10"/>
  <c r="Q550" i="10"/>
  <c r="Q549" i="10"/>
  <c r="Q548" i="10"/>
  <c r="Q547" i="10"/>
  <c r="Q546" i="10"/>
  <c r="Q545" i="10"/>
  <c r="Q544" i="10"/>
  <c r="Q543" i="10"/>
  <c r="Q542" i="10"/>
  <c r="Q541" i="10"/>
  <c r="Q540" i="10"/>
  <c r="Q539" i="10"/>
  <c r="Q538" i="10"/>
  <c r="Q537" i="10"/>
  <c r="Q536" i="10"/>
  <c r="Q535" i="10"/>
  <c r="Q534" i="10"/>
  <c r="Q533" i="10"/>
  <c r="Q532" i="10"/>
  <c r="Q531" i="10"/>
  <c r="Q530" i="10"/>
  <c r="Q529" i="10"/>
  <c r="Q528" i="10"/>
  <c r="Q527" i="10"/>
  <c r="Q526" i="10"/>
  <c r="Q525" i="10"/>
  <c r="Q524" i="10"/>
  <c r="Q523" i="10"/>
  <c r="Q522" i="10"/>
  <c r="Q521" i="10"/>
  <c r="Q520" i="10"/>
  <c r="Q519" i="10"/>
  <c r="Q518" i="10"/>
  <c r="Q517" i="10"/>
  <c r="Q516" i="10"/>
  <c r="Q515" i="10"/>
  <c r="Q514" i="10"/>
  <c r="Q513" i="10"/>
  <c r="Q512" i="10"/>
  <c r="Q511" i="10"/>
  <c r="Q510" i="10"/>
  <c r="Q509" i="10"/>
  <c r="Q508" i="10"/>
  <c r="Q507" i="10"/>
  <c r="Q506" i="10"/>
  <c r="Q505" i="10"/>
  <c r="Q504" i="10"/>
  <c r="Q503" i="10"/>
  <c r="Q502" i="10"/>
  <c r="Q501" i="10"/>
  <c r="Q500" i="10"/>
  <c r="Q499" i="10"/>
  <c r="Q498" i="10"/>
  <c r="Q497" i="10"/>
  <c r="Q496" i="10"/>
  <c r="Q495" i="10"/>
  <c r="Q494" i="10"/>
  <c r="Q493" i="10"/>
  <c r="Q492" i="10"/>
  <c r="Q491" i="10"/>
  <c r="Q490" i="10"/>
  <c r="Q489" i="10"/>
  <c r="Q488" i="10"/>
  <c r="Q487" i="10"/>
  <c r="Q486" i="10"/>
  <c r="Q485" i="10"/>
  <c r="Q484" i="10"/>
  <c r="Q483" i="10"/>
  <c r="Q482" i="10"/>
  <c r="Q481" i="10"/>
  <c r="Q480" i="10"/>
  <c r="Q479" i="10"/>
  <c r="Q478" i="10"/>
  <c r="Q477" i="10"/>
  <c r="Q476" i="10"/>
  <c r="Q475" i="10"/>
  <c r="Q474" i="10"/>
  <c r="Q473" i="10"/>
  <c r="Q472" i="10"/>
  <c r="Q471" i="10"/>
  <c r="Q470" i="10"/>
  <c r="Q469" i="10"/>
  <c r="Q468" i="10"/>
  <c r="Q467" i="10"/>
  <c r="Q466" i="10"/>
  <c r="Q465" i="10"/>
  <c r="Q464" i="10"/>
  <c r="Q463" i="10"/>
  <c r="Q462" i="10"/>
  <c r="Q461" i="10"/>
  <c r="Q460" i="10"/>
  <c r="Q459" i="10"/>
  <c r="Q458" i="10"/>
  <c r="Q457" i="10"/>
  <c r="Q456" i="10"/>
  <c r="Q455" i="10"/>
  <c r="Q454" i="10"/>
  <c r="Q453" i="10"/>
  <c r="Q452" i="10"/>
  <c r="Q451" i="10"/>
  <c r="Q450" i="10"/>
  <c r="Q449" i="10"/>
  <c r="Q448" i="10"/>
  <c r="Q447" i="10"/>
  <c r="Q446" i="10"/>
  <c r="Q445" i="10"/>
  <c r="Q444" i="10"/>
  <c r="Q443" i="10"/>
  <c r="Q442" i="10"/>
  <c r="Q441" i="10"/>
  <c r="Q440" i="10"/>
  <c r="Q439" i="10"/>
  <c r="Q438" i="10"/>
  <c r="Q437" i="10"/>
  <c r="Q436" i="10"/>
  <c r="Q435" i="10"/>
  <c r="Q434" i="10"/>
  <c r="Q433" i="10"/>
  <c r="Q432" i="10"/>
  <c r="Q431" i="10"/>
  <c r="Q430" i="10"/>
  <c r="Q429" i="10"/>
  <c r="Q428" i="10"/>
  <c r="Q427" i="10"/>
  <c r="Q426" i="10"/>
  <c r="Q425" i="10"/>
  <c r="Q424" i="10"/>
  <c r="Q423" i="10"/>
  <c r="Q422" i="10"/>
  <c r="Q421" i="10"/>
  <c r="Q420" i="10"/>
  <c r="Q419" i="10"/>
  <c r="Q418" i="10"/>
  <c r="Q417" i="10"/>
  <c r="Q416" i="10"/>
  <c r="Q415" i="10"/>
  <c r="Q414" i="10"/>
  <c r="Q413" i="10"/>
  <c r="Q412" i="10"/>
  <c r="Q411" i="10"/>
  <c r="Q410" i="10"/>
  <c r="Q409" i="10"/>
  <c r="Q408" i="10"/>
  <c r="Q407" i="10"/>
  <c r="Q406" i="10"/>
  <c r="Q405" i="10"/>
  <c r="Q404" i="10"/>
  <c r="Q403" i="10"/>
  <c r="Q402" i="10"/>
  <c r="Q401" i="10"/>
  <c r="Q400" i="10"/>
  <c r="Q399" i="10"/>
  <c r="Q398" i="10"/>
  <c r="Q397" i="10"/>
  <c r="Q396" i="10"/>
  <c r="Q395" i="10"/>
  <c r="Q394" i="10"/>
  <c r="Q393" i="10"/>
  <c r="Q392" i="10"/>
  <c r="Q391" i="10"/>
  <c r="Q390" i="10"/>
  <c r="Q389" i="10"/>
  <c r="Q388" i="10"/>
  <c r="Q387" i="10"/>
  <c r="Q386" i="10"/>
  <c r="Q385" i="10"/>
  <c r="Q384" i="10"/>
  <c r="Q383" i="10"/>
  <c r="Q382" i="10"/>
  <c r="Q381" i="10"/>
  <c r="Q380" i="10"/>
  <c r="Q379" i="10"/>
  <c r="Q378" i="10"/>
  <c r="Q377" i="10"/>
  <c r="Q376" i="10"/>
  <c r="Q375" i="10"/>
  <c r="Q374" i="10"/>
  <c r="Q373" i="10"/>
  <c r="Q372" i="10"/>
  <c r="Q371" i="10"/>
  <c r="Q370" i="10"/>
  <c r="Q369" i="10"/>
  <c r="Q368" i="10"/>
  <c r="Q367" i="10"/>
  <c r="Q366" i="10"/>
  <c r="Q365" i="10"/>
  <c r="Q364" i="10"/>
  <c r="Q363" i="10"/>
  <c r="Q362" i="10"/>
  <c r="Q361" i="10"/>
  <c r="Q360" i="10"/>
  <c r="Q359" i="10"/>
  <c r="Q358" i="10"/>
  <c r="Q357" i="10"/>
  <c r="Q356" i="10"/>
  <c r="Q355" i="10"/>
  <c r="Q354" i="10"/>
  <c r="Q353" i="10"/>
  <c r="Q352" i="10"/>
  <c r="Q351" i="10"/>
  <c r="Q350" i="10"/>
  <c r="Q349" i="10"/>
  <c r="Q348" i="10"/>
  <c r="Q347" i="10"/>
  <c r="Q346" i="10"/>
  <c r="Q345" i="10"/>
  <c r="Q344" i="10"/>
  <c r="Q343" i="10"/>
  <c r="Q342" i="10"/>
  <c r="Q341" i="10"/>
  <c r="Q340" i="10"/>
  <c r="Q339" i="10"/>
  <c r="Q338" i="10"/>
  <c r="Q337" i="10"/>
  <c r="Q336" i="10"/>
  <c r="Q335" i="10"/>
  <c r="Q334" i="10"/>
  <c r="Q333" i="10"/>
  <c r="Q332" i="10"/>
  <c r="Q331" i="10"/>
  <c r="Q330" i="10"/>
  <c r="Q329" i="10"/>
  <c r="Q328" i="10"/>
  <c r="Q327" i="10"/>
  <c r="Q326" i="10"/>
  <c r="Q325" i="10"/>
  <c r="Q324" i="10"/>
  <c r="Q323" i="10"/>
  <c r="Q322" i="10"/>
  <c r="Q321" i="10"/>
  <c r="Q320" i="10"/>
  <c r="Q319" i="10"/>
  <c r="Q318" i="10"/>
  <c r="Q317" i="10"/>
  <c r="Q316" i="10"/>
  <c r="Q315" i="10"/>
  <c r="Q314" i="10"/>
  <c r="Q313" i="10"/>
  <c r="Q312" i="10"/>
  <c r="Q311" i="10"/>
  <c r="Q310" i="10"/>
  <c r="Q309" i="10"/>
  <c r="Q308" i="10"/>
  <c r="Q307" i="10"/>
  <c r="Q306" i="10"/>
  <c r="Q305" i="10"/>
  <c r="Q304" i="10"/>
  <c r="Q303" i="10"/>
  <c r="Q302" i="10"/>
  <c r="Q301" i="10"/>
  <c r="Q300" i="10"/>
  <c r="Q299" i="10"/>
  <c r="Q298" i="10"/>
  <c r="Q297" i="10"/>
  <c r="Q296" i="10"/>
  <c r="Q295" i="10"/>
  <c r="Q294" i="10"/>
  <c r="Q293" i="10"/>
  <c r="Q292" i="10"/>
  <c r="Q291" i="10"/>
  <c r="Q290" i="10"/>
  <c r="Q289" i="10"/>
  <c r="Q288" i="10"/>
  <c r="Q287" i="10"/>
  <c r="Q286" i="10"/>
  <c r="Q285" i="10"/>
  <c r="Q284" i="10"/>
  <c r="Q283" i="10"/>
  <c r="Q282" i="10"/>
  <c r="Q281" i="10"/>
  <c r="Q280" i="10"/>
  <c r="Q279" i="10"/>
  <c r="Q278" i="10"/>
  <c r="Q277" i="10"/>
  <c r="Q276" i="10"/>
  <c r="Q275" i="10"/>
  <c r="Q274" i="10"/>
  <c r="Q273" i="10"/>
  <c r="Q272" i="10"/>
  <c r="Q271" i="10"/>
  <c r="Q270" i="10"/>
  <c r="Q269" i="10"/>
  <c r="Q268" i="10"/>
  <c r="Q267" i="10"/>
  <c r="Q266" i="10"/>
  <c r="Q265" i="10"/>
  <c r="Q264" i="10"/>
  <c r="Q263" i="10"/>
  <c r="Q262" i="10"/>
  <c r="Q261" i="10"/>
  <c r="Q260" i="10"/>
  <c r="Q259" i="10"/>
  <c r="Q258" i="10"/>
  <c r="Q257" i="10"/>
  <c r="Q256" i="10"/>
  <c r="Q255" i="10"/>
  <c r="Q254" i="10"/>
  <c r="Q253" i="10"/>
  <c r="Q252" i="10"/>
  <c r="Q251" i="10"/>
  <c r="Q250" i="10"/>
  <c r="Q249" i="10"/>
  <c r="Q248" i="10"/>
  <c r="Q247" i="10"/>
  <c r="Q246" i="10"/>
  <c r="Q245" i="10"/>
  <c r="Q244" i="10"/>
  <c r="Q243" i="10"/>
  <c r="Q242" i="10"/>
  <c r="Q241" i="10"/>
  <c r="Q240" i="10"/>
  <c r="Q239" i="10"/>
  <c r="Q238" i="10"/>
  <c r="Q237" i="10"/>
  <c r="Q236" i="10"/>
  <c r="Q235" i="10"/>
  <c r="Q234" i="10"/>
  <c r="Q233" i="10"/>
  <c r="Q232" i="10"/>
  <c r="Q231" i="10"/>
  <c r="Q230" i="10"/>
  <c r="Q229" i="10"/>
  <c r="Q228" i="10"/>
  <c r="Q227" i="10"/>
  <c r="Q226" i="10"/>
  <c r="Q225" i="10"/>
  <c r="Q224" i="10"/>
  <c r="Q223" i="10"/>
  <c r="Q222" i="10"/>
  <c r="Q221" i="10"/>
  <c r="Q220" i="10"/>
  <c r="Q219" i="10"/>
  <c r="Q218" i="10"/>
  <c r="Q217" i="10"/>
  <c r="Q216" i="10"/>
  <c r="Q215" i="10"/>
  <c r="Q214" i="10"/>
  <c r="Q213" i="10"/>
  <c r="Q212" i="10"/>
  <c r="Q211" i="10"/>
  <c r="Q210" i="10"/>
  <c r="Q209" i="10"/>
  <c r="Q208" i="10"/>
  <c r="Q207" i="10"/>
  <c r="Q206" i="10"/>
  <c r="Q205" i="10"/>
  <c r="Q204" i="10"/>
  <c r="Q203" i="10"/>
  <c r="Q202" i="10"/>
  <c r="Q201" i="10"/>
  <c r="Q200" i="10"/>
  <c r="Q199" i="10"/>
  <c r="Q198" i="10"/>
  <c r="Q197" i="10"/>
  <c r="Q196" i="10"/>
  <c r="Q195" i="10"/>
  <c r="Q194" i="10"/>
  <c r="Q193" i="10"/>
  <c r="Q192" i="10"/>
  <c r="Q191" i="10"/>
  <c r="Q190" i="10"/>
  <c r="Q189" i="10"/>
  <c r="Q188" i="10"/>
  <c r="Q187" i="10"/>
  <c r="Q186" i="10"/>
  <c r="Q185" i="10"/>
  <c r="Q184" i="10"/>
  <c r="Q183" i="10"/>
  <c r="Q182" i="10"/>
  <c r="Q181" i="10"/>
  <c r="Q180" i="10"/>
  <c r="Q179" i="10"/>
  <c r="Q178" i="10"/>
  <c r="Q177" i="10"/>
  <c r="Q176" i="10"/>
  <c r="Q175" i="10"/>
  <c r="Q174" i="10"/>
  <c r="Q173" i="10"/>
  <c r="Q172" i="10"/>
  <c r="Q171" i="10"/>
  <c r="Q170" i="10"/>
  <c r="Q169" i="10"/>
  <c r="Q168" i="10"/>
  <c r="Q167" i="10"/>
  <c r="Q166" i="10"/>
  <c r="Q165" i="10"/>
  <c r="Q164" i="10"/>
  <c r="Q163" i="10"/>
  <c r="Q162" i="10"/>
  <c r="Q161" i="10"/>
  <c r="Q160" i="10"/>
  <c r="Q159" i="10"/>
  <c r="Q158" i="10"/>
  <c r="Q157" i="10"/>
  <c r="Q156" i="10"/>
  <c r="Q155" i="10"/>
  <c r="Q154" i="10"/>
  <c r="Q153" i="10"/>
  <c r="Q152" i="10"/>
  <c r="Q151" i="10"/>
  <c r="Q150" i="10"/>
  <c r="Q149" i="10"/>
  <c r="Q148" i="10"/>
  <c r="Q147" i="10"/>
  <c r="Q146" i="10"/>
  <c r="Q145" i="10"/>
  <c r="Q144" i="10"/>
  <c r="Q143" i="10"/>
  <c r="Q142" i="10"/>
  <c r="Q141" i="10"/>
  <c r="Q140" i="10"/>
  <c r="Q139" i="10"/>
  <c r="Q138" i="10"/>
  <c r="Q137" i="10"/>
  <c r="Q136" i="10"/>
  <c r="Q135" i="10"/>
  <c r="Q134" i="10"/>
  <c r="Q133" i="10"/>
  <c r="Q132" i="10"/>
  <c r="Q131" i="10"/>
  <c r="Q130" i="10"/>
  <c r="Q129" i="10"/>
  <c r="Q128" i="10"/>
  <c r="Q127" i="10"/>
  <c r="Q126" i="10"/>
  <c r="Q125" i="10"/>
  <c r="Q124" i="10"/>
  <c r="Q123" i="10"/>
  <c r="Q122" i="10"/>
  <c r="Q121" i="10"/>
  <c r="Q120" i="10"/>
  <c r="Q119" i="10"/>
  <c r="Q118" i="10"/>
  <c r="Q117" i="10"/>
  <c r="Q116" i="10"/>
  <c r="Q115" i="10"/>
  <c r="Q114" i="10"/>
  <c r="Q113" i="10"/>
  <c r="Q112" i="10"/>
  <c r="Q111" i="10"/>
  <c r="Q110" i="10"/>
  <c r="Q109" i="10"/>
  <c r="Q108" i="10"/>
  <c r="Q107" i="10"/>
  <c r="Q106" i="10"/>
  <c r="Q105" i="10"/>
  <c r="Q104" i="10"/>
  <c r="Q103" i="10"/>
  <c r="Q102" i="10"/>
  <c r="Q101" i="10"/>
  <c r="Q100" i="10"/>
  <c r="Q99" i="10"/>
  <c r="Q98" i="10"/>
  <c r="Q97" i="10"/>
  <c r="Q96" i="10"/>
  <c r="Q95" i="10"/>
  <c r="Q94" i="10"/>
  <c r="Q93" i="10"/>
  <c r="Q92" i="10"/>
  <c r="Q91" i="10"/>
  <c r="Q90" i="10"/>
  <c r="Q89" i="10"/>
  <c r="Q88" i="10"/>
  <c r="Q87" i="10"/>
  <c r="Q86" i="10"/>
  <c r="Q85" i="10"/>
  <c r="Q84" i="10"/>
  <c r="Q83" i="10"/>
  <c r="Q82" i="10"/>
  <c r="Q81" i="10"/>
  <c r="Q80" i="10"/>
  <c r="Q79" i="10"/>
  <c r="Q78" i="10"/>
  <c r="Q77" i="10"/>
  <c r="Q76" i="10"/>
  <c r="Q75" i="10"/>
  <c r="Q74" i="10"/>
  <c r="Q73" i="10"/>
  <c r="Q72" i="10"/>
  <c r="Q71" i="10"/>
  <c r="Q70" i="10"/>
  <c r="Q69" i="10"/>
  <c r="Q68" i="10"/>
  <c r="Q67" i="10"/>
  <c r="Q66" i="10"/>
  <c r="Q65" i="10"/>
  <c r="Q64" i="10"/>
  <c r="Q63" i="10"/>
  <c r="Q62" i="10"/>
  <c r="Q61" i="10"/>
  <c r="Q60" i="10"/>
  <c r="Q59" i="10"/>
  <c r="Q58" i="10"/>
  <c r="Q57" i="10"/>
  <c r="Q56" i="10"/>
  <c r="Q55" i="10"/>
  <c r="Q54" i="10"/>
  <c r="Q53" i="10"/>
  <c r="Q52" i="10"/>
  <c r="Q51" i="10"/>
  <c r="Q50" i="10"/>
  <c r="Q49" i="10"/>
  <c r="Q48" i="10"/>
  <c r="Q47" i="10"/>
  <c r="Q46" i="10"/>
  <c r="Q45" i="10"/>
  <c r="Q44" i="10"/>
  <c r="Q43" i="10"/>
  <c r="Q42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Q6" i="10"/>
  <c r="P2855" i="10"/>
  <c r="P2854" i="10"/>
  <c r="P2853" i="10"/>
  <c r="P2852" i="10"/>
  <c r="P2851" i="10"/>
  <c r="P2850" i="10"/>
  <c r="P2849" i="10"/>
  <c r="P2848" i="10"/>
  <c r="P2847" i="10"/>
  <c r="P2846" i="10"/>
  <c r="P2845" i="10"/>
  <c r="P2844" i="10"/>
  <c r="P2843" i="10"/>
  <c r="P2842" i="10"/>
  <c r="P2841" i="10"/>
  <c r="P2840" i="10"/>
  <c r="P2839" i="10"/>
  <c r="P2838" i="10"/>
  <c r="P2837" i="10"/>
  <c r="P2836" i="10"/>
  <c r="P2835" i="10"/>
  <c r="P2834" i="10"/>
  <c r="P2833" i="10"/>
  <c r="P2832" i="10"/>
  <c r="P2831" i="10"/>
  <c r="P2830" i="10"/>
  <c r="P2829" i="10"/>
  <c r="P2828" i="10"/>
  <c r="P2827" i="10"/>
  <c r="P2826" i="10"/>
  <c r="P2825" i="10"/>
  <c r="P2824" i="10"/>
  <c r="P2823" i="10"/>
  <c r="P2822" i="10"/>
  <c r="P2821" i="10"/>
  <c r="P2820" i="10"/>
  <c r="P2819" i="10"/>
  <c r="P2818" i="10"/>
  <c r="P2817" i="10"/>
  <c r="P2816" i="10"/>
  <c r="P2815" i="10"/>
  <c r="P2814" i="10"/>
  <c r="P2813" i="10"/>
  <c r="P2812" i="10"/>
  <c r="P2811" i="10"/>
  <c r="P2810" i="10"/>
  <c r="P2809" i="10"/>
  <c r="P2808" i="10"/>
  <c r="P2807" i="10"/>
  <c r="P2806" i="10"/>
  <c r="P2805" i="10"/>
  <c r="P2804" i="10"/>
  <c r="P2803" i="10"/>
  <c r="P2802" i="10"/>
  <c r="P2801" i="10"/>
  <c r="P2800" i="10"/>
  <c r="P2799" i="10"/>
  <c r="P2798" i="10"/>
  <c r="P2797" i="10"/>
  <c r="P2796" i="10"/>
  <c r="P2795" i="10"/>
  <c r="P2794" i="10"/>
  <c r="P2793" i="10"/>
  <c r="P2792" i="10"/>
  <c r="P2791" i="10"/>
  <c r="P2790" i="10"/>
  <c r="P2789" i="10"/>
  <c r="P2788" i="10"/>
  <c r="P2787" i="10"/>
  <c r="P2786" i="10"/>
  <c r="P2785" i="10"/>
  <c r="P2784" i="10"/>
  <c r="P2783" i="10"/>
  <c r="P2782" i="10"/>
  <c r="P2781" i="10"/>
  <c r="P2780" i="10"/>
  <c r="P2779" i="10"/>
  <c r="P2778" i="10"/>
  <c r="P2777" i="10"/>
  <c r="P2776" i="10"/>
  <c r="P2775" i="10"/>
  <c r="P2774" i="10"/>
  <c r="P2773" i="10"/>
  <c r="P2772" i="10"/>
  <c r="P2771" i="10"/>
  <c r="P2770" i="10"/>
  <c r="P2769" i="10"/>
  <c r="P2768" i="10"/>
  <c r="P2767" i="10"/>
  <c r="P2766" i="10"/>
  <c r="P2765" i="10"/>
  <c r="P2764" i="10"/>
  <c r="P2763" i="10"/>
  <c r="P2762" i="10"/>
  <c r="P2761" i="10"/>
  <c r="P2760" i="10"/>
  <c r="P2759" i="10"/>
  <c r="P2758" i="10"/>
  <c r="P2757" i="10"/>
  <c r="P2756" i="10"/>
  <c r="P2755" i="10"/>
  <c r="P2754" i="10"/>
  <c r="P2753" i="10"/>
  <c r="P2752" i="10"/>
  <c r="P2751" i="10"/>
  <c r="P2750" i="10"/>
  <c r="P2749" i="10"/>
  <c r="P2748" i="10"/>
  <c r="P2747" i="10"/>
  <c r="P2746" i="10"/>
  <c r="P2745" i="10"/>
  <c r="P2744" i="10"/>
  <c r="P2743" i="10"/>
  <c r="P2742" i="10"/>
  <c r="P2741" i="10"/>
  <c r="P2740" i="10"/>
  <c r="P2739" i="10"/>
  <c r="P2738" i="10"/>
  <c r="P2737" i="10"/>
  <c r="P2736" i="10"/>
  <c r="P2735" i="10"/>
  <c r="P2734" i="10"/>
  <c r="P2733" i="10"/>
  <c r="P2732" i="10"/>
  <c r="P2731" i="10"/>
  <c r="P2730" i="10"/>
  <c r="P2729" i="10"/>
  <c r="P2728" i="10"/>
  <c r="P2727" i="10"/>
  <c r="P2726" i="10"/>
  <c r="P2725" i="10"/>
  <c r="P2724" i="10"/>
  <c r="P2723" i="10"/>
  <c r="P2722" i="10"/>
  <c r="P2721" i="10"/>
  <c r="P2720" i="10"/>
  <c r="P2719" i="10"/>
  <c r="P2718" i="10"/>
  <c r="P2717" i="10"/>
  <c r="P2716" i="10"/>
  <c r="P2715" i="10"/>
  <c r="P2714" i="10"/>
  <c r="P2713" i="10"/>
  <c r="P2712" i="10"/>
  <c r="P2711" i="10"/>
  <c r="P2710" i="10"/>
  <c r="P2709" i="10"/>
  <c r="P2708" i="10"/>
  <c r="P2707" i="10"/>
  <c r="P2706" i="10"/>
  <c r="P2705" i="10"/>
  <c r="P2704" i="10"/>
  <c r="P2703" i="10"/>
  <c r="P2702" i="10"/>
  <c r="P2701" i="10"/>
  <c r="P2700" i="10"/>
  <c r="P2699" i="10"/>
  <c r="P2698" i="10"/>
  <c r="P2697" i="10"/>
  <c r="P2696" i="10"/>
  <c r="P2695" i="10"/>
  <c r="P2694" i="10"/>
  <c r="P2693" i="10"/>
  <c r="P2692" i="10"/>
  <c r="P2691" i="10"/>
  <c r="P2690" i="10"/>
  <c r="P2689" i="10"/>
  <c r="P2688" i="10"/>
  <c r="P2687" i="10"/>
  <c r="P2686" i="10"/>
  <c r="P2685" i="10"/>
  <c r="P2684" i="10"/>
  <c r="P2683" i="10"/>
  <c r="P2682" i="10"/>
  <c r="P2681" i="10"/>
  <c r="P2680" i="10"/>
  <c r="P2679" i="10"/>
  <c r="P2678" i="10"/>
  <c r="P2677" i="10"/>
  <c r="P2676" i="10"/>
  <c r="P2675" i="10"/>
  <c r="P2674" i="10"/>
  <c r="P2673" i="10"/>
  <c r="P2672" i="10"/>
  <c r="P2671" i="10"/>
  <c r="P2670" i="10"/>
  <c r="P2669" i="10"/>
  <c r="P2668" i="10"/>
  <c r="P2667" i="10"/>
  <c r="P2666" i="10"/>
  <c r="P2665" i="10"/>
  <c r="P2664" i="10"/>
  <c r="P2663" i="10"/>
  <c r="P2662" i="10"/>
  <c r="P2661" i="10"/>
  <c r="P2660" i="10"/>
  <c r="P2659" i="10"/>
  <c r="P2658" i="10"/>
  <c r="P2657" i="10"/>
  <c r="P2656" i="10"/>
  <c r="P2655" i="10"/>
  <c r="P2654" i="10"/>
  <c r="P2653" i="10"/>
  <c r="P2652" i="10"/>
  <c r="P2651" i="10"/>
  <c r="P2650" i="10"/>
  <c r="P2649" i="10"/>
  <c r="P2648" i="10"/>
  <c r="P2647" i="10"/>
  <c r="P2646" i="10"/>
  <c r="P2645" i="10"/>
  <c r="P2644" i="10"/>
  <c r="P2643" i="10"/>
  <c r="P2642" i="10"/>
  <c r="P2641" i="10"/>
  <c r="P2640" i="10"/>
  <c r="P2639" i="10"/>
  <c r="P2638" i="10"/>
  <c r="P2637" i="10"/>
  <c r="P2636" i="10"/>
  <c r="P2635" i="10"/>
  <c r="P2634" i="10"/>
  <c r="P2633" i="10"/>
  <c r="P2632" i="10"/>
  <c r="P2631" i="10"/>
  <c r="P2630" i="10"/>
  <c r="P2629" i="10"/>
  <c r="P2628" i="10"/>
  <c r="P2627" i="10"/>
  <c r="P2626" i="10"/>
  <c r="P2625" i="10"/>
  <c r="P2624" i="10"/>
  <c r="P2623" i="10"/>
  <c r="P2622" i="10"/>
  <c r="P2621" i="10"/>
  <c r="P2620" i="10"/>
  <c r="P2619" i="10"/>
  <c r="P2618" i="10"/>
  <c r="P2617" i="10"/>
  <c r="P2616" i="10"/>
  <c r="P2615" i="10"/>
  <c r="P2614" i="10"/>
  <c r="P2613" i="10"/>
  <c r="P2612" i="10"/>
  <c r="P2611" i="10"/>
  <c r="P2610" i="10"/>
  <c r="P2609" i="10"/>
  <c r="P2608" i="10"/>
  <c r="P2607" i="10"/>
  <c r="P2606" i="10"/>
  <c r="P2605" i="10"/>
  <c r="P2604" i="10"/>
  <c r="P2603" i="10"/>
  <c r="P2602" i="10"/>
  <c r="P2601" i="10"/>
  <c r="P2600" i="10"/>
  <c r="P2599" i="10"/>
  <c r="P2598" i="10"/>
  <c r="P2597" i="10"/>
  <c r="P2596" i="10"/>
  <c r="P2595" i="10"/>
  <c r="P2594" i="10"/>
  <c r="P2593" i="10"/>
  <c r="P2592" i="10"/>
  <c r="P2591" i="10"/>
  <c r="P2590" i="10"/>
  <c r="P2589" i="10"/>
  <c r="P2588" i="10"/>
  <c r="P2587" i="10"/>
  <c r="P2586" i="10"/>
  <c r="P2585" i="10"/>
  <c r="P2584" i="10"/>
  <c r="P2583" i="10"/>
  <c r="P2582" i="10"/>
  <c r="P2581" i="10"/>
  <c r="P2580" i="10"/>
  <c r="P2579" i="10"/>
  <c r="P2578" i="10"/>
  <c r="P2577" i="10"/>
  <c r="P2576" i="10"/>
  <c r="P2575" i="10"/>
  <c r="P2574" i="10"/>
  <c r="P2573" i="10"/>
  <c r="P2572" i="10"/>
  <c r="P2571" i="10"/>
  <c r="P2570" i="10"/>
  <c r="P2569" i="10"/>
  <c r="P2568" i="10"/>
  <c r="P2567" i="10"/>
  <c r="P2566" i="10"/>
  <c r="P2565" i="10"/>
  <c r="P2564" i="10"/>
  <c r="P2563" i="10"/>
  <c r="P2562" i="10"/>
  <c r="P2561" i="10"/>
  <c r="P2560" i="10"/>
  <c r="P2559" i="10"/>
  <c r="P2558" i="10"/>
  <c r="P2557" i="10"/>
  <c r="P2556" i="10"/>
  <c r="P2555" i="10"/>
  <c r="P2554" i="10"/>
  <c r="P2553" i="10"/>
  <c r="P2552" i="10"/>
  <c r="P2551" i="10"/>
  <c r="P2550" i="10"/>
  <c r="P2549" i="10"/>
  <c r="P2548" i="10"/>
  <c r="P2547" i="10"/>
  <c r="P2546" i="10"/>
  <c r="P2545" i="10"/>
  <c r="P2544" i="10"/>
  <c r="P2543" i="10"/>
  <c r="P2542" i="10"/>
  <c r="P2541" i="10"/>
  <c r="P2540" i="10"/>
  <c r="P2539" i="10"/>
  <c r="P2538" i="10"/>
  <c r="P2537" i="10"/>
  <c r="P2536" i="10"/>
  <c r="P2535" i="10"/>
  <c r="P2534" i="10"/>
  <c r="P2533" i="10"/>
  <c r="P2532" i="10"/>
  <c r="P2531" i="10"/>
  <c r="P2530" i="10"/>
  <c r="P2529" i="10"/>
  <c r="P2528" i="10"/>
  <c r="P2527" i="10"/>
  <c r="P2526" i="10"/>
  <c r="P2525" i="10"/>
  <c r="P2524" i="10"/>
  <c r="P2523" i="10"/>
  <c r="P2522" i="10"/>
  <c r="P2521" i="10"/>
  <c r="P2520" i="10"/>
  <c r="P2519" i="10"/>
  <c r="P2518" i="10"/>
  <c r="P2517" i="10"/>
  <c r="P2516" i="10"/>
  <c r="P2515" i="10"/>
  <c r="P2514" i="10"/>
  <c r="P2513" i="10"/>
  <c r="P2512" i="10"/>
  <c r="P2511" i="10"/>
  <c r="P2510" i="10"/>
  <c r="P2509" i="10"/>
  <c r="P2508" i="10"/>
  <c r="P2507" i="10"/>
  <c r="P2506" i="10"/>
  <c r="P2505" i="10"/>
  <c r="P2504" i="10"/>
  <c r="P2503" i="10"/>
  <c r="P2502" i="10"/>
  <c r="P2501" i="10"/>
  <c r="P2500" i="10"/>
  <c r="P2499" i="10"/>
  <c r="P2498" i="10"/>
  <c r="P2497" i="10"/>
  <c r="P2496" i="10"/>
  <c r="P2495" i="10"/>
  <c r="P2494" i="10"/>
  <c r="P2493" i="10"/>
  <c r="P2492" i="10"/>
  <c r="P2491" i="10"/>
  <c r="P2490" i="10"/>
  <c r="P2489" i="10"/>
  <c r="P2488" i="10"/>
  <c r="P2487" i="10"/>
  <c r="P2486" i="10"/>
  <c r="P2485" i="10"/>
  <c r="P2484" i="10"/>
  <c r="P2483" i="10"/>
  <c r="P2482" i="10"/>
  <c r="P2481" i="10"/>
  <c r="P2480" i="10"/>
  <c r="P2479" i="10"/>
  <c r="P2478" i="10"/>
  <c r="P2477" i="10"/>
  <c r="P2476" i="10"/>
  <c r="P2475" i="10"/>
  <c r="P2474" i="10"/>
  <c r="P2473" i="10"/>
  <c r="P2472" i="10"/>
  <c r="P2471" i="10"/>
  <c r="P2470" i="10"/>
  <c r="P2469" i="10"/>
  <c r="P2468" i="10"/>
  <c r="P2467" i="10"/>
  <c r="P2466" i="10"/>
  <c r="P2465" i="10"/>
  <c r="P2464" i="10"/>
  <c r="P2463" i="10"/>
  <c r="P2462" i="10"/>
  <c r="P2461" i="10"/>
  <c r="P2460" i="10"/>
  <c r="P2459" i="10"/>
  <c r="P2458" i="10"/>
  <c r="P2457" i="10"/>
  <c r="P2456" i="10"/>
  <c r="P2455" i="10"/>
  <c r="P2454" i="10"/>
  <c r="P2453" i="10"/>
  <c r="P2452" i="10"/>
  <c r="P2451" i="10"/>
  <c r="P2450" i="10"/>
  <c r="P2449" i="10"/>
  <c r="P2448" i="10"/>
  <c r="P2447" i="10"/>
  <c r="P2446" i="10"/>
  <c r="P2445" i="10"/>
  <c r="P2444" i="10"/>
  <c r="P2443" i="10"/>
  <c r="P2442" i="10"/>
  <c r="P2441" i="10"/>
  <c r="P2440" i="10"/>
  <c r="P2439" i="10"/>
  <c r="P2438" i="10"/>
  <c r="P2437" i="10"/>
  <c r="P2436" i="10"/>
  <c r="P2435" i="10"/>
  <c r="P2434" i="10"/>
  <c r="P2433" i="10"/>
  <c r="P2432" i="10"/>
  <c r="P2431" i="10"/>
  <c r="P2430" i="10"/>
  <c r="P2429" i="10"/>
  <c r="P2428" i="10"/>
  <c r="P2427" i="10"/>
  <c r="P2426" i="10"/>
  <c r="P2425" i="10"/>
  <c r="P2424" i="10"/>
  <c r="P2423" i="10"/>
  <c r="P2422" i="10"/>
  <c r="P2421" i="10"/>
  <c r="P2420" i="10"/>
  <c r="P2419" i="10"/>
  <c r="P2418" i="10"/>
  <c r="P2417" i="10"/>
  <c r="P2416" i="10"/>
  <c r="P2415" i="10"/>
  <c r="P2414" i="10"/>
  <c r="P2413" i="10"/>
  <c r="P2412" i="10"/>
  <c r="P2411" i="10"/>
  <c r="P2410" i="10"/>
  <c r="P2409" i="10"/>
  <c r="P2408" i="10"/>
  <c r="P2407" i="10"/>
  <c r="P2406" i="10"/>
  <c r="P2405" i="10"/>
  <c r="P2404" i="10"/>
  <c r="P2403" i="10"/>
  <c r="P2402" i="10"/>
  <c r="P2401" i="10"/>
  <c r="P2400" i="10"/>
  <c r="P2399" i="10"/>
  <c r="P2398" i="10"/>
  <c r="P2397" i="10"/>
  <c r="P2396" i="10"/>
  <c r="P2395" i="10"/>
  <c r="P2394" i="10"/>
  <c r="P2393" i="10"/>
  <c r="P2392" i="10"/>
  <c r="P2391" i="10"/>
  <c r="P2390" i="10"/>
  <c r="P2389" i="10"/>
  <c r="P2388" i="10"/>
  <c r="P2387" i="10"/>
  <c r="P2386" i="10"/>
  <c r="P2385" i="10"/>
  <c r="P2384" i="10"/>
  <c r="P2383" i="10"/>
  <c r="P2382" i="10"/>
  <c r="P2381" i="10"/>
  <c r="P2380" i="10"/>
  <c r="P2379" i="10"/>
  <c r="P2378" i="10"/>
  <c r="P2377" i="10"/>
  <c r="P2376" i="10"/>
  <c r="P2375" i="10"/>
  <c r="P2374" i="10"/>
  <c r="P2373" i="10"/>
  <c r="P2372" i="10"/>
  <c r="P2371" i="10"/>
  <c r="P2370" i="10"/>
  <c r="P2369" i="10"/>
  <c r="P2368" i="10"/>
  <c r="P2367" i="10"/>
  <c r="P2366" i="10"/>
  <c r="P2365" i="10"/>
  <c r="P2364" i="10"/>
  <c r="P2363" i="10"/>
  <c r="P2362" i="10"/>
  <c r="P2361" i="10"/>
  <c r="P2360" i="10"/>
  <c r="P2359" i="10"/>
  <c r="P2358" i="10"/>
  <c r="P2357" i="10"/>
  <c r="P2356" i="10"/>
  <c r="P2355" i="10"/>
  <c r="P2354" i="10"/>
  <c r="P2353" i="10"/>
  <c r="P2352" i="10"/>
  <c r="P2351" i="10"/>
  <c r="P2350" i="10"/>
  <c r="P2349" i="10"/>
  <c r="P2348" i="10"/>
  <c r="P2347" i="10"/>
  <c r="P2346" i="10"/>
  <c r="P2345" i="10"/>
  <c r="P2344" i="10"/>
  <c r="P2343" i="10"/>
  <c r="P2342" i="10"/>
  <c r="P2341" i="10"/>
  <c r="P2340" i="10"/>
  <c r="P2339" i="10"/>
  <c r="P2338" i="10"/>
  <c r="P2337" i="10"/>
  <c r="P2336" i="10"/>
  <c r="P2335" i="10"/>
  <c r="P2334" i="10"/>
  <c r="P2333" i="10"/>
  <c r="P2332" i="10"/>
  <c r="P2331" i="10"/>
  <c r="P2330" i="10"/>
  <c r="P2329" i="10"/>
  <c r="P2328" i="10"/>
  <c r="P2327" i="10"/>
  <c r="P2326" i="10"/>
  <c r="P2325" i="10"/>
  <c r="P2324" i="10"/>
  <c r="P2323" i="10"/>
  <c r="P2322" i="10"/>
  <c r="P2321" i="10"/>
  <c r="P2320" i="10"/>
  <c r="P2319" i="10"/>
  <c r="P2318" i="10"/>
  <c r="P2317" i="10"/>
  <c r="P2316" i="10"/>
  <c r="P2315" i="10"/>
  <c r="P2314" i="10"/>
  <c r="P2313" i="10"/>
  <c r="P2312" i="10"/>
  <c r="P2311" i="10"/>
  <c r="P2310" i="10"/>
  <c r="P2309" i="10"/>
  <c r="P2308" i="10"/>
  <c r="P2307" i="10"/>
  <c r="P2306" i="10"/>
  <c r="P2305" i="10"/>
  <c r="P2304" i="10"/>
  <c r="P2303" i="10"/>
  <c r="P2302" i="10"/>
  <c r="P2301" i="10"/>
  <c r="P2300" i="10"/>
  <c r="P2299" i="10"/>
  <c r="P2298" i="10"/>
  <c r="P2297" i="10"/>
  <c r="P2296" i="10"/>
  <c r="P2295" i="10"/>
  <c r="P2294" i="10"/>
  <c r="P2293" i="10"/>
  <c r="P2292" i="10"/>
  <c r="P2291" i="10"/>
  <c r="P2290" i="10"/>
  <c r="P2289" i="10"/>
  <c r="P2288" i="10"/>
  <c r="P2287" i="10"/>
  <c r="P2286" i="10"/>
  <c r="P2285" i="10"/>
  <c r="P2284" i="10"/>
  <c r="P2283" i="10"/>
  <c r="P2282" i="10"/>
  <c r="P2281" i="10"/>
  <c r="P2280" i="10"/>
  <c r="P2279" i="10"/>
  <c r="P2278" i="10"/>
  <c r="P2277" i="10"/>
  <c r="P2276" i="10"/>
  <c r="P2275" i="10"/>
  <c r="P2274" i="10"/>
  <c r="P2273" i="10"/>
  <c r="P2272" i="10"/>
  <c r="P2271" i="10"/>
  <c r="P2270" i="10"/>
  <c r="P2269" i="10"/>
  <c r="P2268" i="10"/>
  <c r="P2267" i="10"/>
  <c r="P2266" i="10"/>
  <c r="P2265" i="10"/>
  <c r="P2264" i="10"/>
  <c r="P2263" i="10"/>
  <c r="P2262" i="10"/>
  <c r="P2261" i="10"/>
  <c r="P2260" i="10"/>
  <c r="P2259" i="10"/>
  <c r="P2258" i="10"/>
  <c r="P2257" i="10"/>
  <c r="P2256" i="10"/>
  <c r="P2255" i="10"/>
  <c r="P2254" i="10"/>
  <c r="P2253" i="10"/>
  <c r="P2252" i="10"/>
  <c r="P2251" i="10"/>
  <c r="P2250" i="10"/>
  <c r="P2249" i="10"/>
  <c r="P2248" i="10"/>
  <c r="P2247" i="10"/>
  <c r="P2246" i="10"/>
  <c r="P2245" i="10"/>
  <c r="P2244" i="10"/>
  <c r="P2243" i="10"/>
  <c r="P2242" i="10"/>
  <c r="P2241" i="10"/>
  <c r="P2240" i="10"/>
  <c r="P2239" i="10"/>
  <c r="P2238" i="10"/>
  <c r="P2237" i="10"/>
  <c r="P2236" i="10"/>
  <c r="P2235" i="10"/>
  <c r="P2234" i="10"/>
  <c r="P2233" i="10"/>
  <c r="P2232" i="10"/>
  <c r="P2231" i="10"/>
  <c r="P2230" i="10"/>
  <c r="P2229" i="10"/>
  <c r="P2228" i="10"/>
  <c r="P2227" i="10"/>
  <c r="P2226" i="10"/>
  <c r="P2225" i="10"/>
  <c r="P2224" i="10"/>
  <c r="P2223" i="10"/>
  <c r="P2222" i="10"/>
  <c r="P2221" i="10"/>
  <c r="P2220" i="10"/>
  <c r="P2219" i="10"/>
  <c r="P2218" i="10"/>
  <c r="P2217" i="10"/>
  <c r="P2216" i="10"/>
  <c r="P2215" i="10"/>
  <c r="P2214" i="10"/>
  <c r="P2213" i="10"/>
  <c r="P2212" i="10"/>
  <c r="P2211" i="10"/>
  <c r="P2210" i="10"/>
  <c r="P2209" i="10"/>
  <c r="P2208" i="10"/>
  <c r="P2207" i="10"/>
  <c r="P2206" i="10"/>
  <c r="P2205" i="10"/>
  <c r="P2204" i="10"/>
  <c r="P2203" i="10"/>
  <c r="P2202" i="10"/>
  <c r="P2201" i="10"/>
  <c r="P2200" i="10"/>
  <c r="P2199" i="10"/>
  <c r="P2198" i="10"/>
  <c r="P2197" i="10"/>
  <c r="P2196" i="10"/>
  <c r="P2195" i="10"/>
  <c r="P2194" i="10"/>
  <c r="P2193" i="10"/>
  <c r="P2192" i="10"/>
  <c r="P2191" i="10"/>
  <c r="P2190" i="10"/>
  <c r="P2189" i="10"/>
  <c r="P2188" i="10"/>
  <c r="P2187" i="10"/>
  <c r="P2186" i="10"/>
  <c r="P2185" i="10"/>
  <c r="P2184" i="10"/>
  <c r="P2183" i="10"/>
  <c r="P2182" i="10"/>
  <c r="P2181" i="10"/>
  <c r="P2180" i="10"/>
  <c r="P2179" i="10"/>
  <c r="P2178" i="10"/>
  <c r="P2177" i="10"/>
  <c r="P2176" i="10"/>
  <c r="P2175" i="10"/>
  <c r="P2174" i="10"/>
  <c r="P2173" i="10"/>
  <c r="P2172" i="10"/>
  <c r="P2171" i="10"/>
  <c r="P2170" i="10"/>
  <c r="P2169" i="10"/>
  <c r="P2168" i="10"/>
  <c r="P2167" i="10"/>
  <c r="P2166" i="10"/>
  <c r="P2165" i="10"/>
  <c r="P2164" i="10"/>
  <c r="P2163" i="10"/>
  <c r="P2162" i="10"/>
  <c r="P2161" i="10"/>
  <c r="P2160" i="10"/>
  <c r="P2159" i="10"/>
  <c r="P2158" i="10"/>
  <c r="P2157" i="10"/>
  <c r="P2156" i="10"/>
  <c r="P2155" i="10"/>
  <c r="P2154" i="10"/>
  <c r="P2153" i="10"/>
  <c r="P2152" i="10"/>
  <c r="P2151" i="10"/>
  <c r="P2150" i="10"/>
  <c r="P2149" i="10"/>
  <c r="P2148" i="10"/>
  <c r="P2147" i="10"/>
  <c r="P2146" i="10"/>
  <c r="P2145" i="10"/>
  <c r="P2144" i="10"/>
  <c r="P2143" i="10"/>
  <c r="P2142" i="10"/>
  <c r="P2141" i="10"/>
  <c r="P2140" i="10"/>
  <c r="P2139" i="10"/>
  <c r="P2138" i="10"/>
  <c r="P2137" i="10"/>
  <c r="P2136" i="10"/>
  <c r="P2135" i="10"/>
  <c r="P2134" i="10"/>
  <c r="P2133" i="10"/>
  <c r="P2132" i="10"/>
  <c r="P2131" i="10"/>
  <c r="P2130" i="10"/>
  <c r="P2129" i="10"/>
  <c r="P2128" i="10"/>
  <c r="P2127" i="10"/>
  <c r="P2126" i="10"/>
  <c r="P2125" i="10"/>
  <c r="P2124" i="10"/>
  <c r="P2123" i="10"/>
  <c r="P2122" i="10"/>
  <c r="P2121" i="10"/>
  <c r="P2120" i="10"/>
  <c r="P2119" i="10"/>
  <c r="P2118" i="10"/>
  <c r="P2117" i="10"/>
  <c r="P2116" i="10"/>
  <c r="P2115" i="10"/>
  <c r="P2114" i="10"/>
  <c r="P2113" i="10"/>
  <c r="P2112" i="10"/>
  <c r="P2111" i="10"/>
  <c r="P2110" i="10"/>
  <c r="P2109" i="10"/>
  <c r="P2108" i="10"/>
  <c r="P2107" i="10"/>
  <c r="P2106" i="10"/>
  <c r="P2105" i="10"/>
  <c r="P2104" i="10"/>
  <c r="P2103" i="10"/>
  <c r="P2102" i="10"/>
  <c r="P2101" i="10"/>
  <c r="P2100" i="10"/>
  <c r="P2099" i="10"/>
  <c r="P2098" i="10"/>
  <c r="P2097" i="10"/>
  <c r="P2096" i="10"/>
  <c r="P2095" i="10"/>
  <c r="P2094" i="10"/>
  <c r="P2093" i="10"/>
  <c r="P2092" i="10"/>
  <c r="P2091" i="10"/>
  <c r="P2090" i="10"/>
  <c r="P2089" i="10"/>
  <c r="P2088" i="10"/>
  <c r="P2087" i="10"/>
  <c r="P2086" i="10"/>
  <c r="P2085" i="10"/>
  <c r="P2084" i="10"/>
  <c r="P2083" i="10"/>
  <c r="P2082" i="10"/>
  <c r="P2081" i="10"/>
  <c r="P2080" i="10"/>
  <c r="P2079" i="10"/>
  <c r="P2078" i="10"/>
  <c r="P2077" i="10"/>
  <c r="P2076" i="10"/>
  <c r="P2075" i="10"/>
  <c r="P2074" i="10"/>
  <c r="P2073" i="10"/>
  <c r="P2072" i="10"/>
  <c r="P2071" i="10"/>
  <c r="P2070" i="10"/>
  <c r="P2069" i="10"/>
  <c r="P2068" i="10"/>
  <c r="P2067" i="10"/>
  <c r="P2066" i="10"/>
  <c r="P2065" i="10"/>
  <c r="P2064" i="10"/>
  <c r="P2063" i="10"/>
  <c r="P2062" i="10"/>
  <c r="P2061" i="10"/>
  <c r="P2060" i="10"/>
  <c r="P2059" i="10"/>
  <c r="P2058" i="10"/>
  <c r="P2057" i="10"/>
  <c r="P2056" i="10"/>
  <c r="P2055" i="10"/>
  <c r="P2054" i="10"/>
  <c r="P2053" i="10"/>
  <c r="P2052" i="10"/>
  <c r="P2051" i="10"/>
  <c r="P2050" i="10"/>
  <c r="P2049" i="10"/>
  <c r="P2048" i="10"/>
  <c r="P2047" i="10"/>
  <c r="P2046" i="10"/>
  <c r="P2045" i="10"/>
  <c r="P2044" i="10"/>
  <c r="P2043" i="10"/>
  <c r="P2042" i="10"/>
  <c r="P2041" i="10"/>
  <c r="P2040" i="10"/>
  <c r="P2039" i="10"/>
  <c r="P2038" i="10"/>
  <c r="P2037" i="10"/>
  <c r="P2036" i="10"/>
  <c r="P2035" i="10"/>
  <c r="P2034" i="10"/>
  <c r="P2033" i="10"/>
  <c r="P2032" i="10"/>
  <c r="P2031" i="10"/>
  <c r="P2030" i="10"/>
  <c r="P2029" i="10"/>
  <c r="P2028" i="10"/>
  <c r="P2027" i="10"/>
  <c r="P2026" i="10"/>
  <c r="P2025" i="10"/>
  <c r="P2024" i="10"/>
  <c r="P2023" i="10"/>
  <c r="P2022" i="10"/>
  <c r="P2021" i="10"/>
  <c r="P2020" i="10"/>
  <c r="P2019" i="10"/>
  <c r="P2018" i="10"/>
  <c r="P2017" i="10"/>
  <c r="P2016" i="10"/>
  <c r="P2015" i="10"/>
  <c r="P2014" i="10"/>
  <c r="P2013" i="10"/>
  <c r="P2012" i="10"/>
  <c r="P2011" i="10"/>
  <c r="P2010" i="10"/>
  <c r="P2009" i="10"/>
  <c r="P2008" i="10"/>
  <c r="P2007" i="10"/>
  <c r="P2006" i="10"/>
  <c r="P2005" i="10"/>
  <c r="P2004" i="10"/>
  <c r="P2003" i="10"/>
  <c r="P2002" i="10"/>
  <c r="P2001" i="10"/>
  <c r="P2000" i="10"/>
  <c r="P1999" i="10"/>
  <c r="P1998" i="10"/>
  <c r="P1997" i="10"/>
  <c r="P1996" i="10"/>
  <c r="P1995" i="10"/>
  <c r="P1994" i="10"/>
  <c r="P1993" i="10"/>
  <c r="P1992" i="10"/>
  <c r="P1991" i="10"/>
  <c r="P1990" i="10"/>
  <c r="P1989" i="10"/>
  <c r="P1988" i="10"/>
  <c r="P1987" i="10"/>
  <c r="P1986" i="10"/>
  <c r="P1985" i="10"/>
  <c r="P1984" i="10"/>
  <c r="P1983" i="10"/>
  <c r="P1982" i="10"/>
  <c r="P1981" i="10"/>
  <c r="P1980" i="10"/>
  <c r="P1979" i="10"/>
  <c r="P1978" i="10"/>
  <c r="P1977" i="10"/>
  <c r="P1976" i="10"/>
  <c r="P1975" i="10"/>
  <c r="P1974" i="10"/>
  <c r="P1973" i="10"/>
  <c r="P1972" i="10"/>
  <c r="P1971" i="10"/>
  <c r="P1970" i="10"/>
  <c r="P1969" i="10"/>
  <c r="P1968" i="10"/>
  <c r="P1967" i="10"/>
  <c r="P1966" i="10"/>
  <c r="P1965" i="10"/>
  <c r="P1964" i="10"/>
  <c r="P1963" i="10"/>
  <c r="P1962" i="10"/>
  <c r="P1961" i="10"/>
  <c r="P1960" i="10"/>
  <c r="P1959" i="10"/>
  <c r="P1958" i="10"/>
  <c r="P1957" i="10"/>
  <c r="P1956" i="10"/>
  <c r="P1955" i="10"/>
  <c r="P1954" i="10"/>
  <c r="P1953" i="10"/>
  <c r="P1952" i="10"/>
  <c r="P1951" i="10"/>
  <c r="P1950" i="10"/>
  <c r="P1949" i="10"/>
  <c r="P1948" i="10"/>
  <c r="P1947" i="10"/>
  <c r="P1946" i="10"/>
  <c r="P1945" i="10"/>
  <c r="P1944" i="10"/>
  <c r="P1943" i="10"/>
  <c r="P1942" i="10"/>
  <c r="P1941" i="10"/>
  <c r="P1940" i="10"/>
  <c r="P1939" i="10"/>
  <c r="P1938" i="10"/>
  <c r="P1937" i="10"/>
  <c r="P1936" i="10"/>
  <c r="P1935" i="10"/>
  <c r="P1934" i="10"/>
  <c r="P1933" i="10"/>
  <c r="P1932" i="10"/>
  <c r="P1931" i="10"/>
  <c r="P1930" i="10"/>
  <c r="P1929" i="10"/>
  <c r="P1928" i="10"/>
  <c r="P1927" i="10"/>
  <c r="P1926" i="10"/>
  <c r="P1925" i="10"/>
  <c r="P1924" i="10"/>
  <c r="P1923" i="10"/>
  <c r="P1922" i="10"/>
  <c r="P1921" i="10"/>
  <c r="P1920" i="10"/>
  <c r="P1919" i="10"/>
  <c r="P1918" i="10"/>
  <c r="P1917" i="10"/>
  <c r="P1916" i="10"/>
  <c r="P1915" i="10"/>
  <c r="P1914" i="10"/>
  <c r="P1913" i="10"/>
  <c r="P1912" i="10"/>
  <c r="P1911" i="10"/>
  <c r="P1910" i="10"/>
  <c r="P1909" i="10"/>
  <c r="P1908" i="10"/>
  <c r="P1907" i="10"/>
  <c r="P1906" i="10"/>
  <c r="P1905" i="10"/>
  <c r="P1904" i="10"/>
  <c r="P1903" i="10"/>
  <c r="P1902" i="10"/>
  <c r="P1901" i="10"/>
  <c r="P1900" i="10"/>
  <c r="P1899" i="10"/>
  <c r="P1898" i="10"/>
  <c r="P1897" i="10"/>
  <c r="P1896" i="10"/>
  <c r="P1895" i="10"/>
  <c r="P1894" i="10"/>
  <c r="P1893" i="10"/>
  <c r="P1892" i="10"/>
  <c r="P1891" i="10"/>
  <c r="P1890" i="10"/>
  <c r="P1889" i="10"/>
  <c r="P1888" i="10"/>
  <c r="P1887" i="10"/>
  <c r="P1886" i="10"/>
  <c r="P1885" i="10"/>
  <c r="P1884" i="10"/>
  <c r="P1883" i="10"/>
  <c r="P1882" i="10"/>
  <c r="P1881" i="10"/>
  <c r="P1880" i="10"/>
  <c r="P1879" i="10"/>
  <c r="P1878" i="10"/>
  <c r="P1877" i="10"/>
  <c r="P1876" i="10"/>
  <c r="P1875" i="10"/>
  <c r="P1874" i="10"/>
  <c r="P1873" i="10"/>
  <c r="P1872" i="10"/>
  <c r="P1871" i="10"/>
  <c r="P1870" i="10"/>
  <c r="P1869" i="10"/>
  <c r="P1868" i="10"/>
  <c r="P1867" i="10"/>
  <c r="P1866" i="10"/>
  <c r="P1865" i="10"/>
  <c r="P1864" i="10"/>
  <c r="P1863" i="10"/>
  <c r="P1862" i="10"/>
  <c r="P1861" i="10"/>
  <c r="P1860" i="10"/>
  <c r="P1859" i="10"/>
  <c r="P1858" i="10"/>
  <c r="P1857" i="10"/>
  <c r="P1856" i="10"/>
  <c r="P1855" i="10"/>
  <c r="P1854" i="10"/>
  <c r="P1853" i="10"/>
  <c r="P1852" i="10"/>
  <c r="P1851" i="10"/>
  <c r="P1850" i="10"/>
  <c r="P1849" i="10"/>
  <c r="P1848" i="10"/>
  <c r="P1847" i="10"/>
  <c r="P1846" i="10"/>
  <c r="P1845" i="10"/>
  <c r="P1844" i="10"/>
  <c r="P1843" i="10"/>
  <c r="P1842" i="10"/>
  <c r="P1841" i="10"/>
  <c r="P1840" i="10"/>
  <c r="P1839" i="10"/>
  <c r="P1838" i="10"/>
  <c r="P1837" i="10"/>
  <c r="P1836" i="10"/>
  <c r="P1835" i="10"/>
  <c r="P1834" i="10"/>
  <c r="P1833" i="10"/>
  <c r="P1832" i="10"/>
  <c r="P1831" i="10"/>
  <c r="P1830" i="10"/>
  <c r="P1829" i="10"/>
  <c r="P1828" i="10"/>
  <c r="P1827" i="10"/>
  <c r="P1826" i="10"/>
  <c r="P1825" i="10"/>
  <c r="P1824" i="10"/>
  <c r="P1823" i="10"/>
  <c r="P1822" i="10"/>
  <c r="P1821" i="10"/>
  <c r="P1820" i="10"/>
  <c r="P1819" i="10"/>
  <c r="P1818" i="10"/>
  <c r="P1817" i="10"/>
  <c r="P1816" i="10"/>
  <c r="P1815" i="10"/>
  <c r="P1814" i="10"/>
  <c r="P1813" i="10"/>
  <c r="P1812" i="10"/>
  <c r="P1811" i="10"/>
  <c r="P1810" i="10"/>
  <c r="P1809" i="10"/>
  <c r="P1808" i="10"/>
  <c r="P1807" i="10"/>
  <c r="P1806" i="10"/>
  <c r="P1805" i="10"/>
  <c r="P1804" i="10"/>
  <c r="P1803" i="10"/>
  <c r="P1802" i="10"/>
  <c r="P1801" i="10"/>
  <c r="P1800" i="10"/>
  <c r="P1799" i="10"/>
  <c r="P1798" i="10"/>
  <c r="P1797" i="10"/>
  <c r="P1796" i="10"/>
  <c r="P1795" i="10"/>
  <c r="P1794" i="10"/>
  <c r="P1793" i="10"/>
  <c r="P1792" i="10"/>
  <c r="P1791" i="10"/>
  <c r="P1790" i="10"/>
  <c r="P1789" i="10"/>
  <c r="P1788" i="10"/>
  <c r="P1787" i="10"/>
  <c r="P1786" i="10"/>
  <c r="P1785" i="10"/>
  <c r="P1784" i="10"/>
  <c r="P1783" i="10"/>
  <c r="P1782" i="10"/>
  <c r="P1781" i="10"/>
  <c r="P1780" i="10"/>
  <c r="P1779" i="10"/>
  <c r="P1778" i="10"/>
  <c r="P1777" i="10"/>
  <c r="P1776" i="10"/>
  <c r="P1775" i="10"/>
  <c r="P1774" i="10"/>
  <c r="P1773" i="10"/>
  <c r="P1772" i="10"/>
  <c r="P1771" i="10"/>
  <c r="P1770" i="10"/>
  <c r="P1769" i="10"/>
  <c r="P1768" i="10"/>
  <c r="P1767" i="10"/>
  <c r="P1766" i="10"/>
  <c r="P1765" i="10"/>
  <c r="P1764" i="10"/>
  <c r="P1763" i="10"/>
  <c r="P1762" i="10"/>
  <c r="P1761" i="10"/>
  <c r="P1760" i="10"/>
  <c r="P1759" i="10"/>
  <c r="P1758" i="10"/>
  <c r="P1757" i="10"/>
  <c r="P1756" i="10"/>
  <c r="P1755" i="10"/>
  <c r="P1754" i="10"/>
  <c r="P1753" i="10"/>
  <c r="P1752" i="10"/>
  <c r="P1751" i="10"/>
  <c r="P1750" i="10"/>
  <c r="P1749" i="10"/>
  <c r="P1748" i="10"/>
  <c r="P1747" i="10"/>
  <c r="P1746" i="10"/>
  <c r="P1745" i="10"/>
  <c r="P1744" i="10"/>
  <c r="P1743" i="10"/>
  <c r="P1742" i="10"/>
  <c r="P1741" i="10"/>
  <c r="P1740" i="10"/>
  <c r="P1739" i="10"/>
  <c r="P1738" i="10"/>
  <c r="P1737" i="10"/>
  <c r="P1736" i="10"/>
  <c r="P1735" i="10"/>
  <c r="P1734" i="10"/>
  <c r="P1733" i="10"/>
  <c r="P1732" i="10"/>
  <c r="P1731" i="10"/>
  <c r="P1730" i="10"/>
  <c r="P1729" i="10"/>
  <c r="P1728" i="10"/>
  <c r="P1727" i="10"/>
  <c r="P1726" i="10"/>
  <c r="P1725" i="10"/>
  <c r="P1724" i="10"/>
  <c r="P1723" i="10"/>
  <c r="P1722" i="10"/>
  <c r="P1721" i="10"/>
  <c r="P1720" i="10"/>
  <c r="P1719" i="10"/>
  <c r="P1718" i="10"/>
  <c r="P1717" i="10"/>
  <c r="P1716" i="10"/>
  <c r="P1715" i="10"/>
  <c r="P1714" i="10"/>
  <c r="P1713" i="10"/>
  <c r="P1712" i="10"/>
  <c r="P1711" i="10"/>
  <c r="P1710" i="10"/>
  <c r="P1709" i="10"/>
  <c r="P1708" i="10"/>
  <c r="P1707" i="10"/>
  <c r="P1706" i="10"/>
  <c r="P1705" i="10"/>
  <c r="P1704" i="10"/>
  <c r="P1703" i="10"/>
  <c r="P1702" i="10"/>
  <c r="P1701" i="10"/>
  <c r="P1700" i="10"/>
  <c r="P1699" i="10"/>
  <c r="P1698" i="10"/>
  <c r="P1697" i="10"/>
  <c r="P1696" i="10"/>
  <c r="P1695" i="10"/>
  <c r="P1694" i="10"/>
  <c r="P1693" i="10"/>
  <c r="P1692" i="10"/>
  <c r="P1691" i="10"/>
  <c r="P1690" i="10"/>
  <c r="P1689" i="10"/>
  <c r="P1688" i="10"/>
  <c r="P1687" i="10"/>
  <c r="P1686" i="10"/>
  <c r="P1685" i="10"/>
  <c r="P1684" i="10"/>
  <c r="P1683" i="10"/>
  <c r="P1682" i="10"/>
  <c r="P1681" i="10"/>
  <c r="P1680" i="10"/>
  <c r="P1679" i="10"/>
  <c r="P1678" i="10"/>
  <c r="P1677" i="10"/>
  <c r="P1676" i="10"/>
  <c r="P1675" i="10"/>
  <c r="P1674" i="10"/>
  <c r="P1673" i="10"/>
  <c r="P1672" i="10"/>
  <c r="P1671" i="10"/>
  <c r="P1670" i="10"/>
  <c r="P1669" i="10"/>
  <c r="P1668" i="10"/>
  <c r="P1667" i="10"/>
  <c r="P1666" i="10"/>
  <c r="P1665" i="10"/>
  <c r="P1664" i="10"/>
  <c r="P1663" i="10"/>
  <c r="P1662" i="10"/>
  <c r="P1661" i="10"/>
  <c r="P1660" i="10"/>
  <c r="P1659" i="10"/>
  <c r="P1658" i="10"/>
  <c r="P1657" i="10"/>
  <c r="P1656" i="10"/>
  <c r="P1655" i="10"/>
  <c r="P1654" i="10"/>
  <c r="P1653" i="10"/>
  <c r="P1652" i="10"/>
  <c r="P1651" i="10"/>
  <c r="P1650" i="10"/>
  <c r="P1649" i="10"/>
  <c r="P1648" i="10"/>
  <c r="P1647" i="10"/>
  <c r="P1646" i="10"/>
  <c r="P1645" i="10"/>
  <c r="P1644" i="10"/>
  <c r="P1643" i="10"/>
  <c r="P1642" i="10"/>
  <c r="P1641" i="10"/>
  <c r="P1640" i="10"/>
  <c r="P1639" i="10"/>
  <c r="P1638" i="10"/>
  <c r="P1637" i="10"/>
  <c r="P1636" i="10"/>
  <c r="P1635" i="10"/>
  <c r="P1634" i="10"/>
  <c r="P1633" i="10"/>
  <c r="P1632" i="10"/>
  <c r="P1631" i="10"/>
  <c r="P1630" i="10"/>
  <c r="P1629" i="10"/>
  <c r="P1628" i="10"/>
  <c r="P1627" i="10"/>
  <c r="P1626" i="10"/>
  <c r="P1625" i="10"/>
  <c r="P1624" i="10"/>
  <c r="P1623" i="10"/>
  <c r="P1622" i="10"/>
  <c r="P1621" i="10"/>
  <c r="P1620" i="10"/>
  <c r="P1619" i="10"/>
  <c r="P1618" i="10"/>
  <c r="P1617" i="10"/>
  <c r="P1616" i="10"/>
  <c r="P1615" i="10"/>
  <c r="P1614" i="10"/>
  <c r="P1613" i="10"/>
  <c r="P1612" i="10"/>
  <c r="P1611" i="10"/>
  <c r="P1610" i="10"/>
  <c r="P1609" i="10"/>
  <c r="P1608" i="10"/>
  <c r="P1607" i="10"/>
  <c r="P1606" i="10"/>
  <c r="P1605" i="10"/>
  <c r="P1604" i="10"/>
  <c r="P1603" i="10"/>
  <c r="P1602" i="10"/>
  <c r="P1601" i="10"/>
  <c r="P1600" i="10"/>
  <c r="P1599" i="10"/>
  <c r="P1598" i="10"/>
  <c r="P1597" i="10"/>
  <c r="P1596" i="10"/>
  <c r="P1595" i="10"/>
  <c r="P1594" i="10"/>
  <c r="P1593" i="10"/>
  <c r="P1592" i="10"/>
  <c r="P1591" i="10"/>
  <c r="P1590" i="10"/>
  <c r="P1589" i="10"/>
  <c r="P1588" i="10"/>
  <c r="P1587" i="10"/>
  <c r="P1586" i="10"/>
  <c r="P1585" i="10"/>
  <c r="P1584" i="10"/>
  <c r="P1583" i="10"/>
  <c r="P1582" i="10"/>
  <c r="P1581" i="10"/>
  <c r="P1580" i="10"/>
  <c r="P1579" i="10"/>
  <c r="P1578" i="10"/>
  <c r="P1577" i="10"/>
  <c r="P1576" i="10"/>
  <c r="P1575" i="10"/>
  <c r="P1574" i="10"/>
  <c r="P1573" i="10"/>
  <c r="P1572" i="10"/>
  <c r="P1571" i="10"/>
  <c r="P1570" i="10"/>
  <c r="P1569" i="10"/>
  <c r="P1568" i="10"/>
  <c r="P1567" i="10"/>
  <c r="P1566" i="10"/>
  <c r="P1565" i="10"/>
  <c r="P1564" i="10"/>
  <c r="P1563" i="10"/>
  <c r="P1562" i="10"/>
  <c r="P1561" i="10"/>
  <c r="P1560" i="10"/>
  <c r="P1559" i="10"/>
  <c r="P1558" i="10"/>
  <c r="P1557" i="10"/>
  <c r="P1556" i="10"/>
  <c r="P1555" i="10"/>
  <c r="P1554" i="10"/>
  <c r="P1553" i="10"/>
  <c r="P1552" i="10"/>
  <c r="P1551" i="10"/>
  <c r="P1550" i="10"/>
  <c r="P1549" i="10"/>
  <c r="P1548" i="10"/>
  <c r="P1547" i="10"/>
  <c r="P1546" i="10"/>
  <c r="P1545" i="10"/>
  <c r="P1544" i="10"/>
  <c r="P1543" i="10"/>
  <c r="P1542" i="10"/>
  <c r="P1541" i="10"/>
  <c r="P1540" i="10"/>
  <c r="P1539" i="10"/>
  <c r="P1538" i="10"/>
  <c r="P1537" i="10"/>
  <c r="P1536" i="10"/>
  <c r="P1535" i="10"/>
  <c r="P1534" i="10"/>
  <c r="P1533" i="10"/>
  <c r="P1532" i="10"/>
  <c r="P1531" i="10"/>
  <c r="P1530" i="10"/>
  <c r="P1529" i="10"/>
  <c r="P1528" i="10"/>
  <c r="P1527" i="10"/>
  <c r="P1526" i="10"/>
  <c r="P1525" i="10"/>
  <c r="P1524" i="10"/>
  <c r="P1523" i="10"/>
  <c r="P1522" i="10"/>
  <c r="P1521" i="10"/>
  <c r="P1520" i="10"/>
  <c r="P1519" i="10"/>
  <c r="P1518" i="10"/>
  <c r="P1517" i="10"/>
  <c r="P1516" i="10"/>
  <c r="P1515" i="10"/>
  <c r="P1514" i="10"/>
  <c r="P1513" i="10"/>
  <c r="P1512" i="10"/>
  <c r="P1511" i="10"/>
  <c r="P1510" i="10"/>
  <c r="P1509" i="10"/>
  <c r="P1508" i="10"/>
  <c r="P1507" i="10"/>
  <c r="P1506" i="10"/>
  <c r="P1505" i="10"/>
  <c r="P1504" i="10"/>
  <c r="P1503" i="10"/>
  <c r="P1502" i="10"/>
  <c r="P1501" i="10"/>
  <c r="P1500" i="10"/>
  <c r="P1499" i="10"/>
  <c r="P1498" i="10"/>
  <c r="P1497" i="10"/>
  <c r="P1496" i="10"/>
  <c r="P1495" i="10"/>
  <c r="P1494" i="10"/>
  <c r="P1493" i="10"/>
  <c r="P1492" i="10"/>
  <c r="P1491" i="10"/>
  <c r="P1490" i="10"/>
  <c r="P1489" i="10"/>
  <c r="P1488" i="10"/>
  <c r="P1487" i="10"/>
  <c r="P1486" i="10"/>
  <c r="P1485" i="10"/>
  <c r="P1484" i="10"/>
  <c r="P1483" i="10"/>
  <c r="P1482" i="10"/>
  <c r="P1481" i="10"/>
  <c r="P1480" i="10"/>
  <c r="P1479" i="10"/>
  <c r="P1478" i="10"/>
  <c r="P1477" i="10"/>
  <c r="P1476" i="10"/>
  <c r="P1475" i="10"/>
  <c r="P1474" i="10"/>
  <c r="P1473" i="10"/>
  <c r="P1472" i="10"/>
  <c r="P1471" i="10"/>
  <c r="P1470" i="10"/>
  <c r="P1469" i="10"/>
  <c r="P1468" i="10"/>
  <c r="P1467" i="10"/>
  <c r="P1466" i="10"/>
  <c r="P1465" i="10"/>
  <c r="P1464" i="10"/>
  <c r="P1463" i="10"/>
  <c r="P1462" i="10"/>
  <c r="P1461" i="10"/>
  <c r="P1460" i="10"/>
  <c r="P1459" i="10"/>
  <c r="P1458" i="10"/>
  <c r="P1457" i="10"/>
  <c r="P1456" i="10"/>
  <c r="P1455" i="10"/>
  <c r="P1454" i="10"/>
  <c r="P1453" i="10"/>
  <c r="P1452" i="10"/>
  <c r="P1451" i="10"/>
  <c r="P1450" i="10"/>
  <c r="P1449" i="10"/>
  <c r="P1448" i="10"/>
  <c r="P1447" i="10"/>
  <c r="P1446" i="10"/>
  <c r="P1445" i="10"/>
  <c r="P1444" i="10"/>
  <c r="P1443" i="10"/>
  <c r="P1442" i="10"/>
  <c r="P1441" i="10"/>
  <c r="P1440" i="10"/>
  <c r="P1439" i="10"/>
  <c r="P1438" i="10"/>
  <c r="P1437" i="10"/>
  <c r="P1436" i="10"/>
  <c r="P1435" i="10"/>
  <c r="P1434" i="10"/>
  <c r="P1433" i="10"/>
  <c r="P1432" i="10"/>
  <c r="P1431" i="10"/>
  <c r="P1430" i="10"/>
  <c r="P1429" i="10"/>
  <c r="P1428" i="10"/>
  <c r="P1427" i="10"/>
  <c r="P1426" i="10"/>
  <c r="P1425" i="10"/>
  <c r="P1424" i="10"/>
  <c r="P1423" i="10"/>
  <c r="P1422" i="10"/>
  <c r="P1421" i="10"/>
  <c r="P1420" i="10"/>
  <c r="P1419" i="10"/>
  <c r="P1418" i="10"/>
  <c r="P1417" i="10"/>
  <c r="P1416" i="10"/>
  <c r="P1415" i="10"/>
  <c r="P1414" i="10"/>
  <c r="P1413" i="10"/>
  <c r="P1412" i="10"/>
  <c r="P1411" i="10"/>
  <c r="P1410" i="10"/>
  <c r="P1409" i="10"/>
  <c r="P1408" i="10"/>
  <c r="P1407" i="10"/>
  <c r="P1406" i="10"/>
  <c r="P1405" i="10"/>
  <c r="P1404" i="10"/>
  <c r="P1403" i="10"/>
  <c r="P1402" i="10"/>
  <c r="P1401" i="10"/>
  <c r="P1400" i="10"/>
  <c r="P1399" i="10"/>
  <c r="P1398" i="10"/>
  <c r="P1397" i="10"/>
  <c r="P1396" i="10"/>
  <c r="P1395" i="10"/>
  <c r="P1394" i="10"/>
  <c r="P1393" i="10"/>
  <c r="P1392" i="10"/>
  <c r="P1391" i="10"/>
  <c r="P1390" i="10"/>
  <c r="P1389" i="10"/>
  <c r="P1388" i="10"/>
  <c r="P1387" i="10"/>
  <c r="P1386" i="10"/>
  <c r="P1385" i="10"/>
  <c r="P1384" i="10"/>
  <c r="P1383" i="10"/>
  <c r="P1382" i="10"/>
  <c r="P1381" i="10"/>
  <c r="P1380" i="10"/>
  <c r="P1379" i="10"/>
  <c r="P1378" i="10"/>
  <c r="P1377" i="10"/>
  <c r="P1376" i="10"/>
  <c r="P1375" i="10"/>
  <c r="P1374" i="10"/>
  <c r="P1373" i="10"/>
  <c r="P1372" i="10"/>
  <c r="P1371" i="10"/>
  <c r="P1370" i="10"/>
  <c r="P1369" i="10"/>
  <c r="P1368" i="10"/>
  <c r="P1367" i="10"/>
  <c r="P1366" i="10"/>
  <c r="P1365" i="10"/>
  <c r="P1364" i="10"/>
  <c r="P1363" i="10"/>
  <c r="P1362" i="10"/>
  <c r="P1361" i="10"/>
  <c r="P1360" i="10"/>
  <c r="P1359" i="10"/>
  <c r="P1358" i="10"/>
  <c r="P1357" i="10"/>
  <c r="P1356" i="10"/>
  <c r="P1355" i="10"/>
  <c r="P1354" i="10"/>
  <c r="P1353" i="10"/>
  <c r="P1352" i="10"/>
  <c r="P1351" i="10"/>
  <c r="P1350" i="10"/>
  <c r="P1349" i="10"/>
  <c r="P1348" i="10"/>
  <c r="P1347" i="10"/>
  <c r="P1346" i="10"/>
  <c r="P1345" i="10"/>
  <c r="P1344" i="10"/>
  <c r="P1343" i="10"/>
  <c r="P1342" i="10"/>
  <c r="P1341" i="10"/>
  <c r="P1340" i="10"/>
  <c r="P1339" i="10"/>
  <c r="P1338" i="10"/>
  <c r="P1337" i="10"/>
  <c r="P1336" i="10"/>
  <c r="P1335" i="10"/>
  <c r="P1334" i="10"/>
  <c r="P1333" i="10"/>
  <c r="P1332" i="10"/>
  <c r="P1331" i="10"/>
  <c r="P1330" i="10"/>
  <c r="P1329" i="10"/>
  <c r="P1328" i="10"/>
  <c r="P1327" i="10"/>
  <c r="P1326" i="10"/>
  <c r="P1325" i="10"/>
  <c r="P1324" i="10"/>
  <c r="P1323" i="10"/>
  <c r="P1322" i="10"/>
  <c r="P1321" i="10"/>
  <c r="P1320" i="10"/>
  <c r="P1319" i="10"/>
  <c r="P1318" i="10"/>
  <c r="P1317" i="10"/>
  <c r="P1316" i="10"/>
  <c r="P1315" i="10"/>
  <c r="P1314" i="10"/>
  <c r="P1313" i="10"/>
  <c r="P1312" i="10"/>
  <c r="P1311" i="10"/>
  <c r="P1310" i="10"/>
  <c r="P1309" i="10"/>
  <c r="P1308" i="10"/>
  <c r="P1307" i="10"/>
  <c r="P1306" i="10"/>
  <c r="P1305" i="10"/>
  <c r="P1304" i="10"/>
  <c r="P1303" i="10"/>
  <c r="P1302" i="10"/>
  <c r="P1301" i="10"/>
  <c r="P1300" i="10"/>
  <c r="P1299" i="10"/>
  <c r="P1298" i="10"/>
  <c r="P1297" i="10"/>
  <c r="P1296" i="10"/>
  <c r="P1295" i="10"/>
  <c r="P1294" i="10"/>
  <c r="P1293" i="10"/>
  <c r="P1292" i="10"/>
  <c r="P1291" i="10"/>
  <c r="P1290" i="10"/>
  <c r="P1289" i="10"/>
  <c r="P1288" i="10"/>
  <c r="P1287" i="10"/>
  <c r="P1286" i="10"/>
  <c r="P1285" i="10"/>
  <c r="P1284" i="10"/>
  <c r="P1283" i="10"/>
  <c r="P1282" i="10"/>
  <c r="P1281" i="10"/>
  <c r="P1280" i="10"/>
  <c r="P1279" i="10"/>
  <c r="P1278" i="10"/>
  <c r="P1277" i="10"/>
  <c r="P1276" i="10"/>
  <c r="P1275" i="10"/>
  <c r="P1274" i="10"/>
  <c r="P1273" i="10"/>
  <c r="P1272" i="10"/>
  <c r="P1271" i="10"/>
  <c r="P1270" i="10"/>
  <c r="P1269" i="10"/>
  <c r="P1268" i="10"/>
  <c r="P1267" i="10"/>
  <c r="P1266" i="10"/>
  <c r="P1265" i="10"/>
  <c r="P1264" i="10"/>
  <c r="P1263" i="10"/>
  <c r="P1262" i="10"/>
  <c r="P1261" i="10"/>
  <c r="P1260" i="10"/>
  <c r="P1259" i="10"/>
  <c r="P1258" i="10"/>
  <c r="P1257" i="10"/>
  <c r="P1256" i="10"/>
  <c r="P1255" i="10"/>
  <c r="P1254" i="10"/>
  <c r="P1253" i="10"/>
  <c r="P1252" i="10"/>
  <c r="P1251" i="10"/>
  <c r="P1250" i="10"/>
  <c r="P1249" i="10"/>
  <c r="P1248" i="10"/>
  <c r="P1247" i="10"/>
  <c r="P1246" i="10"/>
  <c r="P1245" i="10"/>
  <c r="P1244" i="10"/>
  <c r="P1243" i="10"/>
  <c r="P1242" i="10"/>
  <c r="P1241" i="10"/>
  <c r="P1240" i="10"/>
  <c r="P1239" i="10"/>
  <c r="P1238" i="10"/>
  <c r="P1237" i="10"/>
  <c r="P1236" i="10"/>
  <c r="P1235" i="10"/>
  <c r="P1234" i="10"/>
  <c r="P1233" i="10"/>
  <c r="P1232" i="10"/>
  <c r="P1231" i="10"/>
  <c r="P1230" i="10"/>
  <c r="P1229" i="10"/>
  <c r="P1228" i="10"/>
  <c r="P1227" i="10"/>
  <c r="P1226" i="10"/>
  <c r="P1225" i="10"/>
  <c r="P1224" i="10"/>
  <c r="P1223" i="10"/>
  <c r="P1222" i="10"/>
  <c r="P1221" i="10"/>
  <c r="P1220" i="10"/>
  <c r="P1219" i="10"/>
  <c r="P1218" i="10"/>
  <c r="P1217" i="10"/>
  <c r="P1216" i="10"/>
  <c r="P1215" i="10"/>
  <c r="P1214" i="10"/>
  <c r="P1213" i="10"/>
  <c r="P1212" i="10"/>
  <c r="P1211" i="10"/>
  <c r="P1210" i="10"/>
  <c r="P1209" i="10"/>
  <c r="P1208" i="10"/>
  <c r="P1207" i="10"/>
  <c r="P1206" i="10"/>
  <c r="P1205" i="10"/>
  <c r="P1204" i="10"/>
  <c r="P1203" i="10"/>
  <c r="P1202" i="10"/>
  <c r="P1201" i="10"/>
  <c r="P1200" i="10"/>
  <c r="P1199" i="10"/>
  <c r="P1198" i="10"/>
  <c r="P1197" i="10"/>
  <c r="P1196" i="10"/>
  <c r="P1195" i="10"/>
  <c r="P1194" i="10"/>
  <c r="P1193" i="10"/>
  <c r="P1192" i="10"/>
  <c r="P1191" i="10"/>
  <c r="P1190" i="10"/>
  <c r="P1189" i="10"/>
  <c r="P1188" i="10"/>
  <c r="P1187" i="10"/>
  <c r="P1186" i="10"/>
  <c r="P1185" i="10"/>
  <c r="P1184" i="10"/>
  <c r="P1183" i="10"/>
  <c r="P1182" i="10"/>
  <c r="P1181" i="10"/>
  <c r="P1180" i="10"/>
  <c r="P1179" i="10"/>
  <c r="P1178" i="10"/>
  <c r="P1177" i="10"/>
  <c r="P1176" i="10"/>
  <c r="P1175" i="10"/>
  <c r="P1174" i="10"/>
  <c r="P1173" i="10"/>
  <c r="P1172" i="10"/>
  <c r="P1171" i="10"/>
  <c r="P1170" i="10"/>
  <c r="P1169" i="10"/>
  <c r="P1168" i="10"/>
  <c r="P1167" i="10"/>
  <c r="P1166" i="10"/>
  <c r="P1165" i="10"/>
  <c r="P1164" i="10"/>
  <c r="P1163" i="10"/>
  <c r="P1162" i="10"/>
  <c r="P1161" i="10"/>
  <c r="P1160" i="10"/>
  <c r="P1159" i="10"/>
  <c r="P1158" i="10"/>
  <c r="P1157" i="10"/>
  <c r="P1156" i="10"/>
  <c r="P1155" i="10"/>
  <c r="P1154" i="10"/>
  <c r="P1153" i="10"/>
  <c r="P1152" i="10"/>
  <c r="P1151" i="10"/>
  <c r="P1150" i="10"/>
  <c r="P1149" i="10"/>
  <c r="P1148" i="10"/>
  <c r="P1147" i="10"/>
  <c r="P1146" i="10"/>
  <c r="P1145" i="10"/>
  <c r="P1144" i="10"/>
  <c r="P1143" i="10"/>
  <c r="P1142" i="10"/>
  <c r="P1141" i="10"/>
  <c r="P1140" i="10"/>
  <c r="P1139" i="10"/>
  <c r="P1138" i="10"/>
  <c r="P1137" i="10"/>
  <c r="P1136" i="10"/>
  <c r="P1135" i="10"/>
  <c r="P1134" i="10"/>
  <c r="P1133" i="10"/>
  <c r="P1132" i="10"/>
  <c r="P1131" i="10"/>
  <c r="P1130" i="10"/>
  <c r="P1129" i="10"/>
  <c r="P1128" i="10"/>
  <c r="P1127" i="10"/>
  <c r="P1126" i="10"/>
  <c r="P1125" i="10"/>
  <c r="P1124" i="10"/>
  <c r="P1123" i="10"/>
  <c r="P1122" i="10"/>
  <c r="P1121" i="10"/>
  <c r="P1120" i="10"/>
  <c r="P1119" i="10"/>
  <c r="P1118" i="10"/>
  <c r="P1117" i="10"/>
  <c r="P1116" i="10"/>
  <c r="P1115" i="10"/>
  <c r="P1114" i="10"/>
  <c r="P1113" i="10"/>
  <c r="P1112" i="10"/>
  <c r="P1111" i="10"/>
  <c r="P1110" i="10"/>
  <c r="P1109" i="10"/>
  <c r="P1108" i="10"/>
  <c r="P1107" i="10"/>
  <c r="P1106" i="10"/>
  <c r="P1105" i="10"/>
  <c r="P1104" i="10"/>
  <c r="P1103" i="10"/>
  <c r="P1102" i="10"/>
  <c r="P1101" i="10"/>
  <c r="P1100" i="10"/>
  <c r="P1099" i="10"/>
  <c r="P1098" i="10"/>
  <c r="P1097" i="10"/>
  <c r="P1096" i="10"/>
  <c r="P1095" i="10"/>
  <c r="P1094" i="10"/>
  <c r="P1093" i="10"/>
  <c r="P1092" i="10"/>
  <c r="P1091" i="10"/>
  <c r="P1090" i="10"/>
  <c r="P1089" i="10"/>
  <c r="P1088" i="10"/>
  <c r="P1087" i="10"/>
  <c r="P1086" i="10"/>
  <c r="P1085" i="10"/>
  <c r="P1084" i="10"/>
  <c r="P1083" i="10"/>
  <c r="P1082" i="10"/>
  <c r="P1081" i="10"/>
  <c r="P1080" i="10"/>
  <c r="P1079" i="10"/>
  <c r="P1078" i="10"/>
  <c r="P1077" i="10"/>
  <c r="P1076" i="10"/>
  <c r="P1075" i="10"/>
  <c r="P1074" i="10"/>
  <c r="P1073" i="10"/>
  <c r="P1072" i="10"/>
  <c r="P1071" i="10"/>
  <c r="P1070" i="10"/>
  <c r="P1069" i="10"/>
  <c r="P1068" i="10"/>
  <c r="P1067" i="10"/>
  <c r="P1066" i="10"/>
  <c r="P1065" i="10"/>
  <c r="P1064" i="10"/>
  <c r="P1063" i="10"/>
  <c r="P1062" i="10"/>
  <c r="P1061" i="10"/>
  <c r="P1060" i="10"/>
  <c r="P1059" i="10"/>
  <c r="P1058" i="10"/>
  <c r="P1057" i="10"/>
  <c r="P1056" i="10"/>
  <c r="P1055" i="10"/>
  <c r="P1054" i="10"/>
  <c r="P1053" i="10"/>
  <c r="P1052" i="10"/>
  <c r="P1051" i="10"/>
  <c r="P1050" i="10"/>
  <c r="P1049" i="10"/>
  <c r="P1048" i="10"/>
  <c r="P1047" i="10"/>
  <c r="P1046" i="10"/>
  <c r="P1045" i="10"/>
  <c r="P1044" i="10"/>
  <c r="P1043" i="10"/>
  <c r="P1042" i="10"/>
  <c r="P1041" i="10"/>
  <c r="P1040" i="10"/>
  <c r="P1039" i="10"/>
  <c r="P1038" i="10"/>
  <c r="P1037" i="10"/>
  <c r="P1036" i="10"/>
  <c r="P1035" i="10"/>
  <c r="P1034" i="10"/>
  <c r="P1033" i="10"/>
  <c r="P1032" i="10"/>
  <c r="P1031" i="10"/>
  <c r="P1030" i="10"/>
  <c r="P1029" i="10"/>
  <c r="P1028" i="10"/>
  <c r="P1027" i="10"/>
  <c r="P1026" i="10"/>
  <c r="P1025" i="10"/>
  <c r="P1024" i="10"/>
  <c r="P1023" i="10"/>
  <c r="P1022" i="10"/>
  <c r="P1021" i="10"/>
  <c r="P1020" i="10"/>
  <c r="P1019" i="10"/>
  <c r="P1018" i="10"/>
  <c r="P1017" i="10"/>
  <c r="P1016" i="10"/>
  <c r="P1015" i="10"/>
  <c r="P1014" i="10"/>
  <c r="P1013" i="10"/>
  <c r="P1012" i="10"/>
  <c r="P1011" i="10"/>
  <c r="P1010" i="10"/>
  <c r="P1009" i="10"/>
  <c r="P1008" i="10"/>
  <c r="P1007" i="10"/>
  <c r="P1006" i="10"/>
  <c r="P1005" i="10"/>
  <c r="P1004" i="10"/>
  <c r="P1003" i="10"/>
  <c r="P1002" i="10"/>
  <c r="P1001" i="10"/>
  <c r="P1000" i="10"/>
  <c r="P999" i="10"/>
  <c r="P998" i="10"/>
  <c r="P997" i="10"/>
  <c r="P996" i="10"/>
  <c r="P995" i="10"/>
  <c r="P994" i="10"/>
  <c r="P993" i="10"/>
  <c r="P992" i="10"/>
  <c r="P991" i="10"/>
  <c r="P990" i="10"/>
  <c r="P989" i="10"/>
  <c r="P988" i="10"/>
  <c r="P987" i="10"/>
  <c r="P986" i="10"/>
  <c r="P985" i="10"/>
  <c r="P984" i="10"/>
  <c r="P983" i="10"/>
  <c r="P982" i="10"/>
  <c r="P981" i="10"/>
  <c r="P980" i="10"/>
  <c r="P979" i="10"/>
  <c r="P978" i="10"/>
  <c r="P977" i="10"/>
  <c r="P976" i="10"/>
  <c r="P975" i="10"/>
  <c r="P974" i="10"/>
  <c r="P973" i="10"/>
  <c r="P972" i="10"/>
  <c r="P971" i="10"/>
  <c r="P970" i="10"/>
  <c r="P969" i="10"/>
  <c r="P968" i="10"/>
  <c r="P967" i="10"/>
  <c r="P966" i="10"/>
  <c r="P965" i="10"/>
  <c r="P964" i="10"/>
  <c r="P963" i="10"/>
  <c r="P962" i="10"/>
  <c r="P961" i="10"/>
  <c r="P960" i="10"/>
  <c r="P959" i="10"/>
  <c r="P958" i="10"/>
  <c r="P957" i="10"/>
  <c r="P956" i="10"/>
  <c r="P955" i="10"/>
  <c r="P954" i="10"/>
  <c r="P953" i="10"/>
  <c r="P952" i="10"/>
  <c r="P951" i="10"/>
  <c r="P950" i="10"/>
  <c r="P949" i="10"/>
  <c r="P948" i="10"/>
  <c r="P947" i="10"/>
  <c r="P946" i="10"/>
  <c r="P945" i="10"/>
  <c r="P944" i="10"/>
  <c r="P943" i="10"/>
  <c r="P942" i="10"/>
  <c r="P941" i="10"/>
  <c r="P940" i="10"/>
  <c r="P939" i="10"/>
  <c r="P938" i="10"/>
  <c r="P937" i="10"/>
  <c r="P936" i="10"/>
  <c r="P935" i="10"/>
  <c r="P934" i="10"/>
  <c r="P933" i="10"/>
  <c r="P932" i="10"/>
  <c r="P931" i="10"/>
  <c r="P930" i="10"/>
  <c r="P929" i="10"/>
  <c r="P928" i="10"/>
  <c r="P927" i="10"/>
  <c r="P926" i="10"/>
  <c r="P925" i="10"/>
  <c r="P924" i="10"/>
  <c r="P923" i="10"/>
  <c r="P922" i="10"/>
  <c r="P921" i="10"/>
  <c r="P920" i="10"/>
  <c r="P919" i="10"/>
  <c r="P918" i="10"/>
  <c r="P917" i="10"/>
  <c r="P916" i="10"/>
  <c r="P915" i="10"/>
  <c r="P914" i="10"/>
  <c r="P913" i="10"/>
  <c r="P912" i="10"/>
  <c r="P911" i="10"/>
  <c r="P910" i="10"/>
  <c r="P909" i="10"/>
  <c r="P908" i="10"/>
  <c r="P907" i="10"/>
  <c r="P906" i="10"/>
  <c r="P905" i="10"/>
  <c r="P904" i="10"/>
  <c r="P903" i="10"/>
  <c r="P902" i="10"/>
  <c r="P901" i="10"/>
  <c r="P900" i="10"/>
  <c r="P899" i="10"/>
  <c r="P898" i="10"/>
  <c r="P897" i="10"/>
  <c r="P896" i="10"/>
  <c r="P895" i="10"/>
  <c r="P894" i="10"/>
  <c r="P893" i="10"/>
  <c r="P892" i="10"/>
  <c r="P891" i="10"/>
  <c r="P890" i="10"/>
  <c r="P889" i="10"/>
  <c r="P888" i="10"/>
  <c r="P887" i="10"/>
  <c r="P886" i="10"/>
  <c r="P885" i="10"/>
  <c r="P884" i="10"/>
  <c r="P883" i="10"/>
  <c r="P882" i="10"/>
  <c r="P881" i="10"/>
  <c r="P880" i="10"/>
  <c r="P879" i="10"/>
  <c r="P878" i="10"/>
  <c r="P877" i="10"/>
  <c r="P876" i="10"/>
  <c r="P875" i="10"/>
  <c r="P874" i="10"/>
  <c r="P873" i="10"/>
  <c r="P872" i="10"/>
  <c r="P871" i="10"/>
  <c r="P870" i="10"/>
  <c r="P869" i="10"/>
  <c r="P868" i="10"/>
  <c r="P867" i="10"/>
  <c r="P866" i="10"/>
  <c r="P865" i="10"/>
  <c r="P864" i="10"/>
  <c r="P863" i="10"/>
  <c r="P862" i="10"/>
  <c r="P861" i="10"/>
  <c r="P860" i="10"/>
  <c r="P859" i="10"/>
  <c r="P858" i="10"/>
  <c r="P857" i="10"/>
  <c r="P856" i="10"/>
  <c r="P855" i="10"/>
  <c r="P854" i="10"/>
  <c r="P853" i="10"/>
  <c r="P852" i="10"/>
  <c r="P851" i="10"/>
  <c r="P850" i="10"/>
  <c r="P849" i="10"/>
  <c r="P848" i="10"/>
  <c r="P847" i="10"/>
  <c r="P846" i="10"/>
  <c r="P845" i="10"/>
  <c r="P844" i="10"/>
  <c r="P843" i="10"/>
  <c r="P842" i="10"/>
  <c r="P841" i="10"/>
  <c r="P840" i="10"/>
  <c r="P839" i="10"/>
  <c r="P838" i="10"/>
  <c r="P837" i="10"/>
  <c r="P836" i="10"/>
  <c r="P835" i="10"/>
  <c r="P834" i="10"/>
  <c r="P833" i="10"/>
  <c r="P832" i="10"/>
  <c r="P831" i="10"/>
  <c r="P830" i="10"/>
  <c r="P829" i="10"/>
  <c r="P828" i="10"/>
  <c r="P827" i="10"/>
  <c r="P826" i="10"/>
  <c r="P825" i="10"/>
  <c r="P824" i="10"/>
  <c r="P823" i="10"/>
  <c r="P822" i="10"/>
  <c r="P821" i="10"/>
  <c r="P820" i="10"/>
  <c r="P819" i="10"/>
  <c r="P818" i="10"/>
  <c r="P817" i="10"/>
  <c r="P816" i="10"/>
  <c r="P815" i="10"/>
  <c r="P814" i="10"/>
  <c r="P813" i="10"/>
  <c r="P812" i="10"/>
  <c r="P811" i="10"/>
  <c r="P810" i="10"/>
  <c r="P809" i="10"/>
  <c r="P808" i="10"/>
  <c r="P807" i="10"/>
  <c r="P806" i="10"/>
  <c r="P805" i="10"/>
  <c r="P804" i="10"/>
  <c r="P803" i="10"/>
  <c r="P802" i="10"/>
  <c r="P801" i="10"/>
  <c r="P800" i="10"/>
  <c r="P799" i="10"/>
  <c r="P798" i="10"/>
  <c r="P797" i="10"/>
  <c r="P796" i="10"/>
  <c r="P795" i="10"/>
  <c r="P794" i="10"/>
  <c r="P793" i="10"/>
  <c r="P792" i="10"/>
  <c r="P791" i="10"/>
  <c r="P790" i="10"/>
  <c r="P789" i="10"/>
  <c r="P788" i="10"/>
  <c r="P787" i="10"/>
  <c r="P786" i="10"/>
  <c r="P785" i="10"/>
  <c r="P784" i="10"/>
  <c r="P783" i="10"/>
  <c r="P782" i="10"/>
  <c r="P781" i="10"/>
  <c r="P780" i="10"/>
  <c r="P779" i="10"/>
  <c r="P778" i="10"/>
  <c r="P777" i="10"/>
  <c r="P776" i="10"/>
  <c r="P775" i="10"/>
  <c r="P774" i="10"/>
  <c r="P773" i="10"/>
  <c r="P772" i="10"/>
  <c r="P771" i="10"/>
  <c r="P770" i="10"/>
  <c r="P769" i="10"/>
  <c r="P768" i="10"/>
  <c r="P767" i="10"/>
  <c r="P766" i="10"/>
  <c r="P765" i="10"/>
  <c r="P764" i="10"/>
  <c r="P763" i="10"/>
  <c r="P762" i="10"/>
  <c r="P761" i="10"/>
  <c r="P760" i="10"/>
  <c r="P759" i="10"/>
  <c r="P758" i="10"/>
  <c r="P757" i="10"/>
  <c r="P756" i="10"/>
  <c r="P755" i="10"/>
  <c r="P754" i="10"/>
  <c r="P753" i="10"/>
  <c r="P752" i="10"/>
  <c r="P751" i="10"/>
  <c r="P750" i="10"/>
  <c r="P749" i="10"/>
  <c r="P748" i="10"/>
  <c r="P747" i="10"/>
  <c r="P746" i="10"/>
  <c r="P745" i="10"/>
  <c r="P744" i="10"/>
  <c r="P743" i="10"/>
  <c r="P742" i="10"/>
  <c r="P741" i="10"/>
  <c r="P740" i="10"/>
  <c r="P739" i="10"/>
  <c r="P738" i="10"/>
  <c r="P737" i="10"/>
  <c r="P736" i="10"/>
  <c r="P735" i="10"/>
  <c r="P734" i="10"/>
  <c r="P733" i="10"/>
  <c r="P732" i="10"/>
  <c r="P731" i="10"/>
  <c r="P730" i="10"/>
  <c r="P729" i="10"/>
  <c r="P728" i="10"/>
  <c r="P727" i="10"/>
  <c r="P726" i="10"/>
  <c r="P725" i="10"/>
  <c r="P724" i="10"/>
  <c r="P723" i="10"/>
  <c r="P722" i="10"/>
  <c r="P721" i="10"/>
  <c r="P720" i="10"/>
  <c r="P719" i="10"/>
  <c r="P718" i="10"/>
  <c r="P717" i="10"/>
  <c r="P716" i="10"/>
  <c r="P715" i="10"/>
  <c r="P714" i="10"/>
  <c r="P713" i="10"/>
  <c r="P712" i="10"/>
  <c r="P711" i="10"/>
  <c r="P710" i="10"/>
  <c r="P709" i="10"/>
  <c r="P708" i="10"/>
  <c r="P707" i="10"/>
  <c r="P706" i="10"/>
  <c r="P705" i="10"/>
  <c r="P704" i="10"/>
  <c r="P703" i="10"/>
  <c r="P702" i="10"/>
  <c r="P701" i="10"/>
  <c r="P700" i="10"/>
  <c r="P699" i="10"/>
  <c r="P698" i="10"/>
  <c r="P697" i="10"/>
  <c r="P696" i="10"/>
  <c r="P695" i="10"/>
  <c r="P694" i="10"/>
  <c r="P693" i="10"/>
  <c r="P692" i="10"/>
  <c r="P691" i="10"/>
  <c r="P690" i="10"/>
  <c r="P689" i="10"/>
  <c r="P688" i="10"/>
  <c r="P687" i="10"/>
  <c r="P686" i="10"/>
  <c r="P685" i="10"/>
  <c r="P684" i="10"/>
  <c r="P683" i="10"/>
  <c r="P682" i="10"/>
  <c r="P681" i="10"/>
  <c r="P680" i="10"/>
  <c r="P679" i="10"/>
  <c r="P678" i="10"/>
  <c r="P677" i="10"/>
  <c r="P676" i="10"/>
  <c r="P675" i="10"/>
  <c r="P674" i="10"/>
  <c r="P673" i="10"/>
  <c r="P672" i="10"/>
  <c r="P671" i="10"/>
  <c r="P670" i="10"/>
  <c r="P669" i="10"/>
  <c r="P668" i="10"/>
  <c r="P667" i="10"/>
  <c r="P666" i="10"/>
  <c r="P665" i="10"/>
  <c r="P664" i="10"/>
  <c r="P663" i="10"/>
  <c r="P662" i="10"/>
  <c r="P661" i="10"/>
  <c r="P660" i="10"/>
  <c r="P659" i="10"/>
  <c r="P658" i="10"/>
  <c r="P657" i="10"/>
  <c r="P656" i="10"/>
  <c r="P655" i="10"/>
  <c r="P654" i="10"/>
  <c r="P653" i="10"/>
  <c r="P652" i="10"/>
  <c r="P651" i="10"/>
  <c r="P650" i="10"/>
  <c r="P649" i="10"/>
  <c r="P648" i="10"/>
  <c r="P647" i="10"/>
  <c r="P646" i="10"/>
  <c r="P645" i="10"/>
  <c r="P644" i="10"/>
  <c r="P643" i="10"/>
  <c r="P642" i="10"/>
  <c r="P641" i="10"/>
  <c r="P640" i="10"/>
  <c r="P639" i="10"/>
  <c r="P638" i="10"/>
  <c r="P637" i="10"/>
  <c r="P636" i="10"/>
  <c r="P635" i="10"/>
  <c r="P634" i="10"/>
  <c r="P633" i="10"/>
  <c r="P632" i="10"/>
  <c r="P631" i="10"/>
  <c r="P630" i="10"/>
  <c r="P629" i="10"/>
  <c r="P628" i="10"/>
  <c r="P627" i="10"/>
  <c r="P626" i="10"/>
  <c r="P625" i="10"/>
  <c r="P624" i="10"/>
  <c r="P623" i="10"/>
  <c r="P622" i="10"/>
  <c r="P621" i="10"/>
  <c r="P620" i="10"/>
  <c r="P619" i="10"/>
  <c r="P618" i="10"/>
  <c r="P617" i="10"/>
  <c r="P616" i="10"/>
  <c r="P615" i="10"/>
  <c r="P614" i="10"/>
  <c r="P613" i="10"/>
  <c r="P612" i="10"/>
  <c r="P611" i="10"/>
  <c r="P610" i="10"/>
  <c r="P609" i="10"/>
  <c r="P608" i="10"/>
  <c r="P607" i="10"/>
  <c r="P606" i="10"/>
  <c r="P605" i="10"/>
  <c r="P604" i="10"/>
  <c r="P603" i="10"/>
  <c r="P602" i="10"/>
  <c r="P601" i="10"/>
  <c r="P600" i="10"/>
  <c r="P599" i="10"/>
  <c r="P598" i="10"/>
  <c r="P597" i="10"/>
  <c r="P596" i="10"/>
  <c r="P595" i="10"/>
  <c r="P594" i="10"/>
  <c r="P593" i="10"/>
  <c r="P592" i="10"/>
  <c r="P591" i="10"/>
  <c r="P590" i="10"/>
  <c r="P589" i="10"/>
  <c r="P588" i="10"/>
  <c r="P587" i="10"/>
  <c r="P586" i="10"/>
  <c r="P585" i="10"/>
  <c r="P584" i="10"/>
  <c r="P583" i="10"/>
  <c r="P582" i="10"/>
  <c r="P581" i="10"/>
  <c r="P580" i="10"/>
  <c r="P579" i="10"/>
  <c r="P578" i="10"/>
  <c r="P577" i="10"/>
  <c r="P576" i="10"/>
  <c r="P575" i="10"/>
  <c r="P574" i="10"/>
  <c r="P573" i="10"/>
  <c r="P572" i="10"/>
  <c r="P571" i="10"/>
  <c r="P570" i="10"/>
  <c r="P569" i="10"/>
  <c r="P568" i="10"/>
  <c r="P567" i="10"/>
  <c r="P566" i="10"/>
  <c r="P565" i="10"/>
  <c r="P564" i="10"/>
  <c r="P563" i="10"/>
  <c r="P562" i="10"/>
  <c r="P561" i="10"/>
  <c r="P560" i="10"/>
  <c r="P559" i="10"/>
  <c r="P558" i="10"/>
  <c r="P557" i="10"/>
  <c r="P556" i="10"/>
  <c r="P555" i="10"/>
  <c r="P554" i="10"/>
  <c r="P553" i="10"/>
  <c r="P552" i="10"/>
  <c r="P551" i="10"/>
  <c r="P550" i="10"/>
  <c r="P549" i="10"/>
  <c r="P548" i="10"/>
  <c r="P547" i="10"/>
  <c r="P546" i="10"/>
  <c r="P545" i="10"/>
  <c r="P544" i="10"/>
  <c r="P543" i="10"/>
  <c r="P542" i="10"/>
  <c r="P541" i="10"/>
  <c r="P540" i="10"/>
  <c r="P539" i="10"/>
  <c r="P538" i="10"/>
  <c r="P537" i="10"/>
  <c r="P536" i="10"/>
  <c r="P535" i="10"/>
  <c r="P534" i="10"/>
  <c r="P533" i="10"/>
  <c r="P532" i="10"/>
  <c r="P531" i="10"/>
  <c r="P530" i="10"/>
  <c r="P529" i="10"/>
  <c r="P528" i="10"/>
  <c r="P527" i="10"/>
  <c r="P526" i="10"/>
  <c r="P525" i="10"/>
  <c r="P524" i="10"/>
  <c r="P523" i="10"/>
  <c r="P522" i="10"/>
  <c r="P521" i="10"/>
  <c r="P520" i="10"/>
  <c r="P519" i="10"/>
  <c r="P518" i="10"/>
  <c r="P517" i="10"/>
  <c r="P516" i="10"/>
  <c r="P515" i="10"/>
  <c r="P514" i="10"/>
  <c r="P513" i="10"/>
  <c r="P512" i="10"/>
  <c r="P511" i="10"/>
  <c r="P510" i="10"/>
  <c r="P509" i="10"/>
  <c r="P508" i="10"/>
  <c r="P507" i="10"/>
  <c r="P506" i="10"/>
  <c r="P505" i="10"/>
  <c r="P504" i="10"/>
  <c r="P503" i="10"/>
  <c r="P502" i="10"/>
  <c r="P501" i="10"/>
  <c r="P500" i="10"/>
  <c r="P499" i="10"/>
  <c r="P498" i="10"/>
  <c r="P497" i="10"/>
  <c r="P496" i="10"/>
  <c r="P495" i="10"/>
  <c r="P494" i="10"/>
  <c r="P493" i="10"/>
  <c r="P492" i="10"/>
  <c r="P491" i="10"/>
  <c r="P490" i="10"/>
  <c r="P489" i="10"/>
  <c r="P488" i="10"/>
  <c r="P487" i="10"/>
  <c r="P486" i="10"/>
  <c r="P485" i="10"/>
  <c r="P484" i="10"/>
  <c r="P483" i="10"/>
  <c r="P482" i="10"/>
  <c r="P481" i="10"/>
  <c r="P480" i="10"/>
  <c r="P479" i="10"/>
  <c r="P478" i="10"/>
  <c r="P477" i="10"/>
  <c r="P476" i="10"/>
  <c r="P475" i="10"/>
  <c r="P474" i="10"/>
  <c r="P473" i="10"/>
  <c r="P472" i="10"/>
  <c r="P471" i="10"/>
  <c r="P470" i="10"/>
  <c r="P469" i="10"/>
  <c r="P468" i="10"/>
  <c r="P467" i="10"/>
  <c r="P466" i="10"/>
  <c r="P465" i="10"/>
  <c r="P464" i="10"/>
  <c r="P463" i="10"/>
  <c r="P462" i="10"/>
  <c r="P461" i="10"/>
  <c r="P460" i="10"/>
  <c r="P459" i="10"/>
  <c r="P458" i="10"/>
  <c r="P457" i="10"/>
  <c r="P456" i="10"/>
  <c r="P455" i="10"/>
  <c r="P454" i="10"/>
  <c r="P453" i="10"/>
  <c r="P452" i="10"/>
  <c r="P451" i="10"/>
  <c r="P450" i="10"/>
  <c r="P449" i="10"/>
  <c r="P448" i="10"/>
  <c r="P447" i="10"/>
  <c r="P446" i="10"/>
  <c r="P445" i="10"/>
  <c r="P444" i="10"/>
  <c r="P443" i="10"/>
  <c r="P442" i="10"/>
  <c r="P441" i="10"/>
  <c r="P440" i="10"/>
  <c r="P439" i="10"/>
  <c r="P438" i="10"/>
  <c r="P437" i="10"/>
  <c r="P436" i="10"/>
  <c r="P435" i="10"/>
  <c r="P434" i="10"/>
  <c r="P433" i="10"/>
  <c r="P432" i="10"/>
  <c r="P431" i="10"/>
  <c r="P430" i="10"/>
  <c r="P429" i="10"/>
  <c r="P428" i="10"/>
  <c r="P427" i="10"/>
  <c r="P426" i="10"/>
  <c r="P425" i="10"/>
  <c r="P424" i="10"/>
  <c r="P423" i="10"/>
  <c r="P422" i="10"/>
  <c r="P421" i="10"/>
  <c r="P420" i="10"/>
  <c r="P419" i="10"/>
  <c r="P418" i="10"/>
  <c r="P417" i="10"/>
  <c r="P416" i="10"/>
  <c r="P415" i="10"/>
  <c r="P414" i="10"/>
  <c r="P413" i="10"/>
  <c r="P412" i="10"/>
  <c r="P411" i="10"/>
  <c r="P410" i="10"/>
  <c r="P409" i="10"/>
  <c r="P408" i="10"/>
  <c r="P407" i="10"/>
  <c r="P406" i="10"/>
  <c r="P405" i="10"/>
  <c r="P404" i="10"/>
  <c r="P403" i="10"/>
  <c r="P402" i="10"/>
  <c r="P401" i="10"/>
  <c r="P400" i="10"/>
  <c r="P399" i="10"/>
  <c r="P398" i="10"/>
  <c r="P397" i="10"/>
  <c r="P396" i="10"/>
  <c r="P395" i="10"/>
  <c r="P394" i="10"/>
  <c r="P393" i="10"/>
  <c r="P392" i="10"/>
  <c r="P391" i="10"/>
  <c r="P390" i="10"/>
  <c r="P389" i="10"/>
  <c r="P388" i="10"/>
  <c r="P387" i="10"/>
  <c r="P386" i="10"/>
  <c r="P385" i="10"/>
  <c r="P384" i="10"/>
  <c r="P383" i="10"/>
  <c r="P382" i="10"/>
  <c r="P381" i="10"/>
  <c r="P380" i="10"/>
  <c r="P379" i="10"/>
  <c r="P378" i="10"/>
  <c r="P377" i="10"/>
  <c r="P376" i="10"/>
  <c r="P375" i="10"/>
  <c r="P374" i="10"/>
  <c r="P373" i="10"/>
  <c r="P372" i="10"/>
  <c r="P371" i="10"/>
  <c r="P370" i="10"/>
  <c r="P369" i="10"/>
  <c r="P368" i="10"/>
  <c r="P367" i="10"/>
  <c r="P366" i="10"/>
  <c r="P365" i="10"/>
  <c r="P364" i="10"/>
  <c r="P363" i="10"/>
  <c r="P362" i="10"/>
  <c r="P361" i="10"/>
  <c r="P360" i="10"/>
  <c r="P359" i="10"/>
  <c r="P358" i="10"/>
  <c r="P357" i="10"/>
  <c r="P356" i="10"/>
  <c r="P355" i="10"/>
  <c r="P354" i="10"/>
  <c r="P353" i="10"/>
  <c r="P352" i="10"/>
  <c r="P351" i="10"/>
  <c r="P350" i="10"/>
  <c r="P349" i="10"/>
  <c r="P348" i="10"/>
  <c r="P347" i="10"/>
  <c r="P346" i="10"/>
  <c r="P345" i="10"/>
  <c r="P344" i="10"/>
  <c r="P343" i="10"/>
  <c r="P342" i="10"/>
  <c r="P341" i="10"/>
  <c r="P340" i="10"/>
  <c r="P339" i="10"/>
  <c r="P338" i="10"/>
  <c r="P337" i="10"/>
  <c r="P336" i="10"/>
  <c r="P335" i="10"/>
  <c r="P334" i="10"/>
  <c r="P333" i="10"/>
  <c r="P332" i="10"/>
  <c r="P331" i="10"/>
  <c r="P330" i="10"/>
  <c r="P329" i="10"/>
  <c r="P328" i="10"/>
  <c r="P327" i="10"/>
  <c r="P326" i="10"/>
  <c r="P325" i="10"/>
  <c r="P324" i="10"/>
  <c r="P323" i="10"/>
  <c r="P322" i="10"/>
  <c r="P321" i="10"/>
  <c r="P320" i="10"/>
  <c r="P319" i="10"/>
  <c r="P318" i="10"/>
  <c r="P317" i="10"/>
  <c r="P316" i="10"/>
  <c r="P315" i="10"/>
  <c r="P314" i="10"/>
  <c r="P313" i="10"/>
  <c r="P312" i="10"/>
  <c r="P311" i="10"/>
  <c r="P310" i="10"/>
  <c r="P309" i="10"/>
  <c r="P308" i="10"/>
  <c r="P307" i="10"/>
  <c r="P306" i="10"/>
  <c r="P305" i="10"/>
  <c r="P304" i="10"/>
  <c r="P303" i="10"/>
  <c r="P302" i="10"/>
  <c r="P301" i="10"/>
  <c r="P300" i="10"/>
  <c r="P299" i="10"/>
  <c r="P298" i="10"/>
  <c r="P297" i="10"/>
  <c r="P296" i="10"/>
  <c r="P295" i="10"/>
  <c r="P294" i="10"/>
  <c r="P293" i="10"/>
  <c r="P292" i="10"/>
  <c r="P291" i="10"/>
  <c r="P290" i="10"/>
  <c r="P289" i="10"/>
  <c r="P288" i="10"/>
  <c r="P287" i="10"/>
  <c r="P286" i="10"/>
  <c r="P285" i="10"/>
  <c r="P284" i="10"/>
  <c r="P283" i="10"/>
  <c r="P282" i="10"/>
  <c r="P281" i="10"/>
  <c r="P280" i="10"/>
  <c r="P279" i="10"/>
  <c r="P278" i="10"/>
  <c r="P277" i="10"/>
  <c r="P276" i="10"/>
  <c r="P275" i="10"/>
  <c r="P274" i="10"/>
  <c r="P273" i="10"/>
  <c r="P272" i="10"/>
  <c r="P271" i="10"/>
  <c r="P270" i="10"/>
  <c r="P269" i="10"/>
  <c r="P268" i="10"/>
  <c r="P267" i="10"/>
  <c r="P266" i="10"/>
  <c r="P265" i="10"/>
  <c r="P264" i="10"/>
  <c r="P263" i="10"/>
  <c r="P262" i="10"/>
  <c r="P261" i="10"/>
  <c r="P260" i="10"/>
  <c r="P259" i="10"/>
  <c r="P258" i="10"/>
  <c r="P257" i="10"/>
  <c r="P256" i="10"/>
  <c r="P255" i="10"/>
  <c r="P254" i="10"/>
  <c r="P253" i="10"/>
  <c r="P252" i="10"/>
  <c r="P251" i="10"/>
  <c r="P250" i="10"/>
  <c r="P249" i="10"/>
  <c r="P248" i="10"/>
  <c r="P247" i="10"/>
  <c r="P246" i="10"/>
  <c r="P245" i="10"/>
  <c r="P244" i="10"/>
  <c r="P243" i="10"/>
  <c r="P242" i="10"/>
  <c r="P241" i="10"/>
  <c r="P240" i="10"/>
  <c r="P239" i="10"/>
  <c r="P238" i="10"/>
  <c r="P237" i="10"/>
  <c r="P236" i="10"/>
  <c r="P235" i="10"/>
  <c r="P234" i="10"/>
  <c r="P233" i="10"/>
  <c r="P232" i="10"/>
  <c r="P231" i="10"/>
  <c r="P230" i="10"/>
  <c r="P229" i="10"/>
  <c r="P228" i="10"/>
  <c r="P227" i="10"/>
  <c r="P226" i="10"/>
  <c r="P225" i="10"/>
  <c r="P224" i="10"/>
  <c r="P223" i="10"/>
  <c r="P222" i="10"/>
  <c r="P221" i="10"/>
  <c r="P220" i="10"/>
  <c r="P219" i="10"/>
  <c r="P218" i="10"/>
  <c r="P217" i="10"/>
  <c r="P216" i="10"/>
  <c r="P215" i="10"/>
  <c r="P214" i="10"/>
  <c r="P213" i="10"/>
  <c r="P212" i="10"/>
  <c r="P211" i="10"/>
  <c r="P210" i="10"/>
  <c r="P209" i="10"/>
  <c r="P208" i="10"/>
  <c r="P207" i="10"/>
  <c r="P206" i="10"/>
  <c r="P205" i="10"/>
  <c r="P204" i="10"/>
  <c r="P203" i="10"/>
  <c r="P202" i="10"/>
  <c r="P201" i="10"/>
  <c r="P200" i="10"/>
  <c r="P199" i="10"/>
  <c r="P198" i="10"/>
  <c r="P197" i="10"/>
  <c r="P196" i="10"/>
  <c r="P195" i="10"/>
  <c r="P194" i="10"/>
  <c r="P193" i="10"/>
  <c r="P192" i="10"/>
  <c r="P191" i="10"/>
  <c r="P190" i="10"/>
  <c r="P189" i="10"/>
  <c r="P188" i="10"/>
  <c r="P187" i="10"/>
  <c r="P186" i="10"/>
  <c r="P185" i="10"/>
  <c r="P184" i="10"/>
  <c r="P183" i="10"/>
  <c r="P182" i="10"/>
  <c r="P181" i="10"/>
  <c r="P180" i="10"/>
  <c r="P179" i="10"/>
  <c r="P178" i="10"/>
  <c r="P177" i="10"/>
  <c r="P176" i="10"/>
  <c r="P175" i="10"/>
  <c r="P174" i="10"/>
  <c r="P173" i="10"/>
  <c r="P172" i="10"/>
  <c r="P171" i="10"/>
  <c r="P170" i="10"/>
  <c r="P169" i="10"/>
  <c r="P168" i="10"/>
  <c r="P167" i="10"/>
  <c r="P166" i="10"/>
  <c r="P165" i="10"/>
  <c r="P164" i="10"/>
  <c r="P163" i="10"/>
  <c r="P162" i="10"/>
  <c r="P161" i="10"/>
  <c r="P160" i="10"/>
  <c r="P159" i="10"/>
  <c r="P158" i="10"/>
  <c r="P157" i="10"/>
  <c r="P156" i="10"/>
  <c r="P155" i="10"/>
  <c r="P154" i="10"/>
  <c r="P153" i="10"/>
  <c r="P152" i="10"/>
  <c r="P151" i="10"/>
  <c r="P150" i="10"/>
  <c r="P149" i="10"/>
  <c r="P148" i="10"/>
  <c r="P147" i="10"/>
  <c r="P146" i="10"/>
  <c r="P145" i="10"/>
  <c r="P144" i="10"/>
  <c r="P143" i="10"/>
  <c r="P142" i="10"/>
  <c r="P141" i="10"/>
  <c r="P140" i="10"/>
  <c r="P139" i="10"/>
  <c r="P138" i="10"/>
  <c r="P137" i="10"/>
  <c r="P136" i="10"/>
  <c r="P135" i="10"/>
  <c r="P134" i="10"/>
  <c r="P133" i="10"/>
  <c r="P132" i="10"/>
  <c r="P131" i="10"/>
  <c r="P130" i="10"/>
  <c r="P129" i="10"/>
  <c r="P128" i="10"/>
  <c r="P127" i="10"/>
  <c r="P126" i="10"/>
  <c r="P125" i="10"/>
  <c r="P124" i="10"/>
  <c r="P123" i="10"/>
  <c r="P122" i="10"/>
  <c r="P121" i="10"/>
  <c r="P120" i="10"/>
  <c r="P119" i="10"/>
  <c r="P118" i="10"/>
  <c r="P117" i="10"/>
  <c r="P116" i="10"/>
  <c r="P115" i="10"/>
  <c r="P114" i="10"/>
  <c r="P113" i="10"/>
  <c r="P112" i="10"/>
  <c r="P111" i="10"/>
  <c r="P110" i="10"/>
  <c r="P109" i="10"/>
  <c r="P108" i="10"/>
  <c r="P107" i="10"/>
  <c r="P106" i="10"/>
  <c r="P105" i="10"/>
  <c r="P104" i="10"/>
  <c r="P103" i="10"/>
  <c r="P102" i="10"/>
  <c r="P101" i="10"/>
  <c r="P100" i="10"/>
  <c r="P99" i="10"/>
  <c r="P98" i="10"/>
  <c r="P97" i="10"/>
  <c r="P96" i="10"/>
  <c r="P95" i="10"/>
  <c r="P94" i="10"/>
  <c r="P93" i="10"/>
  <c r="P92" i="10"/>
  <c r="P91" i="10"/>
  <c r="P90" i="10"/>
  <c r="P89" i="10"/>
  <c r="P88" i="10"/>
  <c r="P87" i="10"/>
  <c r="P86" i="10"/>
  <c r="P85" i="10"/>
  <c r="P84" i="10"/>
  <c r="P83" i="10"/>
  <c r="P82" i="10"/>
  <c r="P81" i="10"/>
  <c r="P80" i="10"/>
  <c r="P79" i="10"/>
  <c r="P78" i="10"/>
  <c r="P77" i="10"/>
  <c r="P76" i="10"/>
  <c r="P75" i="10"/>
  <c r="P74" i="10"/>
  <c r="P73" i="10"/>
  <c r="P72" i="10"/>
  <c r="P71" i="10"/>
  <c r="P70" i="10"/>
  <c r="P69" i="10"/>
  <c r="P68" i="10"/>
  <c r="P67" i="10"/>
  <c r="P66" i="10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P46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O2855" i="10"/>
  <c r="O2854" i="10"/>
  <c r="O2853" i="10"/>
  <c r="O2852" i="10"/>
  <c r="O2851" i="10"/>
  <c r="O2850" i="10"/>
  <c r="O2849" i="10"/>
  <c r="O2848" i="10"/>
  <c r="O2847" i="10"/>
  <c r="O2846" i="10"/>
  <c r="O2845" i="10"/>
  <c r="O2844" i="10"/>
  <c r="O2843" i="10"/>
  <c r="O2842" i="10"/>
  <c r="O2841" i="10"/>
  <c r="O2840" i="10"/>
  <c r="O2839" i="10"/>
  <c r="O2838" i="10"/>
  <c r="O2837" i="10"/>
  <c r="O2836" i="10"/>
  <c r="O2835" i="10"/>
  <c r="O2834" i="10"/>
  <c r="O2833" i="10"/>
  <c r="O2832" i="10"/>
  <c r="O2831" i="10"/>
  <c r="O2830" i="10"/>
  <c r="O2829" i="10"/>
  <c r="O2828" i="10"/>
  <c r="O2827" i="10"/>
  <c r="O2826" i="10"/>
  <c r="O2825" i="10"/>
  <c r="O2824" i="10"/>
  <c r="O2823" i="10"/>
  <c r="O2822" i="10"/>
  <c r="O2821" i="10"/>
  <c r="O2820" i="10"/>
  <c r="O2819" i="10"/>
  <c r="O2818" i="10"/>
  <c r="O2817" i="10"/>
  <c r="O2816" i="10"/>
  <c r="O2815" i="10"/>
  <c r="O2814" i="10"/>
  <c r="O2813" i="10"/>
  <c r="O2812" i="10"/>
  <c r="O2811" i="10"/>
  <c r="O2810" i="10"/>
  <c r="O2809" i="10"/>
  <c r="O2808" i="10"/>
  <c r="O2807" i="10"/>
  <c r="O2806" i="10"/>
  <c r="O2805" i="10"/>
  <c r="O2804" i="10"/>
  <c r="O2803" i="10"/>
  <c r="O2802" i="10"/>
  <c r="O2801" i="10"/>
  <c r="O2800" i="10"/>
  <c r="O2799" i="10"/>
  <c r="O2798" i="10"/>
  <c r="O2797" i="10"/>
  <c r="O2796" i="10"/>
  <c r="O2795" i="10"/>
  <c r="O2794" i="10"/>
  <c r="O2793" i="10"/>
  <c r="O2792" i="10"/>
  <c r="O2791" i="10"/>
  <c r="O2790" i="10"/>
  <c r="O2789" i="10"/>
  <c r="O2788" i="10"/>
  <c r="O2787" i="10"/>
  <c r="O2786" i="10"/>
  <c r="O2785" i="10"/>
  <c r="O2784" i="10"/>
  <c r="O2783" i="10"/>
  <c r="O2782" i="10"/>
  <c r="O2781" i="10"/>
  <c r="O2780" i="10"/>
  <c r="O2779" i="10"/>
  <c r="O2778" i="10"/>
  <c r="O2777" i="10"/>
  <c r="O2776" i="10"/>
  <c r="O2775" i="10"/>
  <c r="O2774" i="10"/>
  <c r="O2773" i="10"/>
  <c r="O2772" i="10"/>
  <c r="O2771" i="10"/>
  <c r="O2770" i="10"/>
  <c r="O2769" i="10"/>
  <c r="O2768" i="10"/>
  <c r="O2767" i="10"/>
  <c r="O2766" i="10"/>
  <c r="O2765" i="10"/>
  <c r="O2764" i="10"/>
  <c r="O2763" i="10"/>
  <c r="O2762" i="10"/>
  <c r="O2761" i="10"/>
  <c r="O2760" i="10"/>
  <c r="O2759" i="10"/>
  <c r="O2758" i="10"/>
  <c r="O2757" i="10"/>
  <c r="O2756" i="10"/>
  <c r="O2755" i="10"/>
  <c r="O2754" i="10"/>
  <c r="O2753" i="10"/>
  <c r="O2752" i="10"/>
  <c r="O2751" i="10"/>
  <c r="O2750" i="10"/>
  <c r="O2749" i="10"/>
  <c r="O2748" i="10"/>
  <c r="O2747" i="10"/>
  <c r="O2746" i="10"/>
  <c r="O2745" i="10"/>
  <c r="O2744" i="10"/>
  <c r="O2743" i="10"/>
  <c r="O2742" i="10"/>
  <c r="O2741" i="10"/>
  <c r="O2740" i="10"/>
  <c r="O2739" i="10"/>
  <c r="O2738" i="10"/>
  <c r="O2737" i="10"/>
  <c r="O2736" i="10"/>
  <c r="O2735" i="10"/>
  <c r="O2734" i="10"/>
  <c r="O2733" i="10"/>
  <c r="O2732" i="10"/>
  <c r="O2731" i="10"/>
  <c r="O2730" i="10"/>
  <c r="O2729" i="10"/>
  <c r="O2728" i="10"/>
  <c r="O2727" i="10"/>
  <c r="O2726" i="10"/>
  <c r="O2725" i="10"/>
  <c r="O2724" i="10"/>
  <c r="O2723" i="10"/>
  <c r="O2722" i="10"/>
  <c r="O2721" i="10"/>
  <c r="O2720" i="10"/>
  <c r="O2719" i="10"/>
  <c r="O2718" i="10"/>
  <c r="O2717" i="10"/>
  <c r="O2716" i="10"/>
  <c r="O2715" i="10"/>
  <c r="O2714" i="10"/>
  <c r="O2713" i="10"/>
  <c r="O2712" i="10"/>
  <c r="O2711" i="10"/>
  <c r="O2710" i="10"/>
  <c r="O2709" i="10"/>
  <c r="O2708" i="10"/>
  <c r="O2707" i="10"/>
  <c r="O2706" i="10"/>
  <c r="O2705" i="10"/>
  <c r="O2704" i="10"/>
  <c r="O2703" i="10"/>
  <c r="O2702" i="10"/>
  <c r="O2701" i="10"/>
  <c r="O2700" i="10"/>
  <c r="O2699" i="10"/>
  <c r="O2698" i="10"/>
  <c r="O2697" i="10"/>
  <c r="O2696" i="10"/>
  <c r="O2695" i="10"/>
  <c r="O2694" i="10"/>
  <c r="O2693" i="10"/>
  <c r="O2692" i="10"/>
  <c r="O2691" i="10"/>
  <c r="O2690" i="10"/>
  <c r="O2689" i="10"/>
  <c r="O2688" i="10"/>
  <c r="O2687" i="10"/>
  <c r="O2686" i="10"/>
  <c r="O2685" i="10"/>
  <c r="O2684" i="10"/>
  <c r="O2683" i="10"/>
  <c r="O2682" i="10"/>
  <c r="O2681" i="10"/>
  <c r="O2680" i="10"/>
  <c r="O2679" i="10"/>
  <c r="O2678" i="10"/>
  <c r="O2677" i="10"/>
  <c r="O2676" i="10"/>
  <c r="O2675" i="10"/>
  <c r="O2674" i="10"/>
  <c r="O2673" i="10"/>
  <c r="O2672" i="10"/>
  <c r="O2671" i="10"/>
  <c r="O2670" i="10"/>
  <c r="O2669" i="10"/>
  <c r="O2668" i="10"/>
  <c r="O2667" i="10"/>
  <c r="O2666" i="10"/>
  <c r="O2665" i="10"/>
  <c r="O2664" i="10"/>
  <c r="O2663" i="10"/>
  <c r="O2662" i="10"/>
  <c r="O2661" i="10"/>
  <c r="O2660" i="10"/>
  <c r="O2659" i="10"/>
  <c r="O2658" i="10"/>
  <c r="O2657" i="10"/>
  <c r="O2656" i="10"/>
  <c r="O2655" i="10"/>
  <c r="O2654" i="10"/>
  <c r="O2653" i="10"/>
  <c r="O2652" i="10"/>
  <c r="O2651" i="10"/>
  <c r="O2650" i="10"/>
  <c r="O2649" i="10"/>
  <c r="O2648" i="10"/>
  <c r="O2647" i="10"/>
  <c r="O2646" i="10"/>
  <c r="O2645" i="10"/>
  <c r="O2644" i="10"/>
  <c r="O2643" i="10"/>
  <c r="O2642" i="10"/>
  <c r="O2641" i="10"/>
  <c r="O2640" i="10"/>
  <c r="O2639" i="10"/>
  <c r="O2638" i="10"/>
  <c r="O2637" i="10"/>
  <c r="O2636" i="10"/>
  <c r="O2635" i="10"/>
  <c r="O2634" i="10"/>
  <c r="O2633" i="10"/>
  <c r="O2632" i="10"/>
  <c r="O2631" i="10"/>
  <c r="O2630" i="10"/>
  <c r="O2629" i="10"/>
  <c r="O2628" i="10"/>
  <c r="O2627" i="10"/>
  <c r="O2626" i="10"/>
  <c r="O2625" i="10"/>
  <c r="O2624" i="10"/>
  <c r="O2623" i="10"/>
  <c r="O2622" i="10"/>
  <c r="O2621" i="10"/>
  <c r="O2620" i="10"/>
  <c r="O2619" i="10"/>
  <c r="O2618" i="10"/>
  <c r="O2617" i="10"/>
  <c r="O2616" i="10"/>
  <c r="O2615" i="10"/>
  <c r="O2614" i="10"/>
  <c r="O2613" i="10"/>
  <c r="O2612" i="10"/>
  <c r="O2611" i="10"/>
  <c r="O2610" i="10"/>
  <c r="O2609" i="10"/>
  <c r="O2608" i="10"/>
  <c r="O2607" i="10"/>
  <c r="O2606" i="10"/>
  <c r="O2605" i="10"/>
  <c r="O2604" i="10"/>
  <c r="O2603" i="10"/>
  <c r="O2602" i="10"/>
  <c r="O2601" i="10"/>
  <c r="O2600" i="10"/>
  <c r="O2599" i="10"/>
  <c r="O2598" i="10"/>
  <c r="O2597" i="10"/>
  <c r="O2596" i="10"/>
  <c r="O2595" i="10"/>
  <c r="O2594" i="10"/>
  <c r="O2593" i="10"/>
  <c r="O2592" i="10"/>
  <c r="O2591" i="10"/>
  <c r="O2590" i="10"/>
  <c r="O2589" i="10"/>
  <c r="O2588" i="10"/>
  <c r="O2587" i="10"/>
  <c r="O2586" i="10"/>
  <c r="O2585" i="10"/>
  <c r="O2584" i="10"/>
  <c r="O2583" i="10"/>
  <c r="O2582" i="10"/>
  <c r="O2581" i="10"/>
  <c r="O2580" i="10"/>
  <c r="O2579" i="10"/>
  <c r="O2578" i="10"/>
  <c r="O2577" i="10"/>
  <c r="O2576" i="10"/>
  <c r="O2575" i="10"/>
  <c r="O2574" i="10"/>
  <c r="O2573" i="10"/>
  <c r="O2572" i="10"/>
  <c r="O2571" i="10"/>
  <c r="O2570" i="10"/>
  <c r="O2569" i="10"/>
  <c r="O2568" i="10"/>
  <c r="O2567" i="10"/>
  <c r="O2566" i="10"/>
  <c r="O2565" i="10"/>
  <c r="O2564" i="10"/>
  <c r="O2563" i="10"/>
  <c r="O2562" i="10"/>
  <c r="O2561" i="10"/>
  <c r="O2560" i="10"/>
  <c r="O2559" i="10"/>
  <c r="O2558" i="10"/>
  <c r="O2557" i="10"/>
  <c r="O2556" i="10"/>
  <c r="O2555" i="10"/>
  <c r="O2554" i="10"/>
  <c r="O2553" i="10"/>
  <c r="O2552" i="10"/>
  <c r="O2551" i="10"/>
  <c r="O2550" i="10"/>
  <c r="O2549" i="10"/>
  <c r="O2548" i="10"/>
  <c r="O2547" i="10"/>
  <c r="O2546" i="10"/>
  <c r="O2545" i="10"/>
  <c r="O2544" i="10"/>
  <c r="O2543" i="10"/>
  <c r="O2542" i="10"/>
  <c r="O2541" i="10"/>
  <c r="O2540" i="10"/>
  <c r="O2539" i="10"/>
  <c r="O2538" i="10"/>
  <c r="O2537" i="10"/>
  <c r="O2536" i="10"/>
  <c r="O2535" i="10"/>
  <c r="O2534" i="10"/>
  <c r="O2533" i="10"/>
  <c r="O2532" i="10"/>
  <c r="O2531" i="10"/>
  <c r="O2530" i="10"/>
  <c r="O2529" i="10"/>
  <c r="O2528" i="10"/>
  <c r="O2527" i="10"/>
  <c r="O2526" i="10"/>
  <c r="O2525" i="10"/>
  <c r="O2524" i="10"/>
  <c r="O2523" i="10"/>
  <c r="O2522" i="10"/>
  <c r="O2521" i="10"/>
  <c r="O2520" i="10"/>
  <c r="O2519" i="10"/>
  <c r="O2518" i="10"/>
  <c r="O2517" i="10"/>
  <c r="O2516" i="10"/>
  <c r="O2515" i="10"/>
  <c r="O2514" i="10"/>
  <c r="O2513" i="10"/>
  <c r="O2512" i="10"/>
  <c r="O2511" i="10"/>
  <c r="O2510" i="10"/>
  <c r="O2509" i="10"/>
  <c r="O2508" i="10"/>
  <c r="O2507" i="10"/>
  <c r="O2506" i="10"/>
  <c r="O2505" i="10"/>
  <c r="O2504" i="10"/>
  <c r="O2503" i="10"/>
  <c r="O2502" i="10"/>
  <c r="O2501" i="10"/>
  <c r="O2500" i="10"/>
  <c r="O2499" i="10"/>
  <c r="O2498" i="10"/>
  <c r="O2497" i="10"/>
  <c r="O2496" i="10"/>
  <c r="O2495" i="10"/>
  <c r="O2494" i="10"/>
  <c r="O2493" i="10"/>
  <c r="O2492" i="10"/>
  <c r="O2491" i="10"/>
  <c r="O2490" i="10"/>
  <c r="O2489" i="10"/>
  <c r="O2488" i="10"/>
  <c r="O2487" i="10"/>
  <c r="O2486" i="10"/>
  <c r="O2485" i="10"/>
  <c r="O2484" i="10"/>
  <c r="O2483" i="10"/>
  <c r="O2482" i="10"/>
  <c r="O2481" i="10"/>
  <c r="O2480" i="10"/>
  <c r="O2479" i="10"/>
  <c r="O2478" i="10"/>
  <c r="O2477" i="10"/>
  <c r="O2476" i="10"/>
  <c r="O2475" i="10"/>
  <c r="O2474" i="10"/>
  <c r="O2473" i="10"/>
  <c r="O2472" i="10"/>
  <c r="O2471" i="10"/>
  <c r="O2470" i="10"/>
  <c r="O2469" i="10"/>
  <c r="O2468" i="10"/>
  <c r="O2467" i="10"/>
  <c r="O2466" i="10"/>
  <c r="O2465" i="10"/>
  <c r="O2464" i="10"/>
  <c r="O2463" i="10"/>
  <c r="O2462" i="10"/>
  <c r="O2461" i="10"/>
  <c r="O2460" i="10"/>
  <c r="O2459" i="10"/>
  <c r="O2458" i="10"/>
  <c r="O2457" i="10"/>
  <c r="O2456" i="10"/>
  <c r="O2455" i="10"/>
  <c r="O2454" i="10"/>
  <c r="O2453" i="10"/>
  <c r="O2452" i="10"/>
  <c r="O2451" i="10"/>
  <c r="O2450" i="10"/>
  <c r="O2449" i="10"/>
  <c r="O2448" i="10"/>
  <c r="O2447" i="10"/>
  <c r="O2446" i="10"/>
  <c r="O2445" i="10"/>
  <c r="O2444" i="10"/>
  <c r="O2443" i="10"/>
  <c r="O2442" i="10"/>
  <c r="O2441" i="10"/>
  <c r="O2440" i="10"/>
  <c r="O2439" i="10"/>
  <c r="O2438" i="10"/>
  <c r="O2437" i="10"/>
  <c r="O2436" i="10"/>
  <c r="O2435" i="10"/>
  <c r="O2434" i="10"/>
  <c r="O2433" i="10"/>
  <c r="O2432" i="10"/>
  <c r="O2431" i="10"/>
  <c r="O2430" i="10"/>
  <c r="O2429" i="10"/>
  <c r="O2428" i="10"/>
  <c r="O2427" i="10"/>
  <c r="O2426" i="10"/>
  <c r="O2425" i="10"/>
  <c r="O2424" i="10"/>
  <c r="O2423" i="10"/>
  <c r="O2422" i="10"/>
  <c r="O2421" i="10"/>
  <c r="O2420" i="10"/>
  <c r="O2419" i="10"/>
  <c r="O2418" i="10"/>
  <c r="O2417" i="10"/>
  <c r="O2416" i="10"/>
  <c r="O2415" i="10"/>
  <c r="O2414" i="10"/>
  <c r="O2413" i="10"/>
  <c r="O2412" i="10"/>
  <c r="O2411" i="10"/>
  <c r="O2410" i="10"/>
  <c r="O2409" i="10"/>
  <c r="O2408" i="10"/>
  <c r="O2407" i="10"/>
  <c r="O2406" i="10"/>
  <c r="O2405" i="10"/>
  <c r="O2404" i="10"/>
  <c r="O2403" i="10"/>
  <c r="O2402" i="10"/>
  <c r="O2401" i="10"/>
  <c r="O2400" i="10"/>
  <c r="O2399" i="10"/>
  <c r="O2398" i="10"/>
  <c r="O2397" i="10"/>
  <c r="O2396" i="10"/>
  <c r="O2395" i="10"/>
  <c r="O2394" i="10"/>
  <c r="O2393" i="10"/>
  <c r="O2392" i="10"/>
  <c r="O2391" i="10"/>
  <c r="O2390" i="10"/>
  <c r="O2389" i="10"/>
  <c r="O2388" i="10"/>
  <c r="O2387" i="10"/>
  <c r="O2386" i="10"/>
  <c r="O2385" i="10"/>
  <c r="O2384" i="10"/>
  <c r="O2383" i="10"/>
  <c r="O2382" i="10"/>
  <c r="O2381" i="10"/>
  <c r="O2380" i="10"/>
  <c r="O2379" i="10"/>
  <c r="O2378" i="10"/>
  <c r="O2377" i="10"/>
  <c r="O2376" i="10"/>
  <c r="O2375" i="10"/>
  <c r="O2374" i="10"/>
  <c r="O2373" i="10"/>
  <c r="O2372" i="10"/>
  <c r="O2371" i="10"/>
  <c r="O2370" i="10"/>
  <c r="O2369" i="10"/>
  <c r="O2368" i="10"/>
  <c r="O2367" i="10"/>
  <c r="O2366" i="10"/>
  <c r="O2365" i="10"/>
  <c r="O2364" i="10"/>
  <c r="O2363" i="10"/>
  <c r="O2362" i="10"/>
  <c r="O2361" i="10"/>
  <c r="O2360" i="10"/>
  <c r="O2359" i="10"/>
  <c r="O2358" i="10"/>
  <c r="O2357" i="10"/>
  <c r="O2356" i="10"/>
  <c r="O2355" i="10"/>
  <c r="O2354" i="10"/>
  <c r="O2353" i="10"/>
  <c r="O2352" i="10"/>
  <c r="O2351" i="10"/>
  <c r="O2350" i="10"/>
  <c r="O2349" i="10"/>
  <c r="O2348" i="10"/>
  <c r="O2347" i="10"/>
  <c r="O2346" i="10"/>
  <c r="O2345" i="10"/>
  <c r="O2344" i="10"/>
  <c r="O2343" i="10"/>
  <c r="O2342" i="10"/>
  <c r="O2341" i="10"/>
  <c r="O2340" i="10"/>
  <c r="O2339" i="10"/>
  <c r="O2338" i="10"/>
  <c r="O2337" i="10"/>
  <c r="O2336" i="10"/>
  <c r="O2335" i="10"/>
  <c r="O2334" i="10"/>
  <c r="O2333" i="10"/>
  <c r="O2332" i="10"/>
  <c r="O2331" i="10"/>
  <c r="O2330" i="10"/>
  <c r="O2329" i="10"/>
  <c r="O2328" i="10"/>
  <c r="O2327" i="10"/>
  <c r="O2326" i="10"/>
  <c r="O2325" i="10"/>
  <c r="O2324" i="10"/>
  <c r="O2323" i="10"/>
  <c r="O2322" i="10"/>
  <c r="O2321" i="10"/>
  <c r="O2320" i="10"/>
  <c r="O2319" i="10"/>
  <c r="O2318" i="10"/>
  <c r="O2317" i="10"/>
  <c r="O2316" i="10"/>
  <c r="O2315" i="10"/>
  <c r="O2314" i="10"/>
  <c r="O2313" i="10"/>
  <c r="O2312" i="10"/>
  <c r="O2311" i="10"/>
  <c r="O2310" i="10"/>
  <c r="O2309" i="10"/>
  <c r="O2308" i="10"/>
  <c r="O2307" i="10"/>
  <c r="O2306" i="10"/>
  <c r="O2305" i="10"/>
  <c r="O2304" i="10"/>
  <c r="O2303" i="10"/>
  <c r="O2302" i="10"/>
  <c r="O2301" i="10"/>
  <c r="O2300" i="10"/>
  <c r="O2299" i="10"/>
  <c r="O2298" i="10"/>
  <c r="O2297" i="10"/>
  <c r="O2296" i="10"/>
  <c r="O2295" i="10"/>
  <c r="O2294" i="10"/>
  <c r="O2293" i="10"/>
  <c r="O2292" i="10"/>
  <c r="O2291" i="10"/>
  <c r="O2290" i="10"/>
  <c r="O2289" i="10"/>
  <c r="O2288" i="10"/>
  <c r="O2287" i="10"/>
  <c r="O2286" i="10"/>
  <c r="O2285" i="10"/>
  <c r="O2284" i="10"/>
  <c r="O2283" i="10"/>
  <c r="O2282" i="10"/>
  <c r="O2281" i="10"/>
  <c r="O2280" i="10"/>
  <c r="O2279" i="10"/>
  <c r="O2278" i="10"/>
  <c r="O2277" i="10"/>
  <c r="O2276" i="10"/>
  <c r="O2275" i="10"/>
  <c r="O2274" i="10"/>
  <c r="O2273" i="10"/>
  <c r="O2272" i="10"/>
  <c r="O2271" i="10"/>
  <c r="O2270" i="10"/>
  <c r="O2269" i="10"/>
  <c r="O2268" i="10"/>
  <c r="O2267" i="10"/>
  <c r="O2266" i="10"/>
  <c r="O2265" i="10"/>
  <c r="O2264" i="10"/>
  <c r="O2263" i="10"/>
  <c r="O2262" i="10"/>
  <c r="O2261" i="10"/>
  <c r="O2260" i="10"/>
  <c r="O2259" i="10"/>
  <c r="O2258" i="10"/>
  <c r="O2257" i="10"/>
  <c r="O2256" i="10"/>
  <c r="O2255" i="10"/>
  <c r="O2254" i="10"/>
  <c r="O2253" i="10"/>
  <c r="O2252" i="10"/>
  <c r="O2251" i="10"/>
  <c r="O2250" i="10"/>
  <c r="O2249" i="10"/>
  <c r="O2248" i="10"/>
  <c r="O2247" i="10"/>
  <c r="O2246" i="10"/>
  <c r="O2245" i="10"/>
  <c r="O2244" i="10"/>
  <c r="O2243" i="10"/>
  <c r="O2242" i="10"/>
  <c r="O2241" i="10"/>
  <c r="O2240" i="10"/>
  <c r="O2239" i="10"/>
  <c r="O2238" i="10"/>
  <c r="O2237" i="10"/>
  <c r="O2236" i="10"/>
  <c r="O2235" i="10"/>
  <c r="O2234" i="10"/>
  <c r="O2233" i="10"/>
  <c r="O2232" i="10"/>
  <c r="O2231" i="10"/>
  <c r="O2230" i="10"/>
  <c r="O2229" i="10"/>
  <c r="O2228" i="10"/>
  <c r="O2227" i="10"/>
  <c r="O2226" i="10"/>
  <c r="O2225" i="10"/>
  <c r="O2224" i="10"/>
  <c r="O2223" i="10"/>
  <c r="O2222" i="10"/>
  <c r="O2221" i="10"/>
  <c r="O2220" i="10"/>
  <c r="O2219" i="10"/>
  <c r="O2218" i="10"/>
  <c r="O2217" i="10"/>
  <c r="O2216" i="10"/>
  <c r="O2215" i="10"/>
  <c r="O2214" i="10"/>
  <c r="O2213" i="10"/>
  <c r="O2212" i="10"/>
  <c r="O2211" i="10"/>
  <c r="O2210" i="10"/>
  <c r="O2209" i="10"/>
  <c r="O2208" i="10"/>
  <c r="O2207" i="10"/>
  <c r="O2206" i="10"/>
  <c r="O2205" i="10"/>
  <c r="O2204" i="10"/>
  <c r="O2203" i="10"/>
  <c r="O2202" i="10"/>
  <c r="O2201" i="10"/>
  <c r="O2200" i="10"/>
  <c r="O2199" i="10"/>
  <c r="O2198" i="10"/>
  <c r="O2197" i="10"/>
  <c r="O2196" i="10"/>
  <c r="O2195" i="10"/>
  <c r="O2194" i="10"/>
  <c r="O2193" i="10"/>
  <c r="O2192" i="10"/>
  <c r="O2191" i="10"/>
  <c r="O2190" i="10"/>
  <c r="O2189" i="10"/>
  <c r="O2188" i="10"/>
  <c r="O2187" i="10"/>
  <c r="O2186" i="10"/>
  <c r="O2185" i="10"/>
  <c r="O2184" i="10"/>
  <c r="O2183" i="10"/>
  <c r="O2182" i="10"/>
  <c r="O2181" i="10"/>
  <c r="O2180" i="10"/>
  <c r="O2179" i="10"/>
  <c r="O2178" i="10"/>
  <c r="O2177" i="10"/>
  <c r="O2176" i="10"/>
  <c r="O2175" i="10"/>
  <c r="O2174" i="10"/>
  <c r="O2173" i="10"/>
  <c r="O2172" i="10"/>
  <c r="O2171" i="10"/>
  <c r="O2170" i="10"/>
  <c r="O2169" i="10"/>
  <c r="O2168" i="10"/>
  <c r="O2167" i="10"/>
  <c r="O2166" i="10"/>
  <c r="O2165" i="10"/>
  <c r="O2164" i="10"/>
  <c r="O2163" i="10"/>
  <c r="O2162" i="10"/>
  <c r="O2161" i="10"/>
  <c r="O2160" i="10"/>
  <c r="O2159" i="10"/>
  <c r="O2158" i="10"/>
  <c r="O2157" i="10"/>
  <c r="O2156" i="10"/>
  <c r="O2155" i="10"/>
  <c r="O2154" i="10"/>
  <c r="O2153" i="10"/>
  <c r="O2152" i="10"/>
  <c r="O2151" i="10"/>
  <c r="O2150" i="10"/>
  <c r="O2149" i="10"/>
  <c r="O2148" i="10"/>
  <c r="O2147" i="10"/>
  <c r="O2146" i="10"/>
  <c r="O2145" i="10"/>
  <c r="O2144" i="10"/>
  <c r="O2143" i="10"/>
  <c r="O2142" i="10"/>
  <c r="O2141" i="10"/>
  <c r="O2140" i="10"/>
  <c r="O2139" i="10"/>
  <c r="O2138" i="10"/>
  <c r="O2137" i="10"/>
  <c r="O2136" i="10"/>
  <c r="O2135" i="10"/>
  <c r="O2134" i="10"/>
  <c r="O2133" i="10"/>
  <c r="O2132" i="10"/>
  <c r="O2131" i="10"/>
  <c r="O2130" i="10"/>
  <c r="O2129" i="10"/>
  <c r="O2128" i="10"/>
  <c r="O2127" i="10"/>
  <c r="O2126" i="10"/>
  <c r="O2125" i="10"/>
  <c r="O2124" i="10"/>
  <c r="O2123" i="10"/>
  <c r="O2122" i="10"/>
  <c r="O2121" i="10"/>
  <c r="O2120" i="10"/>
  <c r="O2119" i="10"/>
  <c r="O2118" i="10"/>
  <c r="O2117" i="10"/>
  <c r="O2116" i="10"/>
  <c r="O2115" i="10"/>
  <c r="O2114" i="10"/>
  <c r="O2113" i="10"/>
  <c r="O2112" i="10"/>
  <c r="O2111" i="10"/>
  <c r="O2110" i="10"/>
  <c r="O2109" i="10"/>
  <c r="O2108" i="10"/>
  <c r="O2107" i="10"/>
  <c r="O2106" i="10"/>
  <c r="O2105" i="10"/>
  <c r="O2104" i="10"/>
  <c r="O2103" i="10"/>
  <c r="O2102" i="10"/>
  <c r="O2101" i="10"/>
  <c r="O2100" i="10"/>
  <c r="O2099" i="10"/>
  <c r="O2098" i="10"/>
  <c r="O2097" i="10"/>
  <c r="O2096" i="10"/>
  <c r="O2095" i="10"/>
  <c r="O2094" i="10"/>
  <c r="O2093" i="10"/>
  <c r="O2092" i="10"/>
  <c r="O2091" i="10"/>
  <c r="O2090" i="10"/>
  <c r="O2089" i="10"/>
  <c r="O2088" i="10"/>
  <c r="O2087" i="10"/>
  <c r="O2086" i="10"/>
  <c r="O2085" i="10"/>
  <c r="O2084" i="10"/>
  <c r="O2083" i="10"/>
  <c r="O2082" i="10"/>
  <c r="O2081" i="10"/>
  <c r="O2080" i="10"/>
  <c r="O2079" i="10"/>
  <c r="O2078" i="10"/>
  <c r="O2077" i="10"/>
  <c r="O2076" i="10"/>
  <c r="O2075" i="10"/>
  <c r="O2074" i="10"/>
  <c r="O2073" i="10"/>
  <c r="O2072" i="10"/>
  <c r="O2071" i="10"/>
  <c r="O2070" i="10"/>
  <c r="O2069" i="10"/>
  <c r="O2068" i="10"/>
  <c r="O2067" i="10"/>
  <c r="O2066" i="10"/>
  <c r="O2065" i="10"/>
  <c r="O2064" i="10"/>
  <c r="O2063" i="10"/>
  <c r="O2062" i="10"/>
  <c r="O2061" i="10"/>
  <c r="O2060" i="10"/>
  <c r="O2059" i="10"/>
  <c r="O2058" i="10"/>
  <c r="O2057" i="10"/>
  <c r="O2056" i="10"/>
  <c r="O2055" i="10"/>
  <c r="O2054" i="10"/>
  <c r="O2053" i="10"/>
  <c r="O2052" i="10"/>
  <c r="O2051" i="10"/>
  <c r="O2050" i="10"/>
  <c r="O2049" i="10"/>
  <c r="O2048" i="10"/>
  <c r="O2047" i="10"/>
  <c r="O2046" i="10"/>
  <c r="O2045" i="10"/>
  <c r="O2044" i="10"/>
  <c r="O2043" i="10"/>
  <c r="O2042" i="10"/>
  <c r="O2041" i="10"/>
  <c r="O2040" i="10"/>
  <c r="O2039" i="10"/>
  <c r="O2038" i="10"/>
  <c r="O2037" i="10"/>
  <c r="O2036" i="10"/>
  <c r="O2035" i="10"/>
  <c r="O2034" i="10"/>
  <c r="O2033" i="10"/>
  <c r="O2032" i="10"/>
  <c r="O2031" i="10"/>
  <c r="O2030" i="10"/>
  <c r="O2029" i="10"/>
  <c r="O2028" i="10"/>
  <c r="O2027" i="10"/>
  <c r="O2026" i="10"/>
  <c r="O2025" i="10"/>
  <c r="O2024" i="10"/>
  <c r="O2023" i="10"/>
  <c r="O2022" i="10"/>
  <c r="O2021" i="10"/>
  <c r="O2020" i="10"/>
  <c r="O2019" i="10"/>
  <c r="O2018" i="10"/>
  <c r="O2017" i="10"/>
  <c r="O2016" i="10"/>
  <c r="O2015" i="10"/>
  <c r="O2014" i="10"/>
  <c r="O2013" i="10"/>
  <c r="O2012" i="10"/>
  <c r="O2011" i="10"/>
  <c r="O2010" i="10"/>
  <c r="O2009" i="10"/>
  <c r="O2008" i="10"/>
  <c r="O2007" i="10"/>
  <c r="O2006" i="10"/>
  <c r="O2005" i="10"/>
  <c r="O2004" i="10"/>
  <c r="O2003" i="10"/>
  <c r="O2002" i="10"/>
  <c r="O2001" i="10"/>
  <c r="O2000" i="10"/>
  <c r="O1999" i="10"/>
  <c r="O1998" i="10"/>
  <c r="O1997" i="10"/>
  <c r="O1996" i="10"/>
  <c r="O1995" i="10"/>
  <c r="O1994" i="10"/>
  <c r="O1993" i="10"/>
  <c r="O1992" i="10"/>
  <c r="O1991" i="10"/>
  <c r="O1990" i="10"/>
  <c r="O1989" i="10"/>
  <c r="O1988" i="10"/>
  <c r="O1987" i="10"/>
  <c r="O1986" i="10"/>
  <c r="O1985" i="10"/>
  <c r="O1984" i="10"/>
  <c r="O1983" i="10"/>
  <c r="O1982" i="10"/>
  <c r="O1981" i="10"/>
  <c r="O1980" i="10"/>
  <c r="O1979" i="10"/>
  <c r="O1978" i="10"/>
  <c r="O1977" i="10"/>
  <c r="O1976" i="10"/>
  <c r="O1975" i="10"/>
  <c r="O1974" i="10"/>
  <c r="O1973" i="10"/>
  <c r="O1972" i="10"/>
  <c r="O1971" i="10"/>
  <c r="O1970" i="10"/>
  <c r="O1969" i="10"/>
  <c r="O1968" i="10"/>
  <c r="O1967" i="10"/>
  <c r="O1966" i="10"/>
  <c r="O1965" i="10"/>
  <c r="O1964" i="10"/>
  <c r="O1963" i="10"/>
  <c r="O1962" i="10"/>
  <c r="O1961" i="10"/>
  <c r="O1960" i="10"/>
  <c r="O1959" i="10"/>
  <c r="O1958" i="10"/>
  <c r="O1957" i="10"/>
  <c r="O1956" i="10"/>
  <c r="O1955" i="10"/>
  <c r="O1954" i="10"/>
  <c r="O1953" i="10"/>
  <c r="O1952" i="10"/>
  <c r="O1951" i="10"/>
  <c r="O1950" i="10"/>
  <c r="O1949" i="10"/>
  <c r="O1948" i="10"/>
  <c r="O1947" i="10"/>
  <c r="O1946" i="10"/>
  <c r="O1945" i="10"/>
  <c r="O1944" i="10"/>
  <c r="O1943" i="10"/>
  <c r="O1942" i="10"/>
  <c r="O1941" i="10"/>
  <c r="O1940" i="10"/>
  <c r="O1939" i="10"/>
  <c r="O1938" i="10"/>
  <c r="O1937" i="10"/>
  <c r="O1936" i="10"/>
  <c r="O1935" i="10"/>
  <c r="O1934" i="10"/>
  <c r="O1933" i="10"/>
  <c r="O1932" i="10"/>
  <c r="O1931" i="10"/>
  <c r="O1930" i="10"/>
  <c r="O1929" i="10"/>
  <c r="O1928" i="10"/>
  <c r="O1927" i="10"/>
  <c r="O1926" i="10"/>
  <c r="O1925" i="10"/>
  <c r="O1924" i="10"/>
  <c r="O1923" i="10"/>
  <c r="O1922" i="10"/>
  <c r="O1921" i="10"/>
  <c r="O1920" i="10"/>
  <c r="O1919" i="10"/>
  <c r="O1918" i="10"/>
  <c r="O1917" i="10"/>
  <c r="O1916" i="10"/>
  <c r="O1915" i="10"/>
  <c r="O1914" i="10"/>
  <c r="O1913" i="10"/>
  <c r="O1912" i="10"/>
  <c r="O1911" i="10"/>
  <c r="O1910" i="10"/>
  <c r="O1909" i="10"/>
  <c r="O1908" i="10"/>
  <c r="O1907" i="10"/>
  <c r="O1906" i="10"/>
  <c r="O1905" i="10"/>
  <c r="O1904" i="10"/>
  <c r="O1903" i="10"/>
  <c r="O1902" i="10"/>
  <c r="O1901" i="10"/>
  <c r="O1900" i="10"/>
  <c r="O1899" i="10"/>
  <c r="O1898" i="10"/>
  <c r="O1897" i="10"/>
  <c r="O1896" i="10"/>
  <c r="O1895" i="10"/>
  <c r="O1894" i="10"/>
  <c r="O1893" i="10"/>
  <c r="O1892" i="10"/>
  <c r="O1891" i="10"/>
  <c r="O1890" i="10"/>
  <c r="O1889" i="10"/>
  <c r="O1888" i="10"/>
  <c r="O1887" i="10"/>
  <c r="O1886" i="10"/>
  <c r="O1885" i="10"/>
  <c r="O1884" i="10"/>
  <c r="O1883" i="10"/>
  <c r="O1882" i="10"/>
  <c r="O1881" i="10"/>
  <c r="O1880" i="10"/>
  <c r="O1879" i="10"/>
  <c r="O1878" i="10"/>
  <c r="O1877" i="10"/>
  <c r="O1876" i="10"/>
  <c r="O1875" i="10"/>
  <c r="O1874" i="10"/>
  <c r="O1873" i="10"/>
  <c r="O1872" i="10"/>
  <c r="O1871" i="10"/>
  <c r="O1870" i="10"/>
  <c r="O1869" i="10"/>
  <c r="O1868" i="10"/>
  <c r="O1867" i="10"/>
  <c r="O1866" i="10"/>
  <c r="O1865" i="10"/>
  <c r="O1864" i="10"/>
  <c r="O1863" i="10"/>
  <c r="O1862" i="10"/>
  <c r="O1861" i="10"/>
  <c r="O1860" i="10"/>
  <c r="O1859" i="10"/>
  <c r="O1858" i="10"/>
  <c r="O1857" i="10"/>
  <c r="O1856" i="10"/>
  <c r="O1855" i="10"/>
  <c r="O1854" i="10"/>
  <c r="O1853" i="10"/>
  <c r="O1852" i="10"/>
  <c r="O1851" i="10"/>
  <c r="O1850" i="10"/>
  <c r="O1849" i="10"/>
  <c r="O1848" i="10"/>
  <c r="O1847" i="10"/>
  <c r="O1846" i="10"/>
  <c r="O1845" i="10"/>
  <c r="O1844" i="10"/>
  <c r="O1843" i="10"/>
  <c r="O1842" i="10"/>
  <c r="O1841" i="10"/>
  <c r="O1840" i="10"/>
  <c r="O1839" i="10"/>
  <c r="O1838" i="10"/>
  <c r="O1837" i="10"/>
  <c r="O1836" i="10"/>
  <c r="O1835" i="10"/>
  <c r="O1834" i="10"/>
  <c r="O1833" i="10"/>
  <c r="O1832" i="10"/>
  <c r="O1831" i="10"/>
  <c r="O1830" i="10"/>
  <c r="O1829" i="10"/>
  <c r="O1828" i="10"/>
  <c r="O1827" i="10"/>
  <c r="O1826" i="10"/>
  <c r="O1825" i="10"/>
  <c r="O1824" i="10"/>
  <c r="O1823" i="10"/>
  <c r="O1822" i="10"/>
  <c r="O1821" i="10"/>
  <c r="O1820" i="10"/>
  <c r="O1819" i="10"/>
  <c r="O1818" i="10"/>
  <c r="O1817" i="10"/>
  <c r="O1816" i="10"/>
  <c r="O1815" i="10"/>
  <c r="O1814" i="10"/>
  <c r="O1813" i="10"/>
  <c r="O1812" i="10"/>
  <c r="O1811" i="10"/>
  <c r="O1810" i="10"/>
  <c r="O1809" i="10"/>
  <c r="O1808" i="10"/>
  <c r="O1807" i="10"/>
  <c r="O1806" i="10"/>
  <c r="O1805" i="10"/>
  <c r="O1804" i="10"/>
  <c r="O1803" i="10"/>
  <c r="O1802" i="10"/>
  <c r="O1801" i="10"/>
  <c r="O1800" i="10"/>
  <c r="O1799" i="10"/>
  <c r="O1798" i="10"/>
  <c r="O1797" i="10"/>
  <c r="O1796" i="10"/>
  <c r="O1795" i="10"/>
  <c r="O1794" i="10"/>
  <c r="O1793" i="10"/>
  <c r="O1792" i="10"/>
  <c r="O1791" i="10"/>
  <c r="O1790" i="10"/>
  <c r="O1789" i="10"/>
  <c r="O1788" i="10"/>
  <c r="O1787" i="10"/>
  <c r="O1786" i="10"/>
  <c r="O1785" i="10"/>
  <c r="O1784" i="10"/>
  <c r="O1783" i="10"/>
  <c r="O1782" i="10"/>
  <c r="O1781" i="10"/>
  <c r="O1780" i="10"/>
  <c r="O1779" i="10"/>
  <c r="O1778" i="10"/>
  <c r="O1777" i="10"/>
  <c r="O1776" i="10"/>
  <c r="O1775" i="10"/>
  <c r="O1774" i="10"/>
  <c r="O1773" i="10"/>
  <c r="O1772" i="10"/>
  <c r="O1771" i="10"/>
  <c r="O1770" i="10"/>
  <c r="O1769" i="10"/>
  <c r="O1768" i="10"/>
  <c r="O1767" i="10"/>
  <c r="O1766" i="10"/>
  <c r="O1765" i="10"/>
  <c r="O1764" i="10"/>
  <c r="O1763" i="10"/>
  <c r="O1762" i="10"/>
  <c r="O1761" i="10"/>
  <c r="O1760" i="10"/>
  <c r="O1759" i="10"/>
  <c r="O1758" i="10"/>
  <c r="O1757" i="10"/>
  <c r="O1756" i="10"/>
  <c r="O1755" i="10"/>
  <c r="O1754" i="10"/>
  <c r="O1753" i="10"/>
  <c r="O1752" i="10"/>
  <c r="O1751" i="10"/>
  <c r="O1750" i="10"/>
  <c r="O1749" i="10"/>
  <c r="O1748" i="10"/>
  <c r="O1747" i="10"/>
  <c r="O1746" i="10"/>
  <c r="O1745" i="10"/>
  <c r="O1744" i="10"/>
  <c r="O1743" i="10"/>
  <c r="O1742" i="10"/>
  <c r="O1741" i="10"/>
  <c r="O1740" i="10"/>
  <c r="O1739" i="10"/>
  <c r="O1738" i="10"/>
  <c r="O1737" i="10"/>
  <c r="O1736" i="10"/>
  <c r="O1735" i="10"/>
  <c r="O1734" i="10"/>
  <c r="O1733" i="10"/>
  <c r="O1732" i="10"/>
  <c r="O1731" i="10"/>
  <c r="O1730" i="10"/>
  <c r="O1729" i="10"/>
  <c r="O1728" i="10"/>
  <c r="O1727" i="10"/>
  <c r="O1726" i="10"/>
  <c r="O1725" i="10"/>
  <c r="O1724" i="10"/>
  <c r="O1723" i="10"/>
  <c r="O1722" i="10"/>
  <c r="O1721" i="10"/>
  <c r="O1720" i="10"/>
  <c r="O1719" i="10"/>
  <c r="O1718" i="10"/>
  <c r="O1717" i="10"/>
  <c r="O1716" i="10"/>
  <c r="O1715" i="10"/>
  <c r="O1714" i="10"/>
  <c r="O1713" i="10"/>
  <c r="O1712" i="10"/>
  <c r="O1711" i="10"/>
  <c r="O1710" i="10"/>
  <c r="O1709" i="10"/>
  <c r="O1708" i="10"/>
  <c r="O1707" i="10"/>
  <c r="O1706" i="10"/>
  <c r="O1705" i="10"/>
  <c r="O1704" i="10"/>
  <c r="O1703" i="10"/>
  <c r="O1702" i="10"/>
  <c r="O1701" i="10"/>
  <c r="O1700" i="10"/>
  <c r="O1699" i="10"/>
  <c r="O1698" i="10"/>
  <c r="O1697" i="10"/>
  <c r="O1696" i="10"/>
  <c r="O1695" i="10"/>
  <c r="O1694" i="10"/>
  <c r="O1693" i="10"/>
  <c r="O1692" i="10"/>
  <c r="O1691" i="10"/>
  <c r="O1690" i="10"/>
  <c r="O1689" i="10"/>
  <c r="O1688" i="10"/>
  <c r="O1687" i="10"/>
  <c r="O1686" i="10"/>
  <c r="O1685" i="10"/>
  <c r="O1684" i="10"/>
  <c r="O1683" i="10"/>
  <c r="O1682" i="10"/>
  <c r="O1681" i="10"/>
  <c r="O1680" i="10"/>
  <c r="O1679" i="10"/>
  <c r="O1678" i="10"/>
  <c r="O1677" i="10"/>
  <c r="O1676" i="10"/>
  <c r="O1675" i="10"/>
  <c r="O1674" i="10"/>
  <c r="O1673" i="10"/>
  <c r="O1672" i="10"/>
  <c r="O1671" i="10"/>
  <c r="O1670" i="10"/>
  <c r="O1669" i="10"/>
  <c r="O1668" i="10"/>
  <c r="O1667" i="10"/>
  <c r="O1666" i="10"/>
  <c r="O1665" i="10"/>
  <c r="O1664" i="10"/>
  <c r="O1663" i="10"/>
  <c r="O1662" i="10"/>
  <c r="O1661" i="10"/>
  <c r="O1660" i="10"/>
  <c r="O1659" i="10"/>
  <c r="O1658" i="10"/>
  <c r="O1657" i="10"/>
  <c r="O1656" i="10"/>
  <c r="O1655" i="10"/>
  <c r="O1654" i="10"/>
  <c r="O1653" i="10"/>
  <c r="O1652" i="10"/>
  <c r="O1651" i="10"/>
  <c r="O1650" i="10"/>
  <c r="O1649" i="10"/>
  <c r="O1648" i="10"/>
  <c r="O1647" i="10"/>
  <c r="O1646" i="10"/>
  <c r="O1645" i="10"/>
  <c r="O1644" i="10"/>
  <c r="O1643" i="10"/>
  <c r="O1642" i="10"/>
  <c r="O1641" i="10"/>
  <c r="O1640" i="10"/>
  <c r="O1639" i="10"/>
  <c r="O1638" i="10"/>
  <c r="O1637" i="10"/>
  <c r="O1636" i="10"/>
  <c r="O1635" i="10"/>
  <c r="O1634" i="10"/>
  <c r="O1633" i="10"/>
  <c r="O1632" i="10"/>
  <c r="O1631" i="10"/>
  <c r="O1630" i="10"/>
  <c r="O1629" i="10"/>
  <c r="O1628" i="10"/>
  <c r="O1627" i="10"/>
  <c r="O1626" i="10"/>
  <c r="O1625" i="10"/>
  <c r="O1624" i="10"/>
  <c r="O1623" i="10"/>
  <c r="O1622" i="10"/>
  <c r="O1621" i="10"/>
  <c r="O1620" i="10"/>
  <c r="O1619" i="10"/>
  <c r="O1618" i="10"/>
  <c r="O1617" i="10"/>
  <c r="O1616" i="10"/>
  <c r="O1615" i="10"/>
  <c r="O1614" i="10"/>
  <c r="O1613" i="10"/>
  <c r="O1612" i="10"/>
  <c r="O1611" i="10"/>
  <c r="O1610" i="10"/>
  <c r="O1609" i="10"/>
  <c r="O1608" i="10"/>
  <c r="O1607" i="10"/>
  <c r="O1606" i="10"/>
  <c r="O1605" i="10"/>
  <c r="O1604" i="10"/>
  <c r="O1603" i="10"/>
  <c r="O1602" i="10"/>
  <c r="O1601" i="10"/>
  <c r="O1600" i="10"/>
  <c r="O1599" i="10"/>
  <c r="O1598" i="10"/>
  <c r="O1597" i="10"/>
  <c r="O1596" i="10"/>
  <c r="O1595" i="10"/>
  <c r="O1594" i="10"/>
  <c r="O1593" i="10"/>
  <c r="O1592" i="10"/>
  <c r="O1591" i="10"/>
  <c r="O1590" i="10"/>
  <c r="O1589" i="10"/>
  <c r="O1588" i="10"/>
  <c r="O1587" i="10"/>
  <c r="O1586" i="10"/>
  <c r="O1585" i="10"/>
  <c r="O1584" i="10"/>
  <c r="O1583" i="10"/>
  <c r="O1582" i="10"/>
  <c r="O1581" i="10"/>
  <c r="O1580" i="10"/>
  <c r="O1579" i="10"/>
  <c r="O1578" i="10"/>
  <c r="O1577" i="10"/>
  <c r="O1576" i="10"/>
  <c r="O1575" i="10"/>
  <c r="O1574" i="10"/>
  <c r="O1573" i="10"/>
  <c r="O1572" i="10"/>
  <c r="O1571" i="10"/>
  <c r="O1570" i="10"/>
  <c r="O1569" i="10"/>
  <c r="O1568" i="10"/>
  <c r="O1567" i="10"/>
  <c r="O1566" i="10"/>
  <c r="O1565" i="10"/>
  <c r="O1564" i="10"/>
  <c r="O1563" i="10"/>
  <c r="O1562" i="10"/>
  <c r="O1561" i="10"/>
  <c r="O1560" i="10"/>
  <c r="O1559" i="10"/>
  <c r="O1558" i="10"/>
  <c r="O1557" i="10"/>
  <c r="O1556" i="10"/>
  <c r="O1555" i="10"/>
  <c r="O1554" i="10"/>
  <c r="O1553" i="10"/>
  <c r="O1552" i="10"/>
  <c r="O1551" i="10"/>
  <c r="O1550" i="10"/>
  <c r="O1549" i="10"/>
  <c r="O1548" i="10"/>
  <c r="O1547" i="10"/>
  <c r="O1546" i="10"/>
  <c r="O1545" i="10"/>
  <c r="O1544" i="10"/>
  <c r="O1543" i="10"/>
  <c r="O1542" i="10"/>
  <c r="O1541" i="10"/>
  <c r="O1540" i="10"/>
  <c r="O1539" i="10"/>
  <c r="O1538" i="10"/>
  <c r="O1537" i="10"/>
  <c r="O1536" i="10"/>
  <c r="O1535" i="10"/>
  <c r="O1534" i="10"/>
  <c r="O1533" i="10"/>
  <c r="O1532" i="10"/>
  <c r="O1531" i="10"/>
  <c r="O1530" i="10"/>
  <c r="O1529" i="10"/>
  <c r="O1528" i="10"/>
  <c r="O1527" i="10"/>
  <c r="O1526" i="10"/>
  <c r="O1525" i="10"/>
  <c r="O1524" i="10"/>
  <c r="O1523" i="10"/>
  <c r="O1522" i="10"/>
  <c r="O1521" i="10"/>
  <c r="O1520" i="10"/>
  <c r="O1519" i="10"/>
  <c r="O1518" i="10"/>
  <c r="O1517" i="10"/>
  <c r="O1516" i="10"/>
  <c r="O1515" i="10"/>
  <c r="O1514" i="10"/>
  <c r="O1513" i="10"/>
  <c r="O1512" i="10"/>
  <c r="O1511" i="10"/>
  <c r="O1510" i="10"/>
  <c r="O1509" i="10"/>
  <c r="O1508" i="10"/>
  <c r="O1507" i="10"/>
  <c r="O1506" i="10"/>
  <c r="O1505" i="10"/>
  <c r="O1504" i="10"/>
  <c r="O1503" i="10"/>
  <c r="O1502" i="10"/>
  <c r="O1501" i="10"/>
  <c r="O1500" i="10"/>
  <c r="O1499" i="10"/>
  <c r="O1498" i="10"/>
  <c r="O1497" i="10"/>
  <c r="O1496" i="10"/>
  <c r="O1495" i="10"/>
  <c r="O1494" i="10"/>
  <c r="O1493" i="10"/>
  <c r="O1492" i="10"/>
  <c r="O1491" i="10"/>
  <c r="O1490" i="10"/>
  <c r="O1489" i="10"/>
  <c r="O1488" i="10"/>
  <c r="O1487" i="10"/>
  <c r="O1486" i="10"/>
  <c r="O1485" i="10"/>
  <c r="O1484" i="10"/>
  <c r="O1483" i="10"/>
  <c r="O1482" i="10"/>
  <c r="O1481" i="10"/>
  <c r="O1480" i="10"/>
  <c r="O1479" i="10"/>
  <c r="O1478" i="10"/>
  <c r="O1477" i="10"/>
  <c r="O1476" i="10"/>
  <c r="O1475" i="10"/>
  <c r="O1474" i="10"/>
  <c r="O1473" i="10"/>
  <c r="O1472" i="10"/>
  <c r="O1471" i="10"/>
  <c r="O1470" i="10"/>
  <c r="O1469" i="10"/>
  <c r="O1468" i="10"/>
  <c r="O1467" i="10"/>
  <c r="O1466" i="10"/>
  <c r="O1465" i="10"/>
  <c r="O1464" i="10"/>
  <c r="O1463" i="10"/>
  <c r="O1462" i="10"/>
  <c r="O1461" i="10"/>
  <c r="O1460" i="10"/>
  <c r="O1459" i="10"/>
  <c r="O1458" i="10"/>
  <c r="O1457" i="10"/>
  <c r="O1456" i="10"/>
  <c r="O1455" i="10"/>
  <c r="O1454" i="10"/>
  <c r="O1453" i="10"/>
  <c r="O1452" i="10"/>
  <c r="O1451" i="10"/>
  <c r="O1450" i="10"/>
  <c r="O1449" i="10"/>
  <c r="O1448" i="10"/>
  <c r="O1447" i="10"/>
  <c r="O1446" i="10"/>
  <c r="O1445" i="10"/>
  <c r="O1444" i="10"/>
  <c r="O1443" i="10"/>
  <c r="O1442" i="10"/>
  <c r="O1441" i="10"/>
  <c r="O1440" i="10"/>
  <c r="O1439" i="10"/>
  <c r="O1438" i="10"/>
  <c r="O1437" i="10"/>
  <c r="O1436" i="10"/>
  <c r="O1435" i="10"/>
  <c r="O1434" i="10"/>
  <c r="O1433" i="10"/>
  <c r="O1432" i="10"/>
  <c r="O1431" i="10"/>
  <c r="O1430" i="10"/>
  <c r="O1429" i="10"/>
  <c r="O1428" i="10"/>
  <c r="O1427" i="10"/>
  <c r="O1426" i="10"/>
  <c r="O1425" i="10"/>
  <c r="O1424" i="10"/>
  <c r="O1423" i="10"/>
  <c r="O1422" i="10"/>
  <c r="O1421" i="10"/>
  <c r="O1420" i="10"/>
  <c r="O1419" i="10"/>
  <c r="O1418" i="10"/>
  <c r="O1417" i="10"/>
  <c r="O1416" i="10"/>
  <c r="O1415" i="10"/>
  <c r="O1414" i="10"/>
  <c r="O1413" i="10"/>
  <c r="O1412" i="10"/>
  <c r="O1411" i="10"/>
  <c r="O1410" i="10"/>
  <c r="O1409" i="10"/>
  <c r="O1408" i="10"/>
  <c r="O1407" i="10"/>
  <c r="O1406" i="10"/>
  <c r="O1405" i="10"/>
  <c r="O1404" i="10"/>
  <c r="O1403" i="10"/>
  <c r="O1402" i="10"/>
  <c r="O1401" i="10"/>
  <c r="O1400" i="10"/>
  <c r="O1399" i="10"/>
  <c r="O1398" i="10"/>
  <c r="O1397" i="10"/>
  <c r="O1396" i="10"/>
  <c r="O1395" i="10"/>
  <c r="O1394" i="10"/>
  <c r="O1393" i="10"/>
  <c r="O1392" i="10"/>
  <c r="O1391" i="10"/>
  <c r="O1390" i="10"/>
  <c r="O1389" i="10"/>
  <c r="O1388" i="10"/>
  <c r="O1387" i="10"/>
  <c r="O1386" i="10"/>
  <c r="O1385" i="10"/>
  <c r="O1384" i="10"/>
  <c r="O1383" i="10"/>
  <c r="O1382" i="10"/>
  <c r="O1381" i="10"/>
  <c r="O1380" i="10"/>
  <c r="O1379" i="10"/>
  <c r="O1378" i="10"/>
  <c r="O1377" i="10"/>
  <c r="O1376" i="10"/>
  <c r="O1375" i="10"/>
  <c r="O1374" i="10"/>
  <c r="O1373" i="10"/>
  <c r="O1372" i="10"/>
  <c r="O1371" i="10"/>
  <c r="O1370" i="10"/>
  <c r="O1369" i="10"/>
  <c r="O1368" i="10"/>
  <c r="O1367" i="10"/>
  <c r="O1366" i="10"/>
  <c r="O1365" i="10"/>
  <c r="O1364" i="10"/>
  <c r="O1363" i="10"/>
  <c r="O1362" i="10"/>
  <c r="O1361" i="10"/>
  <c r="O1360" i="10"/>
  <c r="O1359" i="10"/>
  <c r="O1358" i="10"/>
  <c r="O1357" i="10"/>
  <c r="O1356" i="10"/>
  <c r="O1355" i="10"/>
  <c r="O1354" i="10"/>
  <c r="O1353" i="10"/>
  <c r="O1352" i="10"/>
  <c r="O1351" i="10"/>
  <c r="O1350" i="10"/>
  <c r="O1349" i="10"/>
  <c r="O1348" i="10"/>
  <c r="O1347" i="10"/>
  <c r="O1346" i="10"/>
  <c r="O1345" i="10"/>
  <c r="O1344" i="10"/>
  <c r="O1343" i="10"/>
  <c r="O1342" i="10"/>
  <c r="O1341" i="10"/>
  <c r="O1340" i="10"/>
  <c r="O1339" i="10"/>
  <c r="O1338" i="10"/>
  <c r="O1337" i="10"/>
  <c r="O1336" i="10"/>
  <c r="O1335" i="10"/>
  <c r="O1334" i="10"/>
  <c r="O1333" i="10"/>
  <c r="O1332" i="10"/>
  <c r="O1331" i="10"/>
  <c r="O1330" i="10"/>
  <c r="O1329" i="10"/>
  <c r="O1328" i="10"/>
  <c r="O1327" i="10"/>
  <c r="O1326" i="10"/>
  <c r="O1325" i="10"/>
  <c r="O1324" i="10"/>
  <c r="O1323" i="10"/>
  <c r="O1322" i="10"/>
  <c r="O1321" i="10"/>
  <c r="O1320" i="10"/>
  <c r="O1319" i="10"/>
  <c r="O1318" i="10"/>
  <c r="O1317" i="10"/>
  <c r="O1316" i="10"/>
  <c r="O1315" i="10"/>
  <c r="O1314" i="10"/>
  <c r="O1313" i="10"/>
  <c r="O1312" i="10"/>
  <c r="O1311" i="10"/>
  <c r="O1310" i="10"/>
  <c r="O1309" i="10"/>
  <c r="O1308" i="10"/>
  <c r="O1307" i="10"/>
  <c r="O1306" i="10"/>
  <c r="O1305" i="10"/>
  <c r="O1304" i="10"/>
  <c r="O1303" i="10"/>
  <c r="O1302" i="10"/>
  <c r="O1301" i="10"/>
  <c r="O1300" i="10"/>
  <c r="O1299" i="10"/>
  <c r="O1298" i="10"/>
  <c r="O1297" i="10"/>
  <c r="O1296" i="10"/>
  <c r="O1295" i="10"/>
  <c r="O1294" i="10"/>
  <c r="O1293" i="10"/>
  <c r="O1292" i="10"/>
  <c r="O1291" i="10"/>
  <c r="O1290" i="10"/>
  <c r="O1289" i="10"/>
  <c r="O1288" i="10"/>
  <c r="O1287" i="10"/>
  <c r="O1286" i="10"/>
  <c r="O1285" i="10"/>
  <c r="O1284" i="10"/>
  <c r="O1283" i="10"/>
  <c r="O1282" i="10"/>
  <c r="O1281" i="10"/>
  <c r="O1280" i="10"/>
  <c r="O1279" i="10"/>
  <c r="O1278" i="10"/>
  <c r="O1277" i="10"/>
  <c r="O1276" i="10"/>
  <c r="O1275" i="10"/>
  <c r="O1274" i="10"/>
  <c r="O1273" i="10"/>
  <c r="O1272" i="10"/>
  <c r="O1271" i="10"/>
  <c r="O1270" i="10"/>
  <c r="O1269" i="10"/>
  <c r="O1268" i="10"/>
  <c r="O1267" i="10"/>
  <c r="O1266" i="10"/>
  <c r="O1265" i="10"/>
  <c r="O1264" i="10"/>
  <c r="O1263" i="10"/>
  <c r="O1262" i="10"/>
  <c r="O1261" i="10"/>
  <c r="O1260" i="10"/>
  <c r="O1259" i="10"/>
  <c r="O1258" i="10"/>
  <c r="O1257" i="10"/>
  <c r="O1256" i="10"/>
  <c r="O1255" i="10"/>
  <c r="O1254" i="10"/>
  <c r="O1253" i="10"/>
  <c r="O1252" i="10"/>
  <c r="O1251" i="10"/>
  <c r="O1250" i="10"/>
  <c r="O1249" i="10"/>
  <c r="O1248" i="10"/>
  <c r="O1247" i="10"/>
  <c r="O1246" i="10"/>
  <c r="O1245" i="10"/>
  <c r="O1244" i="10"/>
  <c r="O1243" i="10"/>
  <c r="O1242" i="10"/>
  <c r="O1241" i="10"/>
  <c r="O1240" i="10"/>
  <c r="O1239" i="10"/>
  <c r="O1238" i="10"/>
  <c r="O1237" i="10"/>
  <c r="O1236" i="10"/>
  <c r="O1235" i="10"/>
  <c r="O1234" i="10"/>
  <c r="O1233" i="10"/>
  <c r="O1232" i="10"/>
  <c r="O1231" i="10"/>
  <c r="O1230" i="10"/>
  <c r="O1229" i="10"/>
  <c r="O1228" i="10"/>
  <c r="O1227" i="10"/>
  <c r="O1226" i="10"/>
  <c r="O1225" i="10"/>
  <c r="O1224" i="10"/>
  <c r="O1223" i="10"/>
  <c r="O1222" i="10"/>
  <c r="O1221" i="10"/>
  <c r="O1220" i="10"/>
  <c r="O1219" i="10"/>
  <c r="O1218" i="10"/>
  <c r="O1217" i="10"/>
  <c r="O1216" i="10"/>
  <c r="O1215" i="10"/>
  <c r="O1214" i="10"/>
  <c r="O1213" i="10"/>
  <c r="O1212" i="10"/>
  <c r="O1211" i="10"/>
  <c r="O1210" i="10"/>
  <c r="O1209" i="10"/>
  <c r="O1208" i="10"/>
  <c r="O1207" i="10"/>
  <c r="O1206" i="10"/>
  <c r="O1205" i="10"/>
  <c r="O1204" i="10"/>
  <c r="O1203" i="10"/>
  <c r="O1202" i="10"/>
  <c r="O1201" i="10"/>
  <c r="O1200" i="10"/>
  <c r="O1199" i="10"/>
  <c r="O1198" i="10"/>
  <c r="O1197" i="10"/>
  <c r="O1196" i="10"/>
  <c r="O1195" i="10"/>
  <c r="O1194" i="10"/>
  <c r="O1193" i="10"/>
  <c r="O1192" i="10"/>
  <c r="O1191" i="10"/>
  <c r="O1190" i="10"/>
  <c r="O1189" i="10"/>
  <c r="O1188" i="10"/>
  <c r="O1187" i="10"/>
  <c r="O1186" i="10"/>
  <c r="O1185" i="10"/>
  <c r="O1184" i="10"/>
  <c r="O1183" i="10"/>
  <c r="O1182" i="10"/>
  <c r="O1181" i="10"/>
  <c r="O1180" i="10"/>
  <c r="O1179" i="10"/>
  <c r="O1178" i="10"/>
  <c r="O1177" i="10"/>
  <c r="O1176" i="10"/>
  <c r="O1175" i="10"/>
  <c r="O1174" i="10"/>
  <c r="O1173" i="10"/>
  <c r="O1172" i="10"/>
  <c r="O1171" i="10"/>
  <c r="O1170" i="10"/>
  <c r="O1169" i="10"/>
  <c r="O1168" i="10"/>
  <c r="O1167" i="10"/>
  <c r="O1166" i="10"/>
  <c r="O1165" i="10"/>
  <c r="O1164" i="10"/>
  <c r="O1163" i="10"/>
  <c r="O1162" i="10"/>
  <c r="O1161" i="10"/>
  <c r="O1160" i="10"/>
  <c r="O1159" i="10"/>
  <c r="O1158" i="10"/>
  <c r="O1157" i="10"/>
  <c r="O1156" i="10"/>
  <c r="O1155" i="10"/>
  <c r="O1154" i="10"/>
  <c r="O1153" i="10"/>
  <c r="O1152" i="10"/>
  <c r="O1151" i="10"/>
  <c r="O1150" i="10"/>
  <c r="O1149" i="10"/>
  <c r="O1148" i="10"/>
  <c r="O1147" i="10"/>
  <c r="O1146" i="10"/>
  <c r="O1145" i="10"/>
  <c r="O1144" i="10"/>
  <c r="O1143" i="10"/>
  <c r="O1142" i="10"/>
  <c r="O1141" i="10"/>
  <c r="O1140" i="10"/>
  <c r="O1139" i="10"/>
  <c r="O1138" i="10"/>
  <c r="O1137" i="10"/>
  <c r="O1136" i="10"/>
  <c r="O1135" i="10"/>
  <c r="O1134" i="10"/>
  <c r="O1133" i="10"/>
  <c r="O1132" i="10"/>
  <c r="O1131" i="10"/>
  <c r="O1130" i="10"/>
  <c r="O1129" i="10"/>
  <c r="O1128" i="10"/>
  <c r="O1127" i="10"/>
  <c r="O1126" i="10"/>
  <c r="O1125" i="10"/>
  <c r="O1124" i="10"/>
  <c r="O1123" i="10"/>
  <c r="O1122" i="10"/>
  <c r="O1121" i="10"/>
  <c r="O1120" i="10"/>
  <c r="O1119" i="10"/>
  <c r="O1118" i="10"/>
  <c r="O1117" i="10"/>
  <c r="O1116" i="10"/>
  <c r="O1115" i="10"/>
  <c r="O1114" i="10"/>
  <c r="O1113" i="10"/>
  <c r="O1112" i="10"/>
  <c r="O1111" i="10"/>
  <c r="O1110" i="10"/>
  <c r="O1109" i="10"/>
  <c r="O1108" i="10"/>
  <c r="O1107" i="10"/>
  <c r="O1106" i="10"/>
  <c r="O1105" i="10"/>
  <c r="O1104" i="10"/>
  <c r="O1103" i="10"/>
  <c r="O1102" i="10"/>
  <c r="O1101" i="10"/>
  <c r="O1100" i="10"/>
  <c r="O1099" i="10"/>
  <c r="O1098" i="10"/>
  <c r="O1097" i="10"/>
  <c r="O1096" i="10"/>
  <c r="O1095" i="10"/>
  <c r="O1094" i="10"/>
  <c r="O1093" i="10"/>
  <c r="O1092" i="10"/>
  <c r="O1091" i="10"/>
  <c r="O1090" i="10"/>
  <c r="O1089" i="10"/>
  <c r="O1088" i="10"/>
  <c r="O1087" i="10"/>
  <c r="O1086" i="10"/>
  <c r="O1085" i="10"/>
  <c r="O1084" i="10"/>
  <c r="O1083" i="10"/>
  <c r="O1082" i="10"/>
  <c r="O1081" i="10"/>
  <c r="O1080" i="10"/>
  <c r="O1079" i="10"/>
  <c r="O1078" i="10"/>
  <c r="O1077" i="10"/>
  <c r="O1076" i="10"/>
  <c r="O1075" i="10"/>
  <c r="O1074" i="10"/>
  <c r="O1073" i="10"/>
  <c r="O1072" i="10"/>
  <c r="O1071" i="10"/>
  <c r="O1070" i="10"/>
  <c r="O1069" i="10"/>
  <c r="O1068" i="10"/>
  <c r="O1067" i="10"/>
  <c r="O1066" i="10"/>
  <c r="O1065" i="10"/>
  <c r="O1064" i="10"/>
  <c r="O1063" i="10"/>
  <c r="O1062" i="10"/>
  <c r="O1061" i="10"/>
  <c r="O1060" i="10"/>
  <c r="O1059" i="10"/>
  <c r="O1058" i="10"/>
  <c r="O1057" i="10"/>
  <c r="O1056" i="10"/>
  <c r="O1055" i="10"/>
  <c r="O1054" i="10"/>
  <c r="O1053" i="10"/>
  <c r="O1052" i="10"/>
  <c r="O1051" i="10"/>
  <c r="O1050" i="10"/>
  <c r="O1049" i="10"/>
  <c r="O1048" i="10"/>
  <c r="O1047" i="10"/>
  <c r="O1046" i="10"/>
  <c r="O1045" i="10"/>
  <c r="O1044" i="10"/>
  <c r="O1043" i="10"/>
  <c r="O1042" i="10"/>
  <c r="O1041" i="10"/>
  <c r="O1040" i="10"/>
  <c r="O1039" i="10"/>
  <c r="O1038" i="10"/>
  <c r="O1037" i="10"/>
  <c r="O1036" i="10"/>
  <c r="O1035" i="10"/>
  <c r="O1034" i="10"/>
  <c r="O1033" i="10"/>
  <c r="O1032" i="10"/>
  <c r="O1031" i="10"/>
  <c r="O1030" i="10"/>
  <c r="O1029" i="10"/>
  <c r="O1028" i="10"/>
  <c r="O1027" i="10"/>
  <c r="O1026" i="10"/>
  <c r="O1025" i="10"/>
  <c r="O1024" i="10"/>
  <c r="O1023" i="10"/>
  <c r="O1022" i="10"/>
  <c r="O1021" i="10"/>
  <c r="O1020" i="10"/>
  <c r="O1019" i="10"/>
  <c r="O1018" i="10"/>
  <c r="O1017" i="10"/>
  <c r="O1016" i="10"/>
  <c r="O1015" i="10"/>
  <c r="O1014" i="10"/>
  <c r="O1013" i="10"/>
  <c r="O1012" i="10"/>
  <c r="O1011" i="10"/>
  <c r="O1010" i="10"/>
  <c r="O1009" i="10"/>
  <c r="O1008" i="10"/>
  <c r="O1007" i="10"/>
  <c r="O1006" i="10"/>
  <c r="O1005" i="10"/>
  <c r="O1004" i="10"/>
  <c r="O1003" i="10"/>
  <c r="O1002" i="10"/>
  <c r="O1001" i="10"/>
  <c r="O1000" i="10"/>
  <c r="O999" i="10"/>
  <c r="O998" i="10"/>
  <c r="O997" i="10"/>
  <c r="O996" i="10"/>
  <c r="O995" i="10"/>
  <c r="O994" i="10"/>
  <c r="O993" i="10"/>
  <c r="O992" i="10"/>
  <c r="O991" i="10"/>
  <c r="O990" i="10"/>
  <c r="O989" i="10"/>
  <c r="O988" i="10"/>
  <c r="O987" i="10"/>
  <c r="O986" i="10"/>
  <c r="O985" i="10"/>
  <c r="O984" i="10"/>
  <c r="O983" i="10"/>
  <c r="O982" i="10"/>
  <c r="O981" i="10"/>
  <c r="O980" i="10"/>
  <c r="O979" i="10"/>
  <c r="O978" i="10"/>
  <c r="O977" i="10"/>
  <c r="O976" i="10"/>
  <c r="O975" i="10"/>
  <c r="O974" i="10"/>
  <c r="O973" i="10"/>
  <c r="O972" i="10"/>
  <c r="O971" i="10"/>
  <c r="O970" i="10"/>
  <c r="O969" i="10"/>
  <c r="O968" i="10"/>
  <c r="O967" i="10"/>
  <c r="O966" i="10"/>
  <c r="O965" i="10"/>
  <c r="O964" i="10"/>
  <c r="O963" i="10"/>
  <c r="O962" i="10"/>
  <c r="O961" i="10"/>
  <c r="O960" i="10"/>
  <c r="O959" i="10"/>
  <c r="O958" i="10"/>
  <c r="O957" i="10"/>
  <c r="O956" i="10"/>
  <c r="O955" i="10"/>
  <c r="O954" i="10"/>
  <c r="O953" i="10"/>
  <c r="O952" i="10"/>
  <c r="O951" i="10"/>
  <c r="O950" i="10"/>
  <c r="O949" i="10"/>
  <c r="O948" i="10"/>
  <c r="O947" i="10"/>
  <c r="O946" i="10"/>
  <c r="O945" i="10"/>
  <c r="O944" i="10"/>
  <c r="O943" i="10"/>
  <c r="O942" i="10"/>
  <c r="O941" i="10"/>
  <c r="O940" i="10"/>
  <c r="O939" i="10"/>
  <c r="O938" i="10"/>
  <c r="O937" i="10"/>
  <c r="O936" i="10"/>
  <c r="O935" i="10"/>
  <c r="O934" i="10"/>
  <c r="O933" i="10"/>
  <c r="O932" i="10"/>
  <c r="O931" i="10"/>
  <c r="O930" i="10"/>
  <c r="O929" i="10"/>
  <c r="O928" i="10"/>
  <c r="O927" i="10"/>
  <c r="O926" i="10"/>
  <c r="O925" i="10"/>
  <c r="O924" i="10"/>
  <c r="O923" i="10"/>
  <c r="O922" i="10"/>
  <c r="O921" i="10"/>
  <c r="O920" i="10"/>
  <c r="O919" i="10"/>
  <c r="O918" i="10"/>
  <c r="O917" i="10"/>
  <c r="O916" i="10"/>
  <c r="O915" i="10"/>
  <c r="O914" i="10"/>
  <c r="O913" i="10"/>
  <c r="O912" i="10"/>
  <c r="O911" i="10"/>
  <c r="O910" i="10"/>
  <c r="O909" i="10"/>
  <c r="O908" i="10"/>
  <c r="O907" i="10"/>
  <c r="O906" i="10"/>
  <c r="O905" i="10"/>
  <c r="O904" i="10"/>
  <c r="O903" i="10"/>
  <c r="O902" i="10"/>
  <c r="O901" i="10"/>
  <c r="O900" i="10"/>
  <c r="O899" i="10"/>
  <c r="O898" i="10"/>
  <c r="O897" i="10"/>
  <c r="O896" i="10"/>
  <c r="O895" i="10"/>
  <c r="O894" i="10"/>
  <c r="O893" i="10"/>
  <c r="O892" i="10"/>
  <c r="O891" i="10"/>
  <c r="O890" i="10"/>
  <c r="O889" i="10"/>
  <c r="O888" i="10"/>
  <c r="O887" i="10"/>
  <c r="O886" i="10"/>
  <c r="O885" i="10"/>
  <c r="O884" i="10"/>
  <c r="O883" i="10"/>
  <c r="O882" i="10"/>
  <c r="O881" i="10"/>
  <c r="O880" i="10"/>
  <c r="O879" i="10"/>
  <c r="O878" i="10"/>
  <c r="O877" i="10"/>
  <c r="O876" i="10"/>
  <c r="O875" i="10"/>
  <c r="O874" i="10"/>
  <c r="O873" i="10"/>
  <c r="O872" i="10"/>
  <c r="O871" i="10"/>
  <c r="O870" i="10"/>
  <c r="O869" i="10"/>
  <c r="O868" i="10"/>
  <c r="O867" i="10"/>
  <c r="O866" i="10"/>
  <c r="O865" i="10"/>
  <c r="O864" i="10"/>
  <c r="O863" i="10"/>
  <c r="O862" i="10"/>
  <c r="O861" i="10"/>
  <c r="O860" i="10"/>
  <c r="O859" i="10"/>
  <c r="O858" i="10"/>
  <c r="O857" i="10"/>
  <c r="O856" i="10"/>
  <c r="O855" i="10"/>
  <c r="O854" i="10"/>
  <c r="O853" i="10"/>
  <c r="O852" i="10"/>
  <c r="O851" i="10"/>
  <c r="O850" i="10"/>
  <c r="O849" i="10"/>
  <c r="O848" i="10"/>
  <c r="O847" i="10"/>
  <c r="O846" i="10"/>
  <c r="O845" i="10"/>
  <c r="O844" i="10"/>
  <c r="O843" i="10"/>
  <c r="O842" i="10"/>
  <c r="O841" i="10"/>
  <c r="O840" i="10"/>
  <c r="O839" i="10"/>
  <c r="O838" i="10"/>
  <c r="O837" i="10"/>
  <c r="O836" i="10"/>
  <c r="O835" i="10"/>
  <c r="O834" i="10"/>
  <c r="O833" i="10"/>
  <c r="O832" i="10"/>
  <c r="O831" i="10"/>
  <c r="O830" i="10"/>
  <c r="O829" i="10"/>
  <c r="O828" i="10"/>
  <c r="O827" i="10"/>
  <c r="O826" i="10"/>
  <c r="O825" i="10"/>
  <c r="O824" i="10"/>
  <c r="O823" i="10"/>
  <c r="O822" i="10"/>
  <c r="O821" i="10"/>
  <c r="O820" i="10"/>
  <c r="O819" i="10"/>
  <c r="O818" i="10"/>
  <c r="O817" i="10"/>
  <c r="O816" i="10"/>
  <c r="O815" i="10"/>
  <c r="O814" i="10"/>
  <c r="O813" i="10"/>
  <c r="O812" i="10"/>
  <c r="O811" i="10"/>
  <c r="O810" i="10"/>
  <c r="O809" i="10"/>
  <c r="O808" i="10"/>
  <c r="O807" i="10"/>
  <c r="O806" i="10"/>
  <c r="O805" i="10"/>
  <c r="O804" i="10"/>
  <c r="O803" i="10"/>
  <c r="O802" i="10"/>
  <c r="O801" i="10"/>
  <c r="O800" i="10"/>
  <c r="O799" i="10"/>
  <c r="O798" i="10"/>
  <c r="O797" i="10"/>
  <c r="O796" i="10"/>
  <c r="O795" i="10"/>
  <c r="O794" i="10"/>
  <c r="O793" i="10"/>
  <c r="O792" i="10"/>
  <c r="O791" i="10"/>
  <c r="O790" i="10"/>
  <c r="O789" i="10"/>
  <c r="O788" i="10"/>
  <c r="O787" i="10"/>
  <c r="O786" i="10"/>
  <c r="O785" i="10"/>
  <c r="O784" i="10"/>
  <c r="O783" i="10"/>
  <c r="O782" i="10"/>
  <c r="O781" i="10"/>
  <c r="O780" i="10"/>
  <c r="O779" i="10"/>
  <c r="O778" i="10"/>
  <c r="O777" i="10"/>
  <c r="O776" i="10"/>
  <c r="O775" i="10"/>
  <c r="O774" i="10"/>
  <c r="O773" i="10"/>
  <c r="O772" i="10"/>
  <c r="O771" i="10"/>
  <c r="O770" i="10"/>
  <c r="O769" i="10"/>
  <c r="O768" i="10"/>
  <c r="O767" i="10"/>
  <c r="O766" i="10"/>
  <c r="O765" i="10"/>
  <c r="O764" i="10"/>
  <c r="O763" i="10"/>
  <c r="O762" i="10"/>
  <c r="O761" i="10"/>
  <c r="O760" i="10"/>
  <c r="O759" i="10"/>
  <c r="O758" i="10"/>
  <c r="O757" i="10"/>
  <c r="O756" i="10"/>
  <c r="O755" i="10"/>
  <c r="O754" i="10"/>
  <c r="O753" i="10"/>
  <c r="O752" i="10"/>
  <c r="O751" i="10"/>
  <c r="O750" i="10"/>
  <c r="O749" i="10"/>
  <c r="O748" i="10"/>
  <c r="O747" i="10"/>
  <c r="O746" i="10"/>
  <c r="O745" i="10"/>
  <c r="O744" i="10"/>
  <c r="O743" i="10"/>
  <c r="O742" i="10"/>
  <c r="O741" i="10"/>
  <c r="O740" i="10"/>
  <c r="O739" i="10"/>
  <c r="O738" i="10"/>
  <c r="O737" i="10"/>
  <c r="O736" i="10"/>
  <c r="O735" i="10"/>
  <c r="O734" i="10"/>
  <c r="O733" i="10"/>
  <c r="O732" i="10"/>
  <c r="O731" i="10"/>
  <c r="O730" i="10"/>
  <c r="O729" i="10"/>
  <c r="O728" i="10"/>
  <c r="O727" i="10"/>
  <c r="O726" i="10"/>
  <c r="O725" i="10"/>
  <c r="O724" i="10"/>
  <c r="O723" i="10"/>
  <c r="O722" i="10"/>
  <c r="O721" i="10"/>
  <c r="O720" i="10"/>
  <c r="O719" i="10"/>
  <c r="O718" i="10"/>
  <c r="O717" i="10"/>
  <c r="O716" i="10"/>
  <c r="O715" i="10"/>
  <c r="O714" i="10"/>
  <c r="O713" i="10"/>
  <c r="O712" i="10"/>
  <c r="O711" i="10"/>
  <c r="O710" i="10"/>
  <c r="O709" i="10"/>
  <c r="O708" i="10"/>
  <c r="O707" i="10"/>
  <c r="O706" i="10"/>
  <c r="O705" i="10"/>
  <c r="O704" i="10"/>
  <c r="O703" i="10"/>
  <c r="O702" i="10"/>
  <c r="O701" i="10"/>
  <c r="O700" i="10"/>
  <c r="O699" i="10"/>
  <c r="O698" i="10"/>
  <c r="O697" i="10"/>
  <c r="O696" i="10"/>
  <c r="O695" i="10"/>
  <c r="O694" i="10"/>
  <c r="O693" i="10"/>
  <c r="O692" i="10"/>
  <c r="O691" i="10"/>
  <c r="O690" i="10"/>
  <c r="O689" i="10"/>
  <c r="O688" i="10"/>
  <c r="O687" i="10"/>
  <c r="O686" i="10"/>
  <c r="O685" i="10"/>
  <c r="O684" i="10"/>
  <c r="O683" i="10"/>
  <c r="O682" i="10"/>
  <c r="O681" i="10"/>
  <c r="O680" i="10"/>
  <c r="O679" i="10"/>
  <c r="O678" i="10"/>
  <c r="O677" i="10"/>
  <c r="O676" i="10"/>
  <c r="O675" i="10"/>
  <c r="O674" i="10"/>
  <c r="O673" i="10"/>
  <c r="O672" i="10"/>
  <c r="O671" i="10"/>
  <c r="O670" i="10"/>
  <c r="O669" i="10"/>
  <c r="O668" i="10"/>
  <c r="O667" i="10"/>
  <c r="O666" i="10"/>
  <c r="O665" i="10"/>
  <c r="O664" i="10"/>
  <c r="O663" i="10"/>
  <c r="O662" i="10"/>
  <c r="O661" i="10"/>
  <c r="O660" i="10"/>
  <c r="O659" i="10"/>
  <c r="O658" i="10"/>
  <c r="O657" i="10"/>
  <c r="O656" i="10"/>
  <c r="O655" i="10"/>
  <c r="O654" i="10"/>
  <c r="O653" i="10"/>
  <c r="O652" i="10"/>
  <c r="O651" i="10"/>
  <c r="O650" i="10"/>
  <c r="O649" i="10"/>
  <c r="O648" i="10"/>
  <c r="O647" i="10"/>
  <c r="O646" i="10"/>
  <c r="O645" i="10"/>
  <c r="O644" i="10"/>
  <c r="O643" i="10"/>
  <c r="O642" i="10"/>
  <c r="O641" i="10"/>
  <c r="O640" i="10"/>
  <c r="O639" i="10"/>
  <c r="O638" i="10"/>
  <c r="O637" i="10"/>
  <c r="O636" i="10"/>
  <c r="O635" i="10"/>
  <c r="O634" i="10"/>
  <c r="O633" i="10"/>
  <c r="O632" i="10"/>
  <c r="O631" i="10"/>
  <c r="O630" i="10"/>
  <c r="O629" i="10"/>
  <c r="O628" i="10"/>
  <c r="O627" i="10"/>
  <c r="O626" i="10"/>
  <c r="O625" i="10"/>
  <c r="O624" i="10"/>
  <c r="O623" i="10"/>
  <c r="O622" i="10"/>
  <c r="O621" i="10"/>
  <c r="O620" i="10"/>
  <c r="O619" i="10"/>
  <c r="O618" i="10"/>
  <c r="O617" i="10"/>
  <c r="O616" i="10"/>
  <c r="O615" i="10"/>
  <c r="O614" i="10"/>
  <c r="O613" i="10"/>
  <c r="O612" i="10"/>
  <c r="O611" i="10"/>
  <c r="O610" i="10"/>
  <c r="O609" i="10"/>
  <c r="O608" i="10"/>
  <c r="O607" i="10"/>
  <c r="O606" i="10"/>
  <c r="O605" i="10"/>
  <c r="O604" i="10"/>
  <c r="O603" i="10"/>
  <c r="O602" i="10"/>
  <c r="O601" i="10"/>
  <c r="O600" i="10"/>
  <c r="O599" i="10"/>
  <c r="O598" i="10"/>
  <c r="O597" i="10"/>
  <c r="O596" i="10"/>
  <c r="O595" i="10"/>
  <c r="O594" i="10"/>
  <c r="O593" i="10"/>
  <c r="O592" i="10"/>
  <c r="O591" i="10"/>
  <c r="O590" i="10"/>
  <c r="O589" i="10"/>
  <c r="O588" i="10"/>
  <c r="O587" i="10"/>
  <c r="O586" i="10"/>
  <c r="O585" i="10"/>
  <c r="O584" i="10"/>
  <c r="O583" i="10"/>
  <c r="O582" i="10"/>
  <c r="O581" i="10"/>
  <c r="O580" i="10"/>
  <c r="O579" i="10"/>
  <c r="O578" i="10"/>
  <c r="O577" i="10"/>
  <c r="O576" i="10"/>
  <c r="O575" i="10"/>
  <c r="O574" i="10"/>
  <c r="O573" i="10"/>
  <c r="O572" i="10"/>
  <c r="O571" i="10"/>
  <c r="O570" i="10"/>
  <c r="O569" i="10"/>
  <c r="O568" i="10"/>
  <c r="O567" i="10"/>
  <c r="O566" i="10"/>
  <c r="O565" i="10"/>
  <c r="O564" i="10"/>
  <c r="O563" i="10"/>
  <c r="O562" i="10"/>
  <c r="O561" i="10"/>
  <c r="O560" i="10"/>
  <c r="O559" i="10"/>
  <c r="O558" i="10"/>
  <c r="O557" i="10"/>
  <c r="O556" i="10"/>
  <c r="O555" i="10"/>
  <c r="O554" i="10"/>
  <c r="O553" i="10"/>
  <c r="O552" i="10"/>
  <c r="O551" i="10"/>
  <c r="O550" i="10"/>
  <c r="O549" i="10"/>
  <c r="O548" i="10"/>
  <c r="O547" i="10"/>
  <c r="O546" i="10"/>
  <c r="O545" i="10"/>
  <c r="O544" i="10"/>
  <c r="O543" i="10"/>
  <c r="O542" i="10"/>
  <c r="O541" i="10"/>
  <c r="O540" i="10"/>
  <c r="O539" i="10"/>
  <c r="O538" i="10"/>
  <c r="O537" i="10"/>
  <c r="O536" i="10"/>
  <c r="O535" i="10"/>
  <c r="O534" i="10"/>
  <c r="O533" i="10"/>
  <c r="O532" i="10"/>
  <c r="O531" i="10"/>
  <c r="O530" i="10"/>
  <c r="O529" i="10"/>
  <c r="O528" i="10"/>
  <c r="O527" i="10"/>
  <c r="O526" i="10"/>
  <c r="O525" i="10"/>
  <c r="O524" i="10"/>
  <c r="O523" i="10"/>
  <c r="O522" i="10"/>
  <c r="O521" i="10"/>
  <c r="O520" i="10"/>
  <c r="O519" i="10"/>
  <c r="O518" i="10"/>
  <c r="O517" i="10"/>
  <c r="O516" i="10"/>
  <c r="O515" i="10"/>
  <c r="O514" i="10"/>
  <c r="O513" i="10"/>
  <c r="O512" i="10"/>
  <c r="O511" i="10"/>
  <c r="O510" i="10"/>
  <c r="O509" i="10"/>
  <c r="O508" i="10"/>
  <c r="O507" i="10"/>
  <c r="O506" i="10"/>
  <c r="O505" i="10"/>
  <c r="O504" i="10"/>
  <c r="O503" i="10"/>
  <c r="O502" i="10"/>
  <c r="O501" i="10"/>
  <c r="O500" i="10"/>
  <c r="O499" i="10"/>
  <c r="O498" i="10"/>
  <c r="O497" i="10"/>
  <c r="O496" i="10"/>
  <c r="O495" i="10"/>
  <c r="O494" i="10"/>
  <c r="O493" i="10"/>
  <c r="O492" i="10"/>
  <c r="O491" i="10"/>
  <c r="O490" i="10"/>
  <c r="O489" i="10"/>
  <c r="O488" i="10"/>
  <c r="O487" i="10"/>
  <c r="O486" i="10"/>
  <c r="O485" i="10"/>
  <c r="O484" i="10"/>
  <c r="O483" i="10"/>
  <c r="O482" i="10"/>
  <c r="O481" i="10"/>
  <c r="O480" i="10"/>
  <c r="O479" i="10"/>
  <c r="O478" i="10"/>
  <c r="O477" i="10"/>
  <c r="O476" i="10"/>
  <c r="O475" i="10"/>
  <c r="O474" i="10"/>
  <c r="O473" i="10"/>
  <c r="O472" i="10"/>
  <c r="O471" i="10"/>
  <c r="O470" i="10"/>
  <c r="O469" i="10"/>
  <c r="O468" i="10"/>
  <c r="O467" i="10"/>
  <c r="O466" i="10"/>
  <c r="O465" i="10"/>
  <c r="O464" i="10"/>
  <c r="O463" i="10"/>
  <c r="O462" i="10"/>
  <c r="O461" i="10"/>
  <c r="O460" i="10"/>
  <c r="O459" i="10"/>
  <c r="O458" i="10"/>
  <c r="O457" i="10"/>
  <c r="O456" i="10"/>
  <c r="O455" i="10"/>
  <c r="O454" i="10"/>
  <c r="O453" i="10"/>
  <c r="O452" i="10"/>
  <c r="O451" i="10"/>
  <c r="O450" i="10"/>
  <c r="O449" i="10"/>
  <c r="O448" i="10"/>
  <c r="O447" i="10"/>
  <c r="O446" i="10"/>
  <c r="O445" i="10"/>
  <c r="O444" i="10"/>
  <c r="O443" i="10"/>
  <c r="O442" i="10"/>
  <c r="O441" i="10"/>
  <c r="O440" i="10"/>
  <c r="O439" i="10"/>
  <c r="O438" i="10"/>
  <c r="O437" i="10"/>
  <c r="O436" i="10"/>
  <c r="O435" i="10"/>
  <c r="O434" i="10"/>
  <c r="O433" i="10"/>
  <c r="O432" i="10"/>
  <c r="O431" i="10"/>
  <c r="O430" i="10"/>
  <c r="O429" i="10"/>
  <c r="O428" i="10"/>
  <c r="O427" i="10"/>
  <c r="O426" i="10"/>
  <c r="O425" i="10"/>
  <c r="O424" i="10"/>
  <c r="O423" i="10"/>
  <c r="O422" i="10"/>
  <c r="O421" i="10"/>
  <c r="O420" i="10"/>
  <c r="O419" i="10"/>
  <c r="O418" i="10"/>
  <c r="O417" i="10"/>
  <c r="O416" i="10"/>
  <c r="O415" i="10"/>
  <c r="O414" i="10"/>
  <c r="O413" i="10"/>
  <c r="O412" i="10"/>
  <c r="O411" i="10"/>
  <c r="O410" i="10"/>
  <c r="O409" i="10"/>
  <c r="O408" i="10"/>
  <c r="O407" i="10"/>
  <c r="O406" i="10"/>
  <c r="O405" i="10"/>
  <c r="O404" i="10"/>
  <c r="O403" i="10"/>
  <c r="O402" i="10"/>
  <c r="O401" i="10"/>
  <c r="O400" i="10"/>
  <c r="O399" i="10"/>
  <c r="O398" i="10"/>
  <c r="O397" i="10"/>
  <c r="O396" i="10"/>
  <c r="O395" i="10"/>
  <c r="O394" i="10"/>
  <c r="O393" i="10"/>
  <c r="O392" i="10"/>
  <c r="O391" i="10"/>
  <c r="O390" i="10"/>
  <c r="O389" i="10"/>
  <c r="O388" i="10"/>
  <c r="O387" i="10"/>
  <c r="O386" i="10"/>
  <c r="O385" i="10"/>
  <c r="O384" i="10"/>
  <c r="O383" i="10"/>
  <c r="O382" i="10"/>
  <c r="O381" i="10"/>
  <c r="O380" i="10"/>
  <c r="O379" i="10"/>
  <c r="O378" i="10"/>
  <c r="O377" i="10"/>
  <c r="O376" i="10"/>
  <c r="O375" i="10"/>
  <c r="O374" i="10"/>
  <c r="O373" i="10"/>
  <c r="O372" i="10"/>
  <c r="O371" i="10"/>
  <c r="O370" i="10"/>
  <c r="O369" i="10"/>
  <c r="O368" i="10"/>
  <c r="O367" i="10"/>
  <c r="O366" i="10"/>
  <c r="O365" i="10"/>
  <c r="O364" i="10"/>
  <c r="O363" i="10"/>
  <c r="O362" i="10"/>
  <c r="O361" i="10"/>
  <c r="O360" i="10"/>
  <c r="O359" i="10"/>
  <c r="O358" i="10"/>
  <c r="O357" i="10"/>
  <c r="O356" i="10"/>
  <c r="O355" i="10"/>
  <c r="O354" i="10"/>
  <c r="O353" i="10"/>
  <c r="O352" i="10"/>
  <c r="O351" i="10"/>
  <c r="O350" i="10"/>
  <c r="O349" i="10"/>
  <c r="O348" i="10"/>
  <c r="O347" i="10"/>
  <c r="O346" i="10"/>
  <c r="O345" i="10"/>
  <c r="O344" i="10"/>
  <c r="O343" i="10"/>
  <c r="O342" i="10"/>
  <c r="O341" i="10"/>
  <c r="O340" i="10"/>
  <c r="O339" i="10"/>
  <c r="O338" i="10"/>
  <c r="O337" i="10"/>
  <c r="O336" i="10"/>
  <c r="O335" i="10"/>
  <c r="O334" i="10"/>
  <c r="O333" i="10"/>
  <c r="O332" i="10"/>
  <c r="O331" i="10"/>
  <c r="O330" i="10"/>
  <c r="O329" i="10"/>
  <c r="O328" i="10"/>
  <c r="O327" i="10"/>
  <c r="O326" i="10"/>
  <c r="O325" i="10"/>
  <c r="O324" i="10"/>
  <c r="O323" i="10"/>
  <c r="O322" i="10"/>
  <c r="O321" i="10"/>
  <c r="O320" i="10"/>
  <c r="O319" i="10"/>
  <c r="O318" i="10"/>
  <c r="O317" i="10"/>
  <c r="O316" i="10"/>
  <c r="O315" i="10"/>
  <c r="O314" i="10"/>
  <c r="O313" i="10"/>
  <c r="O312" i="10"/>
  <c r="O311" i="10"/>
  <c r="O310" i="10"/>
  <c r="O309" i="10"/>
  <c r="O308" i="10"/>
  <c r="O307" i="10"/>
  <c r="O306" i="10"/>
  <c r="O305" i="10"/>
  <c r="O304" i="10"/>
  <c r="O303" i="10"/>
  <c r="O302" i="10"/>
  <c r="O301" i="10"/>
  <c r="O300" i="10"/>
  <c r="O299" i="10"/>
  <c r="O298" i="10"/>
  <c r="O297" i="10"/>
  <c r="O296" i="10"/>
  <c r="O295" i="10"/>
  <c r="O294" i="10"/>
  <c r="O293" i="10"/>
  <c r="O292" i="10"/>
  <c r="O291" i="10"/>
  <c r="O290" i="10"/>
  <c r="O289" i="10"/>
  <c r="O288" i="10"/>
  <c r="O287" i="10"/>
  <c r="O286" i="10"/>
  <c r="O285" i="10"/>
  <c r="O284" i="10"/>
  <c r="O283" i="10"/>
  <c r="O282" i="10"/>
  <c r="O281" i="10"/>
  <c r="O280" i="10"/>
  <c r="O279" i="10"/>
  <c r="O278" i="10"/>
  <c r="O277" i="10"/>
  <c r="O276" i="10"/>
  <c r="O275" i="10"/>
  <c r="O274" i="10"/>
  <c r="O273" i="10"/>
  <c r="O272" i="10"/>
  <c r="O271" i="10"/>
  <c r="O270" i="10"/>
  <c r="O269" i="10"/>
  <c r="O268" i="10"/>
  <c r="O267" i="10"/>
  <c r="O266" i="10"/>
  <c r="O265" i="10"/>
  <c r="O264" i="10"/>
  <c r="O263" i="10"/>
  <c r="O262" i="10"/>
  <c r="O261" i="10"/>
  <c r="O260" i="10"/>
  <c r="O259" i="10"/>
  <c r="O258" i="10"/>
  <c r="O257" i="10"/>
  <c r="O256" i="10"/>
  <c r="O255" i="10"/>
  <c r="O254" i="10"/>
  <c r="O253" i="10"/>
  <c r="O252" i="10"/>
  <c r="O251" i="10"/>
  <c r="O250" i="10"/>
  <c r="O249" i="10"/>
  <c r="O248" i="10"/>
  <c r="O247" i="10"/>
  <c r="O246" i="10"/>
  <c r="O245" i="10"/>
  <c r="O244" i="10"/>
  <c r="O243" i="10"/>
  <c r="O242" i="10"/>
  <c r="O241" i="10"/>
  <c r="O240" i="10"/>
  <c r="O239" i="10"/>
  <c r="O238" i="10"/>
  <c r="O237" i="10"/>
  <c r="O236" i="10"/>
  <c r="O235" i="10"/>
  <c r="O234" i="10"/>
  <c r="O233" i="10"/>
  <c r="O232" i="10"/>
  <c r="O231" i="10"/>
  <c r="O230" i="10"/>
  <c r="O229" i="10"/>
  <c r="O228" i="10"/>
  <c r="O227" i="10"/>
  <c r="O226" i="10"/>
  <c r="O225" i="10"/>
  <c r="O224" i="10"/>
  <c r="O223" i="10"/>
  <c r="O222" i="10"/>
  <c r="O221" i="10"/>
  <c r="O220" i="10"/>
  <c r="O219" i="10"/>
  <c r="O218" i="10"/>
  <c r="O217" i="10"/>
  <c r="O216" i="10"/>
  <c r="O215" i="10"/>
  <c r="O214" i="10"/>
  <c r="O213" i="10"/>
  <c r="O212" i="10"/>
  <c r="O211" i="10"/>
  <c r="O210" i="10"/>
  <c r="O209" i="10"/>
  <c r="O208" i="10"/>
  <c r="O207" i="10"/>
  <c r="O206" i="10"/>
  <c r="O205" i="10"/>
  <c r="O204" i="10"/>
  <c r="O203" i="10"/>
  <c r="O202" i="10"/>
  <c r="O201" i="10"/>
  <c r="O200" i="10"/>
  <c r="O199" i="10"/>
  <c r="O198" i="10"/>
  <c r="O197" i="10"/>
  <c r="O196" i="10"/>
  <c r="O195" i="10"/>
  <c r="O194" i="10"/>
  <c r="O193" i="10"/>
  <c r="O192" i="10"/>
  <c r="O191" i="10"/>
  <c r="O190" i="10"/>
  <c r="O189" i="10"/>
  <c r="O188" i="10"/>
  <c r="O187" i="10"/>
  <c r="O186" i="10"/>
  <c r="O185" i="10"/>
  <c r="O184" i="10"/>
  <c r="O183" i="10"/>
  <c r="O182" i="10"/>
  <c r="O181" i="10"/>
  <c r="O180" i="10"/>
  <c r="O179" i="10"/>
  <c r="O178" i="10"/>
  <c r="O177" i="10"/>
  <c r="O176" i="10"/>
  <c r="O175" i="10"/>
  <c r="O174" i="10"/>
  <c r="O173" i="10"/>
  <c r="O172" i="10"/>
  <c r="O171" i="10"/>
  <c r="O170" i="10"/>
  <c r="O169" i="10"/>
  <c r="O168" i="10"/>
  <c r="O167" i="10"/>
  <c r="O166" i="10"/>
  <c r="O165" i="10"/>
  <c r="O164" i="10"/>
  <c r="O163" i="10"/>
  <c r="O162" i="10"/>
  <c r="O161" i="10"/>
  <c r="O160" i="10"/>
  <c r="O159" i="10"/>
  <c r="O158" i="10"/>
  <c r="O157" i="10"/>
  <c r="O156" i="10"/>
  <c r="O155" i="10"/>
  <c r="O154" i="10"/>
  <c r="O153" i="10"/>
  <c r="O152" i="10"/>
  <c r="O151" i="10"/>
  <c r="O150" i="10"/>
  <c r="O149" i="10"/>
  <c r="O148" i="10"/>
  <c r="O147" i="10"/>
  <c r="O146" i="10"/>
  <c r="O145" i="10"/>
  <c r="O144" i="10"/>
  <c r="O143" i="10"/>
  <c r="O142" i="10"/>
  <c r="O141" i="10"/>
  <c r="O140" i="10"/>
  <c r="O139" i="10"/>
  <c r="O138" i="10"/>
  <c r="O137" i="10"/>
  <c r="O136" i="10"/>
  <c r="O135" i="10"/>
  <c r="O134" i="10"/>
  <c r="O133" i="10"/>
  <c r="O132" i="10"/>
  <c r="O131" i="10"/>
  <c r="O130" i="10"/>
  <c r="O129" i="10"/>
  <c r="O128" i="10"/>
  <c r="O127" i="10"/>
  <c r="O126" i="10"/>
  <c r="O125" i="10"/>
  <c r="O124" i="10"/>
  <c r="O123" i="10"/>
  <c r="O122" i="10"/>
  <c r="O121" i="10"/>
  <c r="O120" i="10"/>
  <c r="O119" i="10"/>
  <c r="O118" i="10"/>
  <c r="O117" i="10"/>
  <c r="O116" i="10"/>
  <c r="O115" i="10"/>
  <c r="O114" i="10"/>
  <c r="O113" i="10"/>
  <c r="O112" i="10"/>
  <c r="O111" i="10"/>
  <c r="O110" i="10"/>
  <c r="O109" i="10"/>
  <c r="O108" i="10"/>
  <c r="O107" i="10"/>
  <c r="O106" i="10"/>
  <c r="O10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O54" i="10"/>
  <c r="O53" i="10"/>
  <c r="O52" i="10"/>
  <c r="O51" i="10"/>
  <c r="O50" i="10"/>
  <c r="O49" i="10"/>
  <c r="O48" i="10"/>
  <c r="O47" i="10"/>
  <c r="O46" i="10"/>
  <c r="O45" i="10"/>
  <c r="O44" i="10"/>
  <c r="O43" i="10"/>
  <c r="O42" i="10"/>
  <c r="O41" i="10"/>
  <c r="O40" i="10"/>
  <c r="O39" i="10"/>
  <c r="O38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N2855" i="10"/>
  <c r="N2854" i="10"/>
  <c r="N2853" i="10"/>
  <c r="N2852" i="10"/>
  <c r="N2851" i="10"/>
  <c r="N2850" i="10"/>
  <c r="N2849" i="10"/>
  <c r="N2848" i="10"/>
  <c r="N2847" i="10"/>
  <c r="N2846" i="10"/>
  <c r="N2845" i="10"/>
  <c r="N2844" i="10"/>
  <c r="N2843" i="10"/>
  <c r="N2842" i="10"/>
  <c r="N2841" i="10"/>
  <c r="N2840" i="10"/>
  <c r="N2839" i="10"/>
  <c r="N2838" i="10"/>
  <c r="N2837" i="10"/>
  <c r="N2836" i="10"/>
  <c r="N2835" i="10"/>
  <c r="N2834" i="10"/>
  <c r="N2833" i="10"/>
  <c r="N2832" i="10"/>
  <c r="N2831" i="10"/>
  <c r="N2830" i="10"/>
  <c r="N2829" i="10"/>
  <c r="N2828" i="10"/>
  <c r="N2827" i="10"/>
  <c r="N2826" i="10"/>
  <c r="N2825" i="10"/>
  <c r="N2824" i="10"/>
  <c r="N2823" i="10"/>
  <c r="N2822" i="10"/>
  <c r="N2821" i="10"/>
  <c r="N2820" i="10"/>
  <c r="N2819" i="10"/>
  <c r="N2818" i="10"/>
  <c r="N2817" i="10"/>
  <c r="N2816" i="10"/>
  <c r="N2815" i="10"/>
  <c r="N2814" i="10"/>
  <c r="N2813" i="10"/>
  <c r="N2812" i="10"/>
  <c r="N2811" i="10"/>
  <c r="N2810" i="10"/>
  <c r="N2809" i="10"/>
  <c r="N2808" i="10"/>
  <c r="N2807" i="10"/>
  <c r="N2806" i="10"/>
  <c r="N2805" i="10"/>
  <c r="N2804" i="10"/>
  <c r="N2803" i="10"/>
  <c r="N2802" i="10"/>
  <c r="N2801" i="10"/>
  <c r="N2800" i="10"/>
  <c r="N2799" i="10"/>
  <c r="N2798" i="10"/>
  <c r="N2797" i="10"/>
  <c r="N2796" i="10"/>
  <c r="N2795" i="10"/>
  <c r="N2794" i="10"/>
  <c r="N2793" i="10"/>
  <c r="N2792" i="10"/>
  <c r="N2791" i="10"/>
  <c r="N2790" i="10"/>
  <c r="N2789" i="10"/>
  <c r="N2788" i="10"/>
  <c r="N2787" i="10"/>
  <c r="N2786" i="10"/>
  <c r="N2785" i="10"/>
  <c r="N2784" i="10"/>
  <c r="N2783" i="10"/>
  <c r="N2782" i="10"/>
  <c r="N2781" i="10"/>
  <c r="N2780" i="10"/>
  <c r="N2779" i="10"/>
  <c r="N2778" i="10"/>
  <c r="N2777" i="10"/>
  <c r="N2776" i="10"/>
  <c r="N2775" i="10"/>
  <c r="N2774" i="10"/>
  <c r="N2773" i="10"/>
  <c r="N2772" i="10"/>
  <c r="N2771" i="10"/>
  <c r="N2770" i="10"/>
  <c r="N2769" i="10"/>
  <c r="N2768" i="10"/>
  <c r="N2767" i="10"/>
  <c r="N2766" i="10"/>
  <c r="N2765" i="10"/>
  <c r="N2764" i="10"/>
  <c r="N2763" i="10"/>
  <c r="N2762" i="10"/>
  <c r="N2761" i="10"/>
  <c r="N2760" i="10"/>
  <c r="N2759" i="10"/>
  <c r="N2758" i="10"/>
  <c r="N2757" i="10"/>
  <c r="N2756" i="10"/>
  <c r="N2755" i="10"/>
  <c r="N2754" i="10"/>
  <c r="N2753" i="10"/>
  <c r="N2752" i="10"/>
  <c r="N2751" i="10"/>
  <c r="N2750" i="10"/>
  <c r="N2749" i="10"/>
  <c r="N2748" i="10"/>
  <c r="N2747" i="10"/>
  <c r="N2746" i="10"/>
  <c r="N2745" i="10"/>
  <c r="N2744" i="10"/>
  <c r="N2743" i="10"/>
  <c r="N2742" i="10"/>
  <c r="N2741" i="10"/>
  <c r="N2740" i="10"/>
  <c r="N2739" i="10"/>
  <c r="N2738" i="10"/>
  <c r="N2737" i="10"/>
  <c r="N2736" i="10"/>
  <c r="N2735" i="10"/>
  <c r="N2734" i="10"/>
  <c r="N2733" i="10"/>
  <c r="N2732" i="10"/>
  <c r="N2731" i="10"/>
  <c r="N2730" i="10"/>
  <c r="N2729" i="10"/>
  <c r="N2728" i="10"/>
  <c r="N2727" i="10"/>
  <c r="N2726" i="10"/>
  <c r="N2725" i="10"/>
  <c r="N2724" i="10"/>
  <c r="N2723" i="10"/>
  <c r="N2722" i="10"/>
  <c r="N2721" i="10"/>
  <c r="N2720" i="10"/>
  <c r="N2719" i="10"/>
  <c r="N2718" i="10"/>
  <c r="N2717" i="10"/>
  <c r="N2716" i="10"/>
  <c r="N2715" i="10"/>
  <c r="N2714" i="10"/>
  <c r="N2713" i="10"/>
  <c r="N2712" i="10"/>
  <c r="N2711" i="10"/>
  <c r="N2710" i="10"/>
  <c r="N2709" i="10"/>
  <c r="N2708" i="10"/>
  <c r="N2707" i="10"/>
  <c r="N2706" i="10"/>
  <c r="N2705" i="10"/>
  <c r="N2704" i="10"/>
  <c r="N2703" i="10"/>
  <c r="N2702" i="10"/>
  <c r="N2701" i="10"/>
  <c r="N2700" i="10"/>
  <c r="N2699" i="10"/>
  <c r="N2698" i="10"/>
  <c r="N2697" i="10"/>
  <c r="N2696" i="10"/>
  <c r="N2695" i="10"/>
  <c r="N2694" i="10"/>
  <c r="N2693" i="10"/>
  <c r="N2692" i="10"/>
  <c r="N2691" i="10"/>
  <c r="N2690" i="10"/>
  <c r="N2689" i="10"/>
  <c r="N2688" i="10"/>
  <c r="N2687" i="10"/>
  <c r="N2686" i="10"/>
  <c r="N2685" i="10"/>
  <c r="N2684" i="10"/>
  <c r="N2683" i="10"/>
  <c r="N2682" i="10"/>
  <c r="N2681" i="10"/>
  <c r="N2680" i="10"/>
  <c r="N2679" i="10"/>
  <c r="N2678" i="10"/>
  <c r="N2677" i="10"/>
  <c r="N2676" i="10"/>
  <c r="N2675" i="10"/>
  <c r="N2674" i="10"/>
  <c r="N2673" i="10"/>
  <c r="N2672" i="10"/>
  <c r="N2671" i="10"/>
  <c r="N2670" i="10"/>
  <c r="N2669" i="10"/>
  <c r="N2668" i="10"/>
  <c r="N2667" i="10"/>
  <c r="N2666" i="10"/>
  <c r="N2665" i="10"/>
  <c r="N2664" i="10"/>
  <c r="N2663" i="10"/>
  <c r="N2662" i="10"/>
  <c r="N2661" i="10"/>
  <c r="N2660" i="10"/>
  <c r="N2659" i="10"/>
  <c r="N2658" i="10"/>
  <c r="N2657" i="10"/>
  <c r="N2656" i="10"/>
  <c r="N2655" i="10"/>
  <c r="N2654" i="10"/>
  <c r="N2653" i="10"/>
  <c r="N2652" i="10"/>
  <c r="N2651" i="10"/>
  <c r="N2650" i="10"/>
  <c r="N2649" i="10"/>
  <c r="N2648" i="10"/>
  <c r="N2647" i="10"/>
  <c r="N2646" i="10"/>
  <c r="N2645" i="10"/>
  <c r="N2644" i="10"/>
  <c r="N2643" i="10"/>
  <c r="N2642" i="10"/>
  <c r="N2641" i="10"/>
  <c r="N2640" i="10"/>
  <c r="N2639" i="10"/>
  <c r="N2638" i="10"/>
  <c r="N2637" i="10"/>
  <c r="N2636" i="10"/>
  <c r="N2635" i="10"/>
  <c r="N2634" i="10"/>
  <c r="N2633" i="10"/>
  <c r="N2632" i="10"/>
  <c r="N2631" i="10"/>
  <c r="N2630" i="10"/>
  <c r="N2629" i="10"/>
  <c r="N2628" i="10"/>
  <c r="N2627" i="10"/>
  <c r="N2626" i="10"/>
  <c r="N2625" i="10"/>
  <c r="N2624" i="10"/>
  <c r="N2623" i="10"/>
  <c r="N2622" i="10"/>
  <c r="N2621" i="10"/>
  <c r="N2620" i="10"/>
  <c r="N2619" i="10"/>
  <c r="N2618" i="10"/>
  <c r="N2617" i="10"/>
  <c r="N2616" i="10"/>
  <c r="N2615" i="10"/>
  <c r="N2614" i="10"/>
  <c r="N2613" i="10"/>
  <c r="N2612" i="10"/>
  <c r="N2611" i="10"/>
  <c r="N2610" i="10"/>
  <c r="N2609" i="10"/>
  <c r="N2608" i="10"/>
  <c r="N2607" i="10"/>
  <c r="N2606" i="10"/>
  <c r="N2605" i="10"/>
  <c r="N2604" i="10"/>
  <c r="N2603" i="10"/>
  <c r="N2602" i="10"/>
  <c r="N2601" i="10"/>
  <c r="N2600" i="10"/>
  <c r="N2599" i="10"/>
  <c r="N2598" i="10"/>
  <c r="N2597" i="10"/>
  <c r="N2596" i="10"/>
  <c r="N2595" i="10"/>
  <c r="N2594" i="10"/>
  <c r="N2593" i="10"/>
  <c r="N2592" i="10"/>
  <c r="N2591" i="10"/>
  <c r="N2590" i="10"/>
  <c r="N2589" i="10"/>
  <c r="N2588" i="10"/>
  <c r="N2587" i="10"/>
  <c r="N2586" i="10"/>
  <c r="N2585" i="10"/>
  <c r="N2584" i="10"/>
  <c r="N2583" i="10"/>
  <c r="N2582" i="10"/>
  <c r="N2581" i="10"/>
  <c r="N2580" i="10"/>
  <c r="N2579" i="10"/>
  <c r="N2578" i="10"/>
  <c r="N2577" i="10"/>
  <c r="N2576" i="10"/>
  <c r="N2575" i="10"/>
  <c r="N2574" i="10"/>
  <c r="N2573" i="10"/>
  <c r="N2572" i="10"/>
  <c r="N2571" i="10"/>
  <c r="N2570" i="10"/>
  <c r="N2569" i="10"/>
  <c r="N2568" i="10"/>
  <c r="N2567" i="10"/>
  <c r="N2566" i="10"/>
  <c r="N2565" i="10"/>
  <c r="N2564" i="10"/>
  <c r="N2563" i="10"/>
  <c r="N2562" i="10"/>
  <c r="N2561" i="10"/>
  <c r="N2560" i="10"/>
  <c r="N2559" i="10"/>
  <c r="N2558" i="10"/>
  <c r="N2557" i="10"/>
  <c r="N2556" i="10"/>
  <c r="N2555" i="10"/>
  <c r="N2554" i="10"/>
  <c r="N2553" i="10"/>
  <c r="N2552" i="10"/>
  <c r="N2551" i="10"/>
  <c r="N2550" i="10"/>
  <c r="N2549" i="10"/>
  <c r="N2548" i="10"/>
  <c r="N2547" i="10"/>
  <c r="N2546" i="10"/>
  <c r="N2545" i="10"/>
  <c r="N2544" i="10"/>
  <c r="N2543" i="10"/>
  <c r="N2542" i="10"/>
  <c r="N2541" i="10"/>
  <c r="N2540" i="10"/>
  <c r="N2539" i="10"/>
  <c r="N2538" i="10"/>
  <c r="N2537" i="10"/>
  <c r="N2536" i="10"/>
  <c r="N2535" i="10"/>
  <c r="N2534" i="10"/>
  <c r="N2533" i="10"/>
  <c r="N2532" i="10"/>
  <c r="N2531" i="10"/>
  <c r="N2530" i="10"/>
  <c r="N2529" i="10"/>
  <c r="N2528" i="10"/>
  <c r="N2527" i="10"/>
  <c r="N2526" i="10"/>
  <c r="N2525" i="10"/>
  <c r="N2524" i="10"/>
  <c r="N2523" i="10"/>
  <c r="N2522" i="10"/>
  <c r="N2521" i="10"/>
  <c r="N2520" i="10"/>
  <c r="N2519" i="10"/>
  <c r="N2518" i="10"/>
  <c r="N2517" i="10"/>
  <c r="N2516" i="10"/>
  <c r="N2515" i="10"/>
  <c r="N2514" i="10"/>
  <c r="N2513" i="10"/>
  <c r="N2512" i="10"/>
  <c r="N2511" i="10"/>
  <c r="N2510" i="10"/>
  <c r="N2509" i="10"/>
  <c r="N2508" i="10"/>
  <c r="N2507" i="10"/>
  <c r="N2506" i="10"/>
  <c r="N2505" i="10"/>
  <c r="N2504" i="10"/>
  <c r="N2503" i="10"/>
  <c r="N2502" i="10"/>
  <c r="N2501" i="10"/>
  <c r="N2500" i="10"/>
  <c r="N2499" i="10"/>
  <c r="N2498" i="10"/>
  <c r="N2497" i="10"/>
  <c r="N2496" i="10"/>
  <c r="N2495" i="10"/>
  <c r="N2494" i="10"/>
  <c r="N2493" i="10"/>
  <c r="N2492" i="10"/>
  <c r="N2491" i="10"/>
  <c r="N2490" i="10"/>
  <c r="N2489" i="10"/>
  <c r="N2488" i="10"/>
  <c r="N2487" i="10"/>
  <c r="N2486" i="10"/>
  <c r="N2485" i="10"/>
  <c r="N2484" i="10"/>
  <c r="N2483" i="10"/>
  <c r="N2482" i="10"/>
  <c r="N2481" i="10"/>
  <c r="N2480" i="10"/>
  <c r="N2479" i="10"/>
  <c r="N2478" i="10"/>
  <c r="N2477" i="10"/>
  <c r="N2476" i="10"/>
  <c r="N2475" i="10"/>
  <c r="N2474" i="10"/>
  <c r="N2473" i="10"/>
  <c r="N2472" i="10"/>
  <c r="N2471" i="10"/>
  <c r="N2470" i="10"/>
  <c r="N2469" i="10"/>
  <c r="N2468" i="10"/>
  <c r="N2467" i="10"/>
  <c r="N2466" i="10"/>
  <c r="N2465" i="10"/>
  <c r="N2464" i="10"/>
  <c r="N2463" i="10"/>
  <c r="N2462" i="10"/>
  <c r="N2461" i="10"/>
  <c r="N2460" i="10"/>
  <c r="N2459" i="10"/>
  <c r="N2458" i="10"/>
  <c r="N2457" i="10"/>
  <c r="N2456" i="10"/>
  <c r="N2455" i="10"/>
  <c r="N2454" i="10"/>
  <c r="N2453" i="10"/>
  <c r="N2452" i="10"/>
  <c r="N2451" i="10"/>
  <c r="N2450" i="10"/>
  <c r="N2449" i="10"/>
  <c r="N2448" i="10"/>
  <c r="N2447" i="10"/>
  <c r="N2446" i="10"/>
  <c r="N2445" i="10"/>
  <c r="N2444" i="10"/>
  <c r="N2443" i="10"/>
  <c r="N2442" i="10"/>
  <c r="N2441" i="10"/>
  <c r="N2440" i="10"/>
  <c r="N2439" i="10"/>
  <c r="N2438" i="10"/>
  <c r="N2437" i="10"/>
  <c r="N2436" i="10"/>
  <c r="N2435" i="10"/>
  <c r="N2434" i="10"/>
  <c r="N2433" i="10"/>
  <c r="N2432" i="10"/>
  <c r="N2431" i="10"/>
  <c r="N2430" i="10"/>
  <c r="N2429" i="10"/>
  <c r="N2428" i="10"/>
  <c r="N2427" i="10"/>
  <c r="N2426" i="10"/>
  <c r="N2425" i="10"/>
  <c r="N2424" i="10"/>
  <c r="N2423" i="10"/>
  <c r="N2422" i="10"/>
  <c r="N2421" i="10"/>
  <c r="N2420" i="10"/>
  <c r="N2419" i="10"/>
  <c r="N2418" i="10"/>
  <c r="N2417" i="10"/>
  <c r="N2416" i="10"/>
  <c r="N2415" i="10"/>
  <c r="N2414" i="10"/>
  <c r="N2413" i="10"/>
  <c r="N2412" i="10"/>
  <c r="N2411" i="10"/>
  <c r="N2410" i="10"/>
  <c r="N2409" i="10"/>
  <c r="N2408" i="10"/>
  <c r="N2407" i="10"/>
  <c r="N2406" i="10"/>
  <c r="N2405" i="10"/>
  <c r="N2404" i="10"/>
  <c r="N2403" i="10"/>
  <c r="N2402" i="10"/>
  <c r="N2401" i="10"/>
  <c r="N2400" i="10"/>
  <c r="N2399" i="10"/>
  <c r="N2398" i="10"/>
  <c r="N2397" i="10"/>
  <c r="N2396" i="10"/>
  <c r="N2395" i="10"/>
  <c r="N2394" i="10"/>
  <c r="N2393" i="10"/>
  <c r="N2392" i="10"/>
  <c r="N2391" i="10"/>
  <c r="N2390" i="10"/>
  <c r="N2389" i="10"/>
  <c r="N2388" i="10"/>
  <c r="N2387" i="10"/>
  <c r="N2386" i="10"/>
  <c r="N2385" i="10"/>
  <c r="N2384" i="10"/>
  <c r="N2383" i="10"/>
  <c r="N2382" i="10"/>
  <c r="N2381" i="10"/>
  <c r="N2380" i="10"/>
  <c r="N2379" i="10"/>
  <c r="N2378" i="10"/>
  <c r="N2377" i="10"/>
  <c r="N2376" i="10"/>
  <c r="N2375" i="10"/>
  <c r="N2374" i="10"/>
  <c r="N2373" i="10"/>
  <c r="N2372" i="10"/>
  <c r="N2371" i="10"/>
  <c r="N2370" i="10"/>
  <c r="N2369" i="10"/>
  <c r="N2368" i="10"/>
  <c r="N2367" i="10"/>
  <c r="N2366" i="10"/>
  <c r="N2365" i="10"/>
  <c r="N2364" i="10"/>
  <c r="N2363" i="10"/>
  <c r="N2362" i="10"/>
  <c r="N2361" i="10"/>
  <c r="N2360" i="10"/>
  <c r="N2359" i="10"/>
  <c r="N2358" i="10"/>
  <c r="N2357" i="10"/>
  <c r="N2356" i="10"/>
  <c r="N2355" i="10"/>
  <c r="N2354" i="10"/>
  <c r="N2353" i="10"/>
  <c r="N2352" i="10"/>
  <c r="N2351" i="10"/>
  <c r="N2350" i="10"/>
  <c r="N2349" i="10"/>
  <c r="N2348" i="10"/>
  <c r="N2347" i="10"/>
  <c r="N2346" i="10"/>
  <c r="N2345" i="10"/>
  <c r="N2344" i="10"/>
  <c r="N2343" i="10"/>
  <c r="N2342" i="10"/>
  <c r="N2341" i="10"/>
  <c r="N2340" i="10"/>
  <c r="N2339" i="10"/>
  <c r="N2338" i="10"/>
  <c r="N2337" i="10"/>
  <c r="N2336" i="10"/>
  <c r="N2335" i="10"/>
  <c r="N2334" i="10"/>
  <c r="N2333" i="10"/>
  <c r="N2332" i="10"/>
  <c r="N2331" i="10"/>
  <c r="N2330" i="10"/>
  <c r="N2329" i="10"/>
  <c r="N2328" i="10"/>
  <c r="N2327" i="10"/>
  <c r="N2326" i="10"/>
  <c r="N2325" i="10"/>
  <c r="N2324" i="10"/>
  <c r="N2323" i="10"/>
  <c r="N2322" i="10"/>
  <c r="N2321" i="10"/>
  <c r="N2320" i="10"/>
  <c r="N2319" i="10"/>
  <c r="N2318" i="10"/>
  <c r="N2317" i="10"/>
  <c r="N2316" i="10"/>
  <c r="N2315" i="10"/>
  <c r="N2314" i="10"/>
  <c r="N2313" i="10"/>
  <c r="N2312" i="10"/>
  <c r="N2311" i="10"/>
  <c r="N2310" i="10"/>
  <c r="N2309" i="10"/>
  <c r="N2308" i="10"/>
  <c r="N2307" i="10"/>
  <c r="N2306" i="10"/>
  <c r="N2305" i="10"/>
  <c r="N2304" i="10"/>
  <c r="N2303" i="10"/>
  <c r="N2302" i="10"/>
  <c r="N2301" i="10"/>
  <c r="N2300" i="10"/>
  <c r="N2299" i="10"/>
  <c r="N2298" i="10"/>
  <c r="N2297" i="10"/>
  <c r="N2296" i="10"/>
  <c r="N2295" i="10"/>
  <c r="N2294" i="10"/>
  <c r="N2293" i="10"/>
  <c r="N2292" i="10"/>
  <c r="N2291" i="10"/>
  <c r="N2290" i="10"/>
  <c r="N2289" i="10"/>
  <c r="N2288" i="10"/>
  <c r="N2287" i="10"/>
  <c r="N2286" i="10"/>
  <c r="N2285" i="10"/>
  <c r="N2284" i="10"/>
  <c r="N2283" i="10"/>
  <c r="N2282" i="10"/>
  <c r="N2281" i="10"/>
  <c r="N2280" i="10"/>
  <c r="N2279" i="10"/>
  <c r="N2278" i="10"/>
  <c r="N2277" i="10"/>
  <c r="N2276" i="10"/>
  <c r="N2275" i="10"/>
  <c r="N2274" i="10"/>
  <c r="N2273" i="10"/>
  <c r="N2272" i="10"/>
  <c r="N2271" i="10"/>
  <c r="N2270" i="10"/>
  <c r="N2269" i="10"/>
  <c r="N2268" i="10"/>
  <c r="N2267" i="10"/>
  <c r="N2266" i="10"/>
  <c r="N2265" i="10"/>
  <c r="N2264" i="10"/>
  <c r="N2263" i="10"/>
  <c r="N2262" i="10"/>
  <c r="N2261" i="10"/>
  <c r="N2260" i="10"/>
  <c r="N2259" i="10"/>
  <c r="N2258" i="10"/>
  <c r="N2257" i="10"/>
  <c r="N2256" i="10"/>
  <c r="N2255" i="10"/>
  <c r="N2254" i="10"/>
  <c r="N2253" i="10"/>
  <c r="N2252" i="10"/>
  <c r="N2251" i="10"/>
  <c r="N2250" i="10"/>
  <c r="N2249" i="10"/>
  <c r="N2248" i="10"/>
  <c r="N2247" i="10"/>
  <c r="N2246" i="10"/>
  <c r="N2245" i="10"/>
  <c r="N2244" i="10"/>
  <c r="N2243" i="10"/>
  <c r="N2242" i="10"/>
  <c r="N2241" i="10"/>
  <c r="N2240" i="10"/>
  <c r="N2239" i="10"/>
  <c r="N2238" i="10"/>
  <c r="N2237" i="10"/>
  <c r="N2236" i="10"/>
  <c r="N2235" i="10"/>
  <c r="N2234" i="10"/>
  <c r="N2233" i="10"/>
  <c r="N2232" i="10"/>
  <c r="N2231" i="10"/>
  <c r="N2230" i="10"/>
  <c r="N2229" i="10"/>
  <c r="N2228" i="10"/>
  <c r="N2227" i="10"/>
  <c r="N2226" i="10"/>
  <c r="N2225" i="10"/>
  <c r="N2224" i="10"/>
  <c r="N2223" i="10"/>
  <c r="N2222" i="10"/>
  <c r="N2221" i="10"/>
  <c r="N2220" i="10"/>
  <c r="N2219" i="10"/>
  <c r="N2218" i="10"/>
  <c r="N2217" i="10"/>
  <c r="N2216" i="10"/>
  <c r="N2215" i="10"/>
  <c r="N2214" i="10"/>
  <c r="N2213" i="10"/>
  <c r="N2212" i="10"/>
  <c r="N2211" i="10"/>
  <c r="N2210" i="10"/>
  <c r="N2209" i="10"/>
  <c r="N2208" i="10"/>
  <c r="N2207" i="10"/>
  <c r="N2206" i="10"/>
  <c r="N2205" i="10"/>
  <c r="N2204" i="10"/>
  <c r="N2203" i="10"/>
  <c r="N2202" i="10"/>
  <c r="N2201" i="10"/>
  <c r="N2200" i="10"/>
  <c r="N2199" i="10"/>
  <c r="N2198" i="10"/>
  <c r="N2197" i="10"/>
  <c r="N2196" i="10"/>
  <c r="N2195" i="10"/>
  <c r="N2194" i="10"/>
  <c r="N2193" i="10"/>
  <c r="N2192" i="10"/>
  <c r="N2191" i="10"/>
  <c r="N2190" i="10"/>
  <c r="N2189" i="10"/>
  <c r="N2188" i="10"/>
  <c r="N2187" i="10"/>
  <c r="N2186" i="10"/>
  <c r="N2185" i="10"/>
  <c r="N2184" i="10"/>
  <c r="N2183" i="10"/>
  <c r="N2182" i="10"/>
  <c r="N2181" i="10"/>
  <c r="N2180" i="10"/>
  <c r="N2179" i="10"/>
  <c r="N2178" i="10"/>
  <c r="N2177" i="10"/>
  <c r="N2176" i="10"/>
  <c r="N2175" i="10"/>
  <c r="N2174" i="10"/>
  <c r="N2173" i="10"/>
  <c r="N2172" i="10"/>
  <c r="N2171" i="10"/>
  <c r="N2170" i="10"/>
  <c r="N2169" i="10"/>
  <c r="N2168" i="10"/>
  <c r="N2167" i="10"/>
  <c r="N2166" i="10"/>
  <c r="N2165" i="10"/>
  <c r="N2164" i="10"/>
  <c r="N2163" i="10"/>
  <c r="N2162" i="10"/>
  <c r="N2161" i="10"/>
  <c r="N2160" i="10"/>
  <c r="N2159" i="10"/>
  <c r="N2158" i="10"/>
  <c r="N2157" i="10"/>
  <c r="N2156" i="10"/>
  <c r="N2155" i="10"/>
  <c r="N2154" i="10"/>
  <c r="N2153" i="10"/>
  <c r="N2152" i="10"/>
  <c r="N2151" i="10"/>
  <c r="N2150" i="10"/>
  <c r="N2149" i="10"/>
  <c r="N2148" i="10"/>
  <c r="N2147" i="10"/>
  <c r="N2146" i="10"/>
  <c r="N2145" i="10"/>
  <c r="N2144" i="10"/>
  <c r="N2143" i="10"/>
  <c r="N2142" i="10"/>
  <c r="N2141" i="10"/>
  <c r="N2140" i="10"/>
  <c r="N2139" i="10"/>
  <c r="N2138" i="10"/>
  <c r="N2137" i="10"/>
  <c r="N2136" i="10"/>
  <c r="N2135" i="10"/>
  <c r="N2134" i="10"/>
  <c r="N2133" i="10"/>
  <c r="N2132" i="10"/>
  <c r="N2131" i="10"/>
  <c r="N2130" i="10"/>
  <c r="N2129" i="10"/>
  <c r="N2128" i="10"/>
  <c r="N2127" i="10"/>
  <c r="N2126" i="10"/>
  <c r="N2125" i="10"/>
  <c r="N2124" i="10"/>
  <c r="N2123" i="10"/>
  <c r="N2122" i="10"/>
  <c r="N2121" i="10"/>
  <c r="N2120" i="10"/>
  <c r="N2119" i="10"/>
  <c r="N2118" i="10"/>
  <c r="N2117" i="10"/>
  <c r="N2116" i="10"/>
  <c r="N2115" i="10"/>
  <c r="N2114" i="10"/>
  <c r="N2113" i="10"/>
  <c r="N2112" i="10"/>
  <c r="N2111" i="10"/>
  <c r="N2110" i="10"/>
  <c r="N2109" i="10"/>
  <c r="N2108" i="10"/>
  <c r="N2107" i="10"/>
  <c r="N2106" i="10"/>
  <c r="N2105" i="10"/>
  <c r="N2104" i="10"/>
  <c r="N2103" i="10"/>
  <c r="N2102" i="10"/>
  <c r="N2101" i="10"/>
  <c r="N2100" i="10"/>
  <c r="N2099" i="10"/>
  <c r="N2098" i="10"/>
  <c r="N2097" i="10"/>
  <c r="N2096" i="10"/>
  <c r="N2095" i="10"/>
  <c r="N2094" i="10"/>
  <c r="N2093" i="10"/>
  <c r="N2092" i="10"/>
  <c r="N2091" i="10"/>
  <c r="N2090" i="10"/>
  <c r="N2089" i="10"/>
  <c r="N2088" i="10"/>
  <c r="N2087" i="10"/>
  <c r="N2086" i="10"/>
  <c r="N2085" i="10"/>
  <c r="N2084" i="10"/>
  <c r="N2083" i="10"/>
  <c r="N2082" i="10"/>
  <c r="N2081" i="10"/>
  <c r="N2080" i="10"/>
  <c r="N2079" i="10"/>
  <c r="N2078" i="10"/>
  <c r="N2077" i="10"/>
  <c r="N2076" i="10"/>
  <c r="N2075" i="10"/>
  <c r="N2074" i="10"/>
  <c r="N2073" i="10"/>
  <c r="N2072" i="10"/>
  <c r="N2071" i="10"/>
  <c r="N2070" i="10"/>
  <c r="N2069" i="10"/>
  <c r="N2068" i="10"/>
  <c r="N2067" i="10"/>
  <c r="N2066" i="10"/>
  <c r="N2065" i="10"/>
  <c r="N2064" i="10"/>
  <c r="N2063" i="10"/>
  <c r="N2062" i="10"/>
  <c r="N2061" i="10"/>
  <c r="N2060" i="10"/>
  <c r="N2059" i="10"/>
  <c r="N2058" i="10"/>
  <c r="N2057" i="10"/>
  <c r="N2056" i="10"/>
  <c r="N2055" i="10"/>
  <c r="N2054" i="10"/>
  <c r="N2053" i="10"/>
  <c r="N2052" i="10"/>
  <c r="N2051" i="10"/>
  <c r="N2050" i="10"/>
  <c r="N2049" i="10"/>
  <c r="N2048" i="10"/>
  <c r="N2047" i="10"/>
  <c r="N2046" i="10"/>
  <c r="N2045" i="10"/>
  <c r="N2044" i="10"/>
  <c r="N2043" i="10"/>
  <c r="N2042" i="10"/>
  <c r="N2041" i="10"/>
  <c r="N2040" i="10"/>
  <c r="N2039" i="10"/>
  <c r="N2038" i="10"/>
  <c r="N2037" i="10"/>
  <c r="N2036" i="10"/>
  <c r="N2035" i="10"/>
  <c r="N2034" i="10"/>
  <c r="N2033" i="10"/>
  <c r="N2032" i="10"/>
  <c r="N2031" i="10"/>
  <c r="N2030" i="10"/>
  <c r="N2029" i="10"/>
  <c r="N2028" i="10"/>
  <c r="N2027" i="10"/>
  <c r="N2026" i="10"/>
  <c r="N2025" i="10"/>
  <c r="N2024" i="10"/>
  <c r="N2023" i="10"/>
  <c r="N2022" i="10"/>
  <c r="N2021" i="10"/>
  <c r="N2020" i="10"/>
  <c r="N2019" i="10"/>
  <c r="N2018" i="10"/>
  <c r="N2017" i="10"/>
  <c r="N2016" i="10"/>
  <c r="N2015" i="10"/>
  <c r="N2014" i="10"/>
  <c r="N2013" i="10"/>
  <c r="N2012" i="10"/>
  <c r="N2011" i="10"/>
  <c r="N2010" i="10"/>
  <c r="N2009" i="10"/>
  <c r="N2008" i="10"/>
  <c r="N2007" i="10"/>
  <c r="N2006" i="10"/>
  <c r="N2005" i="10"/>
  <c r="N2004" i="10"/>
  <c r="N2003" i="10"/>
  <c r="N2002" i="10"/>
  <c r="N2001" i="10"/>
  <c r="N2000" i="10"/>
  <c r="N1999" i="10"/>
  <c r="N1998" i="10"/>
  <c r="N1997" i="10"/>
  <c r="N1996" i="10"/>
  <c r="N1995" i="10"/>
  <c r="N1994" i="10"/>
  <c r="N1993" i="10"/>
  <c r="N1992" i="10"/>
  <c r="N1991" i="10"/>
  <c r="N1990" i="10"/>
  <c r="N1989" i="10"/>
  <c r="N1988" i="10"/>
  <c r="N1987" i="10"/>
  <c r="N1986" i="10"/>
  <c r="N1985" i="10"/>
  <c r="N1984" i="10"/>
  <c r="N1983" i="10"/>
  <c r="N1982" i="10"/>
  <c r="N1981" i="10"/>
  <c r="N1980" i="10"/>
  <c r="N1979" i="10"/>
  <c r="N1978" i="10"/>
  <c r="N1977" i="10"/>
  <c r="N1976" i="10"/>
  <c r="N1975" i="10"/>
  <c r="N1974" i="10"/>
  <c r="N1973" i="10"/>
  <c r="N1972" i="10"/>
  <c r="N1971" i="10"/>
  <c r="N1970" i="10"/>
  <c r="N1969" i="10"/>
  <c r="N1968" i="10"/>
  <c r="N1967" i="10"/>
  <c r="N1966" i="10"/>
  <c r="N1965" i="10"/>
  <c r="N1964" i="10"/>
  <c r="N1963" i="10"/>
  <c r="N1962" i="10"/>
  <c r="N1961" i="10"/>
  <c r="N1960" i="10"/>
  <c r="N1959" i="10"/>
  <c r="N1958" i="10"/>
  <c r="N1957" i="10"/>
  <c r="N1956" i="10"/>
  <c r="N1955" i="10"/>
  <c r="N1954" i="10"/>
  <c r="N1953" i="10"/>
  <c r="N1952" i="10"/>
  <c r="N1951" i="10"/>
  <c r="N1950" i="10"/>
  <c r="N1949" i="10"/>
  <c r="N1948" i="10"/>
  <c r="N1947" i="10"/>
  <c r="N1946" i="10"/>
  <c r="N1945" i="10"/>
  <c r="N1944" i="10"/>
  <c r="N1943" i="10"/>
  <c r="N1942" i="10"/>
  <c r="N1941" i="10"/>
  <c r="N1940" i="10"/>
  <c r="N1939" i="10"/>
  <c r="N1938" i="10"/>
  <c r="N1937" i="10"/>
  <c r="N1936" i="10"/>
  <c r="N1935" i="10"/>
  <c r="N1934" i="10"/>
  <c r="N1933" i="10"/>
  <c r="N1932" i="10"/>
  <c r="N1931" i="10"/>
  <c r="N1930" i="10"/>
  <c r="N1929" i="10"/>
  <c r="N1928" i="10"/>
  <c r="N1927" i="10"/>
  <c r="N1926" i="10"/>
  <c r="N1925" i="10"/>
  <c r="N1924" i="10"/>
  <c r="N1923" i="10"/>
  <c r="N1922" i="10"/>
  <c r="N1921" i="10"/>
  <c r="N1920" i="10"/>
  <c r="N1919" i="10"/>
  <c r="N1918" i="10"/>
  <c r="N1917" i="10"/>
  <c r="N1916" i="10"/>
  <c r="N1915" i="10"/>
  <c r="N1914" i="10"/>
  <c r="N1913" i="10"/>
  <c r="N1912" i="10"/>
  <c r="N1911" i="10"/>
  <c r="N1910" i="10"/>
  <c r="N1909" i="10"/>
  <c r="N1908" i="10"/>
  <c r="N1907" i="10"/>
  <c r="N1906" i="10"/>
  <c r="N1905" i="10"/>
  <c r="N1904" i="10"/>
  <c r="N1903" i="10"/>
  <c r="N1902" i="10"/>
  <c r="N1901" i="10"/>
  <c r="N1900" i="10"/>
  <c r="N1899" i="10"/>
  <c r="N1898" i="10"/>
  <c r="N1897" i="10"/>
  <c r="N1896" i="10"/>
  <c r="N1895" i="10"/>
  <c r="N1894" i="10"/>
  <c r="N1893" i="10"/>
  <c r="N1892" i="10"/>
  <c r="N1891" i="10"/>
  <c r="N1890" i="10"/>
  <c r="N1889" i="10"/>
  <c r="N1888" i="10"/>
  <c r="N1887" i="10"/>
  <c r="N1886" i="10"/>
  <c r="N1885" i="10"/>
  <c r="N1884" i="10"/>
  <c r="N1883" i="10"/>
  <c r="N1882" i="10"/>
  <c r="N1881" i="10"/>
  <c r="N1880" i="10"/>
  <c r="N1879" i="10"/>
  <c r="N1878" i="10"/>
  <c r="N1877" i="10"/>
  <c r="N1876" i="10"/>
  <c r="N1875" i="10"/>
  <c r="N1874" i="10"/>
  <c r="N1873" i="10"/>
  <c r="N1872" i="10"/>
  <c r="N1871" i="10"/>
  <c r="N1870" i="10"/>
  <c r="N1869" i="10"/>
  <c r="N1868" i="10"/>
  <c r="N1867" i="10"/>
  <c r="N1866" i="10"/>
  <c r="N1865" i="10"/>
  <c r="N1864" i="10"/>
  <c r="N1863" i="10"/>
  <c r="N1862" i="10"/>
  <c r="N1861" i="10"/>
  <c r="N1860" i="10"/>
  <c r="N1859" i="10"/>
  <c r="N1858" i="10"/>
  <c r="N1857" i="10"/>
  <c r="N1856" i="10"/>
  <c r="N1855" i="10"/>
  <c r="N1854" i="10"/>
  <c r="N1853" i="10"/>
  <c r="N1852" i="10"/>
  <c r="N1851" i="10"/>
  <c r="N1850" i="10"/>
  <c r="N1849" i="10"/>
  <c r="N1848" i="10"/>
  <c r="N1847" i="10"/>
  <c r="N1846" i="10"/>
  <c r="N1845" i="10"/>
  <c r="N1844" i="10"/>
  <c r="N1843" i="10"/>
  <c r="N1842" i="10"/>
  <c r="N1841" i="10"/>
  <c r="N1840" i="10"/>
  <c r="N1839" i="10"/>
  <c r="N1838" i="10"/>
  <c r="N1837" i="10"/>
  <c r="N1836" i="10"/>
  <c r="N1835" i="10"/>
  <c r="N1834" i="10"/>
  <c r="N1833" i="10"/>
  <c r="N1832" i="10"/>
  <c r="N1831" i="10"/>
  <c r="N1830" i="10"/>
  <c r="N1829" i="10"/>
  <c r="N1828" i="10"/>
  <c r="N1827" i="10"/>
  <c r="N1826" i="10"/>
  <c r="N1825" i="10"/>
  <c r="N1824" i="10"/>
  <c r="N1823" i="10"/>
  <c r="N1822" i="10"/>
  <c r="N1821" i="10"/>
  <c r="N1820" i="10"/>
  <c r="N1819" i="10"/>
  <c r="N1818" i="10"/>
  <c r="N1817" i="10"/>
  <c r="N1816" i="10"/>
  <c r="N1815" i="10"/>
  <c r="N1814" i="10"/>
  <c r="N1813" i="10"/>
  <c r="N1812" i="10"/>
  <c r="N1811" i="10"/>
  <c r="N1810" i="10"/>
  <c r="N1809" i="10"/>
  <c r="N1808" i="10"/>
  <c r="N1807" i="10"/>
  <c r="N1806" i="10"/>
  <c r="N1805" i="10"/>
  <c r="N1804" i="10"/>
  <c r="N1803" i="10"/>
  <c r="N1802" i="10"/>
  <c r="N1801" i="10"/>
  <c r="N1800" i="10"/>
  <c r="N1799" i="10"/>
  <c r="N1798" i="10"/>
  <c r="N1797" i="10"/>
  <c r="N1796" i="10"/>
  <c r="N1795" i="10"/>
  <c r="N1794" i="10"/>
  <c r="N1793" i="10"/>
  <c r="N1792" i="10"/>
  <c r="N1791" i="10"/>
  <c r="N1790" i="10"/>
  <c r="N1789" i="10"/>
  <c r="N1788" i="10"/>
  <c r="N1787" i="10"/>
  <c r="N1786" i="10"/>
  <c r="N1785" i="10"/>
  <c r="N1784" i="10"/>
  <c r="N1783" i="10"/>
  <c r="N1782" i="10"/>
  <c r="N1781" i="10"/>
  <c r="N1780" i="10"/>
  <c r="N1779" i="10"/>
  <c r="N1778" i="10"/>
  <c r="N1777" i="10"/>
  <c r="N1776" i="10"/>
  <c r="N1775" i="10"/>
  <c r="N1774" i="10"/>
  <c r="N1773" i="10"/>
  <c r="N1772" i="10"/>
  <c r="N1771" i="10"/>
  <c r="N1770" i="10"/>
  <c r="N1769" i="10"/>
  <c r="N1768" i="10"/>
  <c r="N1767" i="10"/>
  <c r="N1766" i="10"/>
  <c r="N1765" i="10"/>
  <c r="N1764" i="10"/>
  <c r="N1763" i="10"/>
  <c r="N1762" i="10"/>
  <c r="N1761" i="10"/>
  <c r="N1760" i="10"/>
  <c r="N1759" i="10"/>
  <c r="N1758" i="10"/>
  <c r="N1757" i="10"/>
  <c r="N1756" i="10"/>
  <c r="N1755" i="10"/>
  <c r="N1754" i="10"/>
  <c r="N1753" i="10"/>
  <c r="N1752" i="10"/>
  <c r="N1751" i="10"/>
  <c r="N1750" i="10"/>
  <c r="N1749" i="10"/>
  <c r="N1748" i="10"/>
  <c r="N1747" i="10"/>
  <c r="N1746" i="10"/>
  <c r="N1745" i="10"/>
  <c r="N1744" i="10"/>
  <c r="N1743" i="10"/>
  <c r="N1742" i="10"/>
  <c r="N1741" i="10"/>
  <c r="N1740" i="10"/>
  <c r="N1739" i="10"/>
  <c r="N1738" i="10"/>
  <c r="N1737" i="10"/>
  <c r="N1736" i="10"/>
  <c r="N1735" i="10"/>
  <c r="N1734" i="10"/>
  <c r="N1733" i="10"/>
  <c r="N1732" i="10"/>
  <c r="N1731" i="10"/>
  <c r="N1730" i="10"/>
  <c r="N1729" i="10"/>
  <c r="N1728" i="10"/>
  <c r="N1727" i="10"/>
  <c r="N1726" i="10"/>
  <c r="N1725" i="10"/>
  <c r="N1724" i="10"/>
  <c r="N1723" i="10"/>
  <c r="N1722" i="10"/>
  <c r="N1721" i="10"/>
  <c r="N1720" i="10"/>
  <c r="N1719" i="10"/>
  <c r="N1718" i="10"/>
  <c r="N1717" i="10"/>
  <c r="N1716" i="10"/>
  <c r="N1715" i="10"/>
  <c r="N1714" i="10"/>
  <c r="N1713" i="10"/>
  <c r="N1712" i="10"/>
  <c r="N1711" i="10"/>
  <c r="N1710" i="10"/>
  <c r="N1709" i="10"/>
  <c r="N1708" i="10"/>
  <c r="N1707" i="10"/>
  <c r="N1706" i="10"/>
  <c r="N1705" i="10"/>
  <c r="N1704" i="10"/>
  <c r="N1703" i="10"/>
  <c r="N1702" i="10"/>
  <c r="N1701" i="10"/>
  <c r="N1700" i="10"/>
  <c r="N1699" i="10"/>
  <c r="N1698" i="10"/>
  <c r="N1697" i="10"/>
  <c r="N1696" i="10"/>
  <c r="N1695" i="10"/>
  <c r="N1694" i="10"/>
  <c r="N1693" i="10"/>
  <c r="N1692" i="10"/>
  <c r="N1691" i="10"/>
  <c r="N1690" i="10"/>
  <c r="N1689" i="10"/>
  <c r="N1688" i="10"/>
  <c r="N1687" i="10"/>
  <c r="N1686" i="10"/>
  <c r="N1685" i="10"/>
  <c r="N1684" i="10"/>
  <c r="N1683" i="10"/>
  <c r="N1682" i="10"/>
  <c r="N1681" i="10"/>
  <c r="N1680" i="10"/>
  <c r="N1679" i="10"/>
  <c r="N1678" i="10"/>
  <c r="N1677" i="10"/>
  <c r="N1676" i="10"/>
  <c r="N1675" i="10"/>
  <c r="N1674" i="10"/>
  <c r="N1673" i="10"/>
  <c r="N1672" i="10"/>
  <c r="N1671" i="10"/>
  <c r="N1670" i="10"/>
  <c r="N1669" i="10"/>
  <c r="N1668" i="10"/>
  <c r="N1667" i="10"/>
  <c r="N1666" i="10"/>
  <c r="N1665" i="10"/>
  <c r="N1664" i="10"/>
  <c r="N1663" i="10"/>
  <c r="N1662" i="10"/>
  <c r="N1661" i="10"/>
  <c r="N1660" i="10"/>
  <c r="N1659" i="10"/>
  <c r="N1658" i="10"/>
  <c r="N1657" i="10"/>
  <c r="N1656" i="10"/>
  <c r="N1655" i="10"/>
  <c r="N1654" i="10"/>
  <c r="N1653" i="10"/>
  <c r="N1652" i="10"/>
  <c r="N1651" i="10"/>
  <c r="N1650" i="10"/>
  <c r="N1649" i="10"/>
  <c r="N1648" i="10"/>
  <c r="N1647" i="10"/>
  <c r="N1646" i="10"/>
  <c r="N1645" i="10"/>
  <c r="N1644" i="10"/>
  <c r="N1643" i="10"/>
  <c r="N1642" i="10"/>
  <c r="N1641" i="10"/>
  <c r="N1640" i="10"/>
  <c r="N1639" i="10"/>
  <c r="N1638" i="10"/>
  <c r="N1637" i="10"/>
  <c r="N1636" i="10"/>
  <c r="N1635" i="10"/>
  <c r="N1634" i="10"/>
  <c r="N1633" i="10"/>
  <c r="N1632" i="10"/>
  <c r="N1631" i="10"/>
  <c r="N1630" i="10"/>
  <c r="N1629" i="10"/>
  <c r="N1628" i="10"/>
  <c r="N1627" i="10"/>
  <c r="N1626" i="10"/>
  <c r="N1625" i="10"/>
  <c r="N1624" i="10"/>
  <c r="N1623" i="10"/>
  <c r="N1622" i="10"/>
  <c r="N1621" i="10"/>
  <c r="N1620" i="10"/>
  <c r="N1619" i="10"/>
  <c r="N1618" i="10"/>
  <c r="N1617" i="10"/>
  <c r="N1616" i="10"/>
  <c r="N1615" i="10"/>
  <c r="N1614" i="10"/>
  <c r="N1613" i="10"/>
  <c r="N1612" i="10"/>
  <c r="N1611" i="10"/>
  <c r="N1610" i="10"/>
  <c r="N1609" i="10"/>
  <c r="N1608" i="10"/>
  <c r="N1607" i="10"/>
  <c r="N1606" i="10"/>
  <c r="N1605" i="10"/>
  <c r="N1604" i="10"/>
  <c r="N1603" i="10"/>
  <c r="N1602" i="10"/>
  <c r="N1601" i="10"/>
  <c r="N1600" i="10"/>
  <c r="N1599" i="10"/>
  <c r="N1598" i="10"/>
  <c r="N1597" i="10"/>
  <c r="N1596" i="10"/>
  <c r="N1595" i="10"/>
  <c r="N1594" i="10"/>
  <c r="N1593" i="10"/>
  <c r="N1592" i="10"/>
  <c r="N1591" i="10"/>
  <c r="N1590" i="10"/>
  <c r="N1589" i="10"/>
  <c r="N1588" i="10"/>
  <c r="N1587" i="10"/>
  <c r="N1586" i="10"/>
  <c r="N1585" i="10"/>
  <c r="N1584" i="10"/>
  <c r="N1583" i="10"/>
  <c r="N1582" i="10"/>
  <c r="N1581" i="10"/>
  <c r="N1580" i="10"/>
  <c r="N1579" i="10"/>
  <c r="N1578" i="10"/>
  <c r="N1577" i="10"/>
  <c r="N1576" i="10"/>
  <c r="N1575" i="10"/>
  <c r="N1574" i="10"/>
  <c r="N1573" i="10"/>
  <c r="N1572" i="10"/>
  <c r="N1571" i="10"/>
  <c r="N1570" i="10"/>
  <c r="N1569" i="10"/>
  <c r="N1568" i="10"/>
  <c r="N1567" i="10"/>
  <c r="N1566" i="10"/>
  <c r="N1565" i="10"/>
  <c r="N1564" i="10"/>
  <c r="N1563" i="10"/>
  <c r="N1562" i="10"/>
  <c r="N1561" i="10"/>
  <c r="N1560" i="10"/>
  <c r="N1559" i="10"/>
  <c r="N1558" i="10"/>
  <c r="N1557" i="10"/>
  <c r="N1556" i="10"/>
  <c r="N1555" i="10"/>
  <c r="N1554" i="10"/>
  <c r="N1553" i="10"/>
  <c r="N1552" i="10"/>
  <c r="N1551" i="10"/>
  <c r="N1550" i="10"/>
  <c r="N1549" i="10"/>
  <c r="N1548" i="10"/>
  <c r="N1547" i="10"/>
  <c r="N1546" i="10"/>
  <c r="N1545" i="10"/>
  <c r="N1544" i="10"/>
  <c r="N1543" i="10"/>
  <c r="N1542" i="10"/>
  <c r="N1541" i="10"/>
  <c r="N1540" i="10"/>
  <c r="N1539" i="10"/>
  <c r="N1538" i="10"/>
  <c r="N1537" i="10"/>
  <c r="N1536" i="10"/>
  <c r="N1535" i="10"/>
  <c r="N1534" i="10"/>
  <c r="N1533" i="10"/>
  <c r="N1532" i="10"/>
  <c r="N1531" i="10"/>
  <c r="N1530" i="10"/>
  <c r="N1529" i="10"/>
  <c r="N1528" i="10"/>
  <c r="N1527" i="10"/>
  <c r="N1526" i="10"/>
  <c r="N1525" i="10"/>
  <c r="N1524" i="10"/>
  <c r="N1523" i="10"/>
  <c r="N1522" i="10"/>
  <c r="N1521" i="10"/>
  <c r="N1520" i="10"/>
  <c r="N1519" i="10"/>
  <c r="N1518" i="10"/>
  <c r="N1517" i="10"/>
  <c r="N1516" i="10"/>
  <c r="N1515" i="10"/>
  <c r="N1514" i="10"/>
  <c r="N1513" i="10"/>
  <c r="N1512" i="10"/>
  <c r="N1511" i="10"/>
  <c r="N1510" i="10"/>
  <c r="N1509" i="10"/>
  <c r="N1508" i="10"/>
  <c r="N1507" i="10"/>
  <c r="N1506" i="10"/>
  <c r="N1505" i="10"/>
  <c r="N1504" i="10"/>
  <c r="N1503" i="10"/>
  <c r="N1502" i="10"/>
  <c r="N1501" i="10"/>
  <c r="N1500" i="10"/>
  <c r="N1499" i="10"/>
  <c r="N1498" i="10"/>
  <c r="N1497" i="10"/>
  <c r="N1496" i="10"/>
  <c r="N1495" i="10"/>
  <c r="N1494" i="10"/>
  <c r="N1493" i="10"/>
  <c r="N1492" i="10"/>
  <c r="N1491" i="10"/>
  <c r="N1490" i="10"/>
  <c r="N1489" i="10"/>
  <c r="N1488" i="10"/>
  <c r="N1487" i="10"/>
  <c r="N1486" i="10"/>
  <c r="N1485" i="10"/>
  <c r="N1484" i="10"/>
  <c r="N1483" i="10"/>
  <c r="N1482" i="10"/>
  <c r="N1481" i="10"/>
  <c r="N1480" i="10"/>
  <c r="N1479" i="10"/>
  <c r="N1478" i="10"/>
  <c r="N1477" i="10"/>
  <c r="N1476" i="10"/>
  <c r="N1475" i="10"/>
  <c r="N1474" i="10"/>
  <c r="N1473" i="10"/>
  <c r="N1472" i="10"/>
  <c r="N1471" i="10"/>
  <c r="N1470" i="10"/>
  <c r="N1469" i="10"/>
  <c r="N1468" i="10"/>
  <c r="N1467" i="10"/>
  <c r="N1466" i="10"/>
  <c r="N1465" i="10"/>
  <c r="N1464" i="10"/>
  <c r="N1463" i="10"/>
  <c r="N1462" i="10"/>
  <c r="N1461" i="10"/>
  <c r="N1460" i="10"/>
  <c r="N1459" i="10"/>
  <c r="N1458" i="10"/>
  <c r="N1457" i="10"/>
  <c r="N1456" i="10"/>
  <c r="N1455" i="10"/>
  <c r="N1454" i="10"/>
  <c r="N1453" i="10"/>
  <c r="N1452" i="10"/>
  <c r="N1451" i="10"/>
  <c r="N1450" i="10"/>
  <c r="N1449" i="10"/>
  <c r="N1448" i="10"/>
  <c r="N1447" i="10"/>
  <c r="N1446" i="10"/>
  <c r="N1445" i="10"/>
  <c r="N1444" i="10"/>
  <c r="N1443" i="10"/>
  <c r="N1442" i="10"/>
  <c r="N1441" i="10"/>
  <c r="N1440" i="10"/>
  <c r="N1439" i="10"/>
  <c r="N1438" i="10"/>
  <c r="N1437" i="10"/>
  <c r="N1436" i="10"/>
  <c r="N1435" i="10"/>
  <c r="N1434" i="10"/>
  <c r="N1433" i="10"/>
  <c r="N1432" i="10"/>
  <c r="N1431" i="10"/>
  <c r="N1430" i="10"/>
  <c r="N1429" i="10"/>
  <c r="N1428" i="10"/>
  <c r="N1427" i="10"/>
  <c r="N1426" i="10"/>
  <c r="N1425" i="10"/>
  <c r="N1424" i="10"/>
  <c r="N1423" i="10"/>
  <c r="N1422" i="10"/>
  <c r="N1421" i="10"/>
  <c r="N1420" i="10"/>
  <c r="N1419" i="10"/>
  <c r="N1418" i="10"/>
  <c r="N1417" i="10"/>
  <c r="N1416" i="10"/>
  <c r="N1415" i="10"/>
  <c r="N1414" i="10"/>
  <c r="N1413" i="10"/>
  <c r="N1412" i="10"/>
  <c r="N1411" i="10"/>
  <c r="N1410" i="10"/>
  <c r="N1409" i="10"/>
  <c r="N1408" i="10"/>
  <c r="N1407" i="10"/>
  <c r="N1406" i="10"/>
  <c r="N1405" i="10"/>
  <c r="N1404" i="10"/>
  <c r="N1403" i="10"/>
  <c r="N1402" i="10"/>
  <c r="N1401" i="10"/>
  <c r="N1400" i="10"/>
  <c r="N1399" i="10"/>
  <c r="N1398" i="10"/>
  <c r="N1397" i="10"/>
  <c r="N1396" i="10"/>
  <c r="N1395" i="10"/>
  <c r="N1394" i="10"/>
  <c r="N1393" i="10"/>
  <c r="N1392" i="10"/>
  <c r="N1391" i="10"/>
  <c r="N1390" i="10"/>
  <c r="N1389" i="10"/>
  <c r="N1388" i="10"/>
  <c r="N1387" i="10"/>
  <c r="N1386" i="10"/>
  <c r="N1385" i="10"/>
  <c r="N1384" i="10"/>
  <c r="N1383" i="10"/>
  <c r="N1382" i="10"/>
  <c r="N1381" i="10"/>
  <c r="N1380" i="10"/>
  <c r="N1379" i="10"/>
  <c r="N1378" i="10"/>
  <c r="N1377" i="10"/>
  <c r="N1376" i="10"/>
  <c r="N1375" i="10"/>
  <c r="N1374" i="10"/>
  <c r="N1373" i="10"/>
  <c r="N1372" i="10"/>
  <c r="N1371" i="10"/>
  <c r="N1370" i="10"/>
  <c r="N1369" i="10"/>
  <c r="N1368" i="10"/>
  <c r="N1367" i="10"/>
  <c r="N1366" i="10"/>
  <c r="N1365" i="10"/>
  <c r="N1364" i="10"/>
  <c r="N1363" i="10"/>
  <c r="N1362" i="10"/>
  <c r="N1361" i="10"/>
  <c r="N1360" i="10"/>
  <c r="N1359" i="10"/>
  <c r="N1358" i="10"/>
  <c r="N1357" i="10"/>
  <c r="N1356" i="10"/>
  <c r="N1355" i="10"/>
  <c r="N1354" i="10"/>
  <c r="N1353" i="10"/>
  <c r="N1352" i="10"/>
  <c r="N1351" i="10"/>
  <c r="N1350" i="10"/>
  <c r="N1349" i="10"/>
  <c r="N1348" i="10"/>
  <c r="N1347" i="10"/>
  <c r="N1346" i="10"/>
  <c r="N1345" i="10"/>
  <c r="N1344" i="10"/>
  <c r="N1343" i="10"/>
  <c r="N1342" i="10"/>
  <c r="N1341" i="10"/>
  <c r="N1340" i="10"/>
  <c r="N1339" i="10"/>
  <c r="N1338" i="10"/>
  <c r="N1337" i="10"/>
  <c r="N1336" i="10"/>
  <c r="N1335" i="10"/>
  <c r="N1334" i="10"/>
  <c r="N1333" i="10"/>
  <c r="N1332" i="10"/>
  <c r="N1331" i="10"/>
  <c r="N1330" i="10"/>
  <c r="N1329" i="10"/>
  <c r="N1328" i="10"/>
  <c r="N1327" i="10"/>
  <c r="N1326" i="10"/>
  <c r="N1325" i="10"/>
  <c r="N1324" i="10"/>
  <c r="N1323" i="10"/>
  <c r="N1322" i="10"/>
  <c r="N1321" i="10"/>
  <c r="N1320" i="10"/>
  <c r="N1319" i="10"/>
  <c r="N1318" i="10"/>
  <c r="N1317" i="10"/>
  <c r="N1316" i="10"/>
  <c r="N1315" i="10"/>
  <c r="N1314" i="10"/>
  <c r="N1313" i="10"/>
  <c r="N1312" i="10"/>
  <c r="N1311" i="10"/>
  <c r="N1310" i="10"/>
  <c r="N1309" i="10"/>
  <c r="N1308" i="10"/>
  <c r="N1307" i="10"/>
  <c r="N1306" i="10"/>
  <c r="N1305" i="10"/>
  <c r="N1304" i="10"/>
  <c r="N1303" i="10"/>
  <c r="N1302" i="10"/>
  <c r="N1301" i="10"/>
  <c r="N1300" i="10"/>
  <c r="N1299" i="10"/>
  <c r="N1298" i="10"/>
  <c r="N1297" i="10"/>
  <c r="N1296" i="10"/>
  <c r="N1295" i="10"/>
  <c r="N1294" i="10"/>
  <c r="N1293" i="10"/>
  <c r="N1292" i="10"/>
  <c r="N1291" i="10"/>
  <c r="N1290" i="10"/>
  <c r="N1289" i="10"/>
  <c r="N1288" i="10"/>
  <c r="N1287" i="10"/>
  <c r="N1286" i="10"/>
  <c r="N1285" i="10"/>
  <c r="N1284" i="10"/>
  <c r="N1283" i="10"/>
  <c r="N1282" i="10"/>
  <c r="N1281" i="10"/>
  <c r="N1280" i="10"/>
  <c r="N1279" i="10"/>
  <c r="N1278" i="10"/>
  <c r="N1277" i="10"/>
  <c r="N1276" i="10"/>
  <c r="N1275" i="10"/>
  <c r="N1274" i="10"/>
  <c r="N1273" i="10"/>
  <c r="N1272" i="10"/>
  <c r="N1271" i="10"/>
  <c r="N1270" i="10"/>
  <c r="N1269" i="10"/>
  <c r="N1268" i="10"/>
  <c r="N1267" i="10"/>
  <c r="N1266" i="10"/>
  <c r="N1265" i="10"/>
  <c r="N1264" i="10"/>
  <c r="N1263" i="10"/>
  <c r="N1262" i="10"/>
  <c r="N1261" i="10"/>
  <c r="N1260" i="10"/>
  <c r="N1259" i="10"/>
  <c r="N1258" i="10"/>
  <c r="N1257" i="10"/>
  <c r="N1256" i="10"/>
  <c r="N1255" i="10"/>
  <c r="N1254" i="10"/>
  <c r="N1253" i="10"/>
  <c r="N1252" i="10"/>
  <c r="N1251" i="10"/>
  <c r="N1250" i="10"/>
  <c r="N1249" i="10"/>
  <c r="N1248" i="10"/>
  <c r="N1247" i="10"/>
  <c r="N1246" i="10"/>
  <c r="N1245" i="10"/>
  <c r="N1244" i="10"/>
  <c r="N1243" i="10"/>
  <c r="N1242" i="10"/>
  <c r="N1241" i="10"/>
  <c r="N1240" i="10"/>
  <c r="N1239" i="10"/>
  <c r="N1238" i="10"/>
  <c r="N1237" i="10"/>
  <c r="N1236" i="10"/>
  <c r="N1235" i="10"/>
  <c r="N1234" i="10"/>
  <c r="N1233" i="10"/>
  <c r="N1232" i="10"/>
  <c r="N1231" i="10"/>
  <c r="N1230" i="10"/>
  <c r="N1229" i="10"/>
  <c r="N1228" i="10"/>
  <c r="N1227" i="10"/>
  <c r="N1226" i="10"/>
  <c r="N1225" i="10"/>
  <c r="N1224" i="10"/>
  <c r="N1223" i="10"/>
  <c r="N1222" i="10"/>
  <c r="N1221" i="10"/>
  <c r="N1220" i="10"/>
  <c r="N1219" i="10"/>
  <c r="N1218" i="10"/>
  <c r="N1217" i="10"/>
  <c r="N1216" i="10"/>
  <c r="N1215" i="10"/>
  <c r="N1214" i="10"/>
  <c r="N1213" i="10"/>
  <c r="N1212" i="10"/>
  <c r="N1211" i="10"/>
  <c r="N1210" i="10"/>
  <c r="N1209" i="10"/>
  <c r="N1208" i="10"/>
  <c r="N1207" i="10"/>
  <c r="N1206" i="10"/>
  <c r="N1205" i="10"/>
  <c r="N1204" i="10"/>
  <c r="N1203" i="10"/>
  <c r="N1202" i="10"/>
  <c r="N1201" i="10"/>
  <c r="N1200" i="10"/>
  <c r="N1199" i="10"/>
  <c r="N1198" i="10"/>
  <c r="N1197" i="10"/>
  <c r="N1196" i="10"/>
  <c r="N1195" i="10"/>
  <c r="N1194" i="10"/>
  <c r="N1193" i="10"/>
  <c r="N1192" i="10"/>
  <c r="N1191" i="10"/>
  <c r="N1190" i="10"/>
  <c r="N1189" i="10"/>
  <c r="N1188" i="10"/>
  <c r="N1187" i="10"/>
  <c r="N1186" i="10"/>
  <c r="N1185" i="10"/>
  <c r="N1184" i="10"/>
  <c r="N1183" i="10"/>
  <c r="N1182" i="10"/>
  <c r="N1181" i="10"/>
  <c r="N1180" i="10"/>
  <c r="N1179" i="10"/>
  <c r="N1178" i="10"/>
  <c r="N1177" i="10"/>
  <c r="N1176" i="10"/>
  <c r="N1175" i="10"/>
  <c r="N1174" i="10"/>
  <c r="N1173" i="10"/>
  <c r="N1172" i="10"/>
  <c r="N1171" i="10"/>
  <c r="N1170" i="10"/>
  <c r="N1169" i="10"/>
  <c r="N1168" i="10"/>
  <c r="N1167" i="10"/>
  <c r="N1166" i="10"/>
  <c r="N1165" i="10"/>
  <c r="N1164" i="10"/>
  <c r="N1163" i="10"/>
  <c r="N1162" i="10"/>
  <c r="N1161" i="10"/>
  <c r="N1160" i="10"/>
  <c r="N1159" i="10"/>
  <c r="N1158" i="10"/>
  <c r="N1157" i="10"/>
  <c r="N1156" i="10"/>
  <c r="N1155" i="10"/>
  <c r="N1154" i="10"/>
  <c r="N1153" i="10"/>
  <c r="N1152" i="10"/>
  <c r="N1151" i="10"/>
  <c r="N1150" i="10"/>
  <c r="N1149" i="10"/>
  <c r="N1148" i="10"/>
  <c r="N1147" i="10"/>
  <c r="N1146" i="10"/>
  <c r="N1145" i="10"/>
  <c r="N1144" i="10"/>
  <c r="N1143" i="10"/>
  <c r="N1142" i="10"/>
  <c r="N1141" i="10"/>
  <c r="N1140" i="10"/>
  <c r="N1139" i="10"/>
  <c r="N1138" i="10"/>
  <c r="N1137" i="10"/>
  <c r="N1136" i="10"/>
  <c r="N1135" i="10"/>
  <c r="N1134" i="10"/>
  <c r="N1133" i="10"/>
  <c r="N1132" i="10"/>
  <c r="N1131" i="10"/>
  <c r="N1130" i="10"/>
  <c r="N1129" i="10"/>
  <c r="N1128" i="10"/>
  <c r="N1127" i="10"/>
  <c r="N1126" i="10"/>
  <c r="N1125" i="10"/>
  <c r="N1124" i="10"/>
  <c r="N1123" i="10"/>
  <c r="N1122" i="10"/>
  <c r="N1121" i="10"/>
  <c r="N1120" i="10"/>
  <c r="N1119" i="10"/>
  <c r="N1118" i="10"/>
  <c r="N1117" i="10"/>
  <c r="N1116" i="10"/>
  <c r="N1115" i="10"/>
  <c r="N1114" i="10"/>
  <c r="N1113" i="10"/>
  <c r="N1112" i="10"/>
  <c r="N1111" i="10"/>
  <c r="N1110" i="10"/>
  <c r="N1109" i="10"/>
  <c r="N1108" i="10"/>
  <c r="N1107" i="10"/>
  <c r="N1106" i="10"/>
  <c r="N1105" i="10"/>
  <c r="N1104" i="10"/>
  <c r="N1103" i="10"/>
  <c r="N1102" i="10"/>
  <c r="N1101" i="10"/>
  <c r="N1100" i="10"/>
  <c r="N1099" i="10"/>
  <c r="N1098" i="10"/>
  <c r="N1097" i="10"/>
  <c r="N1096" i="10"/>
  <c r="N1095" i="10"/>
  <c r="N1094" i="10"/>
  <c r="N1093" i="10"/>
  <c r="N1092" i="10"/>
  <c r="N1091" i="10"/>
  <c r="N1090" i="10"/>
  <c r="N1089" i="10"/>
  <c r="N1088" i="10"/>
  <c r="N1087" i="10"/>
  <c r="N1086" i="10"/>
  <c r="N1085" i="10"/>
  <c r="N1084" i="10"/>
  <c r="N1083" i="10"/>
  <c r="N1082" i="10"/>
  <c r="N1081" i="10"/>
  <c r="N1080" i="10"/>
  <c r="N1079" i="10"/>
  <c r="N1078" i="10"/>
  <c r="N1077" i="10"/>
  <c r="N1076" i="10"/>
  <c r="N1075" i="10"/>
  <c r="N1074" i="10"/>
  <c r="N1073" i="10"/>
  <c r="N1072" i="10"/>
  <c r="N1071" i="10"/>
  <c r="N1070" i="10"/>
  <c r="N1069" i="10"/>
  <c r="N1068" i="10"/>
  <c r="N1067" i="10"/>
  <c r="N1066" i="10"/>
  <c r="N1065" i="10"/>
  <c r="N1064" i="10"/>
  <c r="N1063" i="10"/>
  <c r="N1062" i="10"/>
  <c r="N1061" i="10"/>
  <c r="N1060" i="10"/>
  <c r="N1059" i="10"/>
  <c r="N1058" i="10"/>
  <c r="N1057" i="10"/>
  <c r="N1056" i="10"/>
  <c r="N1055" i="10"/>
  <c r="N1054" i="10"/>
  <c r="N1053" i="10"/>
  <c r="N1052" i="10"/>
  <c r="N1051" i="10"/>
  <c r="N1050" i="10"/>
  <c r="N1049" i="10"/>
  <c r="N1048" i="10"/>
  <c r="N1047" i="10"/>
  <c r="N1046" i="10"/>
  <c r="N1045" i="10"/>
  <c r="N1044" i="10"/>
  <c r="N1043" i="10"/>
  <c r="N1042" i="10"/>
  <c r="N1041" i="10"/>
  <c r="N1040" i="10"/>
  <c r="N1039" i="10"/>
  <c r="N1038" i="10"/>
  <c r="N1037" i="10"/>
  <c r="N1036" i="10"/>
  <c r="N1035" i="10"/>
  <c r="N1034" i="10"/>
  <c r="N1033" i="10"/>
  <c r="N1032" i="10"/>
  <c r="N1031" i="10"/>
  <c r="N1030" i="10"/>
  <c r="N1029" i="10"/>
  <c r="N1028" i="10"/>
  <c r="N1027" i="10"/>
  <c r="N1026" i="10"/>
  <c r="N1025" i="10"/>
  <c r="N1024" i="10"/>
  <c r="N1023" i="10"/>
  <c r="N1022" i="10"/>
  <c r="N1021" i="10"/>
  <c r="N1020" i="10"/>
  <c r="N1019" i="10"/>
  <c r="N1018" i="10"/>
  <c r="N1017" i="10"/>
  <c r="N1016" i="10"/>
  <c r="N1015" i="10"/>
  <c r="N1014" i="10"/>
  <c r="N1013" i="10"/>
  <c r="N1012" i="10"/>
  <c r="N1011" i="10"/>
  <c r="N1010" i="10"/>
  <c r="N1009" i="10"/>
  <c r="N1008" i="10"/>
  <c r="N1007" i="10"/>
  <c r="N1006" i="10"/>
  <c r="N1005" i="10"/>
  <c r="N1004" i="10"/>
  <c r="N1003" i="10"/>
  <c r="N1002" i="10"/>
  <c r="N1001" i="10"/>
  <c r="N1000" i="10"/>
  <c r="N999" i="10"/>
  <c r="N998" i="10"/>
  <c r="N997" i="10"/>
  <c r="N996" i="10"/>
  <c r="N995" i="10"/>
  <c r="N994" i="10"/>
  <c r="N993" i="10"/>
  <c r="N992" i="10"/>
  <c r="N991" i="10"/>
  <c r="N990" i="10"/>
  <c r="N989" i="10"/>
  <c r="N988" i="10"/>
  <c r="N987" i="10"/>
  <c r="N986" i="10"/>
  <c r="N985" i="10"/>
  <c r="N984" i="10"/>
  <c r="N983" i="10"/>
  <c r="N982" i="10"/>
  <c r="N981" i="10"/>
  <c r="N980" i="10"/>
  <c r="N979" i="10"/>
  <c r="N978" i="10"/>
  <c r="N977" i="10"/>
  <c r="N976" i="10"/>
  <c r="N975" i="10"/>
  <c r="N974" i="10"/>
  <c r="N973" i="10"/>
  <c r="N972" i="10"/>
  <c r="N971" i="10"/>
  <c r="N970" i="10"/>
  <c r="N969" i="10"/>
  <c r="N968" i="10"/>
  <c r="N967" i="10"/>
  <c r="N966" i="10"/>
  <c r="N965" i="10"/>
  <c r="N964" i="10"/>
  <c r="N963" i="10"/>
  <c r="N962" i="10"/>
  <c r="N961" i="10"/>
  <c r="N960" i="10"/>
  <c r="N959" i="10"/>
  <c r="N958" i="10"/>
  <c r="N957" i="10"/>
  <c r="N956" i="10"/>
  <c r="N955" i="10"/>
  <c r="N954" i="10"/>
  <c r="N953" i="10"/>
  <c r="N952" i="10"/>
  <c r="N951" i="10"/>
  <c r="N950" i="10"/>
  <c r="N949" i="10"/>
  <c r="N948" i="10"/>
  <c r="N947" i="10"/>
  <c r="N946" i="10"/>
  <c r="N945" i="10"/>
  <c r="N944" i="10"/>
  <c r="N943" i="10"/>
  <c r="N942" i="10"/>
  <c r="N941" i="10"/>
  <c r="N940" i="10"/>
  <c r="N939" i="10"/>
  <c r="N938" i="10"/>
  <c r="N937" i="10"/>
  <c r="N936" i="10"/>
  <c r="N935" i="10"/>
  <c r="N934" i="10"/>
  <c r="N933" i="10"/>
  <c r="N932" i="10"/>
  <c r="N931" i="10"/>
  <c r="N930" i="10"/>
  <c r="N929" i="10"/>
  <c r="N928" i="10"/>
  <c r="N927" i="10"/>
  <c r="N926" i="10"/>
  <c r="N925" i="10"/>
  <c r="N924" i="10"/>
  <c r="N923" i="10"/>
  <c r="N922" i="10"/>
  <c r="N921" i="10"/>
  <c r="N920" i="10"/>
  <c r="N919" i="10"/>
  <c r="N918" i="10"/>
  <c r="N917" i="10"/>
  <c r="N916" i="10"/>
  <c r="N915" i="10"/>
  <c r="N914" i="10"/>
  <c r="N913" i="10"/>
  <c r="N912" i="10"/>
  <c r="N911" i="10"/>
  <c r="N910" i="10"/>
  <c r="N909" i="10"/>
  <c r="N908" i="10"/>
  <c r="N907" i="10"/>
  <c r="N906" i="10"/>
  <c r="N905" i="10"/>
  <c r="N904" i="10"/>
  <c r="N903" i="10"/>
  <c r="N902" i="10"/>
  <c r="N901" i="10"/>
  <c r="N900" i="10"/>
  <c r="N899" i="10"/>
  <c r="N898" i="10"/>
  <c r="N897" i="10"/>
  <c r="N896" i="10"/>
  <c r="N895" i="10"/>
  <c r="N894" i="10"/>
  <c r="N893" i="10"/>
  <c r="N892" i="10"/>
  <c r="N891" i="10"/>
  <c r="N890" i="10"/>
  <c r="N889" i="10"/>
  <c r="N888" i="10"/>
  <c r="N887" i="10"/>
  <c r="N886" i="10"/>
  <c r="N885" i="10"/>
  <c r="N884" i="10"/>
  <c r="N883" i="10"/>
  <c r="N882" i="10"/>
  <c r="N881" i="10"/>
  <c r="N880" i="10"/>
  <c r="N879" i="10"/>
  <c r="N878" i="10"/>
  <c r="N877" i="10"/>
  <c r="N876" i="10"/>
  <c r="N875" i="10"/>
  <c r="N874" i="10"/>
  <c r="N873" i="10"/>
  <c r="N872" i="10"/>
  <c r="N871" i="10"/>
  <c r="N870" i="10"/>
  <c r="N869" i="10"/>
  <c r="N868" i="10"/>
  <c r="N867" i="10"/>
  <c r="N866" i="10"/>
  <c r="N865" i="10"/>
  <c r="N864" i="10"/>
  <c r="N863" i="10"/>
  <c r="N862" i="10"/>
  <c r="N861" i="10"/>
  <c r="N860" i="10"/>
  <c r="N859" i="10"/>
  <c r="N858" i="10"/>
  <c r="N857" i="10"/>
  <c r="N856" i="10"/>
  <c r="N855" i="10"/>
  <c r="N854" i="10"/>
  <c r="N853" i="10"/>
  <c r="N852" i="10"/>
  <c r="N851" i="10"/>
  <c r="N850" i="10"/>
  <c r="N849" i="10"/>
  <c r="N848" i="10"/>
  <c r="N847" i="10"/>
  <c r="N846" i="10"/>
  <c r="N845" i="10"/>
  <c r="N844" i="10"/>
  <c r="N843" i="10"/>
  <c r="N842" i="10"/>
  <c r="N841" i="10"/>
  <c r="N840" i="10"/>
  <c r="N839" i="10"/>
  <c r="N838" i="10"/>
  <c r="N837" i="10"/>
  <c r="N836" i="10"/>
  <c r="N835" i="10"/>
  <c r="N834" i="10"/>
  <c r="N833" i="10"/>
  <c r="N832" i="10"/>
  <c r="N831" i="10"/>
  <c r="N830" i="10"/>
  <c r="N829" i="10"/>
  <c r="N828" i="10"/>
  <c r="N827" i="10"/>
  <c r="N826" i="10"/>
  <c r="N825" i="10"/>
  <c r="N824" i="10"/>
  <c r="N823" i="10"/>
  <c r="N822" i="10"/>
  <c r="N821" i="10"/>
  <c r="N820" i="10"/>
  <c r="N819" i="10"/>
  <c r="N818" i="10"/>
  <c r="N817" i="10"/>
  <c r="N816" i="10"/>
  <c r="N815" i="10"/>
  <c r="N814" i="10"/>
  <c r="N813" i="10"/>
  <c r="N812" i="10"/>
  <c r="N811" i="10"/>
  <c r="N810" i="10"/>
  <c r="N809" i="10"/>
  <c r="N808" i="10"/>
  <c r="N807" i="10"/>
  <c r="N806" i="10"/>
  <c r="N805" i="10"/>
  <c r="N804" i="10"/>
  <c r="N803" i="10"/>
  <c r="N802" i="10"/>
  <c r="N801" i="10"/>
  <c r="N800" i="10"/>
  <c r="N799" i="10"/>
  <c r="N798" i="10"/>
  <c r="N797" i="10"/>
  <c r="N796" i="10"/>
  <c r="N795" i="10"/>
  <c r="N794" i="10"/>
  <c r="N793" i="10"/>
  <c r="N792" i="10"/>
  <c r="N791" i="10"/>
  <c r="N790" i="10"/>
  <c r="N789" i="10"/>
  <c r="N788" i="10"/>
  <c r="N787" i="10"/>
  <c r="N786" i="10"/>
  <c r="N785" i="10"/>
  <c r="N784" i="10"/>
  <c r="N783" i="10"/>
  <c r="N782" i="10"/>
  <c r="N781" i="10"/>
  <c r="N780" i="10"/>
  <c r="N779" i="10"/>
  <c r="N778" i="10"/>
  <c r="N777" i="10"/>
  <c r="N776" i="10"/>
  <c r="N775" i="10"/>
  <c r="N774" i="10"/>
  <c r="N773" i="10"/>
  <c r="N772" i="10"/>
  <c r="N771" i="10"/>
  <c r="N770" i="10"/>
  <c r="N769" i="10"/>
  <c r="N768" i="10"/>
  <c r="N767" i="10"/>
  <c r="N766" i="10"/>
  <c r="N765" i="10"/>
  <c r="N764" i="10"/>
  <c r="N763" i="10"/>
  <c r="N762" i="10"/>
  <c r="N761" i="10"/>
  <c r="N760" i="10"/>
  <c r="N759" i="10"/>
  <c r="N758" i="10"/>
  <c r="N757" i="10"/>
  <c r="N756" i="10"/>
  <c r="N755" i="10"/>
  <c r="N754" i="10"/>
  <c r="N753" i="10"/>
  <c r="N752" i="10"/>
  <c r="N751" i="10"/>
  <c r="N750" i="10"/>
  <c r="N749" i="10"/>
  <c r="N748" i="10"/>
  <c r="N747" i="10"/>
  <c r="N746" i="10"/>
  <c r="N745" i="10"/>
  <c r="N744" i="10"/>
  <c r="N743" i="10"/>
  <c r="N742" i="10"/>
  <c r="N741" i="10"/>
  <c r="N740" i="10"/>
  <c r="N739" i="10"/>
  <c r="N738" i="10"/>
  <c r="N737" i="10"/>
  <c r="N736" i="10"/>
  <c r="N735" i="10"/>
  <c r="N734" i="10"/>
  <c r="N733" i="10"/>
  <c r="N732" i="10"/>
  <c r="N731" i="10"/>
  <c r="N730" i="10"/>
  <c r="N729" i="10"/>
  <c r="N728" i="10"/>
  <c r="N727" i="10"/>
  <c r="N726" i="10"/>
  <c r="N725" i="10"/>
  <c r="N724" i="10"/>
  <c r="N723" i="10"/>
  <c r="N722" i="10"/>
  <c r="N721" i="10"/>
  <c r="N720" i="10"/>
  <c r="N719" i="10"/>
  <c r="N718" i="10"/>
  <c r="N717" i="10"/>
  <c r="N716" i="10"/>
  <c r="N715" i="10"/>
  <c r="N714" i="10"/>
  <c r="N713" i="10"/>
  <c r="N712" i="10"/>
  <c r="N711" i="10"/>
  <c r="N710" i="10"/>
  <c r="N709" i="10"/>
  <c r="N708" i="10"/>
  <c r="N707" i="10"/>
  <c r="N706" i="10"/>
  <c r="N705" i="10"/>
  <c r="N704" i="10"/>
  <c r="N703" i="10"/>
  <c r="N702" i="10"/>
  <c r="N701" i="10"/>
  <c r="N700" i="10"/>
  <c r="N699" i="10"/>
  <c r="N698" i="10"/>
  <c r="N697" i="10"/>
  <c r="N696" i="10"/>
  <c r="N695" i="10"/>
  <c r="N694" i="10"/>
  <c r="N693" i="10"/>
  <c r="N692" i="10"/>
  <c r="N691" i="10"/>
  <c r="N690" i="10"/>
  <c r="N689" i="10"/>
  <c r="N688" i="10"/>
  <c r="N687" i="10"/>
  <c r="N686" i="10"/>
  <c r="N685" i="10"/>
  <c r="N684" i="10"/>
  <c r="N683" i="10"/>
  <c r="N682" i="10"/>
  <c r="N681" i="10"/>
  <c r="N680" i="10"/>
  <c r="N679" i="10"/>
  <c r="N678" i="10"/>
  <c r="N677" i="10"/>
  <c r="N676" i="10"/>
  <c r="N675" i="10"/>
  <c r="N674" i="10"/>
  <c r="N673" i="10"/>
  <c r="N672" i="10"/>
  <c r="N671" i="10"/>
  <c r="N670" i="10"/>
  <c r="N669" i="10"/>
  <c r="N668" i="10"/>
  <c r="N667" i="10"/>
  <c r="N666" i="10"/>
  <c r="N665" i="10"/>
  <c r="N664" i="10"/>
  <c r="N663" i="10"/>
  <c r="N662" i="10"/>
  <c r="N661" i="10"/>
  <c r="N660" i="10"/>
  <c r="N659" i="10"/>
  <c r="N658" i="10"/>
  <c r="N657" i="10"/>
  <c r="N656" i="10"/>
  <c r="N655" i="10"/>
  <c r="N654" i="10"/>
  <c r="N653" i="10"/>
  <c r="N652" i="10"/>
  <c r="N651" i="10"/>
  <c r="N650" i="10"/>
  <c r="N649" i="10"/>
  <c r="N648" i="10"/>
  <c r="N647" i="10"/>
  <c r="N646" i="10"/>
  <c r="N645" i="10"/>
  <c r="N644" i="10"/>
  <c r="N643" i="10"/>
  <c r="N642" i="10"/>
  <c r="N641" i="10"/>
  <c r="N640" i="10"/>
  <c r="N639" i="10"/>
  <c r="N638" i="10"/>
  <c r="N637" i="10"/>
  <c r="N636" i="10"/>
  <c r="N635" i="10"/>
  <c r="N634" i="10"/>
  <c r="N633" i="10"/>
  <c r="N632" i="10"/>
  <c r="N631" i="10"/>
  <c r="N630" i="10"/>
  <c r="N629" i="10"/>
  <c r="N628" i="10"/>
  <c r="N627" i="10"/>
  <c r="N626" i="10"/>
  <c r="N625" i="10"/>
  <c r="N624" i="10"/>
  <c r="N623" i="10"/>
  <c r="N622" i="10"/>
  <c r="N621" i="10"/>
  <c r="N620" i="10"/>
  <c r="N619" i="10"/>
  <c r="N618" i="10"/>
  <c r="N617" i="10"/>
  <c r="N616" i="10"/>
  <c r="N615" i="10"/>
  <c r="N614" i="10"/>
  <c r="N613" i="10"/>
  <c r="N612" i="10"/>
  <c r="N611" i="10"/>
  <c r="N610" i="10"/>
  <c r="N609" i="10"/>
  <c r="N608" i="10"/>
  <c r="N607" i="10"/>
  <c r="N606" i="10"/>
  <c r="N605" i="10"/>
  <c r="N604" i="10"/>
  <c r="N603" i="10"/>
  <c r="N602" i="10"/>
  <c r="N601" i="10"/>
  <c r="N600" i="10"/>
  <c r="N599" i="10"/>
  <c r="N598" i="10"/>
  <c r="N597" i="10"/>
  <c r="N596" i="10"/>
  <c r="N595" i="10"/>
  <c r="N594" i="10"/>
  <c r="N593" i="10"/>
  <c r="N592" i="10"/>
  <c r="N591" i="10"/>
  <c r="N590" i="10"/>
  <c r="N589" i="10"/>
  <c r="N588" i="10"/>
  <c r="N587" i="10"/>
  <c r="N586" i="10"/>
  <c r="N585" i="10"/>
  <c r="N584" i="10"/>
  <c r="N583" i="10"/>
  <c r="N582" i="10"/>
  <c r="N581" i="10"/>
  <c r="N580" i="10"/>
  <c r="N579" i="10"/>
  <c r="N578" i="10"/>
  <c r="N577" i="10"/>
  <c r="N576" i="10"/>
  <c r="N575" i="10"/>
  <c r="N574" i="10"/>
  <c r="N573" i="10"/>
  <c r="N572" i="10"/>
  <c r="N571" i="10"/>
  <c r="N570" i="10"/>
  <c r="N569" i="10"/>
  <c r="N568" i="10"/>
  <c r="N567" i="10"/>
  <c r="N566" i="10"/>
  <c r="N565" i="10"/>
  <c r="N564" i="10"/>
  <c r="N563" i="10"/>
  <c r="N562" i="10"/>
  <c r="N561" i="10"/>
  <c r="N560" i="10"/>
  <c r="N559" i="10"/>
  <c r="N558" i="10"/>
  <c r="N557" i="10"/>
  <c r="N556" i="10"/>
  <c r="N555" i="10"/>
  <c r="N554" i="10"/>
  <c r="N553" i="10"/>
  <c r="N552" i="10"/>
  <c r="N551" i="10"/>
  <c r="N550" i="10"/>
  <c r="N549" i="10"/>
  <c r="N548" i="10"/>
  <c r="N547" i="10"/>
  <c r="N546" i="10"/>
  <c r="N545" i="10"/>
  <c r="N544" i="10"/>
  <c r="N543" i="10"/>
  <c r="N542" i="10"/>
  <c r="N541" i="10"/>
  <c r="N540" i="10"/>
  <c r="N539" i="10"/>
  <c r="N538" i="10"/>
  <c r="N537" i="10"/>
  <c r="N536" i="10"/>
  <c r="N535" i="10"/>
  <c r="N534" i="10"/>
  <c r="N533" i="10"/>
  <c r="N532" i="10"/>
  <c r="N531" i="10"/>
  <c r="N530" i="10"/>
  <c r="N529" i="10"/>
  <c r="N528" i="10"/>
  <c r="N527" i="10"/>
  <c r="N526" i="10"/>
  <c r="N525" i="10"/>
  <c r="N524" i="10"/>
  <c r="N523" i="10"/>
  <c r="N522" i="10"/>
  <c r="N521" i="10"/>
  <c r="N520" i="10"/>
  <c r="N519" i="10"/>
  <c r="N518" i="10"/>
  <c r="N517" i="10"/>
  <c r="N516" i="10"/>
  <c r="N515" i="10"/>
  <c r="N514" i="10"/>
  <c r="N513" i="10"/>
  <c r="N512" i="10"/>
  <c r="N511" i="10"/>
  <c r="N510" i="10"/>
  <c r="N509" i="10"/>
  <c r="N508" i="10"/>
  <c r="N507" i="10"/>
  <c r="N506" i="10"/>
  <c r="N505" i="10"/>
  <c r="N504" i="10"/>
  <c r="N503" i="10"/>
  <c r="N502" i="10"/>
  <c r="N501" i="10"/>
  <c r="N500" i="10"/>
  <c r="N499" i="10"/>
  <c r="N498" i="10"/>
  <c r="N497" i="10"/>
  <c r="N496" i="10"/>
  <c r="N495" i="10"/>
  <c r="N494" i="10"/>
  <c r="N493" i="10"/>
  <c r="N492" i="10"/>
  <c r="N491" i="10"/>
  <c r="N490" i="10"/>
  <c r="N489" i="10"/>
  <c r="N488" i="10"/>
  <c r="N487" i="10"/>
  <c r="N486" i="10"/>
  <c r="N485" i="10"/>
  <c r="N484" i="10"/>
  <c r="N483" i="10"/>
  <c r="N482" i="10"/>
  <c r="N481" i="10"/>
  <c r="N480" i="10"/>
  <c r="N479" i="10"/>
  <c r="N478" i="10"/>
  <c r="N477" i="10"/>
  <c r="N476" i="10"/>
  <c r="N475" i="10"/>
  <c r="N474" i="10"/>
  <c r="N473" i="10"/>
  <c r="N472" i="10"/>
  <c r="N471" i="10"/>
  <c r="N470" i="10"/>
  <c r="N469" i="10"/>
  <c r="N468" i="10"/>
  <c r="N467" i="10"/>
  <c r="N466" i="10"/>
  <c r="N465" i="10"/>
  <c r="N464" i="10"/>
  <c r="N463" i="10"/>
  <c r="N462" i="10"/>
  <c r="N461" i="10"/>
  <c r="N460" i="10"/>
  <c r="N459" i="10"/>
  <c r="N458" i="10"/>
  <c r="N457" i="10"/>
  <c r="N456" i="10"/>
  <c r="N455" i="10"/>
  <c r="N454" i="10"/>
  <c r="N453" i="10"/>
  <c r="N452" i="10"/>
  <c r="N451" i="10"/>
  <c r="N450" i="10"/>
  <c r="N449" i="10"/>
  <c r="N448" i="10"/>
  <c r="N447" i="10"/>
  <c r="N446" i="10"/>
  <c r="N445" i="10"/>
  <c r="N444" i="10"/>
  <c r="N443" i="10"/>
  <c r="N442" i="10"/>
  <c r="N441" i="10"/>
  <c r="N440" i="10"/>
  <c r="N439" i="10"/>
  <c r="N438" i="10"/>
  <c r="N437" i="10"/>
  <c r="N436" i="10"/>
  <c r="N435" i="10"/>
  <c r="N434" i="10"/>
  <c r="N433" i="10"/>
  <c r="N432" i="10"/>
  <c r="N431" i="10"/>
  <c r="N430" i="10"/>
  <c r="N429" i="10"/>
  <c r="N428" i="10"/>
  <c r="N427" i="10"/>
  <c r="N426" i="10"/>
  <c r="N425" i="10"/>
  <c r="N424" i="10"/>
  <c r="N423" i="10"/>
  <c r="N422" i="10"/>
  <c r="N421" i="10"/>
  <c r="N420" i="10"/>
  <c r="N419" i="10"/>
  <c r="N418" i="10"/>
  <c r="N417" i="10"/>
  <c r="N416" i="10"/>
  <c r="N415" i="10"/>
  <c r="N414" i="10"/>
  <c r="N413" i="10"/>
  <c r="N412" i="10"/>
  <c r="N411" i="10"/>
  <c r="N410" i="10"/>
  <c r="N409" i="10"/>
  <c r="N408" i="10"/>
  <c r="N407" i="10"/>
  <c r="N406" i="10"/>
  <c r="N405" i="10"/>
  <c r="N404" i="10"/>
  <c r="N403" i="10"/>
  <c r="N402" i="10"/>
  <c r="N401" i="10"/>
  <c r="N400" i="10"/>
  <c r="N399" i="10"/>
  <c r="N398" i="10"/>
  <c r="N397" i="10"/>
  <c r="N396" i="10"/>
  <c r="N395" i="10"/>
  <c r="N394" i="10"/>
  <c r="N393" i="10"/>
  <c r="N392" i="10"/>
  <c r="N391" i="10"/>
  <c r="N390" i="10"/>
  <c r="N389" i="10"/>
  <c r="N388" i="10"/>
  <c r="N387" i="10"/>
  <c r="N386" i="10"/>
  <c r="N385" i="10"/>
  <c r="N384" i="10"/>
  <c r="N383" i="10"/>
  <c r="N382" i="10"/>
  <c r="N381" i="10"/>
  <c r="N380" i="10"/>
  <c r="N379" i="10"/>
  <c r="N378" i="10"/>
  <c r="N377" i="10"/>
  <c r="N376" i="10"/>
  <c r="N375" i="10"/>
  <c r="N374" i="10"/>
  <c r="N373" i="10"/>
  <c r="N372" i="10"/>
  <c r="N371" i="10"/>
  <c r="N370" i="10"/>
  <c r="N369" i="10"/>
  <c r="N368" i="10"/>
  <c r="N367" i="10"/>
  <c r="N366" i="10"/>
  <c r="N365" i="10"/>
  <c r="N364" i="10"/>
  <c r="N363" i="10"/>
  <c r="N362" i="10"/>
  <c r="N361" i="10"/>
  <c r="N360" i="10"/>
  <c r="N359" i="10"/>
  <c r="N358" i="10"/>
  <c r="N357" i="10"/>
  <c r="N356" i="10"/>
  <c r="N355" i="10"/>
  <c r="N354" i="10"/>
  <c r="N353" i="10"/>
  <c r="N352" i="10"/>
  <c r="N351" i="10"/>
  <c r="N350" i="10"/>
  <c r="N349" i="10"/>
  <c r="N348" i="10"/>
  <c r="N347" i="10"/>
  <c r="N346" i="10"/>
  <c r="N345" i="10"/>
  <c r="N344" i="10"/>
  <c r="N343" i="10"/>
  <c r="N342" i="10"/>
  <c r="N341" i="10"/>
  <c r="N340" i="10"/>
  <c r="N339" i="10"/>
  <c r="N338" i="10"/>
  <c r="N337" i="10"/>
  <c r="N336" i="10"/>
  <c r="N335" i="10"/>
  <c r="N334" i="10"/>
  <c r="N333" i="10"/>
  <c r="N332" i="10"/>
  <c r="N331" i="10"/>
  <c r="N330" i="10"/>
  <c r="N329" i="10"/>
  <c r="N328" i="10"/>
  <c r="N327" i="10"/>
  <c r="N326" i="10"/>
  <c r="N325" i="10"/>
  <c r="N324" i="10"/>
  <c r="N323" i="10"/>
  <c r="N322" i="10"/>
  <c r="N321" i="10"/>
  <c r="N320" i="10"/>
  <c r="N319" i="10"/>
  <c r="N318" i="10"/>
  <c r="N317" i="10"/>
  <c r="N316" i="10"/>
  <c r="N315" i="10"/>
  <c r="N314" i="10"/>
  <c r="N313" i="10"/>
  <c r="N312" i="10"/>
  <c r="N311" i="10"/>
  <c r="N310" i="10"/>
  <c r="N309" i="10"/>
  <c r="N308" i="10"/>
  <c r="N307" i="10"/>
  <c r="N306" i="10"/>
  <c r="N305" i="10"/>
  <c r="N304" i="10"/>
  <c r="N303" i="10"/>
  <c r="N302" i="10"/>
  <c r="N301" i="10"/>
  <c r="N300" i="10"/>
  <c r="N299" i="10"/>
  <c r="N298" i="10"/>
  <c r="N297" i="10"/>
  <c r="N296" i="10"/>
  <c r="N295" i="10"/>
  <c r="N294" i="10"/>
  <c r="N293" i="10"/>
  <c r="N292" i="10"/>
  <c r="N291" i="10"/>
  <c r="N290" i="10"/>
  <c r="N289" i="10"/>
  <c r="N288" i="10"/>
  <c r="N287" i="10"/>
  <c r="N286" i="10"/>
  <c r="N285" i="10"/>
  <c r="N284" i="10"/>
  <c r="N283" i="10"/>
  <c r="N282" i="10"/>
  <c r="N281" i="10"/>
  <c r="N280" i="10"/>
  <c r="N279" i="10"/>
  <c r="N278" i="10"/>
  <c r="N277" i="10"/>
  <c r="N276" i="10"/>
  <c r="N275" i="10"/>
  <c r="N274" i="10"/>
  <c r="N273" i="10"/>
  <c r="N272" i="10"/>
  <c r="N271" i="10"/>
  <c r="N270" i="10"/>
  <c r="N269" i="10"/>
  <c r="N268" i="10"/>
  <c r="N267" i="10"/>
  <c r="N266" i="10"/>
  <c r="N265" i="10"/>
  <c r="N264" i="10"/>
  <c r="N263" i="10"/>
  <c r="N262" i="10"/>
  <c r="N261" i="10"/>
  <c r="N260" i="10"/>
  <c r="N259" i="10"/>
  <c r="N258" i="10"/>
  <c r="N257" i="10"/>
  <c r="N256" i="10"/>
  <c r="N255" i="10"/>
  <c r="N254" i="10"/>
  <c r="N253" i="10"/>
  <c r="N252" i="10"/>
  <c r="N251" i="10"/>
  <c r="N250" i="10"/>
  <c r="N249" i="10"/>
  <c r="N248" i="10"/>
  <c r="N247" i="10"/>
  <c r="N246" i="10"/>
  <c r="N245" i="10"/>
  <c r="N244" i="10"/>
  <c r="N243" i="10"/>
  <c r="N242" i="10"/>
  <c r="N241" i="10"/>
  <c r="N240" i="10"/>
  <c r="N239" i="10"/>
  <c r="N238" i="10"/>
  <c r="N237" i="10"/>
  <c r="N236" i="10"/>
  <c r="N235" i="10"/>
  <c r="N234" i="10"/>
  <c r="N233" i="10"/>
  <c r="N232" i="10"/>
  <c r="N231" i="10"/>
  <c r="N230" i="10"/>
  <c r="N229" i="10"/>
  <c r="N228" i="10"/>
  <c r="N227" i="10"/>
  <c r="N226" i="10"/>
  <c r="N225" i="10"/>
  <c r="N224" i="10"/>
  <c r="N223" i="10"/>
  <c r="N222" i="10"/>
  <c r="N221" i="10"/>
  <c r="N220" i="10"/>
  <c r="N219" i="10"/>
  <c r="N218" i="10"/>
  <c r="N217" i="10"/>
  <c r="N216" i="10"/>
  <c r="N215" i="10"/>
  <c r="N214" i="10"/>
  <c r="N213" i="10"/>
  <c r="N212" i="10"/>
  <c r="N211" i="10"/>
  <c r="N210" i="10"/>
  <c r="N209" i="10"/>
  <c r="N208" i="10"/>
  <c r="N207" i="10"/>
  <c r="N206" i="10"/>
  <c r="N205" i="10"/>
  <c r="N204" i="10"/>
  <c r="N203" i="10"/>
  <c r="N202" i="10"/>
  <c r="N201" i="10"/>
  <c r="N200" i="10"/>
  <c r="N199" i="10"/>
  <c r="N198" i="10"/>
  <c r="N197" i="10"/>
  <c r="N196" i="10"/>
  <c r="N195" i="10"/>
  <c r="N194" i="10"/>
  <c r="N193" i="10"/>
  <c r="N192" i="10"/>
  <c r="N191" i="10"/>
  <c r="N190" i="10"/>
  <c r="N189" i="10"/>
  <c r="N188" i="10"/>
  <c r="N187" i="10"/>
  <c r="N186" i="10"/>
  <c r="N185" i="10"/>
  <c r="N184" i="10"/>
  <c r="N183" i="10"/>
  <c r="N182" i="10"/>
  <c r="N181" i="10"/>
  <c r="N180" i="10"/>
  <c r="N179" i="10"/>
  <c r="N178" i="10"/>
  <c r="N177" i="10"/>
  <c r="N176" i="10"/>
  <c r="N175" i="10"/>
  <c r="N174" i="10"/>
  <c r="N173" i="10"/>
  <c r="N172" i="10"/>
  <c r="N171" i="10"/>
  <c r="N170" i="10"/>
  <c r="N169" i="10"/>
  <c r="N168" i="10"/>
  <c r="N167" i="10"/>
  <c r="N166" i="10"/>
  <c r="N165" i="10"/>
  <c r="N164" i="10"/>
  <c r="N163" i="10"/>
  <c r="N162" i="10"/>
  <c r="N161" i="10"/>
  <c r="N160" i="10"/>
  <c r="N159" i="10"/>
  <c r="N158" i="10"/>
  <c r="N157" i="10"/>
  <c r="N156" i="10"/>
  <c r="N155" i="10"/>
  <c r="N154" i="10"/>
  <c r="N153" i="10"/>
  <c r="N152" i="10"/>
  <c r="N151" i="10"/>
  <c r="N150" i="10"/>
  <c r="N149" i="10"/>
  <c r="N148" i="10"/>
  <c r="N147" i="10"/>
  <c r="N146" i="10"/>
  <c r="N145" i="10"/>
  <c r="N144" i="10"/>
  <c r="N143" i="10"/>
  <c r="N142" i="10"/>
  <c r="N141" i="10"/>
  <c r="N140" i="10"/>
  <c r="N139" i="10"/>
  <c r="N138" i="10"/>
  <c r="N137" i="10"/>
  <c r="N136" i="10"/>
  <c r="N135" i="10"/>
  <c r="N134" i="10"/>
  <c r="N133" i="10"/>
  <c r="N132" i="10"/>
  <c r="N131" i="10"/>
  <c r="N130" i="10"/>
  <c r="N129" i="10"/>
  <c r="N128" i="10"/>
  <c r="N127" i="10"/>
  <c r="N126" i="10"/>
  <c r="N125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N109" i="10"/>
  <c r="N108" i="10"/>
  <c r="N107" i="10"/>
  <c r="N106" i="10"/>
  <c r="N105" i="10"/>
  <c r="N104" i="10"/>
  <c r="N103" i="10"/>
  <c r="N102" i="10"/>
  <c r="N101" i="10"/>
  <c r="N100" i="10"/>
  <c r="N99" i="10"/>
  <c r="N98" i="10"/>
  <c r="N97" i="10"/>
  <c r="N96" i="10"/>
  <c r="N95" i="10"/>
  <c r="N94" i="10"/>
  <c r="N93" i="10"/>
  <c r="N92" i="10"/>
  <c r="N91" i="10"/>
  <c r="N90" i="10"/>
  <c r="N89" i="10"/>
  <c r="N88" i="10"/>
  <c r="N87" i="10"/>
  <c r="N86" i="10"/>
  <c r="N85" i="10"/>
  <c r="N84" i="10"/>
  <c r="N83" i="10"/>
  <c r="N82" i="10"/>
  <c r="N81" i="10"/>
  <c r="N80" i="10"/>
  <c r="N79" i="10"/>
  <c r="N78" i="10"/>
  <c r="N77" i="10"/>
  <c r="N76" i="10"/>
  <c r="N75" i="10"/>
  <c r="N74" i="10"/>
  <c r="N73" i="10"/>
  <c r="N72" i="10"/>
  <c r="N71" i="10"/>
  <c r="N70" i="10"/>
  <c r="N69" i="10"/>
  <c r="N68" i="10"/>
  <c r="N67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52" i="10"/>
  <c r="N51" i="10"/>
  <c r="N50" i="10"/>
  <c r="N49" i="10"/>
  <c r="N48" i="10"/>
  <c r="N47" i="10"/>
  <c r="N46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7" i="10"/>
  <c r="N6" i="10"/>
  <c r="M2855" i="10"/>
  <c r="M2854" i="10"/>
  <c r="M2853" i="10"/>
  <c r="M2852" i="10"/>
  <c r="M2851" i="10"/>
  <c r="M2850" i="10"/>
  <c r="M2849" i="10"/>
  <c r="M2848" i="10"/>
  <c r="M2847" i="10"/>
  <c r="M2846" i="10"/>
  <c r="M2845" i="10"/>
  <c r="M2844" i="10"/>
  <c r="M2843" i="10"/>
  <c r="M2842" i="10"/>
  <c r="M2841" i="10"/>
  <c r="M2840" i="10"/>
  <c r="M2839" i="10"/>
  <c r="M2838" i="10"/>
  <c r="M2837" i="10"/>
  <c r="M2836" i="10"/>
  <c r="M2835" i="10"/>
  <c r="M2834" i="10"/>
  <c r="M2833" i="10"/>
  <c r="M2832" i="10"/>
  <c r="M2831" i="10"/>
  <c r="M2830" i="10"/>
  <c r="M2829" i="10"/>
  <c r="M2828" i="10"/>
  <c r="M2827" i="10"/>
  <c r="M2826" i="10"/>
  <c r="M2825" i="10"/>
  <c r="M2824" i="10"/>
  <c r="M2823" i="10"/>
  <c r="M2822" i="10"/>
  <c r="M2821" i="10"/>
  <c r="M2820" i="10"/>
  <c r="M2819" i="10"/>
  <c r="M2818" i="10"/>
  <c r="M2817" i="10"/>
  <c r="M2816" i="10"/>
  <c r="M2815" i="10"/>
  <c r="M2814" i="10"/>
  <c r="M2813" i="10"/>
  <c r="M2812" i="10"/>
  <c r="M2811" i="10"/>
  <c r="M2810" i="10"/>
  <c r="M2809" i="10"/>
  <c r="M2808" i="10"/>
  <c r="M2807" i="10"/>
  <c r="M2806" i="10"/>
  <c r="M2805" i="10"/>
  <c r="M2804" i="10"/>
  <c r="M2803" i="10"/>
  <c r="M2802" i="10"/>
  <c r="M2801" i="10"/>
  <c r="M2800" i="10"/>
  <c r="M2799" i="10"/>
  <c r="M2798" i="10"/>
  <c r="M2797" i="10"/>
  <c r="M2796" i="10"/>
  <c r="M2795" i="10"/>
  <c r="M2794" i="10"/>
  <c r="M2793" i="10"/>
  <c r="M2792" i="10"/>
  <c r="M2791" i="10"/>
  <c r="M2790" i="10"/>
  <c r="M2789" i="10"/>
  <c r="M2788" i="10"/>
  <c r="M2787" i="10"/>
  <c r="M2786" i="10"/>
  <c r="M2785" i="10"/>
  <c r="M2784" i="10"/>
  <c r="M2783" i="10"/>
  <c r="M2782" i="10"/>
  <c r="M2781" i="10"/>
  <c r="M2780" i="10"/>
  <c r="M2779" i="10"/>
  <c r="M2778" i="10"/>
  <c r="M2777" i="10"/>
  <c r="M2776" i="10"/>
  <c r="M2775" i="10"/>
  <c r="M2774" i="10"/>
  <c r="M2773" i="10"/>
  <c r="M2772" i="10"/>
  <c r="M2771" i="10"/>
  <c r="M2770" i="10"/>
  <c r="M2769" i="10"/>
  <c r="M2768" i="10"/>
  <c r="M2767" i="10"/>
  <c r="M2766" i="10"/>
  <c r="M2765" i="10"/>
  <c r="M2764" i="10"/>
  <c r="M2763" i="10"/>
  <c r="M2762" i="10"/>
  <c r="M2761" i="10"/>
  <c r="M2760" i="10"/>
  <c r="M2759" i="10"/>
  <c r="M2758" i="10"/>
  <c r="M2757" i="10"/>
  <c r="M2756" i="10"/>
  <c r="M2755" i="10"/>
  <c r="M2754" i="10"/>
  <c r="M2753" i="10"/>
  <c r="M2752" i="10"/>
  <c r="M2751" i="10"/>
  <c r="M2750" i="10"/>
  <c r="M2749" i="10"/>
  <c r="M2748" i="10"/>
  <c r="M2747" i="10"/>
  <c r="M2746" i="10"/>
  <c r="M2745" i="10"/>
  <c r="M2744" i="10"/>
  <c r="M2743" i="10"/>
  <c r="M2742" i="10"/>
  <c r="M2741" i="10"/>
  <c r="M2740" i="10"/>
  <c r="M2739" i="10"/>
  <c r="M2738" i="10"/>
  <c r="M2737" i="10"/>
  <c r="M2736" i="10"/>
  <c r="M2735" i="10"/>
  <c r="M2734" i="10"/>
  <c r="M2733" i="10"/>
  <c r="M2732" i="10"/>
  <c r="M2731" i="10"/>
  <c r="M2730" i="10"/>
  <c r="M2729" i="10"/>
  <c r="M2728" i="10"/>
  <c r="M2727" i="10"/>
  <c r="M2726" i="10"/>
  <c r="M2725" i="10"/>
  <c r="M2724" i="10"/>
  <c r="M2723" i="10"/>
  <c r="M2722" i="10"/>
  <c r="M2721" i="10"/>
  <c r="M2720" i="10"/>
  <c r="M2719" i="10"/>
  <c r="M2718" i="10"/>
  <c r="M2717" i="10"/>
  <c r="M2716" i="10"/>
  <c r="M2715" i="10"/>
  <c r="M2714" i="10"/>
  <c r="M2713" i="10"/>
  <c r="M2712" i="10"/>
  <c r="M2711" i="10"/>
  <c r="M2710" i="10"/>
  <c r="M2709" i="10"/>
  <c r="M2708" i="10"/>
  <c r="M2707" i="10"/>
  <c r="M2706" i="10"/>
  <c r="M2705" i="10"/>
  <c r="M2704" i="10"/>
  <c r="M2703" i="10"/>
  <c r="M2702" i="10"/>
  <c r="M2701" i="10"/>
  <c r="M2700" i="10"/>
  <c r="M2699" i="10"/>
  <c r="M2698" i="10"/>
  <c r="M2697" i="10"/>
  <c r="M2696" i="10"/>
  <c r="M2695" i="10"/>
  <c r="M2694" i="10"/>
  <c r="M2693" i="10"/>
  <c r="M2692" i="10"/>
  <c r="M2691" i="10"/>
  <c r="M2690" i="10"/>
  <c r="M2689" i="10"/>
  <c r="M2688" i="10"/>
  <c r="M2687" i="10"/>
  <c r="M2686" i="10"/>
  <c r="M2685" i="10"/>
  <c r="M2684" i="10"/>
  <c r="M2683" i="10"/>
  <c r="M2682" i="10"/>
  <c r="M2681" i="10"/>
  <c r="M2680" i="10"/>
  <c r="M2679" i="10"/>
  <c r="M2678" i="10"/>
  <c r="M2677" i="10"/>
  <c r="M2676" i="10"/>
  <c r="M2675" i="10"/>
  <c r="M2674" i="10"/>
  <c r="M2673" i="10"/>
  <c r="M2672" i="10"/>
  <c r="M2671" i="10"/>
  <c r="M2670" i="10"/>
  <c r="M2669" i="10"/>
  <c r="M2668" i="10"/>
  <c r="M2667" i="10"/>
  <c r="M2666" i="10"/>
  <c r="M2665" i="10"/>
  <c r="M2664" i="10"/>
  <c r="M2663" i="10"/>
  <c r="M2662" i="10"/>
  <c r="M2661" i="10"/>
  <c r="M2660" i="10"/>
  <c r="M2659" i="10"/>
  <c r="M2658" i="10"/>
  <c r="M2657" i="10"/>
  <c r="M2656" i="10"/>
  <c r="M2655" i="10"/>
  <c r="M2654" i="10"/>
  <c r="M2653" i="10"/>
  <c r="M2652" i="10"/>
  <c r="M2651" i="10"/>
  <c r="M2650" i="10"/>
  <c r="M2649" i="10"/>
  <c r="M2648" i="10"/>
  <c r="M2647" i="10"/>
  <c r="M2646" i="10"/>
  <c r="M2645" i="10"/>
  <c r="M2644" i="10"/>
  <c r="M2643" i="10"/>
  <c r="M2642" i="10"/>
  <c r="M2641" i="10"/>
  <c r="M2640" i="10"/>
  <c r="M2639" i="10"/>
  <c r="M2638" i="10"/>
  <c r="M2637" i="10"/>
  <c r="M2636" i="10"/>
  <c r="M2635" i="10"/>
  <c r="M2634" i="10"/>
  <c r="M2633" i="10"/>
  <c r="M2632" i="10"/>
  <c r="M2631" i="10"/>
  <c r="M2630" i="10"/>
  <c r="M2629" i="10"/>
  <c r="M2628" i="10"/>
  <c r="M2627" i="10"/>
  <c r="M2626" i="10"/>
  <c r="M2625" i="10"/>
  <c r="M2624" i="10"/>
  <c r="M2623" i="10"/>
  <c r="M2622" i="10"/>
  <c r="M2621" i="10"/>
  <c r="M2620" i="10"/>
  <c r="M2619" i="10"/>
  <c r="M2618" i="10"/>
  <c r="M2617" i="10"/>
  <c r="M2616" i="10"/>
  <c r="M2615" i="10"/>
  <c r="M2614" i="10"/>
  <c r="M2613" i="10"/>
  <c r="M2612" i="10"/>
  <c r="M2611" i="10"/>
  <c r="M2610" i="10"/>
  <c r="M2609" i="10"/>
  <c r="M2608" i="10"/>
  <c r="M2607" i="10"/>
  <c r="M2606" i="10"/>
  <c r="M2605" i="10"/>
  <c r="M2604" i="10"/>
  <c r="M2603" i="10"/>
  <c r="M2602" i="10"/>
  <c r="M2601" i="10"/>
  <c r="M2600" i="10"/>
  <c r="M2599" i="10"/>
  <c r="M2598" i="10"/>
  <c r="M2597" i="10"/>
  <c r="M2596" i="10"/>
  <c r="M2595" i="10"/>
  <c r="M2594" i="10"/>
  <c r="M2593" i="10"/>
  <c r="M2592" i="10"/>
  <c r="M2591" i="10"/>
  <c r="M2590" i="10"/>
  <c r="M2589" i="10"/>
  <c r="M2588" i="10"/>
  <c r="M2587" i="10"/>
  <c r="M2586" i="10"/>
  <c r="M2585" i="10"/>
  <c r="M2584" i="10"/>
  <c r="M2583" i="10"/>
  <c r="M2582" i="10"/>
  <c r="M2581" i="10"/>
  <c r="M2580" i="10"/>
  <c r="M2579" i="10"/>
  <c r="M2578" i="10"/>
  <c r="M2577" i="10"/>
  <c r="M2576" i="10"/>
  <c r="M2575" i="10"/>
  <c r="M2574" i="10"/>
  <c r="M2573" i="10"/>
  <c r="M2572" i="10"/>
  <c r="M2571" i="10"/>
  <c r="M2570" i="10"/>
  <c r="M2569" i="10"/>
  <c r="M2568" i="10"/>
  <c r="M2567" i="10"/>
  <c r="M2566" i="10"/>
  <c r="M2565" i="10"/>
  <c r="M2564" i="10"/>
  <c r="M2563" i="10"/>
  <c r="M2562" i="10"/>
  <c r="M2561" i="10"/>
  <c r="M2560" i="10"/>
  <c r="M2559" i="10"/>
  <c r="M2558" i="10"/>
  <c r="M2557" i="10"/>
  <c r="M2556" i="10"/>
  <c r="M2555" i="10"/>
  <c r="M2554" i="10"/>
  <c r="M2553" i="10"/>
  <c r="M2552" i="10"/>
  <c r="M2551" i="10"/>
  <c r="M2550" i="10"/>
  <c r="M2549" i="10"/>
  <c r="M2548" i="10"/>
  <c r="M2547" i="10"/>
  <c r="M2546" i="10"/>
  <c r="M2545" i="10"/>
  <c r="M2544" i="10"/>
  <c r="M2543" i="10"/>
  <c r="M2542" i="10"/>
  <c r="M2541" i="10"/>
  <c r="M2540" i="10"/>
  <c r="M2539" i="10"/>
  <c r="M2538" i="10"/>
  <c r="M2537" i="10"/>
  <c r="M2536" i="10"/>
  <c r="M2535" i="10"/>
  <c r="M2534" i="10"/>
  <c r="M2533" i="10"/>
  <c r="M2532" i="10"/>
  <c r="M2531" i="10"/>
  <c r="M2530" i="10"/>
  <c r="M2529" i="10"/>
  <c r="M2528" i="10"/>
  <c r="M2527" i="10"/>
  <c r="M2526" i="10"/>
  <c r="M2525" i="10"/>
  <c r="M2524" i="10"/>
  <c r="M2523" i="10"/>
  <c r="M2522" i="10"/>
  <c r="M2521" i="10"/>
  <c r="M2520" i="10"/>
  <c r="M2519" i="10"/>
  <c r="M2518" i="10"/>
  <c r="M2517" i="10"/>
  <c r="M2516" i="10"/>
  <c r="M2515" i="10"/>
  <c r="M2514" i="10"/>
  <c r="M2513" i="10"/>
  <c r="M2512" i="10"/>
  <c r="M2511" i="10"/>
  <c r="M2510" i="10"/>
  <c r="M2509" i="10"/>
  <c r="M2508" i="10"/>
  <c r="M2507" i="10"/>
  <c r="M2506" i="10"/>
  <c r="M2505" i="10"/>
  <c r="M2504" i="10"/>
  <c r="M2503" i="10"/>
  <c r="M2502" i="10"/>
  <c r="M2501" i="10"/>
  <c r="M2500" i="10"/>
  <c r="M2499" i="10"/>
  <c r="M2498" i="10"/>
  <c r="M2497" i="10"/>
  <c r="M2496" i="10"/>
  <c r="M2495" i="10"/>
  <c r="M2494" i="10"/>
  <c r="M2493" i="10"/>
  <c r="M2492" i="10"/>
  <c r="M2491" i="10"/>
  <c r="M2490" i="10"/>
  <c r="M2489" i="10"/>
  <c r="M2488" i="10"/>
  <c r="M2487" i="10"/>
  <c r="M2486" i="10"/>
  <c r="M2485" i="10"/>
  <c r="M2484" i="10"/>
  <c r="M2483" i="10"/>
  <c r="M2482" i="10"/>
  <c r="M2481" i="10"/>
  <c r="M2480" i="10"/>
  <c r="M2479" i="10"/>
  <c r="M2478" i="10"/>
  <c r="M2477" i="10"/>
  <c r="M2476" i="10"/>
  <c r="M2475" i="10"/>
  <c r="M2474" i="10"/>
  <c r="M2473" i="10"/>
  <c r="M2472" i="10"/>
  <c r="M2471" i="10"/>
  <c r="M2470" i="10"/>
  <c r="M2469" i="10"/>
  <c r="M2468" i="10"/>
  <c r="M2467" i="10"/>
  <c r="M2466" i="10"/>
  <c r="M2465" i="10"/>
  <c r="M2464" i="10"/>
  <c r="M2463" i="10"/>
  <c r="M2462" i="10"/>
  <c r="M2461" i="10"/>
  <c r="M2460" i="10"/>
  <c r="M2459" i="10"/>
  <c r="M2458" i="10"/>
  <c r="M2457" i="10"/>
  <c r="M2456" i="10"/>
  <c r="M2455" i="10"/>
  <c r="M2454" i="10"/>
  <c r="M2453" i="10"/>
  <c r="M2452" i="10"/>
  <c r="M2451" i="10"/>
  <c r="M2450" i="10"/>
  <c r="M2449" i="10"/>
  <c r="M2448" i="10"/>
  <c r="M2447" i="10"/>
  <c r="M2446" i="10"/>
  <c r="M2445" i="10"/>
  <c r="M2444" i="10"/>
  <c r="M2443" i="10"/>
  <c r="M2442" i="10"/>
  <c r="M2441" i="10"/>
  <c r="M2440" i="10"/>
  <c r="M2439" i="10"/>
  <c r="M2438" i="10"/>
  <c r="M2437" i="10"/>
  <c r="M2436" i="10"/>
  <c r="M2435" i="10"/>
  <c r="M2434" i="10"/>
  <c r="M2433" i="10"/>
  <c r="M2432" i="10"/>
  <c r="M2431" i="10"/>
  <c r="M2430" i="10"/>
  <c r="M2429" i="10"/>
  <c r="M2428" i="10"/>
  <c r="M2427" i="10"/>
  <c r="M2426" i="10"/>
  <c r="M2425" i="10"/>
  <c r="M2424" i="10"/>
  <c r="M2423" i="10"/>
  <c r="M2422" i="10"/>
  <c r="M2421" i="10"/>
  <c r="M2420" i="10"/>
  <c r="M2419" i="10"/>
  <c r="M2418" i="10"/>
  <c r="M2417" i="10"/>
  <c r="M2416" i="10"/>
  <c r="M2415" i="10"/>
  <c r="M2414" i="10"/>
  <c r="M2413" i="10"/>
  <c r="M2412" i="10"/>
  <c r="M2411" i="10"/>
  <c r="M2410" i="10"/>
  <c r="M2409" i="10"/>
  <c r="M2408" i="10"/>
  <c r="M2407" i="10"/>
  <c r="M2406" i="10"/>
  <c r="M2405" i="10"/>
  <c r="M2404" i="10"/>
  <c r="M2403" i="10"/>
  <c r="M2402" i="10"/>
  <c r="M2401" i="10"/>
  <c r="M2400" i="10"/>
  <c r="M2399" i="10"/>
  <c r="M2398" i="10"/>
  <c r="M2397" i="10"/>
  <c r="M2396" i="10"/>
  <c r="M2395" i="10"/>
  <c r="M2394" i="10"/>
  <c r="M2393" i="10"/>
  <c r="M2392" i="10"/>
  <c r="M2391" i="10"/>
  <c r="M2390" i="10"/>
  <c r="M2389" i="10"/>
  <c r="M2388" i="10"/>
  <c r="M2387" i="10"/>
  <c r="M2386" i="10"/>
  <c r="M2385" i="10"/>
  <c r="M2384" i="10"/>
  <c r="M2383" i="10"/>
  <c r="M2382" i="10"/>
  <c r="M2381" i="10"/>
  <c r="M2380" i="10"/>
  <c r="M2379" i="10"/>
  <c r="M2378" i="10"/>
  <c r="M2377" i="10"/>
  <c r="M2376" i="10"/>
  <c r="M2375" i="10"/>
  <c r="M2374" i="10"/>
  <c r="M2373" i="10"/>
  <c r="M2372" i="10"/>
  <c r="M2371" i="10"/>
  <c r="M2370" i="10"/>
  <c r="M2369" i="10"/>
  <c r="M2368" i="10"/>
  <c r="M2367" i="10"/>
  <c r="M2366" i="10"/>
  <c r="M2365" i="10"/>
  <c r="M2364" i="10"/>
  <c r="M2363" i="10"/>
  <c r="M2362" i="10"/>
  <c r="M2361" i="10"/>
  <c r="M2360" i="10"/>
  <c r="M2359" i="10"/>
  <c r="M2358" i="10"/>
  <c r="M2357" i="10"/>
  <c r="M2356" i="10"/>
  <c r="M2355" i="10"/>
  <c r="M2354" i="10"/>
  <c r="M2353" i="10"/>
  <c r="M2352" i="10"/>
  <c r="M2351" i="10"/>
  <c r="M2350" i="10"/>
  <c r="M2349" i="10"/>
  <c r="M2348" i="10"/>
  <c r="M2347" i="10"/>
  <c r="M2346" i="10"/>
  <c r="M2345" i="10"/>
  <c r="M2344" i="10"/>
  <c r="M2343" i="10"/>
  <c r="M2342" i="10"/>
  <c r="M2341" i="10"/>
  <c r="M2340" i="10"/>
  <c r="M2339" i="10"/>
  <c r="M2338" i="10"/>
  <c r="M2337" i="10"/>
  <c r="M2336" i="10"/>
  <c r="M2335" i="10"/>
  <c r="M2334" i="10"/>
  <c r="M2333" i="10"/>
  <c r="M2332" i="10"/>
  <c r="M2331" i="10"/>
  <c r="M2330" i="10"/>
  <c r="M2329" i="10"/>
  <c r="M2328" i="10"/>
  <c r="M2327" i="10"/>
  <c r="M2326" i="10"/>
  <c r="M2325" i="10"/>
  <c r="M2324" i="10"/>
  <c r="M2323" i="10"/>
  <c r="M2322" i="10"/>
  <c r="M2321" i="10"/>
  <c r="M2320" i="10"/>
  <c r="M2319" i="10"/>
  <c r="M2318" i="10"/>
  <c r="M2317" i="10"/>
  <c r="M2316" i="10"/>
  <c r="M2315" i="10"/>
  <c r="M2314" i="10"/>
  <c r="M2313" i="10"/>
  <c r="M2312" i="10"/>
  <c r="M2311" i="10"/>
  <c r="M2310" i="10"/>
  <c r="M2309" i="10"/>
  <c r="M2308" i="10"/>
  <c r="M2307" i="10"/>
  <c r="M2306" i="10"/>
  <c r="M2305" i="10"/>
  <c r="M2304" i="10"/>
  <c r="M2303" i="10"/>
  <c r="M2302" i="10"/>
  <c r="M2301" i="10"/>
  <c r="M2300" i="10"/>
  <c r="M2299" i="10"/>
  <c r="M2298" i="10"/>
  <c r="M2297" i="10"/>
  <c r="M2296" i="10"/>
  <c r="M2295" i="10"/>
  <c r="M2294" i="10"/>
  <c r="M2293" i="10"/>
  <c r="M2292" i="10"/>
  <c r="M2291" i="10"/>
  <c r="M2290" i="10"/>
  <c r="M2289" i="10"/>
  <c r="M2288" i="10"/>
  <c r="M2287" i="10"/>
  <c r="M2286" i="10"/>
  <c r="M2285" i="10"/>
  <c r="M2284" i="10"/>
  <c r="M2283" i="10"/>
  <c r="M2282" i="10"/>
  <c r="M2281" i="10"/>
  <c r="M2280" i="10"/>
  <c r="M2279" i="10"/>
  <c r="M2278" i="10"/>
  <c r="M2277" i="10"/>
  <c r="M2276" i="10"/>
  <c r="M2275" i="10"/>
  <c r="M2274" i="10"/>
  <c r="M2273" i="10"/>
  <c r="M2272" i="10"/>
  <c r="M2271" i="10"/>
  <c r="M2270" i="10"/>
  <c r="M2269" i="10"/>
  <c r="M2268" i="10"/>
  <c r="M2267" i="10"/>
  <c r="M2266" i="10"/>
  <c r="M2265" i="10"/>
  <c r="M2264" i="10"/>
  <c r="M2263" i="10"/>
  <c r="M2262" i="10"/>
  <c r="M2261" i="10"/>
  <c r="M2260" i="10"/>
  <c r="M2259" i="10"/>
  <c r="M2258" i="10"/>
  <c r="M2257" i="10"/>
  <c r="M2256" i="10"/>
  <c r="M2255" i="10"/>
  <c r="M2254" i="10"/>
  <c r="M2253" i="10"/>
  <c r="M2252" i="10"/>
  <c r="M2251" i="10"/>
  <c r="M2250" i="10"/>
  <c r="M2249" i="10"/>
  <c r="M2248" i="10"/>
  <c r="M2247" i="10"/>
  <c r="M2246" i="10"/>
  <c r="M2245" i="10"/>
  <c r="M2244" i="10"/>
  <c r="M2243" i="10"/>
  <c r="M2242" i="10"/>
  <c r="M2241" i="10"/>
  <c r="M2240" i="10"/>
  <c r="M2239" i="10"/>
  <c r="M2238" i="10"/>
  <c r="M2237" i="10"/>
  <c r="M2236" i="10"/>
  <c r="M2235" i="10"/>
  <c r="M2234" i="10"/>
  <c r="M2233" i="10"/>
  <c r="M2232" i="10"/>
  <c r="M2231" i="10"/>
  <c r="M2230" i="10"/>
  <c r="M2229" i="10"/>
  <c r="M2228" i="10"/>
  <c r="M2227" i="10"/>
  <c r="M2226" i="10"/>
  <c r="M2225" i="10"/>
  <c r="M2224" i="10"/>
  <c r="M2223" i="10"/>
  <c r="M2222" i="10"/>
  <c r="M2221" i="10"/>
  <c r="M2220" i="10"/>
  <c r="M2219" i="10"/>
  <c r="M2218" i="10"/>
  <c r="M2217" i="10"/>
  <c r="M2216" i="10"/>
  <c r="M2215" i="10"/>
  <c r="M2214" i="10"/>
  <c r="M2213" i="10"/>
  <c r="M2212" i="10"/>
  <c r="M2211" i="10"/>
  <c r="M2210" i="10"/>
  <c r="M2209" i="10"/>
  <c r="M2208" i="10"/>
  <c r="M2207" i="10"/>
  <c r="M2206" i="10"/>
  <c r="M2205" i="10"/>
  <c r="M2204" i="10"/>
  <c r="M2203" i="10"/>
  <c r="M2202" i="10"/>
  <c r="M2201" i="10"/>
  <c r="M2200" i="10"/>
  <c r="M2199" i="10"/>
  <c r="M2198" i="10"/>
  <c r="M2197" i="10"/>
  <c r="M2196" i="10"/>
  <c r="M2195" i="10"/>
  <c r="M2194" i="10"/>
  <c r="M2193" i="10"/>
  <c r="M2192" i="10"/>
  <c r="M2191" i="10"/>
  <c r="M2190" i="10"/>
  <c r="M2189" i="10"/>
  <c r="M2188" i="10"/>
  <c r="M2187" i="10"/>
  <c r="M2186" i="10"/>
  <c r="M2185" i="10"/>
  <c r="M2184" i="10"/>
  <c r="M2183" i="10"/>
  <c r="M2182" i="10"/>
  <c r="M2181" i="10"/>
  <c r="M2180" i="10"/>
  <c r="M2179" i="10"/>
  <c r="M2178" i="10"/>
  <c r="M2177" i="10"/>
  <c r="M2176" i="10"/>
  <c r="M2175" i="10"/>
  <c r="M2174" i="10"/>
  <c r="M2173" i="10"/>
  <c r="M2172" i="10"/>
  <c r="M2171" i="10"/>
  <c r="M2170" i="10"/>
  <c r="M2169" i="10"/>
  <c r="M2168" i="10"/>
  <c r="M2167" i="10"/>
  <c r="M2166" i="10"/>
  <c r="M2165" i="10"/>
  <c r="M2164" i="10"/>
  <c r="M2163" i="10"/>
  <c r="M2162" i="10"/>
  <c r="M2161" i="10"/>
  <c r="M2160" i="10"/>
  <c r="M2159" i="10"/>
  <c r="M2158" i="10"/>
  <c r="M2157" i="10"/>
  <c r="M2156" i="10"/>
  <c r="M2155" i="10"/>
  <c r="M2154" i="10"/>
  <c r="M2153" i="10"/>
  <c r="M2152" i="10"/>
  <c r="M2151" i="10"/>
  <c r="M2150" i="10"/>
  <c r="M2149" i="10"/>
  <c r="M2148" i="10"/>
  <c r="M2147" i="10"/>
  <c r="M2146" i="10"/>
  <c r="M2145" i="10"/>
  <c r="M2144" i="10"/>
  <c r="M2143" i="10"/>
  <c r="M2142" i="10"/>
  <c r="M2141" i="10"/>
  <c r="M2140" i="10"/>
  <c r="M2139" i="10"/>
  <c r="M2138" i="10"/>
  <c r="M2137" i="10"/>
  <c r="M2136" i="10"/>
  <c r="M2135" i="10"/>
  <c r="M2134" i="10"/>
  <c r="M2133" i="10"/>
  <c r="M2132" i="10"/>
  <c r="M2131" i="10"/>
  <c r="M2130" i="10"/>
  <c r="M2129" i="10"/>
  <c r="M2128" i="10"/>
  <c r="M2127" i="10"/>
  <c r="M2126" i="10"/>
  <c r="M2125" i="10"/>
  <c r="M2124" i="10"/>
  <c r="M2123" i="10"/>
  <c r="M2122" i="10"/>
  <c r="M2121" i="10"/>
  <c r="M2120" i="10"/>
  <c r="M2119" i="10"/>
  <c r="M2118" i="10"/>
  <c r="M2117" i="10"/>
  <c r="M2116" i="10"/>
  <c r="M2115" i="10"/>
  <c r="M2114" i="10"/>
  <c r="M2113" i="10"/>
  <c r="M2112" i="10"/>
  <c r="M2111" i="10"/>
  <c r="M2110" i="10"/>
  <c r="M2109" i="10"/>
  <c r="M2108" i="10"/>
  <c r="M2107" i="10"/>
  <c r="M2106" i="10"/>
  <c r="M2105" i="10"/>
  <c r="M2104" i="10"/>
  <c r="M2103" i="10"/>
  <c r="M2102" i="10"/>
  <c r="M2101" i="10"/>
  <c r="M2100" i="10"/>
  <c r="M2099" i="10"/>
  <c r="M2098" i="10"/>
  <c r="M2097" i="10"/>
  <c r="M2096" i="10"/>
  <c r="M2095" i="10"/>
  <c r="M2094" i="10"/>
  <c r="M2093" i="10"/>
  <c r="M2092" i="10"/>
  <c r="M2091" i="10"/>
  <c r="M2090" i="10"/>
  <c r="M2089" i="10"/>
  <c r="M2088" i="10"/>
  <c r="M2087" i="10"/>
  <c r="M2086" i="10"/>
  <c r="M2085" i="10"/>
  <c r="M2084" i="10"/>
  <c r="M2083" i="10"/>
  <c r="M2082" i="10"/>
  <c r="M2081" i="10"/>
  <c r="M2080" i="10"/>
  <c r="M2079" i="10"/>
  <c r="M2078" i="10"/>
  <c r="M2077" i="10"/>
  <c r="M2076" i="10"/>
  <c r="M2075" i="10"/>
  <c r="M2074" i="10"/>
  <c r="M2073" i="10"/>
  <c r="M2072" i="10"/>
  <c r="M2071" i="10"/>
  <c r="M2070" i="10"/>
  <c r="M2069" i="10"/>
  <c r="M2068" i="10"/>
  <c r="M2067" i="10"/>
  <c r="M2066" i="10"/>
  <c r="M2065" i="10"/>
  <c r="M2064" i="10"/>
  <c r="M2063" i="10"/>
  <c r="M2062" i="10"/>
  <c r="M2061" i="10"/>
  <c r="M2060" i="10"/>
  <c r="M2059" i="10"/>
  <c r="M2058" i="10"/>
  <c r="M2057" i="10"/>
  <c r="M2056" i="10"/>
  <c r="M2055" i="10"/>
  <c r="M2054" i="10"/>
  <c r="M2053" i="10"/>
  <c r="M2052" i="10"/>
  <c r="M2051" i="10"/>
  <c r="M2050" i="10"/>
  <c r="M2049" i="10"/>
  <c r="M2048" i="10"/>
  <c r="M2047" i="10"/>
  <c r="M2046" i="10"/>
  <c r="M2045" i="10"/>
  <c r="M2044" i="10"/>
  <c r="M2043" i="10"/>
  <c r="M2042" i="10"/>
  <c r="M2041" i="10"/>
  <c r="M2040" i="10"/>
  <c r="M2039" i="10"/>
  <c r="M2038" i="10"/>
  <c r="M2037" i="10"/>
  <c r="M2036" i="10"/>
  <c r="M2035" i="10"/>
  <c r="M2034" i="10"/>
  <c r="M2033" i="10"/>
  <c r="M2032" i="10"/>
  <c r="M2031" i="10"/>
  <c r="M2030" i="10"/>
  <c r="M2029" i="10"/>
  <c r="M2028" i="10"/>
  <c r="M2027" i="10"/>
  <c r="M2026" i="10"/>
  <c r="M2025" i="10"/>
  <c r="M2024" i="10"/>
  <c r="M2023" i="10"/>
  <c r="M2022" i="10"/>
  <c r="M2021" i="10"/>
  <c r="M2020" i="10"/>
  <c r="M2019" i="10"/>
  <c r="M2018" i="10"/>
  <c r="M2017" i="10"/>
  <c r="M2016" i="10"/>
  <c r="M2015" i="10"/>
  <c r="M2014" i="10"/>
  <c r="M2013" i="10"/>
  <c r="M2012" i="10"/>
  <c r="M2011" i="10"/>
  <c r="M2010" i="10"/>
  <c r="M2009" i="10"/>
  <c r="M2008" i="10"/>
  <c r="M2007" i="10"/>
  <c r="M2006" i="10"/>
  <c r="M2005" i="10"/>
  <c r="M2004" i="10"/>
  <c r="M2003" i="10"/>
  <c r="M2002" i="10"/>
  <c r="M2001" i="10"/>
  <c r="M2000" i="10"/>
  <c r="M1999" i="10"/>
  <c r="M1998" i="10"/>
  <c r="M1997" i="10"/>
  <c r="M1996" i="10"/>
  <c r="M1995" i="10"/>
  <c r="M1994" i="10"/>
  <c r="M1993" i="10"/>
  <c r="M1992" i="10"/>
  <c r="M1991" i="10"/>
  <c r="M1990" i="10"/>
  <c r="M1989" i="10"/>
  <c r="M1988" i="10"/>
  <c r="M1987" i="10"/>
  <c r="M1986" i="10"/>
  <c r="M1985" i="10"/>
  <c r="M1984" i="10"/>
  <c r="M1983" i="10"/>
  <c r="M1982" i="10"/>
  <c r="M1981" i="10"/>
  <c r="M1980" i="10"/>
  <c r="M1979" i="10"/>
  <c r="M1978" i="10"/>
  <c r="M1977" i="10"/>
  <c r="M1976" i="10"/>
  <c r="M1975" i="10"/>
  <c r="M1974" i="10"/>
  <c r="M1973" i="10"/>
  <c r="M1972" i="10"/>
  <c r="M1971" i="10"/>
  <c r="M1970" i="10"/>
  <c r="M1969" i="10"/>
  <c r="M1968" i="10"/>
  <c r="M1967" i="10"/>
  <c r="M1966" i="10"/>
  <c r="M1965" i="10"/>
  <c r="M1964" i="10"/>
  <c r="M1963" i="10"/>
  <c r="M1962" i="10"/>
  <c r="M1961" i="10"/>
  <c r="M1960" i="10"/>
  <c r="M1959" i="10"/>
  <c r="M1958" i="10"/>
  <c r="M1957" i="10"/>
  <c r="M1956" i="10"/>
  <c r="M1955" i="10"/>
  <c r="M1954" i="10"/>
  <c r="M1953" i="10"/>
  <c r="M1952" i="10"/>
  <c r="M1951" i="10"/>
  <c r="M1950" i="10"/>
  <c r="M1949" i="10"/>
  <c r="M1948" i="10"/>
  <c r="M1947" i="10"/>
  <c r="M1946" i="10"/>
  <c r="M1945" i="10"/>
  <c r="M1944" i="10"/>
  <c r="M1943" i="10"/>
  <c r="M1942" i="10"/>
  <c r="M1941" i="10"/>
  <c r="M1940" i="10"/>
  <c r="M1939" i="10"/>
  <c r="M1938" i="10"/>
  <c r="M1937" i="10"/>
  <c r="M1936" i="10"/>
  <c r="M1935" i="10"/>
  <c r="M1934" i="10"/>
  <c r="M1933" i="10"/>
  <c r="M1932" i="10"/>
  <c r="M1931" i="10"/>
  <c r="M1930" i="10"/>
  <c r="M1929" i="10"/>
  <c r="M1928" i="10"/>
  <c r="M1927" i="10"/>
  <c r="M1926" i="10"/>
  <c r="M1925" i="10"/>
  <c r="M1924" i="10"/>
  <c r="M1923" i="10"/>
  <c r="M1922" i="10"/>
  <c r="M1921" i="10"/>
  <c r="M1920" i="10"/>
  <c r="M1919" i="10"/>
  <c r="M1918" i="10"/>
  <c r="M1917" i="10"/>
  <c r="M1916" i="10"/>
  <c r="M1915" i="10"/>
  <c r="M1914" i="10"/>
  <c r="M1913" i="10"/>
  <c r="M1912" i="10"/>
  <c r="M1911" i="10"/>
  <c r="M1910" i="10"/>
  <c r="M1909" i="10"/>
  <c r="M1908" i="10"/>
  <c r="M1907" i="10"/>
  <c r="M1906" i="10"/>
  <c r="M1905" i="10"/>
  <c r="M1904" i="10"/>
  <c r="M1903" i="10"/>
  <c r="M1902" i="10"/>
  <c r="M1901" i="10"/>
  <c r="M1900" i="10"/>
  <c r="M1899" i="10"/>
  <c r="M1898" i="10"/>
  <c r="M1897" i="10"/>
  <c r="M1896" i="10"/>
  <c r="M1895" i="10"/>
  <c r="M1894" i="10"/>
  <c r="M1893" i="10"/>
  <c r="M1892" i="10"/>
  <c r="M1891" i="10"/>
  <c r="M1890" i="10"/>
  <c r="M1889" i="10"/>
  <c r="M1888" i="10"/>
  <c r="M1887" i="10"/>
  <c r="M1886" i="10"/>
  <c r="M1885" i="10"/>
  <c r="M1884" i="10"/>
  <c r="M1883" i="10"/>
  <c r="M1882" i="10"/>
  <c r="M1881" i="10"/>
  <c r="M1880" i="10"/>
  <c r="M1879" i="10"/>
  <c r="M1878" i="10"/>
  <c r="M1877" i="10"/>
  <c r="M1876" i="10"/>
  <c r="M1875" i="10"/>
  <c r="M1874" i="10"/>
  <c r="M1873" i="10"/>
  <c r="M1872" i="10"/>
  <c r="M1871" i="10"/>
  <c r="M1870" i="10"/>
  <c r="M1869" i="10"/>
  <c r="M1868" i="10"/>
  <c r="M1867" i="10"/>
  <c r="M1866" i="10"/>
  <c r="M1865" i="10"/>
  <c r="M1864" i="10"/>
  <c r="M1863" i="10"/>
  <c r="M1862" i="10"/>
  <c r="M1861" i="10"/>
  <c r="M1860" i="10"/>
  <c r="M1859" i="10"/>
  <c r="M1858" i="10"/>
  <c r="M1857" i="10"/>
  <c r="M1856" i="10"/>
  <c r="M1855" i="10"/>
  <c r="M1854" i="10"/>
  <c r="M1853" i="10"/>
  <c r="M1852" i="10"/>
  <c r="M1851" i="10"/>
  <c r="M1850" i="10"/>
  <c r="M1849" i="10"/>
  <c r="M1848" i="10"/>
  <c r="M1847" i="10"/>
  <c r="M1846" i="10"/>
  <c r="M1845" i="10"/>
  <c r="M1844" i="10"/>
  <c r="M1843" i="10"/>
  <c r="M1842" i="10"/>
  <c r="M1841" i="10"/>
  <c r="M1840" i="10"/>
  <c r="M1839" i="10"/>
  <c r="M1838" i="10"/>
  <c r="M1837" i="10"/>
  <c r="M1836" i="10"/>
  <c r="M1835" i="10"/>
  <c r="M1834" i="10"/>
  <c r="M1833" i="10"/>
  <c r="M1832" i="10"/>
  <c r="M1831" i="10"/>
  <c r="M1830" i="10"/>
  <c r="M1829" i="10"/>
  <c r="M1828" i="10"/>
  <c r="M1827" i="10"/>
  <c r="M1826" i="10"/>
  <c r="M1825" i="10"/>
  <c r="M1824" i="10"/>
  <c r="M1823" i="10"/>
  <c r="M1822" i="10"/>
  <c r="M1821" i="10"/>
  <c r="M1820" i="10"/>
  <c r="M1819" i="10"/>
  <c r="M1818" i="10"/>
  <c r="M1817" i="10"/>
  <c r="M1816" i="10"/>
  <c r="M1815" i="10"/>
  <c r="M1814" i="10"/>
  <c r="M1813" i="10"/>
  <c r="M1812" i="10"/>
  <c r="M1811" i="10"/>
  <c r="M1810" i="10"/>
  <c r="M1809" i="10"/>
  <c r="M1808" i="10"/>
  <c r="M1807" i="10"/>
  <c r="M1806" i="10"/>
  <c r="M1805" i="10"/>
  <c r="M1804" i="10"/>
  <c r="M1803" i="10"/>
  <c r="M1802" i="10"/>
  <c r="M1801" i="10"/>
  <c r="M1800" i="10"/>
  <c r="M1799" i="10"/>
  <c r="M1798" i="10"/>
  <c r="M1797" i="10"/>
  <c r="M1796" i="10"/>
  <c r="M1795" i="10"/>
  <c r="M1794" i="10"/>
  <c r="M1793" i="10"/>
  <c r="M1792" i="10"/>
  <c r="M1791" i="10"/>
  <c r="M1790" i="10"/>
  <c r="M1789" i="10"/>
  <c r="M1788" i="10"/>
  <c r="M1787" i="10"/>
  <c r="M1786" i="10"/>
  <c r="M1785" i="10"/>
  <c r="M1784" i="10"/>
  <c r="M1783" i="10"/>
  <c r="M1782" i="10"/>
  <c r="M1781" i="10"/>
  <c r="M1780" i="10"/>
  <c r="M1779" i="10"/>
  <c r="M1778" i="10"/>
  <c r="M1777" i="10"/>
  <c r="M1776" i="10"/>
  <c r="M1775" i="10"/>
  <c r="M1774" i="10"/>
  <c r="M1773" i="10"/>
  <c r="M1772" i="10"/>
  <c r="M1771" i="10"/>
  <c r="M1770" i="10"/>
  <c r="M1769" i="10"/>
  <c r="M1768" i="10"/>
  <c r="M1767" i="10"/>
  <c r="M1766" i="10"/>
  <c r="M1765" i="10"/>
  <c r="M1764" i="10"/>
  <c r="M1763" i="10"/>
  <c r="M1762" i="10"/>
  <c r="M1761" i="10"/>
  <c r="M1760" i="10"/>
  <c r="M1759" i="10"/>
  <c r="M1758" i="10"/>
  <c r="M1757" i="10"/>
  <c r="M1756" i="10"/>
  <c r="M1755" i="10"/>
  <c r="M1754" i="10"/>
  <c r="M1753" i="10"/>
  <c r="M1752" i="10"/>
  <c r="M1751" i="10"/>
  <c r="M1750" i="10"/>
  <c r="M1749" i="10"/>
  <c r="M1748" i="10"/>
  <c r="M1747" i="10"/>
  <c r="M1746" i="10"/>
  <c r="M1745" i="10"/>
  <c r="M1744" i="10"/>
  <c r="M1743" i="10"/>
  <c r="M1742" i="10"/>
  <c r="M1741" i="10"/>
  <c r="M1740" i="10"/>
  <c r="M1739" i="10"/>
  <c r="M1738" i="10"/>
  <c r="M1737" i="10"/>
  <c r="M1736" i="10"/>
  <c r="M1735" i="10"/>
  <c r="M1734" i="10"/>
  <c r="M1733" i="10"/>
  <c r="M1732" i="10"/>
  <c r="M1731" i="10"/>
  <c r="M1730" i="10"/>
  <c r="M1729" i="10"/>
  <c r="M1728" i="10"/>
  <c r="M1727" i="10"/>
  <c r="M1726" i="10"/>
  <c r="M1725" i="10"/>
  <c r="M1724" i="10"/>
  <c r="M1723" i="10"/>
  <c r="M1722" i="10"/>
  <c r="M1721" i="10"/>
  <c r="M1720" i="10"/>
  <c r="M1719" i="10"/>
  <c r="M1718" i="10"/>
  <c r="M1717" i="10"/>
  <c r="M1716" i="10"/>
  <c r="M1715" i="10"/>
  <c r="M1714" i="10"/>
  <c r="M1713" i="10"/>
  <c r="M1712" i="10"/>
  <c r="M1711" i="10"/>
  <c r="M1710" i="10"/>
  <c r="M1709" i="10"/>
  <c r="M1708" i="10"/>
  <c r="M1707" i="10"/>
  <c r="M1706" i="10"/>
  <c r="M1705" i="10"/>
  <c r="M1704" i="10"/>
  <c r="M1703" i="10"/>
  <c r="M1702" i="10"/>
  <c r="M1701" i="10"/>
  <c r="M1700" i="10"/>
  <c r="M1699" i="10"/>
  <c r="M1698" i="10"/>
  <c r="M1697" i="10"/>
  <c r="M1696" i="10"/>
  <c r="M1695" i="10"/>
  <c r="M1694" i="10"/>
  <c r="M1693" i="10"/>
  <c r="M1692" i="10"/>
  <c r="M1691" i="10"/>
  <c r="M1690" i="10"/>
  <c r="M1689" i="10"/>
  <c r="M1688" i="10"/>
  <c r="M1687" i="10"/>
  <c r="M1686" i="10"/>
  <c r="M1685" i="10"/>
  <c r="M1684" i="10"/>
  <c r="M1683" i="10"/>
  <c r="M1682" i="10"/>
  <c r="M1681" i="10"/>
  <c r="M1680" i="10"/>
  <c r="M1679" i="10"/>
  <c r="M1678" i="10"/>
  <c r="M1677" i="10"/>
  <c r="M1676" i="10"/>
  <c r="M1675" i="10"/>
  <c r="M1674" i="10"/>
  <c r="M1673" i="10"/>
  <c r="M1672" i="10"/>
  <c r="M1671" i="10"/>
  <c r="M1670" i="10"/>
  <c r="M1669" i="10"/>
  <c r="M1668" i="10"/>
  <c r="M1667" i="10"/>
  <c r="M1666" i="10"/>
  <c r="M1665" i="10"/>
  <c r="M1664" i="10"/>
  <c r="M1663" i="10"/>
  <c r="M1662" i="10"/>
  <c r="M1661" i="10"/>
  <c r="M1660" i="10"/>
  <c r="M1659" i="10"/>
  <c r="M1658" i="10"/>
  <c r="M1657" i="10"/>
  <c r="M1656" i="10"/>
  <c r="M1655" i="10"/>
  <c r="M1654" i="10"/>
  <c r="M1653" i="10"/>
  <c r="M1652" i="10"/>
  <c r="M1651" i="10"/>
  <c r="M1650" i="10"/>
  <c r="M1649" i="10"/>
  <c r="M1648" i="10"/>
  <c r="M1647" i="10"/>
  <c r="M1646" i="10"/>
  <c r="M1645" i="10"/>
  <c r="M1644" i="10"/>
  <c r="M1643" i="10"/>
  <c r="M1642" i="10"/>
  <c r="M1641" i="10"/>
  <c r="M1640" i="10"/>
  <c r="M1639" i="10"/>
  <c r="M1638" i="10"/>
  <c r="M1637" i="10"/>
  <c r="M1636" i="10"/>
  <c r="M1635" i="10"/>
  <c r="M1634" i="10"/>
  <c r="M1633" i="10"/>
  <c r="M1632" i="10"/>
  <c r="M1631" i="10"/>
  <c r="M1630" i="10"/>
  <c r="M1629" i="10"/>
  <c r="M1628" i="10"/>
  <c r="M1627" i="10"/>
  <c r="M1626" i="10"/>
  <c r="M1625" i="10"/>
  <c r="M1624" i="10"/>
  <c r="M1623" i="10"/>
  <c r="M1622" i="10"/>
  <c r="M1621" i="10"/>
  <c r="M1620" i="10"/>
  <c r="M1619" i="10"/>
  <c r="M1618" i="10"/>
  <c r="M1617" i="10"/>
  <c r="M1616" i="10"/>
  <c r="M1615" i="10"/>
  <c r="M1614" i="10"/>
  <c r="M1613" i="10"/>
  <c r="M1612" i="10"/>
  <c r="M1611" i="10"/>
  <c r="M1610" i="10"/>
  <c r="M1609" i="10"/>
  <c r="M1608" i="10"/>
  <c r="M1607" i="10"/>
  <c r="M1606" i="10"/>
  <c r="M1605" i="10"/>
  <c r="M1604" i="10"/>
  <c r="M1603" i="10"/>
  <c r="M1602" i="10"/>
  <c r="M1601" i="10"/>
  <c r="M1600" i="10"/>
  <c r="M1599" i="10"/>
  <c r="M1598" i="10"/>
  <c r="M1597" i="10"/>
  <c r="M1596" i="10"/>
  <c r="M1595" i="10"/>
  <c r="M1594" i="10"/>
  <c r="M1593" i="10"/>
  <c r="M1592" i="10"/>
  <c r="M1591" i="10"/>
  <c r="M1590" i="10"/>
  <c r="M1589" i="10"/>
  <c r="M1588" i="10"/>
  <c r="M1587" i="10"/>
  <c r="M1586" i="10"/>
  <c r="M1585" i="10"/>
  <c r="M1584" i="10"/>
  <c r="M1583" i="10"/>
  <c r="M1582" i="10"/>
  <c r="M1581" i="10"/>
  <c r="M1580" i="10"/>
  <c r="M1579" i="10"/>
  <c r="M1578" i="10"/>
  <c r="M1577" i="10"/>
  <c r="M1576" i="10"/>
  <c r="M1575" i="10"/>
  <c r="M1574" i="10"/>
  <c r="M1573" i="10"/>
  <c r="M1572" i="10"/>
  <c r="M1571" i="10"/>
  <c r="M1570" i="10"/>
  <c r="M1569" i="10"/>
  <c r="M1568" i="10"/>
  <c r="M1567" i="10"/>
  <c r="M1566" i="10"/>
  <c r="M1565" i="10"/>
  <c r="M1564" i="10"/>
  <c r="M1563" i="10"/>
  <c r="M1562" i="10"/>
  <c r="M1561" i="10"/>
  <c r="M1560" i="10"/>
  <c r="M1559" i="10"/>
  <c r="M1558" i="10"/>
  <c r="M1557" i="10"/>
  <c r="M1556" i="10"/>
  <c r="M1555" i="10"/>
  <c r="M1554" i="10"/>
  <c r="M1553" i="10"/>
  <c r="M1552" i="10"/>
  <c r="M1551" i="10"/>
  <c r="M1550" i="10"/>
  <c r="M1549" i="10"/>
  <c r="M1548" i="10"/>
  <c r="M1547" i="10"/>
  <c r="M1546" i="10"/>
  <c r="M1545" i="10"/>
  <c r="M1544" i="10"/>
  <c r="M1543" i="10"/>
  <c r="M1542" i="10"/>
  <c r="M1541" i="10"/>
  <c r="M1540" i="10"/>
  <c r="M1539" i="10"/>
  <c r="M1538" i="10"/>
  <c r="M1537" i="10"/>
  <c r="M1536" i="10"/>
  <c r="M1535" i="10"/>
  <c r="M1534" i="10"/>
  <c r="M1533" i="10"/>
  <c r="M1532" i="10"/>
  <c r="M1531" i="10"/>
  <c r="M1530" i="10"/>
  <c r="M1529" i="10"/>
  <c r="M1528" i="10"/>
  <c r="M1527" i="10"/>
  <c r="M1526" i="10"/>
  <c r="M1525" i="10"/>
  <c r="M1524" i="10"/>
  <c r="M1523" i="10"/>
  <c r="M1522" i="10"/>
  <c r="M1521" i="10"/>
  <c r="M1520" i="10"/>
  <c r="M1519" i="10"/>
  <c r="M1518" i="10"/>
  <c r="M1517" i="10"/>
  <c r="M1516" i="10"/>
  <c r="M1515" i="10"/>
  <c r="M1514" i="10"/>
  <c r="M1513" i="10"/>
  <c r="M1512" i="10"/>
  <c r="M1511" i="10"/>
  <c r="M1510" i="10"/>
  <c r="M1509" i="10"/>
  <c r="M1508" i="10"/>
  <c r="M1507" i="10"/>
  <c r="M1506" i="10"/>
  <c r="M1505" i="10"/>
  <c r="M1504" i="10"/>
  <c r="M1503" i="10"/>
  <c r="M1502" i="10"/>
  <c r="M1501" i="10"/>
  <c r="M1500" i="10"/>
  <c r="M1499" i="10"/>
  <c r="M1498" i="10"/>
  <c r="M1497" i="10"/>
  <c r="M1496" i="10"/>
  <c r="M1495" i="10"/>
  <c r="M1494" i="10"/>
  <c r="M1493" i="10"/>
  <c r="M1492" i="10"/>
  <c r="M1491" i="10"/>
  <c r="M1490" i="10"/>
  <c r="M1489" i="10"/>
  <c r="M1488" i="10"/>
  <c r="M1487" i="10"/>
  <c r="M1486" i="10"/>
  <c r="M1485" i="10"/>
  <c r="M1484" i="10"/>
  <c r="M1483" i="10"/>
  <c r="M1482" i="10"/>
  <c r="M1481" i="10"/>
  <c r="M1480" i="10"/>
  <c r="M1479" i="10"/>
  <c r="M1478" i="10"/>
  <c r="M1477" i="10"/>
  <c r="M1476" i="10"/>
  <c r="M1475" i="10"/>
  <c r="M1474" i="10"/>
  <c r="M1473" i="10"/>
  <c r="M1472" i="10"/>
  <c r="M1471" i="10"/>
  <c r="M1470" i="10"/>
  <c r="M1469" i="10"/>
  <c r="M1468" i="10"/>
  <c r="M1467" i="10"/>
  <c r="M1466" i="10"/>
  <c r="M1465" i="10"/>
  <c r="M1464" i="10"/>
  <c r="M1463" i="10"/>
  <c r="M1462" i="10"/>
  <c r="M1461" i="10"/>
  <c r="M1460" i="10"/>
  <c r="M1459" i="10"/>
  <c r="M1458" i="10"/>
  <c r="M1457" i="10"/>
  <c r="M1456" i="10"/>
  <c r="M1455" i="10"/>
  <c r="M1454" i="10"/>
  <c r="M1453" i="10"/>
  <c r="M1452" i="10"/>
  <c r="M1451" i="10"/>
  <c r="M1450" i="10"/>
  <c r="M1449" i="10"/>
  <c r="M1448" i="10"/>
  <c r="M1447" i="10"/>
  <c r="M1446" i="10"/>
  <c r="M1445" i="10"/>
  <c r="M1444" i="10"/>
  <c r="M1443" i="10"/>
  <c r="M1442" i="10"/>
  <c r="M1441" i="10"/>
  <c r="M1440" i="10"/>
  <c r="M1439" i="10"/>
  <c r="M1438" i="10"/>
  <c r="M1437" i="10"/>
  <c r="M1436" i="10"/>
  <c r="M1435" i="10"/>
  <c r="M1434" i="10"/>
  <c r="M1433" i="10"/>
  <c r="M1432" i="10"/>
  <c r="M1431" i="10"/>
  <c r="M1430" i="10"/>
  <c r="M1429" i="10"/>
  <c r="M1428" i="10"/>
  <c r="M1427" i="10"/>
  <c r="M1426" i="10"/>
  <c r="M1425" i="10"/>
  <c r="M1424" i="10"/>
  <c r="M1423" i="10"/>
  <c r="M1422" i="10"/>
  <c r="M1421" i="10"/>
  <c r="M1420" i="10"/>
  <c r="M1419" i="10"/>
  <c r="M1418" i="10"/>
  <c r="M1417" i="10"/>
  <c r="M1416" i="10"/>
  <c r="M1415" i="10"/>
  <c r="M1414" i="10"/>
  <c r="M1413" i="10"/>
  <c r="M1412" i="10"/>
  <c r="M1411" i="10"/>
  <c r="M1410" i="10"/>
  <c r="M1409" i="10"/>
  <c r="M1408" i="10"/>
  <c r="M1407" i="10"/>
  <c r="M1406" i="10"/>
  <c r="M1405" i="10"/>
  <c r="M1404" i="10"/>
  <c r="M1403" i="10"/>
  <c r="M1402" i="10"/>
  <c r="M1401" i="10"/>
  <c r="M1400" i="10"/>
  <c r="M1399" i="10"/>
  <c r="M1398" i="10"/>
  <c r="M1397" i="10"/>
  <c r="M1396" i="10"/>
  <c r="M1395" i="10"/>
  <c r="M1394" i="10"/>
  <c r="M1393" i="10"/>
  <c r="M1392" i="10"/>
  <c r="M1391" i="10"/>
  <c r="M1390" i="10"/>
  <c r="M1389" i="10"/>
  <c r="M1388" i="10"/>
  <c r="M1387" i="10"/>
  <c r="M1386" i="10"/>
  <c r="M1385" i="10"/>
  <c r="M1384" i="10"/>
  <c r="M1383" i="10"/>
  <c r="M1382" i="10"/>
  <c r="M1381" i="10"/>
  <c r="M1380" i="10"/>
  <c r="M1379" i="10"/>
  <c r="M1378" i="10"/>
  <c r="M1377" i="10"/>
  <c r="M1376" i="10"/>
  <c r="M1375" i="10"/>
  <c r="M1374" i="10"/>
  <c r="M1373" i="10"/>
  <c r="M1372" i="10"/>
  <c r="M1371" i="10"/>
  <c r="M1370" i="10"/>
  <c r="M1369" i="10"/>
  <c r="M1368" i="10"/>
  <c r="M1367" i="10"/>
  <c r="M1366" i="10"/>
  <c r="M1365" i="10"/>
  <c r="M1364" i="10"/>
  <c r="M1363" i="10"/>
  <c r="M1362" i="10"/>
  <c r="M1361" i="10"/>
  <c r="M1360" i="10"/>
  <c r="M1359" i="10"/>
  <c r="M1358" i="10"/>
  <c r="M1357" i="10"/>
  <c r="M1356" i="10"/>
  <c r="M1355" i="10"/>
  <c r="M1354" i="10"/>
  <c r="M1353" i="10"/>
  <c r="M1352" i="10"/>
  <c r="M1351" i="10"/>
  <c r="M1350" i="10"/>
  <c r="M1349" i="10"/>
  <c r="M1348" i="10"/>
  <c r="M1347" i="10"/>
  <c r="M1346" i="10"/>
  <c r="M1345" i="10"/>
  <c r="M1344" i="10"/>
  <c r="M1343" i="10"/>
  <c r="M1342" i="10"/>
  <c r="M1341" i="10"/>
  <c r="M1340" i="10"/>
  <c r="M1339" i="10"/>
  <c r="M1338" i="10"/>
  <c r="M1337" i="10"/>
  <c r="M1336" i="10"/>
  <c r="M1335" i="10"/>
  <c r="M1334" i="10"/>
  <c r="M1333" i="10"/>
  <c r="M1332" i="10"/>
  <c r="M1331" i="10"/>
  <c r="M1330" i="10"/>
  <c r="M1329" i="10"/>
  <c r="M1328" i="10"/>
  <c r="M1327" i="10"/>
  <c r="M1326" i="10"/>
  <c r="M1325" i="10"/>
  <c r="M1324" i="10"/>
  <c r="M1323" i="10"/>
  <c r="M1322" i="10"/>
  <c r="M1321" i="10"/>
  <c r="M1320" i="10"/>
  <c r="M1319" i="10"/>
  <c r="M1318" i="10"/>
  <c r="M1317" i="10"/>
  <c r="M1316" i="10"/>
  <c r="M1315" i="10"/>
  <c r="M1314" i="10"/>
  <c r="M1313" i="10"/>
  <c r="M1312" i="10"/>
  <c r="M1311" i="10"/>
  <c r="M1310" i="10"/>
  <c r="M1309" i="10"/>
  <c r="M1308" i="10"/>
  <c r="M1307" i="10"/>
  <c r="M1306" i="10"/>
  <c r="M1305" i="10"/>
  <c r="M1304" i="10"/>
  <c r="M1303" i="10"/>
  <c r="M1302" i="10"/>
  <c r="M1301" i="10"/>
  <c r="M1300" i="10"/>
  <c r="M1299" i="10"/>
  <c r="M1298" i="10"/>
  <c r="M1297" i="10"/>
  <c r="M1296" i="10"/>
  <c r="M1295" i="10"/>
  <c r="M1294" i="10"/>
  <c r="M1293" i="10"/>
  <c r="M1292" i="10"/>
  <c r="M1291" i="10"/>
  <c r="M1290" i="10"/>
  <c r="M1289" i="10"/>
  <c r="M1288" i="10"/>
  <c r="M1287" i="10"/>
  <c r="M1286" i="10"/>
  <c r="M1285" i="10"/>
  <c r="M1284" i="10"/>
  <c r="M1283" i="10"/>
  <c r="M1282" i="10"/>
  <c r="M1281" i="10"/>
  <c r="M1280" i="10"/>
  <c r="M1279" i="10"/>
  <c r="M1278" i="10"/>
  <c r="M1277" i="10"/>
  <c r="M1276" i="10"/>
  <c r="M1275" i="10"/>
  <c r="M1274" i="10"/>
  <c r="M1273" i="10"/>
  <c r="M1272" i="10"/>
  <c r="M1271" i="10"/>
  <c r="M1270" i="10"/>
  <c r="M1269" i="10"/>
  <c r="M1268" i="10"/>
  <c r="M1267" i="10"/>
  <c r="M1266" i="10"/>
  <c r="M1265" i="10"/>
  <c r="M1264" i="10"/>
  <c r="M1263" i="10"/>
  <c r="M1262" i="10"/>
  <c r="M1261" i="10"/>
  <c r="M1260" i="10"/>
  <c r="M1259" i="10"/>
  <c r="M1258" i="10"/>
  <c r="M1257" i="10"/>
  <c r="M1256" i="10"/>
  <c r="M1255" i="10"/>
  <c r="M1254" i="10"/>
  <c r="M1253" i="10"/>
  <c r="M1252" i="10"/>
  <c r="M1251" i="10"/>
  <c r="M1250" i="10"/>
  <c r="M1249" i="10"/>
  <c r="M1248" i="10"/>
  <c r="M1247" i="10"/>
  <c r="M1246" i="10"/>
  <c r="M1245" i="10"/>
  <c r="M1244" i="10"/>
  <c r="M1243" i="10"/>
  <c r="M1242" i="10"/>
  <c r="M1241" i="10"/>
  <c r="M1240" i="10"/>
  <c r="M1239" i="10"/>
  <c r="M1238" i="10"/>
  <c r="M1237" i="10"/>
  <c r="M1236" i="10"/>
  <c r="M1235" i="10"/>
  <c r="M1234" i="10"/>
  <c r="M1233" i="10"/>
  <c r="M1232" i="10"/>
  <c r="M1231" i="10"/>
  <c r="M1230" i="10"/>
  <c r="M1229" i="10"/>
  <c r="M1228" i="10"/>
  <c r="M1227" i="10"/>
  <c r="M1226" i="10"/>
  <c r="M1225" i="10"/>
  <c r="M1224" i="10"/>
  <c r="M1223" i="10"/>
  <c r="M1222" i="10"/>
  <c r="M1221" i="10"/>
  <c r="M1220" i="10"/>
  <c r="M1219" i="10"/>
  <c r="M1218" i="10"/>
  <c r="M1217" i="10"/>
  <c r="M1216" i="10"/>
  <c r="M1215" i="10"/>
  <c r="M1214" i="10"/>
  <c r="M1213" i="10"/>
  <c r="M1212" i="10"/>
  <c r="M1211" i="10"/>
  <c r="M1210" i="10"/>
  <c r="M1209" i="10"/>
  <c r="M1208" i="10"/>
  <c r="M1207" i="10"/>
  <c r="M1206" i="10"/>
  <c r="M1205" i="10"/>
  <c r="M1204" i="10"/>
  <c r="M1203" i="10"/>
  <c r="M1202" i="10"/>
  <c r="M1201" i="10"/>
  <c r="M1200" i="10"/>
  <c r="M1199" i="10"/>
  <c r="M1198" i="10"/>
  <c r="M1197" i="10"/>
  <c r="M1196" i="10"/>
  <c r="M1195" i="10"/>
  <c r="M1194" i="10"/>
  <c r="M1193" i="10"/>
  <c r="M1192" i="10"/>
  <c r="M1191" i="10"/>
  <c r="M1190" i="10"/>
  <c r="M1189" i="10"/>
  <c r="M1188" i="10"/>
  <c r="M1187" i="10"/>
  <c r="M1186" i="10"/>
  <c r="M1185" i="10"/>
  <c r="M1184" i="10"/>
  <c r="M1183" i="10"/>
  <c r="M1182" i="10"/>
  <c r="M1181" i="10"/>
  <c r="M1180" i="10"/>
  <c r="M1179" i="10"/>
  <c r="M1178" i="10"/>
  <c r="M1177" i="10"/>
  <c r="M1176" i="10"/>
  <c r="M1175" i="10"/>
  <c r="M1174" i="10"/>
  <c r="M1173" i="10"/>
  <c r="M1172" i="10"/>
  <c r="M1171" i="10"/>
  <c r="M1170" i="10"/>
  <c r="M1169" i="10"/>
  <c r="M1168" i="10"/>
  <c r="M1167" i="10"/>
  <c r="M1166" i="10"/>
  <c r="M1165" i="10"/>
  <c r="M1164" i="10"/>
  <c r="M1163" i="10"/>
  <c r="M1162" i="10"/>
  <c r="M1161" i="10"/>
  <c r="M1160" i="10"/>
  <c r="M1159" i="10"/>
  <c r="M1158" i="10"/>
  <c r="M1157" i="10"/>
  <c r="M1156" i="10"/>
  <c r="M1155" i="10"/>
  <c r="M1154" i="10"/>
  <c r="M1153" i="10"/>
  <c r="M1152" i="10"/>
  <c r="M1151" i="10"/>
  <c r="M1150" i="10"/>
  <c r="M1149" i="10"/>
  <c r="M1148" i="10"/>
  <c r="M1147" i="10"/>
  <c r="M1146" i="10"/>
  <c r="M1145" i="10"/>
  <c r="M1144" i="10"/>
  <c r="M1143" i="10"/>
  <c r="M1142" i="10"/>
  <c r="M1141" i="10"/>
  <c r="M1140" i="10"/>
  <c r="M1139" i="10"/>
  <c r="M1138" i="10"/>
  <c r="M1137" i="10"/>
  <c r="M1136" i="10"/>
  <c r="M1135" i="10"/>
  <c r="M1134" i="10"/>
  <c r="M1133" i="10"/>
  <c r="M1132" i="10"/>
  <c r="M1131" i="10"/>
  <c r="M1130" i="10"/>
  <c r="M1129" i="10"/>
  <c r="M1128" i="10"/>
  <c r="M1127" i="10"/>
  <c r="M1126" i="10"/>
  <c r="M1125" i="10"/>
  <c r="M1124" i="10"/>
  <c r="M1123" i="10"/>
  <c r="M1122" i="10"/>
  <c r="M1121" i="10"/>
  <c r="M1120" i="10"/>
  <c r="M1119" i="10"/>
  <c r="M1118" i="10"/>
  <c r="M1117" i="10"/>
  <c r="M1116" i="10"/>
  <c r="M1115" i="10"/>
  <c r="M1114" i="10"/>
  <c r="M1113" i="10"/>
  <c r="M1112" i="10"/>
  <c r="M1111" i="10"/>
  <c r="M1110" i="10"/>
  <c r="M1109" i="10"/>
  <c r="M1108" i="10"/>
  <c r="M1107" i="10"/>
  <c r="M1106" i="10"/>
  <c r="M1105" i="10"/>
  <c r="M1104" i="10"/>
  <c r="M1103" i="10"/>
  <c r="M1102" i="10"/>
  <c r="M1101" i="10"/>
  <c r="M1100" i="10"/>
  <c r="M1099" i="10"/>
  <c r="M1098" i="10"/>
  <c r="M1097" i="10"/>
  <c r="M1096" i="10"/>
  <c r="M1095" i="10"/>
  <c r="M1094" i="10"/>
  <c r="M1093" i="10"/>
  <c r="M1092" i="10"/>
  <c r="M1091" i="10"/>
  <c r="M1090" i="10"/>
  <c r="M1089" i="10"/>
  <c r="M1088" i="10"/>
  <c r="M1087" i="10"/>
  <c r="M1086" i="10"/>
  <c r="M1085" i="10"/>
  <c r="M1084" i="10"/>
  <c r="M1083" i="10"/>
  <c r="M1082" i="10"/>
  <c r="M1081" i="10"/>
  <c r="M1080" i="10"/>
  <c r="M1079" i="10"/>
  <c r="M1078" i="10"/>
  <c r="M1077" i="10"/>
  <c r="M1076" i="10"/>
  <c r="M1075" i="10"/>
  <c r="M1074" i="10"/>
  <c r="M1073" i="10"/>
  <c r="M1072" i="10"/>
  <c r="M1071" i="10"/>
  <c r="M1070" i="10"/>
  <c r="M1069" i="10"/>
  <c r="M1068" i="10"/>
  <c r="M1067" i="10"/>
  <c r="M1066" i="10"/>
  <c r="M1065" i="10"/>
  <c r="M1064" i="10"/>
  <c r="M1063" i="10"/>
  <c r="M1062" i="10"/>
  <c r="M1061" i="10"/>
  <c r="M1060" i="10"/>
  <c r="M1059" i="10"/>
  <c r="M1058" i="10"/>
  <c r="M1057" i="10"/>
  <c r="M1056" i="10"/>
  <c r="M1055" i="10"/>
  <c r="M1054" i="10"/>
  <c r="M1053" i="10"/>
  <c r="M1052" i="10"/>
  <c r="M1051" i="10"/>
  <c r="M1050" i="10"/>
  <c r="M1049" i="10"/>
  <c r="M1048" i="10"/>
  <c r="M1047" i="10"/>
  <c r="M1046" i="10"/>
  <c r="M1045" i="10"/>
  <c r="M1044" i="10"/>
  <c r="M1043" i="10"/>
  <c r="M1042" i="10"/>
  <c r="M1041" i="10"/>
  <c r="M1040" i="10"/>
  <c r="M1039" i="10"/>
  <c r="M1038" i="10"/>
  <c r="M1037" i="10"/>
  <c r="M1036" i="10"/>
  <c r="M1035" i="10"/>
  <c r="M1034" i="10"/>
  <c r="M1033" i="10"/>
  <c r="M1032" i="10"/>
  <c r="M1031" i="10"/>
  <c r="M1030" i="10"/>
  <c r="M1029" i="10"/>
  <c r="M1028" i="10"/>
  <c r="M1027" i="10"/>
  <c r="M1026" i="10"/>
  <c r="M1025" i="10"/>
  <c r="M1024" i="10"/>
  <c r="M1023" i="10"/>
  <c r="M1022" i="10"/>
  <c r="M1021" i="10"/>
  <c r="M1020" i="10"/>
  <c r="M1019" i="10"/>
  <c r="M1018" i="10"/>
  <c r="M1017" i="10"/>
  <c r="M1016" i="10"/>
  <c r="M1015" i="10"/>
  <c r="M1014" i="10"/>
  <c r="M1013" i="10"/>
  <c r="M1012" i="10"/>
  <c r="M1011" i="10"/>
  <c r="M1010" i="10"/>
  <c r="M1009" i="10"/>
  <c r="M1008" i="10"/>
  <c r="M1007" i="10"/>
  <c r="M1006" i="10"/>
  <c r="M1005" i="10"/>
  <c r="M1004" i="10"/>
  <c r="M1003" i="10"/>
  <c r="M1002" i="10"/>
  <c r="M1001" i="10"/>
  <c r="M1000" i="10"/>
  <c r="M999" i="10"/>
  <c r="M998" i="10"/>
  <c r="M997" i="10"/>
  <c r="M996" i="10"/>
  <c r="M995" i="10"/>
  <c r="M994" i="10"/>
  <c r="M993" i="10"/>
  <c r="M992" i="10"/>
  <c r="M991" i="10"/>
  <c r="M990" i="10"/>
  <c r="M989" i="10"/>
  <c r="M988" i="10"/>
  <c r="M987" i="10"/>
  <c r="M986" i="10"/>
  <c r="M985" i="10"/>
  <c r="M984" i="10"/>
  <c r="M983" i="10"/>
  <c r="M982" i="10"/>
  <c r="M981" i="10"/>
  <c r="M980" i="10"/>
  <c r="M979" i="10"/>
  <c r="M978" i="10"/>
  <c r="M977" i="10"/>
  <c r="M976" i="10"/>
  <c r="M975" i="10"/>
  <c r="M974" i="10"/>
  <c r="M973" i="10"/>
  <c r="M972" i="10"/>
  <c r="M971" i="10"/>
  <c r="M970" i="10"/>
  <c r="M969" i="10"/>
  <c r="M968" i="10"/>
  <c r="M967" i="10"/>
  <c r="M966" i="10"/>
  <c r="M965" i="10"/>
  <c r="M964" i="10"/>
  <c r="M963" i="10"/>
  <c r="M962" i="10"/>
  <c r="M961" i="10"/>
  <c r="M960" i="10"/>
  <c r="M959" i="10"/>
  <c r="M958" i="10"/>
  <c r="M957" i="10"/>
  <c r="M956" i="10"/>
  <c r="M955" i="10"/>
  <c r="M954" i="10"/>
  <c r="M953" i="10"/>
  <c r="M952" i="10"/>
  <c r="M951" i="10"/>
  <c r="M950" i="10"/>
  <c r="M949" i="10"/>
  <c r="M948" i="10"/>
  <c r="M947" i="10"/>
  <c r="M946" i="10"/>
  <c r="M945" i="10"/>
  <c r="M944" i="10"/>
  <c r="M943" i="10"/>
  <c r="M942" i="10"/>
  <c r="M941" i="10"/>
  <c r="M940" i="10"/>
  <c r="M939" i="10"/>
  <c r="M938" i="10"/>
  <c r="M937" i="10"/>
  <c r="M936" i="10"/>
  <c r="M935" i="10"/>
  <c r="M934" i="10"/>
  <c r="M933" i="10"/>
  <c r="M932" i="10"/>
  <c r="M931" i="10"/>
  <c r="M930" i="10"/>
  <c r="M929" i="10"/>
  <c r="M928" i="10"/>
  <c r="M927" i="10"/>
  <c r="M926" i="10"/>
  <c r="M925" i="10"/>
  <c r="M924" i="10"/>
  <c r="M923" i="10"/>
  <c r="M922" i="10"/>
  <c r="M921" i="10"/>
  <c r="M920" i="10"/>
  <c r="M919" i="10"/>
  <c r="M918" i="10"/>
  <c r="M917" i="10"/>
  <c r="M916" i="10"/>
  <c r="M915" i="10"/>
  <c r="M914" i="10"/>
  <c r="M913" i="10"/>
  <c r="M912" i="10"/>
  <c r="M911" i="10"/>
  <c r="M910" i="10"/>
  <c r="M909" i="10"/>
  <c r="M908" i="10"/>
  <c r="M907" i="10"/>
  <c r="M906" i="10"/>
  <c r="M905" i="10"/>
  <c r="M904" i="10"/>
  <c r="M903" i="10"/>
  <c r="M902" i="10"/>
  <c r="M901" i="10"/>
  <c r="M900" i="10"/>
  <c r="M899" i="10"/>
  <c r="M898" i="10"/>
  <c r="M897" i="10"/>
  <c r="M896" i="10"/>
  <c r="M895" i="10"/>
  <c r="M894" i="10"/>
  <c r="M893" i="10"/>
  <c r="M892" i="10"/>
  <c r="M891" i="10"/>
  <c r="M890" i="10"/>
  <c r="M889" i="10"/>
  <c r="M888" i="10"/>
  <c r="M887" i="10"/>
  <c r="M886" i="10"/>
  <c r="M885" i="10"/>
  <c r="M884" i="10"/>
  <c r="M883" i="10"/>
  <c r="M882" i="10"/>
  <c r="M881" i="10"/>
  <c r="M880" i="10"/>
  <c r="M879" i="10"/>
  <c r="M878" i="10"/>
  <c r="M877" i="10"/>
  <c r="M876" i="10"/>
  <c r="M875" i="10"/>
  <c r="M874" i="10"/>
  <c r="M873" i="10"/>
  <c r="M872" i="10"/>
  <c r="M871" i="10"/>
  <c r="M870" i="10"/>
  <c r="M869" i="10"/>
  <c r="M868" i="10"/>
  <c r="M867" i="10"/>
  <c r="M866" i="10"/>
  <c r="M865" i="10"/>
  <c r="M864" i="10"/>
  <c r="M863" i="10"/>
  <c r="M862" i="10"/>
  <c r="M861" i="10"/>
  <c r="M860" i="10"/>
  <c r="M859" i="10"/>
  <c r="M858" i="10"/>
  <c r="M857" i="10"/>
  <c r="M856" i="10"/>
  <c r="M855" i="10"/>
  <c r="M854" i="10"/>
  <c r="M853" i="10"/>
  <c r="M852" i="10"/>
  <c r="M851" i="10"/>
  <c r="M850" i="10"/>
  <c r="M849" i="10"/>
  <c r="M848" i="10"/>
  <c r="M847" i="10"/>
  <c r="M846" i="10"/>
  <c r="M845" i="10"/>
  <c r="M844" i="10"/>
  <c r="M843" i="10"/>
  <c r="M842" i="10"/>
  <c r="M841" i="10"/>
  <c r="M840" i="10"/>
  <c r="M839" i="10"/>
  <c r="M838" i="10"/>
  <c r="M837" i="10"/>
  <c r="M836" i="10"/>
  <c r="M835" i="10"/>
  <c r="M834" i="10"/>
  <c r="M833" i="10"/>
  <c r="M832" i="10"/>
  <c r="M831" i="10"/>
  <c r="M830" i="10"/>
  <c r="M829" i="10"/>
  <c r="M828" i="10"/>
  <c r="M827" i="10"/>
  <c r="M826" i="10"/>
  <c r="M825" i="10"/>
  <c r="M824" i="10"/>
  <c r="M823" i="10"/>
  <c r="M822" i="10"/>
  <c r="M821" i="10"/>
  <c r="M820" i="10"/>
  <c r="M819" i="10"/>
  <c r="M818" i="10"/>
  <c r="M817" i="10"/>
  <c r="M816" i="10"/>
  <c r="M815" i="10"/>
  <c r="M814" i="10"/>
  <c r="M813" i="10"/>
  <c r="M812" i="10"/>
  <c r="M811" i="10"/>
  <c r="M810" i="10"/>
  <c r="M809" i="10"/>
  <c r="M808" i="10"/>
  <c r="M807" i="10"/>
  <c r="M806" i="10"/>
  <c r="M805" i="10"/>
  <c r="M804" i="10"/>
  <c r="M803" i="10"/>
  <c r="M802" i="10"/>
  <c r="M801" i="10"/>
  <c r="M800" i="10"/>
  <c r="M799" i="10"/>
  <c r="M798" i="10"/>
  <c r="M797" i="10"/>
  <c r="M796" i="10"/>
  <c r="M795" i="10"/>
  <c r="M794" i="10"/>
  <c r="M793" i="10"/>
  <c r="M792" i="10"/>
  <c r="M791" i="10"/>
  <c r="M790" i="10"/>
  <c r="M789" i="10"/>
  <c r="M788" i="10"/>
  <c r="M787" i="10"/>
  <c r="M786" i="10"/>
  <c r="M785" i="10"/>
  <c r="M784" i="10"/>
  <c r="M783" i="10"/>
  <c r="M782" i="10"/>
  <c r="M781" i="10"/>
  <c r="M780" i="10"/>
  <c r="M779" i="10"/>
  <c r="M778" i="10"/>
  <c r="M777" i="10"/>
  <c r="M776" i="10"/>
  <c r="M775" i="10"/>
  <c r="M774" i="10"/>
  <c r="M773" i="10"/>
  <c r="M772" i="10"/>
  <c r="M771" i="10"/>
  <c r="M770" i="10"/>
  <c r="M769" i="10"/>
  <c r="M768" i="10"/>
  <c r="M767" i="10"/>
  <c r="M766" i="10"/>
  <c r="M765" i="10"/>
  <c r="M764" i="10"/>
  <c r="M763" i="10"/>
  <c r="M762" i="10"/>
  <c r="M761" i="10"/>
  <c r="M760" i="10"/>
  <c r="M759" i="10"/>
  <c r="M758" i="10"/>
  <c r="M757" i="10"/>
  <c r="M756" i="10"/>
  <c r="M755" i="10"/>
  <c r="M754" i="10"/>
  <c r="M753" i="10"/>
  <c r="M752" i="10"/>
  <c r="M751" i="10"/>
  <c r="M750" i="10"/>
  <c r="M749" i="10"/>
  <c r="M748" i="10"/>
  <c r="M747" i="10"/>
  <c r="M746" i="10"/>
  <c r="M745" i="10"/>
  <c r="M744" i="10"/>
  <c r="M743" i="10"/>
  <c r="M742" i="10"/>
  <c r="M741" i="10"/>
  <c r="M740" i="10"/>
  <c r="M739" i="10"/>
  <c r="M738" i="10"/>
  <c r="M737" i="10"/>
  <c r="M736" i="10"/>
  <c r="M735" i="10"/>
  <c r="M734" i="10"/>
  <c r="M733" i="10"/>
  <c r="M732" i="10"/>
  <c r="M731" i="10"/>
  <c r="M730" i="10"/>
  <c r="M729" i="10"/>
  <c r="M728" i="10"/>
  <c r="M727" i="10"/>
  <c r="M726" i="10"/>
  <c r="M725" i="10"/>
  <c r="M724" i="10"/>
  <c r="M723" i="10"/>
  <c r="M722" i="10"/>
  <c r="M721" i="10"/>
  <c r="M720" i="10"/>
  <c r="M719" i="10"/>
  <c r="M718" i="10"/>
  <c r="M717" i="10"/>
  <c r="M716" i="10"/>
  <c r="M715" i="10"/>
  <c r="M714" i="10"/>
  <c r="M713" i="10"/>
  <c r="M712" i="10"/>
  <c r="M711" i="10"/>
  <c r="M710" i="10"/>
  <c r="M709" i="10"/>
  <c r="M708" i="10"/>
  <c r="M707" i="10"/>
  <c r="M706" i="10"/>
  <c r="M705" i="10"/>
  <c r="M704" i="10"/>
  <c r="M703" i="10"/>
  <c r="M702" i="10"/>
  <c r="M701" i="10"/>
  <c r="M700" i="10"/>
  <c r="M699" i="10"/>
  <c r="M698" i="10"/>
  <c r="M697" i="10"/>
  <c r="M696" i="10"/>
  <c r="M695" i="10"/>
  <c r="M694" i="10"/>
  <c r="M693" i="10"/>
  <c r="M692" i="10"/>
  <c r="M691" i="10"/>
  <c r="M690" i="10"/>
  <c r="M689" i="10"/>
  <c r="M688" i="10"/>
  <c r="M687" i="10"/>
  <c r="M686" i="10"/>
  <c r="M685" i="10"/>
  <c r="M684" i="10"/>
  <c r="M683" i="10"/>
  <c r="M682" i="10"/>
  <c r="M681" i="10"/>
  <c r="M680" i="10"/>
  <c r="M679" i="10"/>
  <c r="M678" i="10"/>
  <c r="M677" i="10"/>
  <c r="M676" i="10"/>
  <c r="M675" i="10"/>
  <c r="M674" i="10"/>
  <c r="M673" i="10"/>
  <c r="M672" i="10"/>
  <c r="M671" i="10"/>
  <c r="M670" i="10"/>
  <c r="M669" i="10"/>
  <c r="M668" i="10"/>
  <c r="M667" i="10"/>
  <c r="M666" i="10"/>
  <c r="M665" i="10"/>
  <c r="M664" i="10"/>
  <c r="M663" i="10"/>
  <c r="M662" i="10"/>
  <c r="M661" i="10"/>
  <c r="M660" i="10"/>
  <c r="M659" i="10"/>
  <c r="M658" i="10"/>
  <c r="M657" i="10"/>
  <c r="M656" i="10"/>
  <c r="M655" i="10"/>
  <c r="M654" i="10"/>
  <c r="M653" i="10"/>
  <c r="M652" i="10"/>
  <c r="M651" i="10"/>
  <c r="M650" i="10"/>
  <c r="M649" i="10"/>
  <c r="M648" i="10"/>
  <c r="M647" i="10"/>
  <c r="M646" i="10"/>
  <c r="M645" i="10"/>
  <c r="M644" i="10"/>
  <c r="M643" i="10"/>
  <c r="M642" i="10"/>
  <c r="M641" i="10"/>
  <c r="M640" i="10"/>
  <c r="M639" i="10"/>
  <c r="M638" i="10"/>
  <c r="M637" i="10"/>
  <c r="M636" i="10"/>
  <c r="M635" i="10"/>
  <c r="M634" i="10"/>
  <c r="M633" i="10"/>
  <c r="M632" i="10"/>
  <c r="M631" i="10"/>
  <c r="M630" i="10"/>
  <c r="M629" i="10"/>
  <c r="M628" i="10"/>
  <c r="M627" i="10"/>
  <c r="M626" i="10"/>
  <c r="M625" i="10"/>
  <c r="M624" i="10"/>
  <c r="M623" i="10"/>
  <c r="M622" i="10"/>
  <c r="M621" i="10"/>
  <c r="M620" i="10"/>
  <c r="M619" i="10"/>
  <c r="M618" i="10"/>
  <c r="M617" i="10"/>
  <c r="M616" i="10"/>
  <c r="M615" i="10"/>
  <c r="M614" i="10"/>
  <c r="M613" i="10"/>
  <c r="M612" i="10"/>
  <c r="M611" i="10"/>
  <c r="M610" i="10"/>
  <c r="M609" i="10"/>
  <c r="M608" i="10"/>
  <c r="M607" i="10"/>
  <c r="M606" i="10"/>
  <c r="M605" i="10"/>
  <c r="M604" i="10"/>
  <c r="M603" i="10"/>
  <c r="M602" i="10"/>
  <c r="M601" i="10"/>
  <c r="M600" i="10"/>
  <c r="M599" i="10"/>
  <c r="M598" i="10"/>
  <c r="M597" i="10"/>
  <c r="M596" i="10"/>
  <c r="M595" i="10"/>
  <c r="M594" i="10"/>
  <c r="M593" i="10"/>
  <c r="M592" i="10"/>
  <c r="M591" i="10"/>
  <c r="M590" i="10"/>
  <c r="M589" i="10"/>
  <c r="M588" i="10"/>
  <c r="M587" i="10"/>
  <c r="M586" i="10"/>
  <c r="M585" i="10"/>
  <c r="M584" i="10"/>
  <c r="M583" i="10"/>
  <c r="M582" i="10"/>
  <c r="M581" i="10"/>
  <c r="M580" i="10"/>
  <c r="M579" i="10"/>
  <c r="M578" i="10"/>
  <c r="M577" i="10"/>
  <c r="M576" i="10"/>
  <c r="M575" i="10"/>
  <c r="M574" i="10"/>
  <c r="M573" i="10"/>
  <c r="M572" i="10"/>
  <c r="M571" i="10"/>
  <c r="M570" i="10"/>
  <c r="M569" i="10"/>
  <c r="M568" i="10"/>
  <c r="M567" i="10"/>
  <c r="M566" i="10"/>
  <c r="M565" i="10"/>
  <c r="M564" i="10"/>
  <c r="M563" i="10"/>
  <c r="M562" i="10"/>
  <c r="M561" i="10"/>
  <c r="M560" i="10"/>
  <c r="M559" i="10"/>
  <c r="M558" i="10"/>
  <c r="M557" i="10"/>
  <c r="M556" i="10"/>
  <c r="M555" i="10"/>
  <c r="M554" i="10"/>
  <c r="M553" i="10"/>
  <c r="M552" i="10"/>
  <c r="M551" i="10"/>
  <c r="M550" i="10"/>
  <c r="M549" i="10"/>
  <c r="M548" i="10"/>
  <c r="M547" i="10"/>
  <c r="M546" i="10"/>
  <c r="M545" i="10"/>
  <c r="M544" i="10"/>
  <c r="M543" i="10"/>
  <c r="M542" i="10"/>
  <c r="M541" i="10"/>
  <c r="M540" i="10"/>
  <c r="M539" i="10"/>
  <c r="M538" i="10"/>
  <c r="M537" i="10"/>
  <c r="M536" i="10"/>
  <c r="M535" i="10"/>
  <c r="M534" i="10"/>
  <c r="M533" i="10"/>
  <c r="M532" i="10"/>
  <c r="M531" i="10"/>
  <c r="M530" i="10"/>
  <c r="M529" i="10"/>
  <c r="M528" i="10"/>
  <c r="M527" i="10"/>
  <c r="M526" i="10"/>
  <c r="M525" i="10"/>
  <c r="M524" i="10"/>
  <c r="M523" i="10"/>
  <c r="M522" i="10"/>
  <c r="M521" i="10"/>
  <c r="M520" i="10"/>
  <c r="M519" i="10"/>
  <c r="M518" i="10"/>
  <c r="M517" i="10"/>
  <c r="M516" i="10"/>
  <c r="M515" i="10"/>
  <c r="M514" i="10"/>
  <c r="M513" i="10"/>
  <c r="M512" i="10"/>
  <c r="M511" i="10"/>
  <c r="M510" i="10"/>
  <c r="M509" i="10"/>
  <c r="M508" i="10"/>
  <c r="M507" i="10"/>
  <c r="M506" i="10"/>
  <c r="M505" i="10"/>
  <c r="M504" i="10"/>
  <c r="M503" i="10"/>
  <c r="M502" i="10"/>
  <c r="M501" i="10"/>
  <c r="M500" i="10"/>
  <c r="M499" i="10"/>
  <c r="M498" i="10"/>
  <c r="M497" i="10"/>
  <c r="M496" i="10"/>
  <c r="M495" i="10"/>
  <c r="M494" i="10"/>
  <c r="M493" i="10"/>
  <c r="M492" i="10"/>
  <c r="M491" i="10"/>
  <c r="M490" i="10"/>
  <c r="M489" i="10"/>
  <c r="M488" i="10"/>
  <c r="M487" i="10"/>
  <c r="M486" i="10"/>
  <c r="M485" i="10"/>
  <c r="M484" i="10"/>
  <c r="M483" i="10"/>
  <c r="M482" i="10"/>
  <c r="M481" i="10"/>
  <c r="M480" i="10"/>
  <c r="M479" i="10"/>
  <c r="M478" i="10"/>
  <c r="M477" i="10"/>
  <c r="M476" i="10"/>
  <c r="M475" i="10"/>
  <c r="M474" i="10"/>
  <c r="M473" i="10"/>
  <c r="M472" i="10"/>
  <c r="M471" i="10"/>
  <c r="M470" i="10"/>
  <c r="M469" i="10"/>
  <c r="M468" i="10"/>
  <c r="M467" i="10"/>
  <c r="M466" i="10"/>
  <c r="M465" i="10"/>
  <c r="M464" i="10"/>
  <c r="M463" i="10"/>
  <c r="M462" i="10"/>
  <c r="M461" i="10"/>
  <c r="M460" i="10"/>
  <c r="M459" i="10"/>
  <c r="M458" i="10"/>
  <c r="M457" i="10"/>
  <c r="M456" i="10"/>
  <c r="M455" i="10"/>
  <c r="M454" i="10"/>
  <c r="M453" i="10"/>
  <c r="M452" i="10"/>
  <c r="M451" i="10"/>
  <c r="M450" i="10"/>
  <c r="M449" i="10"/>
  <c r="M448" i="10"/>
  <c r="M447" i="10"/>
  <c r="M446" i="10"/>
  <c r="M445" i="10"/>
  <c r="M444" i="10"/>
  <c r="M443" i="10"/>
  <c r="M442" i="10"/>
  <c r="M441" i="10"/>
  <c r="M440" i="10"/>
  <c r="M439" i="10"/>
  <c r="M438" i="10"/>
  <c r="M437" i="10"/>
  <c r="M436" i="10"/>
  <c r="M435" i="10"/>
  <c r="M434" i="10"/>
  <c r="M433" i="10"/>
  <c r="M432" i="10"/>
  <c r="M431" i="10"/>
  <c r="M430" i="10"/>
  <c r="M429" i="10"/>
  <c r="M428" i="10"/>
  <c r="M427" i="10"/>
  <c r="M426" i="10"/>
  <c r="M425" i="10"/>
  <c r="M424" i="10"/>
  <c r="M423" i="10"/>
  <c r="M422" i="10"/>
  <c r="M421" i="10"/>
  <c r="M420" i="10"/>
  <c r="M419" i="10"/>
  <c r="M418" i="10"/>
  <c r="M417" i="10"/>
  <c r="M416" i="10"/>
  <c r="M415" i="10"/>
  <c r="M414" i="10"/>
  <c r="M413" i="10"/>
  <c r="M412" i="10"/>
  <c r="M411" i="10"/>
  <c r="M410" i="10"/>
  <c r="M409" i="10"/>
  <c r="M408" i="10"/>
  <c r="M407" i="10"/>
  <c r="M406" i="10"/>
  <c r="M405" i="10"/>
  <c r="M404" i="10"/>
  <c r="M403" i="10"/>
  <c r="M402" i="10"/>
  <c r="M401" i="10"/>
  <c r="M400" i="10"/>
  <c r="M399" i="10"/>
  <c r="M398" i="10"/>
  <c r="M397" i="10"/>
  <c r="M396" i="10"/>
  <c r="M395" i="10"/>
  <c r="M394" i="10"/>
  <c r="M393" i="10"/>
  <c r="M392" i="10"/>
  <c r="M391" i="10"/>
  <c r="M390" i="10"/>
  <c r="M389" i="10"/>
  <c r="M388" i="10"/>
  <c r="M387" i="10"/>
  <c r="M386" i="10"/>
  <c r="M385" i="10"/>
  <c r="M384" i="10"/>
  <c r="M383" i="10"/>
  <c r="M382" i="10"/>
  <c r="M381" i="10"/>
  <c r="M380" i="10"/>
  <c r="M379" i="10"/>
  <c r="M378" i="10"/>
  <c r="M377" i="10"/>
  <c r="M376" i="10"/>
  <c r="M375" i="10"/>
  <c r="M374" i="10"/>
  <c r="M373" i="10"/>
  <c r="M372" i="10"/>
  <c r="M371" i="10"/>
  <c r="M370" i="10"/>
  <c r="M369" i="10"/>
  <c r="M368" i="10"/>
  <c r="M367" i="10"/>
  <c r="M366" i="10"/>
  <c r="M365" i="10"/>
  <c r="M364" i="10"/>
  <c r="M363" i="10"/>
  <c r="M362" i="10"/>
  <c r="M361" i="10"/>
  <c r="M360" i="10"/>
  <c r="M359" i="10"/>
  <c r="M358" i="10"/>
  <c r="M357" i="10"/>
  <c r="M356" i="10"/>
  <c r="M355" i="10"/>
  <c r="M354" i="10"/>
  <c r="M353" i="10"/>
  <c r="M352" i="10"/>
  <c r="M351" i="10"/>
  <c r="M350" i="10"/>
  <c r="M349" i="10"/>
  <c r="M348" i="10"/>
  <c r="M347" i="10"/>
  <c r="M346" i="10"/>
  <c r="M345" i="10"/>
  <c r="M344" i="10"/>
  <c r="M343" i="10"/>
  <c r="M342" i="10"/>
  <c r="M341" i="10"/>
  <c r="M340" i="10"/>
  <c r="M339" i="10"/>
  <c r="M338" i="10"/>
  <c r="M337" i="10"/>
  <c r="M336" i="10"/>
  <c r="M335" i="10"/>
  <c r="M334" i="10"/>
  <c r="M333" i="10"/>
  <c r="M332" i="10"/>
  <c r="M331" i="10"/>
  <c r="M330" i="10"/>
  <c r="M329" i="10"/>
  <c r="M328" i="10"/>
  <c r="M327" i="10"/>
  <c r="M326" i="10"/>
  <c r="M325" i="10"/>
  <c r="M324" i="10"/>
  <c r="M323" i="10"/>
  <c r="M322" i="10"/>
  <c r="M321" i="10"/>
  <c r="M320" i="10"/>
  <c r="M319" i="10"/>
  <c r="M318" i="10"/>
  <c r="M317" i="10"/>
  <c r="M316" i="10"/>
  <c r="M315" i="10"/>
  <c r="M314" i="10"/>
  <c r="M313" i="10"/>
  <c r="M312" i="10"/>
  <c r="M311" i="10"/>
  <c r="M310" i="10"/>
  <c r="M309" i="10"/>
  <c r="M308" i="10"/>
  <c r="M307" i="10"/>
  <c r="M306" i="10"/>
  <c r="M305" i="10"/>
  <c r="M304" i="10"/>
  <c r="M303" i="10"/>
  <c r="M302" i="10"/>
  <c r="M301" i="10"/>
  <c r="M300" i="10"/>
  <c r="M299" i="10"/>
  <c r="M298" i="10"/>
  <c r="M297" i="10"/>
  <c r="M296" i="10"/>
  <c r="M295" i="10"/>
  <c r="M294" i="10"/>
  <c r="M293" i="10"/>
  <c r="M292" i="10"/>
  <c r="M291" i="10"/>
  <c r="M290" i="10"/>
  <c r="M289" i="10"/>
  <c r="M288" i="10"/>
  <c r="M287" i="10"/>
  <c r="M286" i="10"/>
  <c r="M285" i="10"/>
  <c r="M284" i="10"/>
  <c r="M283" i="10"/>
  <c r="M282" i="10"/>
  <c r="M281" i="10"/>
  <c r="M280" i="10"/>
  <c r="M279" i="10"/>
  <c r="M278" i="10"/>
  <c r="M277" i="10"/>
  <c r="M276" i="10"/>
  <c r="M275" i="10"/>
  <c r="M274" i="10"/>
  <c r="M273" i="10"/>
  <c r="M272" i="10"/>
  <c r="M271" i="10"/>
  <c r="M270" i="10"/>
  <c r="M269" i="10"/>
  <c r="M268" i="10"/>
  <c r="M267" i="10"/>
  <c r="M266" i="10"/>
  <c r="M265" i="10"/>
  <c r="M264" i="10"/>
  <c r="M263" i="10"/>
  <c r="M262" i="10"/>
  <c r="M261" i="10"/>
  <c r="M260" i="10"/>
  <c r="M259" i="10"/>
  <c r="M258" i="10"/>
  <c r="M257" i="10"/>
  <c r="M256" i="10"/>
  <c r="M255" i="10"/>
  <c r="M254" i="10"/>
  <c r="M253" i="10"/>
  <c r="M252" i="10"/>
  <c r="M251" i="10"/>
  <c r="M250" i="10"/>
  <c r="M249" i="10"/>
  <c r="M248" i="10"/>
  <c r="M247" i="10"/>
  <c r="M246" i="10"/>
  <c r="M245" i="10"/>
  <c r="M244" i="10"/>
  <c r="M243" i="10"/>
  <c r="M242" i="10"/>
  <c r="M241" i="10"/>
  <c r="M240" i="10"/>
  <c r="M239" i="10"/>
  <c r="M238" i="10"/>
  <c r="M237" i="10"/>
  <c r="M236" i="10"/>
  <c r="M235" i="10"/>
  <c r="M234" i="10"/>
  <c r="M233" i="10"/>
  <c r="M232" i="10"/>
  <c r="M231" i="10"/>
  <c r="M230" i="10"/>
  <c r="M229" i="10"/>
  <c r="M228" i="10"/>
  <c r="M227" i="10"/>
  <c r="M226" i="10"/>
  <c r="M225" i="10"/>
  <c r="M224" i="10"/>
  <c r="M223" i="10"/>
  <c r="M222" i="10"/>
  <c r="M221" i="10"/>
  <c r="M220" i="10"/>
  <c r="M219" i="10"/>
  <c r="M218" i="10"/>
  <c r="M217" i="10"/>
  <c r="M216" i="10"/>
  <c r="M215" i="10"/>
  <c r="M214" i="10"/>
  <c r="M213" i="10"/>
  <c r="M212" i="10"/>
  <c r="M211" i="10"/>
  <c r="M210" i="10"/>
  <c r="M209" i="10"/>
  <c r="M208" i="10"/>
  <c r="M207" i="10"/>
  <c r="M206" i="10"/>
  <c r="M205" i="10"/>
  <c r="M204" i="10"/>
  <c r="M203" i="10"/>
  <c r="M202" i="10"/>
  <c r="M201" i="10"/>
  <c r="M200" i="10"/>
  <c r="M199" i="10"/>
  <c r="M198" i="10"/>
  <c r="M197" i="10"/>
  <c r="M196" i="10"/>
  <c r="M195" i="10"/>
  <c r="M194" i="10"/>
  <c r="M193" i="10"/>
  <c r="M192" i="10"/>
  <c r="M191" i="10"/>
  <c r="M190" i="10"/>
  <c r="M189" i="10"/>
  <c r="M188" i="10"/>
  <c r="M187" i="10"/>
  <c r="M186" i="10"/>
  <c r="M185" i="10"/>
  <c r="M184" i="10"/>
  <c r="M183" i="10"/>
  <c r="M182" i="10"/>
  <c r="M181" i="10"/>
  <c r="M180" i="10"/>
  <c r="M179" i="10"/>
  <c r="M178" i="10"/>
  <c r="M177" i="10"/>
  <c r="M176" i="10"/>
  <c r="M175" i="10"/>
  <c r="M174" i="10"/>
  <c r="M173" i="10"/>
  <c r="M172" i="10"/>
  <c r="M171" i="10"/>
  <c r="M170" i="10"/>
  <c r="M169" i="10"/>
  <c r="M168" i="10"/>
  <c r="M167" i="10"/>
  <c r="M166" i="10"/>
  <c r="M165" i="10"/>
  <c r="M164" i="10"/>
  <c r="M163" i="10"/>
  <c r="M162" i="10"/>
  <c r="M161" i="10"/>
  <c r="M160" i="10"/>
  <c r="M159" i="10"/>
  <c r="M158" i="10"/>
  <c r="M157" i="10"/>
  <c r="M156" i="10"/>
  <c r="M155" i="10"/>
  <c r="M154" i="10"/>
  <c r="M153" i="10"/>
  <c r="M152" i="10"/>
  <c r="M151" i="10"/>
  <c r="M150" i="10"/>
  <c r="M149" i="10"/>
  <c r="M148" i="10"/>
  <c r="M147" i="10"/>
  <c r="M146" i="10"/>
  <c r="M145" i="10"/>
  <c r="M144" i="10"/>
  <c r="M143" i="10"/>
  <c r="M142" i="10"/>
  <c r="M141" i="10"/>
  <c r="M140" i="10"/>
  <c r="M139" i="10"/>
  <c r="M138" i="10"/>
  <c r="M137" i="10"/>
  <c r="M136" i="10"/>
  <c r="M135" i="10"/>
  <c r="M134" i="10"/>
  <c r="M133" i="10"/>
  <c r="M132" i="10"/>
  <c r="M131" i="10"/>
  <c r="M130" i="10"/>
  <c r="M129" i="10"/>
  <c r="M128" i="10"/>
  <c r="M127" i="10"/>
  <c r="M126" i="10"/>
  <c r="M125" i="10"/>
  <c r="M124" i="10"/>
  <c r="M123" i="10"/>
  <c r="M122" i="10"/>
  <c r="M121" i="10"/>
  <c r="M120" i="10"/>
  <c r="M119" i="10"/>
  <c r="M118" i="10"/>
  <c r="M117" i="10"/>
  <c r="M116" i="10"/>
  <c r="M115" i="10"/>
  <c r="M114" i="10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L2855" i="10"/>
  <c r="L2854" i="10"/>
  <c r="L2853" i="10"/>
  <c r="L2852" i="10"/>
  <c r="L2851" i="10"/>
  <c r="L2850" i="10"/>
  <c r="L2849" i="10"/>
  <c r="L2848" i="10"/>
  <c r="L2847" i="10"/>
  <c r="L2846" i="10"/>
  <c r="L2845" i="10"/>
  <c r="L2844" i="10"/>
  <c r="L2843" i="10"/>
  <c r="L2842" i="10"/>
  <c r="L2841" i="10"/>
  <c r="L2840" i="10"/>
  <c r="L2839" i="10"/>
  <c r="L2838" i="10"/>
  <c r="L2837" i="10"/>
  <c r="L2836" i="10"/>
  <c r="L2835" i="10"/>
  <c r="L2834" i="10"/>
  <c r="L2833" i="10"/>
  <c r="L2832" i="10"/>
  <c r="L2831" i="10"/>
  <c r="L2830" i="10"/>
  <c r="L2829" i="10"/>
  <c r="L2828" i="10"/>
  <c r="L2827" i="10"/>
  <c r="L2826" i="10"/>
  <c r="L2825" i="10"/>
  <c r="L2824" i="10"/>
  <c r="L2823" i="10"/>
  <c r="L2822" i="10"/>
  <c r="L2821" i="10"/>
  <c r="L2820" i="10"/>
  <c r="L2819" i="10"/>
  <c r="L2818" i="10"/>
  <c r="L2817" i="10"/>
  <c r="L2816" i="10"/>
  <c r="L2815" i="10"/>
  <c r="L2814" i="10"/>
  <c r="L2813" i="10"/>
  <c r="L2812" i="10"/>
  <c r="L2811" i="10"/>
  <c r="L2810" i="10"/>
  <c r="L2809" i="10"/>
  <c r="L2808" i="10"/>
  <c r="L2807" i="10"/>
  <c r="L2806" i="10"/>
  <c r="L2805" i="10"/>
  <c r="L2804" i="10"/>
  <c r="L2803" i="10"/>
  <c r="L2802" i="10"/>
  <c r="L2801" i="10"/>
  <c r="L2800" i="10"/>
  <c r="L2799" i="10"/>
  <c r="L2798" i="10"/>
  <c r="L2797" i="10"/>
  <c r="L2796" i="10"/>
  <c r="L2795" i="10"/>
  <c r="L2794" i="10"/>
  <c r="L2793" i="10"/>
  <c r="L2792" i="10"/>
  <c r="L2791" i="10"/>
  <c r="L2790" i="10"/>
  <c r="L2789" i="10"/>
  <c r="L2788" i="10"/>
  <c r="L2787" i="10"/>
  <c r="L2786" i="10"/>
  <c r="L2785" i="10"/>
  <c r="L2784" i="10"/>
  <c r="L2783" i="10"/>
  <c r="L2782" i="10"/>
  <c r="L2781" i="10"/>
  <c r="L2780" i="10"/>
  <c r="L2779" i="10"/>
  <c r="L2778" i="10"/>
  <c r="L2777" i="10"/>
  <c r="L2776" i="10"/>
  <c r="L2775" i="10"/>
  <c r="L2774" i="10"/>
  <c r="L2773" i="10"/>
  <c r="L2772" i="10"/>
  <c r="L2771" i="10"/>
  <c r="L2770" i="10"/>
  <c r="L2769" i="10"/>
  <c r="L2768" i="10"/>
  <c r="L2767" i="10"/>
  <c r="L2766" i="10"/>
  <c r="L2765" i="10"/>
  <c r="L2764" i="10"/>
  <c r="L2763" i="10"/>
  <c r="L2762" i="10"/>
  <c r="L2761" i="10"/>
  <c r="L2760" i="10"/>
  <c r="L2759" i="10"/>
  <c r="L2758" i="10"/>
  <c r="L2757" i="10"/>
  <c r="L2756" i="10"/>
  <c r="L2755" i="10"/>
  <c r="L2754" i="10"/>
  <c r="L2753" i="10"/>
  <c r="L2752" i="10"/>
  <c r="L2751" i="10"/>
  <c r="L2750" i="10"/>
  <c r="L2749" i="10"/>
  <c r="L2748" i="10"/>
  <c r="L2747" i="10"/>
  <c r="L2746" i="10"/>
  <c r="L2745" i="10"/>
  <c r="L2744" i="10"/>
  <c r="L2743" i="10"/>
  <c r="L2742" i="10"/>
  <c r="L2741" i="10"/>
  <c r="L2740" i="10"/>
  <c r="L2739" i="10"/>
  <c r="L2738" i="10"/>
  <c r="L2737" i="10"/>
  <c r="L2736" i="10"/>
  <c r="L2735" i="10"/>
  <c r="L2734" i="10"/>
  <c r="L2733" i="10"/>
  <c r="L2732" i="10"/>
  <c r="L2731" i="10"/>
  <c r="L2730" i="10"/>
  <c r="L2729" i="10"/>
  <c r="L2728" i="10"/>
  <c r="L2727" i="10"/>
  <c r="L2726" i="10"/>
  <c r="L2725" i="10"/>
  <c r="L2724" i="10"/>
  <c r="L2723" i="10"/>
  <c r="L2722" i="10"/>
  <c r="L2721" i="10"/>
  <c r="L2720" i="10"/>
  <c r="L2719" i="10"/>
  <c r="L2718" i="10"/>
  <c r="L2717" i="10"/>
  <c r="L2716" i="10"/>
  <c r="L2715" i="10"/>
  <c r="L2714" i="10"/>
  <c r="L2713" i="10"/>
  <c r="L2712" i="10"/>
  <c r="L2711" i="10"/>
  <c r="L2710" i="10"/>
  <c r="L2709" i="10"/>
  <c r="L2708" i="10"/>
  <c r="L2707" i="10"/>
  <c r="L2706" i="10"/>
  <c r="L2705" i="10"/>
  <c r="L2704" i="10"/>
  <c r="L2703" i="10"/>
  <c r="L2702" i="10"/>
  <c r="L2701" i="10"/>
  <c r="L2700" i="10"/>
  <c r="L2699" i="10"/>
  <c r="L2698" i="10"/>
  <c r="L2697" i="10"/>
  <c r="L2696" i="10"/>
  <c r="L2695" i="10"/>
  <c r="L2694" i="10"/>
  <c r="L2693" i="10"/>
  <c r="L2692" i="10"/>
  <c r="L2691" i="10"/>
  <c r="L2690" i="10"/>
  <c r="L2689" i="10"/>
  <c r="L2688" i="10"/>
  <c r="L2687" i="10"/>
  <c r="L2686" i="10"/>
  <c r="L2685" i="10"/>
  <c r="L2684" i="10"/>
  <c r="L2683" i="10"/>
  <c r="L2682" i="10"/>
  <c r="L2681" i="10"/>
  <c r="L2680" i="10"/>
  <c r="L2679" i="10"/>
  <c r="L2678" i="10"/>
  <c r="L2677" i="10"/>
  <c r="L2676" i="10"/>
  <c r="L2675" i="10"/>
  <c r="L2674" i="10"/>
  <c r="L2673" i="10"/>
  <c r="L2672" i="10"/>
  <c r="L2671" i="10"/>
  <c r="L2670" i="10"/>
  <c r="L2669" i="10"/>
  <c r="L2668" i="10"/>
  <c r="L2667" i="10"/>
  <c r="L2666" i="10"/>
  <c r="L2665" i="10"/>
  <c r="L2664" i="10"/>
  <c r="L2663" i="10"/>
  <c r="L2662" i="10"/>
  <c r="L2661" i="10"/>
  <c r="L2660" i="10"/>
  <c r="L2659" i="10"/>
  <c r="L2658" i="10"/>
  <c r="L2657" i="10"/>
  <c r="L2656" i="10"/>
  <c r="L2655" i="10"/>
  <c r="L2654" i="10"/>
  <c r="L2653" i="10"/>
  <c r="L2652" i="10"/>
  <c r="L2651" i="10"/>
  <c r="L2650" i="10"/>
  <c r="L2649" i="10"/>
  <c r="L2648" i="10"/>
  <c r="L2647" i="10"/>
  <c r="L2646" i="10"/>
  <c r="L2645" i="10"/>
  <c r="L2644" i="10"/>
  <c r="L2643" i="10"/>
  <c r="L2642" i="10"/>
  <c r="L2641" i="10"/>
  <c r="L2640" i="10"/>
  <c r="L2639" i="10"/>
  <c r="L2638" i="10"/>
  <c r="L2637" i="10"/>
  <c r="L2636" i="10"/>
  <c r="L2635" i="10"/>
  <c r="L2634" i="10"/>
  <c r="L2633" i="10"/>
  <c r="L2632" i="10"/>
  <c r="L2631" i="10"/>
  <c r="L2630" i="10"/>
  <c r="L2629" i="10"/>
  <c r="L2628" i="10"/>
  <c r="L2627" i="10"/>
  <c r="L2626" i="10"/>
  <c r="L2625" i="10"/>
  <c r="L2624" i="10"/>
  <c r="L2623" i="10"/>
  <c r="L2622" i="10"/>
  <c r="L2621" i="10"/>
  <c r="L2620" i="10"/>
  <c r="L2619" i="10"/>
  <c r="L2618" i="10"/>
  <c r="L2617" i="10"/>
  <c r="L2616" i="10"/>
  <c r="L2615" i="10"/>
  <c r="L2614" i="10"/>
  <c r="L2613" i="10"/>
  <c r="L2612" i="10"/>
  <c r="L2611" i="10"/>
  <c r="L2610" i="10"/>
  <c r="L2609" i="10"/>
  <c r="L2608" i="10"/>
  <c r="L2607" i="10"/>
  <c r="L2606" i="10"/>
  <c r="L2605" i="10"/>
  <c r="L2604" i="10"/>
  <c r="L2603" i="10"/>
  <c r="L2602" i="10"/>
  <c r="L2601" i="10"/>
  <c r="L2600" i="10"/>
  <c r="L2599" i="10"/>
  <c r="L2598" i="10"/>
  <c r="L2597" i="10"/>
  <c r="L2596" i="10"/>
  <c r="L2595" i="10"/>
  <c r="L2594" i="10"/>
  <c r="L2593" i="10"/>
  <c r="L2592" i="10"/>
  <c r="L2591" i="10"/>
  <c r="L2590" i="10"/>
  <c r="L2589" i="10"/>
  <c r="L2588" i="10"/>
  <c r="L2587" i="10"/>
  <c r="L2586" i="10"/>
  <c r="L2585" i="10"/>
  <c r="L2584" i="10"/>
  <c r="L2583" i="10"/>
  <c r="L2582" i="10"/>
  <c r="L2581" i="10"/>
  <c r="L2580" i="10"/>
  <c r="L2579" i="10"/>
  <c r="L2578" i="10"/>
  <c r="L2577" i="10"/>
  <c r="L2576" i="10"/>
  <c r="L2575" i="10"/>
  <c r="L2574" i="10"/>
  <c r="L2573" i="10"/>
  <c r="L2572" i="10"/>
  <c r="L2571" i="10"/>
  <c r="L2570" i="10"/>
  <c r="L2569" i="10"/>
  <c r="L2568" i="10"/>
  <c r="L2567" i="10"/>
  <c r="L2566" i="10"/>
  <c r="L2565" i="10"/>
  <c r="L2564" i="10"/>
  <c r="L2563" i="10"/>
  <c r="L2562" i="10"/>
  <c r="L2561" i="10"/>
  <c r="L2560" i="10"/>
  <c r="L2559" i="10"/>
  <c r="L2558" i="10"/>
  <c r="L2557" i="10"/>
  <c r="L2556" i="10"/>
  <c r="L2555" i="10"/>
  <c r="L2554" i="10"/>
  <c r="L2553" i="10"/>
  <c r="L2552" i="10"/>
  <c r="L2551" i="10"/>
  <c r="L2550" i="10"/>
  <c r="L2549" i="10"/>
  <c r="L2548" i="10"/>
  <c r="L2547" i="10"/>
  <c r="L2546" i="10"/>
  <c r="L2545" i="10"/>
  <c r="L2544" i="10"/>
  <c r="L2543" i="10"/>
  <c r="L2542" i="10"/>
  <c r="L2541" i="10"/>
  <c r="L2540" i="10"/>
  <c r="L2539" i="10"/>
  <c r="L2538" i="10"/>
  <c r="L2537" i="10"/>
  <c r="L2536" i="10"/>
  <c r="L2535" i="10"/>
  <c r="L2534" i="10"/>
  <c r="L2533" i="10"/>
  <c r="L2532" i="10"/>
  <c r="L2531" i="10"/>
  <c r="L2530" i="10"/>
  <c r="L2529" i="10"/>
  <c r="L2528" i="10"/>
  <c r="L2527" i="10"/>
  <c r="L2526" i="10"/>
  <c r="L2525" i="10"/>
  <c r="L2524" i="10"/>
  <c r="L2523" i="10"/>
  <c r="L2522" i="10"/>
  <c r="L2521" i="10"/>
  <c r="L2520" i="10"/>
  <c r="L2519" i="10"/>
  <c r="L2518" i="10"/>
  <c r="L2517" i="10"/>
  <c r="L2516" i="10"/>
  <c r="L2515" i="10"/>
  <c r="L2514" i="10"/>
  <c r="L2513" i="10"/>
  <c r="L2512" i="10"/>
  <c r="L2511" i="10"/>
  <c r="L2510" i="10"/>
  <c r="L2509" i="10"/>
  <c r="L2508" i="10"/>
  <c r="L2507" i="10"/>
  <c r="L2506" i="10"/>
  <c r="L2505" i="10"/>
  <c r="L2504" i="10"/>
  <c r="L2503" i="10"/>
  <c r="L2502" i="10"/>
  <c r="L2501" i="10"/>
  <c r="L2500" i="10"/>
  <c r="L2499" i="10"/>
  <c r="L2498" i="10"/>
  <c r="L2497" i="10"/>
  <c r="L2496" i="10"/>
  <c r="L2495" i="10"/>
  <c r="L2494" i="10"/>
  <c r="L2493" i="10"/>
  <c r="L2492" i="10"/>
  <c r="L2491" i="10"/>
  <c r="L2490" i="10"/>
  <c r="L2489" i="10"/>
  <c r="L2488" i="10"/>
  <c r="L2487" i="10"/>
  <c r="L2486" i="10"/>
  <c r="L2485" i="10"/>
  <c r="L2484" i="10"/>
  <c r="L2483" i="10"/>
  <c r="L2482" i="10"/>
  <c r="L2481" i="10"/>
  <c r="L2480" i="10"/>
  <c r="L2479" i="10"/>
  <c r="L2478" i="10"/>
  <c r="L2477" i="10"/>
  <c r="L2476" i="10"/>
  <c r="L2475" i="10"/>
  <c r="L2474" i="10"/>
  <c r="L2473" i="10"/>
  <c r="L2472" i="10"/>
  <c r="L2471" i="10"/>
  <c r="L2470" i="10"/>
  <c r="L2469" i="10"/>
  <c r="L2468" i="10"/>
  <c r="L2467" i="10"/>
  <c r="L2466" i="10"/>
  <c r="L2465" i="10"/>
  <c r="L2464" i="10"/>
  <c r="L2463" i="10"/>
  <c r="L2462" i="10"/>
  <c r="L2461" i="10"/>
  <c r="L2460" i="10"/>
  <c r="L2459" i="10"/>
  <c r="L2458" i="10"/>
  <c r="L2457" i="10"/>
  <c r="L2456" i="10"/>
  <c r="L2455" i="10"/>
  <c r="L2454" i="10"/>
  <c r="L2453" i="10"/>
  <c r="L2452" i="10"/>
  <c r="L2451" i="10"/>
  <c r="L2450" i="10"/>
  <c r="L2449" i="10"/>
  <c r="L2448" i="10"/>
  <c r="L2447" i="10"/>
  <c r="L2446" i="10"/>
  <c r="L2445" i="10"/>
  <c r="L2444" i="10"/>
  <c r="L2443" i="10"/>
  <c r="L2442" i="10"/>
  <c r="L2441" i="10"/>
  <c r="L2440" i="10"/>
  <c r="L2439" i="10"/>
  <c r="L2438" i="10"/>
  <c r="L2437" i="10"/>
  <c r="L2436" i="10"/>
  <c r="L2435" i="10"/>
  <c r="L2434" i="10"/>
  <c r="L2433" i="10"/>
  <c r="L2432" i="10"/>
  <c r="L2431" i="10"/>
  <c r="L2430" i="10"/>
  <c r="L2429" i="10"/>
  <c r="L2428" i="10"/>
  <c r="L2427" i="10"/>
  <c r="L2426" i="10"/>
  <c r="L2425" i="10"/>
  <c r="L2424" i="10"/>
  <c r="L2423" i="10"/>
  <c r="L2422" i="10"/>
  <c r="L2421" i="10"/>
  <c r="L2420" i="10"/>
  <c r="L2419" i="10"/>
  <c r="L2418" i="10"/>
  <c r="L2417" i="10"/>
  <c r="L2416" i="10"/>
  <c r="L2415" i="10"/>
  <c r="L2414" i="10"/>
  <c r="L2413" i="10"/>
  <c r="L2412" i="10"/>
  <c r="L2411" i="10"/>
  <c r="L2410" i="10"/>
  <c r="L2409" i="10"/>
  <c r="L2408" i="10"/>
  <c r="L2407" i="10"/>
  <c r="L2406" i="10"/>
  <c r="L2405" i="10"/>
  <c r="L2404" i="10"/>
  <c r="L2403" i="10"/>
  <c r="L2402" i="10"/>
  <c r="L2401" i="10"/>
  <c r="L2400" i="10"/>
  <c r="L2399" i="10"/>
  <c r="L2398" i="10"/>
  <c r="L2397" i="10"/>
  <c r="L2396" i="10"/>
  <c r="L2395" i="10"/>
  <c r="L2394" i="10"/>
  <c r="L2393" i="10"/>
  <c r="L2392" i="10"/>
  <c r="L2391" i="10"/>
  <c r="L2390" i="10"/>
  <c r="L2389" i="10"/>
  <c r="L2388" i="10"/>
  <c r="L2387" i="10"/>
  <c r="L2386" i="10"/>
  <c r="L2385" i="10"/>
  <c r="L2384" i="10"/>
  <c r="L2383" i="10"/>
  <c r="L2382" i="10"/>
  <c r="L2381" i="10"/>
  <c r="L2380" i="10"/>
  <c r="L2379" i="10"/>
  <c r="L2378" i="10"/>
  <c r="L2377" i="10"/>
  <c r="L2376" i="10"/>
  <c r="L2375" i="10"/>
  <c r="L2374" i="10"/>
  <c r="L2373" i="10"/>
  <c r="L2372" i="10"/>
  <c r="L2371" i="10"/>
  <c r="L2370" i="10"/>
  <c r="L2369" i="10"/>
  <c r="L2368" i="10"/>
  <c r="L2367" i="10"/>
  <c r="L2366" i="10"/>
  <c r="L2365" i="10"/>
  <c r="L2364" i="10"/>
  <c r="L2363" i="10"/>
  <c r="L2362" i="10"/>
  <c r="L2361" i="10"/>
  <c r="L2360" i="10"/>
  <c r="L2359" i="10"/>
  <c r="L2358" i="10"/>
  <c r="L2357" i="10"/>
  <c r="L2356" i="10"/>
  <c r="L2355" i="10"/>
  <c r="L2354" i="10"/>
  <c r="L2353" i="10"/>
  <c r="L2352" i="10"/>
  <c r="L2351" i="10"/>
  <c r="L2350" i="10"/>
  <c r="L2349" i="10"/>
  <c r="L2348" i="10"/>
  <c r="L2347" i="10"/>
  <c r="L2346" i="10"/>
  <c r="L2345" i="10"/>
  <c r="L2344" i="10"/>
  <c r="L2343" i="10"/>
  <c r="L2342" i="10"/>
  <c r="L2341" i="10"/>
  <c r="L2340" i="10"/>
  <c r="L2339" i="10"/>
  <c r="L2338" i="10"/>
  <c r="L2337" i="10"/>
  <c r="L2336" i="10"/>
  <c r="L2335" i="10"/>
  <c r="L2334" i="10"/>
  <c r="L2333" i="10"/>
  <c r="L2332" i="10"/>
  <c r="L2331" i="10"/>
  <c r="L2330" i="10"/>
  <c r="L2329" i="10"/>
  <c r="L2328" i="10"/>
  <c r="L2327" i="10"/>
  <c r="L2326" i="10"/>
  <c r="L2325" i="10"/>
  <c r="L2324" i="10"/>
  <c r="L2323" i="10"/>
  <c r="L2322" i="10"/>
  <c r="L2321" i="10"/>
  <c r="L2320" i="10"/>
  <c r="L2319" i="10"/>
  <c r="L2318" i="10"/>
  <c r="L2317" i="10"/>
  <c r="L2316" i="10"/>
  <c r="L2315" i="10"/>
  <c r="L2314" i="10"/>
  <c r="L2313" i="10"/>
  <c r="L2312" i="10"/>
  <c r="L2311" i="10"/>
  <c r="L2310" i="10"/>
  <c r="L2309" i="10"/>
  <c r="L2308" i="10"/>
  <c r="L2307" i="10"/>
  <c r="L2306" i="10"/>
  <c r="L2305" i="10"/>
  <c r="L2304" i="10"/>
  <c r="L2303" i="10"/>
  <c r="L2302" i="10"/>
  <c r="L2301" i="10"/>
  <c r="L2300" i="10"/>
  <c r="L2299" i="10"/>
  <c r="L2298" i="10"/>
  <c r="L2297" i="10"/>
  <c r="L2296" i="10"/>
  <c r="L2295" i="10"/>
  <c r="L2294" i="10"/>
  <c r="L2293" i="10"/>
  <c r="L2292" i="10"/>
  <c r="L2291" i="10"/>
  <c r="L2290" i="10"/>
  <c r="L2289" i="10"/>
  <c r="L2288" i="10"/>
  <c r="L2287" i="10"/>
  <c r="L2286" i="10"/>
  <c r="L2285" i="10"/>
  <c r="L2284" i="10"/>
  <c r="L2283" i="10"/>
  <c r="L2282" i="10"/>
  <c r="L2281" i="10"/>
  <c r="L2280" i="10"/>
  <c r="L2279" i="10"/>
  <c r="L2278" i="10"/>
  <c r="L2277" i="10"/>
  <c r="L2276" i="10"/>
  <c r="L2275" i="10"/>
  <c r="L2274" i="10"/>
  <c r="L2273" i="10"/>
  <c r="L2272" i="10"/>
  <c r="L2271" i="10"/>
  <c r="L2270" i="10"/>
  <c r="L2269" i="10"/>
  <c r="L2268" i="10"/>
  <c r="L2267" i="10"/>
  <c r="L2266" i="10"/>
  <c r="L2265" i="10"/>
  <c r="L2264" i="10"/>
  <c r="L2263" i="10"/>
  <c r="L2262" i="10"/>
  <c r="L2261" i="10"/>
  <c r="L2260" i="10"/>
  <c r="L2259" i="10"/>
  <c r="L2258" i="10"/>
  <c r="L2257" i="10"/>
  <c r="L2256" i="10"/>
  <c r="L2255" i="10"/>
  <c r="L2254" i="10"/>
  <c r="L2253" i="10"/>
  <c r="L2252" i="10"/>
  <c r="L2251" i="10"/>
  <c r="L2250" i="10"/>
  <c r="L2249" i="10"/>
  <c r="L2248" i="10"/>
  <c r="L2247" i="10"/>
  <c r="L2246" i="10"/>
  <c r="L2245" i="10"/>
  <c r="L2244" i="10"/>
  <c r="L2243" i="10"/>
  <c r="L2242" i="10"/>
  <c r="L2241" i="10"/>
  <c r="L2240" i="10"/>
  <c r="L2239" i="10"/>
  <c r="L2238" i="10"/>
  <c r="L2237" i="10"/>
  <c r="L2236" i="10"/>
  <c r="L2235" i="10"/>
  <c r="L2234" i="10"/>
  <c r="L2233" i="10"/>
  <c r="L2232" i="10"/>
  <c r="L2231" i="10"/>
  <c r="L2230" i="10"/>
  <c r="L2229" i="10"/>
  <c r="L2228" i="10"/>
  <c r="L2227" i="10"/>
  <c r="L2226" i="10"/>
  <c r="L2225" i="10"/>
  <c r="L2224" i="10"/>
  <c r="L2223" i="10"/>
  <c r="L2222" i="10"/>
  <c r="L2221" i="10"/>
  <c r="L2220" i="10"/>
  <c r="L2219" i="10"/>
  <c r="L2218" i="10"/>
  <c r="L2217" i="10"/>
  <c r="L2216" i="10"/>
  <c r="L2215" i="10"/>
  <c r="L2214" i="10"/>
  <c r="L2213" i="10"/>
  <c r="L2212" i="10"/>
  <c r="L2211" i="10"/>
  <c r="L2210" i="10"/>
  <c r="L2209" i="10"/>
  <c r="L2208" i="10"/>
  <c r="L2207" i="10"/>
  <c r="L2206" i="10"/>
  <c r="L2205" i="10"/>
  <c r="L2204" i="10"/>
  <c r="L2203" i="10"/>
  <c r="L2202" i="10"/>
  <c r="L2201" i="10"/>
  <c r="L2200" i="10"/>
  <c r="L2199" i="10"/>
  <c r="L2198" i="10"/>
  <c r="L2197" i="10"/>
  <c r="L2196" i="10"/>
  <c r="L2195" i="10"/>
  <c r="L2194" i="10"/>
  <c r="L2193" i="10"/>
  <c r="L2192" i="10"/>
  <c r="L2191" i="10"/>
  <c r="L2190" i="10"/>
  <c r="L2189" i="10"/>
  <c r="L2188" i="10"/>
  <c r="L2187" i="10"/>
  <c r="L2186" i="10"/>
  <c r="L2185" i="10"/>
  <c r="L2184" i="10"/>
  <c r="L2183" i="10"/>
  <c r="L2182" i="10"/>
  <c r="L2181" i="10"/>
  <c r="L2180" i="10"/>
  <c r="L2179" i="10"/>
  <c r="L2178" i="10"/>
  <c r="L2177" i="10"/>
  <c r="L2176" i="10"/>
  <c r="L2175" i="10"/>
  <c r="L2174" i="10"/>
  <c r="L2173" i="10"/>
  <c r="L2172" i="10"/>
  <c r="L2171" i="10"/>
  <c r="L2170" i="10"/>
  <c r="L2169" i="10"/>
  <c r="L2168" i="10"/>
  <c r="L2167" i="10"/>
  <c r="L2166" i="10"/>
  <c r="L2165" i="10"/>
  <c r="L2164" i="10"/>
  <c r="L2163" i="10"/>
  <c r="L2162" i="10"/>
  <c r="L2161" i="10"/>
  <c r="L2160" i="10"/>
  <c r="L2159" i="10"/>
  <c r="L2158" i="10"/>
  <c r="L2157" i="10"/>
  <c r="L2156" i="10"/>
  <c r="L2155" i="10"/>
  <c r="L2154" i="10"/>
  <c r="L2153" i="10"/>
  <c r="L2152" i="10"/>
  <c r="L2151" i="10"/>
  <c r="L2150" i="10"/>
  <c r="L2149" i="10"/>
  <c r="L2148" i="10"/>
  <c r="L2147" i="10"/>
  <c r="L2146" i="10"/>
  <c r="L2145" i="10"/>
  <c r="L2144" i="10"/>
  <c r="L2143" i="10"/>
  <c r="L2142" i="10"/>
  <c r="L2141" i="10"/>
  <c r="L2140" i="10"/>
  <c r="L2139" i="10"/>
  <c r="L2138" i="10"/>
  <c r="L2137" i="10"/>
  <c r="L2136" i="10"/>
  <c r="L2135" i="10"/>
  <c r="L2134" i="10"/>
  <c r="L2133" i="10"/>
  <c r="L2132" i="10"/>
  <c r="L2131" i="10"/>
  <c r="L2130" i="10"/>
  <c r="L2129" i="10"/>
  <c r="L2128" i="10"/>
  <c r="L2127" i="10"/>
  <c r="L2126" i="10"/>
  <c r="L2125" i="10"/>
  <c r="L2124" i="10"/>
  <c r="L2123" i="10"/>
  <c r="L2122" i="10"/>
  <c r="L2121" i="10"/>
  <c r="L2120" i="10"/>
  <c r="L2119" i="10"/>
  <c r="L2118" i="10"/>
  <c r="L2117" i="10"/>
  <c r="L2116" i="10"/>
  <c r="L2115" i="10"/>
  <c r="L2114" i="10"/>
  <c r="L2113" i="10"/>
  <c r="L2112" i="10"/>
  <c r="L2111" i="10"/>
  <c r="L2110" i="10"/>
  <c r="L2109" i="10"/>
  <c r="L2108" i="10"/>
  <c r="L2107" i="10"/>
  <c r="L2106" i="10"/>
  <c r="L2105" i="10"/>
  <c r="L2104" i="10"/>
  <c r="L2103" i="10"/>
  <c r="L2102" i="10"/>
  <c r="L2101" i="10"/>
  <c r="L2100" i="10"/>
  <c r="L2099" i="10"/>
  <c r="L2098" i="10"/>
  <c r="L2097" i="10"/>
  <c r="L2096" i="10"/>
  <c r="L2095" i="10"/>
  <c r="L2094" i="10"/>
  <c r="L2093" i="10"/>
  <c r="L2092" i="10"/>
  <c r="L2091" i="10"/>
  <c r="L2090" i="10"/>
  <c r="L2089" i="10"/>
  <c r="L2088" i="10"/>
  <c r="L2087" i="10"/>
  <c r="L2086" i="10"/>
  <c r="L2085" i="10"/>
  <c r="L2084" i="10"/>
  <c r="L2083" i="10"/>
  <c r="L2082" i="10"/>
  <c r="L2081" i="10"/>
  <c r="L2080" i="10"/>
  <c r="L2079" i="10"/>
  <c r="L2078" i="10"/>
  <c r="L2077" i="10"/>
  <c r="L2076" i="10"/>
  <c r="L2075" i="10"/>
  <c r="L2074" i="10"/>
  <c r="L2073" i="10"/>
  <c r="L2072" i="10"/>
  <c r="L2071" i="10"/>
  <c r="L2070" i="10"/>
  <c r="L2069" i="10"/>
  <c r="L2068" i="10"/>
  <c r="L2067" i="10"/>
  <c r="L2066" i="10"/>
  <c r="L2065" i="10"/>
  <c r="L2064" i="10"/>
  <c r="L2063" i="10"/>
  <c r="L2062" i="10"/>
  <c r="L2061" i="10"/>
  <c r="L2060" i="10"/>
  <c r="L2059" i="10"/>
  <c r="L2058" i="10"/>
  <c r="L2057" i="10"/>
  <c r="L2056" i="10"/>
  <c r="L2055" i="10"/>
  <c r="L2054" i="10"/>
  <c r="L2053" i="10"/>
  <c r="L2052" i="10"/>
  <c r="L2051" i="10"/>
  <c r="L2050" i="10"/>
  <c r="L2049" i="10"/>
  <c r="L2048" i="10"/>
  <c r="L2047" i="10"/>
  <c r="L2046" i="10"/>
  <c r="L2045" i="10"/>
  <c r="L2044" i="10"/>
  <c r="L2043" i="10"/>
  <c r="L2042" i="10"/>
  <c r="L2041" i="10"/>
  <c r="L2040" i="10"/>
  <c r="L2039" i="10"/>
  <c r="L2038" i="10"/>
  <c r="L2037" i="10"/>
  <c r="L2036" i="10"/>
  <c r="L2035" i="10"/>
  <c r="L2034" i="10"/>
  <c r="L2033" i="10"/>
  <c r="L2032" i="10"/>
  <c r="L2031" i="10"/>
  <c r="L2030" i="10"/>
  <c r="L2029" i="10"/>
  <c r="L2028" i="10"/>
  <c r="L2027" i="10"/>
  <c r="L2026" i="10"/>
  <c r="L2025" i="10"/>
  <c r="L2024" i="10"/>
  <c r="L2023" i="10"/>
  <c r="L2022" i="10"/>
  <c r="L2021" i="10"/>
  <c r="L2020" i="10"/>
  <c r="L2019" i="10"/>
  <c r="L2018" i="10"/>
  <c r="L2017" i="10"/>
  <c r="L2016" i="10"/>
  <c r="L2015" i="10"/>
  <c r="L2014" i="10"/>
  <c r="L2013" i="10"/>
  <c r="L2012" i="10"/>
  <c r="L2011" i="10"/>
  <c r="L2010" i="10"/>
  <c r="L2009" i="10"/>
  <c r="L2008" i="10"/>
  <c r="L2007" i="10"/>
  <c r="L2006" i="10"/>
  <c r="L2005" i="10"/>
  <c r="L2004" i="10"/>
  <c r="L2003" i="10"/>
  <c r="L2002" i="10"/>
  <c r="L2001" i="10"/>
  <c r="L2000" i="10"/>
  <c r="L1999" i="10"/>
  <c r="L1998" i="10"/>
  <c r="L1997" i="10"/>
  <c r="L1996" i="10"/>
  <c r="L1995" i="10"/>
  <c r="L1994" i="10"/>
  <c r="L1993" i="10"/>
  <c r="L1992" i="10"/>
  <c r="L1991" i="10"/>
  <c r="L1990" i="10"/>
  <c r="L1989" i="10"/>
  <c r="L1988" i="10"/>
  <c r="L1987" i="10"/>
  <c r="L1986" i="10"/>
  <c r="L1985" i="10"/>
  <c r="L1984" i="10"/>
  <c r="L1983" i="10"/>
  <c r="L1982" i="10"/>
  <c r="L1981" i="10"/>
  <c r="L1980" i="10"/>
  <c r="L1979" i="10"/>
  <c r="L1978" i="10"/>
  <c r="L1977" i="10"/>
  <c r="L1976" i="10"/>
  <c r="L1975" i="10"/>
  <c r="L1974" i="10"/>
  <c r="L1973" i="10"/>
  <c r="L1972" i="10"/>
  <c r="L1971" i="10"/>
  <c r="L1970" i="10"/>
  <c r="L1969" i="10"/>
  <c r="L1968" i="10"/>
  <c r="L1967" i="10"/>
  <c r="L1966" i="10"/>
  <c r="L1965" i="10"/>
  <c r="L1964" i="10"/>
  <c r="L1963" i="10"/>
  <c r="L1962" i="10"/>
  <c r="L1961" i="10"/>
  <c r="L1960" i="10"/>
  <c r="L1959" i="10"/>
  <c r="L1958" i="10"/>
  <c r="L1957" i="10"/>
  <c r="L1956" i="10"/>
  <c r="L1955" i="10"/>
  <c r="L1954" i="10"/>
  <c r="L1953" i="10"/>
  <c r="L1952" i="10"/>
  <c r="L1951" i="10"/>
  <c r="L1950" i="10"/>
  <c r="L1949" i="10"/>
  <c r="L1948" i="10"/>
  <c r="L1947" i="10"/>
  <c r="L1946" i="10"/>
  <c r="L1945" i="10"/>
  <c r="L1944" i="10"/>
  <c r="L1943" i="10"/>
  <c r="L1942" i="10"/>
  <c r="L1941" i="10"/>
  <c r="L1940" i="10"/>
  <c r="L1939" i="10"/>
  <c r="L1938" i="10"/>
  <c r="L1937" i="10"/>
  <c r="L1936" i="10"/>
  <c r="L1935" i="10"/>
  <c r="L1934" i="10"/>
  <c r="L1933" i="10"/>
  <c r="L1932" i="10"/>
  <c r="L1931" i="10"/>
  <c r="L1930" i="10"/>
  <c r="L1929" i="10"/>
  <c r="L1928" i="10"/>
  <c r="L1927" i="10"/>
  <c r="L1926" i="10"/>
  <c r="L1925" i="10"/>
  <c r="L1924" i="10"/>
  <c r="L1923" i="10"/>
  <c r="L1922" i="10"/>
  <c r="L1921" i="10"/>
  <c r="L1920" i="10"/>
  <c r="L1919" i="10"/>
  <c r="L1918" i="10"/>
  <c r="L1917" i="10"/>
  <c r="L1916" i="10"/>
  <c r="L1915" i="10"/>
  <c r="L1914" i="10"/>
  <c r="L1913" i="10"/>
  <c r="L1912" i="10"/>
  <c r="L1911" i="10"/>
  <c r="L1910" i="10"/>
  <c r="L1909" i="10"/>
  <c r="L1908" i="10"/>
  <c r="L1907" i="10"/>
  <c r="L1906" i="10"/>
  <c r="L1905" i="10"/>
  <c r="L1904" i="10"/>
  <c r="L1903" i="10"/>
  <c r="L1902" i="10"/>
  <c r="L1901" i="10"/>
  <c r="L1900" i="10"/>
  <c r="L1899" i="10"/>
  <c r="L1898" i="10"/>
  <c r="L1897" i="10"/>
  <c r="L1896" i="10"/>
  <c r="L1895" i="10"/>
  <c r="L1894" i="10"/>
  <c r="L1893" i="10"/>
  <c r="L1892" i="10"/>
  <c r="L1891" i="10"/>
  <c r="L1890" i="10"/>
  <c r="L1889" i="10"/>
  <c r="L1888" i="10"/>
  <c r="L1887" i="10"/>
  <c r="L1886" i="10"/>
  <c r="L1885" i="10"/>
  <c r="L1884" i="10"/>
  <c r="L1883" i="10"/>
  <c r="L1882" i="10"/>
  <c r="L1881" i="10"/>
  <c r="L1880" i="10"/>
  <c r="L1879" i="10"/>
  <c r="L1878" i="10"/>
  <c r="L1877" i="10"/>
  <c r="L1876" i="10"/>
  <c r="L1875" i="10"/>
  <c r="L1874" i="10"/>
  <c r="L1873" i="10"/>
  <c r="L1872" i="10"/>
  <c r="L1871" i="10"/>
  <c r="L1870" i="10"/>
  <c r="L1869" i="10"/>
  <c r="L1868" i="10"/>
  <c r="L1867" i="10"/>
  <c r="L1866" i="10"/>
  <c r="L1865" i="10"/>
  <c r="L1864" i="10"/>
  <c r="L1863" i="10"/>
  <c r="L1862" i="10"/>
  <c r="L1861" i="10"/>
  <c r="L1860" i="10"/>
  <c r="L1859" i="10"/>
  <c r="L1858" i="10"/>
  <c r="L1857" i="10"/>
  <c r="L1856" i="10"/>
  <c r="L1855" i="10"/>
  <c r="L1854" i="10"/>
  <c r="L1853" i="10"/>
  <c r="L1852" i="10"/>
  <c r="L1851" i="10"/>
  <c r="L1850" i="10"/>
  <c r="L1849" i="10"/>
  <c r="L1848" i="10"/>
  <c r="L1847" i="10"/>
  <c r="L1846" i="10"/>
  <c r="L1845" i="10"/>
  <c r="L1844" i="10"/>
  <c r="L1843" i="10"/>
  <c r="L1842" i="10"/>
  <c r="L1841" i="10"/>
  <c r="L1840" i="10"/>
  <c r="L1839" i="10"/>
  <c r="L1838" i="10"/>
  <c r="L1837" i="10"/>
  <c r="L1836" i="10"/>
  <c r="L1835" i="10"/>
  <c r="L1834" i="10"/>
  <c r="L1833" i="10"/>
  <c r="L1832" i="10"/>
  <c r="L1831" i="10"/>
  <c r="L1830" i="10"/>
  <c r="L1829" i="10"/>
  <c r="L1828" i="10"/>
  <c r="L1827" i="10"/>
  <c r="L1826" i="10"/>
  <c r="L1825" i="10"/>
  <c r="L1824" i="10"/>
  <c r="L1823" i="10"/>
  <c r="L1822" i="10"/>
  <c r="L1821" i="10"/>
  <c r="L1820" i="10"/>
  <c r="L1819" i="10"/>
  <c r="L1818" i="10"/>
  <c r="L1817" i="10"/>
  <c r="L1816" i="10"/>
  <c r="L1815" i="10"/>
  <c r="L1814" i="10"/>
  <c r="L1813" i="10"/>
  <c r="L1812" i="10"/>
  <c r="L1811" i="10"/>
  <c r="L1810" i="10"/>
  <c r="L1809" i="10"/>
  <c r="L1808" i="10"/>
  <c r="L1807" i="10"/>
  <c r="L1806" i="10"/>
  <c r="L1805" i="10"/>
  <c r="L1804" i="10"/>
  <c r="L1803" i="10"/>
  <c r="L1802" i="10"/>
  <c r="L1801" i="10"/>
  <c r="L1800" i="10"/>
  <c r="L1799" i="10"/>
  <c r="L1798" i="10"/>
  <c r="L1797" i="10"/>
  <c r="L1796" i="10"/>
  <c r="L1795" i="10"/>
  <c r="L1794" i="10"/>
  <c r="L1793" i="10"/>
  <c r="L1792" i="10"/>
  <c r="L1791" i="10"/>
  <c r="L1790" i="10"/>
  <c r="L1789" i="10"/>
  <c r="L1788" i="10"/>
  <c r="L1787" i="10"/>
  <c r="L1786" i="10"/>
  <c r="L1785" i="10"/>
  <c r="L1784" i="10"/>
  <c r="L1783" i="10"/>
  <c r="L1782" i="10"/>
  <c r="L1781" i="10"/>
  <c r="L1780" i="10"/>
  <c r="L1779" i="10"/>
  <c r="L1778" i="10"/>
  <c r="L1777" i="10"/>
  <c r="L1776" i="10"/>
  <c r="L1775" i="10"/>
  <c r="L1774" i="10"/>
  <c r="L1773" i="10"/>
  <c r="L1772" i="10"/>
  <c r="L1771" i="10"/>
  <c r="L1770" i="10"/>
  <c r="L1769" i="10"/>
  <c r="L1768" i="10"/>
  <c r="L1767" i="10"/>
  <c r="L1766" i="10"/>
  <c r="L1765" i="10"/>
  <c r="L1764" i="10"/>
  <c r="L1763" i="10"/>
  <c r="L1762" i="10"/>
  <c r="L1761" i="10"/>
  <c r="L1760" i="10"/>
  <c r="L1759" i="10"/>
  <c r="L1758" i="10"/>
  <c r="L1757" i="10"/>
  <c r="L1756" i="10"/>
  <c r="L1755" i="10"/>
  <c r="L1754" i="10"/>
  <c r="L1753" i="10"/>
  <c r="L1752" i="10"/>
  <c r="L1751" i="10"/>
  <c r="L1750" i="10"/>
  <c r="L1749" i="10"/>
  <c r="L1748" i="10"/>
  <c r="L1747" i="10"/>
  <c r="L1746" i="10"/>
  <c r="L1745" i="10"/>
  <c r="L1744" i="10"/>
  <c r="L1743" i="10"/>
  <c r="L1742" i="10"/>
  <c r="L1741" i="10"/>
  <c r="L1740" i="10"/>
  <c r="L1739" i="10"/>
  <c r="L1738" i="10"/>
  <c r="L1737" i="10"/>
  <c r="L1736" i="10"/>
  <c r="L1735" i="10"/>
  <c r="L1734" i="10"/>
  <c r="L1733" i="10"/>
  <c r="L1732" i="10"/>
  <c r="L1731" i="10"/>
  <c r="L1730" i="10"/>
  <c r="L1729" i="10"/>
  <c r="L1728" i="10"/>
  <c r="L1727" i="10"/>
  <c r="L1726" i="10"/>
  <c r="L1725" i="10"/>
  <c r="L1724" i="10"/>
  <c r="L1723" i="10"/>
  <c r="L1722" i="10"/>
  <c r="L1721" i="10"/>
  <c r="L1720" i="10"/>
  <c r="L1719" i="10"/>
  <c r="L1718" i="10"/>
  <c r="L1717" i="10"/>
  <c r="L1716" i="10"/>
  <c r="L1715" i="10"/>
  <c r="L1714" i="10"/>
  <c r="L1713" i="10"/>
  <c r="L1712" i="10"/>
  <c r="L1711" i="10"/>
  <c r="L1710" i="10"/>
  <c r="L1709" i="10"/>
  <c r="L1708" i="10"/>
  <c r="L1707" i="10"/>
  <c r="L1706" i="10"/>
  <c r="L1705" i="10"/>
  <c r="L1704" i="10"/>
  <c r="L1703" i="10"/>
  <c r="L1702" i="10"/>
  <c r="L1701" i="10"/>
  <c r="L1700" i="10"/>
  <c r="L1699" i="10"/>
  <c r="L1698" i="10"/>
  <c r="L1697" i="10"/>
  <c r="L1696" i="10"/>
  <c r="L1695" i="10"/>
  <c r="L1694" i="10"/>
  <c r="L1693" i="10"/>
  <c r="L1692" i="10"/>
  <c r="L1691" i="10"/>
  <c r="L1690" i="10"/>
  <c r="L1689" i="10"/>
  <c r="L1688" i="10"/>
  <c r="L1687" i="10"/>
  <c r="L1686" i="10"/>
  <c r="L1685" i="10"/>
  <c r="L1684" i="10"/>
  <c r="L1683" i="10"/>
  <c r="L1682" i="10"/>
  <c r="L1681" i="10"/>
  <c r="L1680" i="10"/>
  <c r="L1679" i="10"/>
  <c r="L1678" i="10"/>
  <c r="L1677" i="10"/>
  <c r="L1676" i="10"/>
  <c r="L1675" i="10"/>
  <c r="L1674" i="10"/>
  <c r="L1673" i="10"/>
  <c r="L1672" i="10"/>
  <c r="L1671" i="10"/>
  <c r="L1670" i="10"/>
  <c r="L1669" i="10"/>
  <c r="L1668" i="10"/>
  <c r="L1667" i="10"/>
  <c r="L1666" i="10"/>
  <c r="L1665" i="10"/>
  <c r="L1664" i="10"/>
  <c r="L1663" i="10"/>
  <c r="L1662" i="10"/>
  <c r="L1661" i="10"/>
  <c r="L1660" i="10"/>
  <c r="L1659" i="10"/>
  <c r="L1658" i="10"/>
  <c r="L1657" i="10"/>
  <c r="L1656" i="10"/>
  <c r="L1655" i="10"/>
  <c r="L1654" i="10"/>
  <c r="L1653" i="10"/>
  <c r="L1652" i="10"/>
  <c r="L1651" i="10"/>
  <c r="L1650" i="10"/>
  <c r="L1649" i="10"/>
  <c r="L1648" i="10"/>
  <c r="L1647" i="10"/>
  <c r="L1646" i="10"/>
  <c r="L1645" i="10"/>
  <c r="L1644" i="10"/>
  <c r="L1643" i="10"/>
  <c r="L1642" i="10"/>
  <c r="L1641" i="10"/>
  <c r="L1640" i="10"/>
  <c r="L1639" i="10"/>
  <c r="L1638" i="10"/>
  <c r="L1637" i="10"/>
  <c r="L1636" i="10"/>
  <c r="L1635" i="10"/>
  <c r="L1634" i="10"/>
  <c r="L1633" i="10"/>
  <c r="L1632" i="10"/>
  <c r="L1631" i="10"/>
  <c r="L1630" i="10"/>
  <c r="L1629" i="10"/>
  <c r="L1628" i="10"/>
  <c r="L1627" i="10"/>
  <c r="L1626" i="10"/>
  <c r="L1625" i="10"/>
  <c r="L1624" i="10"/>
  <c r="L1623" i="10"/>
  <c r="L1622" i="10"/>
  <c r="L1621" i="10"/>
  <c r="L1620" i="10"/>
  <c r="L1619" i="10"/>
  <c r="L1618" i="10"/>
  <c r="L1617" i="10"/>
  <c r="L1616" i="10"/>
  <c r="L1615" i="10"/>
  <c r="L1614" i="10"/>
  <c r="L1613" i="10"/>
  <c r="L1612" i="10"/>
  <c r="L1611" i="10"/>
  <c r="L1610" i="10"/>
  <c r="L1609" i="10"/>
  <c r="L1608" i="10"/>
  <c r="L1607" i="10"/>
  <c r="L1606" i="10"/>
  <c r="L1605" i="10"/>
  <c r="L1604" i="10"/>
  <c r="L1603" i="10"/>
  <c r="L1602" i="10"/>
  <c r="L1601" i="10"/>
  <c r="L1600" i="10"/>
  <c r="L1599" i="10"/>
  <c r="L1598" i="10"/>
  <c r="L1597" i="10"/>
  <c r="L1596" i="10"/>
  <c r="L1595" i="10"/>
  <c r="L1594" i="10"/>
  <c r="L1593" i="10"/>
  <c r="L1592" i="10"/>
  <c r="L1591" i="10"/>
  <c r="L1590" i="10"/>
  <c r="L1589" i="10"/>
  <c r="L1588" i="10"/>
  <c r="L1587" i="10"/>
  <c r="L1586" i="10"/>
  <c r="L1585" i="10"/>
  <c r="L1584" i="10"/>
  <c r="L1583" i="10"/>
  <c r="L1582" i="10"/>
  <c r="L1581" i="10"/>
  <c r="L1580" i="10"/>
  <c r="L1579" i="10"/>
  <c r="L1578" i="10"/>
  <c r="L1577" i="10"/>
  <c r="L1576" i="10"/>
  <c r="L1575" i="10"/>
  <c r="L1574" i="10"/>
  <c r="L1573" i="10"/>
  <c r="L1572" i="10"/>
  <c r="L1571" i="10"/>
  <c r="L1570" i="10"/>
  <c r="L1569" i="10"/>
  <c r="L1568" i="10"/>
  <c r="L1567" i="10"/>
  <c r="L1566" i="10"/>
  <c r="L1565" i="10"/>
  <c r="L1564" i="10"/>
  <c r="L1563" i="10"/>
  <c r="L1562" i="10"/>
  <c r="L1561" i="10"/>
  <c r="L1560" i="10"/>
  <c r="L1559" i="10"/>
  <c r="L1558" i="10"/>
  <c r="L1557" i="10"/>
  <c r="L1556" i="10"/>
  <c r="L1555" i="10"/>
  <c r="L1554" i="10"/>
  <c r="L1553" i="10"/>
  <c r="L1552" i="10"/>
  <c r="L1551" i="10"/>
  <c r="L1550" i="10"/>
  <c r="L1549" i="10"/>
  <c r="L1548" i="10"/>
  <c r="L1547" i="10"/>
  <c r="L1546" i="10"/>
  <c r="L1545" i="10"/>
  <c r="L1544" i="10"/>
  <c r="L1543" i="10"/>
  <c r="L1542" i="10"/>
  <c r="L1541" i="10"/>
  <c r="L1540" i="10"/>
  <c r="L1539" i="10"/>
  <c r="L1538" i="10"/>
  <c r="L1537" i="10"/>
  <c r="L1536" i="10"/>
  <c r="L1535" i="10"/>
  <c r="L1534" i="10"/>
  <c r="L1533" i="10"/>
  <c r="L1532" i="10"/>
  <c r="L1531" i="10"/>
  <c r="L1530" i="10"/>
  <c r="L1529" i="10"/>
  <c r="L1528" i="10"/>
  <c r="L1527" i="10"/>
  <c r="L1526" i="10"/>
  <c r="L1525" i="10"/>
  <c r="L1524" i="10"/>
  <c r="L1523" i="10"/>
  <c r="L1522" i="10"/>
  <c r="L1521" i="10"/>
  <c r="L1520" i="10"/>
  <c r="L1519" i="10"/>
  <c r="L1518" i="10"/>
  <c r="L1517" i="10"/>
  <c r="L1516" i="10"/>
  <c r="L1515" i="10"/>
  <c r="L1514" i="10"/>
  <c r="L1513" i="10"/>
  <c r="L1512" i="10"/>
  <c r="L1511" i="10"/>
  <c r="L1510" i="10"/>
  <c r="L1509" i="10"/>
  <c r="L1508" i="10"/>
  <c r="L1507" i="10"/>
  <c r="L1506" i="10"/>
  <c r="L1505" i="10"/>
  <c r="L1504" i="10"/>
  <c r="L1503" i="10"/>
  <c r="L1502" i="10"/>
  <c r="L1501" i="10"/>
  <c r="L1500" i="10"/>
  <c r="L1499" i="10"/>
  <c r="L1498" i="10"/>
  <c r="L1497" i="10"/>
  <c r="L1496" i="10"/>
  <c r="L1495" i="10"/>
  <c r="L1494" i="10"/>
  <c r="L1493" i="10"/>
  <c r="L1492" i="10"/>
  <c r="L1491" i="10"/>
  <c r="L1490" i="10"/>
  <c r="L1489" i="10"/>
  <c r="L1488" i="10"/>
  <c r="L1487" i="10"/>
  <c r="L1486" i="10"/>
  <c r="L1485" i="10"/>
  <c r="L1484" i="10"/>
  <c r="L1483" i="10"/>
  <c r="L1482" i="10"/>
  <c r="L1481" i="10"/>
  <c r="L1480" i="10"/>
  <c r="L1479" i="10"/>
  <c r="L1478" i="10"/>
  <c r="L1477" i="10"/>
  <c r="L1476" i="10"/>
  <c r="L1475" i="10"/>
  <c r="L1474" i="10"/>
  <c r="L1473" i="10"/>
  <c r="L1472" i="10"/>
  <c r="L1471" i="10"/>
  <c r="L1470" i="10"/>
  <c r="L1469" i="10"/>
  <c r="L1468" i="10"/>
  <c r="L1467" i="10"/>
  <c r="L1466" i="10"/>
  <c r="L1465" i="10"/>
  <c r="L1464" i="10"/>
  <c r="L1463" i="10"/>
  <c r="L1462" i="10"/>
  <c r="L1461" i="10"/>
  <c r="L1460" i="10"/>
  <c r="L1459" i="10"/>
  <c r="L1458" i="10"/>
  <c r="L1457" i="10"/>
  <c r="L1456" i="10"/>
  <c r="L1455" i="10"/>
  <c r="L1454" i="10"/>
  <c r="L1453" i="10"/>
  <c r="L1452" i="10"/>
  <c r="L1451" i="10"/>
  <c r="L1450" i="10"/>
  <c r="L1449" i="10"/>
  <c r="L1448" i="10"/>
  <c r="L1447" i="10"/>
  <c r="L1446" i="10"/>
  <c r="L1445" i="10"/>
  <c r="L1444" i="10"/>
  <c r="L1443" i="10"/>
  <c r="L1442" i="10"/>
  <c r="L1441" i="10"/>
  <c r="L1440" i="10"/>
  <c r="L1439" i="10"/>
  <c r="L1438" i="10"/>
  <c r="L1437" i="10"/>
  <c r="L1436" i="10"/>
  <c r="L1435" i="10"/>
  <c r="L1434" i="10"/>
  <c r="L1433" i="10"/>
  <c r="L1432" i="10"/>
  <c r="L1431" i="10"/>
  <c r="L1430" i="10"/>
  <c r="L1429" i="10"/>
  <c r="L1428" i="10"/>
  <c r="L1427" i="10"/>
  <c r="L1426" i="10"/>
  <c r="L1425" i="10"/>
  <c r="L1424" i="10"/>
  <c r="L1423" i="10"/>
  <c r="L1422" i="10"/>
  <c r="L1421" i="10"/>
  <c r="L1420" i="10"/>
  <c r="L1419" i="10"/>
  <c r="L1418" i="10"/>
  <c r="L1417" i="10"/>
  <c r="L1416" i="10"/>
  <c r="L1415" i="10"/>
  <c r="L1414" i="10"/>
  <c r="L1413" i="10"/>
  <c r="L1412" i="10"/>
  <c r="L1411" i="10"/>
  <c r="L1410" i="10"/>
  <c r="L1409" i="10"/>
  <c r="L1408" i="10"/>
  <c r="L1407" i="10"/>
  <c r="L1406" i="10"/>
  <c r="L1405" i="10"/>
  <c r="L1404" i="10"/>
  <c r="L1403" i="10"/>
  <c r="L1402" i="10"/>
  <c r="L1401" i="10"/>
  <c r="L1400" i="10"/>
  <c r="L1399" i="10"/>
  <c r="L1398" i="10"/>
  <c r="L1397" i="10"/>
  <c r="L1396" i="10"/>
  <c r="L1395" i="10"/>
  <c r="L1394" i="10"/>
  <c r="L1393" i="10"/>
  <c r="L1392" i="10"/>
  <c r="L1391" i="10"/>
  <c r="L1390" i="10"/>
  <c r="L1389" i="10"/>
  <c r="L1388" i="10"/>
  <c r="L1387" i="10"/>
  <c r="L1386" i="10"/>
  <c r="L1385" i="10"/>
  <c r="L1384" i="10"/>
  <c r="L1383" i="10"/>
  <c r="L1382" i="10"/>
  <c r="L1381" i="10"/>
  <c r="L1380" i="10"/>
  <c r="L1379" i="10"/>
  <c r="L1378" i="10"/>
  <c r="L1377" i="10"/>
  <c r="L1376" i="10"/>
  <c r="L1375" i="10"/>
  <c r="L1374" i="10"/>
  <c r="L1373" i="10"/>
  <c r="L1372" i="10"/>
  <c r="L1371" i="10"/>
  <c r="L1370" i="10"/>
  <c r="L1369" i="10"/>
  <c r="L1368" i="10"/>
  <c r="L1367" i="10"/>
  <c r="L1366" i="10"/>
  <c r="L1365" i="10"/>
  <c r="L1364" i="10"/>
  <c r="L1363" i="10"/>
  <c r="L1362" i="10"/>
  <c r="L1361" i="10"/>
  <c r="L1360" i="10"/>
  <c r="L1359" i="10"/>
  <c r="L1358" i="10"/>
  <c r="L1357" i="10"/>
  <c r="L1356" i="10"/>
  <c r="L1355" i="10"/>
  <c r="L1354" i="10"/>
  <c r="L1353" i="10"/>
  <c r="L1352" i="10"/>
  <c r="L1351" i="10"/>
  <c r="L1350" i="10"/>
  <c r="L1349" i="10"/>
  <c r="L1348" i="10"/>
  <c r="L1347" i="10"/>
  <c r="L1346" i="10"/>
  <c r="L1345" i="10"/>
  <c r="L1344" i="10"/>
  <c r="L1343" i="10"/>
  <c r="L1342" i="10"/>
  <c r="L1341" i="10"/>
  <c r="L1340" i="10"/>
  <c r="L1339" i="10"/>
  <c r="L1338" i="10"/>
  <c r="L1337" i="10"/>
  <c r="L1336" i="10"/>
  <c r="L1335" i="10"/>
  <c r="L1334" i="10"/>
  <c r="L1333" i="10"/>
  <c r="L1332" i="10"/>
  <c r="L1331" i="10"/>
  <c r="L1330" i="10"/>
  <c r="L1329" i="10"/>
  <c r="L1328" i="10"/>
  <c r="L1327" i="10"/>
  <c r="L1326" i="10"/>
  <c r="L1325" i="10"/>
  <c r="L1324" i="10"/>
  <c r="L1323" i="10"/>
  <c r="L1322" i="10"/>
  <c r="L1321" i="10"/>
  <c r="L1320" i="10"/>
  <c r="L1319" i="10"/>
  <c r="L1318" i="10"/>
  <c r="L1317" i="10"/>
  <c r="L1316" i="10"/>
  <c r="L1315" i="10"/>
  <c r="L1314" i="10"/>
  <c r="L1313" i="10"/>
  <c r="L1312" i="10"/>
  <c r="L1311" i="10"/>
  <c r="L1310" i="10"/>
  <c r="L1309" i="10"/>
  <c r="L1308" i="10"/>
  <c r="L1307" i="10"/>
  <c r="L1306" i="10"/>
  <c r="L1305" i="10"/>
  <c r="L1304" i="10"/>
  <c r="L1303" i="10"/>
  <c r="L1302" i="10"/>
  <c r="L1301" i="10"/>
  <c r="L1300" i="10"/>
  <c r="L1299" i="10"/>
  <c r="L1298" i="10"/>
  <c r="L1297" i="10"/>
  <c r="L1296" i="10"/>
  <c r="L1295" i="10"/>
  <c r="L1294" i="10"/>
  <c r="L1293" i="10"/>
  <c r="L1292" i="10"/>
  <c r="L1291" i="10"/>
  <c r="L1290" i="10"/>
  <c r="L1289" i="10"/>
  <c r="L1288" i="10"/>
  <c r="L1287" i="10"/>
  <c r="L1286" i="10"/>
  <c r="L1285" i="10"/>
  <c r="L1284" i="10"/>
  <c r="L1283" i="10"/>
  <c r="L1282" i="10"/>
  <c r="L1281" i="10"/>
  <c r="L1280" i="10"/>
  <c r="L1279" i="10"/>
  <c r="L1278" i="10"/>
  <c r="L1277" i="10"/>
  <c r="L1276" i="10"/>
  <c r="L1275" i="10"/>
  <c r="L1274" i="10"/>
  <c r="L1273" i="10"/>
  <c r="L1272" i="10"/>
  <c r="L1271" i="10"/>
  <c r="L1270" i="10"/>
  <c r="L1269" i="10"/>
  <c r="L1268" i="10"/>
  <c r="L1267" i="10"/>
  <c r="L1266" i="10"/>
  <c r="L1265" i="10"/>
  <c r="L1264" i="10"/>
  <c r="L1263" i="10"/>
  <c r="L1262" i="10"/>
  <c r="L1261" i="10"/>
  <c r="L1260" i="10"/>
  <c r="L1259" i="10"/>
  <c r="L1258" i="10"/>
  <c r="L1257" i="10"/>
  <c r="L1256" i="10"/>
  <c r="L1255" i="10"/>
  <c r="L1254" i="10"/>
  <c r="L1253" i="10"/>
  <c r="L1252" i="10"/>
  <c r="L1251" i="10"/>
  <c r="L1250" i="10"/>
  <c r="L1249" i="10"/>
  <c r="L1248" i="10"/>
  <c r="L1247" i="10"/>
  <c r="L1246" i="10"/>
  <c r="L1245" i="10"/>
  <c r="L1244" i="10"/>
  <c r="L1243" i="10"/>
  <c r="L1242" i="10"/>
  <c r="L1241" i="10"/>
  <c r="L1240" i="10"/>
  <c r="L1239" i="10"/>
  <c r="L1238" i="10"/>
  <c r="L1237" i="10"/>
  <c r="L1236" i="10"/>
  <c r="L1235" i="10"/>
  <c r="L1234" i="10"/>
  <c r="L1233" i="10"/>
  <c r="L1232" i="10"/>
  <c r="L1231" i="10"/>
  <c r="L1230" i="10"/>
  <c r="L1229" i="10"/>
  <c r="L1228" i="10"/>
  <c r="L1227" i="10"/>
  <c r="L1226" i="10"/>
  <c r="L1225" i="10"/>
  <c r="L1224" i="10"/>
  <c r="L1223" i="10"/>
  <c r="L1222" i="10"/>
  <c r="L1221" i="10"/>
  <c r="L1220" i="10"/>
  <c r="L1219" i="10"/>
  <c r="L1218" i="10"/>
  <c r="L1217" i="10"/>
  <c r="L1216" i="10"/>
  <c r="L1215" i="10"/>
  <c r="L1214" i="10"/>
  <c r="L1213" i="10"/>
  <c r="L1212" i="10"/>
  <c r="L1211" i="10"/>
  <c r="L1210" i="10"/>
  <c r="L1209" i="10"/>
  <c r="L1208" i="10"/>
  <c r="L1207" i="10"/>
  <c r="L1206" i="10"/>
  <c r="L1205" i="10"/>
  <c r="L1204" i="10"/>
  <c r="L1203" i="10"/>
  <c r="L1202" i="10"/>
  <c r="L1201" i="10"/>
  <c r="L1200" i="10"/>
  <c r="L1199" i="10"/>
  <c r="L1198" i="10"/>
  <c r="L1197" i="10"/>
  <c r="L1196" i="10"/>
  <c r="L1195" i="10"/>
  <c r="L1194" i="10"/>
  <c r="L1193" i="10"/>
  <c r="L1192" i="10"/>
  <c r="L1191" i="10"/>
  <c r="L1190" i="10"/>
  <c r="L1189" i="10"/>
  <c r="L1188" i="10"/>
  <c r="L1187" i="10"/>
  <c r="L1186" i="10"/>
  <c r="L1185" i="10"/>
  <c r="L1184" i="10"/>
  <c r="L1183" i="10"/>
  <c r="L1182" i="10"/>
  <c r="L1181" i="10"/>
  <c r="L1180" i="10"/>
  <c r="L1179" i="10"/>
  <c r="L1178" i="10"/>
  <c r="L1177" i="10"/>
  <c r="L1176" i="10"/>
  <c r="L1175" i="10"/>
  <c r="L1174" i="10"/>
  <c r="L1173" i="10"/>
  <c r="L1172" i="10"/>
  <c r="L1171" i="10"/>
  <c r="L1170" i="10"/>
  <c r="L1169" i="10"/>
  <c r="L1168" i="10"/>
  <c r="L1167" i="10"/>
  <c r="L1166" i="10"/>
  <c r="L1165" i="10"/>
  <c r="L1164" i="10"/>
  <c r="L1163" i="10"/>
  <c r="L1162" i="10"/>
  <c r="L1161" i="10"/>
  <c r="L1160" i="10"/>
  <c r="L1159" i="10"/>
  <c r="L1158" i="10"/>
  <c r="L1157" i="10"/>
  <c r="L1156" i="10"/>
  <c r="L1155" i="10"/>
  <c r="L1154" i="10"/>
  <c r="L1153" i="10"/>
  <c r="L1152" i="10"/>
  <c r="L1151" i="10"/>
  <c r="L1150" i="10"/>
  <c r="L1149" i="10"/>
  <c r="L1148" i="10"/>
  <c r="L1147" i="10"/>
  <c r="L1146" i="10"/>
  <c r="L1145" i="10"/>
  <c r="L1144" i="10"/>
  <c r="L1143" i="10"/>
  <c r="L1142" i="10"/>
  <c r="L1141" i="10"/>
  <c r="L1140" i="10"/>
  <c r="L1139" i="10"/>
  <c r="L1138" i="10"/>
  <c r="L1137" i="10"/>
  <c r="L1136" i="10"/>
  <c r="L1135" i="10"/>
  <c r="L1134" i="10"/>
  <c r="L1133" i="10"/>
  <c r="L1132" i="10"/>
  <c r="L1131" i="10"/>
  <c r="L1130" i="10"/>
  <c r="L1129" i="10"/>
  <c r="L1128" i="10"/>
  <c r="L1127" i="10"/>
  <c r="L1126" i="10"/>
  <c r="L1125" i="10"/>
  <c r="L1124" i="10"/>
  <c r="L1123" i="10"/>
  <c r="L1122" i="10"/>
  <c r="L1121" i="10"/>
  <c r="L1120" i="10"/>
  <c r="L1119" i="10"/>
  <c r="L1118" i="10"/>
  <c r="L1117" i="10"/>
  <c r="L1116" i="10"/>
  <c r="L1115" i="10"/>
  <c r="L1114" i="10"/>
  <c r="L1113" i="10"/>
  <c r="L1112" i="10"/>
  <c r="L1111" i="10"/>
  <c r="L1110" i="10"/>
  <c r="L1109" i="10"/>
  <c r="L1108" i="10"/>
  <c r="L1107" i="10"/>
  <c r="L1106" i="10"/>
  <c r="L1105" i="10"/>
  <c r="L1104" i="10"/>
  <c r="L1103" i="10"/>
  <c r="L1102" i="10"/>
  <c r="L1101" i="10"/>
  <c r="L1100" i="10"/>
  <c r="L1099" i="10"/>
  <c r="L1098" i="10"/>
  <c r="L1097" i="10"/>
  <c r="L1096" i="10"/>
  <c r="L1095" i="10"/>
  <c r="L1094" i="10"/>
  <c r="L1093" i="10"/>
  <c r="L1092" i="10"/>
  <c r="L1091" i="10"/>
  <c r="L1090" i="10"/>
  <c r="L1089" i="10"/>
  <c r="L1088" i="10"/>
  <c r="L1087" i="10"/>
  <c r="L1086" i="10"/>
  <c r="L1085" i="10"/>
  <c r="L1084" i="10"/>
  <c r="L1083" i="10"/>
  <c r="L1082" i="10"/>
  <c r="L1081" i="10"/>
  <c r="L1080" i="10"/>
  <c r="L1079" i="10"/>
  <c r="L1078" i="10"/>
  <c r="L1077" i="10"/>
  <c r="L1076" i="10"/>
  <c r="L1075" i="10"/>
  <c r="L1074" i="10"/>
  <c r="L1073" i="10"/>
  <c r="L1072" i="10"/>
  <c r="L1071" i="10"/>
  <c r="L1070" i="10"/>
  <c r="L1069" i="10"/>
  <c r="L1068" i="10"/>
  <c r="L1067" i="10"/>
  <c r="L1066" i="10"/>
  <c r="L1065" i="10"/>
  <c r="L1064" i="10"/>
  <c r="L1063" i="10"/>
  <c r="L1062" i="10"/>
  <c r="L1061" i="10"/>
  <c r="L1060" i="10"/>
  <c r="L1059" i="10"/>
  <c r="L1058" i="10"/>
  <c r="L1057" i="10"/>
  <c r="L1056" i="10"/>
  <c r="L1055" i="10"/>
  <c r="L1054" i="10"/>
  <c r="L1053" i="10"/>
  <c r="L1052" i="10"/>
  <c r="L1051" i="10"/>
  <c r="L1050" i="10"/>
  <c r="L1049" i="10"/>
  <c r="L1048" i="10"/>
  <c r="L1047" i="10"/>
  <c r="L1046" i="10"/>
  <c r="L1045" i="10"/>
  <c r="L1044" i="10"/>
  <c r="L1043" i="10"/>
  <c r="L1042" i="10"/>
  <c r="L1041" i="10"/>
  <c r="L1040" i="10"/>
  <c r="L1039" i="10"/>
  <c r="L1038" i="10"/>
  <c r="L1037" i="10"/>
  <c r="L1036" i="10"/>
  <c r="L1035" i="10"/>
  <c r="L1034" i="10"/>
  <c r="L1033" i="10"/>
  <c r="L1032" i="10"/>
  <c r="L1031" i="10"/>
  <c r="L1030" i="10"/>
  <c r="L1029" i="10"/>
  <c r="L1028" i="10"/>
  <c r="L1027" i="10"/>
  <c r="L1026" i="10"/>
  <c r="L1025" i="10"/>
  <c r="L1024" i="10"/>
  <c r="L1023" i="10"/>
  <c r="L1022" i="10"/>
  <c r="L1021" i="10"/>
  <c r="L1020" i="10"/>
  <c r="L1019" i="10"/>
  <c r="L1018" i="10"/>
  <c r="L1017" i="10"/>
  <c r="L1016" i="10"/>
  <c r="L1015" i="10"/>
  <c r="L1014" i="10"/>
  <c r="L1013" i="10"/>
  <c r="L1012" i="10"/>
  <c r="L1011" i="10"/>
  <c r="L1010" i="10"/>
  <c r="L1009" i="10"/>
  <c r="L1008" i="10"/>
  <c r="L1007" i="10"/>
  <c r="L1006" i="10"/>
  <c r="L1005" i="10"/>
  <c r="L1004" i="10"/>
  <c r="L1003" i="10"/>
  <c r="L1002" i="10"/>
  <c r="L1001" i="10"/>
  <c r="L1000" i="10"/>
  <c r="L999" i="10"/>
  <c r="L998" i="10"/>
  <c r="L997" i="10"/>
  <c r="L996" i="10"/>
  <c r="L995" i="10"/>
  <c r="L994" i="10"/>
  <c r="L993" i="10"/>
  <c r="L992" i="10"/>
  <c r="L991" i="10"/>
  <c r="L990" i="10"/>
  <c r="L989" i="10"/>
  <c r="L988" i="10"/>
  <c r="L987" i="10"/>
  <c r="L986" i="10"/>
  <c r="L985" i="10"/>
  <c r="L984" i="10"/>
  <c r="L983" i="10"/>
  <c r="L982" i="10"/>
  <c r="L981" i="10"/>
  <c r="L980" i="10"/>
  <c r="L979" i="10"/>
  <c r="L978" i="10"/>
  <c r="L977" i="10"/>
  <c r="L976" i="10"/>
  <c r="L975" i="10"/>
  <c r="L974" i="10"/>
  <c r="L973" i="10"/>
  <c r="L972" i="10"/>
  <c r="L971" i="10"/>
  <c r="L970" i="10"/>
  <c r="L969" i="10"/>
  <c r="L968" i="10"/>
  <c r="L967" i="10"/>
  <c r="L966" i="10"/>
  <c r="L965" i="10"/>
  <c r="L964" i="10"/>
  <c r="L963" i="10"/>
  <c r="L962" i="10"/>
  <c r="L961" i="10"/>
  <c r="L960" i="10"/>
  <c r="L959" i="10"/>
  <c r="L958" i="10"/>
  <c r="L957" i="10"/>
  <c r="L956" i="10"/>
  <c r="L955" i="10"/>
  <c r="L954" i="10"/>
  <c r="L953" i="10"/>
  <c r="L952" i="10"/>
  <c r="L951" i="10"/>
  <c r="L950" i="10"/>
  <c r="L949" i="10"/>
  <c r="L948" i="10"/>
  <c r="L947" i="10"/>
  <c r="L946" i="10"/>
  <c r="L945" i="10"/>
  <c r="L944" i="10"/>
  <c r="L943" i="10"/>
  <c r="L942" i="10"/>
  <c r="L941" i="10"/>
  <c r="L940" i="10"/>
  <c r="L939" i="10"/>
  <c r="L938" i="10"/>
  <c r="L937" i="10"/>
  <c r="L936" i="10"/>
  <c r="L935" i="10"/>
  <c r="L934" i="10"/>
  <c r="L933" i="10"/>
  <c r="L932" i="10"/>
  <c r="L931" i="10"/>
  <c r="L930" i="10"/>
  <c r="L929" i="10"/>
  <c r="L928" i="10"/>
  <c r="L927" i="10"/>
  <c r="L926" i="10"/>
  <c r="L925" i="10"/>
  <c r="L924" i="10"/>
  <c r="L923" i="10"/>
  <c r="L922" i="10"/>
  <c r="L921" i="10"/>
  <c r="L920" i="10"/>
  <c r="L919" i="10"/>
  <c r="L918" i="10"/>
  <c r="L917" i="10"/>
  <c r="L916" i="10"/>
  <c r="L915" i="10"/>
  <c r="L914" i="10"/>
  <c r="L913" i="10"/>
  <c r="L912" i="10"/>
  <c r="L911" i="10"/>
  <c r="L910" i="10"/>
  <c r="L909" i="10"/>
  <c r="L908" i="10"/>
  <c r="L907" i="10"/>
  <c r="L906" i="10"/>
  <c r="L905" i="10"/>
  <c r="L904" i="10"/>
  <c r="L903" i="10"/>
  <c r="L902" i="10"/>
  <c r="L901" i="10"/>
  <c r="L900" i="10"/>
  <c r="L899" i="10"/>
  <c r="L898" i="10"/>
  <c r="L897" i="10"/>
  <c r="L896" i="10"/>
  <c r="L895" i="10"/>
  <c r="L894" i="10"/>
  <c r="L893" i="10"/>
  <c r="L892" i="10"/>
  <c r="L891" i="10"/>
  <c r="L890" i="10"/>
  <c r="L889" i="10"/>
  <c r="L888" i="10"/>
  <c r="L887" i="10"/>
  <c r="L886" i="10"/>
  <c r="L885" i="10"/>
  <c r="L884" i="10"/>
  <c r="L883" i="10"/>
  <c r="L882" i="10"/>
  <c r="L881" i="10"/>
  <c r="L880" i="10"/>
  <c r="L879" i="10"/>
  <c r="L878" i="10"/>
  <c r="L877" i="10"/>
  <c r="L876" i="10"/>
  <c r="L875" i="10"/>
  <c r="L874" i="10"/>
  <c r="L873" i="10"/>
  <c r="L872" i="10"/>
  <c r="L871" i="10"/>
  <c r="L870" i="10"/>
  <c r="L869" i="10"/>
  <c r="L868" i="10"/>
  <c r="L867" i="10"/>
  <c r="L866" i="10"/>
  <c r="L865" i="10"/>
  <c r="L864" i="10"/>
  <c r="L863" i="10"/>
  <c r="L862" i="10"/>
  <c r="L861" i="10"/>
  <c r="L860" i="10"/>
  <c r="L859" i="10"/>
  <c r="L858" i="10"/>
  <c r="L857" i="10"/>
  <c r="L856" i="10"/>
  <c r="L855" i="10"/>
  <c r="L854" i="10"/>
  <c r="L853" i="10"/>
  <c r="L852" i="10"/>
  <c r="L851" i="10"/>
  <c r="L850" i="10"/>
  <c r="L849" i="10"/>
  <c r="L848" i="10"/>
  <c r="L847" i="10"/>
  <c r="L846" i="10"/>
  <c r="L845" i="10"/>
  <c r="L844" i="10"/>
  <c r="L843" i="10"/>
  <c r="L842" i="10"/>
  <c r="L841" i="10"/>
  <c r="L840" i="10"/>
  <c r="L839" i="10"/>
  <c r="L838" i="10"/>
  <c r="L837" i="10"/>
  <c r="L836" i="10"/>
  <c r="L835" i="10"/>
  <c r="L834" i="10"/>
  <c r="L833" i="10"/>
  <c r="L832" i="10"/>
  <c r="L831" i="10"/>
  <c r="L830" i="10"/>
  <c r="L829" i="10"/>
  <c r="L828" i="10"/>
  <c r="L827" i="10"/>
  <c r="L826" i="10"/>
  <c r="L825" i="10"/>
  <c r="L824" i="10"/>
  <c r="L823" i="10"/>
  <c r="L822" i="10"/>
  <c r="L821" i="10"/>
  <c r="L820" i="10"/>
  <c r="L819" i="10"/>
  <c r="L818" i="10"/>
  <c r="L817" i="10"/>
  <c r="L816" i="10"/>
  <c r="L815" i="10"/>
  <c r="L814" i="10"/>
  <c r="L813" i="10"/>
  <c r="L812" i="10"/>
  <c r="L811" i="10"/>
  <c r="L810" i="10"/>
  <c r="L809" i="10"/>
  <c r="L808" i="10"/>
  <c r="L807" i="10"/>
  <c r="L806" i="10"/>
  <c r="L805" i="10"/>
  <c r="L804" i="10"/>
  <c r="L803" i="10"/>
  <c r="L802" i="10"/>
  <c r="L801" i="10"/>
  <c r="L800" i="10"/>
  <c r="L799" i="10"/>
  <c r="L798" i="10"/>
  <c r="L797" i="10"/>
  <c r="L796" i="10"/>
  <c r="L795" i="10"/>
  <c r="L794" i="10"/>
  <c r="L793" i="10"/>
  <c r="L792" i="10"/>
  <c r="L791" i="10"/>
  <c r="L790" i="10"/>
  <c r="L789" i="10"/>
  <c r="L788" i="10"/>
  <c r="L787" i="10"/>
  <c r="L786" i="10"/>
  <c r="L785" i="10"/>
  <c r="L784" i="10"/>
  <c r="L783" i="10"/>
  <c r="L782" i="10"/>
  <c r="L781" i="10"/>
  <c r="L780" i="10"/>
  <c r="L779" i="10"/>
  <c r="L778" i="10"/>
  <c r="L777" i="10"/>
  <c r="L776" i="10"/>
  <c r="L775" i="10"/>
  <c r="L774" i="10"/>
  <c r="L773" i="10"/>
  <c r="L772" i="10"/>
  <c r="L771" i="10"/>
  <c r="L770" i="10"/>
  <c r="L769" i="10"/>
  <c r="L768" i="10"/>
  <c r="L767" i="10"/>
  <c r="L766" i="10"/>
  <c r="L765" i="10"/>
  <c r="L764" i="10"/>
  <c r="L763" i="10"/>
  <c r="L762" i="10"/>
  <c r="L761" i="10"/>
  <c r="L760" i="10"/>
  <c r="L759" i="10"/>
  <c r="L758" i="10"/>
  <c r="L757" i="10"/>
  <c r="L756" i="10"/>
  <c r="L755" i="10"/>
  <c r="L754" i="10"/>
  <c r="L753" i="10"/>
  <c r="L752" i="10"/>
  <c r="L751" i="10"/>
  <c r="L750" i="10"/>
  <c r="L749" i="10"/>
  <c r="L748" i="10"/>
  <c r="L747" i="10"/>
  <c r="L746" i="10"/>
  <c r="L745" i="10"/>
  <c r="L744" i="10"/>
  <c r="L743" i="10"/>
  <c r="L742" i="10"/>
  <c r="L741" i="10"/>
  <c r="L740" i="10"/>
  <c r="L739" i="10"/>
  <c r="L738" i="10"/>
  <c r="L737" i="10"/>
  <c r="L736" i="10"/>
  <c r="L735" i="10"/>
  <c r="L734" i="10"/>
  <c r="L733" i="10"/>
  <c r="L732" i="10"/>
  <c r="L731" i="10"/>
  <c r="L730" i="10"/>
  <c r="L729" i="10"/>
  <c r="L728" i="10"/>
  <c r="L727" i="10"/>
  <c r="L726" i="10"/>
  <c r="L725" i="10"/>
  <c r="L724" i="10"/>
  <c r="L723" i="10"/>
  <c r="L722" i="10"/>
  <c r="L721" i="10"/>
  <c r="L720" i="10"/>
  <c r="L719" i="10"/>
  <c r="L718" i="10"/>
  <c r="L717" i="10"/>
  <c r="L716" i="10"/>
  <c r="L715" i="10"/>
  <c r="L714" i="10"/>
  <c r="L713" i="10"/>
  <c r="L712" i="10"/>
  <c r="L711" i="10"/>
  <c r="L710" i="10"/>
  <c r="L709" i="10"/>
  <c r="L708" i="10"/>
  <c r="L707" i="10"/>
  <c r="L706" i="10"/>
  <c r="L705" i="10"/>
  <c r="L704" i="10"/>
  <c r="L703" i="10"/>
  <c r="L702" i="10"/>
  <c r="L701" i="10"/>
  <c r="L700" i="10"/>
  <c r="L699" i="10"/>
  <c r="L698" i="10"/>
  <c r="L697" i="10"/>
  <c r="L696" i="10"/>
  <c r="L695" i="10"/>
  <c r="L694" i="10"/>
  <c r="L693" i="10"/>
  <c r="L692" i="10"/>
  <c r="L691" i="10"/>
  <c r="L690" i="10"/>
  <c r="L689" i="10"/>
  <c r="L688" i="10"/>
  <c r="L687" i="10"/>
  <c r="L686" i="10"/>
  <c r="L685" i="10"/>
  <c r="L684" i="10"/>
  <c r="L683" i="10"/>
  <c r="L682" i="10"/>
  <c r="L681" i="10"/>
  <c r="L680" i="10"/>
  <c r="L679" i="10"/>
  <c r="L678" i="10"/>
  <c r="L677" i="10"/>
  <c r="L676" i="10"/>
  <c r="L675" i="10"/>
  <c r="L674" i="10"/>
  <c r="L673" i="10"/>
  <c r="L672" i="10"/>
  <c r="L671" i="10"/>
  <c r="L670" i="10"/>
  <c r="L669" i="10"/>
  <c r="L668" i="10"/>
  <c r="L667" i="10"/>
  <c r="L666" i="10"/>
  <c r="L665" i="10"/>
  <c r="L664" i="10"/>
  <c r="L663" i="10"/>
  <c r="L662" i="10"/>
  <c r="L661" i="10"/>
  <c r="L660" i="10"/>
  <c r="L659" i="10"/>
  <c r="L658" i="10"/>
  <c r="L657" i="10"/>
  <c r="L656" i="10"/>
  <c r="L655" i="10"/>
  <c r="L654" i="10"/>
  <c r="L653" i="10"/>
  <c r="L652" i="10"/>
  <c r="L651" i="10"/>
  <c r="L650" i="10"/>
  <c r="L649" i="10"/>
  <c r="L648" i="10"/>
  <c r="L647" i="10"/>
  <c r="L646" i="10"/>
  <c r="L645" i="10"/>
  <c r="L644" i="10"/>
  <c r="L643" i="10"/>
  <c r="L642" i="10"/>
  <c r="L641" i="10"/>
  <c r="L640" i="10"/>
  <c r="L639" i="10"/>
  <c r="L638" i="10"/>
  <c r="L637" i="10"/>
  <c r="L636" i="10"/>
  <c r="L635" i="10"/>
  <c r="L634" i="10"/>
  <c r="L633" i="10"/>
  <c r="L632" i="10"/>
  <c r="L631" i="10"/>
  <c r="L630" i="10"/>
  <c r="L629" i="10"/>
  <c r="L628" i="10"/>
  <c r="L627" i="10"/>
  <c r="L626" i="10"/>
  <c r="L625" i="10"/>
  <c r="L624" i="10"/>
  <c r="L623" i="10"/>
  <c r="L622" i="10"/>
  <c r="L621" i="10"/>
  <c r="L620" i="10"/>
  <c r="L619" i="10"/>
  <c r="L618" i="10"/>
  <c r="L617" i="10"/>
  <c r="L616" i="10"/>
  <c r="L615" i="10"/>
  <c r="L614" i="10"/>
  <c r="L613" i="10"/>
  <c r="L612" i="10"/>
  <c r="L611" i="10"/>
  <c r="L610" i="10"/>
  <c r="L609" i="10"/>
  <c r="L608" i="10"/>
  <c r="L607" i="10"/>
  <c r="L606" i="10"/>
  <c r="L605" i="10"/>
  <c r="L604" i="10"/>
  <c r="L603" i="10"/>
  <c r="L602" i="10"/>
  <c r="L601" i="10"/>
  <c r="L600" i="10"/>
  <c r="L599" i="10"/>
  <c r="L598" i="10"/>
  <c r="L597" i="10"/>
  <c r="L596" i="10"/>
  <c r="L595" i="10"/>
  <c r="L594" i="10"/>
  <c r="L593" i="10"/>
  <c r="L592" i="10"/>
  <c r="L591" i="10"/>
  <c r="L590" i="10"/>
  <c r="L589" i="10"/>
  <c r="L588" i="10"/>
  <c r="L587" i="10"/>
  <c r="L586" i="10"/>
  <c r="L585" i="10"/>
  <c r="L584" i="10"/>
  <c r="L583" i="10"/>
  <c r="L582" i="10"/>
  <c r="L581" i="10"/>
  <c r="L580" i="10"/>
  <c r="L579" i="10"/>
  <c r="L578" i="10"/>
  <c r="L577" i="10"/>
  <c r="L576" i="10"/>
  <c r="L575" i="10"/>
  <c r="L574" i="10"/>
  <c r="L573" i="10"/>
  <c r="L572" i="10"/>
  <c r="L571" i="10"/>
  <c r="L570" i="10"/>
  <c r="L569" i="10"/>
  <c r="L568" i="10"/>
  <c r="L567" i="10"/>
  <c r="L566" i="10"/>
  <c r="L565" i="10"/>
  <c r="L564" i="10"/>
  <c r="L563" i="10"/>
  <c r="L562" i="10"/>
  <c r="L561" i="10"/>
  <c r="L560" i="10"/>
  <c r="L559" i="10"/>
  <c r="L558" i="10"/>
  <c r="L557" i="10"/>
  <c r="L556" i="10"/>
  <c r="L555" i="10"/>
  <c r="L554" i="10"/>
  <c r="L553" i="10"/>
  <c r="L552" i="10"/>
  <c r="L551" i="10"/>
  <c r="L550" i="10"/>
  <c r="L549" i="10"/>
  <c r="L548" i="10"/>
  <c r="L547" i="10"/>
  <c r="L546" i="10"/>
  <c r="L545" i="10"/>
  <c r="L544" i="10"/>
  <c r="L543" i="10"/>
  <c r="L542" i="10"/>
  <c r="L541" i="10"/>
  <c r="L540" i="10"/>
  <c r="L539" i="10"/>
  <c r="L538" i="10"/>
  <c r="L537" i="10"/>
  <c r="L536" i="10"/>
  <c r="L535" i="10"/>
  <c r="L534" i="10"/>
  <c r="L533" i="10"/>
  <c r="L532" i="10"/>
  <c r="L531" i="10"/>
  <c r="L530" i="10"/>
  <c r="L529" i="10"/>
  <c r="L528" i="10"/>
  <c r="L527" i="10"/>
  <c r="L526" i="10"/>
  <c r="L525" i="10"/>
  <c r="L524" i="10"/>
  <c r="L523" i="10"/>
  <c r="L522" i="10"/>
  <c r="L521" i="10"/>
  <c r="L520" i="10"/>
  <c r="L519" i="10"/>
  <c r="L518" i="10"/>
  <c r="L517" i="10"/>
  <c r="L516" i="10"/>
  <c r="L515" i="10"/>
  <c r="L514" i="10"/>
  <c r="L513" i="10"/>
  <c r="L512" i="10"/>
  <c r="L511" i="10"/>
  <c r="L510" i="10"/>
  <c r="L509" i="10"/>
  <c r="L508" i="10"/>
  <c r="L507" i="10"/>
  <c r="L506" i="10"/>
  <c r="L505" i="10"/>
  <c r="L504" i="10"/>
  <c r="L503" i="10"/>
  <c r="L502" i="10"/>
  <c r="L501" i="10"/>
  <c r="L500" i="10"/>
  <c r="L499" i="10"/>
  <c r="L498" i="10"/>
  <c r="L497" i="10"/>
  <c r="L496" i="10"/>
  <c r="L495" i="10"/>
  <c r="L494" i="10"/>
  <c r="L493" i="10"/>
  <c r="L492" i="10"/>
  <c r="L491" i="10"/>
  <c r="L490" i="10"/>
  <c r="L489" i="10"/>
  <c r="L488" i="10"/>
  <c r="L487" i="10"/>
  <c r="L486" i="10"/>
  <c r="L485" i="10"/>
  <c r="L484" i="10"/>
  <c r="L483" i="10"/>
  <c r="L482" i="10"/>
  <c r="L481" i="10"/>
  <c r="L480" i="10"/>
  <c r="L479" i="10"/>
  <c r="L478" i="10"/>
  <c r="L477" i="10"/>
  <c r="L476" i="10"/>
  <c r="L475" i="10"/>
  <c r="L474" i="10"/>
  <c r="L473" i="10"/>
  <c r="L472" i="10"/>
  <c r="L471" i="10"/>
  <c r="L470" i="10"/>
  <c r="L469" i="10"/>
  <c r="L468" i="10"/>
  <c r="L467" i="10"/>
  <c r="L466" i="10"/>
  <c r="L465" i="10"/>
  <c r="L464" i="10"/>
  <c r="L463" i="10"/>
  <c r="L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K2855" i="10"/>
  <c r="K2854" i="10"/>
  <c r="K2853" i="10"/>
  <c r="K2852" i="10"/>
  <c r="K2851" i="10"/>
  <c r="K2850" i="10"/>
  <c r="K2849" i="10"/>
  <c r="K2848" i="10"/>
  <c r="K2847" i="10"/>
  <c r="K2846" i="10"/>
  <c r="K2845" i="10"/>
  <c r="K2844" i="10"/>
  <c r="K2843" i="10"/>
  <c r="K2842" i="10"/>
  <c r="K2841" i="10"/>
  <c r="K2840" i="10"/>
  <c r="K2839" i="10"/>
  <c r="K2838" i="10"/>
  <c r="K2837" i="10"/>
  <c r="K2836" i="10"/>
  <c r="K2835" i="10"/>
  <c r="K2834" i="10"/>
  <c r="K2833" i="10"/>
  <c r="K2832" i="10"/>
  <c r="K2831" i="10"/>
  <c r="K2830" i="10"/>
  <c r="K2829" i="10"/>
  <c r="K2828" i="10"/>
  <c r="K2827" i="10"/>
  <c r="K2826" i="10"/>
  <c r="K2825" i="10"/>
  <c r="K2824" i="10"/>
  <c r="K2823" i="10"/>
  <c r="K2822" i="10"/>
  <c r="K2821" i="10"/>
  <c r="K2820" i="10"/>
  <c r="K2819" i="10"/>
  <c r="K2818" i="10"/>
  <c r="K2817" i="10"/>
  <c r="K2816" i="10"/>
  <c r="K2815" i="10"/>
  <c r="K2814" i="10"/>
  <c r="K2813" i="10"/>
  <c r="K2812" i="10"/>
  <c r="K2811" i="10"/>
  <c r="K2810" i="10"/>
  <c r="K2809" i="10"/>
  <c r="K2808" i="10"/>
  <c r="K2807" i="10"/>
  <c r="K2806" i="10"/>
  <c r="K2805" i="10"/>
  <c r="K2804" i="10"/>
  <c r="K2803" i="10"/>
  <c r="K2802" i="10"/>
  <c r="K2801" i="10"/>
  <c r="K2800" i="10"/>
  <c r="K2799" i="10"/>
  <c r="K2798" i="10"/>
  <c r="K2797" i="10"/>
  <c r="K2796" i="10"/>
  <c r="K2795" i="10"/>
  <c r="K2794" i="10"/>
  <c r="K2793" i="10"/>
  <c r="K2792" i="10"/>
  <c r="K2791" i="10"/>
  <c r="K2790" i="10"/>
  <c r="K2789" i="10"/>
  <c r="K2788" i="10"/>
  <c r="K2787" i="10"/>
  <c r="K2786" i="10"/>
  <c r="K2785" i="10"/>
  <c r="K2784" i="10"/>
  <c r="K2783" i="10"/>
  <c r="K2782" i="10"/>
  <c r="K2781" i="10"/>
  <c r="K2780" i="10"/>
  <c r="K2779" i="10"/>
  <c r="K2778" i="10"/>
  <c r="K2777" i="10"/>
  <c r="K2776" i="10"/>
  <c r="K2775" i="10"/>
  <c r="K2774" i="10"/>
  <c r="K2773" i="10"/>
  <c r="K2772" i="10"/>
  <c r="K2771" i="10"/>
  <c r="K2770" i="10"/>
  <c r="K2769" i="10"/>
  <c r="K2768" i="10"/>
  <c r="K2767" i="10"/>
  <c r="K2766" i="10"/>
  <c r="K2765" i="10"/>
  <c r="K2764" i="10"/>
  <c r="K2763" i="10"/>
  <c r="K2762" i="10"/>
  <c r="K2761" i="10"/>
  <c r="K2760" i="10"/>
  <c r="K2759" i="10"/>
  <c r="K2758" i="10"/>
  <c r="K2757" i="10"/>
  <c r="K2756" i="10"/>
  <c r="K2755" i="10"/>
  <c r="K2754" i="10"/>
  <c r="K2753" i="10"/>
  <c r="K2752" i="10"/>
  <c r="K2751" i="10"/>
  <c r="K2750" i="10"/>
  <c r="K2749" i="10"/>
  <c r="K2748" i="10"/>
  <c r="K2747" i="10"/>
  <c r="K2746" i="10"/>
  <c r="K2745" i="10"/>
  <c r="K2744" i="10"/>
  <c r="K2743" i="10"/>
  <c r="K2742" i="10"/>
  <c r="K2741" i="10"/>
  <c r="K2740" i="10"/>
  <c r="K2739" i="10"/>
  <c r="K2738" i="10"/>
  <c r="K2737" i="10"/>
  <c r="K2736" i="10"/>
  <c r="K2735" i="10"/>
  <c r="K2734" i="10"/>
  <c r="K2733" i="10"/>
  <c r="K2732" i="10"/>
  <c r="K2731" i="10"/>
  <c r="K2730" i="10"/>
  <c r="K2729" i="10"/>
  <c r="K2728" i="10"/>
  <c r="K2727" i="10"/>
  <c r="K2726" i="10"/>
  <c r="K2725" i="10"/>
  <c r="K2724" i="10"/>
  <c r="K2723" i="10"/>
  <c r="K2722" i="10"/>
  <c r="K2721" i="10"/>
  <c r="K2720" i="10"/>
  <c r="K2719" i="10"/>
  <c r="K2718" i="10"/>
  <c r="K2717" i="10"/>
  <c r="K2716" i="10"/>
  <c r="K2715" i="10"/>
  <c r="K2714" i="10"/>
  <c r="K2713" i="10"/>
  <c r="K2712" i="10"/>
  <c r="K2711" i="10"/>
  <c r="K2710" i="10"/>
  <c r="K2709" i="10"/>
  <c r="K2708" i="10"/>
  <c r="K2707" i="10"/>
  <c r="K2706" i="10"/>
  <c r="K2705" i="10"/>
  <c r="K2704" i="10"/>
  <c r="K2703" i="10"/>
  <c r="K2702" i="10"/>
  <c r="K2701" i="10"/>
  <c r="K2700" i="10"/>
  <c r="K2699" i="10"/>
  <c r="K2698" i="10"/>
  <c r="K2697" i="10"/>
  <c r="K2696" i="10"/>
  <c r="K2695" i="10"/>
  <c r="K2694" i="10"/>
  <c r="K2693" i="10"/>
  <c r="K2692" i="10"/>
  <c r="K2691" i="10"/>
  <c r="K2690" i="10"/>
  <c r="K2689" i="10"/>
  <c r="K2688" i="10"/>
  <c r="K2687" i="10"/>
  <c r="K2686" i="10"/>
  <c r="K2685" i="10"/>
  <c r="K2684" i="10"/>
  <c r="K2683" i="10"/>
  <c r="K2682" i="10"/>
  <c r="K2681" i="10"/>
  <c r="K2680" i="10"/>
  <c r="K2679" i="10"/>
  <c r="K2678" i="10"/>
  <c r="K2677" i="10"/>
  <c r="K2676" i="10"/>
  <c r="K2675" i="10"/>
  <c r="K2674" i="10"/>
  <c r="K2673" i="10"/>
  <c r="K2672" i="10"/>
  <c r="K2671" i="10"/>
  <c r="K2670" i="10"/>
  <c r="K2669" i="10"/>
  <c r="K2668" i="10"/>
  <c r="K2667" i="10"/>
  <c r="K2666" i="10"/>
  <c r="K2665" i="10"/>
  <c r="K2664" i="10"/>
  <c r="K2663" i="10"/>
  <c r="K2662" i="10"/>
  <c r="K2661" i="10"/>
  <c r="K2660" i="10"/>
  <c r="K2659" i="10"/>
  <c r="K2658" i="10"/>
  <c r="K2657" i="10"/>
  <c r="K2656" i="10"/>
  <c r="K2655" i="10"/>
  <c r="K2654" i="10"/>
  <c r="K2653" i="10"/>
  <c r="K2652" i="10"/>
  <c r="K2651" i="10"/>
  <c r="K2650" i="10"/>
  <c r="K2649" i="10"/>
  <c r="K2648" i="10"/>
  <c r="K2647" i="10"/>
  <c r="K2646" i="10"/>
  <c r="K2645" i="10"/>
  <c r="K2644" i="10"/>
  <c r="K2643" i="10"/>
  <c r="K2642" i="10"/>
  <c r="K2641" i="10"/>
  <c r="K2640" i="10"/>
  <c r="K2639" i="10"/>
  <c r="K2638" i="10"/>
  <c r="K2637" i="10"/>
  <c r="K2636" i="10"/>
  <c r="K2635" i="10"/>
  <c r="K2634" i="10"/>
  <c r="K2633" i="10"/>
  <c r="K2632" i="10"/>
  <c r="K2631" i="10"/>
  <c r="K2630" i="10"/>
  <c r="K2629" i="10"/>
  <c r="K2628" i="10"/>
  <c r="K2627" i="10"/>
  <c r="K2626" i="10"/>
  <c r="K2625" i="10"/>
  <c r="K2624" i="10"/>
  <c r="K2623" i="10"/>
  <c r="K2622" i="10"/>
  <c r="K2621" i="10"/>
  <c r="K2620" i="10"/>
  <c r="K2619" i="10"/>
  <c r="K2618" i="10"/>
  <c r="K2617" i="10"/>
  <c r="K2616" i="10"/>
  <c r="K2615" i="10"/>
  <c r="K2614" i="10"/>
  <c r="K2613" i="10"/>
  <c r="K2612" i="10"/>
  <c r="K2611" i="10"/>
  <c r="K2610" i="10"/>
  <c r="K2609" i="10"/>
  <c r="K2608" i="10"/>
  <c r="K2607" i="10"/>
  <c r="K2606" i="10"/>
  <c r="K2605" i="10"/>
  <c r="K2604" i="10"/>
  <c r="K2603" i="10"/>
  <c r="K2602" i="10"/>
  <c r="K2601" i="10"/>
  <c r="K2600" i="10"/>
  <c r="K2599" i="10"/>
  <c r="K2598" i="10"/>
  <c r="K2597" i="10"/>
  <c r="K2596" i="10"/>
  <c r="K2595" i="10"/>
  <c r="K2594" i="10"/>
  <c r="K2593" i="10"/>
  <c r="K2592" i="10"/>
  <c r="K2591" i="10"/>
  <c r="K2590" i="10"/>
  <c r="K2589" i="10"/>
  <c r="K2588" i="10"/>
  <c r="K2587" i="10"/>
  <c r="K2586" i="10"/>
  <c r="K2585" i="10"/>
  <c r="K2584" i="10"/>
  <c r="K2583" i="10"/>
  <c r="K2582" i="10"/>
  <c r="K2581" i="10"/>
  <c r="K2580" i="10"/>
  <c r="K2579" i="10"/>
  <c r="K2578" i="10"/>
  <c r="K2577" i="10"/>
  <c r="K2576" i="10"/>
  <c r="K2575" i="10"/>
  <c r="K2574" i="10"/>
  <c r="K2573" i="10"/>
  <c r="K2572" i="10"/>
  <c r="K2571" i="10"/>
  <c r="K2570" i="10"/>
  <c r="K2569" i="10"/>
  <c r="K2568" i="10"/>
  <c r="K2567" i="10"/>
  <c r="K2566" i="10"/>
  <c r="K2565" i="10"/>
  <c r="K2564" i="10"/>
  <c r="K2563" i="10"/>
  <c r="K2562" i="10"/>
  <c r="K2561" i="10"/>
  <c r="K2560" i="10"/>
  <c r="K2559" i="10"/>
  <c r="K2558" i="10"/>
  <c r="K2557" i="10"/>
  <c r="K2556" i="10"/>
  <c r="K2555" i="10"/>
  <c r="K2554" i="10"/>
  <c r="K2553" i="10"/>
  <c r="K2552" i="10"/>
  <c r="K2551" i="10"/>
  <c r="K2550" i="10"/>
  <c r="K2549" i="10"/>
  <c r="K2548" i="10"/>
  <c r="K2547" i="10"/>
  <c r="K2546" i="10"/>
  <c r="K2545" i="10"/>
  <c r="K2544" i="10"/>
  <c r="K2543" i="10"/>
  <c r="K2542" i="10"/>
  <c r="K2541" i="10"/>
  <c r="K2540" i="10"/>
  <c r="K2539" i="10"/>
  <c r="K2538" i="10"/>
  <c r="K2537" i="10"/>
  <c r="K2536" i="10"/>
  <c r="K2535" i="10"/>
  <c r="K2534" i="10"/>
  <c r="K2533" i="10"/>
  <c r="K2532" i="10"/>
  <c r="K2531" i="10"/>
  <c r="K2530" i="10"/>
  <c r="K2529" i="10"/>
  <c r="K2528" i="10"/>
  <c r="K2527" i="10"/>
  <c r="K2526" i="10"/>
  <c r="K2525" i="10"/>
  <c r="K2524" i="10"/>
  <c r="K2523" i="10"/>
  <c r="K2522" i="10"/>
  <c r="K2521" i="10"/>
  <c r="K2520" i="10"/>
  <c r="K2519" i="10"/>
  <c r="K2518" i="10"/>
  <c r="K2517" i="10"/>
  <c r="K2516" i="10"/>
  <c r="K2515" i="10"/>
  <c r="K2514" i="10"/>
  <c r="K2513" i="10"/>
  <c r="K2512" i="10"/>
  <c r="K2511" i="10"/>
  <c r="K2510" i="10"/>
  <c r="K2509" i="10"/>
  <c r="K2508" i="10"/>
  <c r="K2507" i="10"/>
  <c r="K2506" i="10"/>
  <c r="K2505" i="10"/>
  <c r="K2504" i="10"/>
  <c r="K2503" i="10"/>
  <c r="K2502" i="10"/>
  <c r="K2501" i="10"/>
  <c r="K2500" i="10"/>
  <c r="K2499" i="10"/>
  <c r="K2498" i="10"/>
  <c r="K2497" i="10"/>
  <c r="K2496" i="10"/>
  <c r="K2495" i="10"/>
  <c r="K2494" i="10"/>
  <c r="K2493" i="10"/>
  <c r="K2492" i="10"/>
  <c r="K2491" i="10"/>
  <c r="K2490" i="10"/>
  <c r="K2489" i="10"/>
  <c r="K2488" i="10"/>
  <c r="K2487" i="10"/>
  <c r="K2486" i="10"/>
  <c r="K2485" i="10"/>
  <c r="K2484" i="10"/>
  <c r="K2483" i="10"/>
  <c r="K2482" i="10"/>
  <c r="K2481" i="10"/>
  <c r="K2480" i="10"/>
  <c r="K2479" i="10"/>
  <c r="K2478" i="10"/>
  <c r="K2477" i="10"/>
  <c r="K2476" i="10"/>
  <c r="K2475" i="10"/>
  <c r="K2474" i="10"/>
  <c r="K2473" i="10"/>
  <c r="K2472" i="10"/>
  <c r="K2471" i="10"/>
  <c r="K2470" i="10"/>
  <c r="K2469" i="10"/>
  <c r="K2468" i="10"/>
  <c r="K2467" i="10"/>
  <c r="K2466" i="10"/>
  <c r="K2465" i="10"/>
  <c r="K2464" i="10"/>
  <c r="K2463" i="10"/>
  <c r="K2462" i="10"/>
  <c r="K2461" i="10"/>
  <c r="K2460" i="10"/>
  <c r="K2459" i="10"/>
  <c r="K2458" i="10"/>
  <c r="K2457" i="10"/>
  <c r="K2456" i="10"/>
  <c r="K2455" i="10"/>
  <c r="K2454" i="10"/>
  <c r="K2453" i="10"/>
  <c r="K2452" i="10"/>
  <c r="K2451" i="10"/>
  <c r="K2450" i="10"/>
  <c r="K2449" i="10"/>
  <c r="K2448" i="10"/>
  <c r="K2447" i="10"/>
  <c r="K2446" i="10"/>
  <c r="K2445" i="10"/>
  <c r="K2444" i="10"/>
  <c r="K2443" i="10"/>
  <c r="K2442" i="10"/>
  <c r="K2441" i="10"/>
  <c r="K2440" i="10"/>
  <c r="K2439" i="10"/>
  <c r="K2438" i="10"/>
  <c r="K2437" i="10"/>
  <c r="K2436" i="10"/>
  <c r="K2435" i="10"/>
  <c r="K2434" i="10"/>
  <c r="K2433" i="10"/>
  <c r="K2432" i="10"/>
  <c r="K2431" i="10"/>
  <c r="K2430" i="10"/>
  <c r="K2429" i="10"/>
  <c r="K2428" i="10"/>
  <c r="K2427" i="10"/>
  <c r="K2426" i="10"/>
  <c r="K2425" i="10"/>
  <c r="K2424" i="10"/>
  <c r="K2423" i="10"/>
  <c r="K2422" i="10"/>
  <c r="K2421" i="10"/>
  <c r="K2420" i="10"/>
  <c r="K2419" i="10"/>
  <c r="K2418" i="10"/>
  <c r="K2417" i="10"/>
  <c r="K2416" i="10"/>
  <c r="K2415" i="10"/>
  <c r="K2414" i="10"/>
  <c r="K2413" i="10"/>
  <c r="K2412" i="10"/>
  <c r="K2411" i="10"/>
  <c r="K2410" i="10"/>
  <c r="K2409" i="10"/>
  <c r="K2408" i="10"/>
  <c r="K2407" i="10"/>
  <c r="K2406" i="10"/>
  <c r="K2405" i="10"/>
  <c r="K2404" i="10"/>
  <c r="K2403" i="10"/>
  <c r="K2402" i="10"/>
  <c r="K2401" i="10"/>
  <c r="K2400" i="10"/>
  <c r="K2399" i="10"/>
  <c r="K2398" i="10"/>
  <c r="K2397" i="10"/>
  <c r="K2396" i="10"/>
  <c r="K2395" i="10"/>
  <c r="K2394" i="10"/>
  <c r="K2393" i="10"/>
  <c r="K2392" i="10"/>
  <c r="K2391" i="10"/>
  <c r="K2390" i="10"/>
  <c r="K2389" i="10"/>
  <c r="K2388" i="10"/>
  <c r="K2387" i="10"/>
  <c r="K2386" i="10"/>
  <c r="K2385" i="10"/>
  <c r="K2384" i="10"/>
  <c r="K2383" i="10"/>
  <c r="K2382" i="10"/>
  <c r="K2381" i="10"/>
  <c r="K2380" i="10"/>
  <c r="K2379" i="10"/>
  <c r="K2378" i="10"/>
  <c r="K2377" i="10"/>
  <c r="K2376" i="10"/>
  <c r="K2375" i="10"/>
  <c r="K2374" i="10"/>
  <c r="K2373" i="10"/>
  <c r="K2372" i="10"/>
  <c r="K2371" i="10"/>
  <c r="K2370" i="10"/>
  <c r="K2369" i="10"/>
  <c r="K2368" i="10"/>
  <c r="K2367" i="10"/>
  <c r="K2366" i="10"/>
  <c r="K2365" i="10"/>
  <c r="K2364" i="10"/>
  <c r="K2363" i="10"/>
  <c r="K2362" i="10"/>
  <c r="K2361" i="10"/>
  <c r="K2360" i="10"/>
  <c r="K2359" i="10"/>
  <c r="K2358" i="10"/>
  <c r="K2357" i="10"/>
  <c r="K2356" i="10"/>
  <c r="K2355" i="10"/>
  <c r="K2354" i="10"/>
  <c r="K2353" i="10"/>
  <c r="K2352" i="10"/>
  <c r="K2351" i="10"/>
  <c r="K2350" i="10"/>
  <c r="K2349" i="10"/>
  <c r="K2348" i="10"/>
  <c r="K2347" i="10"/>
  <c r="K2346" i="10"/>
  <c r="K2345" i="10"/>
  <c r="K2344" i="10"/>
  <c r="K2343" i="10"/>
  <c r="K2342" i="10"/>
  <c r="K2341" i="10"/>
  <c r="K2340" i="10"/>
  <c r="K2339" i="10"/>
  <c r="K2338" i="10"/>
  <c r="K2337" i="10"/>
  <c r="K2336" i="10"/>
  <c r="K2335" i="10"/>
  <c r="K2334" i="10"/>
  <c r="K2333" i="10"/>
  <c r="K2332" i="10"/>
  <c r="K2331" i="10"/>
  <c r="K2330" i="10"/>
  <c r="K2329" i="10"/>
  <c r="K2328" i="10"/>
  <c r="K2327" i="10"/>
  <c r="K2326" i="10"/>
  <c r="K2325" i="10"/>
  <c r="K2324" i="10"/>
  <c r="K2323" i="10"/>
  <c r="K2322" i="10"/>
  <c r="K2321" i="10"/>
  <c r="K2320" i="10"/>
  <c r="K2319" i="10"/>
  <c r="K2318" i="10"/>
  <c r="K2317" i="10"/>
  <c r="K2316" i="10"/>
  <c r="K2315" i="10"/>
  <c r="K2314" i="10"/>
  <c r="K2313" i="10"/>
  <c r="K2312" i="10"/>
  <c r="K2311" i="10"/>
  <c r="K2310" i="10"/>
  <c r="K2309" i="10"/>
  <c r="K2308" i="10"/>
  <c r="K2307" i="10"/>
  <c r="K2306" i="10"/>
  <c r="K2305" i="10"/>
  <c r="K2304" i="10"/>
  <c r="K2303" i="10"/>
  <c r="K2302" i="10"/>
  <c r="K2301" i="10"/>
  <c r="K2300" i="10"/>
  <c r="K2299" i="10"/>
  <c r="K2298" i="10"/>
  <c r="K2297" i="10"/>
  <c r="K2296" i="10"/>
  <c r="K2295" i="10"/>
  <c r="K2294" i="10"/>
  <c r="K2293" i="10"/>
  <c r="K2292" i="10"/>
  <c r="K2291" i="10"/>
  <c r="K2290" i="10"/>
  <c r="K2289" i="10"/>
  <c r="K2288" i="10"/>
  <c r="K2287" i="10"/>
  <c r="K2286" i="10"/>
  <c r="K2285" i="10"/>
  <c r="K2284" i="10"/>
  <c r="K2283" i="10"/>
  <c r="K2282" i="10"/>
  <c r="K2281" i="10"/>
  <c r="K2280" i="10"/>
  <c r="K2279" i="10"/>
  <c r="K2278" i="10"/>
  <c r="K2277" i="10"/>
  <c r="K2276" i="10"/>
  <c r="K2275" i="10"/>
  <c r="K2274" i="10"/>
  <c r="K2273" i="10"/>
  <c r="K2272" i="10"/>
  <c r="K2271" i="10"/>
  <c r="K2270" i="10"/>
  <c r="K2269" i="10"/>
  <c r="K2268" i="10"/>
  <c r="K2267" i="10"/>
  <c r="K2266" i="10"/>
  <c r="K2265" i="10"/>
  <c r="K2264" i="10"/>
  <c r="K2263" i="10"/>
  <c r="K2262" i="10"/>
  <c r="K2261" i="10"/>
  <c r="K2260" i="10"/>
  <c r="K2259" i="10"/>
  <c r="K2258" i="10"/>
  <c r="K2257" i="10"/>
  <c r="K2256" i="10"/>
  <c r="K2255" i="10"/>
  <c r="K2254" i="10"/>
  <c r="K2253" i="10"/>
  <c r="K2252" i="10"/>
  <c r="K2251" i="10"/>
  <c r="K2250" i="10"/>
  <c r="K2249" i="10"/>
  <c r="K2248" i="10"/>
  <c r="K2247" i="10"/>
  <c r="K2246" i="10"/>
  <c r="K2245" i="10"/>
  <c r="K2244" i="10"/>
  <c r="K2243" i="10"/>
  <c r="K2242" i="10"/>
  <c r="K2241" i="10"/>
  <c r="K2240" i="10"/>
  <c r="K2239" i="10"/>
  <c r="K2238" i="10"/>
  <c r="K2237" i="10"/>
  <c r="K2236" i="10"/>
  <c r="K2235" i="10"/>
  <c r="K2234" i="10"/>
  <c r="K2233" i="10"/>
  <c r="K2232" i="10"/>
  <c r="K2231" i="10"/>
  <c r="K2230" i="10"/>
  <c r="K2229" i="10"/>
  <c r="K2228" i="10"/>
  <c r="K2227" i="10"/>
  <c r="K2226" i="10"/>
  <c r="K2225" i="10"/>
  <c r="K2224" i="10"/>
  <c r="K2223" i="10"/>
  <c r="K2222" i="10"/>
  <c r="K2221" i="10"/>
  <c r="K2220" i="10"/>
  <c r="K2219" i="10"/>
  <c r="K2218" i="10"/>
  <c r="K2217" i="10"/>
  <c r="K2216" i="10"/>
  <c r="K2215" i="10"/>
  <c r="K2214" i="10"/>
  <c r="K2213" i="10"/>
  <c r="K2212" i="10"/>
  <c r="K2211" i="10"/>
  <c r="K2210" i="10"/>
  <c r="K2209" i="10"/>
  <c r="K2208" i="10"/>
  <c r="K2207" i="10"/>
  <c r="K2206" i="10"/>
  <c r="K2205" i="10"/>
  <c r="K2204" i="10"/>
  <c r="K2203" i="10"/>
  <c r="K2202" i="10"/>
  <c r="K2201" i="10"/>
  <c r="K2200" i="10"/>
  <c r="K2199" i="10"/>
  <c r="K2198" i="10"/>
  <c r="K2197" i="10"/>
  <c r="K2196" i="10"/>
  <c r="K2195" i="10"/>
  <c r="K2194" i="10"/>
  <c r="K2193" i="10"/>
  <c r="K2192" i="10"/>
  <c r="K2191" i="10"/>
  <c r="K2190" i="10"/>
  <c r="K2189" i="10"/>
  <c r="K2188" i="10"/>
  <c r="K2187" i="10"/>
  <c r="K2186" i="10"/>
  <c r="K2185" i="10"/>
  <c r="K2184" i="10"/>
  <c r="K2183" i="10"/>
  <c r="K2182" i="10"/>
  <c r="K2181" i="10"/>
  <c r="K2180" i="10"/>
  <c r="K2179" i="10"/>
  <c r="K2178" i="10"/>
  <c r="K2177" i="10"/>
  <c r="K2176" i="10"/>
  <c r="K2175" i="10"/>
  <c r="K2174" i="10"/>
  <c r="K2173" i="10"/>
  <c r="K2172" i="10"/>
  <c r="K2171" i="10"/>
  <c r="K2170" i="10"/>
  <c r="K2169" i="10"/>
  <c r="K2168" i="10"/>
  <c r="K2167" i="10"/>
  <c r="K2166" i="10"/>
  <c r="K2165" i="10"/>
  <c r="K2164" i="10"/>
  <c r="K2163" i="10"/>
  <c r="K2162" i="10"/>
  <c r="K2161" i="10"/>
  <c r="K2160" i="10"/>
  <c r="K2159" i="10"/>
  <c r="K2158" i="10"/>
  <c r="K2157" i="10"/>
  <c r="K2156" i="10"/>
  <c r="K2155" i="10"/>
  <c r="K2154" i="10"/>
  <c r="K2153" i="10"/>
  <c r="K2152" i="10"/>
  <c r="K2151" i="10"/>
  <c r="K2150" i="10"/>
  <c r="K2149" i="10"/>
  <c r="K2148" i="10"/>
  <c r="K2147" i="10"/>
  <c r="K2146" i="10"/>
  <c r="K2145" i="10"/>
  <c r="K2144" i="10"/>
  <c r="K2143" i="10"/>
  <c r="K2142" i="10"/>
  <c r="K2141" i="10"/>
  <c r="K2140" i="10"/>
  <c r="K2139" i="10"/>
  <c r="K2138" i="10"/>
  <c r="K2137" i="10"/>
  <c r="K2136" i="10"/>
  <c r="K2135" i="10"/>
  <c r="K2134" i="10"/>
  <c r="K2133" i="10"/>
  <c r="K2132" i="10"/>
  <c r="K2131" i="10"/>
  <c r="K2130" i="10"/>
  <c r="K2129" i="10"/>
  <c r="K2128" i="10"/>
  <c r="K2127" i="10"/>
  <c r="K2126" i="10"/>
  <c r="K2125" i="10"/>
  <c r="K2124" i="10"/>
  <c r="K2123" i="10"/>
  <c r="K2122" i="10"/>
  <c r="K2121" i="10"/>
  <c r="K2120" i="10"/>
  <c r="K2119" i="10"/>
  <c r="K2118" i="10"/>
  <c r="K2117" i="10"/>
  <c r="K2116" i="10"/>
  <c r="K2115" i="10"/>
  <c r="K2114" i="10"/>
  <c r="K2113" i="10"/>
  <c r="K2112" i="10"/>
  <c r="K2111" i="10"/>
  <c r="K2110" i="10"/>
  <c r="K2109" i="10"/>
  <c r="K2108" i="10"/>
  <c r="K2107" i="10"/>
  <c r="K2106" i="10"/>
  <c r="K2105" i="10"/>
  <c r="K2104" i="10"/>
  <c r="K2103" i="10"/>
  <c r="K2102" i="10"/>
  <c r="K2101" i="10"/>
  <c r="K2100" i="10"/>
  <c r="K2099" i="10"/>
  <c r="K2098" i="10"/>
  <c r="K2097" i="10"/>
  <c r="K2096" i="10"/>
  <c r="K2095" i="10"/>
  <c r="K2094" i="10"/>
  <c r="K2093" i="10"/>
  <c r="K2092" i="10"/>
  <c r="K2091" i="10"/>
  <c r="K2090" i="10"/>
  <c r="K2089" i="10"/>
  <c r="K2088" i="10"/>
  <c r="K2087" i="10"/>
  <c r="K2086" i="10"/>
  <c r="K2085" i="10"/>
  <c r="K2084" i="10"/>
  <c r="K2083" i="10"/>
  <c r="K2082" i="10"/>
  <c r="K2081" i="10"/>
  <c r="K2080" i="10"/>
  <c r="K2079" i="10"/>
  <c r="K2078" i="10"/>
  <c r="K2077" i="10"/>
  <c r="K2076" i="10"/>
  <c r="K2075" i="10"/>
  <c r="K2074" i="10"/>
  <c r="K2073" i="10"/>
  <c r="K2072" i="10"/>
  <c r="K2071" i="10"/>
  <c r="K2070" i="10"/>
  <c r="K2069" i="10"/>
  <c r="K2068" i="10"/>
  <c r="K2067" i="10"/>
  <c r="K2066" i="10"/>
  <c r="K2065" i="10"/>
  <c r="K2064" i="10"/>
  <c r="K2063" i="10"/>
  <c r="K2062" i="10"/>
  <c r="K2061" i="10"/>
  <c r="K2060" i="10"/>
  <c r="K2059" i="10"/>
  <c r="K2058" i="10"/>
  <c r="K2057" i="10"/>
  <c r="K2056" i="10"/>
  <c r="K2055" i="10"/>
  <c r="K2054" i="10"/>
  <c r="K2053" i="10"/>
  <c r="K2052" i="10"/>
  <c r="K2051" i="10"/>
  <c r="K2050" i="10"/>
  <c r="K2049" i="10"/>
  <c r="K2048" i="10"/>
  <c r="K2047" i="10"/>
  <c r="K2046" i="10"/>
  <c r="K2045" i="10"/>
  <c r="K2044" i="10"/>
  <c r="K2043" i="10"/>
  <c r="K2042" i="10"/>
  <c r="K2041" i="10"/>
  <c r="K2040" i="10"/>
  <c r="K2039" i="10"/>
  <c r="K2038" i="10"/>
  <c r="K2037" i="10"/>
  <c r="K2036" i="10"/>
  <c r="K2035" i="10"/>
  <c r="K2034" i="10"/>
  <c r="K2033" i="10"/>
  <c r="K2032" i="10"/>
  <c r="K2031" i="10"/>
  <c r="K2030" i="10"/>
  <c r="K2029" i="10"/>
  <c r="K2028" i="10"/>
  <c r="K2027" i="10"/>
  <c r="K2026" i="10"/>
  <c r="K2025" i="10"/>
  <c r="K2024" i="10"/>
  <c r="K2023" i="10"/>
  <c r="K2022" i="10"/>
  <c r="K2021" i="10"/>
  <c r="K2020" i="10"/>
  <c r="K2019" i="10"/>
  <c r="K2018" i="10"/>
  <c r="K2017" i="10"/>
  <c r="K2016" i="10"/>
  <c r="K2015" i="10"/>
  <c r="K2014" i="10"/>
  <c r="K2013" i="10"/>
  <c r="K2012" i="10"/>
  <c r="K2011" i="10"/>
  <c r="K2010" i="10"/>
  <c r="K2009" i="10"/>
  <c r="K2008" i="10"/>
  <c r="K2007" i="10"/>
  <c r="K2006" i="10"/>
  <c r="K2005" i="10"/>
  <c r="K2004" i="10"/>
  <c r="K2003" i="10"/>
  <c r="K2002" i="10"/>
  <c r="K2001" i="10"/>
  <c r="K2000" i="10"/>
  <c r="K1999" i="10"/>
  <c r="K1998" i="10"/>
  <c r="K1997" i="10"/>
  <c r="K1996" i="10"/>
  <c r="K1995" i="10"/>
  <c r="K1994" i="10"/>
  <c r="K1993" i="10"/>
  <c r="K1992" i="10"/>
  <c r="K1991" i="10"/>
  <c r="K1990" i="10"/>
  <c r="K1989" i="10"/>
  <c r="K1988" i="10"/>
  <c r="K1987" i="10"/>
  <c r="K1986" i="10"/>
  <c r="K1985" i="10"/>
  <c r="K1984" i="10"/>
  <c r="K1983" i="10"/>
  <c r="K1982" i="10"/>
  <c r="K1981" i="10"/>
  <c r="K1980" i="10"/>
  <c r="K1979" i="10"/>
  <c r="K1978" i="10"/>
  <c r="K1977" i="10"/>
  <c r="K1976" i="10"/>
  <c r="K1975" i="10"/>
  <c r="K1974" i="10"/>
  <c r="K1973" i="10"/>
  <c r="K1972" i="10"/>
  <c r="K1971" i="10"/>
  <c r="K1970" i="10"/>
  <c r="K1969" i="10"/>
  <c r="K1968" i="10"/>
  <c r="K1967" i="10"/>
  <c r="K1966" i="10"/>
  <c r="K1965" i="10"/>
  <c r="K1964" i="10"/>
  <c r="K1963" i="10"/>
  <c r="K1962" i="10"/>
  <c r="K1961" i="10"/>
  <c r="K1960" i="10"/>
  <c r="K1959" i="10"/>
  <c r="K1958" i="10"/>
  <c r="K1957" i="10"/>
  <c r="K1956" i="10"/>
  <c r="K1955" i="10"/>
  <c r="K1954" i="10"/>
  <c r="K1953" i="10"/>
  <c r="K1952" i="10"/>
  <c r="K1951" i="10"/>
  <c r="K1950" i="10"/>
  <c r="K1949" i="10"/>
  <c r="K1948" i="10"/>
  <c r="K1947" i="10"/>
  <c r="K1946" i="10"/>
  <c r="K1945" i="10"/>
  <c r="K1944" i="10"/>
  <c r="K1943" i="10"/>
  <c r="K1942" i="10"/>
  <c r="K1941" i="10"/>
  <c r="K1940" i="10"/>
  <c r="K1939" i="10"/>
  <c r="K1938" i="10"/>
  <c r="K1937" i="10"/>
  <c r="K1936" i="10"/>
  <c r="K1935" i="10"/>
  <c r="K1934" i="10"/>
  <c r="K1933" i="10"/>
  <c r="K1932" i="10"/>
  <c r="K1931" i="10"/>
  <c r="K1930" i="10"/>
  <c r="K1929" i="10"/>
  <c r="K1928" i="10"/>
  <c r="K1927" i="10"/>
  <c r="K1926" i="10"/>
  <c r="K1925" i="10"/>
  <c r="K1924" i="10"/>
  <c r="K1923" i="10"/>
  <c r="K1922" i="10"/>
  <c r="K1921" i="10"/>
  <c r="K1920" i="10"/>
  <c r="K1919" i="10"/>
  <c r="K1918" i="10"/>
  <c r="K1917" i="10"/>
  <c r="K1916" i="10"/>
  <c r="K1915" i="10"/>
  <c r="K1914" i="10"/>
  <c r="K1913" i="10"/>
  <c r="K1912" i="10"/>
  <c r="K1911" i="10"/>
  <c r="K1910" i="10"/>
  <c r="K1909" i="10"/>
  <c r="K1908" i="10"/>
  <c r="K1907" i="10"/>
  <c r="K1906" i="10"/>
  <c r="K1905" i="10"/>
  <c r="K1904" i="10"/>
  <c r="K1903" i="10"/>
  <c r="K1902" i="10"/>
  <c r="K1901" i="10"/>
  <c r="K1900" i="10"/>
  <c r="K1899" i="10"/>
  <c r="K1898" i="10"/>
  <c r="K1897" i="10"/>
  <c r="K1896" i="10"/>
  <c r="K1895" i="10"/>
  <c r="K1894" i="10"/>
  <c r="K1893" i="10"/>
  <c r="K1892" i="10"/>
  <c r="K1891" i="10"/>
  <c r="K1890" i="10"/>
  <c r="K1889" i="10"/>
  <c r="K1888" i="10"/>
  <c r="K1887" i="10"/>
  <c r="K1886" i="10"/>
  <c r="K1885" i="10"/>
  <c r="K1884" i="10"/>
  <c r="K1883" i="10"/>
  <c r="K1882" i="10"/>
  <c r="K1881" i="10"/>
  <c r="K1880" i="10"/>
  <c r="K1879" i="10"/>
  <c r="K1878" i="10"/>
  <c r="K1877" i="10"/>
  <c r="K1876" i="10"/>
  <c r="K1875" i="10"/>
  <c r="K1874" i="10"/>
  <c r="K1873" i="10"/>
  <c r="K1872" i="10"/>
  <c r="K1871" i="10"/>
  <c r="K1870" i="10"/>
  <c r="K1869" i="10"/>
  <c r="K1868" i="10"/>
  <c r="K1867" i="10"/>
  <c r="K1866" i="10"/>
  <c r="K1865" i="10"/>
  <c r="K1864" i="10"/>
  <c r="K1863" i="10"/>
  <c r="K1862" i="10"/>
  <c r="K1861" i="10"/>
  <c r="K1860" i="10"/>
  <c r="K1859" i="10"/>
  <c r="K1858" i="10"/>
  <c r="K1857" i="10"/>
  <c r="K1856" i="10"/>
  <c r="K1855" i="10"/>
  <c r="K1854" i="10"/>
  <c r="K1853" i="10"/>
  <c r="K1852" i="10"/>
  <c r="K1851" i="10"/>
  <c r="K1850" i="10"/>
  <c r="K1849" i="10"/>
  <c r="K1848" i="10"/>
  <c r="K1847" i="10"/>
  <c r="K1846" i="10"/>
  <c r="K1845" i="10"/>
  <c r="K1844" i="10"/>
  <c r="K1843" i="10"/>
  <c r="K1842" i="10"/>
  <c r="K1841" i="10"/>
  <c r="K1840" i="10"/>
  <c r="K1839" i="10"/>
  <c r="K1838" i="10"/>
  <c r="K1837" i="10"/>
  <c r="K1836" i="10"/>
  <c r="K1835" i="10"/>
  <c r="K1834" i="10"/>
  <c r="K1833" i="10"/>
  <c r="K1832" i="10"/>
  <c r="K1831" i="10"/>
  <c r="K1830" i="10"/>
  <c r="K1829" i="10"/>
  <c r="K1828" i="10"/>
  <c r="K1827" i="10"/>
  <c r="K1826" i="10"/>
  <c r="K1825" i="10"/>
  <c r="K1824" i="10"/>
  <c r="K1823" i="10"/>
  <c r="K1822" i="10"/>
  <c r="K1821" i="10"/>
  <c r="K1820" i="10"/>
  <c r="K1819" i="10"/>
  <c r="K1818" i="10"/>
  <c r="K1817" i="10"/>
  <c r="K1816" i="10"/>
  <c r="K1815" i="10"/>
  <c r="K1814" i="10"/>
  <c r="K1813" i="10"/>
  <c r="K1812" i="10"/>
  <c r="K1811" i="10"/>
  <c r="K1810" i="10"/>
  <c r="K1809" i="10"/>
  <c r="K1808" i="10"/>
  <c r="K1807" i="10"/>
  <c r="K1806" i="10"/>
  <c r="K1805" i="10"/>
  <c r="K1804" i="10"/>
  <c r="K1803" i="10"/>
  <c r="K1802" i="10"/>
  <c r="K1801" i="10"/>
  <c r="K1800" i="10"/>
  <c r="K1799" i="10"/>
  <c r="K1798" i="10"/>
  <c r="K1797" i="10"/>
  <c r="K1796" i="10"/>
  <c r="K1795" i="10"/>
  <c r="K1794" i="10"/>
  <c r="K1793" i="10"/>
  <c r="K1792" i="10"/>
  <c r="K1791" i="10"/>
  <c r="K1790" i="10"/>
  <c r="K1789" i="10"/>
  <c r="K1788" i="10"/>
  <c r="K1787" i="10"/>
  <c r="K1786" i="10"/>
  <c r="K1785" i="10"/>
  <c r="K1784" i="10"/>
  <c r="K1783" i="10"/>
  <c r="K1782" i="10"/>
  <c r="K1781" i="10"/>
  <c r="K1780" i="10"/>
  <c r="K1779" i="10"/>
  <c r="K1778" i="10"/>
  <c r="K1777" i="10"/>
  <c r="K1776" i="10"/>
  <c r="K1775" i="10"/>
  <c r="K1774" i="10"/>
  <c r="K1773" i="10"/>
  <c r="K1772" i="10"/>
  <c r="K1771" i="10"/>
  <c r="K1770" i="10"/>
  <c r="K1769" i="10"/>
  <c r="K1768" i="10"/>
  <c r="K1767" i="10"/>
  <c r="K1766" i="10"/>
  <c r="K1765" i="10"/>
  <c r="K1764" i="10"/>
  <c r="K1763" i="10"/>
  <c r="K1762" i="10"/>
  <c r="K1761" i="10"/>
  <c r="K1760" i="10"/>
  <c r="K1759" i="10"/>
  <c r="K1758" i="10"/>
  <c r="K1757" i="10"/>
  <c r="K1756" i="10"/>
  <c r="K1755" i="10"/>
  <c r="K1754" i="10"/>
  <c r="K1753" i="10"/>
  <c r="K1752" i="10"/>
  <c r="K1751" i="10"/>
  <c r="K1750" i="10"/>
  <c r="K1749" i="10"/>
  <c r="K1748" i="10"/>
  <c r="K1747" i="10"/>
  <c r="K1746" i="10"/>
  <c r="K1745" i="10"/>
  <c r="K1744" i="10"/>
  <c r="K1743" i="10"/>
  <c r="K1742" i="10"/>
  <c r="K1741" i="10"/>
  <c r="K1740" i="10"/>
  <c r="K1739" i="10"/>
  <c r="K1738" i="10"/>
  <c r="K1737" i="10"/>
  <c r="K1736" i="10"/>
  <c r="K1735" i="10"/>
  <c r="K1734" i="10"/>
  <c r="K1733" i="10"/>
  <c r="K1732" i="10"/>
  <c r="K1731" i="10"/>
  <c r="K1730" i="10"/>
  <c r="K1729" i="10"/>
  <c r="K1728" i="10"/>
  <c r="K1727" i="10"/>
  <c r="K1726" i="10"/>
  <c r="K1725" i="10"/>
  <c r="K1724" i="10"/>
  <c r="K1723" i="10"/>
  <c r="K1722" i="10"/>
  <c r="K1721" i="10"/>
  <c r="K1720" i="10"/>
  <c r="K1719" i="10"/>
  <c r="K1718" i="10"/>
  <c r="K1717" i="10"/>
  <c r="K1716" i="10"/>
  <c r="K1715" i="10"/>
  <c r="K1714" i="10"/>
  <c r="K1713" i="10"/>
  <c r="K1712" i="10"/>
  <c r="K1711" i="10"/>
  <c r="K1710" i="10"/>
  <c r="K1709" i="10"/>
  <c r="K1708" i="10"/>
  <c r="K1707" i="10"/>
  <c r="K1706" i="10"/>
  <c r="K1705" i="10"/>
  <c r="K1704" i="10"/>
  <c r="K1703" i="10"/>
  <c r="K1702" i="10"/>
  <c r="K1701" i="10"/>
  <c r="K1700" i="10"/>
  <c r="K1699" i="10"/>
  <c r="K1698" i="10"/>
  <c r="K1697" i="10"/>
  <c r="K1696" i="10"/>
  <c r="K1695" i="10"/>
  <c r="K1694" i="10"/>
  <c r="K1693" i="10"/>
  <c r="K1692" i="10"/>
  <c r="K1691" i="10"/>
  <c r="K1690" i="10"/>
  <c r="K1689" i="10"/>
  <c r="K1688" i="10"/>
  <c r="K1687" i="10"/>
  <c r="K1686" i="10"/>
  <c r="K1685" i="10"/>
  <c r="K1684" i="10"/>
  <c r="K1683" i="10"/>
  <c r="K1682" i="10"/>
  <c r="K1681" i="10"/>
  <c r="K1680" i="10"/>
  <c r="K1679" i="10"/>
  <c r="K1678" i="10"/>
  <c r="K1677" i="10"/>
  <c r="K1676" i="10"/>
  <c r="K1675" i="10"/>
  <c r="K1674" i="10"/>
  <c r="K1673" i="10"/>
  <c r="K1672" i="10"/>
  <c r="K1671" i="10"/>
  <c r="K1670" i="10"/>
  <c r="K1669" i="10"/>
  <c r="K1668" i="10"/>
  <c r="K1667" i="10"/>
  <c r="K1666" i="10"/>
  <c r="K1665" i="10"/>
  <c r="K1664" i="10"/>
  <c r="K1663" i="10"/>
  <c r="K1662" i="10"/>
  <c r="K1661" i="10"/>
  <c r="K1660" i="10"/>
  <c r="K1659" i="10"/>
  <c r="K1658" i="10"/>
  <c r="K1657" i="10"/>
  <c r="K1656" i="10"/>
  <c r="K1655" i="10"/>
  <c r="K1654" i="10"/>
  <c r="K1653" i="10"/>
  <c r="K1652" i="10"/>
  <c r="K1651" i="10"/>
  <c r="K1650" i="10"/>
  <c r="K1649" i="10"/>
  <c r="K1648" i="10"/>
  <c r="K1647" i="10"/>
  <c r="K1646" i="10"/>
  <c r="K1645" i="10"/>
  <c r="K1644" i="10"/>
  <c r="K1643" i="10"/>
  <c r="K1642" i="10"/>
  <c r="K1641" i="10"/>
  <c r="K1640" i="10"/>
  <c r="K1639" i="10"/>
  <c r="K1638" i="10"/>
  <c r="K1637" i="10"/>
  <c r="K1636" i="10"/>
  <c r="K1635" i="10"/>
  <c r="K1634" i="10"/>
  <c r="K1633" i="10"/>
  <c r="K1632" i="10"/>
  <c r="K1631" i="10"/>
  <c r="K1630" i="10"/>
  <c r="K1629" i="10"/>
  <c r="K1628" i="10"/>
  <c r="K1627" i="10"/>
  <c r="K1626" i="10"/>
  <c r="K1625" i="10"/>
  <c r="K1624" i="10"/>
  <c r="K1623" i="10"/>
  <c r="K1622" i="10"/>
  <c r="K1621" i="10"/>
  <c r="K1620" i="10"/>
  <c r="K1619" i="10"/>
  <c r="K1618" i="10"/>
  <c r="K1617" i="10"/>
  <c r="K1616" i="10"/>
  <c r="K1615" i="10"/>
  <c r="K1614" i="10"/>
  <c r="K1613" i="10"/>
  <c r="K1612" i="10"/>
  <c r="K1611" i="10"/>
  <c r="K1610" i="10"/>
  <c r="K1609" i="10"/>
  <c r="K1608" i="10"/>
  <c r="K1607" i="10"/>
  <c r="K1606" i="10"/>
  <c r="K1605" i="10"/>
  <c r="K1604" i="10"/>
  <c r="K1603" i="10"/>
  <c r="K1602" i="10"/>
  <c r="K1601" i="10"/>
  <c r="K1600" i="10"/>
  <c r="K1599" i="10"/>
  <c r="K1598" i="10"/>
  <c r="K1597" i="10"/>
  <c r="K1596" i="10"/>
  <c r="K1595" i="10"/>
  <c r="K1594" i="10"/>
  <c r="K1593" i="10"/>
  <c r="K1592" i="10"/>
  <c r="K1591" i="10"/>
  <c r="K1590" i="10"/>
  <c r="K1589" i="10"/>
  <c r="K1588" i="10"/>
  <c r="K1587" i="10"/>
  <c r="K1586" i="10"/>
  <c r="K1585" i="10"/>
  <c r="K1584" i="10"/>
  <c r="K1583" i="10"/>
  <c r="K1582" i="10"/>
  <c r="K1581" i="10"/>
  <c r="K1580" i="10"/>
  <c r="K1579" i="10"/>
  <c r="K1578" i="10"/>
  <c r="K1577" i="10"/>
  <c r="K1576" i="10"/>
  <c r="K1575" i="10"/>
  <c r="K1574" i="10"/>
  <c r="K1573" i="10"/>
  <c r="K1572" i="10"/>
  <c r="K1571" i="10"/>
  <c r="K1570" i="10"/>
  <c r="K1569" i="10"/>
  <c r="K1568" i="10"/>
  <c r="K1567" i="10"/>
  <c r="K1566" i="10"/>
  <c r="K1565" i="10"/>
  <c r="K1564" i="10"/>
  <c r="K1563" i="10"/>
  <c r="K1562" i="10"/>
  <c r="K1561" i="10"/>
  <c r="K1560" i="10"/>
  <c r="K1559" i="10"/>
  <c r="K1558" i="10"/>
  <c r="K1557" i="10"/>
  <c r="K1556" i="10"/>
  <c r="K1555" i="10"/>
  <c r="K1554" i="10"/>
  <c r="K1553" i="10"/>
  <c r="K1552" i="10"/>
  <c r="K1551" i="10"/>
  <c r="K1550" i="10"/>
  <c r="K1549" i="10"/>
  <c r="K1548" i="10"/>
  <c r="K1547" i="10"/>
  <c r="K1546" i="10"/>
  <c r="K1545" i="10"/>
  <c r="K1544" i="10"/>
  <c r="K1543" i="10"/>
  <c r="K1542" i="10"/>
  <c r="K1541" i="10"/>
  <c r="K1540" i="10"/>
  <c r="K1539" i="10"/>
  <c r="K1538" i="10"/>
  <c r="K1537" i="10"/>
  <c r="K1536" i="10"/>
  <c r="K1535" i="10"/>
  <c r="K1534" i="10"/>
  <c r="K1533" i="10"/>
  <c r="K1532" i="10"/>
  <c r="K1531" i="10"/>
  <c r="K1530" i="10"/>
  <c r="K1529" i="10"/>
  <c r="K1528" i="10"/>
  <c r="K1527" i="10"/>
  <c r="K1526" i="10"/>
  <c r="K1525" i="10"/>
  <c r="K1524" i="10"/>
  <c r="K1523" i="10"/>
  <c r="K1522" i="10"/>
  <c r="K1521" i="10"/>
  <c r="K1520" i="10"/>
  <c r="K1519" i="10"/>
  <c r="K1518" i="10"/>
  <c r="K1517" i="10"/>
  <c r="K1516" i="10"/>
  <c r="K1515" i="10"/>
  <c r="K1514" i="10"/>
  <c r="K1513" i="10"/>
  <c r="K1512" i="10"/>
  <c r="K1511" i="10"/>
  <c r="K1510" i="10"/>
  <c r="K1509" i="10"/>
  <c r="K1508" i="10"/>
  <c r="K1507" i="10"/>
  <c r="K1506" i="10"/>
  <c r="K1505" i="10"/>
  <c r="K1504" i="10"/>
  <c r="K1503" i="10"/>
  <c r="K1502" i="10"/>
  <c r="K1501" i="10"/>
  <c r="K1500" i="10"/>
  <c r="K1499" i="10"/>
  <c r="K1498" i="10"/>
  <c r="K1497" i="10"/>
  <c r="K1496" i="10"/>
  <c r="K1495" i="10"/>
  <c r="K1494" i="10"/>
  <c r="K1493" i="10"/>
  <c r="K1492" i="10"/>
  <c r="K1491" i="10"/>
  <c r="K1490" i="10"/>
  <c r="K1489" i="10"/>
  <c r="K1488" i="10"/>
  <c r="K1487" i="10"/>
  <c r="K1486" i="10"/>
  <c r="K1485" i="10"/>
  <c r="K1484" i="10"/>
  <c r="K1483" i="10"/>
  <c r="K1482" i="10"/>
  <c r="K1481" i="10"/>
  <c r="K1480" i="10"/>
  <c r="K1479" i="10"/>
  <c r="K1478" i="10"/>
  <c r="K1477" i="10"/>
  <c r="K1476" i="10"/>
  <c r="K1475" i="10"/>
  <c r="K1474" i="10"/>
  <c r="K1473" i="10"/>
  <c r="K1472" i="10"/>
  <c r="K1471" i="10"/>
  <c r="K1470" i="10"/>
  <c r="K1469" i="10"/>
  <c r="K1468" i="10"/>
  <c r="K1467" i="10"/>
  <c r="K1466" i="10"/>
  <c r="K1465" i="10"/>
  <c r="K1464" i="10"/>
  <c r="K1463" i="10"/>
  <c r="K1462" i="10"/>
  <c r="K1461" i="10"/>
  <c r="K1460" i="10"/>
  <c r="K1459" i="10"/>
  <c r="K1458" i="10"/>
  <c r="K1457" i="10"/>
  <c r="K1456" i="10"/>
  <c r="K1455" i="10"/>
  <c r="K1454" i="10"/>
  <c r="K1453" i="10"/>
  <c r="K1452" i="10"/>
  <c r="K1451" i="10"/>
  <c r="K1450" i="10"/>
  <c r="K1449" i="10"/>
  <c r="K1448" i="10"/>
  <c r="K1447" i="10"/>
  <c r="K1446" i="10"/>
  <c r="K1445" i="10"/>
  <c r="K1444" i="10"/>
  <c r="K1443" i="10"/>
  <c r="K1442" i="10"/>
  <c r="K1441" i="10"/>
  <c r="K1440" i="10"/>
  <c r="K1439" i="10"/>
  <c r="K1438" i="10"/>
  <c r="K1437" i="10"/>
  <c r="K1436" i="10"/>
  <c r="K1435" i="10"/>
  <c r="K1434" i="10"/>
  <c r="K1433" i="10"/>
  <c r="K1432" i="10"/>
  <c r="K1431" i="10"/>
  <c r="K1430" i="10"/>
  <c r="K1429" i="10"/>
  <c r="K1428" i="10"/>
  <c r="K1427" i="10"/>
  <c r="K1426" i="10"/>
  <c r="K1425" i="10"/>
  <c r="K1424" i="10"/>
  <c r="K1423" i="10"/>
  <c r="K1422" i="10"/>
  <c r="K1421" i="10"/>
  <c r="K1420" i="10"/>
  <c r="K1419" i="10"/>
  <c r="K1418" i="10"/>
  <c r="K1417" i="10"/>
  <c r="K1416" i="10"/>
  <c r="K1415" i="10"/>
  <c r="K1414" i="10"/>
  <c r="K1413" i="10"/>
  <c r="K1412" i="10"/>
  <c r="K1411" i="10"/>
  <c r="K1410" i="10"/>
  <c r="K1409" i="10"/>
  <c r="K1408" i="10"/>
  <c r="K1407" i="10"/>
  <c r="K1406" i="10"/>
  <c r="K1405" i="10"/>
  <c r="K1404" i="10"/>
  <c r="K1403" i="10"/>
  <c r="K1402" i="10"/>
  <c r="K1401" i="10"/>
  <c r="K1400" i="10"/>
  <c r="K1399" i="10"/>
  <c r="K1398" i="10"/>
  <c r="K1397" i="10"/>
  <c r="K1396" i="10"/>
  <c r="K1395" i="10"/>
  <c r="K1394" i="10"/>
  <c r="K1393" i="10"/>
  <c r="K1392" i="10"/>
  <c r="K1391" i="10"/>
  <c r="K1390" i="10"/>
  <c r="K1389" i="10"/>
  <c r="K1388" i="10"/>
  <c r="K1387" i="10"/>
  <c r="K1386" i="10"/>
  <c r="K1385" i="10"/>
  <c r="K1384" i="10"/>
  <c r="K1383" i="10"/>
  <c r="K1382" i="10"/>
  <c r="K1381" i="10"/>
  <c r="K1380" i="10"/>
  <c r="K1379" i="10"/>
  <c r="K1378" i="10"/>
  <c r="K1377" i="10"/>
  <c r="K1376" i="10"/>
  <c r="K1375" i="10"/>
  <c r="K1374" i="10"/>
  <c r="K1373" i="10"/>
  <c r="K1372" i="10"/>
  <c r="K1371" i="10"/>
  <c r="K1370" i="10"/>
  <c r="K1369" i="10"/>
  <c r="K1368" i="10"/>
  <c r="K1367" i="10"/>
  <c r="K1366" i="10"/>
  <c r="K1365" i="10"/>
  <c r="K1364" i="10"/>
  <c r="K1363" i="10"/>
  <c r="K1362" i="10"/>
  <c r="K1361" i="10"/>
  <c r="K1360" i="10"/>
  <c r="K1359" i="10"/>
  <c r="K1358" i="10"/>
  <c r="K1357" i="10"/>
  <c r="K1356" i="10"/>
  <c r="K1355" i="10"/>
  <c r="K1354" i="10"/>
  <c r="K1353" i="10"/>
  <c r="K1352" i="10"/>
  <c r="K1351" i="10"/>
  <c r="K1350" i="10"/>
  <c r="K1349" i="10"/>
  <c r="K1348" i="10"/>
  <c r="K1347" i="10"/>
  <c r="K1346" i="10"/>
  <c r="K1345" i="10"/>
  <c r="K1344" i="10"/>
  <c r="K1343" i="10"/>
  <c r="K1342" i="10"/>
  <c r="K1341" i="10"/>
  <c r="K1340" i="10"/>
  <c r="K1339" i="10"/>
  <c r="K1338" i="10"/>
  <c r="K1337" i="10"/>
  <c r="K1336" i="10"/>
  <c r="K1335" i="10"/>
  <c r="K1334" i="10"/>
  <c r="K1333" i="10"/>
  <c r="K1332" i="10"/>
  <c r="K1331" i="10"/>
  <c r="K1330" i="10"/>
  <c r="K1329" i="10"/>
  <c r="K1328" i="10"/>
  <c r="K1327" i="10"/>
  <c r="K1326" i="10"/>
  <c r="K1325" i="10"/>
  <c r="K1324" i="10"/>
  <c r="K1323" i="10"/>
  <c r="K1322" i="10"/>
  <c r="K1321" i="10"/>
  <c r="K1320" i="10"/>
  <c r="K1319" i="10"/>
  <c r="K1318" i="10"/>
  <c r="K1317" i="10"/>
  <c r="K1316" i="10"/>
  <c r="K1315" i="10"/>
  <c r="K1314" i="10"/>
  <c r="K1313" i="10"/>
  <c r="K1312" i="10"/>
  <c r="K1311" i="10"/>
  <c r="K1310" i="10"/>
  <c r="K1309" i="10"/>
  <c r="K1308" i="10"/>
  <c r="K1307" i="10"/>
  <c r="K1306" i="10"/>
  <c r="K1305" i="10"/>
  <c r="K1304" i="10"/>
  <c r="K1303" i="10"/>
  <c r="K1302" i="10"/>
  <c r="K1301" i="10"/>
  <c r="K1300" i="10"/>
  <c r="K1299" i="10"/>
  <c r="K1298" i="10"/>
  <c r="K1297" i="10"/>
  <c r="K1296" i="10"/>
  <c r="K1295" i="10"/>
  <c r="K1294" i="10"/>
  <c r="K1293" i="10"/>
  <c r="K1292" i="10"/>
  <c r="K1291" i="10"/>
  <c r="K1290" i="10"/>
  <c r="K1289" i="10"/>
  <c r="K1288" i="10"/>
  <c r="K1287" i="10"/>
  <c r="K1286" i="10"/>
  <c r="K1285" i="10"/>
  <c r="K1284" i="10"/>
  <c r="K1283" i="10"/>
  <c r="K1282" i="10"/>
  <c r="K1281" i="10"/>
  <c r="K1280" i="10"/>
  <c r="K1279" i="10"/>
  <c r="K1278" i="10"/>
  <c r="K1277" i="10"/>
  <c r="K1276" i="10"/>
  <c r="K1275" i="10"/>
  <c r="K1274" i="10"/>
  <c r="K1273" i="10"/>
  <c r="K1272" i="10"/>
  <c r="K1271" i="10"/>
  <c r="K1270" i="10"/>
  <c r="K1269" i="10"/>
  <c r="K1268" i="10"/>
  <c r="K1267" i="10"/>
  <c r="K1266" i="10"/>
  <c r="K1265" i="10"/>
  <c r="K1264" i="10"/>
  <c r="K1263" i="10"/>
  <c r="K1262" i="10"/>
  <c r="K1261" i="10"/>
  <c r="K1260" i="10"/>
  <c r="K1259" i="10"/>
  <c r="K1258" i="10"/>
  <c r="K1257" i="10"/>
  <c r="K1256" i="10"/>
  <c r="K1255" i="10"/>
  <c r="K1254" i="10"/>
  <c r="K1253" i="10"/>
  <c r="K1252" i="10"/>
  <c r="K1251" i="10"/>
  <c r="K1250" i="10"/>
  <c r="K1249" i="10"/>
  <c r="K1248" i="10"/>
  <c r="K1247" i="10"/>
  <c r="K1246" i="10"/>
  <c r="K1245" i="10"/>
  <c r="K1244" i="10"/>
  <c r="K1243" i="10"/>
  <c r="K1242" i="10"/>
  <c r="K1241" i="10"/>
  <c r="K1240" i="10"/>
  <c r="K1239" i="10"/>
  <c r="K1238" i="10"/>
  <c r="K1237" i="10"/>
  <c r="K1236" i="10"/>
  <c r="K1235" i="10"/>
  <c r="K1234" i="10"/>
  <c r="K1233" i="10"/>
  <c r="K1232" i="10"/>
  <c r="K1231" i="10"/>
  <c r="K1230" i="10"/>
  <c r="K1229" i="10"/>
  <c r="K1228" i="10"/>
  <c r="K1227" i="10"/>
  <c r="K1226" i="10"/>
  <c r="K1225" i="10"/>
  <c r="K1224" i="10"/>
  <c r="K1223" i="10"/>
  <c r="K1222" i="10"/>
  <c r="K1221" i="10"/>
  <c r="K1220" i="10"/>
  <c r="K1219" i="10"/>
  <c r="K1218" i="10"/>
  <c r="K1217" i="10"/>
  <c r="K1216" i="10"/>
  <c r="K1215" i="10"/>
  <c r="K1214" i="10"/>
  <c r="K1213" i="10"/>
  <c r="K1212" i="10"/>
  <c r="K1211" i="10"/>
  <c r="K1210" i="10"/>
  <c r="K1209" i="10"/>
  <c r="K1208" i="10"/>
  <c r="K1207" i="10"/>
  <c r="K1206" i="10"/>
  <c r="K1205" i="10"/>
  <c r="K1204" i="10"/>
  <c r="K1203" i="10"/>
  <c r="K1202" i="10"/>
  <c r="K1201" i="10"/>
  <c r="K1200" i="10"/>
  <c r="K1199" i="10"/>
  <c r="K1198" i="10"/>
  <c r="K1197" i="10"/>
  <c r="K1196" i="10"/>
  <c r="K1195" i="10"/>
  <c r="K1194" i="10"/>
  <c r="K1193" i="10"/>
  <c r="K1192" i="10"/>
  <c r="K1191" i="10"/>
  <c r="K1190" i="10"/>
  <c r="K1189" i="10"/>
  <c r="K1188" i="10"/>
  <c r="K1187" i="10"/>
  <c r="K1186" i="10"/>
  <c r="K1185" i="10"/>
  <c r="K1184" i="10"/>
  <c r="K1183" i="10"/>
  <c r="K1182" i="10"/>
  <c r="K1181" i="10"/>
  <c r="K1180" i="10"/>
  <c r="K1179" i="10"/>
  <c r="K1178" i="10"/>
  <c r="K1177" i="10"/>
  <c r="K1176" i="10"/>
  <c r="K1175" i="10"/>
  <c r="K1174" i="10"/>
  <c r="K1173" i="10"/>
  <c r="K1172" i="10"/>
  <c r="K1171" i="10"/>
  <c r="K1170" i="10"/>
  <c r="K1169" i="10"/>
  <c r="K1168" i="10"/>
  <c r="K1167" i="10"/>
  <c r="K1166" i="10"/>
  <c r="K1165" i="10"/>
  <c r="K1164" i="10"/>
  <c r="K1163" i="10"/>
  <c r="K1162" i="10"/>
  <c r="K1161" i="10"/>
  <c r="K1160" i="10"/>
  <c r="K1159" i="10"/>
  <c r="K1158" i="10"/>
  <c r="K1157" i="10"/>
  <c r="K1156" i="10"/>
  <c r="K1155" i="10"/>
  <c r="K1154" i="10"/>
  <c r="K1153" i="10"/>
  <c r="K1152" i="10"/>
  <c r="K1151" i="10"/>
  <c r="K1150" i="10"/>
  <c r="K1149" i="10"/>
  <c r="K1148" i="10"/>
  <c r="K1147" i="10"/>
  <c r="K1146" i="10"/>
  <c r="K1145" i="10"/>
  <c r="K1144" i="10"/>
  <c r="K1143" i="10"/>
  <c r="K1142" i="10"/>
  <c r="K1141" i="10"/>
  <c r="K1140" i="10"/>
  <c r="K1139" i="10"/>
  <c r="K1138" i="10"/>
  <c r="K1137" i="10"/>
  <c r="K1136" i="10"/>
  <c r="K1135" i="10"/>
  <c r="K1134" i="10"/>
  <c r="K1133" i="10"/>
  <c r="K1132" i="10"/>
  <c r="K1131" i="10"/>
  <c r="K1130" i="10"/>
  <c r="K1129" i="10"/>
  <c r="K1128" i="10"/>
  <c r="K1127" i="10"/>
  <c r="K1126" i="10"/>
  <c r="K1125" i="10"/>
  <c r="K1124" i="10"/>
  <c r="K1123" i="10"/>
  <c r="K1122" i="10"/>
  <c r="K1121" i="10"/>
  <c r="K1120" i="10"/>
  <c r="K1119" i="10"/>
  <c r="K1118" i="10"/>
  <c r="K1117" i="10"/>
  <c r="K1116" i="10"/>
  <c r="K1115" i="10"/>
  <c r="K1114" i="10"/>
  <c r="K1113" i="10"/>
  <c r="K1112" i="10"/>
  <c r="K1111" i="10"/>
  <c r="K1110" i="10"/>
  <c r="K1109" i="10"/>
  <c r="K1108" i="10"/>
  <c r="K1107" i="10"/>
  <c r="K1106" i="10"/>
  <c r="K1105" i="10"/>
  <c r="K1104" i="10"/>
  <c r="K1103" i="10"/>
  <c r="K1102" i="10"/>
  <c r="K1101" i="10"/>
  <c r="K1100" i="10"/>
  <c r="K1099" i="10"/>
  <c r="K1098" i="10"/>
  <c r="K1097" i="10"/>
  <c r="K1096" i="10"/>
  <c r="K1095" i="10"/>
  <c r="K1094" i="10"/>
  <c r="K1093" i="10"/>
  <c r="K1092" i="10"/>
  <c r="K1091" i="10"/>
  <c r="K1090" i="10"/>
  <c r="K1089" i="10"/>
  <c r="K1088" i="10"/>
  <c r="K1087" i="10"/>
  <c r="K1086" i="10"/>
  <c r="K1085" i="10"/>
  <c r="K1084" i="10"/>
  <c r="K1083" i="10"/>
  <c r="K1082" i="10"/>
  <c r="K1081" i="10"/>
  <c r="K1080" i="10"/>
  <c r="K1079" i="10"/>
  <c r="K1078" i="10"/>
  <c r="K1077" i="10"/>
  <c r="K1076" i="10"/>
  <c r="K1075" i="10"/>
  <c r="K1074" i="10"/>
  <c r="K1073" i="10"/>
  <c r="K1072" i="10"/>
  <c r="K1071" i="10"/>
  <c r="K1070" i="10"/>
  <c r="K1069" i="10"/>
  <c r="K1068" i="10"/>
  <c r="K1067" i="10"/>
  <c r="K1066" i="10"/>
  <c r="K1065" i="10"/>
  <c r="K1064" i="10"/>
  <c r="K1063" i="10"/>
  <c r="K1062" i="10"/>
  <c r="K1061" i="10"/>
  <c r="K1060" i="10"/>
  <c r="K1059" i="10"/>
  <c r="K1058" i="10"/>
  <c r="K1057" i="10"/>
  <c r="K1056" i="10"/>
  <c r="K1055" i="10"/>
  <c r="K1054" i="10"/>
  <c r="K1053" i="10"/>
  <c r="K1052" i="10"/>
  <c r="K1051" i="10"/>
  <c r="K1050" i="10"/>
  <c r="K1049" i="10"/>
  <c r="K1048" i="10"/>
  <c r="K1047" i="10"/>
  <c r="K1046" i="10"/>
  <c r="K1045" i="10"/>
  <c r="K1044" i="10"/>
  <c r="K1043" i="10"/>
  <c r="K1042" i="10"/>
  <c r="K1041" i="10"/>
  <c r="K1040" i="10"/>
  <c r="K1039" i="10"/>
  <c r="K1038" i="10"/>
  <c r="K1037" i="10"/>
  <c r="K1036" i="10"/>
  <c r="K1035" i="10"/>
  <c r="K1034" i="10"/>
  <c r="K1033" i="10"/>
  <c r="K1032" i="10"/>
  <c r="K1031" i="10"/>
  <c r="K1030" i="10"/>
  <c r="K1029" i="10"/>
  <c r="K1028" i="10"/>
  <c r="K1027" i="10"/>
  <c r="K1026" i="10"/>
  <c r="K1025" i="10"/>
  <c r="K1024" i="10"/>
  <c r="K1023" i="10"/>
  <c r="K1022" i="10"/>
  <c r="K1021" i="10"/>
  <c r="K1020" i="10"/>
  <c r="K1019" i="10"/>
  <c r="K1018" i="10"/>
  <c r="K1017" i="10"/>
  <c r="K1016" i="10"/>
  <c r="K1015" i="10"/>
  <c r="K1014" i="10"/>
  <c r="K1013" i="10"/>
  <c r="K1012" i="10"/>
  <c r="K1011" i="10"/>
  <c r="K1010" i="10"/>
  <c r="K1009" i="10"/>
  <c r="K1008" i="10"/>
  <c r="K1007" i="10"/>
  <c r="K1006" i="10"/>
  <c r="K1005" i="10"/>
  <c r="K1004" i="10"/>
  <c r="K1003" i="10"/>
  <c r="K1002" i="10"/>
  <c r="K1001" i="10"/>
  <c r="K1000" i="10"/>
  <c r="K999" i="10"/>
  <c r="K998" i="10"/>
  <c r="K997" i="10"/>
  <c r="K996" i="10"/>
  <c r="K995" i="10"/>
  <c r="K994" i="10"/>
  <c r="K993" i="10"/>
  <c r="K992" i="10"/>
  <c r="K991" i="10"/>
  <c r="K990" i="10"/>
  <c r="K989" i="10"/>
  <c r="K988" i="10"/>
  <c r="K987" i="10"/>
  <c r="K986" i="10"/>
  <c r="K985" i="10"/>
  <c r="K984" i="10"/>
  <c r="K983" i="10"/>
  <c r="K982" i="10"/>
  <c r="K981" i="10"/>
  <c r="K980" i="10"/>
  <c r="K979" i="10"/>
  <c r="K978" i="10"/>
  <c r="K977" i="10"/>
  <c r="K976" i="10"/>
  <c r="K975" i="10"/>
  <c r="K974" i="10"/>
  <c r="K973" i="10"/>
  <c r="K972" i="10"/>
  <c r="K971" i="10"/>
  <c r="K970" i="10"/>
  <c r="K969" i="10"/>
  <c r="K968" i="10"/>
  <c r="K967" i="10"/>
  <c r="K966" i="10"/>
  <c r="K965" i="10"/>
  <c r="K964" i="10"/>
  <c r="K963" i="10"/>
  <c r="K962" i="10"/>
  <c r="K961" i="10"/>
  <c r="K960" i="10"/>
  <c r="K959" i="10"/>
  <c r="K958" i="10"/>
  <c r="K957" i="10"/>
  <c r="K956" i="10"/>
  <c r="K955" i="10"/>
  <c r="K954" i="10"/>
  <c r="K953" i="10"/>
  <c r="K952" i="10"/>
  <c r="K951" i="10"/>
  <c r="K950" i="10"/>
  <c r="K949" i="10"/>
  <c r="K948" i="10"/>
  <c r="K947" i="10"/>
  <c r="K946" i="10"/>
  <c r="K945" i="10"/>
  <c r="K944" i="10"/>
  <c r="K943" i="10"/>
  <c r="K942" i="10"/>
  <c r="K941" i="10"/>
  <c r="K940" i="10"/>
  <c r="K939" i="10"/>
  <c r="K938" i="10"/>
  <c r="K937" i="10"/>
  <c r="K936" i="10"/>
  <c r="K935" i="10"/>
  <c r="K934" i="10"/>
  <c r="K933" i="10"/>
  <c r="K932" i="10"/>
  <c r="K931" i="10"/>
  <c r="K930" i="10"/>
  <c r="K929" i="10"/>
  <c r="K928" i="10"/>
  <c r="K927" i="10"/>
  <c r="K926" i="10"/>
  <c r="K925" i="10"/>
  <c r="K924" i="10"/>
  <c r="K923" i="10"/>
  <c r="K922" i="10"/>
  <c r="K921" i="10"/>
  <c r="K920" i="10"/>
  <c r="K919" i="10"/>
  <c r="K918" i="10"/>
  <c r="K917" i="10"/>
  <c r="K916" i="10"/>
  <c r="K915" i="10"/>
  <c r="K914" i="10"/>
  <c r="K913" i="10"/>
  <c r="K912" i="10"/>
  <c r="K911" i="10"/>
  <c r="K910" i="10"/>
  <c r="K909" i="10"/>
  <c r="K908" i="10"/>
  <c r="K907" i="10"/>
  <c r="K906" i="10"/>
  <c r="K905" i="10"/>
  <c r="K904" i="10"/>
  <c r="K903" i="10"/>
  <c r="K902" i="10"/>
  <c r="K901" i="10"/>
  <c r="K900" i="10"/>
  <c r="K899" i="10"/>
  <c r="K898" i="10"/>
  <c r="K897" i="10"/>
  <c r="K896" i="10"/>
  <c r="K895" i="10"/>
  <c r="K894" i="10"/>
  <c r="K893" i="10"/>
  <c r="K892" i="10"/>
  <c r="K891" i="10"/>
  <c r="K890" i="10"/>
  <c r="K889" i="10"/>
  <c r="K888" i="10"/>
  <c r="K887" i="10"/>
  <c r="K886" i="10"/>
  <c r="K885" i="10"/>
  <c r="K884" i="10"/>
  <c r="K883" i="10"/>
  <c r="K882" i="10"/>
  <c r="K881" i="10"/>
  <c r="K880" i="10"/>
  <c r="K879" i="10"/>
  <c r="K878" i="10"/>
  <c r="K877" i="10"/>
  <c r="K876" i="10"/>
  <c r="K875" i="10"/>
  <c r="K874" i="10"/>
  <c r="K873" i="10"/>
  <c r="K872" i="10"/>
  <c r="K871" i="10"/>
  <c r="K870" i="10"/>
  <c r="K869" i="10"/>
  <c r="K868" i="10"/>
  <c r="K867" i="10"/>
  <c r="K866" i="10"/>
  <c r="K865" i="10"/>
  <c r="K864" i="10"/>
  <c r="K863" i="10"/>
  <c r="K862" i="10"/>
  <c r="K861" i="10"/>
  <c r="K860" i="10"/>
  <c r="K859" i="10"/>
  <c r="K858" i="10"/>
  <c r="K857" i="10"/>
  <c r="K856" i="10"/>
  <c r="K855" i="10"/>
  <c r="K854" i="10"/>
  <c r="K853" i="10"/>
  <c r="K852" i="10"/>
  <c r="K851" i="10"/>
  <c r="K850" i="10"/>
  <c r="K849" i="10"/>
  <c r="K848" i="10"/>
  <c r="K847" i="10"/>
  <c r="K846" i="10"/>
  <c r="K845" i="10"/>
  <c r="K844" i="10"/>
  <c r="K843" i="10"/>
  <c r="K842" i="10"/>
  <c r="K841" i="10"/>
  <c r="K840" i="10"/>
  <c r="K839" i="10"/>
  <c r="K838" i="10"/>
  <c r="K837" i="10"/>
  <c r="K836" i="10"/>
  <c r="K835" i="10"/>
  <c r="K834" i="10"/>
  <c r="K833" i="10"/>
  <c r="K832" i="10"/>
  <c r="K831" i="10"/>
  <c r="K830" i="10"/>
  <c r="K829" i="10"/>
  <c r="K828" i="10"/>
  <c r="K827" i="10"/>
  <c r="K826" i="10"/>
  <c r="K825" i="10"/>
  <c r="K824" i="10"/>
  <c r="K823" i="10"/>
  <c r="K822" i="10"/>
  <c r="K821" i="10"/>
  <c r="K820" i="10"/>
  <c r="K819" i="10"/>
  <c r="K818" i="10"/>
  <c r="K817" i="10"/>
  <c r="K816" i="10"/>
  <c r="K815" i="10"/>
  <c r="K814" i="10"/>
  <c r="K813" i="10"/>
  <c r="K812" i="10"/>
  <c r="K811" i="10"/>
  <c r="K810" i="10"/>
  <c r="K809" i="10"/>
  <c r="K808" i="10"/>
  <c r="K807" i="10"/>
  <c r="K806" i="10"/>
  <c r="K805" i="10"/>
  <c r="K804" i="10"/>
  <c r="K803" i="10"/>
  <c r="K802" i="10"/>
  <c r="K801" i="10"/>
  <c r="K800" i="10"/>
  <c r="K799" i="10"/>
  <c r="K798" i="10"/>
  <c r="K797" i="10"/>
  <c r="K796" i="10"/>
  <c r="K795" i="10"/>
  <c r="K794" i="10"/>
  <c r="K793" i="10"/>
  <c r="K792" i="10"/>
  <c r="K791" i="10"/>
  <c r="K790" i="10"/>
  <c r="K789" i="10"/>
  <c r="K788" i="10"/>
  <c r="K787" i="10"/>
  <c r="K786" i="10"/>
  <c r="K785" i="10"/>
  <c r="K784" i="10"/>
  <c r="K783" i="10"/>
  <c r="K782" i="10"/>
  <c r="K781" i="10"/>
  <c r="K780" i="10"/>
  <c r="K779" i="10"/>
  <c r="K778" i="10"/>
  <c r="K777" i="10"/>
  <c r="K776" i="10"/>
  <c r="K775" i="10"/>
  <c r="K774" i="10"/>
  <c r="K773" i="10"/>
  <c r="K772" i="10"/>
  <c r="K771" i="10"/>
  <c r="K770" i="10"/>
  <c r="K769" i="10"/>
  <c r="K768" i="10"/>
  <c r="K767" i="10"/>
  <c r="K766" i="10"/>
  <c r="K765" i="10"/>
  <c r="K764" i="10"/>
  <c r="K763" i="10"/>
  <c r="K762" i="10"/>
  <c r="K761" i="10"/>
  <c r="K760" i="10"/>
  <c r="K759" i="10"/>
  <c r="K758" i="10"/>
  <c r="K757" i="10"/>
  <c r="K756" i="10"/>
  <c r="K755" i="10"/>
  <c r="K754" i="10"/>
  <c r="K753" i="10"/>
  <c r="K752" i="10"/>
  <c r="K751" i="10"/>
  <c r="K750" i="10"/>
  <c r="K749" i="10"/>
  <c r="K748" i="10"/>
  <c r="K747" i="10"/>
  <c r="K746" i="10"/>
  <c r="K745" i="10"/>
  <c r="K744" i="10"/>
  <c r="K743" i="10"/>
  <c r="K742" i="10"/>
  <c r="K741" i="10"/>
  <c r="K740" i="10"/>
  <c r="K739" i="10"/>
  <c r="K738" i="10"/>
  <c r="K737" i="10"/>
  <c r="K736" i="10"/>
  <c r="K735" i="10"/>
  <c r="K734" i="10"/>
  <c r="K733" i="10"/>
  <c r="K732" i="10"/>
  <c r="K731" i="10"/>
  <c r="K730" i="10"/>
  <c r="K729" i="10"/>
  <c r="K728" i="10"/>
  <c r="K727" i="10"/>
  <c r="K726" i="10"/>
  <c r="K725" i="10"/>
  <c r="K724" i="10"/>
  <c r="K723" i="10"/>
  <c r="K722" i="10"/>
  <c r="K721" i="10"/>
  <c r="K720" i="10"/>
  <c r="K719" i="10"/>
  <c r="K718" i="10"/>
  <c r="K717" i="10"/>
  <c r="K716" i="10"/>
  <c r="K715" i="10"/>
  <c r="K714" i="10"/>
  <c r="K713" i="10"/>
  <c r="K712" i="10"/>
  <c r="K711" i="10"/>
  <c r="K710" i="10"/>
  <c r="K709" i="10"/>
  <c r="K708" i="10"/>
  <c r="K707" i="10"/>
  <c r="K706" i="10"/>
  <c r="K705" i="10"/>
  <c r="K704" i="10"/>
  <c r="K703" i="10"/>
  <c r="K702" i="10"/>
  <c r="K701" i="10"/>
  <c r="K700" i="10"/>
  <c r="K699" i="10"/>
  <c r="K698" i="10"/>
  <c r="K697" i="10"/>
  <c r="K696" i="10"/>
  <c r="K695" i="10"/>
  <c r="K694" i="10"/>
  <c r="K693" i="10"/>
  <c r="K692" i="10"/>
  <c r="K691" i="10"/>
  <c r="K690" i="10"/>
  <c r="K689" i="10"/>
  <c r="K688" i="10"/>
  <c r="K687" i="10"/>
  <c r="K686" i="10"/>
  <c r="K685" i="10"/>
  <c r="K684" i="10"/>
  <c r="K683" i="10"/>
  <c r="K682" i="10"/>
  <c r="K681" i="10"/>
  <c r="K680" i="10"/>
  <c r="K679" i="10"/>
  <c r="K678" i="10"/>
  <c r="K677" i="10"/>
  <c r="K676" i="10"/>
  <c r="K675" i="10"/>
  <c r="K674" i="10"/>
  <c r="K673" i="10"/>
  <c r="K672" i="10"/>
  <c r="K671" i="10"/>
  <c r="K670" i="10"/>
  <c r="K669" i="10"/>
  <c r="K668" i="10"/>
  <c r="K667" i="10"/>
  <c r="K666" i="10"/>
  <c r="K665" i="10"/>
  <c r="K664" i="10"/>
  <c r="K663" i="10"/>
  <c r="K662" i="10"/>
  <c r="K661" i="10"/>
  <c r="K660" i="10"/>
  <c r="K659" i="10"/>
  <c r="K658" i="10"/>
  <c r="K657" i="10"/>
  <c r="K656" i="10"/>
  <c r="K655" i="10"/>
  <c r="K654" i="10"/>
  <c r="K653" i="10"/>
  <c r="K652" i="10"/>
  <c r="K651" i="10"/>
  <c r="K650" i="10"/>
  <c r="K649" i="10"/>
  <c r="K648" i="10"/>
  <c r="K647" i="10"/>
  <c r="K646" i="10"/>
  <c r="K645" i="10"/>
  <c r="K644" i="10"/>
  <c r="K643" i="10"/>
  <c r="K642" i="10"/>
  <c r="K641" i="10"/>
  <c r="K640" i="10"/>
  <c r="K639" i="10"/>
  <c r="K638" i="10"/>
  <c r="K637" i="10"/>
  <c r="K636" i="10"/>
  <c r="K635" i="10"/>
  <c r="K634" i="10"/>
  <c r="K633" i="10"/>
  <c r="K632" i="10"/>
  <c r="K631" i="10"/>
  <c r="K630" i="10"/>
  <c r="K629" i="10"/>
  <c r="K628" i="10"/>
  <c r="K627" i="10"/>
  <c r="K626" i="10"/>
  <c r="K625" i="10"/>
  <c r="K624" i="10"/>
  <c r="K623" i="10"/>
  <c r="K622" i="10"/>
  <c r="K621" i="10"/>
  <c r="K620" i="10"/>
  <c r="K619" i="10"/>
  <c r="K618" i="10"/>
  <c r="K617" i="10"/>
  <c r="K616" i="10"/>
  <c r="K615" i="10"/>
  <c r="K614" i="10"/>
  <c r="K613" i="10"/>
  <c r="K612" i="10"/>
  <c r="K611" i="10"/>
  <c r="K610" i="10"/>
  <c r="K609" i="10"/>
  <c r="K608" i="10"/>
  <c r="K607" i="10"/>
  <c r="K606" i="10"/>
  <c r="K605" i="10"/>
  <c r="K604" i="10"/>
  <c r="K603" i="10"/>
  <c r="K602" i="10"/>
  <c r="K601" i="10"/>
  <c r="K600" i="10"/>
  <c r="K599" i="10"/>
  <c r="K598" i="10"/>
  <c r="K597" i="10"/>
  <c r="K596" i="10"/>
  <c r="K595" i="10"/>
  <c r="K594" i="10"/>
  <c r="K593" i="10"/>
  <c r="K592" i="10"/>
  <c r="K591" i="10"/>
  <c r="K590" i="10"/>
  <c r="K589" i="10"/>
  <c r="K588" i="10"/>
  <c r="K587" i="10"/>
  <c r="K586" i="10"/>
  <c r="K585" i="10"/>
  <c r="K584" i="10"/>
  <c r="K583" i="10"/>
  <c r="K582" i="10"/>
  <c r="K581" i="10"/>
  <c r="K580" i="10"/>
  <c r="K579" i="10"/>
  <c r="K578" i="10"/>
  <c r="K577" i="10"/>
  <c r="K576" i="10"/>
  <c r="K575" i="10"/>
  <c r="K574" i="10"/>
  <c r="K573" i="10"/>
  <c r="K572" i="10"/>
  <c r="K571" i="10"/>
  <c r="K570" i="10"/>
  <c r="K569" i="10"/>
  <c r="K568" i="10"/>
  <c r="K567" i="10"/>
  <c r="K566" i="10"/>
  <c r="K565" i="10"/>
  <c r="K564" i="10"/>
  <c r="K563" i="10"/>
  <c r="K562" i="10"/>
  <c r="K561" i="10"/>
  <c r="K560" i="10"/>
  <c r="K559" i="10"/>
  <c r="K558" i="10"/>
  <c r="K557" i="10"/>
  <c r="K556" i="10"/>
  <c r="K555" i="10"/>
  <c r="K554" i="10"/>
  <c r="K553" i="10"/>
  <c r="K552" i="10"/>
  <c r="K551" i="10"/>
  <c r="K550" i="10"/>
  <c r="K549" i="10"/>
  <c r="K548" i="10"/>
  <c r="K547" i="10"/>
  <c r="K546" i="10"/>
  <c r="K545" i="10"/>
  <c r="K544" i="10"/>
  <c r="K543" i="10"/>
  <c r="K542" i="10"/>
  <c r="K541" i="10"/>
  <c r="K540" i="10"/>
  <c r="K539" i="10"/>
  <c r="K538" i="10"/>
  <c r="K537" i="10"/>
  <c r="K536" i="10"/>
  <c r="K535" i="10"/>
  <c r="K534" i="10"/>
  <c r="K533" i="10"/>
  <c r="K532" i="10"/>
  <c r="K531" i="10"/>
  <c r="K530" i="10"/>
  <c r="K529" i="10"/>
  <c r="K528" i="10"/>
  <c r="K527" i="10"/>
  <c r="K526" i="10"/>
  <c r="K525" i="10"/>
  <c r="K524" i="10"/>
  <c r="K523" i="10"/>
  <c r="K522" i="10"/>
  <c r="K521" i="10"/>
  <c r="K520" i="10"/>
  <c r="K519" i="10"/>
  <c r="K518" i="10"/>
  <c r="K517" i="10"/>
  <c r="K516" i="10"/>
  <c r="K515" i="10"/>
  <c r="K514" i="10"/>
  <c r="K513" i="10"/>
  <c r="K512" i="10"/>
  <c r="K511" i="10"/>
  <c r="K510" i="10"/>
  <c r="K509" i="10"/>
  <c r="K508" i="10"/>
  <c r="K507" i="10"/>
  <c r="K506" i="10"/>
  <c r="K505" i="10"/>
  <c r="K504" i="10"/>
  <c r="K503" i="10"/>
  <c r="K502" i="10"/>
  <c r="K501" i="10"/>
  <c r="K500" i="10"/>
  <c r="K499" i="10"/>
  <c r="K498" i="10"/>
  <c r="K497" i="10"/>
  <c r="K496" i="10"/>
  <c r="K495" i="10"/>
  <c r="K494" i="10"/>
  <c r="K493" i="10"/>
  <c r="K492" i="10"/>
  <c r="K491" i="10"/>
  <c r="K490" i="10"/>
  <c r="K489" i="10"/>
  <c r="K488" i="10"/>
  <c r="K487" i="10"/>
  <c r="K486" i="10"/>
  <c r="K485" i="10"/>
  <c r="K484" i="10"/>
  <c r="K483" i="10"/>
  <c r="K482" i="10"/>
  <c r="K481" i="10"/>
  <c r="K480" i="10"/>
  <c r="K479" i="10"/>
  <c r="K478" i="10"/>
  <c r="K477" i="10"/>
  <c r="K476" i="10"/>
  <c r="K475" i="10"/>
  <c r="K474" i="10"/>
  <c r="K473" i="10"/>
  <c r="K472" i="10"/>
  <c r="K471" i="10"/>
  <c r="K470" i="10"/>
  <c r="K469" i="10"/>
  <c r="K468" i="10"/>
  <c r="K467" i="10"/>
  <c r="K466" i="10"/>
  <c r="K465" i="10"/>
  <c r="K464" i="10"/>
  <c r="K463" i="10"/>
  <c r="K462" i="10"/>
  <c r="K461" i="10"/>
  <c r="K460" i="10"/>
  <c r="K459" i="10"/>
  <c r="K458" i="10"/>
  <c r="K457" i="10"/>
  <c r="K456" i="10"/>
  <c r="K455" i="10"/>
  <c r="K454" i="10"/>
  <c r="K453" i="10"/>
  <c r="K452" i="10"/>
  <c r="K451" i="10"/>
  <c r="K450" i="10"/>
  <c r="K449" i="10"/>
  <c r="K448" i="10"/>
  <c r="K447" i="10"/>
  <c r="K446" i="10"/>
  <c r="K445" i="10"/>
  <c r="K444" i="10"/>
  <c r="K443" i="10"/>
  <c r="K442" i="10"/>
  <c r="K441" i="10"/>
  <c r="K440" i="10"/>
  <c r="K439" i="10"/>
  <c r="K438" i="10"/>
  <c r="K437" i="10"/>
  <c r="K436" i="10"/>
  <c r="K435" i="10"/>
  <c r="K434" i="10"/>
  <c r="K433" i="10"/>
  <c r="K432" i="10"/>
  <c r="K431" i="10"/>
  <c r="K430" i="10"/>
  <c r="K429" i="10"/>
  <c r="K428" i="10"/>
  <c r="K427" i="10"/>
  <c r="K426" i="10"/>
  <c r="K425" i="10"/>
  <c r="K424" i="10"/>
  <c r="K423" i="10"/>
  <c r="K422" i="10"/>
  <c r="K421" i="10"/>
  <c r="K420" i="10"/>
  <c r="K419" i="10"/>
  <c r="K418" i="10"/>
  <c r="K417" i="10"/>
  <c r="K416" i="10"/>
  <c r="K415" i="10"/>
  <c r="K414" i="10"/>
  <c r="K413" i="10"/>
  <c r="K412" i="10"/>
  <c r="K411" i="10"/>
  <c r="K410" i="10"/>
  <c r="K409" i="10"/>
  <c r="K408" i="10"/>
  <c r="K407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299" i="10"/>
  <c r="K298" i="10"/>
  <c r="K297" i="10"/>
  <c r="K296" i="10"/>
  <c r="K295" i="10"/>
  <c r="K294" i="10"/>
  <c r="K293" i="10"/>
  <c r="K292" i="10"/>
  <c r="K291" i="10"/>
  <c r="K290" i="10"/>
  <c r="K289" i="10"/>
  <c r="K288" i="10"/>
  <c r="K287" i="10"/>
  <c r="K286" i="10"/>
  <c r="K285" i="10"/>
  <c r="K284" i="10"/>
  <c r="K283" i="10"/>
  <c r="K282" i="10"/>
  <c r="K281" i="10"/>
  <c r="K280" i="10"/>
  <c r="K279" i="10"/>
  <c r="K278" i="10"/>
  <c r="K277" i="10"/>
  <c r="K276" i="10"/>
  <c r="K275" i="10"/>
  <c r="K274" i="10"/>
  <c r="K273" i="10"/>
  <c r="K272" i="10"/>
  <c r="K271" i="10"/>
  <c r="K270" i="10"/>
  <c r="K269" i="10"/>
  <c r="K268" i="10"/>
  <c r="K267" i="10"/>
  <c r="K266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J2855" i="10"/>
  <c r="J2854" i="10"/>
  <c r="J2853" i="10"/>
  <c r="J2852" i="10"/>
  <c r="J2851" i="10"/>
  <c r="J2850" i="10"/>
  <c r="J2849" i="10"/>
  <c r="J2848" i="10"/>
  <c r="J2847" i="10"/>
  <c r="J2846" i="10"/>
  <c r="J2845" i="10"/>
  <c r="J2844" i="10"/>
  <c r="J2843" i="10"/>
  <c r="J2842" i="10"/>
  <c r="J2841" i="10"/>
  <c r="J2840" i="10"/>
  <c r="J2839" i="10"/>
  <c r="J2838" i="10"/>
  <c r="J2837" i="10"/>
  <c r="J2836" i="10"/>
  <c r="J2835" i="10"/>
  <c r="J2834" i="10"/>
  <c r="J2833" i="10"/>
  <c r="J2832" i="10"/>
  <c r="J2831" i="10"/>
  <c r="J2830" i="10"/>
  <c r="J2829" i="10"/>
  <c r="J2828" i="10"/>
  <c r="J2827" i="10"/>
  <c r="J2826" i="10"/>
  <c r="J2825" i="10"/>
  <c r="J2824" i="10"/>
  <c r="J2823" i="10"/>
  <c r="J2822" i="10"/>
  <c r="J2821" i="10"/>
  <c r="J2820" i="10"/>
  <c r="J2819" i="10"/>
  <c r="J2818" i="10"/>
  <c r="J2817" i="10"/>
  <c r="J2816" i="10"/>
  <c r="J2815" i="10"/>
  <c r="J2814" i="10"/>
  <c r="J2813" i="10"/>
  <c r="J2812" i="10"/>
  <c r="J2811" i="10"/>
  <c r="J2810" i="10"/>
  <c r="J2809" i="10"/>
  <c r="J2808" i="10"/>
  <c r="J2807" i="10"/>
  <c r="J2806" i="10"/>
  <c r="J2805" i="10"/>
  <c r="J2804" i="10"/>
  <c r="J2803" i="10"/>
  <c r="J2802" i="10"/>
  <c r="J2801" i="10"/>
  <c r="J2800" i="10"/>
  <c r="J2799" i="10"/>
  <c r="J2798" i="10"/>
  <c r="J2797" i="10"/>
  <c r="J2796" i="10"/>
  <c r="J2795" i="10"/>
  <c r="J2794" i="10"/>
  <c r="J2793" i="10"/>
  <c r="J2792" i="10"/>
  <c r="J2791" i="10"/>
  <c r="J2790" i="10"/>
  <c r="J2789" i="10"/>
  <c r="J2788" i="10"/>
  <c r="J2787" i="10"/>
  <c r="J2786" i="10"/>
  <c r="J2785" i="10"/>
  <c r="J2784" i="10"/>
  <c r="J2783" i="10"/>
  <c r="J2782" i="10"/>
  <c r="J2781" i="10"/>
  <c r="J2780" i="10"/>
  <c r="J2779" i="10"/>
  <c r="J2778" i="10"/>
  <c r="J2777" i="10"/>
  <c r="J2776" i="10"/>
  <c r="J2775" i="10"/>
  <c r="J2774" i="10"/>
  <c r="J2773" i="10"/>
  <c r="J2772" i="10"/>
  <c r="J2771" i="10"/>
  <c r="J2770" i="10"/>
  <c r="J2769" i="10"/>
  <c r="J2768" i="10"/>
  <c r="J2767" i="10"/>
  <c r="J2766" i="10"/>
  <c r="J2765" i="10"/>
  <c r="J2764" i="10"/>
  <c r="J2763" i="10"/>
  <c r="J2762" i="10"/>
  <c r="J2761" i="10"/>
  <c r="J2760" i="10"/>
  <c r="J2759" i="10"/>
  <c r="J2758" i="10"/>
  <c r="J2757" i="10"/>
  <c r="J2756" i="10"/>
  <c r="J2755" i="10"/>
  <c r="J2754" i="10"/>
  <c r="J2753" i="10"/>
  <c r="J2752" i="10"/>
  <c r="J2751" i="10"/>
  <c r="J2750" i="10"/>
  <c r="J2749" i="10"/>
  <c r="J2748" i="10"/>
  <c r="J2747" i="10"/>
  <c r="J2746" i="10"/>
  <c r="J2745" i="10"/>
  <c r="J2744" i="10"/>
  <c r="J2743" i="10"/>
  <c r="J2742" i="10"/>
  <c r="J2741" i="10"/>
  <c r="J2740" i="10"/>
  <c r="J2739" i="10"/>
  <c r="J2738" i="10"/>
  <c r="J2737" i="10"/>
  <c r="J2736" i="10"/>
  <c r="J2735" i="10"/>
  <c r="J2734" i="10"/>
  <c r="J2733" i="10"/>
  <c r="J2732" i="10"/>
  <c r="J2731" i="10"/>
  <c r="J2730" i="10"/>
  <c r="J2729" i="10"/>
  <c r="J2728" i="10"/>
  <c r="J2727" i="10"/>
  <c r="J2726" i="10"/>
  <c r="J2725" i="10"/>
  <c r="J2724" i="10"/>
  <c r="J2723" i="10"/>
  <c r="J2722" i="10"/>
  <c r="J2721" i="10"/>
  <c r="J2720" i="10"/>
  <c r="J2719" i="10"/>
  <c r="J2718" i="10"/>
  <c r="J2717" i="10"/>
  <c r="J2716" i="10"/>
  <c r="J2715" i="10"/>
  <c r="J2714" i="10"/>
  <c r="J2713" i="10"/>
  <c r="J2712" i="10"/>
  <c r="J2711" i="10"/>
  <c r="J2710" i="10"/>
  <c r="J2709" i="10"/>
  <c r="J2708" i="10"/>
  <c r="J2707" i="10"/>
  <c r="J2706" i="10"/>
  <c r="J2705" i="10"/>
  <c r="J2704" i="10"/>
  <c r="J2703" i="10"/>
  <c r="J2702" i="10"/>
  <c r="J2701" i="10"/>
  <c r="J2700" i="10"/>
  <c r="J2699" i="10"/>
  <c r="J2698" i="10"/>
  <c r="J2697" i="10"/>
  <c r="J2696" i="10"/>
  <c r="J2695" i="10"/>
  <c r="J2694" i="10"/>
  <c r="J2693" i="10"/>
  <c r="J2692" i="10"/>
  <c r="J2691" i="10"/>
  <c r="J2690" i="10"/>
  <c r="J2689" i="10"/>
  <c r="J2688" i="10"/>
  <c r="J2687" i="10"/>
  <c r="J2686" i="10"/>
  <c r="J2685" i="10"/>
  <c r="J2684" i="10"/>
  <c r="J2683" i="10"/>
  <c r="J2682" i="10"/>
  <c r="J2681" i="10"/>
  <c r="J2680" i="10"/>
  <c r="J2679" i="10"/>
  <c r="J2678" i="10"/>
  <c r="J2677" i="10"/>
  <c r="J2676" i="10"/>
  <c r="J2675" i="10"/>
  <c r="J2674" i="10"/>
  <c r="J2673" i="10"/>
  <c r="J2672" i="10"/>
  <c r="J2671" i="10"/>
  <c r="J2670" i="10"/>
  <c r="J2669" i="10"/>
  <c r="J2668" i="10"/>
  <c r="J2667" i="10"/>
  <c r="J2666" i="10"/>
  <c r="J2665" i="10"/>
  <c r="J2664" i="10"/>
  <c r="J2663" i="10"/>
  <c r="J2662" i="10"/>
  <c r="J2661" i="10"/>
  <c r="J2660" i="10"/>
  <c r="J2659" i="10"/>
  <c r="J2658" i="10"/>
  <c r="J2657" i="10"/>
  <c r="J2656" i="10"/>
  <c r="J2655" i="10"/>
  <c r="J2654" i="10"/>
  <c r="J2653" i="10"/>
  <c r="J2652" i="10"/>
  <c r="J2651" i="10"/>
  <c r="J2650" i="10"/>
  <c r="J2649" i="10"/>
  <c r="J2648" i="10"/>
  <c r="J2647" i="10"/>
  <c r="J2646" i="10"/>
  <c r="J2645" i="10"/>
  <c r="J2644" i="10"/>
  <c r="J2643" i="10"/>
  <c r="J2642" i="10"/>
  <c r="J2641" i="10"/>
  <c r="J2640" i="10"/>
  <c r="J2639" i="10"/>
  <c r="J2638" i="10"/>
  <c r="J2637" i="10"/>
  <c r="J2636" i="10"/>
  <c r="J2635" i="10"/>
  <c r="J2634" i="10"/>
  <c r="J2633" i="10"/>
  <c r="J2632" i="10"/>
  <c r="J2631" i="10"/>
  <c r="J2630" i="10"/>
  <c r="J2629" i="10"/>
  <c r="J2628" i="10"/>
  <c r="J2627" i="10"/>
  <c r="J2626" i="10"/>
  <c r="J2625" i="10"/>
  <c r="J2624" i="10"/>
  <c r="J2623" i="10"/>
  <c r="J2622" i="10"/>
  <c r="J2621" i="10"/>
  <c r="J2620" i="10"/>
  <c r="J2619" i="10"/>
  <c r="J2618" i="10"/>
  <c r="J2617" i="10"/>
  <c r="J2616" i="10"/>
  <c r="J2615" i="10"/>
  <c r="J2614" i="10"/>
  <c r="J2613" i="10"/>
  <c r="J2612" i="10"/>
  <c r="J2611" i="10"/>
  <c r="J2610" i="10"/>
  <c r="J2609" i="10"/>
  <c r="J2608" i="10"/>
  <c r="J2607" i="10"/>
  <c r="J2606" i="10"/>
  <c r="J2605" i="10"/>
  <c r="J2604" i="10"/>
  <c r="J2603" i="10"/>
  <c r="J2602" i="10"/>
  <c r="J2601" i="10"/>
  <c r="J2600" i="10"/>
  <c r="J2599" i="10"/>
  <c r="J2598" i="10"/>
  <c r="J2597" i="10"/>
  <c r="J2596" i="10"/>
  <c r="J2595" i="10"/>
  <c r="J2594" i="10"/>
  <c r="J2593" i="10"/>
  <c r="J2592" i="10"/>
  <c r="J2591" i="10"/>
  <c r="J2590" i="10"/>
  <c r="J2589" i="10"/>
  <c r="J2588" i="10"/>
  <c r="J2587" i="10"/>
  <c r="J2586" i="10"/>
  <c r="J2585" i="10"/>
  <c r="J2584" i="10"/>
  <c r="J2583" i="10"/>
  <c r="J2582" i="10"/>
  <c r="J2581" i="10"/>
  <c r="J2580" i="10"/>
  <c r="J2579" i="10"/>
  <c r="J2578" i="10"/>
  <c r="J2577" i="10"/>
  <c r="J2576" i="10"/>
  <c r="J2575" i="10"/>
  <c r="J2574" i="10"/>
  <c r="J2573" i="10"/>
  <c r="J2572" i="10"/>
  <c r="J2571" i="10"/>
  <c r="J2570" i="10"/>
  <c r="J2569" i="10"/>
  <c r="J2568" i="10"/>
  <c r="J2567" i="10"/>
  <c r="J2566" i="10"/>
  <c r="J2565" i="10"/>
  <c r="J2564" i="10"/>
  <c r="J2563" i="10"/>
  <c r="J2562" i="10"/>
  <c r="J2561" i="10"/>
  <c r="J2560" i="10"/>
  <c r="J2559" i="10"/>
  <c r="J2558" i="10"/>
  <c r="J2557" i="10"/>
  <c r="J2556" i="10"/>
  <c r="J2555" i="10"/>
  <c r="J2554" i="10"/>
  <c r="J2553" i="10"/>
  <c r="J2552" i="10"/>
  <c r="J2551" i="10"/>
  <c r="J2550" i="10"/>
  <c r="J2549" i="10"/>
  <c r="J2548" i="10"/>
  <c r="J2547" i="10"/>
  <c r="J2546" i="10"/>
  <c r="J2545" i="10"/>
  <c r="J2544" i="10"/>
  <c r="J2543" i="10"/>
  <c r="J2542" i="10"/>
  <c r="J2541" i="10"/>
  <c r="J2540" i="10"/>
  <c r="J2539" i="10"/>
  <c r="J2538" i="10"/>
  <c r="J2537" i="10"/>
  <c r="J2536" i="10"/>
  <c r="J2535" i="10"/>
  <c r="J2534" i="10"/>
  <c r="J2533" i="10"/>
  <c r="J2532" i="10"/>
  <c r="J2531" i="10"/>
  <c r="J2530" i="10"/>
  <c r="J2529" i="10"/>
  <c r="J2528" i="10"/>
  <c r="J2527" i="10"/>
  <c r="J2526" i="10"/>
  <c r="J2525" i="10"/>
  <c r="J2524" i="10"/>
  <c r="J2523" i="10"/>
  <c r="J2522" i="10"/>
  <c r="J2521" i="10"/>
  <c r="J2520" i="10"/>
  <c r="J2519" i="10"/>
  <c r="J2518" i="10"/>
  <c r="J2517" i="10"/>
  <c r="J2516" i="10"/>
  <c r="J2515" i="10"/>
  <c r="J2514" i="10"/>
  <c r="J2513" i="10"/>
  <c r="J2512" i="10"/>
  <c r="J2511" i="10"/>
  <c r="J2510" i="10"/>
  <c r="J2509" i="10"/>
  <c r="J2508" i="10"/>
  <c r="J2507" i="10"/>
  <c r="J2506" i="10"/>
  <c r="J2505" i="10"/>
  <c r="J2504" i="10"/>
  <c r="J2503" i="10"/>
  <c r="J2502" i="10"/>
  <c r="J2501" i="10"/>
  <c r="J2500" i="10"/>
  <c r="J2499" i="10"/>
  <c r="J2498" i="10"/>
  <c r="J2497" i="10"/>
  <c r="J2496" i="10"/>
  <c r="J2495" i="10"/>
  <c r="J2494" i="10"/>
  <c r="J2493" i="10"/>
  <c r="J2492" i="10"/>
  <c r="J2491" i="10"/>
  <c r="J2490" i="10"/>
  <c r="J2489" i="10"/>
  <c r="J2488" i="10"/>
  <c r="J2487" i="10"/>
  <c r="J2486" i="10"/>
  <c r="J2485" i="10"/>
  <c r="J2484" i="10"/>
  <c r="J2483" i="10"/>
  <c r="J2482" i="10"/>
  <c r="J2481" i="10"/>
  <c r="J2480" i="10"/>
  <c r="J2479" i="10"/>
  <c r="J2478" i="10"/>
  <c r="J2477" i="10"/>
  <c r="J2476" i="10"/>
  <c r="J2475" i="10"/>
  <c r="J2474" i="10"/>
  <c r="J2473" i="10"/>
  <c r="J2472" i="10"/>
  <c r="J2471" i="10"/>
  <c r="J2470" i="10"/>
  <c r="J2469" i="10"/>
  <c r="J2468" i="10"/>
  <c r="J2467" i="10"/>
  <c r="J2466" i="10"/>
  <c r="J2465" i="10"/>
  <c r="J2464" i="10"/>
  <c r="J2463" i="10"/>
  <c r="J2462" i="10"/>
  <c r="J2461" i="10"/>
  <c r="J2460" i="10"/>
  <c r="J2459" i="10"/>
  <c r="J2458" i="10"/>
  <c r="J2457" i="10"/>
  <c r="J2456" i="10"/>
  <c r="J2455" i="10"/>
  <c r="J2454" i="10"/>
  <c r="J2453" i="10"/>
  <c r="J2452" i="10"/>
  <c r="J2451" i="10"/>
  <c r="J2450" i="10"/>
  <c r="J2449" i="10"/>
  <c r="J2448" i="10"/>
  <c r="J2447" i="10"/>
  <c r="J2446" i="10"/>
  <c r="J2445" i="10"/>
  <c r="J2444" i="10"/>
  <c r="J2443" i="10"/>
  <c r="J2442" i="10"/>
  <c r="J2441" i="10"/>
  <c r="J2440" i="10"/>
  <c r="J2439" i="10"/>
  <c r="J2438" i="10"/>
  <c r="J2437" i="10"/>
  <c r="J2436" i="10"/>
  <c r="J2435" i="10"/>
  <c r="J2434" i="10"/>
  <c r="J2433" i="10"/>
  <c r="J2432" i="10"/>
  <c r="J2431" i="10"/>
  <c r="J2430" i="10"/>
  <c r="J2429" i="10"/>
  <c r="J2428" i="10"/>
  <c r="J2427" i="10"/>
  <c r="J2426" i="10"/>
  <c r="J2425" i="10"/>
  <c r="J2424" i="10"/>
  <c r="J2423" i="10"/>
  <c r="J2422" i="10"/>
  <c r="J2421" i="10"/>
  <c r="J2420" i="10"/>
  <c r="J2419" i="10"/>
  <c r="J2418" i="10"/>
  <c r="J2417" i="10"/>
  <c r="J2416" i="10"/>
  <c r="J2415" i="10"/>
  <c r="J2414" i="10"/>
  <c r="J2413" i="10"/>
  <c r="J2412" i="10"/>
  <c r="J2411" i="10"/>
  <c r="J2410" i="10"/>
  <c r="J2409" i="10"/>
  <c r="J2408" i="10"/>
  <c r="J2407" i="10"/>
  <c r="J2406" i="10"/>
  <c r="J2405" i="10"/>
  <c r="J2404" i="10"/>
  <c r="J2403" i="10"/>
  <c r="J2402" i="10"/>
  <c r="J2401" i="10"/>
  <c r="J2400" i="10"/>
  <c r="J2399" i="10"/>
  <c r="J2398" i="10"/>
  <c r="J2397" i="10"/>
  <c r="J2396" i="10"/>
  <c r="J2395" i="10"/>
  <c r="J2394" i="10"/>
  <c r="J2393" i="10"/>
  <c r="J2392" i="10"/>
  <c r="J2391" i="10"/>
  <c r="J2390" i="10"/>
  <c r="J2389" i="10"/>
  <c r="J2388" i="10"/>
  <c r="J2387" i="10"/>
  <c r="J2386" i="10"/>
  <c r="J2385" i="10"/>
  <c r="J2384" i="10"/>
  <c r="J2383" i="10"/>
  <c r="J2382" i="10"/>
  <c r="J2381" i="10"/>
  <c r="J2380" i="10"/>
  <c r="J2379" i="10"/>
  <c r="J2378" i="10"/>
  <c r="J2377" i="10"/>
  <c r="J2376" i="10"/>
  <c r="J2375" i="10"/>
  <c r="J2374" i="10"/>
  <c r="J2373" i="10"/>
  <c r="J2372" i="10"/>
  <c r="J2371" i="10"/>
  <c r="J2370" i="10"/>
  <c r="J2369" i="10"/>
  <c r="J2368" i="10"/>
  <c r="J2367" i="10"/>
  <c r="J2366" i="10"/>
  <c r="J2365" i="10"/>
  <c r="J2364" i="10"/>
  <c r="J2363" i="10"/>
  <c r="J2362" i="10"/>
  <c r="J2361" i="10"/>
  <c r="J2360" i="10"/>
  <c r="J2359" i="10"/>
  <c r="J2358" i="10"/>
  <c r="J2357" i="10"/>
  <c r="J2356" i="10"/>
  <c r="J2355" i="10"/>
  <c r="J2354" i="10"/>
  <c r="J2353" i="10"/>
  <c r="J2352" i="10"/>
  <c r="J2351" i="10"/>
  <c r="J2350" i="10"/>
  <c r="J2349" i="10"/>
  <c r="J2348" i="10"/>
  <c r="J2347" i="10"/>
  <c r="J2346" i="10"/>
  <c r="J2345" i="10"/>
  <c r="J2344" i="10"/>
  <c r="J2343" i="10"/>
  <c r="J2342" i="10"/>
  <c r="J2341" i="10"/>
  <c r="J2340" i="10"/>
  <c r="J2339" i="10"/>
  <c r="J2338" i="10"/>
  <c r="J2337" i="10"/>
  <c r="J2336" i="10"/>
  <c r="J2335" i="10"/>
  <c r="J2334" i="10"/>
  <c r="J2333" i="10"/>
  <c r="J2332" i="10"/>
  <c r="J2331" i="10"/>
  <c r="J2330" i="10"/>
  <c r="J2329" i="10"/>
  <c r="J2328" i="10"/>
  <c r="J2327" i="10"/>
  <c r="J2326" i="10"/>
  <c r="J2325" i="10"/>
  <c r="J2324" i="10"/>
  <c r="J2323" i="10"/>
  <c r="J2322" i="10"/>
  <c r="J2321" i="10"/>
  <c r="J2320" i="10"/>
  <c r="J2319" i="10"/>
  <c r="J2318" i="10"/>
  <c r="J2317" i="10"/>
  <c r="J2316" i="10"/>
  <c r="J2315" i="10"/>
  <c r="J2314" i="10"/>
  <c r="J2313" i="10"/>
  <c r="J2312" i="10"/>
  <c r="J2311" i="10"/>
  <c r="J2310" i="10"/>
  <c r="J2309" i="10"/>
  <c r="J2308" i="10"/>
  <c r="J2307" i="10"/>
  <c r="J2306" i="10"/>
  <c r="J2305" i="10"/>
  <c r="J2304" i="10"/>
  <c r="J2303" i="10"/>
  <c r="J2302" i="10"/>
  <c r="J2301" i="10"/>
  <c r="J2300" i="10"/>
  <c r="J2299" i="10"/>
  <c r="J2298" i="10"/>
  <c r="J2297" i="10"/>
  <c r="J2296" i="10"/>
  <c r="J2295" i="10"/>
  <c r="J2294" i="10"/>
  <c r="J2293" i="10"/>
  <c r="J2292" i="10"/>
  <c r="J2291" i="10"/>
  <c r="J2290" i="10"/>
  <c r="J2289" i="10"/>
  <c r="J2288" i="10"/>
  <c r="J2287" i="10"/>
  <c r="J2286" i="10"/>
  <c r="J2285" i="10"/>
  <c r="J2284" i="10"/>
  <c r="J2283" i="10"/>
  <c r="J2282" i="10"/>
  <c r="J2281" i="10"/>
  <c r="J2280" i="10"/>
  <c r="J2279" i="10"/>
  <c r="J2278" i="10"/>
  <c r="J2277" i="10"/>
  <c r="J2276" i="10"/>
  <c r="J2275" i="10"/>
  <c r="J2274" i="10"/>
  <c r="J2273" i="10"/>
  <c r="J2272" i="10"/>
  <c r="J2271" i="10"/>
  <c r="J2270" i="10"/>
  <c r="J2269" i="10"/>
  <c r="J2268" i="10"/>
  <c r="J2267" i="10"/>
  <c r="J2266" i="10"/>
  <c r="J2265" i="10"/>
  <c r="J2264" i="10"/>
  <c r="J2263" i="10"/>
  <c r="J2262" i="10"/>
  <c r="J2261" i="10"/>
  <c r="J2260" i="10"/>
  <c r="J2259" i="10"/>
  <c r="J2258" i="10"/>
  <c r="J2257" i="10"/>
  <c r="J2256" i="10"/>
  <c r="J2255" i="10"/>
  <c r="J2254" i="10"/>
  <c r="J2253" i="10"/>
  <c r="J2252" i="10"/>
  <c r="J2251" i="10"/>
  <c r="J2250" i="10"/>
  <c r="J2249" i="10"/>
  <c r="J2248" i="10"/>
  <c r="J2247" i="10"/>
  <c r="J2246" i="10"/>
  <c r="J2245" i="10"/>
  <c r="J2244" i="10"/>
  <c r="J2243" i="10"/>
  <c r="J2242" i="10"/>
  <c r="J2241" i="10"/>
  <c r="J2240" i="10"/>
  <c r="J2239" i="10"/>
  <c r="J2238" i="10"/>
  <c r="J2237" i="10"/>
  <c r="J2236" i="10"/>
  <c r="J2235" i="10"/>
  <c r="J2234" i="10"/>
  <c r="J2233" i="10"/>
  <c r="J2232" i="10"/>
  <c r="J2231" i="10"/>
  <c r="J2230" i="10"/>
  <c r="J2229" i="10"/>
  <c r="J2228" i="10"/>
  <c r="J2227" i="10"/>
  <c r="J2226" i="10"/>
  <c r="J2225" i="10"/>
  <c r="J2224" i="10"/>
  <c r="J2223" i="10"/>
  <c r="J2222" i="10"/>
  <c r="J2221" i="10"/>
  <c r="J2220" i="10"/>
  <c r="J2219" i="10"/>
  <c r="J2218" i="10"/>
  <c r="J2217" i="10"/>
  <c r="J2216" i="10"/>
  <c r="J2215" i="10"/>
  <c r="J2214" i="10"/>
  <c r="J2213" i="10"/>
  <c r="J2212" i="10"/>
  <c r="J2211" i="10"/>
  <c r="J2210" i="10"/>
  <c r="J2209" i="10"/>
  <c r="J2208" i="10"/>
  <c r="J2207" i="10"/>
  <c r="J2206" i="10"/>
  <c r="J2205" i="10"/>
  <c r="J2204" i="10"/>
  <c r="J2203" i="10"/>
  <c r="J2202" i="10"/>
  <c r="J2201" i="10"/>
  <c r="J2200" i="10"/>
  <c r="J2199" i="10"/>
  <c r="J2198" i="10"/>
  <c r="J2197" i="10"/>
  <c r="J2196" i="10"/>
  <c r="J2195" i="10"/>
  <c r="J2194" i="10"/>
  <c r="J2193" i="10"/>
  <c r="J2192" i="10"/>
  <c r="J2191" i="10"/>
  <c r="J2190" i="10"/>
  <c r="J2189" i="10"/>
  <c r="J2188" i="10"/>
  <c r="J2187" i="10"/>
  <c r="J2186" i="10"/>
  <c r="J2185" i="10"/>
  <c r="J2184" i="10"/>
  <c r="J2183" i="10"/>
  <c r="J2182" i="10"/>
  <c r="J2181" i="10"/>
  <c r="J2180" i="10"/>
  <c r="J2179" i="10"/>
  <c r="J2178" i="10"/>
  <c r="J2177" i="10"/>
  <c r="J2176" i="10"/>
  <c r="J2175" i="10"/>
  <c r="J2174" i="10"/>
  <c r="J2173" i="10"/>
  <c r="J2172" i="10"/>
  <c r="J2171" i="10"/>
  <c r="J2170" i="10"/>
  <c r="J2169" i="10"/>
  <c r="J2168" i="10"/>
  <c r="J2167" i="10"/>
  <c r="J2166" i="10"/>
  <c r="J2165" i="10"/>
  <c r="J2164" i="10"/>
  <c r="J2163" i="10"/>
  <c r="J2162" i="10"/>
  <c r="J2161" i="10"/>
  <c r="J2160" i="10"/>
  <c r="J2159" i="10"/>
  <c r="J2158" i="10"/>
  <c r="J2157" i="10"/>
  <c r="J2156" i="10"/>
  <c r="J2155" i="10"/>
  <c r="J2154" i="10"/>
  <c r="J2153" i="10"/>
  <c r="J2152" i="10"/>
  <c r="J2151" i="10"/>
  <c r="J2150" i="10"/>
  <c r="J2149" i="10"/>
  <c r="J2148" i="10"/>
  <c r="J2147" i="10"/>
  <c r="J2146" i="10"/>
  <c r="J2145" i="10"/>
  <c r="J2144" i="10"/>
  <c r="J2143" i="10"/>
  <c r="J2142" i="10"/>
  <c r="J2141" i="10"/>
  <c r="J2140" i="10"/>
  <c r="J2139" i="10"/>
  <c r="J2138" i="10"/>
  <c r="J2137" i="10"/>
  <c r="J2136" i="10"/>
  <c r="J2135" i="10"/>
  <c r="J2134" i="10"/>
  <c r="J2133" i="10"/>
  <c r="J2132" i="10"/>
  <c r="J2131" i="10"/>
  <c r="J2130" i="10"/>
  <c r="J2129" i="10"/>
  <c r="J2128" i="10"/>
  <c r="J2127" i="10"/>
  <c r="J2126" i="10"/>
  <c r="J2125" i="10"/>
  <c r="J2124" i="10"/>
  <c r="J2123" i="10"/>
  <c r="J2122" i="10"/>
  <c r="J2121" i="10"/>
  <c r="J2120" i="10"/>
  <c r="J2119" i="10"/>
  <c r="J2118" i="10"/>
  <c r="J2117" i="10"/>
  <c r="J2116" i="10"/>
  <c r="J2115" i="10"/>
  <c r="J2114" i="10"/>
  <c r="J2113" i="10"/>
  <c r="J2112" i="10"/>
  <c r="J2111" i="10"/>
  <c r="J2110" i="10"/>
  <c r="J2109" i="10"/>
  <c r="J2108" i="10"/>
  <c r="J2107" i="10"/>
  <c r="J2106" i="10"/>
  <c r="J2105" i="10"/>
  <c r="J2104" i="10"/>
  <c r="J2103" i="10"/>
  <c r="J2102" i="10"/>
  <c r="J2101" i="10"/>
  <c r="J2100" i="10"/>
  <c r="J2099" i="10"/>
  <c r="J2098" i="10"/>
  <c r="J2097" i="10"/>
  <c r="J2096" i="10"/>
  <c r="J2095" i="10"/>
  <c r="J2094" i="10"/>
  <c r="J2093" i="10"/>
  <c r="J2092" i="10"/>
  <c r="J2091" i="10"/>
  <c r="J2090" i="10"/>
  <c r="J2089" i="10"/>
  <c r="J2088" i="10"/>
  <c r="J2087" i="10"/>
  <c r="J2086" i="10"/>
  <c r="J2085" i="10"/>
  <c r="J2084" i="10"/>
  <c r="J2083" i="10"/>
  <c r="J2082" i="10"/>
  <c r="J2081" i="10"/>
  <c r="J2080" i="10"/>
  <c r="J2079" i="10"/>
  <c r="J2078" i="10"/>
  <c r="J2077" i="10"/>
  <c r="J2076" i="10"/>
  <c r="J2075" i="10"/>
  <c r="J2074" i="10"/>
  <c r="J2073" i="10"/>
  <c r="J2072" i="10"/>
  <c r="J2071" i="10"/>
  <c r="J2070" i="10"/>
  <c r="J2069" i="10"/>
  <c r="J2068" i="10"/>
  <c r="J2067" i="10"/>
  <c r="J2066" i="10"/>
  <c r="J2065" i="10"/>
  <c r="J2064" i="10"/>
  <c r="J2063" i="10"/>
  <c r="J2062" i="10"/>
  <c r="J2061" i="10"/>
  <c r="J2060" i="10"/>
  <c r="J2059" i="10"/>
  <c r="J2058" i="10"/>
  <c r="J2057" i="10"/>
  <c r="J2056" i="10"/>
  <c r="J2055" i="10"/>
  <c r="J2054" i="10"/>
  <c r="J2053" i="10"/>
  <c r="J2052" i="10"/>
  <c r="J2051" i="10"/>
  <c r="J2050" i="10"/>
  <c r="J2049" i="10"/>
  <c r="J2048" i="10"/>
  <c r="J2047" i="10"/>
  <c r="J2046" i="10"/>
  <c r="J2045" i="10"/>
  <c r="J2044" i="10"/>
  <c r="J2043" i="10"/>
  <c r="J2042" i="10"/>
  <c r="J2041" i="10"/>
  <c r="J2040" i="10"/>
  <c r="J2039" i="10"/>
  <c r="J2038" i="10"/>
  <c r="J2037" i="10"/>
  <c r="J2036" i="10"/>
  <c r="J2035" i="10"/>
  <c r="J2034" i="10"/>
  <c r="J2033" i="10"/>
  <c r="J2032" i="10"/>
  <c r="J2031" i="10"/>
  <c r="J2030" i="10"/>
  <c r="J2029" i="10"/>
  <c r="J2028" i="10"/>
  <c r="J2027" i="10"/>
  <c r="J2026" i="10"/>
  <c r="J2025" i="10"/>
  <c r="J2024" i="10"/>
  <c r="J2023" i="10"/>
  <c r="J2022" i="10"/>
  <c r="J2021" i="10"/>
  <c r="J2020" i="10"/>
  <c r="J2019" i="10"/>
  <c r="J2018" i="10"/>
  <c r="J2017" i="10"/>
  <c r="J2016" i="10"/>
  <c r="J2015" i="10"/>
  <c r="J2014" i="10"/>
  <c r="J2013" i="10"/>
  <c r="J2012" i="10"/>
  <c r="J2011" i="10"/>
  <c r="J2010" i="10"/>
  <c r="J2009" i="10"/>
  <c r="J2008" i="10"/>
  <c r="J2007" i="10"/>
  <c r="J2006" i="10"/>
  <c r="J2005" i="10"/>
  <c r="J2004" i="10"/>
  <c r="J2003" i="10"/>
  <c r="J2002" i="10"/>
  <c r="J2001" i="10"/>
  <c r="J2000" i="10"/>
  <c r="J1999" i="10"/>
  <c r="J1998" i="10"/>
  <c r="J1997" i="10"/>
  <c r="J1996" i="10"/>
  <c r="J1995" i="10"/>
  <c r="J1994" i="10"/>
  <c r="J1993" i="10"/>
  <c r="J1992" i="10"/>
  <c r="J1991" i="10"/>
  <c r="J1990" i="10"/>
  <c r="J1989" i="10"/>
  <c r="J1988" i="10"/>
  <c r="J1987" i="10"/>
  <c r="J1986" i="10"/>
  <c r="J1985" i="10"/>
  <c r="J1984" i="10"/>
  <c r="J1983" i="10"/>
  <c r="J1982" i="10"/>
  <c r="J1981" i="10"/>
  <c r="J1980" i="10"/>
  <c r="J1979" i="10"/>
  <c r="J1978" i="10"/>
  <c r="J1977" i="10"/>
  <c r="J1976" i="10"/>
  <c r="J1975" i="10"/>
  <c r="J1974" i="10"/>
  <c r="J1973" i="10"/>
  <c r="J1972" i="10"/>
  <c r="J1971" i="10"/>
  <c r="J1970" i="10"/>
  <c r="J1969" i="10"/>
  <c r="J1968" i="10"/>
  <c r="J1967" i="10"/>
  <c r="J1966" i="10"/>
  <c r="J1965" i="10"/>
  <c r="J1964" i="10"/>
  <c r="J1963" i="10"/>
  <c r="J1962" i="10"/>
  <c r="J1961" i="10"/>
  <c r="J1960" i="10"/>
  <c r="J1959" i="10"/>
  <c r="J1958" i="10"/>
  <c r="J1957" i="10"/>
  <c r="J1956" i="10"/>
  <c r="J1955" i="10"/>
  <c r="J1954" i="10"/>
  <c r="J1953" i="10"/>
  <c r="J1952" i="10"/>
  <c r="J1951" i="10"/>
  <c r="J1950" i="10"/>
  <c r="J1949" i="10"/>
  <c r="J1948" i="10"/>
  <c r="J1947" i="10"/>
  <c r="J1946" i="10"/>
  <c r="J1945" i="10"/>
  <c r="J1944" i="10"/>
  <c r="J1943" i="10"/>
  <c r="J1942" i="10"/>
  <c r="J1941" i="10"/>
  <c r="J1940" i="10"/>
  <c r="J1939" i="10"/>
  <c r="J1938" i="10"/>
  <c r="J1937" i="10"/>
  <c r="J1936" i="10"/>
  <c r="J1935" i="10"/>
  <c r="J1934" i="10"/>
  <c r="J1933" i="10"/>
  <c r="J1932" i="10"/>
  <c r="J1931" i="10"/>
  <c r="J1930" i="10"/>
  <c r="J1929" i="10"/>
  <c r="J1928" i="10"/>
  <c r="J1927" i="10"/>
  <c r="J1926" i="10"/>
  <c r="J1925" i="10"/>
  <c r="J1924" i="10"/>
  <c r="J1923" i="10"/>
  <c r="J1922" i="10"/>
  <c r="J1921" i="10"/>
  <c r="J1920" i="10"/>
  <c r="J1919" i="10"/>
  <c r="J1918" i="10"/>
  <c r="J1917" i="10"/>
  <c r="J1916" i="10"/>
  <c r="J1915" i="10"/>
  <c r="J1914" i="10"/>
  <c r="J1913" i="10"/>
  <c r="J1912" i="10"/>
  <c r="J1911" i="10"/>
  <c r="J1910" i="10"/>
  <c r="J1909" i="10"/>
  <c r="J1908" i="10"/>
  <c r="J1907" i="10"/>
  <c r="J1906" i="10"/>
  <c r="J1905" i="10"/>
  <c r="J1904" i="10"/>
  <c r="J1903" i="10"/>
  <c r="J1902" i="10"/>
  <c r="J1901" i="10"/>
  <c r="J1900" i="10"/>
  <c r="J1899" i="10"/>
  <c r="J1898" i="10"/>
  <c r="J1897" i="10"/>
  <c r="J1896" i="10"/>
  <c r="J1895" i="10"/>
  <c r="J1894" i="10"/>
  <c r="J1893" i="10"/>
  <c r="J1892" i="10"/>
  <c r="J1891" i="10"/>
  <c r="J1890" i="10"/>
  <c r="J1889" i="10"/>
  <c r="J1888" i="10"/>
  <c r="J1887" i="10"/>
  <c r="J1886" i="10"/>
  <c r="J1885" i="10"/>
  <c r="J1884" i="10"/>
  <c r="J1883" i="10"/>
  <c r="J1882" i="10"/>
  <c r="J1881" i="10"/>
  <c r="J1880" i="10"/>
  <c r="J1879" i="10"/>
  <c r="J1878" i="10"/>
  <c r="J1877" i="10"/>
  <c r="J1876" i="10"/>
  <c r="J1875" i="10"/>
  <c r="J1874" i="10"/>
  <c r="J1873" i="10"/>
  <c r="J1872" i="10"/>
  <c r="J1871" i="10"/>
  <c r="J1870" i="10"/>
  <c r="J1869" i="10"/>
  <c r="J1868" i="10"/>
  <c r="J1867" i="10"/>
  <c r="J1866" i="10"/>
  <c r="J1865" i="10"/>
  <c r="J1864" i="10"/>
  <c r="J1863" i="10"/>
  <c r="J1862" i="10"/>
  <c r="J1861" i="10"/>
  <c r="J1860" i="10"/>
  <c r="J1859" i="10"/>
  <c r="J1858" i="10"/>
  <c r="J1857" i="10"/>
  <c r="J1856" i="10"/>
  <c r="J1855" i="10"/>
  <c r="J1854" i="10"/>
  <c r="J1853" i="10"/>
  <c r="J1852" i="10"/>
  <c r="J1851" i="10"/>
  <c r="J1850" i="10"/>
  <c r="J1849" i="10"/>
  <c r="J1848" i="10"/>
  <c r="J1847" i="10"/>
  <c r="J1846" i="10"/>
  <c r="J1845" i="10"/>
  <c r="J1844" i="10"/>
  <c r="J1843" i="10"/>
  <c r="J1842" i="10"/>
  <c r="J1841" i="10"/>
  <c r="J1840" i="10"/>
  <c r="J1839" i="10"/>
  <c r="J1838" i="10"/>
  <c r="J1837" i="10"/>
  <c r="J1836" i="10"/>
  <c r="J1835" i="10"/>
  <c r="J1834" i="10"/>
  <c r="J1833" i="10"/>
  <c r="J1832" i="10"/>
  <c r="J1831" i="10"/>
  <c r="J1830" i="10"/>
  <c r="J1829" i="10"/>
  <c r="J1828" i="10"/>
  <c r="J1827" i="10"/>
  <c r="J1826" i="10"/>
  <c r="J1825" i="10"/>
  <c r="J1824" i="10"/>
  <c r="J1823" i="10"/>
  <c r="J1822" i="10"/>
  <c r="J1821" i="10"/>
  <c r="J1820" i="10"/>
  <c r="J1819" i="10"/>
  <c r="J1818" i="10"/>
  <c r="J1817" i="10"/>
  <c r="J1816" i="10"/>
  <c r="J1815" i="10"/>
  <c r="J1814" i="10"/>
  <c r="J1813" i="10"/>
  <c r="J1812" i="10"/>
  <c r="J1811" i="10"/>
  <c r="J1810" i="10"/>
  <c r="J1809" i="10"/>
  <c r="J1808" i="10"/>
  <c r="J1807" i="10"/>
  <c r="J1806" i="10"/>
  <c r="J1805" i="10"/>
  <c r="J1804" i="10"/>
  <c r="J1803" i="10"/>
  <c r="J1802" i="10"/>
  <c r="J1801" i="10"/>
  <c r="J1800" i="10"/>
  <c r="J1799" i="10"/>
  <c r="J1798" i="10"/>
  <c r="J1797" i="10"/>
  <c r="J1796" i="10"/>
  <c r="J1795" i="10"/>
  <c r="J1794" i="10"/>
  <c r="J1793" i="10"/>
  <c r="J1792" i="10"/>
  <c r="J1791" i="10"/>
  <c r="J1790" i="10"/>
  <c r="J1789" i="10"/>
  <c r="J1788" i="10"/>
  <c r="J1787" i="10"/>
  <c r="J1786" i="10"/>
  <c r="J1785" i="10"/>
  <c r="J1784" i="10"/>
  <c r="J1783" i="10"/>
  <c r="J1782" i="10"/>
  <c r="J1781" i="10"/>
  <c r="J1780" i="10"/>
  <c r="J1779" i="10"/>
  <c r="J1778" i="10"/>
  <c r="J1777" i="10"/>
  <c r="J1776" i="10"/>
  <c r="J1775" i="10"/>
  <c r="J1774" i="10"/>
  <c r="J1773" i="10"/>
  <c r="J1772" i="10"/>
  <c r="J1771" i="10"/>
  <c r="J1770" i="10"/>
  <c r="J1769" i="10"/>
  <c r="J1768" i="10"/>
  <c r="J1767" i="10"/>
  <c r="J1766" i="10"/>
  <c r="J1765" i="10"/>
  <c r="J1764" i="10"/>
  <c r="J1763" i="10"/>
  <c r="J1762" i="10"/>
  <c r="J1761" i="10"/>
  <c r="J1760" i="10"/>
  <c r="J1759" i="10"/>
  <c r="J1758" i="10"/>
  <c r="J1757" i="10"/>
  <c r="J1756" i="10"/>
  <c r="J1755" i="10"/>
  <c r="J1754" i="10"/>
  <c r="J1753" i="10"/>
  <c r="J1752" i="10"/>
  <c r="J1751" i="10"/>
  <c r="J1750" i="10"/>
  <c r="J1749" i="10"/>
  <c r="J1748" i="10"/>
  <c r="J1747" i="10"/>
  <c r="J1746" i="10"/>
  <c r="J1745" i="10"/>
  <c r="J1744" i="10"/>
  <c r="J1743" i="10"/>
  <c r="J1742" i="10"/>
  <c r="J1741" i="10"/>
  <c r="J1740" i="10"/>
  <c r="J1739" i="10"/>
  <c r="J1738" i="10"/>
  <c r="J1737" i="10"/>
  <c r="J1736" i="10"/>
  <c r="J1735" i="10"/>
  <c r="J1734" i="10"/>
  <c r="J1733" i="10"/>
  <c r="J1732" i="10"/>
  <c r="J1731" i="10"/>
  <c r="J1730" i="10"/>
  <c r="J1729" i="10"/>
  <c r="J1728" i="10"/>
  <c r="J1727" i="10"/>
  <c r="J1726" i="10"/>
  <c r="J1725" i="10"/>
  <c r="J1724" i="10"/>
  <c r="J1723" i="10"/>
  <c r="J1722" i="10"/>
  <c r="J1721" i="10"/>
  <c r="J1720" i="10"/>
  <c r="J1719" i="10"/>
  <c r="J1718" i="10"/>
  <c r="J1717" i="10"/>
  <c r="J1716" i="10"/>
  <c r="J1715" i="10"/>
  <c r="J1714" i="10"/>
  <c r="J1713" i="10"/>
  <c r="J1712" i="10"/>
  <c r="J1711" i="10"/>
  <c r="J1710" i="10"/>
  <c r="J1709" i="10"/>
  <c r="J1708" i="10"/>
  <c r="J1707" i="10"/>
  <c r="J1706" i="10"/>
  <c r="J1705" i="10"/>
  <c r="J1704" i="10"/>
  <c r="J1703" i="10"/>
  <c r="J1702" i="10"/>
  <c r="J1701" i="10"/>
  <c r="J1700" i="10"/>
  <c r="J1699" i="10"/>
  <c r="J1698" i="10"/>
  <c r="J1697" i="10"/>
  <c r="J1696" i="10"/>
  <c r="J1695" i="10"/>
  <c r="J1694" i="10"/>
  <c r="J1693" i="10"/>
  <c r="J1692" i="10"/>
  <c r="J1691" i="10"/>
  <c r="J1690" i="10"/>
  <c r="J1689" i="10"/>
  <c r="J1688" i="10"/>
  <c r="J1687" i="10"/>
  <c r="J1686" i="10"/>
  <c r="J1685" i="10"/>
  <c r="J1684" i="10"/>
  <c r="J1683" i="10"/>
  <c r="J1682" i="10"/>
  <c r="J1681" i="10"/>
  <c r="J1680" i="10"/>
  <c r="J1679" i="10"/>
  <c r="J1678" i="10"/>
  <c r="J1677" i="10"/>
  <c r="J1676" i="10"/>
  <c r="J1675" i="10"/>
  <c r="J1674" i="10"/>
  <c r="J1673" i="10"/>
  <c r="J1672" i="10"/>
  <c r="J1671" i="10"/>
  <c r="J1670" i="10"/>
  <c r="J1669" i="10"/>
  <c r="J1668" i="10"/>
  <c r="J1667" i="10"/>
  <c r="J1666" i="10"/>
  <c r="J1665" i="10"/>
  <c r="J1664" i="10"/>
  <c r="J1663" i="10"/>
  <c r="J1662" i="10"/>
  <c r="J1661" i="10"/>
  <c r="J1660" i="10"/>
  <c r="J1659" i="10"/>
  <c r="J1658" i="10"/>
  <c r="J1657" i="10"/>
  <c r="J1656" i="10"/>
  <c r="J1655" i="10"/>
  <c r="J1654" i="10"/>
  <c r="J1653" i="10"/>
  <c r="J1652" i="10"/>
  <c r="J1651" i="10"/>
  <c r="J1650" i="10"/>
  <c r="J1649" i="10"/>
  <c r="J1648" i="10"/>
  <c r="J1647" i="10"/>
  <c r="J1646" i="10"/>
  <c r="J1645" i="10"/>
  <c r="J1644" i="10"/>
  <c r="J1643" i="10"/>
  <c r="J1642" i="10"/>
  <c r="J1641" i="10"/>
  <c r="J1640" i="10"/>
  <c r="J1639" i="10"/>
  <c r="J1638" i="10"/>
  <c r="J1637" i="10"/>
  <c r="J1636" i="10"/>
  <c r="J1635" i="10"/>
  <c r="J1634" i="10"/>
  <c r="J1633" i="10"/>
  <c r="J1632" i="10"/>
  <c r="J1631" i="10"/>
  <c r="J1630" i="10"/>
  <c r="J1629" i="10"/>
  <c r="J1628" i="10"/>
  <c r="J1627" i="10"/>
  <c r="J1626" i="10"/>
  <c r="J1625" i="10"/>
  <c r="J1624" i="10"/>
  <c r="J1623" i="10"/>
  <c r="J1622" i="10"/>
  <c r="J1621" i="10"/>
  <c r="J1620" i="10"/>
  <c r="J1619" i="10"/>
  <c r="J1618" i="10"/>
  <c r="J1617" i="10"/>
  <c r="J1616" i="10"/>
  <c r="J1615" i="10"/>
  <c r="J1614" i="10"/>
  <c r="J1613" i="10"/>
  <c r="J1612" i="10"/>
  <c r="J1611" i="10"/>
  <c r="J1610" i="10"/>
  <c r="J1609" i="10"/>
  <c r="J1608" i="10"/>
  <c r="J1607" i="10"/>
  <c r="J1606" i="10"/>
  <c r="J1605" i="10"/>
  <c r="J1604" i="10"/>
  <c r="J1603" i="10"/>
  <c r="J1602" i="10"/>
  <c r="J1601" i="10"/>
  <c r="J1600" i="10"/>
  <c r="J1599" i="10"/>
  <c r="J1598" i="10"/>
  <c r="J1597" i="10"/>
  <c r="J1596" i="10"/>
  <c r="J1595" i="10"/>
  <c r="J1594" i="10"/>
  <c r="J1593" i="10"/>
  <c r="J1592" i="10"/>
  <c r="J1591" i="10"/>
  <c r="J1590" i="10"/>
  <c r="J1589" i="10"/>
  <c r="J1588" i="10"/>
  <c r="J1587" i="10"/>
  <c r="J1586" i="10"/>
  <c r="J1585" i="10"/>
  <c r="J1584" i="10"/>
  <c r="J1583" i="10"/>
  <c r="J1582" i="10"/>
  <c r="J1581" i="10"/>
  <c r="J1580" i="10"/>
  <c r="J1579" i="10"/>
  <c r="J1578" i="10"/>
  <c r="J1577" i="10"/>
  <c r="J1576" i="10"/>
  <c r="J1575" i="10"/>
  <c r="J1574" i="10"/>
  <c r="J1573" i="10"/>
  <c r="J1572" i="10"/>
  <c r="J1571" i="10"/>
  <c r="J1570" i="10"/>
  <c r="J1569" i="10"/>
  <c r="J1568" i="10"/>
  <c r="J1567" i="10"/>
  <c r="J1566" i="10"/>
  <c r="J1565" i="10"/>
  <c r="J1564" i="10"/>
  <c r="J1563" i="10"/>
  <c r="J1562" i="10"/>
  <c r="J1561" i="10"/>
  <c r="J1560" i="10"/>
  <c r="J1559" i="10"/>
  <c r="J1558" i="10"/>
  <c r="J1557" i="10"/>
  <c r="J1556" i="10"/>
  <c r="J1555" i="10"/>
  <c r="J1554" i="10"/>
  <c r="J1553" i="10"/>
  <c r="J1552" i="10"/>
  <c r="J1551" i="10"/>
  <c r="J1550" i="10"/>
  <c r="J1549" i="10"/>
  <c r="J1548" i="10"/>
  <c r="J1547" i="10"/>
  <c r="J1546" i="10"/>
  <c r="J1545" i="10"/>
  <c r="J1544" i="10"/>
  <c r="J1543" i="10"/>
  <c r="J1542" i="10"/>
  <c r="J1541" i="10"/>
  <c r="J1540" i="10"/>
  <c r="J1539" i="10"/>
  <c r="J1538" i="10"/>
  <c r="J1537" i="10"/>
  <c r="J1536" i="10"/>
  <c r="J1535" i="10"/>
  <c r="J1534" i="10"/>
  <c r="J1533" i="10"/>
  <c r="J1532" i="10"/>
  <c r="J1531" i="10"/>
  <c r="J1530" i="10"/>
  <c r="J1529" i="10"/>
  <c r="J1528" i="10"/>
  <c r="J1527" i="10"/>
  <c r="J1526" i="10"/>
  <c r="J1525" i="10"/>
  <c r="J1524" i="10"/>
  <c r="J1523" i="10"/>
  <c r="J1522" i="10"/>
  <c r="J1521" i="10"/>
  <c r="J1520" i="10"/>
  <c r="J1519" i="10"/>
  <c r="J1518" i="10"/>
  <c r="J1517" i="10"/>
  <c r="J1516" i="10"/>
  <c r="J1515" i="10"/>
  <c r="J1514" i="10"/>
  <c r="J1513" i="10"/>
  <c r="J1512" i="10"/>
  <c r="J1511" i="10"/>
  <c r="J1510" i="10"/>
  <c r="J1509" i="10"/>
  <c r="J1508" i="10"/>
  <c r="J1507" i="10"/>
  <c r="J1506" i="10"/>
  <c r="J1505" i="10"/>
  <c r="J1504" i="10"/>
  <c r="J1503" i="10"/>
  <c r="J1502" i="10"/>
  <c r="J1501" i="10"/>
  <c r="J1500" i="10"/>
  <c r="J1499" i="10"/>
  <c r="J1498" i="10"/>
  <c r="J1497" i="10"/>
  <c r="J1496" i="10"/>
  <c r="J1495" i="10"/>
  <c r="J1494" i="10"/>
  <c r="J1493" i="10"/>
  <c r="J1492" i="10"/>
  <c r="J1491" i="10"/>
  <c r="J1490" i="10"/>
  <c r="J1489" i="10"/>
  <c r="J1488" i="10"/>
  <c r="J1487" i="10"/>
  <c r="J1486" i="10"/>
  <c r="J1485" i="10"/>
  <c r="J1484" i="10"/>
  <c r="J1483" i="10"/>
  <c r="J1482" i="10"/>
  <c r="J1481" i="10"/>
  <c r="J1480" i="10"/>
  <c r="J1479" i="10"/>
  <c r="J1478" i="10"/>
  <c r="J1477" i="10"/>
  <c r="J1476" i="10"/>
  <c r="J1475" i="10"/>
  <c r="J1474" i="10"/>
  <c r="J1473" i="10"/>
  <c r="J1472" i="10"/>
  <c r="J1471" i="10"/>
  <c r="J1470" i="10"/>
  <c r="J1469" i="10"/>
  <c r="J1468" i="10"/>
  <c r="J1467" i="10"/>
  <c r="J1466" i="10"/>
  <c r="J1465" i="10"/>
  <c r="J1464" i="10"/>
  <c r="J1463" i="10"/>
  <c r="J1462" i="10"/>
  <c r="J1461" i="10"/>
  <c r="J1460" i="10"/>
  <c r="J1459" i="10"/>
  <c r="J1458" i="10"/>
  <c r="J1457" i="10"/>
  <c r="J1456" i="10"/>
  <c r="J1455" i="10"/>
  <c r="J1454" i="10"/>
  <c r="J1453" i="10"/>
  <c r="J1452" i="10"/>
  <c r="J1451" i="10"/>
  <c r="J1450" i="10"/>
  <c r="J1449" i="10"/>
  <c r="J1448" i="10"/>
  <c r="J1447" i="10"/>
  <c r="J1446" i="10"/>
  <c r="J1445" i="10"/>
  <c r="J1444" i="10"/>
  <c r="J1443" i="10"/>
  <c r="J1442" i="10"/>
  <c r="J1441" i="10"/>
  <c r="J1440" i="10"/>
  <c r="J1439" i="10"/>
  <c r="J1438" i="10"/>
  <c r="J1437" i="10"/>
  <c r="J1436" i="10"/>
  <c r="J1435" i="10"/>
  <c r="J1434" i="10"/>
  <c r="J1433" i="10"/>
  <c r="J1432" i="10"/>
  <c r="J1431" i="10"/>
  <c r="J1430" i="10"/>
  <c r="J1429" i="10"/>
  <c r="J1428" i="10"/>
  <c r="J1427" i="10"/>
  <c r="J1426" i="10"/>
  <c r="J1425" i="10"/>
  <c r="J1424" i="10"/>
  <c r="J1423" i="10"/>
  <c r="J1422" i="10"/>
  <c r="J1421" i="10"/>
  <c r="J1420" i="10"/>
  <c r="J1419" i="10"/>
  <c r="J1418" i="10"/>
  <c r="J1417" i="10"/>
  <c r="J1416" i="10"/>
  <c r="J1415" i="10"/>
  <c r="J1414" i="10"/>
  <c r="J1413" i="10"/>
  <c r="J1412" i="10"/>
  <c r="J1411" i="10"/>
  <c r="J1410" i="10"/>
  <c r="J1409" i="10"/>
  <c r="J1408" i="10"/>
  <c r="J1407" i="10"/>
  <c r="J1406" i="10"/>
  <c r="J1405" i="10"/>
  <c r="J1404" i="10"/>
  <c r="J1403" i="10"/>
  <c r="J1402" i="10"/>
  <c r="J1401" i="10"/>
  <c r="J1400" i="10"/>
  <c r="J1399" i="10"/>
  <c r="J1398" i="10"/>
  <c r="J1397" i="10"/>
  <c r="J1396" i="10"/>
  <c r="J1395" i="10"/>
  <c r="J1394" i="10"/>
  <c r="J1393" i="10"/>
  <c r="J1392" i="10"/>
  <c r="J1391" i="10"/>
  <c r="J1390" i="10"/>
  <c r="J1389" i="10"/>
  <c r="J1388" i="10"/>
  <c r="J1387" i="10"/>
  <c r="J1386" i="10"/>
  <c r="J1385" i="10"/>
  <c r="J1384" i="10"/>
  <c r="J1383" i="10"/>
  <c r="J1382" i="10"/>
  <c r="J1381" i="10"/>
  <c r="J1380" i="10"/>
  <c r="J1379" i="10"/>
  <c r="J1378" i="10"/>
  <c r="J1377" i="10"/>
  <c r="J1376" i="10"/>
  <c r="J1375" i="10"/>
  <c r="J1374" i="10"/>
  <c r="J1373" i="10"/>
  <c r="J1372" i="10"/>
  <c r="J1371" i="10"/>
  <c r="J1370" i="10"/>
  <c r="J1369" i="10"/>
  <c r="J1368" i="10"/>
  <c r="J1367" i="10"/>
  <c r="J1366" i="10"/>
  <c r="J1365" i="10"/>
  <c r="J1364" i="10"/>
  <c r="J1363" i="10"/>
  <c r="J1362" i="10"/>
  <c r="J1361" i="10"/>
  <c r="J1360" i="10"/>
  <c r="J1359" i="10"/>
  <c r="J1358" i="10"/>
  <c r="J1357" i="10"/>
  <c r="J1356" i="10"/>
  <c r="J1355" i="10"/>
  <c r="J1354" i="10"/>
  <c r="J1353" i="10"/>
  <c r="J1352" i="10"/>
  <c r="J1351" i="10"/>
  <c r="J1350" i="10"/>
  <c r="J1349" i="10"/>
  <c r="J1348" i="10"/>
  <c r="J1347" i="10"/>
  <c r="J1346" i="10"/>
  <c r="J1345" i="10"/>
  <c r="J1344" i="10"/>
  <c r="J1343" i="10"/>
  <c r="J1342" i="10"/>
  <c r="J1341" i="10"/>
  <c r="J1340" i="10"/>
  <c r="J1339" i="10"/>
  <c r="J1338" i="10"/>
  <c r="J1337" i="10"/>
  <c r="J1336" i="10"/>
  <c r="J1335" i="10"/>
  <c r="J1334" i="10"/>
  <c r="J1333" i="10"/>
  <c r="J1332" i="10"/>
  <c r="J1331" i="10"/>
  <c r="J1330" i="10"/>
  <c r="J1329" i="10"/>
  <c r="J1328" i="10"/>
  <c r="J1327" i="10"/>
  <c r="J1326" i="10"/>
  <c r="J1325" i="10"/>
  <c r="J1324" i="10"/>
  <c r="J1323" i="10"/>
  <c r="J1322" i="10"/>
  <c r="J1321" i="10"/>
  <c r="J1320" i="10"/>
  <c r="J1319" i="10"/>
  <c r="J1318" i="10"/>
  <c r="J1317" i="10"/>
  <c r="J1316" i="10"/>
  <c r="J1315" i="10"/>
  <c r="J1314" i="10"/>
  <c r="J1313" i="10"/>
  <c r="J1312" i="10"/>
  <c r="J1311" i="10"/>
  <c r="J1310" i="10"/>
  <c r="J1309" i="10"/>
  <c r="J1308" i="10"/>
  <c r="J1307" i="10"/>
  <c r="J1306" i="10"/>
  <c r="J1305" i="10"/>
  <c r="J1304" i="10"/>
  <c r="J1303" i="10"/>
  <c r="J1302" i="10"/>
  <c r="J1301" i="10"/>
  <c r="J1300" i="10"/>
  <c r="J1299" i="10"/>
  <c r="J1298" i="10"/>
  <c r="J1297" i="10"/>
  <c r="J1296" i="10"/>
  <c r="J1295" i="10"/>
  <c r="J1294" i="10"/>
  <c r="J1293" i="10"/>
  <c r="J1292" i="10"/>
  <c r="J1291" i="10"/>
  <c r="J1290" i="10"/>
  <c r="J1289" i="10"/>
  <c r="J1288" i="10"/>
  <c r="J1287" i="10"/>
  <c r="J1286" i="10"/>
  <c r="J1285" i="10"/>
  <c r="J1284" i="10"/>
  <c r="J1283" i="10"/>
  <c r="J1282" i="10"/>
  <c r="J1281" i="10"/>
  <c r="J1280" i="10"/>
  <c r="J1279" i="10"/>
  <c r="J1278" i="10"/>
  <c r="J1277" i="10"/>
  <c r="J1276" i="10"/>
  <c r="J1275" i="10"/>
  <c r="J1274" i="10"/>
  <c r="J1273" i="10"/>
  <c r="J1272" i="10"/>
  <c r="J1271" i="10"/>
  <c r="J1270" i="10"/>
  <c r="J1269" i="10"/>
  <c r="J1268" i="10"/>
  <c r="J1267" i="10"/>
  <c r="J1266" i="10"/>
  <c r="J1265" i="10"/>
  <c r="J1264" i="10"/>
  <c r="J1263" i="10"/>
  <c r="J1262" i="10"/>
  <c r="J1261" i="10"/>
  <c r="J1260" i="10"/>
  <c r="J1259" i="10"/>
  <c r="J1258" i="10"/>
  <c r="J1257" i="10"/>
  <c r="J1256" i="10"/>
  <c r="J1255" i="10"/>
  <c r="J1254" i="10"/>
  <c r="J1253" i="10"/>
  <c r="J1252" i="10"/>
  <c r="J1251" i="10"/>
  <c r="J1250" i="10"/>
  <c r="J1249" i="10"/>
  <c r="J1248" i="10"/>
  <c r="J1247" i="10"/>
  <c r="J1246" i="10"/>
  <c r="J1245" i="10"/>
  <c r="J1244" i="10"/>
  <c r="J1243" i="10"/>
  <c r="J1242" i="10"/>
  <c r="J1241" i="10"/>
  <c r="J1240" i="10"/>
  <c r="J1239" i="10"/>
  <c r="J1238" i="10"/>
  <c r="J1237" i="10"/>
  <c r="J1236" i="10"/>
  <c r="J1235" i="10"/>
  <c r="J1234" i="10"/>
  <c r="J1233" i="10"/>
  <c r="J1232" i="10"/>
  <c r="J1231" i="10"/>
  <c r="J1230" i="10"/>
  <c r="J1229" i="10"/>
  <c r="J1228" i="10"/>
  <c r="J1227" i="10"/>
  <c r="J1226" i="10"/>
  <c r="J1225" i="10"/>
  <c r="J1224" i="10"/>
  <c r="J1223" i="10"/>
  <c r="J1222" i="10"/>
  <c r="J1221" i="10"/>
  <c r="J1220" i="10"/>
  <c r="J1219" i="10"/>
  <c r="J1218" i="10"/>
  <c r="J1217" i="10"/>
  <c r="J1216" i="10"/>
  <c r="J1215" i="10"/>
  <c r="J1214" i="10"/>
  <c r="J1213" i="10"/>
  <c r="J1212" i="10"/>
  <c r="J1211" i="10"/>
  <c r="J1210" i="10"/>
  <c r="J1209" i="10"/>
  <c r="J1208" i="10"/>
  <c r="J1207" i="10"/>
  <c r="J1206" i="10"/>
  <c r="J1205" i="10"/>
  <c r="J1204" i="10"/>
  <c r="J1203" i="10"/>
  <c r="J1202" i="10"/>
  <c r="J1201" i="10"/>
  <c r="J1200" i="10"/>
  <c r="J1199" i="10"/>
  <c r="J1198" i="10"/>
  <c r="J1197" i="10"/>
  <c r="J1196" i="10"/>
  <c r="J1195" i="10"/>
  <c r="J1194" i="10"/>
  <c r="J1193" i="10"/>
  <c r="J1192" i="10"/>
  <c r="J1191" i="10"/>
  <c r="J1190" i="10"/>
  <c r="J1189" i="10"/>
  <c r="J1188" i="10"/>
  <c r="J1187" i="10"/>
  <c r="J1186" i="10"/>
  <c r="J1185" i="10"/>
  <c r="J1184" i="10"/>
  <c r="J1183" i="10"/>
  <c r="J1182" i="10"/>
  <c r="J1181" i="10"/>
  <c r="J1180" i="10"/>
  <c r="J1179" i="10"/>
  <c r="J1178" i="10"/>
  <c r="J1177" i="10"/>
  <c r="J1176" i="10"/>
  <c r="J1175" i="10"/>
  <c r="J1174" i="10"/>
  <c r="J1173" i="10"/>
  <c r="J1172" i="10"/>
  <c r="J1171" i="10"/>
  <c r="J1170" i="10"/>
  <c r="J1169" i="10"/>
  <c r="J1168" i="10"/>
  <c r="J1167" i="10"/>
  <c r="J1166" i="10"/>
  <c r="J1165" i="10"/>
  <c r="J1164" i="10"/>
  <c r="J1163" i="10"/>
  <c r="J1162" i="10"/>
  <c r="J1161" i="10"/>
  <c r="J1160" i="10"/>
  <c r="J1159" i="10"/>
  <c r="J1158" i="10"/>
  <c r="J1157" i="10"/>
  <c r="J1156" i="10"/>
  <c r="J1155" i="10"/>
  <c r="J1154" i="10"/>
  <c r="J1153" i="10"/>
  <c r="J1152" i="10"/>
  <c r="J1151" i="10"/>
  <c r="J1150" i="10"/>
  <c r="J1149" i="10"/>
  <c r="J1148" i="10"/>
  <c r="J1147" i="10"/>
  <c r="J1146" i="10"/>
  <c r="J1145" i="10"/>
  <c r="J1144" i="10"/>
  <c r="J1143" i="10"/>
  <c r="J1142" i="10"/>
  <c r="J1141" i="10"/>
  <c r="J1140" i="10"/>
  <c r="J1139" i="10"/>
  <c r="J1138" i="10"/>
  <c r="J1137" i="10"/>
  <c r="J1136" i="10"/>
  <c r="J1135" i="10"/>
  <c r="J1134" i="10"/>
  <c r="J1133" i="10"/>
  <c r="J1132" i="10"/>
  <c r="J1131" i="10"/>
  <c r="J1130" i="10"/>
  <c r="J1129" i="10"/>
  <c r="J1128" i="10"/>
  <c r="J1127" i="10"/>
  <c r="J1126" i="10"/>
  <c r="J1125" i="10"/>
  <c r="J1124" i="10"/>
  <c r="J1123" i="10"/>
  <c r="J1122" i="10"/>
  <c r="J1121" i="10"/>
  <c r="J1120" i="10"/>
  <c r="J1119" i="10"/>
  <c r="J1118" i="10"/>
  <c r="J1117" i="10"/>
  <c r="J1116" i="10"/>
  <c r="J1115" i="10"/>
  <c r="J1114" i="10"/>
  <c r="J1113" i="10"/>
  <c r="J1112" i="10"/>
  <c r="J1111" i="10"/>
  <c r="J1110" i="10"/>
  <c r="J1109" i="10"/>
  <c r="J1108" i="10"/>
  <c r="J1107" i="10"/>
  <c r="J1106" i="10"/>
  <c r="J1105" i="10"/>
  <c r="J1104" i="10"/>
  <c r="J1103" i="10"/>
  <c r="J1102" i="10"/>
  <c r="J1101" i="10"/>
  <c r="J1100" i="10"/>
  <c r="J1099" i="10"/>
  <c r="J1098" i="10"/>
  <c r="J1097" i="10"/>
  <c r="J1096" i="10"/>
  <c r="J1095" i="10"/>
  <c r="J1094" i="10"/>
  <c r="J1093" i="10"/>
  <c r="J1092" i="10"/>
  <c r="J1091" i="10"/>
  <c r="J1090" i="10"/>
  <c r="J1089" i="10"/>
  <c r="J1088" i="10"/>
  <c r="J1087" i="10"/>
  <c r="J1086" i="10"/>
  <c r="J1085" i="10"/>
  <c r="J1084" i="10"/>
  <c r="J1083" i="10"/>
  <c r="J1082" i="10"/>
  <c r="J1081" i="10"/>
  <c r="J1080" i="10"/>
  <c r="J1079" i="10"/>
  <c r="J1078" i="10"/>
  <c r="J1077" i="10"/>
  <c r="J1076" i="10"/>
  <c r="J1075" i="10"/>
  <c r="J1074" i="10"/>
  <c r="J1073" i="10"/>
  <c r="J1072" i="10"/>
  <c r="J1071" i="10"/>
  <c r="J1070" i="10"/>
  <c r="J1069" i="10"/>
  <c r="J1068" i="10"/>
  <c r="J1067" i="10"/>
  <c r="J1066" i="10"/>
  <c r="J1065" i="10"/>
  <c r="J1064" i="10"/>
  <c r="J1063" i="10"/>
  <c r="J1062" i="10"/>
  <c r="J1061" i="10"/>
  <c r="J1060" i="10"/>
  <c r="J1059" i="10"/>
  <c r="J1058" i="10"/>
  <c r="J1057" i="10"/>
  <c r="J1056" i="10"/>
  <c r="J1055" i="10"/>
  <c r="J1054" i="10"/>
  <c r="J1053" i="10"/>
  <c r="J1052" i="10"/>
  <c r="J1051" i="10"/>
  <c r="J1050" i="10"/>
  <c r="J1049" i="10"/>
  <c r="J1048" i="10"/>
  <c r="J1047" i="10"/>
  <c r="J1046" i="10"/>
  <c r="J1045" i="10"/>
  <c r="J1044" i="10"/>
  <c r="J1043" i="10"/>
  <c r="J1042" i="10"/>
  <c r="J1041" i="10"/>
  <c r="J1040" i="10"/>
  <c r="J1039" i="10"/>
  <c r="J1038" i="10"/>
  <c r="J1037" i="10"/>
  <c r="J1036" i="10"/>
  <c r="J1035" i="10"/>
  <c r="J1034" i="10"/>
  <c r="J1033" i="10"/>
  <c r="J1032" i="10"/>
  <c r="J1031" i="10"/>
  <c r="J1030" i="10"/>
  <c r="J1029" i="10"/>
  <c r="J1028" i="10"/>
  <c r="J1027" i="10"/>
  <c r="J1026" i="10"/>
  <c r="J1025" i="10"/>
  <c r="J1024" i="10"/>
  <c r="J1023" i="10"/>
  <c r="J1022" i="10"/>
  <c r="J1021" i="10"/>
  <c r="J1020" i="10"/>
  <c r="J1019" i="10"/>
  <c r="J1018" i="10"/>
  <c r="J1017" i="10"/>
  <c r="J1016" i="10"/>
  <c r="J1015" i="10"/>
  <c r="J1014" i="10"/>
  <c r="J1013" i="10"/>
  <c r="J1012" i="10"/>
  <c r="J1011" i="10"/>
  <c r="J1010" i="10"/>
  <c r="J1009" i="10"/>
  <c r="J1008" i="10"/>
  <c r="J1007" i="10"/>
  <c r="J1006" i="10"/>
  <c r="J1005" i="10"/>
  <c r="J1004" i="10"/>
  <c r="J1003" i="10"/>
  <c r="J1002" i="10"/>
  <c r="J1001" i="10"/>
  <c r="J1000" i="10"/>
  <c r="J999" i="10"/>
  <c r="J998" i="10"/>
  <c r="J997" i="10"/>
  <c r="J996" i="10"/>
  <c r="J995" i="10"/>
  <c r="J994" i="10"/>
  <c r="J993" i="10"/>
  <c r="J992" i="10"/>
  <c r="J991" i="10"/>
  <c r="J990" i="10"/>
  <c r="J989" i="10"/>
  <c r="J988" i="10"/>
  <c r="J987" i="10"/>
  <c r="J986" i="10"/>
  <c r="J985" i="10"/>
  <c r="J984" i="10"/>
  <c r="J983" i="10"/>
  <c r="J982" i="10"/>
  <c r="J981" i="10"/>
  <c r="J980" i="10"/>
  <c r="J979" i="10"/>
  <c r="J978" i="10"/>
  <c r="J977" i="10"/>
  <c r="J976" i="10"/>
  <c r="J975" i="10"/>
  <c r="J974" i="10"/>
  <c r="J973" i="10"/>
  <c r="J972" i="10"/>
  <c r="J971" i="10"/>
  <c r="J970" i="10"/>
  <c r="J969" i="10"/>
  <c r="J968" i="10"/>
  <c r="J967" i="10"/>
  <c r="J966" i="10"/>
  <c r="J965" i="10"/>
  <c r="J964" i="10"/>
  <c r="J963" i="10"/>
  <c r="J962" i="10"/>
  <c r="J961" i="10"/>
  <c r="J960" i="10"/>
  <c r="J959" i="10"/>
  <c r="J958" i="10"/>
  <c r="J957" i="10"/>
  <c r="J956" i="10"/>
  <c r="J955" i="10"/>
  <c r="J954" i="10"/>
  <c r="J953" i="10"/>
  <c r="J952" i="10"/>
  <c r="J951" i="10"/>
  <c r="J950" i="10"/>
  <c r="J949" i="10"/>
  <c r="J948" i="10"/>
  <c r="J947" i="10"/>
  <c r="J946" i="10"/>
  <c r="J945" i="10"/>
  <c r="J944" i="10"/>
  <c r="J943" i="10"/>
  <c r="J942" i="10"/>
  <c r="J941" i="10"/>
  <c r="J940" i="10"/>
  <c r="J939" i="10"/>
  <c r="J938" i="10"/>
  <c r="J937" i="10"/>
  <c r="J936" i="10"/>
  <c r="J935" i="10"/>
  <c r="J934" i="10"/>
  <c r="J933" i="10"/>
  <c r="J932" i="10"/>
  <c r="J931" i="10"/>
  <c r="J930" i="10"/>
  <c r="J929" i="10"/>
  <c r="J928" i="10"/>
  <c r="J927" i="10"/>
  <c r="J926" i="10"/>
  <c r="J925" i="10"/>
  <c r="J924" i="10"/>
  <c r="J923" i="10"/>
  <c r="J922" i="10"/>
  <c r="J921" i="10"/>
  <c r="J920" i="10"/>
  <c r="J919" i="10"/>
  <c r="J918" i="10"/>
  <c r="J917" i="10"/>
  <c r="J916" i="10"/>
  <c r="J915" i="10"/>
  <c r="J914" i="10"/>
  <c r="J913" i="10"/>
  <c r="J912" i="10"/>
  <c r="J911" i="10"/>
  <c r="J910" i="10"/>
  <c r="J909" i="10"/>
  <c r="J908" i="10"/>
  <c r="J907" i="10"/>
  <c r="J906" i="10"/>
  <c r="J905" i="10"/>
  <c r="J904" i="10"/>
  <c r="J903" i="10"/>
  <c r="J902" i="10"/>
  <c r="J901" i="10"/>
  <c r="J900" i="10"/>
  <c r="J899" i="10"/>
  <c r="J898" i="10"/>
  <c r="J897" i="10"/>
  <c r="J896" i="10"/>
  <c r="J895" i="10"/>
  <c r="J894" i="10"/>
  <c r="J893" i="10"/>
  <c r="J892" i="10"/>
  <c r="J891" i="10"/>
  <c r="J890" i="10"/>
  <c r="J889" i="10"/>
  <c r="J888" i="10"/>
  <c r="J887" i="10"/>
  <c r="J886" i="10"/>
  <c r="J885" i="10"/>
  <c r="J884" i="10"/>
  <c r="J883" i="10"/>
  <c r="J882" i="10"/>
  <c r="J881" i="10"/>
  <c r="J880" i="10"/>
  <c r="J879" i="10"/>
  <c r="J878" i="10"/>
  <c r="J877" i="10"/>
  <c r="J876" i="10"/>
  <c r="J875" i="10"/>
  <c r="J874" i="10"/>
  <c r="J873" i="10"/>
  <c r="J872" i="10"/>
  <c r="J871" i="10"/>
  <c r="J870" i="10"/>
  <c r="J869" i="10"/>
  <c r="J868" i="10"/>
  <c r="J867" i="10"/>
  <c r="J866" i="10"/>
  <c r="J865" i="10"/>
  <c r="J864" i="10"/>
  <c r="J863" i="10"/>
  <c r="J862" i="10"/>
  <c r="J861" i="10"/>
  <c r="J860" i="10"/>
  <c r="J859" i="10"/>
  <c r="J858" i="10"/>
  <c r="J857" i="10"/>
  <c r="J856" i="10"/>
  <c r="J855" i="10"/>
  <c r="J854" i="10"/>
  <c r="J853" i="10"/>
  <c r="J852" i="10"/>
  <c r="J851" i="10"/>
  <c r="J850" i="10"/>
  <c r="J849" i="10"/>
  <c r="J848" i="10"/>
  <c r="J847" i="10"/>
  <c r="J846" i="10"/>
  <c r="J845" i="10"/>
  <c r="J844" i="10"/>
  <c r="J843" i="10"/>
  <c r="J842" i="10"/>
  <c r="J841" i="10"/>
  <c r="J840" i="10"/>
  <c r="J839" i="10"/>
  <c r="J838" i="10"/>
  <c r="J837" i="10"/>
  <c r="J836" i="10"/>
  <c r="J835" i="10"/>
  <c r="J834" i="10"/>
  <c r="J833" i="10"/>
  <c r="J832" i="10"/>
  <c r="J831" i="10"/>
  <c r="J830" i="10"/>
  <c r="J829" i="10"/>
  <c r="J828" i="10"/>
  <c r="J827" i="10"/>
  <c r="J826" i="10"/>
  <c r="J825" i="10"/>
  <c r="J824" i="10"/>
  <c r="J823" i="10"/>
  <c r="J822" i="10"/>
  <c r="J821" i="10"/>
  <c r="J820" i="10"/>
  <c r="J819" i="10"/>
  <c r="J818" i="10"/>
  <c r="J817" i="10"/>
  <c r="J816" i="10"/>
  <c r="J815" i="10"/>
  <c r="J814" i="10"/>
  <c r="J813" i="10"/>
  <c r="J812" i="10"/>
  <c r="J811" i="10"/>
  <c r="J810" i="10"/>
  <c r="J809" i="10"/>
  <c r="J808" i="10"/>
  <c r="J807" i="10"/>
  <c r="J806" i="10"/>
  <c r="J805" i="10"/>
  <c r="J804" i="10"/>
  <c r="J803" i="10"/>
  <c r="J802" i="10"/>
  <c r="J801" i="10"/>
  <c r="J800" i="10"/>
  <c r="J799" i="10"/>
  <c r="J798" i="10"/>
  <c r="J797" i="10"/>
  <c r="J796" i="10"/>
  <c r="J795" i="10"/>
  <c r="J794" i="10"/>
  <c r="J793" i="10"/>
  <c r="J792" i="10"/>
  <c r="J791" i="10"/>
  <c r="J790" i="10"/>
  <c r="J789" i="10"/>
  <c r="J788" i="10"/>
  <c r="J787" i="10"/>
  <c r="J786" i="10"/>
  <c r="J785" i="10"/>
  <c r="J784" i="10"/>
  <c r="J783" i="10"/>
  <c r="J782" i="10"/>
  <c r="J781" i="10"/>
  <c r="J780" i="10"/>
  <c r="J779" i="10"/>
  <c r="J778" i="10"/>
  <c r="J777" i="10"/>
  <c r="J776" i="10"/>
  <c r="J775" i="10"/>
  <c r="J774" i="10"/>
  <c r="J773" i="10"/>
  <c r="J772" i="10"/>
  <c r="J771" i="10"/>
  <c r="J770" i="10"/>
  <c r="J769" i="10"/>
  <c r="J768" i="10"/>
  <c r="J767" i="10"/>
  <c r="J766" i="10"/>
  <c r="J765" i="10"/>
  <c r="J764" i="10"/>
  <c r="J763" i="10"/>
  <c r="J762" i="10"/>
  <c r="J761" i="10"/>
  <c r="J760" i="10"/>
  <c r="J759" i="10"/>
  <c r="J758" i="10"/>
  <c r="J757" i="10"/>
  <c r="J756" i="10"/>
  <c r="J755" i="10"/>
  <c r="J754" i="10"/>
  <c r="J753" i="10"/>
  <c r="J752" i="10"/>
  <c r="J751" i="10"/>
  <c r="J750" i="10"/>
  <c r="J749" i="10"/>
  <c r="J748" i="10"/>
  <c r="J747" i="10"/>
  <c r="J746" i="10"/>
  <c r="J745" i="10"/>
  <c r="J744" i="10"/>
  <c r="J743" i="10"/>
  <c r="J742" i="10"/>
  <c r="J741" i="10"/>
  <c r="J740" i="10"/>
  <c r="J739" i="10"/>
  <c r="J738" i="10"/>
  <c r="J737" i="10"/>
  <c r="J736" i="10"/>
  <c r="J735" i="10"/>
  <c r="J734" i="10"/>
  <c r="J733" i="10"/>
  <c r="J732" i="10"/>
  <c r="J731" i="10"/>
  <c r="J730" i="10"/>
  <c r="J729" i="10"/>
  <c r="J728" i="10"/>
  <c r="J727" i="10"/>
  <c r="J726" i="10"/>
  <c r="J725" i="10"/>
  <c r="J724" i="10"/>
  <c r="J723" i="10"/>
  <c r="J722" i="10"/>
  <c r="J721" i="10"/>
  <c r="J720" i="10"/>
  <c r="J719" i="10"/>
  <c r="J718" i="10"/>
  <c r="J717" i="10"/>
  <c r="J716" i="10"/>
  <c r="J715" i="10"/>
  <c r="J714" i="10"/>
  <c r="J713" i="10"/>
  <c r="J712" i="10"/>
  <c r="J711" i="10"/>
  <c r="J710" i="10"/>
  <c r="J709" i="10"/>
  <c r="J708" i="10"/>
  <c r="J707" i="10"/>
  <c r="J706" i="10"/>
  <c r="J705" i="10"/>
  <c r="J704" i="10"/>
  <c r="J703" i="10"/>
  <c r="J702" i="10"/>
  <c r="J701" i="10"/>
  <c r="J700" i="10"/>
  <c r="J699" i="10"/>
  <c r="J698" i="10"/>
  <c r="J697" i="10"/>
  <c r="J696" i="10"/>
  <c r="J695" i="10"/>
  <c r="J694" i="10"/>
  <c r="J693" i="10"/>
  <c r="J692" i="10"/>
  <c r="J691" i="10"/>
  <c r="J690" i="10"/>
  <c r="J689" i="10"/>
  <c r="J688" i="10"/>
  <c r="J687" i="10"/>
  <c r="J686" i="10"/>
  <c r="J685" i="10"/>
  <c r="J684" i="10"/>
  <c r="J683" i="10"/>
  <c r="J682" i="10"/>
  <c r="J681" i="10"/>
  <c r="J680" i="10"/>
  <c r="J679" i="10"/>
  <c r="J678" i="10"/>
  <c r="J677" i="10"/>
  <c r="J676" i="10"/>
  <c r="J675" i="10"/>
  <c r="J674" i="10"/>
  <c r="J673" i="10"/>
  <c r="J672" i="10"/>
  <c r="J671" i="10"/>
  <c r="J670" i="10"/>
  <c r="J669" i="10"/>
  <c r="J668" i="10"/>
  <c r="J667" i="10"/>
  <c r="J666" i="10"/>
  <c r="J665" i="10"/>
  <c r="J664" i="10"/>
  <c r="J663" i="10"/>
  <c r="J662" i="10"/>
  <c r="J661" i="10"/>
  <c r="J660" i="10"/>
  <c r="J659" i="10"/>
  <c r="J658" i="10"/>
  <c r="J657" i="10"/>
  <c r="J656" i="10"/>
  <c r="J655" i="10"/>
  <c r="J654" i="10"/>
  <c r="J653" i="10"/>
  <c r="J652" i="10"/>
  <c r="J651" i="10"/>
  <c r="J650" i="10"/>
  <c r="J649" i="10"/>
  <c r="J648" i="10"/>
  <c r="J647" i="10"/>
  <c r="J646" i="10"/>
  <c r="J645" i="10"/>
  <c r="J644" i="10"/>
  <c r="J643" i="10"/>
  <c r="J642" i="10"/>
  <c r="J641" i="10"/>
  <c r="J640" i="10"/>
  <c r="J639" i="10"/>
  <c r="J638" i="10"/>
  <c r="J637" i="10"/>
  <c r="J636" i="10"/>
  <c r="J635" i="10"/>
  <c r="J634" i="10"/>
  <c r="J633" i="10"/>
  <c r="J632" i="10"/>
  <c r="J631" i="10"/>
  <c r="J630" i="10"/>
  <c r="J629" i="10"/>
  <c r="J628" i="10"/>
  <c r="J627" i="10"/>
  <c r="J626" i="10"/>
  <c r="J625" i="10"/>
  <c r="J624" i="10"/>
  <c r="J623" i="10"/>
  <c r="J622" i="10"/>
  <c r="J621" i="10"/>
  <c r="J620" i="10"/>
  <c r="J619" i="10"/>
  <c r="J618" i="10"/>
  <c r="J617" i="10"/>
  <c r="J616" i="10"/>
  <c r="J615" i="10"/>
  <c r="J614" i="10"/>
  <c r="J613" i="10"/>
  <c r="J612" i="10"/>
  <c r="J611" i="10"/>
  <c r="J610" i="10"/>
  <c r="J609" i="10"/>
  <c r="J608" i="10"/>
  <c r="J607" i="10"/>
  <c r="J606" i="10"/>
  <c r="J605" i="10"/>
  <c r="J604" i="10"/>
  <c r="J603" i="10"/>
  <c r="J602" i="10"/>
  <c r="J601" i="10"/>
  <c r="J600" i="10"/>
  <c r="J599" i="10"/>
  <c r="J598" i="10"/>
  <c r="J597" i="10"/>
  <c r="J596" i="10"/>
  <c r="J595" i="10"/>
  <c r="J594" i="10"/>
  <c r="J593" i="10"/>
  <c r="J592" i="10"/>
  <c r="J591" i="10"/>
  <c r="J590" i="10"/>
  <c r="J589" i="10"/>
  <c r="J588" i="10"/>
  <c r="J587" i="10"/>
  <c r="J586" i="10"/>
  <c r="J585" i="10"/>
  <c r="J584" i="10"/>
  <c r="J583" i="10"/>
  <c r="J582" i="10"/>
  <c r="J581" i="10"/>
  <c r="J580" i="10"/>
  <c r="J579" i="10"/>
  <c r="J578" i="10"/>
  <c r="J577" i="10"/>
  <c r="J576" i="10"/>
  <c r="J575" i="10"/>
  <c r="J574" i="10"/>
  <c r="J573" i="10"/>
  <c r="J572" i="10"/>
  <c r="J571" i="10"/>
  <c r="J570" i="10"/>
  <c r="J569" i="10"/>
  <c r="J568" i="10"/>
  <c r="J567" i="10"/>
  <c r="J566" i="10"/>
  <c r="J565" i="10"/>
  <c r="J564" i="10"/>
  <c r="J563" i="10"/>
  <c r="J562" i="10"/>
  <c r="J561" i="10"/>
  <c r="J560" i="10"/>
  <c r="J559" i="10"/>
  <c r="J558" i="10"/>
  <c r="J557" i="10"/>
  <c r="J556" i="10"/>
  <c r="J555" i="10"/>
  <c r="J554" i="10"/>
  <c r="J553" i="10"/>
  <c r="J552" i="10"/>
  <c r="J551" i="10"/>
  <c r="J550" i="10"/>
  <c r="J549" i="10"/>
  <c r="J548" i="10"/>
  <c r="J547" i="10"/>
  <c r="J546" i="10"/>
  <c r="J545" i="10"/>
  <c r="J544" i="10"/>
  <c r="J543" i="10"/>
  <c r="J542" i="10"/>
  <c r="J541" i="10"/>
  <c r="J540" i="10"/>
  <c r="J539" i="10"/>
  <c r="J538" i="10"/>
  <c r="J537" i="10"/>
  <c r="J536" i="10"/>
  <c r="J535" i="10"/>
  <c r="J534" i="10"/>
  <c r="J533" i="10"/>
  <c r="J532" i="10"/>
  <c r="J531" i="10"/>
  <c r="J530" i="10"/>
  <c r="J529" i="10"/>
  <c r="J528" i="10"/>
  <c r="J527" i="10"/>
  <c r="J526" i="10"/>
  <c r="J525" i="10"/>
  <c r="J524" i="10"/>
  <c r="J523" i="10"/>
  <c r="J522" i="10"/>
  <c r="J521" i="10"/>
  <c r="J520" i="10"/>
  <c r="J519" i="10"/>
  <c r="J518" i="10"/>
  <c r="J517" i="10"/>
  <c r="J516" i="10"/>
  <c r="J515" i="10"/>
  <c r="J514" i="10"/>
  <c r="J513" i="10"/>
  <c r="J512" i="10"/>
  <c r="J511" i="10"/>
  <c r="J510" i="10"/>
  <c r="J509" i="10"/>
  <c r="J508" i="10"/>
  <c r="J507" i="10"/>
  <c r="J506" i="10"/>
  <c r="J505" i="10"/>
  <c r="J504" i="10"/>
  <c r="J503" i="10"/>
  <c r="J502" i="10"/>
  <c r="J501" i="10"/>
  <c r="J500" i="10"/>
  <c r="J499" i="10"/>
  <c r="J498" i="10"/>
  <c r="J497" i="10"/>
  <c r="J496" i="10"/>
  <c r="J495" i="10"/>
  <c r="J494" i="10"/>
  <c r="J493" i="10"/>
  <c r="J492" i="10"/>
  <c r="J491" i="10"/>
  <c r="J490" i="10"/>
  <c r="J489" i="10"/>
  <c r="J488" i="10"/>
  <c r="J487" i="10"/>
  <c r="J486" i="10"/>
  <c r="J485" i="10"/>
  <c r="J484" i="10"/>
  <c r="J483" i="10"/>
  <c r="J482" i="10"/>
  <c r="J481" i="10"/>
  <c r="J480" i="10"/>
  <c r="J479" i="10"/>
  <c r="J478" i="10"/>
  <c r="J477" i="10"/>
  <c r="J476" i="10"/>
  <c r="J475" i="10"/>
  <c r="J474" i="10"/>
  <c r="J473" i="10"/>
  <c r="J472" i="10"/>
  <c r="J471" i="10"/>
  <c r="J470" i="10"/>
  <c r="J469" i="10"/>
  <c r="J468" i="10"/>
  <c r="J467" i="10"/>
  <c r="J466" i="10"/>
  <c r="J465" i="10"/>
  <c r="J464" i="10"/>
  <c r="J463" i="10"/>
  <c r="J462" i="10"/>
  <c r="J461" i="10"/>
  <c r="J460" i="10"/>
  <c r="J459" i="10"/>
  <c r="J458" i="10"/>
  <c r="J457" i="10"/>
  <c r="J456" i="10"/>
  <c r="J455" i="10"/>
  <c r="J454" i="10"/>
  <c r="J453" i="10"/>
  <c r="J452" i="10"/>
  <c r="J451" i="10"/>
  <c r="J450" i="10"/>
  <c r="J449" i="10"/>
  <c r="J448" i="10"/>
  <c r="J447" i="10"/>
  <c r="J446" i="10"/>
  <c r="J445" i="10"/>
  <c r="J444" i="10"/>
  <c r="J443" i="10"/>
  <c r="J442" i="10"/>
  <c r="J441" i="10"/>
  <c r="J440" i="10"/>
  <c r="J439" i="10"/>
  <c r="J438" i="10"/>
  <c r="J437" i="10"/>
  <c r="J436" i="10"/>
  <c r="J435" i="10"/>
  <c r="J434" i="10"/>
  <c r="J433" i="10"/>
  <c r="J432" i="10"/>
  <c r="J431" i="10"/>
  <c r="J430" i="10"/>
  <c r="J429" i="10"/>
  <c r="J428" i="10"/>
  <c r="J427" i="10"/>
  <c r="J426" i="10"/>
  <c r="J425" i="10"/>
  <c r="J424" i="10"/>
  <c r="J423" i="10"/>
  <c r="J422" i="10"/>
  <c r="J421" i="10"/>
  <c r="J420" i="10"/>
  <c r="J419" i="10"/>
  <c r="J418" i="10"/>
  <c r="J417" i="10"/>
  <c r="J416" i="10"/>
  <c r="J415" i="10"/>
  <c r="J414" i="10"/>
  <c r="J413" i="10"/>
  <c r="J412" i="10"/>
  <c r="J411" i="10"/>
  <c r="J410" i="10"/>
  <c r="J409" i="10"/>
  <c r="J408" i="10"/>
  <c r="J407" i="10"/>
  <c r="J406" i="10"/>
  <c r="J405" i="10"/>
  <c r="J404" i="10"/>
  <c r="J403" i="10"/>
  <c r="J402" i="10"/>
  <c r="J401" i="10"/>
  <c r="J400" i="10"/>
  <c r="J399" i="10"/>
  <c r="J398" i="10"/>
  <c r="J397" i="10"/>
  <c r="J396" i="10"/>
  <c r="J395" i="10"/>
  <c r="J394" i="10"/>
  <c r="J393" i="10"/>
  <c r="J392" i="10"/>
  <c r="J391" i="10"/>
  <c r="J390" i="10"/>
  <c r="J389" i="10"/>
  <c r="J388" i="10"/>
  <c r="J387" i="10"/>
  <c r="J386" i="10"/>
  <c r="J385" i="10"/>
  <c r="J384" i="10"/>
  <c r="J383" i="10"/>
  <c r="J382" i="10"/>
  <c r="J381" i="10"/>
  <c r="J380" i="10"/>
  <c r="J379" i="10"/>
  <c r="J378" i="10"/>
  <c r="J377" i="10"/>
  <c r="J376" i="10"/>
  <c r="J375" i="10"/>
  <c r="J374" i="10"/>
  <c r="J373" i="10"/>
  <c r="J372" i="10"/>
  <c r="J371" i="10"/>
  <c r="J370" i="10"/>
  <c r="J369" i="10"/>
  <c r="J368" i="10"/>
  <c r="J367" i="10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30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J146" i="10"/>
  <c r="J145" i="10"/>
  <c r="J144" i="10"/>
  <c r="J143" i="10"/>
  <c r="J142" i="10"/>
  <c r="J141" i="10"/>
  <c r="J140" i="10"/>
  <c r="J139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J110" i="10"/>
  <c r="J109" i="10"/>
  <c r="J108" i="10"/>
  <c r="J107" i="10"/>
  <c r="J106" i="10"/>
  <c r="J105" i="10"/>
  <c r="J104" i="10"/>
  <c r="J103" i="10"/>
  <c r="J102" i="10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H2855" i="10"/>
  <c r="H2854" i="10"/>
  <c r="H2853" i="10"/>
  <c r="H2852" i="10"/>
  <c r="H2851" i="10"/>
  <c r="H2850" i="10"/>
  <c r="H2849" i="10"/>
  <c r="H2848" i="10"/>
  <c r="H2847" i="10"/>
  <c r="H2846" i="10"/>
  <c r="H2845" i="10"/>
  <c r="H2844" i="10"/>
  <c r="H2843" i="10"/>
  <c r="H2842" i="10"/>
  <c r="H2841" i="10"/>
  <c r="H2840" i="10"/>
  <c r="H2839" i="10"/>
  <c r="H2838" i="10"/>
  <c r="H2837" i="10"/>
  <c r="H2836" i="10"/>
  <c r="H2835" i="10"/>
  <c r="H2834" i="10"/>
  <c r="H2833" i="10"/>
  <c r="H2832" i="10"/>
  <c r="H2831" i="10"/>
  <c r="H2830" i="10"/>
  <c r="H2829" i="10"/>
  <c r="H2828" i="10"/>
  <c r="H2827" i="10"/>
  <c r="H2826" i="10"/>
  <c r="H2825" i="10"/>
  <c r="H2824" i="10"/>
  <c r="H2823" i="10"/>
  <c r="H2822" i="10"/>
  <c r="H2821" i="10"/>
  <c r="H2820" i="10"/>
  <c r="H2819" i="10"/>
  <c r="H2818" i="10"/>
  <c r="H2817" i="10"/>
  <c r="H2816" i="10"/>
  <c r="H2815" i="10"/>
  <c r="H2814" i="10"/>
  <c r="H2813" i="10"/>
  <c r="H2812" i="10"/>
  <c r="H2811" i="10"/>
  <c r="H2810" i="10"/>
  <c r="H2809" i="10"/>
  <c r="H2808" i="10"/>
  <c r="H2807" i="10"/>
  <c r="H2806" i="10"/>
  <c r="H2805" i="10"/>
  <c r="H2804" i="10"/>
  <c r="H2803" i="10"/>
  <c r="H2802" i="10"/>
  <c r="H2801" i="10"/>
  <c r="H2800" i="10"/>
  <c r="H2799" i="10"/>
  <c r="H2798" i="10"/>
  <c r="H2797" i="10"/>
  <c r="H2796" i="10"/>
  <c r="H2795" i="10"/>
  <c r="H2794" i="10"/>
  <c r="H2793" i="10"/>
  <c r="H2792" i="10"/>
  <c r="H2791" i="10"/>
  <c r="H2790" i="10"/>
  <c r="H2789" i="10"/>
  <c r="H2788" i="10"/>
  <c r="H2787" i="10"/>
  <c r="H2786" i="10"/>
  <c r="H2785" i="10"/>
  <c r="H2784" i="10"/>
  <c r="H2783" i="10"/>
  <c r="H2782" i="10"/>
  <c r="H2781" i="10"/>
  <c r="H2780" i="10"/>
  <c r="H2779" i="10"/>
  <c r="H2778" i="10"/>
  <c r="H2777" i="10"/>
  <c r="H2776" i="10"/>
  <c r="H2775" i="10"/>
  <c r="H2774" i="10"/>
  <c r="H2773" i="10"/>
  <c r="H2772" i="10"/>
  <c r="H2771" i="10"/>
  <c r="H2770" i="10"/>
  <c r="H2769" i="10"/>
  <c r="H2768" i="10"/>
  <c r="H2767" i="10"/>
  <c r="H2766" i="10"/>
  <c r="H2765" i="10"/>
  <c r="H2764" i="10"/>
  <c r="H2763" i="10"/>
  <c r="H2762" i="10"/>
  <c r="H2761" i="10"/>
  <c r="H2760" i="10"/>
  <c r="H2759" i="10"/>
  <c r="H2758" i="10"/>
  <c r="H2757" i="10"/>
  <c r="H2756" i="10"/>
  <c r="H2755" i="10"/>
  <c r="H2754" i="10"/>
  <c r="H2753" i="10"/>
  <c r="H2752" i="10"/>
  <c r="H2751" i="10"/>
  <c r="H2750" i="10"/>
  <c r="H2749" i="10"/>
  <c r="H2748" i="10"/>
  <c r="H2747" i="10"/>
  <c r="H2746" i="10"/>
  <c r="H2745" i="10"/>
  <c r="H2744" i="10"/>
  <c r="H2743" i="10"/>
  <c r="H2742" i="10"/>
  <c r="H2741" i="10"/>
  <c r="H2740" i="10"/>
  <c r="H2739" i="10"/>
  <c r="H2738" i="10"/>
  <c r="H2737" i="10"/>
  <c r="H2736" i="10"/>
  <c r="H2735" i="10"/>
  <c r="H2734" i="10"/>
  <c r="H2733" i="10"/>
  <c r="H2732" i="10"/>
  <c r="H2731" i="10"/>
  <c r="H2730" i="10"/>
  <c r="H2729" i="10"/>
  <c r="H2728" i="10"/>
  <c r="H2727" i="10"/>
  <c r="H2726" i="10"/>
  <c r="H2725" i="10"/>
  <c r="H2724" i="10"/>
  <c r="H2723" i="10"/>
  <c r="H2722" i="10"/>
  <c r="H2721" i="10"/>
  <c r="H2720" i="10"/>
  <c r="H2719" i="10"/>
  <c r="H2718" i="10"/>
  <c r="H2717" i="10"/>
  <c r="H2716" i="10"/>
  <c r="H2715" i="10"/>
  <c r="H2714" i="10"/>
  <c r="H2713" i="10"/>
  <c r="H2712" i="10"/>
  <c r="H2711" i="10"/>
  <c r="H2710" i="10"/>
  <c r="H2709" i="10"/>
  <c r="H2708" i="10"/>
  <c r="H2707" i="10"/>
  <c r="H2706" i="10"/>
  <c r="H2705" i="10"/>
  <c r="H2704" i="10"/>
  <c r="H2703" i="10"/>
  <c r="H2702" i="10"/>
  <c r="H2701" i="10"/>
  <c r="H2700" i="10"/>
  <c r="H2699" i="10"/>
  <c r="H2698" i="10"/>
  <c r="H2697" i="10"/>
  <c r="H2696" i="10"/>
  <c r="H2695" i="10"/>
  <c r="H2694" i="10"/>
  <c r="H2693" i="10"/>
  <c r="H2692" i="10"/>
  <c r="H2691" i="10"/>
  <c r="H2690" i="10"/>
  <c r="H2689" i="10"/>
  <c r="H2688" i="10"/>
  <c r="H2687" i="10"/>
  <c r="H2686" i="10"/>
  <c r="H2685" i="10"/>
  <c r="H2684" i="10"/>
  <c r="H2683" i="10"/>
  <c r="H2682" i="10"/>
  <c r="H2681" i="10"/>
  <c r="H2680" i="10"/>
  <c r="H2679" i="10"/>
  <c r="H2678" i="10"/>
  <c r="H2677" i="10"/>
  <c r="H2676" i="10"/>
  <c r="H2675" i="10"/>
  <c r="H2674" i="10"/>
  <c r="H2673" i="10"/>
  <c r="H2672" i="10"/>
  <c r="H2671" i="10"/>
  <c r="H2670" i="10"/>
  <c r="H2669" i="10"/>
  <c r="H2668" i="10"/>
  <c r="H2667" i="10"/>
  <c r="H2666" i="10"/>
  <c r="H2665" i="10"/>
  <c r="H2664" i="10"/>
  <c r="H2663" i="10"/>
  <c r="H2662" i="10"/>
  <c r="H2661" i="10"/>
  <c r="H2660" i="10"/>
  <c r="H2659" i="10"/>
  <c r="H2658" i="10"/>
  <c r="H2657" i="10"/>
  <c r="H2656" i="10"/>
  <c r="H2655" i="10"/>
  <c r="H2654" i="10"/>
  <c r="H2653" i="10"/>
  <c r="H2652" i="10"/>
  <c r="H2651" i="10"/>
  <c r="H2650" i="10"/>
  <c r="H2649" i="10"/>
  <c r="H2648" i="10"/>
  <c r="H2647" i="10"/>
  <c r="H2646" i="10"/>
  <c r="H2645" i="10"/>
  <c r="H2644" i="10"/>
  <c r="H2643" i="10"/>
  <c r="H2642" i="10"/>
  <c r="H2641" i="10"/>
  <c r="H2640" i="10"/>
  <c r="H2639" i="10"/>
  <c r="H2638" i="10"/>
  <c r="H2637" i="10"/>
  <c r="H2636" i="10"/>
  <c r="H2635" i="10"/>
  <c r="H2634" i="10"/>
  <c r="H2633" i="10"/>
  <c r="H2632" i="10"/>
  <c r="H2631" i="10"/>
  <c r="H2630" i="10"/>
  <c r="H2629" i="10"/>
  <c r="H2628" i="10"/>
  <c r="H2627" i="10"/>
  <c r="H2626" i="10"/>
  <c r="H2625" i="10"/>
  <c r="H2624" i="10"/>
  <c r="H2623" i="10"/>
  <c r="H2622" i="10"/>
  <c r="H2621" i="10"/>
  <c r="H2620" i="10"/>
  <c r="H2619" i="10"/>
  <c r="H2618" i="10"/>
  <c r="H2617" i="10"/>
  <c r="H2616" i="10"/>
  <c r="H2615" i="10"/>
  <c r="H2614" i="10"/>
  <c r="H2613" i="10"/>
  <c r="H2612" i="10"/>
  <c r="H2611" i="10"/>
  <c r="H2610" i="10"/>
  <c r="H2609" i="10"/>
  <c r="H2608" i="10"/>
  <c r="H2607" i="10"/>
  <c r="H2606" i="10"/>
  <c r="H2605" i="10"/>
  <c r="H2604" i="10"/>
  <c r="H2603" i="10"/>
  <c r="H2602" i="10"/>
  <c r="H2601" i="10"/>
  <c r="H2600" i="10"/>
  <c r="H2599" i="10"/>
  <c r="H2598" i="10"/>
  <c r="H2597" i="10"/>
  <c r="H2596" i="10"/>
  <c r="H2595" i="10"/>
  <c r="H2594" i="10"/>
  <c r="H2593" i="10"/>
  <c r="H2592" i="10"/>
  <c r="H2591" i="10"/>
  <c r="H2590" i="10"/>
  <c r="H2589" i="10"/>
  <c r="H2588" i="10"/>
  <c r="H2587" i="10"/>
  <c r="H2586" i="10"/>
  <c r="H2585" i="10"/>
  <c r="H2584" i="10"/>
  <c r="H2583" i="10"/>
  <c r="H2582" i="10"/>
  <c r="H2581" i="10"/>
  <c r="H2580" i="10"/>
  <c r="H2579" i="10"/>
  <c r="H2578" i="10"/>
  <c r="H2577" i="10"/>
  <c r="H2576" i="10"/>
  <c r="H2575" i="10"/>
  <c r="H2574" i="10"/>
  <c r="H2573" i="10"/>
  <c r="H2572" i="10"/>
  <c r="H2571" i="10"/>
  <c r="H2570" i="10"/>
  <c r="H2569" i="10"/>
  <c r="H2568" i="10"/>
  <c r="H2567" i="10"/>
  <c r="H2566" i="10"/>
  <c r="H2565" i="10"/>
  <c r="H2564" i="10"/>
  <c r="H2563" i="10"/>
  <c r="H2562" i="10"/>
  <c r="H2561" i="10"/>
  <c r="H2560" i="10"/>
  <c r="H2559" i="10"/>
  <c r="H2558" i="10"/>
  <c r="H2557" i="10"/>
  <c r="H2556" i="10"/>
  <c r="H2555" i="10"/>
  <c r="H2554" i="10"/>
  <c r="H2553" i="10"/>
  <c r="H2552" i="10"/>
  <c r="H2551" i="10"/>
  <c r="H2550" i="10"/>
  <c r="H2549" i="10"/>
  <c r="H2548" i="10"/>
  <c r="H2547" i="10"/>
  <c r="H2546" i="10"/>
  <c r="H2545" i="10"/>
  <c r="H2544" i="10"/>
  <c r="H2543" i="10"/>
  <c r="H2542" i="10"/>
  <c r="H2541" i="10"/>
  <c r="H2540" i="10"/>
  <c r="H2539" i="10"/>
  <c r="H2538" i="10"/>
  <c r="H2537" i="10"/>
  <c r="H2536" i="10"/>
  <c r="H2535" i="10"/>
  <c r="H2534" i="10"/>
  <c r="H2533" i="10"/>
  <c r="H2532" i="10"/>
  <c r="H2531" i="10"/>
  <c r="H2530" i="10"/>
  <c r="H2529" i="10"/>
  <c r="H2528" i="10"/>
  <c r="H2527" i="10"/>
  <c r="H2526" i="10"/>
  <c r="H2525" i="10"/>
  <c r="H2524" i="10"/>
  <c r="H2523" i="10"/>
  <c r="H2522" i="10"/>
  <c r="H2521" i="10"/>
  <c r="H2520" i="10"/>
  <c r="H2519" i="10"/>
  <c r="H2518" i="10"/>
  <c r="H2517" i="10"/>
  <c r="H2516" i="10"/>
  <c r="H2515" i="10"/>
  <c r="H2514" i="10"/>
  <c r="H2513" i="10"/>
  <c r="H2512" i="10"/>
  <c r="H2511" i="10"/>
  <c r="H2510" i="10"/>
  <c r="H2509" i="10"/>
  <c r="H2508" i="10"/>
  <c r="H2507" i="10"/>
  <c r="H2506" i="10"/>
  <c r="H2505" i="10"/>
  <c r="H2504" i="10"/>
  <c r="H2503" i="10"/>
  <c r="H2502" i="10"/>
  <c r="H2501" i="10"/>
  <c r="H2500" i="10"/>
  <c r="H2499" i="10"/>
  <c r="H2498" i="10"/>
  <c r="H2497" i="10"/>
  <c r="H2496" i="10"/>
  <c r="H2495" i="10"/>
  <c r="H2494" i="10"/>
  <c r="H2493" i="10"/>
  <c r="H2492" i="10"/>
  <c r="H2491" i="10"/>
  <c r="H2490" i="10"/>
  <c r="H2489" i="10"/>
  <c r="H2488" i="10"/>
  <c r="H2487" i="10"/>
  <c r="H2486" i="10"/>
  <c r="H2485" i="10"/>
  <c r="H2484" i="10"/>
  <c r="H2483" i="10"/>
  <c r="H2482" i="10"/>
  <c r="H2481" i="10"/>
  <c r="H2480" i="10"/>
  <c r="H2479" i="10"/>
  <c r="H2478" i="10"/>
  <c r="H2477" i="10"/>
  <c r="H2476" i="10"/>
  <c r="H2475" i="10"/>
  <c r="H2474" i="10"/>
  <c r="H2473" i="10"/>
  <c r="H2472" i="10"/>
  <c r="H2471" i="10"/>
  <c r="H2470" i="10"/>
  <c r="H2469" i="10"/>
  <c r="H2468" i="10"/>
  <c r="H2467" i="10"/>
  <c r="H2466" i="10"/>
  <c r="H2465" i="10"/>
  <c r="H2464" i="10"/>
  <c r="H2463" i="10"/>
  <c r="H2462" i="10"/>
  <c r="H2461" i="10"/>
  <c r="H2460" i="10"/>
  <c r="H2459" i="10"/>
  <c r="H2458" i="10"/>
  <c r="H2457" i="10"/>
  <c r="H2456" i="10"/>
  <c r="H2455" i="10"/>
  <c r="H2454" i="10"/>
  <c r="H2453" i="10"/>
  <c r="H2452" i="10"/>
  <c r="H2451" i="10"/>
  <c r="H2450" i="10"/>
  <c r="H2449" i="10"/>
  <c r="H2448" i="10"/>
  <c r="H2447" i="10"/>
  <c r="H2446" i="10"/>
  <c r="H2445" i="10"/>
  <c r="H2444" i="10"/>
  <c r="H2443" i="10"/>
  <c r="H2442" i="10"/>
  <c r="H2441" i="10"/>
  <c r="H2440" i="10"/>
  <c r="H2439" i="10"/>
  <c r="H2438" i="10"/>
  <c r="H2437" i="10"/>
  <c r="H2436" i="10"/>
  <c r="H2435" i="10"/>
  <c r="H2434" i="10"/>
  <c r="H2433" i="10"/>
  <c r="H2432" i="10"/>
  <c r="H2431" i="10"/>
  <c r="H2430" i="10"/>
  <c r="H2429" i="10"/>
  <c r="H2428" i="10"/>
  <c r="H2427" i="10"/>
  <c r="H2426" i="10"/>
  <c r="H2425" i="10"/>
  <c r="H2424" i="10"/>
  <c r="H2423" i="10"/>
  <c r="H2422" i="10"/>
  <c r="H2421" i="10"/>
  <c r="H2420" i="10"/>
  <c r="H2419" i="10"/>
  <c r="H2418" i="10"/>
  <c r="H2417" i="10"/>
  <c r="H2416" i="10"/>
  <c r="H2415" i="10"/>
  <c r="H2414" i="10"/>
  <c r="H2413" i="10"/>
  <c r="H2412" i="10"/>
  <c r="H2411" i="10"/>
  <c r="H2410" i="10"/>
  <c r="H2409" i="10"/>
  <c r="H2408" i="10"/>
  <c r="H2407" i="10"/>
  <c r="H2406" i="10"/>
  <c r="H2405" i="10"/>
  <c r="H2404" i="10"/>
  <c r="H2403" i="10"/>
  <c r="H2402" i="10"/>
  <c r="H2401" i="10"/>
  <c r="H2400" i="10"/>
  <c r="H2399" i="10"/>
  <c r="H2398" i="10"/>
  <c r="H2397" i="10"/>
  <c r="H2396" i="10"/>
  <c r="H2395" i="10"/>
  <c r="H2394" i="10"/>
  <c r="H2393" i="10"/>
  <c r="H2392" i="10"/>
  <c r="H2391" i="10"/>
  <c r="H2390" i="10"/>
  <c r="H2389" i="10"/>
  <c r="H2388" i="10"/>
  <c r="H2387" i="10"/>
  <c r="H2386" i="10"/>
  <c r="H2385" i="10"/>
  <c r="H2384" i="10"/>
  <c r="H2383" i="10"/>
  <c r="H2382" i="10"/>
  <c r="H2381" i="10"/>
  <c r="H2380" i="10"/>
  <c r="H2379" i="10"/>
  <c r="H2378" i="10"/>
  <c r="H2377" i="10"/>
  <c r="H2376" i="10"/>
  <c r="H2375" i="10"/>
  <c r="H2374" i="10"/>
  <c r="H2373" i="10"/>
  <c r="H2372" i="10"/>
  <c r="H2371" i="10"/>
  <c r="H2370" i="10"/>
  <c r="H2369" i="10"/>
  <c r="H2368" i="10"/>
  <c r="H2367" i="10"/>
  <c r="H2366" i="10"/>
  <c r="H2365" i="10"/>
  <c r="H2364" i="10"/>
  <c r="H2363" i="10"/>
  <c r="H2362" i="10"/>
  <c r="H2361" i="10"/>
  <c r="H2360" i="10"/>
  <c r="H2359" i="10"/>
  <c r="H2358" i="10"/>
  <c r="H2357" i="10"/>
  <c r="H2356" i="10"/>
  <c r="H2355" i="10"/>
  <c r="H2354" i="10"/>
  <c r="H2353" i="10"/>
  <c r="H2352" i="10"/>
  <c r="H2351" i="10"/>
  <c r="H2350" i="10"/>
  <c r="H2349" i="10"/>
  <c r="H2348" i="10"/>
  <c r="H2347" i="10"/>
  <c r="H2346" i="10"/>
  <c r="H2345" i="10"/>
  <c r="H2344" i="10"/>
  <c r="H2343" i="10"/>
  <c r="H2342" i="10"/>
  <c r="H2341" i="10"/>
  <c r="H2340" i="10"/>
  <c r="H2339" i="10"/>
  <c r="H2338" i="10"/>
  <c r="H2337" i="10"/>
  <c r="H2336" i="10"/>
  <c r="H2335" i="10"/>
  <c r="H2334" i="10"/>
  <c r="H2333" i="10"/>
  <c r="H2332" i="10"/>
  <c r="H2331" i="10"/>
  <c r="H2330" i="10"/>
  <c r="H2329" i="10"/>
  <c r="H2328" i="10"/>
  <c r="H2327" i="10"/>
  <c r="H2326" i="10"/>
  <c r="H2325" i="10"/>
  <c r="H2324" i="10"/>
  <c r="H2323" i="10"/>
  <c r="H2322" i="10"/>
  <c r="H2321" i="10"/>
  <c r="H2320" i="10"/>
  <c r="H2319" i="10"/>
  <c r="H2318" i="10"/>
  <c r="H2317" i="10"/>
  <c r="H2316" i="10"/>
  <c r="H2315" i="10"/>
  <c r="H2314" i="10"/>
  <c r="H2313" i="10"/>
  <c r="H2312" i="10"/>
  <c r="H2311" i="10"/>
  <c r="H2310" i="10"/>
  <c r="H2309" i="10"/>
  <c r="H2308" i="10"/>
  <c r="H2307" i="10"/>
  <c r="H2306" i="10"/>
  <c r="H2305" i="10"/>
  <c r="H2304" i="10"/>
  <c r="H2303" i="10"/>
  <c r="H2302" i="10"/>
  <c r="H2301" i="10"/>
  <c r="H2300" i="10"/>
  <c r="H2299" i="10"/>
  <c r="H2298" i="10"/>
  <c r="H2297" i="10"/>
  <c r="H2296" i="10"/>
  <c r="H2295" i="10"/>
  <c r="H2294" i="10"/>
  <c r="H2293" i="10"/>
  <c r="H2292" i="10"/>
  <c r="H2291" i="10"/>
  <c r="H2290" i="10"/>
  <c r="H2289" i="10"/>
  <c r="H2288" i="10"/>
  <c r="H2287" i="10"/>
  <c r="H2286" i="10"/>
  <c r="H2285" i="10"/>
  <c r="H2284" i="10"/>
  <c r="H2283" i="10"/>
  <c r="H2282" i="10"/>
  <c r="H2281" i="10"/>
  <c r="H2280" i="10"/>
  <c r="H2279" i="10"/>
  <c r="H2278" i="10"/>
  <c r="H2277" i="10"/>
  <c r="H2276" i="10"/>
  <c r="H2275" i="10"/>
  <c r="H2274" i="10"/>
  <c r="H2273" i="10"/>
  <c r="H2272" i="10"/>
  <c r="H2271" i="10"/>
  <c r="H2270" i="10"/>
  <c r="H2269" i="10"/>
  <c r="H2268" i="10"/>
  <c r="H2267" i="10"/>
  <c r="H2266" i="10"/>
  <c r="H2265" i="10"/>
  <c r="H2264" i="10"/>
  <c r="H2263" i="10"/>
  <c r="H2262" i="10"/>
  <c r="H2261" i="10"/>
  <c r="H2260" i="10"/>
  <c r="H2259" i="10"/>
  <c r="H2258" i="10"/>
  <c r="H2257" i="10"/>
  <c r="H2256" i="10"/>
  <c r="H2255" i="10"/>
  <c r="H2254" i="10"/>
  <c r="H2253" i="10"/>
  <c r="H2252" i="10"/>
  <c r="H2251" i="10"/>
  <c r="H2250" i="10"/>
  <c r="H2249" i="10"/>
  <c r="H2248" i="10"/>
  <c r="H2247" i="10"/>
  <c r="H2246" i="10"/>
  <c r="H2245" i="10"/>
  <c r="H2244" i="10"/>
  <c r="H2243" i="10"/>
  <c r="H2242" i="10"/>
  <c r="H2241" i="10"/>
  <c r="H2240" i="10"/>
  <c r="H2239" i="10"/>
  <c r="H2238" i="10"/>
  <c r="H2237" i="10"/>
  <c r="H2236" i="10"/>
  <c r="H2235" i="10"/>
  <c r="H2234" i="10"/>
  <c r="H2233" i="10"/>
  <c r="H2232" i="10"/>
  <c r="H2231" i="10"/>
  <c r="H2230" i="10"/>
  <c r="H2229" i="10"/>
  <c r="H2228" i="10"/>
  <c r="H2227" i="10"/>
  <c r="H2226" i="10"/>
  <c r="H2225" i="10"/>
  <c r="H2224" i="10"/>
  <c r="H2223" i="10"/>
  <c r="H2222" i="10"/>
  <c r="H2221" i="10"/>
  <c r="H2220" i="10"/>
  <c r="H2219" i="10"/>
  <c r="H2218" i="10"/>
  <c r="H2217" i="10"/>
  <c r="H2216" i="10"/>
  <c r="H2215" i="10"/>
  <c r="H2214" i="10"/>
  <c r="H2213" i="10"/>
  <c r="H2212" i="10"/>
  <c r="H2211" i="10"/>
  <c r="H2210" i="10"/>
  <c r="H2209" i="10"/>
  <c r="H2208" i="10"/>
  <c r="H2207" i="10"/>
  <c r="H2206" i="10"/>
  <c r="H2205" i="10"/>
  <c r="H2204" i="10"/>
  <c r="H2203" i="10"/>
  <c r="H2202" i="10"/>
  <c r="H2201" i="10"/>
  <c r="H2200" i="10"/>
  <c r="H2199" i="10"/>
  <c r="H2198" i="10"/>
  <c r="H2197" i="10"/>
  <c r="H2196" i="10"/>
  <c r="H2195" i="10"/>
  <c r="H2194" i="10"/>
  <c r="H2193" i="10"/>
  <c r="H2192" i="10"/>
  <c r="H2191" i="10"/>
  <c r="H2190" i="10"/>
  <c r="H2189" i="10"/>
  <c r="H2188" i="10"/>
  <c r="H2187" i="10"/>
  <c r="H2186" i="10"/>
  <c r="H2185" i="10"/>
  <c r="H2184" i="10"/>
  <c r="H2183" i="10"/>
  <c r="H2182" i="10"/>
  <c r="H2181" i="10"/>
  <c r="H2180" i="10"/>
  <c r="H2179" i="10"/>
  <c r="H2178" i="10"/>
  <c r="H2177" i="10"/>
  <c r="H2176" i="10"/>
  <c r="H2175" i="10"/>
  <c r="H2174" i="10"/>
  <c r="H2173" i="10"/>
  <c r="H2172" i="10"/>
  <c r="H2171" i="10"/>
  <c r="H2170" i="10"/>
  <c r="H2169" i="10"/>
  <c r="H2168" i="10"/>
  <c r="H2167" i="10"/>
  <c r="H2166" i="10"/>
  <c r="H2165" i="10"/>
  <c r="H2164" i="10"/>
  <c r="H2163" i="10"/>
  <c r="H2162" i="10"/>
  <c r="H2161" i="10"/>
  <c r="H2160" i="10"/>
  <c r="H2159" i="10"/>
  <c r="H2158" i="10"/>
  <c r="H2157" i="10"/>
  <c r="H2156" i="10"/>
  <c r="H2155" i="10"/>
  <c r="H2154" i="10"/>
  <c r="H2153" i="10"/>
  <c r="H2152" i="10"/>
  <c r="H2151" i="10"/>
  <c r="H2150" i="10"/>
  <c r="H2149" i="10"/>
  <c r="H2148" i="10"/>
  <c r="H2147" i="10"/>
  <c r="H2146" i="10"/>
  <c r="H2145" i="10"/>
  <c r="H2144" i="10"/>
  <c r="H2143" i="10"/>
  <c r="H2142" i="10"/>
  <c r="H2141" i="10"/>
  <c r="H2140" i="10"/>
  <c r="H2139" i="10"/>
  <c r="H2138" i="10"/>
  <c r="H2137" i="10"/>
  <c r="H2136" i="10"/>
  <c r="H2135" i="10"/>
  <c r="H2134" i="10"/>
  <c r="H2133" i="10"/>
  <c r="H2132" i="10"/>
  <c r="H2131" i="10"/>
  <c r="H2130" i="10"/>
  <c r="H2129" i="10"/>
  <c r="H2128" i="10"/>
  <c r="H2127" i="10"/>
  <c r="H2126" i="10"/>
  <c r="H2125" i="10"/>
  <c r="H2124" i="10"/>
  <c r="H2123" i="10"/>
  <c r="H2122" i="10"/>
  <c r="H2121" i="10"/>
  <c r="H2120" i="10"/>
  <c r="H2119" i="10"/>
  <c r="H2118" i="10"/>
  <c r="H2117" i="10"/>
  <c r="H2116" i="10"/>
  <c r="H2115" i="10"/>
  <c r="H2114" i="10"/>
  <c r="H2113" i="10"/>
  <c r="H2112" i="10"/>
  <c r="H2111" i="10"/>
  <c r="H2110" i="10"/>
  <c r="H2109" i="10"/>
  <c r="H2108" i="10"/>
  <c r="H2107" i="10"/>
  <c r="H2106" i="10"/>
  <c r="H2105" i="10"/>
  <c r="H2104" i="10"/>
  <c r="H2103" i="10"/>
  <c r="H2102" i="10"/>
  <c r="H2101" i="10"/>
  <c r="H2100" i="10"/>
  <c r="H2099" i="10"/>
  <c r="H2098" i="10"/>
  <c r="H2097" i="10"/>
  <c r="H2096" i="10"/>
  <c r="H2095" i="10"/>
  <c r="H2094" i="10"/>
  <c r="H2093" i="10"/>
  <c r="H2092" i="10"/>
  <c r="H2091" i="10"/>
  <c r="H2090" i="10"/>
  <c r="H2089" i="10"/>
  <c r="H2088" i="10"/>
  <c r="H2087" i="10"/>
  <c r="H2086" i="10"/>
  <c r="H2085" i="10"/>
  <c r="H2084" i="10"/>
  <c r="H2083" i="10"/>
  <c r="H2082" i="10"/>
  <c r="H2081" i="10"/>
  <c r="H2080" i="10"/>
  <c r="H2079" i="10"/>
  <c r="H2078" i="10"/>
  <c r="H2077" i="10"/>
  <c r="H2076" i="10"/>
  <c r="H2075" i="10"/>
  <c r="H2074" i="10"/>
  <c r="H2073" i="10"/>
  <c r="H2072" i="10"/>
  <c r="H2071" i="10"/>
  <c r="H2070" i="10"/>
  <c r="H2069" i="10"/>
  <c r="H2068" i="10"/>
  <c r="H2067" i="10"/>
  <c r="H2066" i="10"/>
  <c r="H2065" i="10"/>
  <c r="H2064" i="10"/>
  <c r="H2063" i="10"/>
  <c r="H2062" i="10"/>
  <c r="H2061" i="10"/>
  <c r="H2060" i="10"/>
  <c r="H2059" i="10"/>
  <c r="H2058" i="10"/>
  <c r="H2057" i="10"/>
  <c r="H2056" i="10"/>
  <c r="H2055" i="10"/>
  <c r="H2054" i="10"/>
  <c r="H2053" i="10"/>
  <c r="H2052" i="10"/>
  <c r="H2051" i="10"/>
  <c r="H2050" i="10"/>
  <c r="H2049" i="10"/>
  <c r="H2048" i="10"/>
  <c r="H2047" i="10"/>
  <c r="H2046" i="10"/>
  <c r="H2045" i="10"/>
  <c r="H2044" i="10"/>
  <c r="H2043" i="10"/>
  <c r="H2042" i="10"/>
  <c r="H2041" i="10"/>
  <c r="H2040" i="10"/>
  <c r="H2039" i="10"/>
  <c r="H2038" i="10"/>
  <c r="H2037" i="10"/>
  <c r="H2036" i="10"/>
  <c r="H2035" i="10"/>
  <c r="H2034" i="10"/>
  <c r="H2033" i="10"/>
  <c r="H2032" i="10"/>
  <c r="H2031" i="10"/>
  <c r="H2030" i="10"/>
  <c r="H2029" i="10"/>
  <c r="H2028" i="10"/>
  <c r="H2027" i="10"/>
  <c r="H2026" i="10"/>
  <c r="H2025" i="10"/>
  <c r="H2024" i="10"/>
  <c r="H2023" i="10"/>
  <c r="H2022" i="10"/>
  <c r="H2021" i="10"/>
  <c r="H2020" i="10"/>
  <c r="H2019" i="10"/>
  <c r="H2018" i="10"/>
  <c r="H2017" i="10"/>
  <c r="H2016" i="10"/>
  <c r="H2015" i="10"/>
  <c r="H2014" i="10"/>
  <c r="H2013" i="10"/>
  <c r="H2012" i="10"/>
  <c r="H2011" i="10"/>
  <c r="H2010" i="10"/>
  <c r="H2009" i="10"/>
  <c r="H2008" i="10"/>
  <c r="H2007" i="10"/>
  <c r="H2006" i="10"/>
  <c r="H2005" i="10"/>
  <c r="H2004" i="10"/>
  <c r="H2003" i="10"/>
  <c r="H2002" i="10"/>
  <c r="H2001" i="10"/>
  <c r="H2000" i="10"/>
  <c r="H1999" i="10"/>
  <c r="H1998" i="10"/>
  <c r="H1997" i="10"/>
  <c r="H1996" i="10"/>
  <c r="H1995" i="10"/>
  <c r="H1994" i="10"/>
  <c r="H1993" i="10"/>
  <c r="H1992" i="10"/>
  <c r="H1991" i="10"/>
  <c r="H1990" i="10"/>
  <c r="H1989" i="10"/>
  <c r="H1988" i="10"/>
  <c r="H1987" i="10"/>
  <c r="H1986" i="10"/>
  <c r="H1985" i="10"/>
  <c r="H1984" i="10"/>
  <c r="H1983" i="10"/>
  <c r="H1982" i="10"/>
  <c r="H1981" i="10"/>
  <c r="H1980" i="10"/>
  <c r="H1979" i="10"/>
  <c r="H1978" i="10"/>
  <c r="H1977" i="10"/>
  <c r="H1976" i="10"/>
  <c r="H1975" i="10"/>
  <c r="H1974" i="10"/>
  <c r="H1973" i="10"/>
  <c r="H1972" i="10"/>
  <c r="H1971" i="10"/>
  <c r="H1970" i="10"/>
  <c r="H1969" i="10"/>
  <c r="H1968" i="10"/>
  <c r="H1967" i="10"/>
  <c r="H1966" i="10"/>
  <c r="H1965" i="10"/>
  <c r="H1964" i="10"/>
  <c r="H1963" i="10"/>
  <c r="H1962" i="10"/>
  <c r="H1961" i="10"/>
  <c r="H1960" i="10"/>
  <c r="H1959" i="10"/>
  <c r="H1958" i="10"/>
  <c r="H1957" i="10"/>
  <c r="H1956" i="10"/>
  <c r="H1955" i="10"/>
  <c r="H1954" i="10"/>
  <c r="H1953" i="10"/>
  <c r="H1952" i="10"/>
  <c r="H1951" i="10"/>
  <c r="H1950" i="10"/>
  <c r="H1949" i="10"/>
  <c r="H1948" i="10"/>
  <c r="H1947" i="10"/>
  <c r="H1946" i="10"/>
  <c r="H1945" i="10"/>
  <c r="H1944" i="10"/>
  <c r="H1943" i="10"/>
  <c r="H1942" i="10"/>
  <c r="H1941" i="10"/>
  <c r="H1940" i="10"/>
  <c r="H1939" i="10"/>
  <c r="H1938" i="10"/>
  <c r="H1937" i="10"/>
  <c r="H1936" i="10"/>
  <c r="H1935" i="10"/>
  <c r="H1934" i="10"/>
  <c r="H1933" i="10"/>
  <c r="H1932" i="10"/>
  <c r="H1931" i="10"/>
  <c r="H1930" i="10"/>
  <c r="H1929" i="10"/>
  <c r="H1928" i="10"/>
  <c r="H1927" i="10"/>
  <c r="H1926" i="10"/>
  <c r="H1925" i="10"/>
  <c r="H1924" i="10"/>
  <c r="H1923" i="10"/>
  <c r="H1922" i="10"/>
  <c r="H1921" i="10"/>
  <c r="H1920" i="10"/>
  <c r="H1919" i="10"/>
  <c r="H1918" i="10"/>
  <c r="H1917" i="10"/>
  <c r="H1916" i="10"/>
  <c r="H1915" i="10"/>
  <c r="H1914" i="10"/>
  <c r="H1913" i="10"/>
  <c r="H1912" i="10"/>
  <c r="H1911" i="10"/>
  <c r="H1910" i="10"/>
  <c r="H1909" i="10"/>
  <c r="H1908" i="10"/>
  <c r="H1907" i="10"/>
  <c r="H1906" i="10"/>
  <c r="H1905" i="10"/>
  <c r="H1904" i="10"/>
  <c r="H1903" i="10"/>
  <c r="H1902" i="10"/>
  <c r="H1901" i="10"/>
  <c r="H1900" i="10"/>
  <c r="H1899" i="10"/>
  <c r="H1898" i="10"/>
  <c r="H1897" i="10"/>
  <c r="H1896" i="10"/>
  <c r="H1895" i="10"/>
  <c r="H1894" i="10"/>
  <c r="H1893" i="10"/>
  <c r="H1892" i="10"/>
  <c r="H1891" i="10"/>
  <c r="H1890" i="10"/>
  <c r="H1889" i="10"/>
  <c r="H1888" i="10"/>
  <c r="H1887" i="10"/>
  <c r="H1886" i="10"/>
  <c r="H1885" i="10"/>
  <c r="H1884" i="10"/>
  <c r="H1883" i="10"/>
  <c r="H1882" i="10"/>
  <c r="H1881" i="10"/>
  <c r="H1880" i="10"/>
  <c r="H1879" i="10"/>
  <c r="H1878" i="10"/>
  <c r="H1877" i="10"/>
  <c r="H1876" i="10"/>
  <c r="H1875" i="10"/>
  <c r="H1874" i="10"/>
  <c r="H1873" i="10"/>
  <c r="H1872" i="10"/>
  <c r="H1871" i="10"/>
  <c r="H1870" i="10"/>
  <c r="H1869" i="10"/>
  <c r="H1868" i="10"/>
  <c r="H1867" i="10"/>
  <c r="H1866" i="10"/>
  <c r="H1865" i="10"/>
  <c r="H1864" i="10"/>
  <c r="H1863" i="10"/>
  <c r="H1862" i="10"/>
  <c r="H1861" i="10"/>
  <c r="H1860" i="10"/>
  <c r="H1859" i="10"/>
  <c r="H1858" i="10"/>
  <c r="H1857" i="10"/>
  <c r="H1856" i="10"/>
  <c r="H1855" i="10"/>
  <c r="H1854" i="10"/>
  <c r="H1853" i="10"/>
  <c r="H1852" i="10"/>
  <c r="H1851" i="10"/>
  <c r="H1850" i="10"/>
  <c r="H1849" i="10"/>
  <c r="H1848" i="10"/>
  <c r="H1847" i="10"/>
  <c r="H1846" i="10"/>
  <c r="H1845" i="10"/>
  <c r="H1844" i="10"/>
  <c r="H1843" i="10"/>
  <c r="H1842" i="10"/>
  <c r="H1841" i="10"/>
  <c r="H1840" i="10"/>
  <c r="H1839" i="10"/>
  <c r="H1838" i="10"/>
  <c r="H1837" i="10"/>
  <c r="H1836" i="10"/>
  <c r="H1835" i="10"/>
  <c r="H1834" i="10"/>
  <c r="H1833" i="10"/>
  <c r="H1832" i="10"/>
  <c r="H1831" i="10"/>
  <c r="H1830" i="10"/>
  <c r="H1829" i="10"/>
  <c r="H1828" i="10"/>
  <c r="H1827" i="10"/>
  <c r="H1826" i="10"/>
  <c r="H1825" i="10"/>
  <c r="H1824" i="10"/>
  <c r="H1823" i="10"/>
  <c r="H1822" i="10"/>
  <c r="H1821" i="10"/>
  <c r="H1820" i="10"/>
  <c r="H1819" i="10"/>
  <c r="H1818" i="10"/>
  <c r="H1817" i="10"/>
  <c r="H1816" i="10"/>
  <c r="H1815" i="10"/>
  <c r="H1814" i="10"/>
  <c r="H1813" i="10"/>
  <c r="H1812" i="10"/>
  <c r="H1811" i="10"/>
  <c r="H1810" i="10"/>
  <c r="H1809" i="10"/>
  <c r="H1808" i="10"/>
  <c r="H1807" i="10"/>
  <c r="H1806" i="10"/>
  <c r="H1805" i="10"/>
  <c r="H1804" i="10"/>
  <c r="H1803" i="10"/>
  <c r="H1802" i="10"/>
  <c r="H1801" i="10"/>
  <c r="H1800" i="10"/>
  <c r="H1799" i="10"/>
  <c r="H1798" i="10"/>
  <c r="H1797" i="10"/>
  <c r="H1796" i="10"/>
  <c r="H1795" i="10"/>
  <c r="H1794" i="10"/>
  <c r="H1793" i="10"/>
  <c r="H1792" i="10"/>
  <c r="H1791" i="10"/>
  <c r="H1790" i="10"/>
  <c r="H1789" i="10"/>
  <c r="H1788" i="10"/>
  <c r="H1787" i="10"/>
  <c r="H1786" i="10"/>
  <c r="H1785" i="10"/>
  <c r="H1784" i="10"/>
  <c r="H1783" i="10"/>
  <c r="H1782" i="10"/>
  <c r="H1781" i="10"/>
  <c r="H1780" i="10"/>
  <c r="H1779" i="10"/>
  <c r="H1778" i="10"/>
  <c r="H1777" i="10"/>
  <c r="H1776" i="10"/>
  <c r="H1775" i="10"/>
  <c r="H1774" i="10"/>
  <c r="H1773" i="10"/>
  <c r="H1772" i="10"/>
  <c r="H1771" i="10"/>
  <c r="H1770" i="10"/>
  <c r="H1769" i="10"/>
  <c r="H1768" i="10"/>
  <c r="H1767" i="10"/>
  <c r="H1766" i="10"/>
  <c r="H1765" i="10"/>
  <c r="H1764" i="10"/>
  <c r="H1763" i="10"/>
  <c r="H1762" i="10"/>
  <c r="H1761" i="10"/>
  <c r="H1760" i="10"/>
  <c r="H1759" i="10"/>
  <c r="H1758" i="10"/>
  <c r="H1757" i="10"/>
  <c r="H1756" i="10"/>
  <c r="H1755" i="10"/>
  <c r="H1754" i="10"/>
  <c r="H1753" i="10"/>
  <c r="H1752" i="10"/>
  <c r="H1751" i="10"/>
  <c r="H1750" i="10"/>
  <c r="H1749" i="10"/>
  <c r="H1748" i="10"/>
  <c r="H1747" i="10"/>
  <c r="H1746" i="10"/>
  <c r="H1745" i="10"/>
  <c r="H1744" i="10"/>
  <c r="H1743" i="10"/>
  <c r="H1742" i="10"/>
  <c r="H1741" i="10"/>
  <c r="H1740" i="10"/>
  <c r="H1739" i="10"/>
  <c r="H1738" i="10"/>
  <c r="H1737" i="10"/>
  <c r="H1736" i="10"/>
  <c r="H1735" i="10"/>
  <c r="H1734" i="10"/>
  <c r="H1733" i="10"/>
  <c r="H1732" i="10"/>
  <c r="H1731" i="10"/>
  <c r="H1730" i="10"/>
  <c r="H1729" i="10"/>
  <c r="H1728" i="10"/>
  <c r="H1727" i="10"/>
  <c r="H1726" i="10"/>
  <c r="H1725" i="10"/>
  <c r="H1724" i="10"/>
  <c r="H1723" i="10"/>
  <c r="H1722" i="10"/>
  <c r="H1721" i="10"/>
  <c r="H1720" i="10"/>
  <c r="H1719" i="10"/>
  <c r="H1718" i="10"/>
  <c r="H1717" i="10"/>
  <c r="H1716" i="10"/>
  <c r="H1715" i="10"/>
  <c r="H1714" i="10"/>
  <c r="H1713" i="10"/>
  <c r="H1712" i="10"/>
  <c r="H1711" i="10"/>
  <c r="H1710" i="10"/>
  <c r="H1709" i="10"/>
  <c r="H1708" i="10"/>
  <c r="H1707" i="10"/>
  <c r="H1706" i="10"/>
  <c r="H1705" i="10"/>
  <c r="H1704" i="10"/>
  <c r="H1703" i="10"/>
  <c r="H1702" i="10"/>
  <c r="H1701" i="10"/>
  <c r="H1700" i="10"/>
  <c r="H1699" i="10"/>
  <c r="H1698" i="10"/>
  <c r="H1697" i="10"/>
  <c r="H1696" i="10"/>
  <c r="H1695" i="10"/>
  <c r="H1694" i="10"/>
  <c r="H1693" i="10"/>
  <c r="H1692" i="10"/>
  <c r="H1691" i="10"/>
  <c r="H1690" i="10"/>
  <c r="H1689" i="10"/>
  <c r="H1688" i="10"/>
  <c r="H1687" i="10"/>
  <c r="H1686" i="10"/>
  <c r="H1685" i="10"/>
  <c r="H1684" i="10"/>
  <c r="H1683" i="10"/>
  <c r="H1682" i="10"/>
  <c r="H1681" i="10"/>
  <c r="H1680" i="10"/>
  <c r="H1679" i="10"/>
  <c r="H1678" i="10"/>
  <c r="H1677" i="10"/>
  <c r="H1676" i="10"/>
  <c r="H1675" i="10"/>
  <c r="H1674" i="10"/>
  <c r="H1673" i="10"/>
  <c r="H1672" i="10"/>
  <c r="H1671" i="10"/>
  <c r="H1670" i="10"/>
  <c r="H1669" i="10"/>
  <c r="H1668" i="10"/>
  <c r="H1667" i="10"/>
  <c r="H1666" i="10"/>
  <c r="H1665" i="10"/>
  <c r="H1664" i="10"/>
  <c r="H1663" i="10"/>
  <c r="H1662" i="10"/>
  <c r="H1661" i="10"/>
  <c r="H1660" i="10"/>
  <c r="H1659" i="10"/>
  <c r="H1658" i="10"/>
  <c r="H1657" i="10"/>
  <c r="H1656" i="10"/>
  <c r="H1655" i="10"/>
  <c r="H1654" i="10"/>
  <c r="H1653" i="10"/>
  <c r="H1652" i="10"/>
  <c r="H1651" i="10"/>
  <c r="H1650" i="10"/>
  <c r="H1649" i="10"/>
  <c r="H1648" i="10"/>
  <c r="H1647" i="10"/>
  <c r="H1646" i="10"/>
  <c r="H1645" i="10"/>
  <c r="H1644" i="10"/>
  <c r="H1643" i="10"/>
  <c r="H1642" i="10"/>
  <c r="H1641" i="10"/>
  <c r="H1640" i="10"/>
  <c r="H1639" i="10"/>
  <c r="H1638" i="10"/>
  <c r="H1637" i="10"/>
  <c r="H1636" i="10"/>
  <c r="H1635" i="10"/>
  <c r="H1634" i="10"/>
  <c r="H1633" i="10"/>
  <c r="H1632" i="10"/>
  <c r="H1631" i="10"/>
  <c r="H1630" i="10"/>
  <c r="H1629" i="10"/>
  <c r="H1628" i="10"/>
  <c r="H1627" i="10"/>
  <c r="H1626" i="10"/>
  <c r="H1625" i="10"/>
  <c r="H1624" i="10"/>
  <c r="H1623" i="10"/>
  <c r="H1622" i="10"/>
  <c r="H1621" i="10"/>
  <c r="H1620" i="10"/>
  <c r="H1619" i="10"/>
  <c r="H1618" i="10"/>
  <c r="H1617" i="10"/>
  <c r="H1616" i="10"/>
  <c r="H1615" i="10"/>
  <c r="H1614" i="10"/>
  <c r="H1613" i="10"/>
  <c r="H1612" i="10"/>
  <c r="H1611" i="10"/>
  <c r="H1610" i="10"/>
  <c r="H1609" i="10"/>
  <c r="H1608" i="10"/>
  <c r="H1607" i="10"/>
  <c r="H1606" i="10"/>
  <c r="H1605" i="10"/>
  <c r="H1604" i="10"/>
  <c r="H1603" i="10"/>
  <c r="H1602" i="10"/>
  <c r="H1601" i="10"/>
  <c r="H1600" i="10"/>
  <c r="H1599" i="10"/>
  <c r="H1598" i="10"/>
  <c r="H1597" i="10"/>
  <c r="H1596" i="10"/>
  <c r="H1595" i="10"/>
  <c r="H1594" i="10"/>
  <c r="H1593" i="10"/>
  <c r="H1592" i="10"/>
  <c r="H1591" i="10"/>
  <c r="H1590" i="10"/>
  <c r="H1589" i="10"/>
  <c r="H1588" i="10"/>
  <c r="H1587" i="10"/>
  <c r="H1586" i="10"/>
  <c r="H1585" i="10"/>
  <c r="H1584" i="10"/>
  <c r="H1583" i="10"/>
  <c r="H1582" i="10"/>
  <c r="H1581" i="10"/>
  <c r="H1580" i="10"/>
  <c r="H1579" i="10"/>
  <c r="H1578" i="10"/>
  <c r="H1577" i="10"/>
  <c r="H1576" i="10"/>
  <c r="H1575" i="10"/>
  <c r="H1574" i="10"/>
  <c r="H1573" i="10"/>
  <c r="H1572" i="10"/>
  <c r="H1571" i="10"/>
  <c r="H1570" i="10"/>
  <c r="H1569" i="10"/>
  <c r="H1568" i="10"/>
  <c r="H1567" i="10"/>
  <c r="H1566" i="10"/>
  <c r="H1565" i="10"/>
  <c r="H1564" i="10"/>
  <c r="H1563" i="10"/>
  <c r="H1562" i="10"/>
  <c r="H1561" i="10"/>
  <c r="H1560" i="10"/>
  <c r="H1559" i="10"/>
  <c r="H1558" i="10"/>
  <c r="H1557" i="10"/>
  <c r="H1556" i="10"/>
  <c r="H1555" i="10"/>
  <c r="H1554" i="10"/>
  <c r="H1553" i="10"/>
  <c r="H1552" i="10"/>
  <c r="H1551" i="10"/>
  <c r="H1550" i="10"/>
  <c r="H1549" i="10"/>
  <c r="H1548" i="10"/>
  <c r="H1547" i="10"/>
  <c r="H1546" i="10"/>
  <c r="H1545" i="10"/>
  <c r="H1544" i="10"/>
  <c r="H1543" i="10"/>
  <c r="H1542" i="10"/>
  <c r="H1541" i="10"/>
  <c r="H1540" i="10"/>
  <c r="H1539" i="10"/>
  <c r="H1538" i="10"/>
  <c r="H1537" i="10"/>
  <c r="H1536" i="10"/>
  <c r="H1535" i="10"/>
  <c r="H1534" i="10"/>
  <c r="H1533" i="10"/>
  <c r="H1532" i="10"/>
  <c r="H1531" i="10"/>
  <c r="H1530" i="10"/>
  <c r="H1529" i="10"/>
  <c r="H1528" i="10"/>
  <c r="H1527" i="10"/>
  <c r="H1526" i="10"/>
  <c r="H1525" i="10"/>
  <c r="H1524" i="10"/>
  <c r="H1523" i="10"/>
  <c r="H1522" i="10"/>
  <c r="H1521" i="10"/>
  <c r="H1520" i="10"/>
  <c r="H1519" i="10"/>
  <c r="H1518" i="10"/>
  <c r="H1517" i="10"/>
  <c r="H1516" i="10"/>
  <c r="H1515" i="10"/>
  <c r="H1514" i="10"/>
  <c r="H1513" i="10"/>
  <c r="H1512" i="10"/>
  <c r="H1511" i="10"/>
  <c r="H1510" i="10"/>
  <c r="H1509" i="10"/>
  <c r="H1508" i="10"/>
  <c r="H1507" i="10"/>
  <c r="H1506" i="10"/>
  <c r="H1505" i="10"/>
  <c r="H1504" i="10"/>
  <c r="H1503" i="10"/>
  <c r="H1502" i="10"/>
  <c r="H1501" i="10"/>
  <c r="H1500" i="10"/>
  <c r="H1499" i="10"/>
  <c r="H1498" i="10"/>
  <c r="H1497" i="10"/>
  <c r="H1496" i="10"/>
  <c r="H1495" i="10"/>
  <c r="H1494" i="10"/>
  <c r="H1493" i="10"/>
  <c r="H1492" i="10"/>
  <c r="H1491" i="10"/>
  <c r="H1490" i="10"/>
  <c r="H1489" i="10"/>
  <c r="H1488" i="10"/>
  <c r="H1487" i="10"/>
  <c r="H1486" i="10"/>
  <c r="H1485" i="10"/>
  <c r="H1484" i="10"/>
  <c r="H1483" i="10"/>
  <c r="H1482" i="10"/>
  <c r="H1481" i="10"/>
  <c r="H1480" i="10"/>
  <c r="H1479" i="10"/>
  <c r="H1478" i="10"/>
  <c r="H1477" i="10"/>
  <c r="H1476" i="10"/>
  <c r="H1475" i="10"/>
  <c r="H1474" i="10"/>
  <c r="H1473" i="10"/>
  <c r="H1472" i="10"/>
  <c r="H1471" i="10"/>
  <c r="H1470" i="10"/>
  <c r="H1469" i="10"/>
  <c r="H1468" i="10"/>
  <c r="H1467" i="10"/>
  <c r="H1466" i="10"/>
  <c r="H1465" i="10"/>
  <c r="H1464" i="10"/>
  <c r="H1463" i="10"/>
  <c r="H1462" i="10"/>
  <c r="H1461" i="10"/>
  <c r="H1460" i="10"/>
  <c r="H1459" i="10"/>
  <c r="H1458" i="10"/>
  <c r="H1457" i="10"/>
  <c r="H1456" i="10"/>
  <c r="H1455" i="10"/>
  <c r="H1454" i="10"/>
  <c r="H1453" i="10"/>
  <c r="H1452" i="10"/>
  <c r="H1451" i="10"/>
  <c r="H1450" i="10"/>
  <c r="H1449" i="10"/>
  <c r="H1448" i="10"/>
  <c r="H1447" i="10"/>
  <c r="H1446" i="10"/>
  <c r="H1445" i="10"/>
  <c r="H1444" i="10"/>
  <c r="H1443" i="10"/>
  <c r="H1442" i="10"/>
  <c r="H1441" i="10"/>
  <c r="H1440" i="10"/>
  <c r="H1439" i="10"/>
  <c r="H1438" i="10"/>
  <c r="H1437" i="10"/>
  <c r="H1436" i="10"/>
  <c r="H1435" i="10"/>
  <c r="H1434" i="10"/>
  <c r="H1433" i="10"/>
  <c r="H1432" i="10"/>
  <c r="H1431" i="10"/>
  <c r="H1430" i="10"/>
  <c r="H1429" i="10"/>
  <c r="H1428" i="10"/>
  <c r="H1427" i="10"/>
  <c r="H1426" i="10"/>
  <c r="H1425" i="10"/>
  <c r="H1424" i="10"/>
  <c r="H1423" i="10"/>
  <c r="H1422" i="10"/>
  <c r="H1421" i="10"/>
  <c r="H1420" i="10"/>
  <c r="H1419" i="10"/>
  <c r="H1418" i="10"/>
  <c r="H1417" i="10"/>
  <c r="H1416" i="10"/>
  <c r="H1415" i="10"/>
  <c r="H1414" i="10"/>
  <c r="H1413" i="10"/>
  <c r="H1412" i="10"/>
  <c r="H1411" i="10"/>
  <c r="H1410" i="10"/>
  <c r="H1409" i="10"/>
  <c r="H1408" i="10"/>
  <c r="H1407" i="10"/>
  <c r="H1406" i="10"/>
  <c r="H1405" i="10"/>
  <c r="H1404" i="10"/>
  <c r="H1403" i="10"/>
  <c r="H1402" i="10"/>
  <c r="H1401" i="10"/>
  <c r="H1400" i="10"/>
  <c r="H1399" i="10"/>
  <c r="H1398" i="10"/>
  <c r="H1397" i="10"/>
  <c r="H1396" i="10"/>
  <c r="H1395" i="10"/>
  <c r="H1394" i="10"/>
  <c r="H1393" i="10"/>
  <c r="H1392" i="10"/>
  <c r="H1391" i="10"/>
  <c r="H1390" i="10"/>
  <c r="H1389" i="10"/>
  <c r="H1388" i="10"/>
  <c r="H1387" i="10"/>
  <c r="H1386" i="10"/>
  <c r="H1385" i="10"/>
  <c r="H1384" i="10"/>
  <c r="H1383" i="10"/>
  <c r="H1382" i="10"/>
  <c r="H1381" i="10"/>
  <c r="H1380" i="10"/>
  <c r="H1379" i="10"/>
  <c r="H1378" i="10"/>
  <c r="H1377" i="10"/>
  <c r="H1376" i="10"/>
  <c r="H1375" i="10"/>
  <c r="H1374" i="10"/>
  <c r="H1373" i="10"/>
  <c r="H1372" i="10"/>
  <c r="H1371" i="10"/>
  <c r="H1370" i="10"/>
  <c r="H1369" i="10"/>
  <c r="H1368" i="10"/>
  <c r="H1367" i="10"/>
  <c r="H1366" i="10"/>
  <c r="H1365" i="10"/>
  <c r="H1364" i="10"/>
  <c r="H1363" i="10"/>
  <c r="H1362" i="10"/>
  <c r="H1361" i="10"/>
  <c r="H1360" i="10"/>
  <c r="H1359" i="10"/>
  <c r="H1358" i="10"/>
  <c r="H1357" i="10"/>
  <c r="H1356" i="10"/>
  <c r="H1355" i="10"/>
  <c r="H1354" i="10"/>
  <c r="H1353" i="10"/>
  <c r="H1352" i="10"/>
  <c r="H1351" i="10"/>
  <c r="H1350" i="10"/>
  <c r="H1349" i="10"/>
  <c r="H1348" i="10"/>
  <c r="H1347" i="10"/>
  <c r="H1346" i="10"/>
  <c r="H1345" i="10"/>
  <c r="H1344" i="10"/>
  <c r="H1343" i="10"/>
  <c r="H1342" i="10"/>
  <c r="H1341" i="10"/>
  <c r="H1340" i="10"/>
  <c r="H1339" i="10"/>
  <c r="H1338" i="10"/>
  <c r="H1337" i="10"/>
  <c r="H1336" i="10"/>
  <c r="H1335" i="10"/>
  <c r="H1334" i="10"/>
  <c r="H1333" i="10"/>
  <c r="H1332" i="10"/>
  <c r="H1331" i="10"/>
  <c r="H1330" i="10"/>
  <c r="H1329" i="10"/>
  <c r="H1328" i="10"/>
  <c r="H1327" i="10"/>
  <c r="H1326" i="10"/>
  <c r="H1325" i="10"/>
  <c r="H1324" i="10"/>
  <c r="H1323" i="10"/>
  <c r="H1322" i="10"/>
  <c r="H1321" i="10"/>
  <c r="H1320" i="10"/>
  <c r="H1319" i="10"/>
  <c r="H1318" i="10"/>
  <c r="H1317" i="10"/>
  <c r="H1316" i="10"/>
  <c r="H1315" i="10"/>
  <c r="H1314" i="10"/>
  <c r="H1313" i="10"/>
  <c r="H1312" i="10"/>
  <c r="H1311" i="10"/>
  <c r="H1310" i="10"/>
  <c r="H1309" i="10"/>
  <c r="H1308" i="10"/>
  <c r="H1307" i="10"/>
  <c r="H1306" i="10"/>
  <c r="H1305" i="10"/>
  <c r="H1304" i="10"/>
  <c r="H1303" i="10"/>
  <c r="H1302" i="10"/>
  <c r="H1301" i="10"/>
  <c r="H1300" i="10"/>
  <c r="H1299" i="10"/>
  <c r="H1298" i="10"/>
  <c r="H1297" i="10"/>
  <c r="H1296" i="10"/>
  <c r="H1295" i="10"/>
  <c r="H1294" i="10"/>
  <c r="H1293" i="10"/>
  <c r="H1292" i="10"/>
  <c r="H1291" i="10"/>
  <c r="H1290" i="10"/>
  <c r="H1289" i="10"/>
  <c r="H1288" i="10"/>
  <c r="H1287" i="10"/>
  <c r="H1286" i="10"/>
  <c r="H1285" i="10"/>
  <c r="H1284" i="10"/>
  <c r="H1283" i="10"/>
  <c r="H1282" i="10"/>
  <c r="H1281" i="10"/>
  <c r="H1280" i="10"/>
  <c r="H1279" i="10"/>
  <c r="H1278" i="10"/>
  <c r="H1277" i="10"/>
  <c r="H1276" i="10"/>
  <c r="H1275" i="10"/>
  <c r="H1274" i="10"/>
  <c r="H1273" i="10"/>
  <c r="H1272" i="10"/>
  <c r="H1271" i="10"/>
  <c r="H1270" i="10"/>
  <c r="H1269" i="10"/>
  <c r="H1268" i="10"/>
  <c r="H1267" i="10"/>
  <c r="H1266" i="10"/>
  <c r="H1265" i="10"/>
  <c r="H1264" i="10"/>
  <c r="H1263" i="10"/>
  <c r="H1262" i="10"/>
  <c r="H1261" i="10"/>
  <c r="H1260" i="10"/>
  <c r="H1259" i="10"/>
  <c r="H1258" i="10"/>
  <c r="H1257" i="10"/>
  <c r="H1256" i="10"/>
  <c r="H1255" i="10"/>
  <c r="H1254" i="10"/>
  <c r="H1253" i="10"/>
  <c r="H1252" i="10"/>
  <c r="H1251" i="10"/>
  <c r="H1250" i="10"/>
  <c r="H1249" i="10"/>
  <c r="H1248" i="10"/>
  <c r="H1247" i="10"/>
  <c r="H1246" i="10"/>
  <c r="H1245" i="10"/>
  <c r="H1244" i="10"/>
  <c r="H1243" i="10"/>
  <c r="H1242" i="10"/>
  <c r="H1241" i="10"/>
  <c r="H1240" i="10"/>
  <c r="H1239" i="10"/>
  <c r="H1238" i="10"/>
  <c r="H1237" i="10"/>
  <c r="H1236" i="10"/>
  <c r="H1235" i="10"/>
  <c r="H1234" i="10"/>
  <c r="H1233" i="10"/>
  <c r="H1232" i="10"/>
  <c r="H1231" i="10"/>
  <c r="H1230" i="10"/>
  <c r="H1229" i="10"/>
  <c r="H1228" i="10"/>
  <c r="H1227" i="10"/>
  <c r="H1226" i="10"/>
  <c r="H1225" i="10"/>
  <c r="H1224" i="10"/>
  <c r="H1223" i="10"/>
  <c r="H1222" i="10"/>
  <c r="H1221" i="10"/>
  <c r="H1220" i="10"/>
  <c r="H1219" i="10"/>
  <c r="H1218" i="10"/>
  <c r="H1217" i="10"/>
  <c r="H1216" i="10"/>
  <c r="H1215" i="10"/>
  <c r="H1214" i="10"/>
  <c r="H1213" i="10"/>
  <c r="H1212" i="10"/>
  <c r="H1211" i="10"/>
  <c r="H1210" i="10"/>
  <c r="H1209" i="10"/>
  <c r="H1208" i="10"/>
  <c r="H1207" i="10"/>
  <c r="H1206" i="10"/>
  <c r="H1205" i="10"/>
  <c r="H1204" i="10"/>
  <c r="H1203" i="10"/>
  <c r="H1202" i="10"/>
  <c r="H1201" i="10"/>
  <c r="H1200" i="10"/>
  <c r="H1199" i="10"/>
  <c r="H1198" i="10"/>
  <c r="H1197" i="10"/>
  <c r="H1196" i="10"/>
  <c r="H1195" i="10"/>
  <c r="H1194" i="10"/>
  <c r="H1193" i="10"/>
  <c r="H1192" i="10"/>
  <c r="H1191" i="10"/>
  <c r="H1190" i="10"/>
  <c r="H1189" i="10"/>
  <c r="H1188" i="10"/>
  <c r="H1187" i="10"/>
  <c r="H1186" i="10"/>
  <c r="H1185" i="10"/>
  <c r="H1184" i="10"/>
  <c r="H1183" i="10"/>
  <c r="H1182" i="10"/>
  <c r="H1181" i="10"/>
  <c r="H1180" i="10"/>
  <c r="H1179" i="10"/>
  <c r="H1178" i="10"/>
  <c r="H1177" i="10"/>
  <c r="H1176" i="10"/>
  <c r="H1175" i="10"/>
  <c r="H1174" i="10"/>
  <c r="H1173" i="10"/>
  <c r="H1172" i="10"/>
  <c r="H1171" i="10"/>
  <c r="H1170" i="10"/>
  <c r="H1169" i="10"/>
  <c r="H1168" i="10"/>
  <c r="H1167" i="10"/>
  <c r="H1166" i="10"/>
  <c r="H1165" i="10"/>
  <c r="H1164" i="10"/>
  <c r="H1163" i="10"/>
  <c r="H1162" i="10"/>
  <c r="H1161" i="10"/>
  <c r="H1160" i="10"/>
  <c r="H1159" i="10"/>
  <c r="H1158" i="10"/>
  <c r="H1157" i="10"/>
  <c r="H1156" i="10"/>
  <c r="H1155" i="10"/>
  <c r="H1154" i="10"/>
  <c r="H1153" i="10"/>
  <c r="H1152" i="10"/>
  <c r="H1151" i="10"/>
  <c r="H1150" i="10"/>
  <c r="H1149" i="10"/>
  <c r="H1148" i="10"/>
  <c r="H1147" i="10"/>
  <c r="H1146" i="10"/>
  <c r="H1145" i="10"/>
  <c r="H1144" i="10"/>
  <c r="H1143" i="10"/>
  <c r="H1142" i="10"/>
  <c r="H1141" i="10"/>
  <c r="H1140" i="10"/>
  <c r="H1139" i="10"/>
  <c r="H1138" i="10"/>
  <c r="H1137" i="10"/>
  <c r="H1136" i="10"/>
  <c r="H1135" i="10"/>
  <c r="H1134" i="10"/>
  <c r="H1133" i="10"/>
  <c r="H1132" i="10"/>
  <c r="H1131" i="10"/>
  <c r="H1130" i="10"/>
  <c r="H1129" i="10"/>
  <c r="H1128" i="10"/>
  <c r="H1127" i="10"/>
  <c r="H1126" i="10"/>
  <c r="H1125" i="10"/>
  <c r="H1124" i="10"/>
  <c r="H1123" i="10"/>
  <c r="H1122" i="10"/>
  <c r="H1121" i="10"/>
  <c r="H1120" i="10"/>
  <c r="H1119" i="10"/>
  <c r="H1118" i="10"/>
  <c r="H1117" i="10"/>
  <c r="H1116" i="10"/>
  <c r="H1115" i="10"/>
  <c r="H1114" i="10"/>
  <c r="H1113" i="10"/>
  <c r="H1112" i="10"/>
  <c r="H1111" i="10"/>
  <c r="H1110" i="10"/>
  <c r="H1109" i="10"/>
  <c r="H1108" i="10"/>
  <c r="H1107" i="10"/>
  <c r="H1106" i="10"/>
  <c r="H1105" i="10"/>
  <c r="H1104" i="10"/>
  <c r="H1103" i="10"/>
  <c r="H1102" i="10"/>
  <c r="H1101" i="10"/>
  <c r="H1100" i="10"/>
  <c r="H1099" i="10"/>
  <c r="H1098" i="10"/>
  <c r="H1097" i="10"/>
  <c r="H1096" i="10"/>
  <c r="H1095" i="10"/>
  <c r="H1094" i="10"/>
  <c r="H1093" i="10"/>
  <c r="H1092" i="10"/>
  <c r="H1091" i="10"/>
  <c r="H1090" i="10"/>
  <c r="H1089" i="10"/>
  <c r="H1088" i="10"/>
  <c r="H1087" i="10"/>
  <c r="H1086" i="10"/>
  <c r="H1085" i="10"/>
  <c r="H1084" i="10"/>
  <c r="H1083" i="10"/>
  <c r="H1082" i="10"/>
  <c r="H1081" i="10"/>
  <c r="H1080" i="10"/>
  <c r="H1079" i="10"/>
  <c r="H1078" i="10"/>
  <c r="H1077" i="10"/>
  <c r="H1076" i="10"/>
  <c r="H1075" i="10"/>
  <c r="H1074" i="10"/>
  <c r="H1073" i="10"/>
  <c r="H1072" i="10"/>
  <c r="H1071" i="10"/>
  <c r="H1070" i="10"/>
  <c r="H1069" i="10"/>
  <c r="H1068" i="10"/>
  <c r="H1067" i="10"/>
  <c r="H1066" i="10"/>
  <c r="H1065" i="10"/>
  <c r="H1064" i="10"/>
  <c r="H1063" i="10"/>
  <c r="H1062" i="10"/>
  <c r="H1061" i="10"/>
  <c r="H1060" i="10"/>
  <c r="H1059" i="10"/>
  <c r="H1058" i="10"/>
  <c r="H1057" i="10"/>
  <c r="H1056" i="10"/>
  <c r="H1055" i="10"/>
  <c r="H1054" i="10"/>
  <c r="H1053" i="10"/>
  <c r="H1052" i="10"/>
  <c r="H1051" i="10"/>
  <c r="H1050" i="10"/>
  <c r="H1049" i="10"/>
  <c r="H1048" i="10"/>
  <c r="H1047" i="10"/>
  <c r="H1046" i="10"/>
  <c r="H1045" i="10"/>
  <c r="H1044" i="10"/>
  <c r="H1043" i="10"/>
  <c r="H1042" i="10"/>
  <c r="H1041" i="10"/>
  <c r="H1040" i="10"/>
  <c r="H1039" i="10"/>
  <c r="H1038" i="10"/>
  <c r="H1037" i="10"/>
  <c r="H1036" i="10"/>
  <c r="H1035" i="10"/>
  <c r="H1034" i="10"/>
  <c r="H1033" i="10"/>
  <c r="H1032" i="10"/>
  <c r="H1031" i="10"/>
  <c r="H1030" i="10"/>
  <c r="H1029" i="10"/>
  <c r="H1028" i="10"/>
  <c r="H1027" i="10"/>
  <c r="H1026" i="10"/>
  <c r="H1025" i="10"/>
  <c r="H1024" i="10"/>
  <c r="H1023" i="10"/>
  <c r="H1022" i="10"/>
  <c r="H1021" i="10"/>
  <c r="H1020" i="10"/>
  <c r="H1019" i="10"/>
  <c r="H1018" i="10"/>
  <c r="H1017" i="10"/>
  <c r="H1016" i="10"/>
  <c r="H1015" i="10"/>
  <c r="H1014" i="10"/>
  <c r="H1013" i="10"/>
  <c r="H1012" i="10"/>
  <c r="H1011" i="10"/>
  <c r="H1010" i="10"/>
  <c r="H1009" i="10"/>
  <c r="H1008" i="10"/>
  <c r="H1007" i="10"/>
  <c r="H1006" i="10"/>
  <c r="H1005" i="10"/>
  <c r="H1004" i="10"/>
  <c r="H1003" i="10"/>
  <c r="H1002" i="10"/>
  <c r="H1001" i="10"/>
  <c r="H1000" i="10"/>
  <c r="H999" i="10"/>
  <c r="H998" i="10"/>
  <c r="H997" i="10"/>
  <c r="H996" i="10"/>
  <c r="H995" i="10"/>
  <c r="H994" i="10"/>
  <c r="H993" i="10"/>
  <c r="H992" i="10"/>
  <c r="H991" i="10"/>
  <c r="H990" i="10"/>
  <c r="H989" i="10"/>
  <c r="H988" i="10"/>
  <c r="H987" i="10"/>
  <c r="H986" i="10"/>
  <c r="H985" i="10"/>
  <c r="H984" i="10"/>
  <c r="H983" i="10"/>
  <c r="H982" i="10"/>
  <c r="H981" i="10"/>
  <c r="H980" i="10"/>
  <c r="H979" i="10"/>
  <c r="H978" i="10"/>
  <c r="H977" i="10"/>
  <c r="H976" i="10"/>
  <c r="H975" i="10"/>
  <c r="H974" i="10"/>
  <c r="H973" i="10"/>
  <c r="H972" i="10"/>
  <c r="H971" i="10"/>
  <c r="H970" i="10"/>
  <c r="H969" i="10"/>
  <c r="H968" i="10"/>
  <c r="H967" i="10"/>
  <c r="H966" i="10"/>
  <c r="H965" i="10"/>
  <c r="H964" i="10"/>
  <c r="H963" i="10"/>
  <c r="H962" i="10"/>
  <c r="H961" i="10"/>
  <c r="H960" i="10"/>
  <c r="H959" i="10"/>
  <c r="H958" i="10"/>
  <c r="H957" i="10"/>
  <c r="H956" i="10"/>
  <c r="H955" i="10"/>
  <c r="H954" i="10"/>
  <c r="H953" i="10"/>
  <c r="H952" i="10"/>
  <c r="H951" i="10"/>
  <c r="H950" i="10"/>
  <c r="H949" i="10"/>
  <c r="H948" i="10"/>
  <c r="H947" i="10"/>
  <c r="H946" i="10"/>
  <c r="H945" i="10"/>
  <c r="H944" i="10"/>
  <c r="H943" i="10"/>
  <c r="H942" i="10"/>
  <c r="H941" i="10"/>
  <c r="H940" i="10"/>
  <c r="H939" i="10"/>
  <c r="H938" i="10"/>
  <c r="H937" i="10"/>
  <c r="H936" i="10"/>
  <c r="H935" i="10"/>
  <c r="H934" i="10"/>
  <c r="H933" i="10"/>
  <c r="H932" i="10"/>
  <c r="H931" i="10"/>
  <c r="H930" i="10"/>
  <c r="H929" i="10"/>
  <c r="H928" i="10"/>
  <c r="H927" i="10"/>
  <c r="H926" i="10"/>
  <c r="H925" i="10"/>
  <c r="H924" i="10"/>
  <c r="H923" i="10"/>
  <c r="H922" i="10"/>
  <c r="H921" i="10"/>
  <c r="H920" i="10"/>
  <c r="H919" i="10"/>
  <c r="H918" i="10"/>
  <c r="H917" i="10"/>
  <c r="H916" i="10"/>
  <c r="H915" i="10"/>
  <c r="H914" i="10"/>
  <c r="H913" i="10"/>
  <c r="H912" i="10"/>
  <c r="H911" i="10"/>
  <c r="H910" i="10"/>
  <c r="H909" i="10"/>
  <c r="H908" i="10"/>
  <c r="H907" i="10"/>
  <c r="H906" i="10"/>
  <c r="H905" i="10"/>
  <c r="H904" i="10"/>
  <c r="H903" i="10"/>
  <c r="H902" i="10"/>
  <c r="H901" i="10"/>
  <c r="H900" i="10"/>
  <c r="H899" i="10"/>
  <c r="H898" i="10"/>
  <c r="H897" i="10"/>
  <c r="H896" i="10"/>
  <c r="H895" i="10"/>
  <c r="H894" i="10"/>
  <c r="H893" i="10"/>
  <c r="H892" i="10"/>
  <c r="H891" i="10"/>
  <c r="H890" i="10"/>
  <c r="H889" i="10"/>
  <c r="H888" i="10"/>
  <c r="H887" i="10"/>
  <c r="H886" i="10"/>
  <c r="H885" i="10"/>
  <c r="H884" i="10"/>
  <c r="H883" i="10"/>
  <c r="H882" i="10"/>
  <c r="H881" i="10"/>
  <c r="H880" i="10"/>
  <c r="H879" i="10"/>
  <c r="H878" i="10"/>
  <c r="H877" i="10"/>
  <c r="H876" i="10"/>
  <c r="H875" i="10"/>
  <c r="H874" i="10"/>
  <c r="H873" i="10"/>
  <c r="H872" i="10"/>
  <c r="H871" i="10"/>
  <c r="H870" i="10"/>
  <c r="H869" i="10"/>
  <c r="H868" i="10"/>
  <c r="H867" i="10"/>
  <c r="H866" i="10"/>
  <c r="H865" i="10"/>
  <c r="H864" i="10"/>
  <c r="H863" i="10"/>
  <c r="H862" i="10"/>
  <c r="H861" i="10"/>
  <c r="H860" i="10"/>
  <c r="H859" i="10"/>
  <c r="H858" i="10"/>
  <c r="H857" i="10"/>
  <c r="H856" i="10"/>
  <c r="H855" i="10"/>
  <c r="H854" i="10"/>
  <c r="H853" i="10"/>
  <c r="H852" i="10"/>
  <c r="H851" i="10"/>
  <c r="H850" i="10"/>
  <c r="H849" i="10"/>
  <c r="H848" i="10"/>
  <c r="H847" i="10"/>
  <c r="H846" i="10"/>
  <c r="H845" i="10"/>
  <c r="H844" i="10"/>
  <c r="H843" i="10"/>
  <c r="H842" i="10"/>
  <c r="H841" i="10"/>
  <c r="H840" i="10"/>
  <c r="H839" i="10"/>
  <c r="H838" i="10"/>
  <c r="H837" i="10"/>
  <c r="H836" i="10"/>
  <c r="H835" i="10"/>
  <c r="H834" i="10"/>
  <c r="H833" i="10"/>
  <c r="H832" i="10"/>
  <c r="H831" i="10"/>
  <c r="H830" i="10"/>
  <c r="H829" i="10"/>
  <c r="H828" i="10"/>
  <c r="H827" i="10"/>
  <c r="H826" i="10"/>
  <c r="H825" i="10"/>
  <c r="H824" i="10"/>
  <c r="H823" i="10"/>
  <c r="H822" i="10"/>
  <c r="H821" i="10"/>
  <c r="H820" i="10"/>
  <c r="H819" i="10"/>
  <c r="H818" i="10"/>
  <c r="H817" i="10"/>
  <c r="H816" i="10"/>
  <c r="H815" i="10"/>
  <c r="H814" i="10"/>
  <c r="H813" i="10"/>
  <c r="H812" i="10"/>
  <c r="H811" i="10"/>
  <c r="H810" i="10"/>
  <c r="H809" i="10"/>
  <c r="H808" i="10"/>
  <c r="H807" i="10"/>
  <c r="H806" i="10"/>
  <c r="H805" i="10"/>
  <c r="H804" i="10"/>
  <c r="H803" i="10"/>
  <c r="H802" i="10"/>
  <c r="H801" i="10"/>
  <c r="H800" i="10"/>
  <c r="H799" i="10"/>
  <c r="H798" i="10"/>
  <c r="H797" i="10"/>
  <c r="H796" i="10"/>
  <c r="H795" i="10"/>
  <c r="H794" i="10"/>
  <c r="H793" i="10"/>
  <c r="H792" i="10"/>
  <c r="H791" i="10"/>
  <c r="H790" i="10"/>
  <c r="H789" i="10"/>
  <c r="H788" i="10"/>
  <c r="H787" i="10"/>
  <c r="H786" i="10"/>
  <c r="H785" i="10"/>
  <c r="H784" i="10"/>
  <c r="H783" i="10"/>
  <c r="H782" i="10"/>
  <c r="H781" i="10"/>
  <c r="H780" i="10"/>
  <c r="H779" i="10"/>
  <c r="H778" i="10"/>
  <c r="H777" i="10"/>
  <c r="H776" i="10"/>
  <c r="H775" i="10"/>
  <c r="H774" i="10"/>
  <c r="H773" i="10"/>
  <c r="H772" i="10"/>
  <c r="H771" i="10"/>
  <c r="H770" i="10"/>
  <c r="H769" i="10"/>
  <c r="H768" i="10"/>
  <c r="H767" i="10"/>
  <c r="H766" i="10"/>
  <c r="H765" i="10"/>
  <c r="H764" i="10"/>
  <c r="H763" i="10"/>
  <c r="H762" i="10"/>
  <c r="H761" i="10"/>
  <c r="H760" i="10"/>
  <c r="H759" i="10"/>
  <c r="H758" i="10"/>
  <c r="H757" i="10"/>
  <c r="H756" i="10"/>
  <c r="H755" i="10"/>
  <c r="H754" i="10"/>
  <c r="H753" i="10"/>
  <c r="H752" i="10"/>
  <c r="H751" i="10"/>
  <c r="H750" i="10"/>
  <c r="H749" i="10"/>
  <c r="H748" i="10"/>
  <c r="H747" i="10"/>
  <c r="H746" i="10"/>
  <c r="H745" i="10"/>
  <c r="H744" i="10"/>
  <c r="H743" i="10"/>
  <c r="H742" i="10"/>
  <c r="H741" i="10"/>
  <c r="H740" i="10"/>
  <c r="H739" i="10"/>
  <c r="H738" i="10"/>
  <c r="H737" i="10"/>
  <c r="H736" i="10"/>
  <c r="H735" i="10"/>
  <c r="H734" i="10"/>
  <c r="H733" i="10"/>
  <c r="H732" i="10"/>
  <c r="H731" i="10"/>
  <c r="H730" i="10"/>
  <c r="H729" i="10"/>
  <c r="H728" i="10"/>
  <c r="H727" i="10"/>
  <c r="H726" i="10"/>
  <c r="H725" i="10"/>
  <c r="H724" i="10"/>
  <c r="H723" i="10"/>
  <c r="H722" i="10"/>
  <c r="H721" i="10"/>
  <c r="H720" i="10"/>
  <c r="H719" i="10"/>
  <c r="H718" i="10"/>
  <c r="H717" i="10"/>
  <c r="H716" i="10"/>
  <c r="H715" i="10"/>
  <c r="H714" i="10"/>
  <c r="H713" i="10"/>
  <c r="H712" i="10"/>
  <c r="H711" i="10"/>
  <c r="H710" i="10"/>
  <c r="H709" i="10"/>
  <c r="H708" i="10"/>
  <c r="H707" i="10"/>
  <c r="H706" i="10"/>
  <c r="H705" i="10"/>
  <c r="H704" i="10"/>
  <c r="H703" i="10"/>
  <c r="H702" i="10"/>
  <c r="H701" i="10"/>
  <c r="H700" i="10"/>
  <c r="H699" i="10"/>
  <c r="H698" i="10"/>
  <c r="H697" i="10"/>
  <c r="H696" i="10"/>
  <c r="H695" i="10"/>
  <c r="H694" i="10"/>
  <c r="H693" i="10"/>
  <c r="H692" i="10"/>
  <c r="H691" i="10"/>
  <c r="H690" i="10"/>
  <c r="H689" i="10"/>
  <c r="H688" i="10"/>
  <c r="H687" i="10"/>
  <c r="H686" i="10"/>
  <c r="H685" i="10"/>
  <c r="H684" i="10"/>
  <c r="H683" i="10"/>
  <c r="H682" i="10"/>
  <c r="H681" i="10"/>
  <c r="H680" i="10"/>
  <c r="H679" i="10"/>
  <c r="H678" i="10"/>
  <c r="H677" i="10"/>
  <c r="H676" i="10"/>
  <c r="H675" i="10"/>
  <c r="H674" i="10"/>
  <c r="H673" i="10"/>
  <c r="H672" i="10"/>
  <c r="H671" i="10"/>
  <c r="H670" i="10"/>
  <c r="H669" i="10"/>
  <c r="H668" i="10"/>
  <c r="H667" i="10"/>
  <c r="H666" i="10"/>
  <c r="H665" i="10"/>
  <c r="H664" i="10"/>
  <c r="H663" i="10"/>
  <c r="H662" i="10"/>
  <c r="H661" i="10"/>
  <c r="H660" i="10"/>
  <c r="H659" i="10"/>
  <c r="H658" i="10"/>
  <c r="H657" i="10"/>
  <c r="H656" i="10"/>
  <c r="H655" i="10"/>
  <c r="H654" i="10"/>
  <c r="H653" i="10"/>
  <c r="H652" i="10"/>
  <c r="H651" i="10"/>
  <c r="H650" i="10"/>
  <c r="H649" i="10"/>
  <c r="H648" i="10"/>
  <c r="H647" i="10"/>
  <c r="H646" i="10"/>
  <c r="H645" i="10"/>
  <c r="H644" i="10"/>
  <c r="H643" i="10"/>
  <c r="H642" i="10"/>
  <c r="H641" i="10"/>
  <c r="H640" i="10"/>
  <c r="H639" i="10"/>
  <c r="H638" i="10"/>
  <c r="H637" i="10"/>
  <c r="H636" i="10"/>
  <c r="H635" i="10"/>
  <c r="H634" i="10"/>
  <c r="H633" i="10"/>
  <c r="H632" i="10"/>
  <c r="H631" i="10"/>
  <c r="H630" i="10"/>
  <c r="H629" i="10"/>
  <c r="H628" i="10"/>
  <c r="H627" i="10"/>
  <c r="H626" i="10"/>
  <c r="H625" i="10"/>
  <c r="H624" i="10"/>
  <c r="H623" i="10"/>
  <c r="H622" i="10"/>
  <c r="H621" i="10"/>
  <c r="H620" i="10"/>
  <c r="H619" i="10"/>
  <c r="H618" i="10"/>
  <c r="H617" i="10"/>
  <c r="H616" i="10"/>
  <c r="H615" i="10"/>
  <c r="H614" i="10"/>
  <c r="H613" i="10"/>
  <c r="H612" i="10"/>
  <c r="H611" i="10"/>
  <c r="H610" i="10"/>
  <c r="H609" i="10"/>
  <c r="H608" i="10"/>
  <c r="H607" i="10"/>
  <c r="H606" i="10"/>
  <c r="H605" i="10"/>
  <c r="H604" i="10"/>
  <c r="H603" i="10"/>
  <c r="H602" i="10"/>
  <c r="H601" i="10"/>
  <c r="H600" i="10"/>
  <c r="H599" i="10"/>
  <c r="H598" i="10"/>
  <c r="H597" i="10"/>
  <c r="H596" i="10"/>
  <c r="H595" i="10"/>
  <c r="H594" i="10"/>
  <c r="H593" i="10"/>
  <c r="H592" i="10"/>
  <c r="H591" i="10"/>
  <c r="H590" i="10"/>
  <c r="H589" i="10"/>
  <c r="H588" i="10"/>
  <c r="H587" i="10"/>
  <c r="H586" i="10"/>
  <c r="H585" i="10"/>
  <c r="H584" i="10"/>
  <c r="H583" i="10"/>
  <c r="H582" i="10"/>
  <c r="H581" i="10"/>
  <c r="H580" i="10"/>
  <c r="H579" i="10"/>
  <c r="H578" i="10"/>
  <c r="H577" i="10"/>
  <c r="H576" i="10"/>
  <c r="H575" i="10"/>
  <c r="H574" i="10"/>
  <c r="H573" i="10"/>
  <c r="H572" i="10"/>
  <c r="H571" i="10"/>
  <c r="H570" i="10"/>
  <c r="H569" i="10"/>
  <c r="H568" i="10"/>
  <c r="H567" i="10"/>
  <c r="H566" i="10"/>
  <c r="H565" i="10"/>
  <c r="H564" i="10"/>
  <c r="H563" i="10"/>
  <c r="H562" i="10"/>
  <c r="H561" i="10"/>
  <c r="H560" i="10"/>
  <c r="H559" i="10"/>
  <c r="H558" i="10"/>
  <c r="H557" i="10"/>
  <c r="H556" i="10"/>
  <c r="H555" i="10"/>
  <c r="H554" i="10"/>
  <c r="H553" i="10"/>
  <c r="H552" i="10"/>
  <c r="H551" i="10"/>
  <c r="H550" i="10"/>
  <c r="H549" i="10"/>
  <c r="H548" i="10"/>
  <c r="H547" i="10"/>
  <c r="H546" i="10"/>
  <c r="H545" i="10"/>
  <c r="H544" i="10"/>
  <c r="H543" i="10"/>
  <c r="H542" i="10"/>
  <c r="H541" i="10"/>
  <c r="H540" i="10"/>
  <c r="H539" i="10"/>
  <c r="H538" i="10"/>
  <c r="H537" i="10"/>
  <c r="H536" i="10"/>
  <c r="H535" i="10"/>
  <c r="H534" i="10"/>
  <c r="H533" i="10"/>
  <c r="H532" i="10"/>
  <c r="H531" i="10"/>
  <c r="H530" i="10"/>
  <c r="H529" i="10"/>
  <c r="H528" i="10"/>
  <c r="H527" i="10"/>
  <c r="H526" i="10"/>
  <c r="H525" i="10"/>
  <c r="H524" i="10"/>
  <c r="H523" i="10"/>
  <c r="H522" i="10"/>
  <c r="H521" i="10"/>
  <c r="H520" i="10"/>
  <c r="H519" i="10"/>
  <c r="H518" i="10"/>
  <c r="H517" i="10"/>
  <c r="H516" i="10"/>
  <c r="H515" i="10"/>
  <c r="H514" i="10"/>
  <c r="H513" i="10"/>
  <c r="H512" i="10"/>
  <c r="H511" i="10"/>
  <c r="H510" i="10"/>
  <c r="H509" i="10"/>
  <c r="H508" i="10"/>
  <c r="H507" i="10"/>
  <c r="H506" i="10"/>
  <c r="H505" i="10"/>
  <c r="H504" i="10"/>
  <c r="H503" i="10"/>
  <c r="H502" i="10"/>
  <c r="H501" i="10"/>
  <c r="H500" i="10"/>
  <c r="H499" i="10"/>
  <c r="H498" i="10"/>
  <c r="H497" i="10"/>
  <c r="H496" i="10"/>
  <c r="H495" i="10"/>
  <c r="H494" i="10"/>
  <c r="H493" i="10"/>
  <c r="H492" i="10"/>
  <c r="H491" i="10"/>
  <c r="H490" i="10"/>
  <c r="H489" i="10"/>
  <c r="H488" i="10"/>
  <c r="H487" i="10"/>
  <c r="H486" i="10"/>
  <c r="H485" i="10"/>
  <c r="H484" i="10"/>
  <c r="H483" i="10"/>
  <c r="H482" i="10"/>
  <c r="H481" i="10"/>
  <c r="H480" i="10"/>
  <c r="H479" i="10"/>
  <c r="H478" i="10"/>
  <c r="H477" i="10"/>
  <c r="H476" i="10"/>
  <c r="H475" i="10"/>
  <c r="H474" i="10"/>
  <c r="H473" i="10"/>
  <c r="H472" i="10"/>
  <c r="H471" i="10"/>
  <c r="H470" i="10"/>
  <c r="H469" i="10"/>
  <c r="H468" i="10"/>
  <c r="H467" i="10"/>
  <c r="H466" i="10"/>
  <c r="H465" i="10"/>
  <c r="H464" i="10"/>
  <c r="H463" i="10"/>
  <c r="H462" i="10"/>
  <c r="H461" i="10"/>
  <c r="H460" i="10"/>
  <c r="H459" i="10"/>
  <c r="H458" i="10"/>
  <c r="H457" i="10"/>
  <c r="H456" i="10"/>
  <c r="H455" i="10"/>
  <c r="H454" i="10"/>
  <c r="H453" i="10"/>
  <c r="H452" i="10"/>
  <c r="H451" i="10"/>
  <c r="H450" i="10"/>
  <c r="H449" i="10"/>
  <c r="H448" i="10"/>
  <c r="H447" i="10"/>
  <c r="H446" i="10"/>
  <c r="H445" i="10"/>
  <c r="H444" i="10"/>
  <c r="H443" i="10"/>
  <c r="H442" i="10"/>
  <c r="H441" i="10"/>
  <c r="H440" i="10"/>
  <c r="H439" i="10"/>
  <c r="H438" i="10"/>
  <c r="H437" i="10"/>
  <c r="H436" i="10"/>
  <c r="H435" i="10"/>
  <c r="H434" i="10"/>
  <c r="H433" i="10"/>
  <c r="H432" i="10"/>
  <c r="H431" i="10"/>
  <c r="H430" i="10"/>
  <c r="H429" i="10"/>
  <c r="H428" i="10"/>
  <c r="H427" i="10"/>
  <c r="H426" i="10"/>
  <c r="H425" i="10"/>
  <c r="H424" i="10"/>
  <c r="H423" i="10"/>
  <c r="H422" i="10"/>
  <c r="H421" i="10"/>
  <c r="H420" i="10"/>
  <c r="H419" i="10"/>
  <c r="H418" i="10"/>
  <c r="H417" i="10"/>
  <c r="H416" i="10"/>
  <c r="H415" i="10"/>
  <c r="H414" i="10"/>
  <c r="H413" i="10"/>
  <c r="H412" i="10"/>
  <c r="H411" i="10"/>
  <c r="H410" i="10"/>
  <c r="H409" i="10"/>
  <c r="H408" i="10"/>
  <c r="H407" i="10"/>
  <c r="H406" i="10"/>
  <c r="H405" i="10"/>
  <c r="H404" i="10"/>
  <c r="H403" i="10"/>
  <c r="H402" i="10"/>
  <c r="H401" i="10"/>
  <c r="H400" i="10"/>
  <c r="H399" i="10"/>
  <c r="H398" i="10"/>
  <c r="H397" i="10"/>
  <c r="H396" i="10"/>
  <c r="H395" i="10"/>
  <c r="H394" i="10"/>
  <c r="H393" i="10"/>
  <c r="H392" i="10"/>
  <c r="H391" i="10"/>
  <c r="H390" i="10"/>
  <c r="H389" i="10"/>
  <c r="H388" i="10"/>
  <c r="H387" i="10"/>
  <c r="H386" i="10"/>
  <c r="H385" i="10"/>
  <c r="H384" i="10"/>
  <c r="H383" i="10"/>
  <c r="H382" i="10"/>
  <c r="H381" i="10"/>
  <c r="H380" i="10"/>
  <c r="H379" i="10"/>
  <c r="H378" i="10"/>
  <c r="H377" i="10"/>
  <c r="H376" i="10"/>
  <c r="H375" i="10"/>
  <c r="H374" i="10"/>
  <c r="H373" i="10"/>
  <c r="H372" i="10"/>
  <c r="H371" i="10"/>
  <c r="H370" i="10"/>
  <c r="H369" i="10"/>
  <c r="H368" i="10"/>
  <c r="H367" i="10"/>
  <c r="H366" i="10"/>
  <c r="H365" i="10"/>
  <c r="H364" i="10"/>
  <c r="H363" i="10"/>
  <c r="H362" i="10"/>
  <c r="H361" i="10"/>
  <c r="H360" i="10"/>
  <c r="H359" i="10"/>
  <c r="H358" i="10"/>
  <c r="H357" i="10"/>
  <c r="H356" i="10"/>
  <c r="H355" i="10"/>
  <c r="H354" i="10"/>
  <c r="H353" i="10"/>
  <c r="H352" i="10"/>
  <c r="H351" i="10"/>
  <c r="H350" i="10"/>
  <c r="H349" i="10"/>
  <c r="H348" i="10"/>
  <c r="H347" i="10"/>
  <c r="H346" i="10"/>
  <c r="H345" i="10"/>
  <c r="H344" i="10"/>
  <c r="H343" i="10"/>
  <c r="H342" i="10"/>
  <c r="H341" i="10"/>
  <c r="H340" i="10"/>
  <c r="H339" i="10"/>
  <c r="H338" i="10"/>
  <c r="H337" i="10"/>
  <c r="H336" i="10"/>
  <c r="H335" i="10"/>
  <c r="H334" i="10"/>
  <c r="H333" i="10"/>
  <c r="H332" i="10"/>
  <c r="H331" i="10"/>
  <c r="H330" i="10"/>
  <c r="H329" i="10"/>
  <c r="H328" i="10"/>
  <c r="H327" i="10"/>
  <c r="H326" i="10"/>
  <c r="H325" i="10"/>
  <c r="H324" i="10"/>
  <c r="H323" i="10"/>
  <c r="H322" i="10"/>
  <c r="H321" i="10"/>
  <c r="H320" i="10"/>
  <c r="H319" i="10"/>
  <c r="H318" i="10"/>
  <c r="H317" i="10"/>
  <c r="H316" i="10"/>
  <c r="H315" i="10"/>
  <c r="H314" i="10"/>
  <c r="H313" i="10"/>
  <c r="H312" i="10"/>
  <c r="H311" i="10"/>
  <c r="H310" i="10"/>
  <c r="H309" i="10"/>
  <c r="H308" i="10"/>
  <c r="H307" i="10"/>
  <c r="H306" i="10"/>
  <c r="H305" i="10"/>
  <c r="H304" i="10"/>
  <c r="H303" i="10"/>
  <c r="H302" i="10"/>
  <c r="H301" i="10"/>
  <c r="H300" i="10"/>
  <c r="H299" i="10"/>
  <c r="H298" i="10"/>
  <c r="H297" i="10"/>
  <c r="H296" i="10"/>
  <c r="H295" i="10"/>
  <c r="H294" i="10"/>
  <c r="H293" i="10"/>
  <c r="H292" i="10"/>
  <c r="H291" i="10"/>
  <c r="H290" i="10"/>
  <c r="H289" i="10"/>
  <c r="H288" i="10"/>
  <c r="H287" i="10"/>
  <c r="H286" i="10"/>
  <c r="H285" i="10"/>
  <c r="H284" i="10"/>
  <c r="H283" i="10"/>
  <c r="H282" i="10"/>
  <c r="H281" i="10"/>
  <c r="H280" i="10"/>
  <c r="H279" i="10"/>
  <c r="H278" i="10"/>
  <c r="H277" i="10"/>
  <c r="H276" i="10"/>
  <c r="H275" i="10"/>
  <c r="H274" i="10"/>
  <c r="H273" i="10"/>
  <c r="H272" i="10"/>
  <c r="H271" i="10"/>
  <c r="H270" i="10"/>
  <c r="H269" i="10"/>
  <c r="H268" i="10"/>
  <c r="H267" i="10"/>
  <c r="H266" i="10"/>
  <c r="H265" i="10"/>
  <c r="H264" i="10"/>
  <c r="H263" i="10"/>
  <c r="H262" i="10"/>
  <c r="H261" i="10"/>
  <c r="H260" i="10"/>
  <c r="H259" i="10"/>
  <c r="H258" i="10"/>
  <c r="H257" i="10"/>
  <c r="H256" i="10"/>
  <c r="H255" i="10"/>
  <c r="H254" i="10"/>
  <c r="H253" i="10"/>
  <c r="H252" i="10"/>
  <c r="H251" i="10"/>
  <c r="H250" i="10"/>
  <c r="H249" i="10"/>
  <c r="H248" i="10"/>
  <c r="H247" i="10"/>
  <c r="H246" i="10"/>
  <c r="H245" i="10"/>
  <c r="H244" i="10"/>
  <c r="H243" i="10"/>
  <c r="H242" i="10"/>
  <c r="H241" i="10"/>
  <c r="H240" i="10"/>
  <c r="H239" i="10"/>
  <c r="H238" i="10"/>
  <c r="H237" i="10"/>
  <c r="H236" i="10"/>
  <c r="H235" i="10"/>
  <c r="H234" i="10"/>
  <c r="H233" i="10"/>
  <c r="H232" i="10"/>
  <c r="H231" i="10"/>
  <c r="H230" i="10"/>
  <c r="H229" i="10"/>
  <c r="H228" i="10"/>
  <c r="H227" i="10"/>
  <c r="H226" i="10"/>
  <c r="H225" i="10"/>
  <c r="H224" i="10"/>
  <c r="H223" i="10"/>
  <c r="H222" i="10"/>
  <c r="H221" i="10"/>
  <c r="H220" i="10"/>
  <c r="H219" i="10"/>
  <c r="H218" i="10"/>
  <c r="H217" i="10"/>
  <c r="H216" i="10"/>
  <c r="H215" i="10"/>
  <c r="H214" i="10"/>
  <c r="H213" i="10"/>
  <c r="H212" i="10"/>
  <c r="H211" i="10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AE177" i="10"/>
  <c r="AD177" i="10"/>
  <c r="AE176" i="10"/>
  <c r="AD176" i="10"/>
  <c r="AE175" i="10"/>
  <c r="AD175" i="10"/>
  <c r="AE174" i="10"/>
  <c r="AD174" i="10"/>
  <c r="AE173" i="10"/>
  <c r="AD173" i="10"/>
  <c r="AE172" i="10"/>
  <c r="AD172" i="10"/>
  <c r="AE171" i="10"/>
  <c r="AD171" i="10"/>
  <c r="AE170" i="10"/>
  <c r="AD170" i="10"/>
  <c r="AE169" i="10"/>
  <c r="AD169" i="10"/>
  <c r="AE168" i="10"/>
  <c r="AD168" i="10"/>
  <c r="AE167" i="10"/>
  <c r="AD167" i="10"/>
  <c r="AE166" i="10"/>
  <c r="AD166" i="10"/>
  <c r="AE165" i="10"/>
  <c r="AD165" i="10"/>
  <c r="AE164" i="10"/>
  <c r="AD164" i="10"/>
  <c r="AE163" i="10"/>
  <c r="AD163" i="10"/>
  <c r="AE162" i="10"/>
  <c r="AD162" i="10"/>
  <c r="AE161" i="10"/>
  <c r="AD161" i="10"/>
  <c r="AE160" i="10"/>
  <c r="AD160" i="10"/>
  <c r="AE159" i="10"/>
  <c r="AD159" i="10"/>
  <c r="AE158" i="10"/>
  <c r="AD158" i="10"/>
  <c r="AE157" i="10"/>
  <c r="AD157" i="10"/>
  <c r="AE156" i="10"/>
  <c r="AD156" i="10"/>
  <c r="AE155" i="10"/>
  <c r="AD155" i="10"/>
  <c r="AE154" i="10"/>
  <c r="AD154" i="10"/>
  <c r="AE153" i="10"/>
  <c r="AD153" i="10"/>
  <c r="AE152" i="10"/>
  <c r="AD152" i="10"/>
  <c r="AE151" i="10"/>
  <c r="AD151" i="10"/>
  <c r="AE150" i="10"/>
  <c r="AD150" i="10"/>
  <c r="AE149" i="10"/>
  <c r="AD149" i="10"/>
  <c r="AE148" i="10"/>
  <c r="AD148" i="10"/>
  <c r="AE147" i="10"/>
  <c r="AD147" i="10"/>
  <c r="AE146" i="10"/>
  <c r="AD146" i="10"/>
  <c r="AE145" i="10"/>
  <c r="AD145" i="10"/>
  <c r="AE144" i="10"/>
  <c r="AD144" i="10"/>
  <c r="AE143" i="10"/>
  <c r="AD143" i="10"/>
  <c r="AE142" i="10"/>
  <c r="AD142" i="10"/>
  <c r="AE141" i="10"/>
  <c r="AD141" i="10"/>
  <c r="AE140" i="10"/>
  <c r="AD140" i="10"/>
  <c r="AE139" i="10"/>
  <c r="AD139" i="10"/>
  <c r="AE138" i="10"/>
  <c r="AD138" i="10"/>
  <c r="AE137" i="10"/>
  <c r="AD137" i="10"/>
  <c r="AE136" i="10"/>
  <c r="AD136" i="10"/>
  <c r="AE135" i="10"/>
  <c r="AD135" i="10"/>
  <c r="AE134" i="10"/>
  <c r="AD134" i="10"/>
  <c r="AE133" i="10"/>
  <c r="AD133" i="10"/>
  <c r="AE132" i="10"/>
  <c r="AD132" i="10"/>
  <c r="AE131" i="10"/>
  <c r="AD131" i="10"/>
  <c r="AE130" i="10"/>
  <c r="AD130" i="10"/>
  <c r="AE129" i="10"/>
  <c r="AD129" i="10"/>
  <c r="AE128" i="10"/>
  <c r="AD128" i="10"/>
  <c r="AE127" i="10"/>
  <c r="AD127" i="10"/>
  <c r="AE126" i="10"/>
  <c r="AD126" i="10"/>
  <c r="AE125" i="10"/>
  <c r="AD125" i="10"/>
  <c r="AE124" i="10"/>
  <c r="AD124" i="10"/>
  <c r="AE123" i="10"/>
  <c r="AD123" i="10"/>
  <c r="AE122" i="10"/>
  <c r="AD122" i="10"/>
  <c r="AE121" i="10"/>
  <c r="AD121" i="10"/>
  <c r="AE120" i="10"/>
  <c r="AD120" i="10"/>
  <c r="AE119" i="10"/>
  <c r="AD119" i="10"/>
  <c r="AE118" i="10"/>
  <c r="AD118" i="10"/>
  <c r="AE117" i="10"/>
  <c r="AD117" i="10"/>
  <c r="AE116" i="10"/>
  <c r="AD116" i="10"/>
  <c r="AE115" i="10"/>
  <c r="AD115" i="10"/>
  <c r="AE114" i="10"/>
  <c r="AD114" i="10"/>
  <c r="AE113" i="10"/>
  <c r="AD113" i="10"/>
  <c r="AE112" i="10"/>
  <c r="AD112" i="10"/>
  <c r="AE111" i="10"/>
  <c r="AD111" i="10"/>
  <c r="AE110" i="10"/>
  <c r="AD110" i="10"/>
  <c r="AE109" i="10"/>
  <c r="AD109" i="10"/>
  <c r="AE108" i="10"/>
  <c r="AD108" i="10"/>
  <c r="AE107" i="10"/>
  <c r="AD107" i="10"/>
  <c r="AE106" i="10"/>
  <c r="AD106" i="10"/>
  <c r="AE105" i="10"/>
  <c r="AD105" i="10"/>
  <c r="AE104" i="10"/>
  <c r="AD104" i="10"/>
  <c r="AE103" i="10"/>
  <c r="AD103" i="10"/>
  <c r="AE102" i="10"/>
  <c r="AD102" i="10"/>
  <c r="AE101" i="10"/>
  <c r="AD101" i="10"/>
  <c r="AE100" i="10"/>
  <c r="AD100" i="10"/>
  <c r="AE99" i="10"/>
  <c r="AD99" i="10"/>
  <c r="AE98" i="10"/>
  <c r="AD98" i="10"/>
  <c r="AE97" i="10"/>
  <c r="AD97" i="10"/>
  <c r="AE96" i="10"/>
  <c r="AD96" i="10"/>
  <c r="AE95" i="10"/>
  <c r="AD95" i="10"/>
  <c r="AE94" i="10"/>
  <c r="AD94" i="10"/>
  <c r="AE93" i="10"/>
  <c r="AD93" i="10"/>
  <c r="AE92" i="10"/>
  <c r="AD92" i="10"/>
  <c r="AE91" i="10"/>
  <c r="AD91" i="10"/>
  <c r="AE90" i="10"/>
  <c r="AD90" i="10"/>
  <c r="AE89" i="10"/>
  <c r="AD89" i="10"/>
  <c r="AE88" i="10"/>
  <c r="AD88" i="10"/>
  <c r="AE87" i="10"/>
  <c r="AD87" i="10"/>
  <c r="AE86" i="10"/>
  <c r="AD86" i="10"/>
  <c r="AE85" i="10"/>
  <c r="AD85" i="10"/>
  <c r="AE84" i="10"/>
  <c r="AD84" i="10"/>
  <c r="AE83" i="10"/>
  <c r="AD83" i="10"/>
  <c r="AE82" i="10"/>
  <c r="AD82" i="10"/>
  <c r="AE81" i="10"/>
  <c r="AD81" i="10"/>
  <c r="AE80" i="10"/>
  <c r="AD80" i="10"/>
  <c r="AE79" i="10"/>
  <c r="AD79" i="10"/>
  <c r="AE78" i="10"/>
  <c r="AD78" i="10"/>
  <c r="AE77" i="10"/>
  <c r="AD77" i="10"/>
  <c r="AE76" i="10"/>
  <c r="AD76" i="10"/>
  <c r="AE75" i="10"/>
  <c r="AD75" i="10"/>
  <c r="AE74" i="10"/>
  <c r="AD74" i="10"/>
  <c r="AE73" i="10"/>
  <c r="AD73" i="10"/>
  <c r="AE72" i="10"/>
  <c r="AD72" i="10"/>
  <c r="AE71" i="10"/>
  <c r="AD71" i="10"/>
  <c r="AE70" i="10"/>
  <c r="AD70" i="10"/>
  <c r="AD69" i="10"/>
  <c r="AE69" i="10"/>
  <c r="AD68" i="10"/>
  <c r="AE68" i="10"/>
  <c r="AD67" i="10"/>
  <c r="AE67" i="10"/>
  <c r="AD66" i="10" l="1"/>
  <c r="AE66" i="10"/>
  <c r="AD65" i="10" l="1"/>
  <c r="AE65" i="10"/>
  <c r="AD64" i="10"/>
  <c r="AE64" i="10"/>
  <c r="AD63" i="10"/>
  <c r="AE63" i="10"/>
  <c r="AE2854" i="10"/>
  <c r="AD2854" i="10"/>
  <c r="AE2853" i="10"/>
  <c r="AD2853" i="10"/>
  <c r="AE2852" i="10"/>
  <c r="AD2852" i="10"/>
  <c r="AE2851" i="10"/>
  <c r="AD2851" i="10"/>
  <c r="AE2850" i="10"/>
  <c r="AD2850" i="10"/>
  <c r="AE2849" i="10"/>
  <c r="AD2849" i="10"/>
  <c r="AE2848" i="10"/>
  <c r="AD2848" i="10"/>
  <c r="AE2847" i="10"/>
  <c r="AD2847" i="10"/>
  <c r="AE2846" i="10"/>
  <c r="AD2846" i="10"/>
  <c r="AE2845" i="10"/>
  <c r="AD2845" i="10"/>
  <c r="AE2844" i="10"/>
  <c r="AD2844" i="10"/>
  <c r="AE2843" i="10"/>
  <c r="AD2843" i="10"/>
  <c r="AE2842" i="10"/>
  <c r="AD2842" i="10"/>
  <c r="AE2841" i="10"/>
  <c r="AD2841" i="10"/>
  <c r="AE2840" i="10"/>
  <c r="AD2840" i="10"/>
  <c r="AE2839" i="10"/>
  <c r="AD2839" i="10"/>
  <c r="AE2838" i="10"/>
  <c r="AD2838" i="10"/>
  <c r="AE2837" i="10"/>
  <c r="AD2837" i="10"/>
  <c r="AE2836" i="10"/>
  <c r="AD2836" i="10"/>
  <c r="AE2835" i="10"/>
  <c r="AD2835" i="10"/>
  <c r="AE2834" i="10"/>
  <c r="AD2834" i="10"/>
  <c r="AE2833" i="10"/>
  <c r="AD2833" i="10"/>
  <c r="AE2832" i="10"/>
  <c r="AD2832" i="10"/>
  <c r="AE2831" i="10"/>
  <c r="AD2831" i="10"/>
  <c r="AE2830" i="10"/>
  <c r="AD2830" i="10"/>
  <c r="AE2829" i="10"/>
  <c r="AD2829" i="10"/>
  <c r="AE2828" i="10"/>
  <c r="AD2828" i="10"/>
  <c r="AE2827" i="10"/>
  <c r="AD2827" i="10"/>
  <c r="AE2826" i="10"/>
  <c r="AD2826" i="10"/>
  <c r="AE2825" i="10"/>
  <c r="AD2825" i="10"/>
  <c r="AE2824" i="10"/>
  <c r="AD2824" i="10"/>
  <c r="AE2823" i="10"/>
  <c r="AD2823" i="10"/>
  <c r="AE2822" i="10"/>
  <c r="AD2822" i="10"/>
  <c r="AE2821" i="10"/>
  <c r="AD2821" i="10"/>
  <c r="AE2820" i="10"/>
  <c r="AD2820" i="10"/>
  <c r="AD62" i="10" l="1"/>
  <c r="AE62" i="10"/>
  <c r="AD61" i="10"/>
  <c r="AE61" i="10"/>
  <c r="AD60" i="10"/>
  <c r="AE60" i="10"/>
  <c r="AD59" i="10"/>
  <c r="AE59" i="10"/>
  <c r="AD58" i="10"/>
  <c r="AE58" i="10"/>
  <c r="AD57" i="10"/>
  <c r="AE57" i="10"/>
  <c r="AD56" i="10"/>
  <c r="AE56" i="10"/>
  <c r="AD55" i="10"/>
  <c r="AE55" i="10"/>
  <c r="AD54" i="10" l="1"/>
  <c r="AE54" i="10"/>
  <c r="AD53" i="10"/>
  <c r="AE53" i="10"/>
  <c r="AD52" i="10"/>
  <c r="AE52" i="10"/>
  <c r="C2911" i="10"/>
  <c r="AD51" i="10"/>
  <c r="AE51" i="10"/>
  <c r="AD50" i="10"/>
  <c r="AE50" i="10"/>
  <c r="AD49" i="10"/>
  <c r="AE49" i="10"/>
  <c r="AD48" i="10"/>
  <c r="AE48" i="10"/>
  <c r="AD47" i="10"/>
  <c r="AE47" i="10"/>
  <c r="AD46" i="10"/>
  <c r="AE46" i="10"/>
  <c r="AE2819" i="10"/>
  <c r="AD2819" i="10"/>
  <c r="AD45" i="10"/>
  <c r="AE45" i="10"/>
  <c r="AD44" i="10"/>
  <c r="AE44" i="10"/>
  <c r="AE6" i="10"/>
  <c r="AD6" i="10"/>
  <c r="AE2731" i="10"/>
  <c r="AD2731" i="10"/>
  <c r="AE2730" i="10"/>
  <c r="AD2730" i="10"/>
  <c r="AE2729" i="10"/>
  <c r="AD2729" i="10"/>
  <c r="AE2728" i="10"/>
  <c r="AD2728" i="10"/>
  <c r="AE2727" i="10"/>
  <c r="AD2727" i="10"/>
  <c r="AE2726" i="10"/>
  <c r="AD2726" i="10"/>
  <c r="AE2725" i="10"/>
  <c r="AD2725" i="10"/>
  <c r="AE2724" i="10"/>
  <c r="AD2724" i="10"/>
  <c r="AE2723" i="10"/>
  <c r="AD2723" i="10"/>
  <c r="AE2722" i="10"/>
  <c r="AD2722" i="10"/>
  <c r="AE2721" i="10"/>
  <c r="AD2721" i="10"/>
  <c r="AE2720" i="10"/>
  <c r="AD2720" i="10"/>
  <c r="AE2719" i="10"/>
  <c r="AD2719" i="10"/>
  <c r="AE2718" i="10"/>
  <c r="AD2718" i="10"/>
  <c r="AE2717" i="10"/>
  <c r="AD2717" i="10"/>
  <c r="AE2716" i="10"/>
  <c r="AD2716" i="10"/>
  <c r="AE2715" i="10"/>
  <c r="AD2715" i="10"/>
  <c r="AE2714" i="10"/>
  <c r="AD2714" i="10"/>
  <c r="AE2713" i="10"/>
  <c r="AD2713" i="10"/>
  <c r="AE2712" i="10"/>
  <c r="AD2712" i="10"/>
  <c r="AE2711" i="10"/>
  <c r="AD2711" i="10"/>
  <c r="AE2710" i="10"/>
  <c r="AD2710" i="10"/>
  <c r="AE2709" i="10"/>
  <c r="AD2709" i="10"/>
  <c r="AE2708" i="10"/>
  <c r="AD2708" i="10"/>
  <c r="AE2707" i="10"/>
  <c r="AD2707" i="10"/>
  <c r="AE2706" i="10"/>
  <c r="AD2706" i="10"/>
  <c r="AE2705" i="10"/>
  <c r="AD2705" i="10"/>
  <c r="AE2704" i="10"/>
  <c r="AD2704" i="10"/>
  <c r="AE2703" i="10"/>
  <c r="AD2703" i="10"/>
  <c r="AE2702" i="10"/>
  <c r="AD2702" i="10"/>
  <c r="AE2701" i="10"/>
  <c r="AD2701" i="10"/>
  <c r="AE2700" i="10"/>
  <c r="AD2700" i="10"/>
  <c r="AE2699" i="10"/>
  <c r="AD2699" i="10"/>
  <c r="AE2698" i="10"/>
  <c r="AD2698" i="10"/>
  <c r="AE2697" i="10"/>
  <c r="AD2697" i="10"/>
  <c r="AE2696" i="10"/>
  <c r="AD2696" i="10"/>
  <c r="AE2695" i="10"/>
  <c r="AD2695" i="10"/>
  <c r="AE2694" i="10"/>
  <c r="AD2694" i="10"/>
  <c r="AE2693" i="10"/>
  <c r="AD2693" i="10"/>
  <c r="AE2692" i="10"/>
  <c r="AD2692" i="10"/>
  <c r="AE2691" i="10"/>
  <c r="AD2691" i="10"/>
  <c r="AE2690" i="10"/>
  <c r="AD2690" i="10"/>
  <c r="AE2689" i="10"/>
  <c r="AD2689" i="10"/>
  <c r="AE2688" i="10"/>
  <c r="AD2688" i="10"/>
  <c r="AE2687" i="10"/>
  <c r="AD2687" i="10"/>
  <c r="AE2686" i="10"/>
  <c r="AD2686" i="10"/>
  <c r="AE2685" i="10"/>
  <c r="AD2685" i="10"/>
  <c r="AE2684" i="10"/>
  <c r="AD2684" i="10"/>
  <c r="AE2683" i="10"/>
  <c r="AD2683" i="10"/>
  <c r="AE2682" i="10"/>
  <c r="AD2682" i="10"/>
  <c r="AE2681" i="10"/>
  <c r="AD2681" i="10"/>
  <c r="AE2680" i="10"/>
  <c r="AD2680" i="10"/>
  <c r="AE2679" i="10"/>
  <c r="AD2679" i="10"/>
  <c r="AE2678" i="10"/>
  <c r="AD2678" i="10"/>
  <c r="AE2677" i="10"/>
  <c r="AD2677" i="10"/>
  <c r="AE2676" i="10"/>
  <c r="AD2676" i="10"/>
  <c r="AE2675" i="10"/>
  <c r="AD2675" i="10"/>
  <c r="AE2674" i="10"/>
  <c r="AD2674" i="10"/>
  <c r="AE2673" i="10"/>
  <c r="AD2673" i="10"/>
  <c r="AE2672" i="10"/>
  <c r="AD2672" i="10"/>
  <c r="AE2671" i="10"/>
  <c r="AD2671" i="10"/>
  <c r="AE2670" i="10"/>
  <c r="AD2670" i="10"/>
  <c r="AE2669" i="10"/>
  <c r="AD2669" i="10"/>
  <c r="AE2668" i="10"/>
  <c r="AD2668" i="10"/>
  <c r="AE2667" i="10"/>
  <c r="AD2667" i="10"/>
  <c r="AE2666" i="10"/>
  <c r="AD2666" i="10"/>
  <c r="AE2665" i="10"/>
  <c r="AD2665" i="10"/>
  <c r="AE2664" i="10"/>
  <c r="AD2664" i="10"/>
  <c r="AE2663" i="10"/>
  <c r="AD2663" i="10"/>
  <c r="AE2662" i="10"/>
  <c r="AD2662" i="10"/>
  <c r="AE2661" i="10"/>
  <c r="AD2661" i="10"/>
  <c r="AE2660" i="10"/>
  <c r="AD2660" i="10"/>
  <c r="AE2659" i="10"/>
  <c r="AD2659" i="10"/>
  <c r="AE2658" i="10"/>
  <c r="AD2658" i="10"/>
  <c r="AE2657" i="10"/>
  <c r="AD2657" i="10"/>
  <c r="AE2656" i="10"/>
  <c r="AD2656" i="10"/>
  <c r="AE2655" i="10"/>
  <c r="AD2655" i="10"/>
  <c r="AE2654" i="10"/>
  <c r="AD2654" i="10"/>
  <c r="AE2653" i="10"/>
  <c r="AD2653" i="10"/>
  <c r="AE2652" i="10"/>
  <c r="AD2652" i="10"/>
  <c r="AE2651" i="10"/>
  <c r="AD2651" i="10"/>
  <c r="AE2650" i="10"/>
  <c r="AD2650" i="10"/>
  <c r="AE2649" i="10"/>
  <c r="AD2649" i="10"/>
  <c r="AE2648" i="10"/>
  <c r="AD2648" i="10"/>
  <c r="AE2647" i="10"/>
  <c r="AD2647" i="10"/>
  <c r="AE2646" i="10"/>
  <c r="AD2646" i="10"/>
  <c r="AE2645" i="10"/>
  <c r="AD2645" i="10"/>
  <c r="AE2644" i="10"/>
  <c r="AD2644" i="10"/>
  <c r="AE2643" i="10"/>
  <c r="AD2643" i="10"/>
  <c r="AE2642" i="10"/>
  <c r="AD2642" i="10"/>
  <c r="AE2641" i="10"/>
  <c r="AD2641" i="10"/>
  <c r="AE2640" i="10"/>
  <c r="AD2640" i="10"/>
  <c r="AE2639" i="10"/>
  <c r="AD2639" i="10"/>
  <c r="AE2638" i="10"/>
  <c r="AD2638" i="10"/>
  <c r="AE2637" i="10"/>
  <c r="AD2637" i="10"/>
  <c r="AE2636" i="10"/>
  <c r="AD2636" i="10"/>
  <c r="AE2635" i="10"/>
  <c r="AD2635" i="10"/>
  <c r="AE2634" i="10"/>
  <c r="AD2634" i="10"/>
  <c r="AE2633" i="10"/>
  <c r="AD2633" i="10"/>
  <c r="AE2632" i="10"/>
  <c r="AD2632" i="10"/>
  <c r="AE2631" i="10"/>
  <c r="AD2631" i="10"/>
  <c r="AE2630" i="10"/>
  <c r="AD2630" i="10"/>
  <c r="AE2629" i="10"/>
  <c r="AD2629" i="10"/>
  <c r="AE2628" i="10"/>
  <c r="AD2628" i="10"/>
  <c r="AE2627" i="10"/>
  <c r="AD2627" i="10"/>
  <c r="AE2626" i="10"/>
  <c r="AD2626" i="10"/>
  <c r="AE2625" i="10"/>
  <c r="AD2625" i="10"/>
  <c r="AE2624" i="10"/>
  <c r="AD2624" i="10"/>
  <c r="AE2623" i="10"/>
  <c r="AD2623" i="10"/>
  <c r="AE2622" i="10"/>
  <c r="AD2622" i="10"/>
  <c r="AE2621" i="10"/>
  <c r="AD2621" i="10"/>
  <c r="AE2620" i="10"/>
  <c r="AD2620" i="10"/>
  <c r="AE2619" i="10"/>
  <c r="AD2619" i="10"/>
  <c r="AE2618" i="10"/>
  <c r="AD2618" i="10"/>
  <c r="AE2617" i="10"/>
  <c r="AD2617" i="10"/>
  <c r="AE2616" i="10"/>
  <c r="AD2616" i="10"/>
  <c r="AE2615" i="10"/>
  <c r="AD2615" i="10"/>
  <c r="AE2614" i="10"/>
  <c r="AD2614" i="10"/>
  <c r="AE2613" i="10"/>
  <c r="AD2613" i="10"/>
  <c r="AE2612" i="10"/>
  <c r="AD2612" i="10"/>
  <c r="AE2611" i="10"/>
  <c r="AD2611" i="10"/>
  <c r="AE2610" i="10"/>
  <c r="AD2610" i="10"/>
  <c r="AE2609" i="10"/>
  <c r="AD2609" i="10"/>
  <c r="AE2608" i="10"/>
  <c r="AD2608" i="10"/>
  <c r="AE2607" i="10"/>
  <c r="AD2607" i="10"/>
  <c r="AE2606" i="10"/>
  <c r="AD2606" i="10"/>
  <c r="AE2605" i="10"/>
  <c r="AD2605" i="10"/>
  <c r="AE2604" i="10"/>
  <c r="AD2604" i="10"/>
  <c r="AE2603" i="10"/>
  <c r="AD2603" i="10"/>
  <c r="AE2602" i="10"/>
  <c r="AD2602" i="10"/>
  <c r="AE2601" i="10"/>
  <c r="AD2601" i="10"/>
  <c r="AE2600" i="10"/>
  <c r="AD2600" i="10"/>
  <c r="AE2599" i="10"/>
  <c r="AD2599" i="10"/>
  <c r="AE2598" i="10"/>
  <c r="AD2598" i="10"/>
  <c r="AE2597" i="10"/>
  <c r="AD2597" i="10"/>
  <c r="AE2596" i="10"/>
  <c r="AD2596" i="10"/>
  <c r="AE2595" i="10"/>
  <c r="AD2595" i="10"/>
  <c r="AE2594" i="10"/>
  <c r="AD2594" i="10"/>
  <c r="AE2593" i="10"/>
  <c r="AD2593" i="10"/>
  <c r="AE2592" i="10"/>
  <c r="AD2592" i="10"/>
  <c r="AE2591" i="10"/>
  <c r="AD2591" i="10"/>
  <c r="AE2590" i="10"/>
  <c r="AD2590" i="10"/>
  <c r="AE2589" i="10"/>
  <c r="AD2589" i="10"/>
  <c r="AE2588" i="10"/>
  <c r="AD2588" i="10"/>
  <c r="AE2587" i="10"/>
  <c r="AD2587" i="10"/>
  <c r="AE2586" i="10"/>
  <c r="AD2586" i="10"/>
  <c r="AE2585" i="10"/>
  <c r="AD2585" i="10"/>
  <c r="AE2584" i="10"/>
  <c r="AD2584" i="10"/>
  <c r="AE2583" i="10"/>
  <c r="AD2583" i="10"/>
  <c r="AE2582" i="10"/>
  <c r="AD2582" i="10"/>
  <c r="AE2581" i="10"/>
  <c r="AD2581" i="10"/>
  <c r="AE2580" i="10"/>
  <c r="AD2580" i="10"/>
  <c r="AE2579" i="10"/>
  <c r="AD2579" i="10"/>
  <c r="AE2578" i="10"/>
  <c r="AD2578" i="10"/>
  <c r="AE2577" i="10"/>
  <c r="AD2577" i="10"/>
  <c r="AE2576" i="10"/>
  <c r="AD2576" i="10"/>
  <c r="AE2575" i="10"/>
  <c r="AD2575" i="10"/>
  <c r="AE2574" i="10"/>
  <c r="AD2574" i="10"/>
  <c r="AE2573" i="10"/>
  <c r="AD2573" i="10"/>
  <c r="AE2572" i="10"/>
  <c r="AD2572" i="10"/>
  <c r="AE2571" i="10"/>
  <c r="AD2571" i="10"/>
  <c r="AE2570" i="10"/>
  <c r="AD2570" i="10"/>
  <c r="AE2569" i="10"/>
  <c r="AD2569" i="10"/>
  <c r="AE2568" i="10"/>
  <c r="AD2568" i="10"/>
  <c r="AE2567" i="10"/>
  <c r="AD2567" i="10"/>
  <c r="AE2566" i="10"/>
  <c r="AD2566" i="10"/>
  <c r="AE2565" i="10"/>
  <c r="AD2565" i="10"/>
  <c r="AE2564" i="10"/>
  <c r="AD2564" i="10"/>
  <c r="AE2563" i="10"/>
  <c r="AD2563" i="10"/>
  <c r="AE2562" i="10"/>
  <c r="AD2562" i="10"/>
  <c r="AE2561" i="10"/>
  <c r="AD2561" i="10"/>
  <c r="AE2560" i="10"/>
  <c r="AD2560" i="10"/>
  <c r="AE2559" i="10"/>
  <c r="AD2559" i="10"/>
  <c r="AE2558" i="10"/>
  <c r="AD2558" i="10"/>
  <c r="AE2557" i="10"/>
  <c r="AD2557" i="10"/>
  <c r="AE2556" i="10"/>
  <c r="AD2556" i="10"/>
  <c r="AE2555" i="10"/>
  <c r="AD2555" i="10"/>
  <c r="AE2554" i="10"/>
  <c r="AD2554" i="10"/>
  <c r="AE2553" i="10"/>
  <c r="AD2553" i="10"/>
  <c r="AE2552" i="10"/>
  <c r="AD2552" i="10"/>
  <c r="AE2551" i="10"/>
  <c r="AD2551" i="10"/>
  <c r="AE2550" i="10"/>
  <c r="AD2550" i="10"/>
  <c r="AE2549" i="10"/>
  <c r="AD2549" i="10"/>
  <c r="AE2548" i="10"/>
  <c r="AD2548" i="10"/>
  <c r="AE2547" i="10"/>
  <c r="AD2547" i="10"/>
  <c r="AE2546" i="10"/>
  <c r="AD2546" i="10"/>
  <c r="AE2545" i="10"/>
  <c r="AD2545" i="10"/>
  <c r="AE2544" i="10"/>
  <c r="AD2544" i="10"/>
  <c r="AE2543" i="10"/>
  <c r="AD2543" i="10"/>
  <c r="AE2542" i="10"/>
  <c r="AD2542" i="10"/>
  <c r="AE2541" i="10"/>
  <c r="AD2541" i="10"/>
  <c r="AE2540" i="10"/>
  <c r="AD2540" i="10"/>
  <c r="AE2539" i="10"/>
  <c r="AD2539" i="10"/>
  <c r="AE2538" i="10"/>
  <c r="AD2538" i="10"/>
  <c r="AE2537" i="10"/>
  <c r="AD2537" i="10"/>
  <c r="AE2536" i="10"/>
  <c r="AD2536" i="10"/>
  <c r="AE2535" i="10"/>
  <c r="AD2535" i="10"/>
  <c r="AE2534" i="10"/>
  <c r="AD2534" i="10"/>
  <c r="AE2533" i="10"/>
  <c r="AD2533" i="10"/>
  <c r="AE2532" i="10"/>
  <c r="AD2532" i="10"/>
  <c r="AE2531" i="10"/>
  <c r="AD2531" i="10"/>
  <c r="AE2530" i="10"/>
  <c r="AD2530" i="10"/>
  <c r="AE2529" i="10"/>
  <c r="AD2529" i="10"/>
  <c r="AE2528" i="10"/>
  <c r="AD2528" i="10"/>
  <c r="AE2527" i="10"/>
  <c r="AD2527" i="10"/>
  <c r="AE2526" i="10"/>
  <c r="AD2526" i="10"/>
  <c r="AE2525" i="10"/>
  <c r="AD2525" i="10"/>
  <c r="AE2524" i="10"/>
  <c r="AD2524" i="10"/>
  <c r="AE2523" i="10"/>
  <c r="AD2523" i="10"/>
  <c r="AE2522" i="10"/>
  <c r="AD2522" i="10"/>
  <c r="AE2521" i="10"/>
  <c r="AD2521" i="10"/>
  <c r="AE2520" i="10"/>
  <c r="AD2520" i="10"/>
  <c r="AE2519" i="10"/>
  <c r="AD2519" i="10"/>
  <c r="AE2518" i="10"/>
  <c r="AD2518" i="10"/>
  <c r="AE2517" i="10"/>
  <c r="AD2517" i="10"/>
  <c r="AE2516" i="10"/>
  <c r="AD2516" i="10"/>
  <c r="AE2515" i="10"/>
  <c r="AD2515" i="10"/>
  <c r="AE2514" i="10"/>
  <c r="AD2514" i="10"/>
  <c r="AE2513" i="10"/>
  <c r="AD2513" i="10"/>
  <c r="AE2512" i="10"/>
  <c r="AD2512" i="10"/>
  <c r="AE2511" i="10"/>
  <c r="AD2511" i="10"/>
  <c r="AE2510" i="10"/>
  <c r="AD2510" i="10"/>
  <c r="AE2509" i="10"/>
  <c r="AD2509" i="10"/>
  <c r="AE2508" i="10"/>
  <c r="AD2508" i="10"/>
  <c r="AE2507" i="10"/>
  <c r="AD2507" i="10"/>
  <c r="AE2506" i="10"/>
  <c r="AD2506" i="10"/>
  <c r="AE2505" i="10"/>
  <c r="AD2505" i="10"/>
  <c r="AE2504" i="10"/>
  <c r="AD2504" i="10"/>
  <c r="AE2503" i="10"/>
  <c r="AD2503" i="10"/>
  <c r="AE2502" i="10"/>
  <c r="AD2502" i="10"/>
  <c r="AE2501" i="10"/>
  <c r="AD2501" i="10"/>
  <c r="AE2500" i="10"/>
  <c r="AD2500" i="10"/>
  <c r="AE2499" i="10"/>
  <c r="AD2499" i="10"/>
  <c r="AE2498" i="10"/>
  <c r="AD2498" i="10"/>
  <c r="AE2497" i="10"/>
  <c r="AD2497" i="10"/>
  <c r="AE2496" i="10"/>
  <c r="AD2496" i="10"/>
  <c r="AE2495" i="10"/>
  <c r="AD2495" i="10"/>
  <c r="AE2494" i="10"/>
  <c r="AD2494" i="10"/>
  <c r="AE2493" i="10"/>
  <c r="AD2493" i="10"/>
  <c r="AE2492" i="10"/>
  <c r="AD2492" i="10"/>
  <c r="AE2491" i="10"/>
  <c r="AD2491" i="10"/>
  <c r="AE2490" i="10"/>
  <c r="AD2490" i="10"/>
  <c r="AE2489" i="10"/>
  <c r="AD2489" i="10"/>
  <c r="AE2488" i="10"/>
  <c r="AD2488" i="10"/>
  <c r="AE2487" i="10"/>
  <c r="AD2487" i="10"/>
  <c r="AE2486" i="10"/>
  <c r="AD2486" i="10"/>
  <c r="AE2485" i="10"/>
  <c r="AD2485" i="10"/>
  <c r="AE2484" i="10"/>
  <c r="AD2484" i="10"/>
  <c r="AE2483" i="10"/>
  <c r="AD2483" i="10"/>
  <c r="AE2482" i="10"/>
  <c r="AD2482" i="10"/>
  <c r="AE2481" i="10"/>
  <c r="AD2481" i="10"/>
  <c r="AE2480" i="10"/>
  <c r="AD2480" i="10"/>
  <c r="AE2479" i="10"/>
  <c r="AD2479" i="10"/>
  <c r="AE2478" i="10"/>
  <c r="AD2478" i="10"/>
  <c r="AE2477" i="10"/>
  <c r="AD2477" i="10"/>
  <c r="AE2476" i="10"/>
  <c r="AD2476" i="10"/>
  <c r="AE2475" i="10"/>
  <c r="AD2475" i="10"/>
  <c r="AE2474" i="10"/>
  <c r="AD2474" i="10"/>
  <c r="AE2473" i="10"/>
  <c r="AD2473" i="10"/>
  <c r="AE2472" i="10"/>
  <c r="AD2472" i="10"/>
  <c r="AE2471" i="10"/>
  <c r="AD2471" i="10"/>
  <c r="AE2470" i="10"/>
  <c r="AD2470" i="10"/>
  <c r="AE2469" i="10"/>
  <c r="AD2469" i="10"/>
  <c r="AE2468" i="10"/>
  <c r="AD2468" i="10"/>
  <c r="AE2467" i="10"/>
  <c r="AD2467" i="10"/>
  <c r="AE2466" i="10"/>
  <c r="AD2466" i="10"/>
  <c r="AE2465" i="10"/>
  <c r="AD2465" i="10"/>
  <c r="AE2464" i="10"/>
  <c r="AD2464" i="10"/>
  <c r="AE2463" i="10"/>
  <c r="AD2463" i="10"/>
  <c r="AE2462" i="10"/>
  <c r="AD2462" i="10"/>
  <c r="AE2461" i="10"/>
  <c r="AD2461" i="10"/>
  <c r="AE2460" i="10"/>
  <c r="AD2460" i="10"/>
  <c r="AE2459" i="10"/>
  <c r="AD2459" i="10"/>
  <c r="AE2458" i="10"/>
  <c r="AD2458" i="10"/>
  <c r="AE2457" i="10"/>
  <c r="AD2457" i="10"/>
  <c r="AE2456" i="10"/>
  <c r="AD2456" i="10"/>
  <c r="AE2455" i="10"/>
  <c r="AD2455" i="10"/>
  <c r="AE2454" i="10"/>
  <c r="AD2454" i="10"/>
  <c r="AE2453" i="10"/>
  <c r="AD2453" i="10"/>
  <c r="AE2452" i="10"/>
  <c r="AD2452" i="10"/>
  <c r="AE2451" i="10"/>
  <c r="AD2451" i="10"/>
  <c r="AE2450" i="10"/>
  <c r="AD2450" i="10"/>
  <c r="AE2449" i="10"/>
  <c r="AD2449" i="10"/>
  <c r="AE2448" i="10"/>
  <c r="AD2448" i="10"/>
  <c r="AE2447" i="10"/>
  <c r="AD2447" i="10"/>
  <c r="AE2446" i="10"/>
  <c r="AD2446" i="10"/>
  <c r="AE2445" i="10"/>
  <c r="AD2445" i="10"/>
  <c r="AE2444" i="10"/>
  <c r="AD2444" i="10"/>
  <c r="AE2443" i="10"/>
  <c r="AD2443" i="10"/>
  <c r="AE2442" i="10"/>
  <c r="AD2442" i="10"/>
  <c r="AE2441" i="10"/>
  <c r="AD2441" i="10"/>
  <c r="AE2440" i="10"/>
  <c r="AD2440" i="10"/>
  <c r="AE2439" i="10"/>
  <c r="AD2439" i="10"/>
  <c r="AE2438" i="10"/>
  <c r="AD2438" i="10"/>
  <c r="AE2437" i="10"/>
  <c r="AD2437" i="10"/>
  <c r="AE2436" i="10"/>
  <c r="AD2436" i="10"/>
  <c r="AE2435" i="10"/>
  <c r="AD2435" i="10"/>
  <c r="AE2434" i="10"/>
  <c r="AD2434" i="10"/>
  <c r="AE2433" i="10"/>
  <c r="AD2433" i="10"/>
  <c r="AE2432" i="10"/>
  <c r="AD2432" i="10"/>
  <c r="AE2431" i="10"/>
  <c r="AD2431" i="10"/>
  <c r="AE2430" i="10"/>
  <c r="AD2430" i="10"/>
  <c r="AE2429" i="10"/>
  <c r="AD2429" i="10"/>
  <c r="AE2428" i="10"/>
  <c r="AD2428" i="10"/>
  <c r="AE2427" i="10"/>
  <c r="AD2427" i="10"/>
  <c r="AE2426" i="10"/>
  <c r="AD2426" i="10"/>
  <c r="AE2425" i="10"/>
  <c r="AD2425" i="10"/>
  <c r="AE2424" i="10"/>
  <c r="AD2424" i="10"/>
  <c r="AE2423" i="10"/>
  <c r="AD2423" i="10"/>
  <c r="AE2422" i="10"/>
  <c r="AD2422" i="10"/>
  <c r="AE2421" i="10"/>
  <c r="AD2421" i="10"/>
  <c r="AE2420" i="10"/>
  <c r="AD2420" i="10"/>
  <c r="AE2419" i="10"/>
  <c r="AD2419" i="10"/>
  <c r="AE2418" i="10"/>
  <c r="AD2418" i="10"/>
  <c r="AE2417" i="10"/>
  <c r="AD2417" i="10"/>
  <c r="AE2416" i="10"/>
  <c r="AD2416" i="10"/>
  <c r="AE2415" i="10"/>
  <c r="AD2415" i="10"/>
  <c r="AE2414" i="10"/>
  <c r="AD2414" i="10"/>
  <c r="AE2413" i="10"/>
  <c r="AD2413" i="10"/>
  <c r="AE2412" i="10"/>
  <c r="AD2412" i="10"/>
  <c r="AE2411" i="10"/>
  <c r="AD2411" i="10"/>
  <c r="AE2410" i="10"/>
  <c r="AD2410" i="10"/>
  <c r="AE2409" i="10"/>
  <c r="AD2409" i="10"/>
  <c r="AE2408" i="10"/>
  <c r="AD2408" i="10"/>
  <c r="AE2407" i="10"/>
  <c r="AD2407" i="10"/>
  <c r="AE2406" i="10"/>
  <c r="AD2406" i="10"/>
  <c r="AE2405" i="10"/>
  <c r="AD2405" i="10"/>
  <c r="AE2404" i="10"/>
  <c r="AD2404" i="10"/>
  <c r="AE2403" i="10"/>
  <c r="AD2403" i="10"/>
  <c r="AE2402" i="10"/>
  <c r="AD2402" i="10"/>
  <c r="AE2401" i="10"/>
  <c r="AD2401" i="10"/>
  <c r="AE2400" i="10"/>
  <c r="AD2400" i="10"/>
  <c r="AE2399" i="10"/>
  <c r="AD2399" i="10"/>
  <c r="AE2398" i="10"/>
  <c r="AD2398" i="10"/>
  <c r="AE2397" i="10"/>
  <c r="AD2397" i="10"/>
  <c r="AE2396" i="10"/>
  <c r="AD2396" i="10"/>
  <c r="AE2395" i="10"/>
  <c r="AD2395" i="10"/>
  <c r="AE2394" i="10"/>
  <c r="AD2394" i="10"/>
  <c r="AE2393" i="10"/>
  <c r="AD2393" i="10"/>
  <c r="AE2392" i="10"/>
  <c r="AD2392" i="10"/>
  <c r="AE2391" i="10"/>
  <c r="AD2391" i="10"/>
  <c r="AE2390" i="10"/>
  <c r="AD2390" i="10"/>
  <c r="AE2389" i="10"/>
  <c r="AD2389" i="10"/>
  <c r="AE2388" i="10"/>
  <c r="AD2388" i="10"/>
  <c r="AE2387" i="10"/>
  <c r="AD2387" i="10"/>
  <c r="AE2386" i="10"/>
  <c r="AD2386" i="10"/>
  <c r="AE2385" i="10"/>
  <c r="AD2385" i="10"/>
  <c r="AE2384" i="10"/>
  <c r="AD2384" i="10"/>
  <c r="AE2383" i="10"/>
  <c r="AD2383" i="10"/>
  <c r="AE2382" i="10"/>
  <c r="AD2382" i="10"/>
  <c r="AE2381" i="10"/>
  <c r="AD2381" i="10"/>
  <c r="AE2380" i="10"/>
  <c r="AD2380" i="10"/>
  <c r="AE2379" i="10"/>
  <c r="AD2379" i="10"/>
  <c r="AE2378" i="10"/>
  <c r="AD2378" i="10"/>
  <c r="AE2377" i="10"/>
  <c r="AD2377" i="10"/>
  <c r="AE2376" i="10"/>
  <c r="AD2376" i="10"/>
  <c r="AE2375" i="10"/>
  <c r="AD2375" i="10"/>
  <c r="AE2374" i="10"/>
  <c r="AD2374" i="10"/>
  <c r="AE2373" i="10"/>
  <c r="AD2373" i="10"/>
  <c r="AE2372" i="10"/>
  <c r="AD2372" i="10"/>
  <c r="AE2371" i="10"/>
  <c r="AD2371" i="10"/>
  <c r="AE2370" i="10"/>
  <c r="AD2370" i="10"/>
  <c r="AE2369" i="10"/>
  <c r="AD2369" i="10"/>
  <c r="AE2368" i="10"/>
  <c r="AD2368" i="10"/>
  <c r="AE2367" i="10"/>
  <c r="AD2367" i="10"/>
  <c r="AE2366" i="10"/>
  <c r="AD2366" i="10"/>
  <c r="AE2365" i="10"/>
  <c r="AD2365" i="10"/>
  <c r="AE2364" i="10"/>
  <c r="AD2364" i="10"/>
  <c r="AE2363" i="10"/>
  <c r="AD2363" i="10"/>
  <c r="AE2362" i="10"/>
  <c r="AD2362" i="10"/>
  <c r="AE2361" i="10"/>
  <c r="AD2361" i="10"/>
  <c r="AE2360" i="10"/>
  <c r="AD2360" i="10"/>
  <c r="AE2359" i="10"/>
  <c r="AD2359" i="10"/>
  <c r="AE2358" i="10"/>
  <c r="AD2358" i="10"/>
  <c r="AE2357" i="10"/>
  <c r="AD2357" i="10"/>
  <c r="AE2356" i="10"/>
  <c r="AD2356" i="10"/>
  <c r="AE2355" i="10"/>
  <c r="AD2355" i="10"/>
  <c r="AE2354" i="10"/>
  <c r="AD2354" i="10"/>
  <c r="AE2353" i="10"/>
  <c r="AD2353" i="10"/>
  <c r="AE2352" i="10"/>
  <c r="AD2352" i="10"/>
  <c r="AE2351" i="10"/>
  <c r="AD2351" i="10"/>
  <c r="AE2350" i="10"/>
  <c r="AD2350" i="10"/>
  <c r="AE2349" i="10"/>
  <c r="AD2349" i="10"/>
  <c r="AE2348" i="10"/>
  <c r="AD2348" i="10"/>
  <c r="AE2347" i="10"/>
  <c r="AD2347" i="10"/>
  <c r="AE2346" i="10"/>
  <c r="AD2346" i="10"/>
  <c r="AE2345" i="10"/>
  <c r="AD2345" i="10"/>
  <c r="AE2344" i="10"/>
  <c r="AD2344" i="10"/>
  <c r="AE2343" i="10"/>
  <c r="AD2343" i="10"/>
  <c r="AE2342" i="10"/>
  <c r="AD2342" i="10"/>
  <c r="AE2341" i="10"/>
  <c r="AD2341" i="10"/>
  <c r="AE2340" i="10"/>
  <c r="AD2340" i="10"/>
  <c r="AE2339" i="10"/>
  <c r="AD2339" i="10"/>
  <c r="AE2338" i="10"/>
  <c r="AD2338" i="10"/>
  <c r="AE2337" i="10"/>
  <c r="AD2337" i="10"/>
  <c r="AE2336" i="10"/>
  <c r="AD2336" i="10"/>
  <c r="AE2335" i="10"/>
  <c r="AD2335" i="10"/>
  <c r="AE2334" i="10"/>
  <c r="AD2334" i="10"/>
  <c r="AE2333" i="10"/>
  <c r="AD2333" i="10"/>
  <c r="AE2332" i="10"/>
  <c r="AD2332" i="10"/>
  <c r="AE2331" i="10"/>
  <c r="AD2331" i="10"/>
  <c r="AE2330" i="10"/>
  <c r="AD2330" i="10"/>
  <c r="AE2329" i="10"/>
  <c r="AD2329" i="10"/>
  <c r="AE2328" i="10"/>
  <c r="AD2328" i="10"/>
  <c r="AE2327" i="10"/>
  <c r="AD2327" i="10"/>
  <c r="AE2326" i="10"/>
  <c r="AD2326" i="10"/>
  <c r="AE2325" i="10"/>
  <c r="AD2325" i="10"/>
  <c r="AE2324" i="10"/>
  <c r="AD2324" i="10"/>
  <c r="AE2323" i="10"/>
  <c r="AD2323" i="10"/>
  <c r="AE2322" i="10"/>
  <c r="AD2322" i="10"/>
  <c r="AE2321" i="10"/>
  <c r="AD2321" i="10"/>
  <c r="AE2320" i="10"/>
  <c r="AD2320" i="10"/>
  <c r="AE2319" i="10"/>
  <c r="AD2319" i="10"/>
  <c r="AE2318" i="10"/>
  <c r="AD2318" i="10"/>
  <c r="AE2317" i="10"/>
  <c r="AD2317" i="10"/>
  <c r="AE2316" i="10"/>
  <c r="AD2316" i="10"/>
  <c r="AE2315" i="10"/>
  <c r="AD2315" i="10"/>
  <c r="AE2314" i="10"/>
  <c r="AD2314" i="10"/>
  <c r="AE2313" i="10"/>
  <c r="AD2313" i="10"/>
  <c r="AE2312" i="10"/>
  <c r="AD2312" i="10"/>
  <c r="AE2311" i="10"/>
  <c r="AD2311" i="10"/>
  <c r="AE2310" i="10"/>
  <c r="AD2310" i="10"/>
  <c r="AE2309" i="10"/>
  <c r="AD2309" i="10"/>
  <c r="AE2308" i="10"/>
  <c r="AD2308" i="10"/>
  <c r="AE2307" i="10"/>
  <c r="AD2307" i="10"/>
  <c r="AE2306" i="10"/>
  <c r="AD2306" i="10"/>
  <c r="AE2305" i="10"/>
  <c r="AD2305" i="10"/>
  <c r="AE2304" i="10"/>
  <c r="AD2304" i="10"/>
  <c r="AE2303" i="10"/>
  <c r="AD2303" i="10"/>
  <c r="AE2302" i="10"/>
  <c r="AD2302" i="10"/>
  <c r="AE2301" i="10"/>
  <c r="AD2301" i="10"/>
  <c r="AE2300" i="10"/>
  <c r="AD2300" i="10"/>
  <c r="AE2299" i="10"/>
  <c r="AD2299" i="10"/>
  <c r="AE2298" i="10"/>
  <c r="AD2298" i="10"/>
  <c r="AE2297" i="10"/>
  <c r="AD2297" i="10"/>
  <c r="AE2296" i="10"/>
  <c r="AD2296" i="10"/>
  <c r="AE2295" i="10"/>
  <c r="AD2295" i="10"/>
  <c r="AE2294" i="10"/>
  <c r="AD2294" i="10"/>
  <c r="AE2293" i="10"/>
  <c r="AD2293" i="10"/>
  <c r="AE2292" i="10"/>
  <c r="AD2292" i="10"/>
  <c r="AE2291" i="10"/>
  <c r="AD2291" i="10"/>
  <c r="AE2290" i="10"/>
  <c r="AD2290" i="10"/>
  <c r="AE2289" i="10"/>
  <c r="AD2289" i="10"/>
  <c r="AE2288" i="10"/>
  <c r="AD2288" i="10"/>
  <c r="AE2287" i="10"/>
  <c r="AD2287" i="10"/>
  <c r="AE2286" i="10"/>
  <c r="AD2286" i="10"/>
  <c r="AE2285" i="10"/>
  <c r="AD2285" i="10"/>
  <c r="AE2284" i="10"/>
  <c r="AD2284" i="10"/>
  <c r="AE2283" i="10"/>
  <c r="AD2283" i="10"/>
  <c r="AE2282" i="10"/>
  <c r="AD2282" i="10"/>
  <c r="AE2281" i="10"/>
  <c r="AD2281" i="10"/>
  <c r="AE2280" i="10"/>
  <c r="AD2280" i="10"/>
  <c r="AE2279" i="10"/>
  <c r="AD2279" i="10"/>
  <c r="AE2278" i="10"/>
  <c r="AD2278" i="10"/>
  <c r="AE2277" i="10"/>
  <c r="AD2277" i="10"/>
  <c r="AE2276" i="10"/>
  <c r="AD2276" i="10"/>
  <c r="AE2275" i="10"/>
  <c r="AD2275" i="10"/>
  <c r="AE2274" i="10"/>
  <c r="AD2274" i="10"/>
  <c r="AE2273" i="10"/>
  <c r="AD2273" i="10"/>
  <c r="AE2272" i="10"/>
  <c r="AD2272" i="10"/>
  <c r="AE2271" i="10"/>
  <c r="AD2271" i="10"/>
  <c r="AE2270" i="10"/>
  <c r="AD2270" i="10"/>
  <c r="AE2269" i="10"/>
  <c r="AD2269" i="10"/>
  <c r="AE2268" i="10"/>
  <c r="AD2268" i="10"/>
  <c r="AE2267" i="10"/>
  <c r="AD2267" i="10"/>
  <c r="AE2266" i="10"/>
  <c r="AD2266" i="10"/>
  <c r="AE2265" i="10"/>
  <c r="AD2265" i="10"/>
  <c r="AE2264" i="10"/>
  <c r="AD2264" i="10"/>
  <c r="AE2263" i="10"/>
  <c r="AD2263" i="10"/>
  <c r="AE2262" i="10"/>
  <c r="AD2262" i="10"/>
  <c r="AE2261" i="10"/>
  <c r="AD2261" i="10"/>
  <c r="AE2260" i="10"/>
  <c r="AD2260" i="10"/>
  <c r="AE2259" i="10"/>
  <c r="AD2259" i="10"/>
  <c r="AE2258" i="10"/>
  <c r="AD2258" i="10"/>
  <c r="AE2257" i="10"/>
  <c r="AD2257" i="10"/>
  <c r="AE2256" i="10"/>
  <c r="AD2256" i="10"/>
  <c r="AE2255" i="10"/>
  <c r="AD2255" i="10"/>
  <c r="AE2254" i="10"/>
  <c r="AD2254" i="10"/>
  <c r="AE2253" i="10"/>
  <c r="AD2253" i="10"/>
  <c r="AE2252" i="10"/>
  <c r="AD2252" i="10"/>
  <c r="AE2251" i="10"/>
  <c r="AD2251" i="10"/>
  <c r="AE2250" i="10"/>
  <c r="AD2250" i="10"/>
  <c r="AE2249" i="10"/>
  <c r="AD2249" i="10"/>
  <c r="AE2248" i="10"/>
  <c r="AD2248" i="10"/>
  <c r="AE2247" i="10"/>
  <c r="AD2247" i="10"/>
  <c r="AE2246" i="10"/>
  <c r="AD2246" i="10"/>
  <c r="AE2245" i="10"/>
  <c r="AD2245" i="10"/>
  <c r="AE2244" i="10"/>
  <c r="AD2244" i="10"/>
  <c r="AE2243" i="10"/>
  <c r="AD2243" i="10"/>
  <c r="AE2242" i="10"/>
  <c r="AD2242" i="10"/>
  <c r="AE2241" i="10"/>
  <c r="AD2241" i="10"/>
  <c r="AE2240" i="10"/>
  <c r="AD2240" i="10"/>
  <c r="AE2239" i="10"/>
  <c r="AD2239" i="10"/>
  <c r="AE2238" i="10"/>
  <c r="AD2238" i="10"/>
  <c r="AE2237" i="10"/>
  <c r="AD2237" i="10"/>
  <c r="AE2236" i="10"/>
  <c r="AD2236" i="10"/>
  <c r="AE2235" i="10"/>
  <c r="AD2235" i="10"/>
  <c r="AE2234" i="10"/>
  <c r="AD2234" i="10"/>
  <c r="AE2233" i="10"/>
  <c r="AD2233" i="10"/>
  <c r="AE2232" i="10"/>
  <c r="AD2232" i="10"/>
  <c r="AE2231" i="10"/>
  <c r="AD2231" i="10"/>
  <c r="AE2230" i="10"/>
  <c r="AD2230" i="10"/>
  <c r="AE2229" i="10"/>
  <c r="AD2229" i="10"/>
  <c r="AE2228" i="10"/>
  <c r="AD2228" i="10"/>
  <c r="AE2227" i="10"/>
  <c r="AD2227" i="10"/>
  <c r="AE2226" i="10"/>
  <c r="AD2226" i="10"/>
  <c r="AE2225" i="10"/>
  <c r="AD2225" i="10"/>
  <c r="AE2224" i="10"/>
  <c r="AD2224" i="10"/>
  <c r="AE2223" i="10"/>
  <c r="AD2223" i="10"/>
  <c r="AE2222" i="10"/>
  <c r="AD2222" i="10"/>
  <c r="AE2221" i="10"/>
  <c r="AD2221" i="10"/>
  <c r="AE2220" i="10"/>
  <c r="AD2220" i="10"/>
  <c r="AE2219" i="10"/>
  <c r="AD2219" i="10"/>
  <c r="AE2218" i="10"/>
  <c r="AD2218" i="10"/>
  <c r="AE2217" i="10"/>
  <c r="AD2217" i="10"/>
  <c r="AE2216" i="10"/>
  <c r="AD2216" i="10"/>
  <c r="AE2215" i="10"/>
  <c r="AD2215" i="10"/>
  <c r="AE2214" i="10"/>
  <c r="AD2214" i="10"/>
  <c r="AE2213" i="10"/>
  <c r="AD2213" i="10"/>
  <c r="AE2212" i="10"/>
  <c r="AD2212" i="10"/>
  <c r="AE2211" i="10"/>
  <c r="AD2211" i="10"/>
  <c r="AE2210" i="10"/>
  <c r="AD2210" i="10"/>
  <c r="AE2209" i="10"/>
  <c r="AD2209" i="10"/>
  <c r="AE2208" i="10"/>
  <c r="AD2208" i="10"/>
  <c r="AE2207" i="10"/>
  <c r="AD2207" i="10"/>
  <c r="AE2206" i="10"/>
  <c r="AD2206" i="10"/>
  <c r="AE2205" i="10"/>
  <c r="AD2205" i="10"/>
  <c r="AE2204" i="10"/>
  <c r="AD2204" i="10"/>
  <c r="AE2203" i="10"/>
  <c r="AD2203" i="10"/>
  <c r="AE2202" i="10"/>
  <c r="AD2202" i="10"/>
  <c r="AE2201" i="10"/>
  <c r="AD2201" i="10"/>
  <c r="AE2200" i="10"/>
  <c r="AD2200" i="10"/>
  <c r="AE2199" i="10"/>
  <c r="AD2199" i="10"/>
  <c r="AE2198" i="10"/>
  <c r="AD2198" i="10"/>
  <c r="AE2197" i="10"/>
  <c r="AD2197" i="10"/>
  <c r="AE2196" i="10"/>
  <c r="AD2196" i="10"/>
  <c r="AE2195" i="10"/>
  <c r="AD2195" i="10"/>
  <c r="AE2194" i="10"/>
  <c r="AD2194" i="10"/>
  <c r="AE2193" i="10"/>
  <c r="AD2193" i="10"/>
  <c r="AE2192" i="10"/>
  <c r="AD2192" i="10"/>
  <c r="AE2191" i="10"/>
  <c r="AD2191" i="10"/>
  <c r="AE2190" i="10"/>
  <c r="AD2190" i="10"/>
  <c r="AE2189" i="10"/>
  <c r="AD2189" i="10"/>
  <c r="AE2188" i="10"/>
  <c r="AD2188" i="10"/>
  <c r="AE2187" i="10"/>
  <c r="AD2187" i="10"/>
  <c r="AE2186" i="10"/>
  <c r="AD2186" i="10"/>
  <c r="AE2185" i="10"/>
  <c r="AD2185" i="10"/>
  <c r="AE2184" i="10"/>
  <c r="AD2184" i="10"/>
  <c r="AE2183" i="10"/>
  <c r="AD2183" i="10"/>
  <c r="AE2182" i="10"/>
  <c r="AD2182" i="10"/>
  <c r="AE2181" i="10"/>
  <c r="AD2181" i="10"/>
  <c r="AE2180" i="10"/>
  <c r="AD2180" i="10"/>
  <c r="AE2179" i="10"/>
  <c r="AD2179" i="10"/>
  <c r="AE2178" i="10"/>
  <c r="AD2178" i="10"/>
  <c r="AE2177" i="10"/>
  <c r="AD2177" i="10"/>
  <c r="AE2176" i="10"/>
  <c r="AD2176" i="10"/>
  <c r="AE2175" i="10"/>
  <c r="AD2175" i="10"/>
  <c r="AE2174" i="10"/>
  <c r="AD2174" i="10"/>
  <c r="AE2173" i="10"/>
  <c r="AD2173" i="10"/>
  <c r="AE2172" i="10"/>
  <c r="AD2172" i="10"/>
  <c r="AE2171" i="10"/>
  <c r="AD2171" i="10"/>
  <c r="AE2170" i="10"/>
  <c r="AD2170" i="10"/>
  <c r="AE2169" i="10"/>
  <c r="AD2169" i="10"/>
  <c r="AE2168" i="10"/>
  <c r="AD2168" i="10"/>
  <c r="AE2167" i="10"/>
  <c r="AD2167" i="10"/>
  <c r="AE2166" i="10"/>
  <c r="AD2166" i="10"/>
  <c r="AE2165" i="10"/>
  <c r="AD2165" i="10"/>
  <c r="AE2164" i="10"/>
  <c r="AD2164" i="10"/>
  <c r="AE2163" i="10"/>
  <c r="AD2163" i="10"/>
  <c r="AE2162" i="10"/>
  <c r="AD2162" i="10"/>
  <c r="AE2161" i="10"/>
  <c r="AD2161" i="10"/>
  <c r="AE2160" i="10"/>
  <c r="AD2160" i="10"/>
  <c r="AE2159" i="10"/>
  <c r="AD2159" i="10"/>
  <c r="AE2158" i="10"/>
  <c r="AD2158" i="10"/>
  <c r="AE2157" i="10"/>
  <c r="AD2157" i="10"/>
  <c r="AE2156" i="10"/>
  <c r="AD2156" i="10"/>
  <c r="AE2155" i="10"/>
  <c r="AD2155" i="10"/>
  <c r="AE2154" i="10"/>
  <c r="AD2154" i="10"/>
  <c r="AE2153" i="10"/>
  <c r="AD2153" i="10"/>
  <c r="AE2152" i="10"/>
  <c r="AD2152" i="10"/>
  <c r="AE2151" i="10"/>
  <c r="AD2151" i="10"/>
  <c r="AE2150" i="10"/>
  <c r="AD2150" i="10"/>
  <c r="AE2149" i="10"/>
  <c r="AD2149" i="10"/>
  <c r="AE2148" i="10"/>
  <c r="AD2148" i="10"/>
  <c r="AE2147" i="10"/>
  <c r="AD2147" i="10"/>
  <c r="AE2146" i="10"/>
  <c r="AD2146" i="10"/>
  <c r="AE2145" i="10"/>
  <c r="AD2145" i="10"/>
  <c r="AE2144" i="10"/>
  <c r="AD2144" i="10"/>
  <c r="AE2143" i="10"/>
  <c r="AD2143" i="10"/>
  <c r="AE2142" i="10"/>
  <c r="AD2142" i="10"/>
  <c r="AE2141" i="10"/>
  <c r="AD2141" i="10"/>
  <c r="AE2140" i="10"/>
  <c r="AD2140" i="10"/>
  <c r="AE2139" i="10"/>
  <c r="AD2139" i="10"/>
  <c r="AE2138" i="10"/>
  <c r="AD2138" i="10"/>
  <c r="AE2137" i="10"/>
  <c r="AD2137" i="10"/>
  <c r="AE2136" i="10"/>
  <c r="AD2136" i="10"/>
  <c r="AE2135" i="10"/>
  <c r="AD2135" i="10"/>
  <c r="AE2134" i="10"/>
  <c r="AD2134" i="10"/>
  <c r="AE2133" i="10"/>
  <c r="AD2133" i="10"/>
  <c r="AE2132" i="10"/>
  <c r="AD2132" i="10"/>
  <c r="AE2131" i="10"/>
  <c r="AD2131" i="10"/>
  <c r="AE2130" i="10"/>
  <c r="AD2130" i="10"/>
  <c r="AE2129" i="10"/>
  <c r="AD2129" i="10"/>
  <c r="AE2128" i="10"/>
  <c r="AD2128" i="10"/>
  <c r="AE2127" i="10"/>
  <c r="AD2127" i="10"/>
  <c r="AE2126" i="10"/>
  <c r="AD2126" i="10"/>
  <c r="AE2125" i="10"/>
  <c r="AD2125" i="10"/>
  <c r="AE2124" i="10"/>
  <c r="AD2124" i="10"/>
  <c r="AE2123" i="10"/>
  <c r="AD2123" i="10"/>
  <c r="AE2122" i="10"/>
  <c r="AD2122" i="10"/>
  <c r="AE2121" i="10"/>
  <c r="AD2121" i="10"/>
  <c r="AE2120" i="10"/>
  <c r="AD2120" i="10"/>
  <c r="AE2119" i="10"/>
  <c r="AD2119" i="10"/>
  <c r="AE2118" i="10"/>
  <c r="AD2118" i="10"/>
  <c r="AE2117" i="10"/>
  <c r="AD2117" i="10"/>
  <c r="AE2116" i="10"/>
  <c r="AD2116" i="10"/>
  <c r="AE2115" i="10"/>
  <c r="AD2115" i="10"/>
  <c r="AE2114" i="10"/>
  <c r="AD2114" i="10"/>
  <c r="AE2113" i="10"/>
  <c r="AD2113" i="10"/>
  <c r="AE2112" i="10"/>
  <c r="AD2112" i="10"/>
  <c r="AE2111" i="10"/>
  <c r="AD2111" i="10"/>
  <c r="AE2110" i="10"/>
  <c r="AD2110" i="10"/>
  <c r="AE2109" i="10"/>
  <c r="AD2109" i="10"/>
  <c r="AE2108" i="10"/>
  <c r="AD2108" i="10"/>
  <c r="AE2107" i="10"/>
  <c r="AD2107" i="10"/>
  <c r="AE2106" i="10"/>
  <c r="AD2106" i="10"/>
  <c r="AE2105" i="10"/>
  <c r="AD2105" i="10"/>
  <c r="AE2104" i="10"/>
  <c r="AD2104" i="10"/>
  <c r="AE2103" i="10"/>
  <c r="AD2103" i="10"/>
  <c r="AE2102" i="10"/>
  <c r="AD2102" i="10"/>
  <c r="AE2101" i="10"/>
  <c r="AD2101" i="10"/>
  <c r="AE2100" i="10"/>
  <c r="AD2100" i="10"/>
  <c r="AE2099" i="10"/>
  <c r="AD2099" i="10"/>
  <c r="AE2098" i="10"/>
  <c r="AD2098" i="10"/>
  <c r="AE2097" i="10"/>
  <c r="AD2097" i="10"/>
  <c r="AE2096" i="10"/>
  <c r="AD2096" i="10"/>
  <c r="AE2095" i="10"/>
  <c r="AD2095" i="10"/>
  <c r="AE2094" i="10"/>
  <c r="AD2094" i="10"/>
  <c r="AE2093" i="10"/>
  <c r="AD2093" i="10"/>
  <c r="AE2092" i="10"/>
  <c r="AD2092" i="10"/>
  <c r="AE2091" i="10"/>
  <c r="AD2091" i="10"/>
  <c r="AE2090" i="10"/>
  <c r="AD2090" i="10"/>
  <c r="AE2089" i="10"/>
  <c r="AD2089" i="10"/>
  <c r="AE2088" i="10"/>
  <c r="AD2088" i="10"/>
  <c r="AE2087" i="10"/>
  <c r="AD2087" i="10"/>
  <c r="AE2086" i="10"/>
  <c r="AD2086" i="10"/>
  <c r="AE2085" i="10"/>
  <c r="AD2085" i="10"/>
  <c r="AE2084" i="10"/>
  <c r="AD2084" i="10"/>
  <c r="AE2083" i="10"/>
  <c r="AD2083" i="10"/>
  <c r="AE2082" i="10"/>
  <c r="AD2082" i="10"/>
  <c r="AE2081" i="10"/>
  <c r="AD2081" i="10"/>
  <c r="AE2080" i="10"/>
  <c r="AD2080" i="10"/>
  <c r="AE2079" i="10"/>
  <c r="AD2079" i="10"/>
  <c r="AE2078" i="10"/>
  <c r="AD2078" i="10"/>
  <c r="AE2077" i="10"/>
  <c r="AD2077" i="10"/>
  <c r="AE2076" i="10"/>
  <c r="AD2076" i="10"/>
  <c r="AE2075" i="10"/>
  <c r="AD2075" i="10"/>
  <c r="AE2074" i="10"/>
  <c r="AD2074" i="10"/>
  <c r="AE2073" i="10"/>
  <c r="AD2073" i="10"/>
  <c r="AE2072" i="10"/>
  <c r="AD2072" i="10"/>
  <c r="AE2071" i="10"/>
  <c r="AD2071" i="10"/>
  <c r="AE2070" i="10"/>
  <c r="AD2070" i="10"/>
  <c r="AE2069" i="10"/>
  <c r="AD2069" i="10"/>
  <c r="AE2068" i="10"/>
  <c r="AD2068" i="10"/>
  <c r="AE2067" i="10"/>
  <c r="AD2067" i="10"/>
  <c r="AE2066" i="10"/>
  <c r="AD2066" i="10"/>
  <c r="AE2065" i="10"/>
  <c r="AD2065" i="10"/>
  <c r="AE2064" i="10"/>
  <c r="AD2064" i="10"/>
  <c r="AE2063" i="10"/>
  <c r="AD2063" i="10"/>
  <c r="AE2062" i="10"/>
  <c r="AD2062" i="10"/>
  <c r="AE2061" i="10"/>
  <c r="AD2061" i="10"/>
  <c r="AE2060" i="10"/>
  <c r="AD2060" i="10"/>
  <c r="AE2059" i="10"/>
  <c r="AD2059" i="10"/>
  <c r="AE2058" i="10"/>
  <c r="AD2058" i="10"/>
  <c r="AE2057" i="10"/>
  <c r="AD2057" i="10"/>
  <c r="AE2056" i="10"/>
  <c r="AD2056" i="10"/>
  <c r="AE2055" i="10"/>
  <c r="AD2055" i="10"/>
  <c r="AE2054" i="10"/>
  <c r="AD2054" i="10"/>
  <c r="AE2053" i="10"/>
  <c r="AD2053" i="10"/>
  <c r="AE2052" i="10"/>
  <c r="AD2052" i="10"/>
  <c r="AE2051" i="10"/>
  <c r="AD2051" i="10"/>
  <c r="AE2050" i="10"/>
  <c r="AD2050" i="10"/>
  <c r="AE2049" i="10"/>
  <c r="AD2049" i="10"/>
  <c r="AE2048" i="10"/>
  <c r="AD2048" i="10"/>
  <c r="AE2047" i="10"/>
  <c r="AD2047" i="10"/>
  <c r="AE2046" i="10"/>
  <c r="AD2046" i="10"/>
  <c r="AE2045" i="10"/>
  <c r="AD2045" i="10"/>
  <c r="AE2044" i="10"/>
  <c r="AD2044" i="10"/>
  <c r="AE2043" i="10"/>
  <c r="AD2043" i="10"/>
  <c r="AE2042" i="10"/>
  <c r="AD2042" i="10"/>
  <c r="AE2041" i="10"/>
  <c r="AD2041" i="10"/>
  <c r="AE2040" i="10"/>
  <c r="AD2040" i="10"/>
  <c r="AE2039" i="10"/>
  <c r="AD2039" i="10"/>
  <c r="AE2038" i="10"/>
  <c r="AD2038" i="10"/>
  <c r="AE2037" i="10"/>
  <c r="AD2037" i="10"/>
  <c r="AE2036" i="10"/>
  <c r="AD2036" i="10"/>
  <c r="AE2035" i="10"/>
  <c r="AD2035" i="10"/>
  <c r="AE2034" i="10"/>
  <c r="AD2034" i="10"/>
  <c r="AE2033" i="10"/>
  <c r="AD2033" i="10"/>
  <c r="AE2032" i="10"/>
  <c r="AD2032" i="10"/>
  <c r="AE2031" i="10"/>
  <c r="AD2031" i="10"/>
  <c r="AE2030" i="10"/>
  <c r="AD2030" i="10"/>
  <c r="AE2029" i="10"/>
  <c r="AD2029" i="10"/>
  <c r="AE2028" i="10"/>
  <c r="AD2028" i="10"/>
  <c r="AE2027" i="10"/>
  <c r="AD2027" i="10"/>
  <c r="AE2026" i="10"/>
  <c r="AD2026" i="10"/>
  <c r="AE2025" i="10"/>
  <c r="AD2025" i="10"/>
  <c r="AE2024" i="10"/>
  <c r="AD2024" i="10"/>
  <c r="AE2023" i="10"/>
  <c r="AD2023" i="10"/>
  <c r="AE2022" i="10"/>
  <c r="AD2022" i="10"/>
  <c r="AE2021" i="10"/>
  <c r="AD2021" i="10"/>
  <c r="AE2020" i="10"/>
  <c r="AD2020" i="10"/>
  <c r="AE2019" i="10"/>
  <c r="AD2019" i="10"/>
  <c r="AE2018" i="10"/>
  <c r="AD2018" i="10"/>
  <c r="AE2017" i="10"/>
  <c r="AD2017" i="10"/>
  <c r="AE2016" i="10"/>
  <c r="AD2016" i="10"/>
  <c r="AE2015" i="10"/>
  <c r="AD2015" i="10"/>
  <c r="AE2014" i="10"/>
  <c r="AD2014" i="10"/>
  <c r="AE2013" i="10"/>
  <c r="AD2013" i="10"/>
  <c r="AE2012" i="10"/>
  <c r="AD2012" i="10"/>
  <c r="AE2011" i="10"/>
  <c r="AD2011" i="10"/>
  <c r="AE2010" i="10"/>
  <c r="AD2010" i="10"/>
  <c r="AE2009" i="10"/>
  <c r="AD2009" i="10"/>
  <c r="AE2008" i="10"/>
  <c r="AD2008" i="10"/>
  <c r="AE2007" i="10"/>
  <c r="AD2007" i="10"/>
  <c r="AE2006" i="10"/>
  <c r="AD2006" i="10"/>
  <c r="AE2005" i="10"/>
  <c r="AD2005" i="10"/>
  <c r="AE2004" i="10"/>
  <c r="AD2004" i="10"/>
  <c r="AE2003" i="10"/>
  <c r="AD2003" i="10"/>
  <c r="AE2002" i="10"/>
  <c r="AD2002" i="10"/>
  <c r="AE2001" i="10"/>
  <c r="AD2001" i="10"/>
  <c r="AE2000" i="10"/>
  <c r="AD2000" i="10"/>
  <c r="AE1999" i="10"/>
  <c r="AD1999" i="10"/>
  <c r="AE1998" i="10"/>
  <c r="AD1998" i="10"/>
  <c r="AE1997" i="10"/>
  <c r="AD1997" i="10"/>
  <c r="AE1996" i="10"/>
  <c r="AD1996" i="10"/>
  <c r="AE1995" i="10"/>
  <c r="AD1995" i="10"/>
  <c r="AE1994" i="10"/>
  <c r="AD1994" i="10"/>
  <c r="AE1993" i="10"/>
  <c r="AD1993" i="10"/>
  <c r="AE1992" i="10"/>
  <c r="AD1992" i="10"/>
  <c r="AE1991" i="10"/>
  <c r="AD1991" i="10"/>
  <c r="AE1990" i="10"/>
  <c r="AD1990" i="10"/>
  <c r="AE1989" i="10"/>
  <c r="AD1989" i="10"/>
  <c r="AE1988" i="10"/>
  <c r="AD1988" i="10"/>
  <c r="AE1987" i="10"/>
  <c r="AD1987" i="10"/>
  <c r="AE1986" i="10"/>
  <c r="AD1986" i="10"/>
  <c r="AE1985" i="10"/>
  <c r="AD1985" i="10"/>
  <c r="AE1984" i="10"/>
  <c r="AD1984" i="10"/>
  <c r="AE1983" i="10"/>
  <c r="AD1983" i="10"/>
  <c r="AE1982" i="10"/>
  <c r="AD1982" i="10"/>
  <c r="AE1981" i="10"/>
  <c r="AD1981" i="10"/>
  <c r="AE1980" i="10"/>
  <c r="AD1980" i="10"/>
  <c r="AE1979" i="10"/>
  <c r="AD1979" i="10"/>
  <c r="AE1978" i="10"/>
  <c r="AD1978" i="10"/>
  <c r="AE1977" i="10"/>
  <c r="AD1977" i="10"/>
  <c r="AE1976" i="10"/>
  <c r="AD1976" i="10"/>
  <c r="AE1975" i="10"/>
  <c r="AD1975" i="10"/>
  <c r="AE1974" i="10"/>
  <c r="AD1974" i="10"/>
  <c r="AE1973" i="10"/>
  <c r="AD1973" i="10"/>
  <c r="AE1972" i="10"/>
  <c r="AD1972" i="10"/>
  <c r="AE1971" i="10"/>
  <c r="AD1971" i="10"/>
  <c r="AE1970" i="10"/>
  <c r="AD1970" i="10"/>
  <c r="AE1969" i="10"/>
  <c r="AD1969" i="10"/>
  <c r="AE1968" i="10"/>
  <c r="AD1968" i="10"/>
  <c r="AE1967" i="10"/>
  <c r="AD1967" i="10"/>
  <c r="AE1966" i="10"/>
  <c r="AD1966" i="10"/>
  <c r="AE1965" i="10"/>
  <c r="AD1965" i="10"/>
  <c r="AE1964" i="10"/>
  <c r="AD1964" i="10"/>
  <c r="AE1963" i="10"/>
  <c r="AD1963" i="10"/>
  <c r="AE1962" i="10"/>
  <c r="AD1962" i="10"/>
  <c r="AE1961" i="10"/>
  <c r="AD1961" i="10"/>
  <c r="AE1960" i="10"/>
  <c r="AD1960" i="10"/>
  <c r="AE1959" i="10"/>
  <c r="AD1959" i="10"/>
  <c r="AE1958" i="10"/>
  <c r="AD1958" i="10"/>
  <c r="AE1957" i="10"/>
  <c r="AD1957" i="10"/>
  <c r="AE1956" i="10"/>
  <c r="AD1956" i="10"/>
  <c r="AE1955" i="10"/>
  <c r="AD1955" i="10"/>
  <c r="AE1954" i="10"/>
  <c r="AD1954" i="10"/>
  <c r="AE1953" i="10"/>
  <c r="AD1953" i="10"/>
  <c r="AE1952" i="10"/>
  <c r="AD1952" i="10"/>
  <c r="AE1951" i="10"/>
  <c r="AD1951" i="10"/>
  <c r="AE1950" i="10"/>
  <c r="AD1950" i="10"/>
  <c r="AE1949" i="10"/>
  <c r="AD1949" i="10"/>
  <c r="AE1948" i="10"/>
  <c r="AD1948" i="10"/>
  <c r="AE1947" i="10"/>
  <c r="AD1947" i="10"/>
  <c r="AE1946" i="10"/>
  <c r="AD1946" i="10"/>
  <c r="AE1945" i="10"/>
  <c r="AD1945" i="10"/>
  <c r="AE1944" i="10"/>
  <c r="AD1944" i="10"/>
  <c r="AE1943" i="10"/>
  <c r="AD1943" i="10"/>
  <c r="AE1942" i="10"/>
  <c r="AD1942" i="10"/>
  <c r="AE1941" i="10"/>
  <c r="AD1941" i="10"/>
  <c r="AE1940" i="10"/>
  <c r="AD1940" i="10"/>
  <c r="AE1939" i="10"/>
  <c r="AD1939" i="10"/>
  <c r="AE1938" i="10"/>
  <c r="AD1938" i="10"/>
  <c r="AE1937" i="10"/>
  <c r="AD1937" i="10"/>
  <c r="AE1936" i="10"/>
  <c r="AD1936" i="10"/>
  <c r="AE1935" i="10"/>
  <c r="AD1935" i="10"/>
  <c r="AE1934" i="10"/>
  <c r="AD1934" i="10"/>
  <c r="AE1933" i="10"/>
  <c r="AD1933" i="10"/>
  <c r="AE1932" i="10"/>
  <c r="AD1932" i="10"/>
  <c r="AE1931" i="10"/>
  <c r="AD1931" i="10"/>
  <c r="AE1930" i="10"/>
  <c r="AD1930" i="10"/>
  <c r="AE1929" i="10"/>
  <c r="AD1929" i="10"/>
  <c r="AE1928" i="10"/>
  <c r="AD1928" i="10"/>
  <c r="AE1927" i="10"/>
  <c r="AD1927" i="10"/>
  <c r="AE1926" i="10"/>
  <c r="AD1926" i="10"/>
  <c r="AE1925" i="10"/>
  <c r="AD1925" i="10"/>
  <c r="AE1924" i="10"/>
  <c r="AD1924" i="10"/>
  <c r="AE1923" i="10"/>
  <c r="AD1923" i="10"/>
  <c r="AE1922" i="10"/>
  <c r="AD1922" i="10"/>
  <c r="AE1921" i="10"/>
  <c r="AD1921" i="10"/>
  <c r="AE1920" i="10"/>
  <c r="AD1920" i="10"/>
  <c r="AE1919" i="10"/>
  <c r="AD1919" i="10"/>
  <c r="AE1918" i="10"/>
  <c r="AD1918" i="10"/>
  <c r="AE1917" i="10"/>
  <c r="AD1917" i="10"/>
  <c r="AE1916" i="10"/>
  <c r="AD1916" i="10"/>
  <c r="AE1915" i="10"/>
  <c r="AD1915" i="10"/>
  <c r="AE1914" i="10"/>
  <c r="AD1914" i="10"/>
  <c r="AE1913" i="10"/>
  <c r="AD1913" i="10"/>
  <c r="AE1912" i="10"/>
  <c r="AD1912" i="10"/>
  <c r="AE1911" i="10"/>
  <c r="AD1911" i="10"/>
  <c r="AE1910" i="10"/>
  <c r="AD1910" i="10"/>
  <c r="AE1909" i="10"/>
  <c r="AD1909" i="10"/>
  <c r="AE1908" i="10"/>
  <c r="AD1908" i="10"/>
  <c r="AE1907" i="10"/>
  <c r="AD1907" i="10"/>
  <c r="AE1906" i="10"/>
  <c r="AD1906" i="10"/>
  <c r="AE1905" i="10"/>
  <c r="AD1905" i="10"/>
  <c r="AE1904" i="10"/>
  <c r="AD1904" i="10"/>
  <c r="AE1903" i="10"/>
  <c r="AD1903" i="10"/>
  <c r="AE1902" i="10"/>
  <c r="AD1902" i="10"/>
  <c r="AE1901" i="10"/>
  <c r="AD1901" i="10"/>
  <c r="AE1900" i="10"/>
  <c r="AD1900" i="10"/>
  <c r="AE1899" i="10"/>
  <c r="AD1899" i="10"/>
  <c r="AE1898" i="10"/>
  <c r="AD1898" i="10"/>
  <c r="AE1897" i="10"/>
  <c r="AD1897" i="10"/>
  <c r="AE1896" i="10"/>
  <c r="AD1896" i="10"/>
  <c r="AE1895" i="10"/>
  <c r="AD1895" i="10"/>
  <c r="AE1894" i="10"/>
  <c r="AD1894" i="10"/>
  <c r="AE1893" i="10"/>
  <c r="AD1893" i="10"/>
  <c r="AE1892" i="10"/>
  <c r="AD1892" i="10"/>
  <c r="AE1891" i="10"/>
  <c r="AD1891" i="10"/>
  <c r="AE1890" i="10"/>
  <c r="AD1890" i="10"/>
  <c r="AE1889" i="10"/>
  <c r="AD1889" i="10"/>
  <c r="AE1888" i="10"/>
  <c r="AD1888" i="10"/>
  <c r="AE1887" i="10"/>
  <c r="AD1887" i="10"/>
  <c r="AE1886" i="10"/>
  <c r="AD1886" i="10"/>
  <c r="AE1885" i="10"/>
  <c r="AD1885" i="10"/>
  <c r="AE1884" i="10"/>
  <c r="AD1884" i="10"/>
  <c r="AE1883" i="10"/>
  <c r="AD1883" i="10"/>
  <c r="AE1882" i="10"/>
  <c r="AD1882" i="10"/>
  <c r="AE1881" i="10"/>
  <c r="AD1881" i="10"/>
  <c r="AE1880" i="10"/>
  <c r="AD1880" i="10"/>
  <c r="AE1879" i="10"/>
  <c r="AD1879" i="10"/>
  <c r="AE1878" i="10"/>
  <c r="AD1878" i="10"/>
  <c r="AE1877" i="10"/>
  <c r="AD1877" i="10"/>
  <c r="AE1876" i="10"/>
  <c r="AD1876" i="10"/>
  <c r="AE1875" i="10"/>
  <c r="AD1875" i="10"/>
  <c r="AE1874" i="10"/>
  <c r="AD1874" i="10"/>
  <c r="AE1873" i="10"/>
  <c r="AD1873" i="10"/>
  <c r="AE1872" i="10"/>
  <c r="AD1872" i="10"/>
  <c r="AE1871" i="10"/>
  <c r="AD1871" i="10"/>
  <c r="AE1870" i="10"/>
  <c r="AD1870" i="10"/>
  <c r="AE1869" i="10"/>
  <c r="AD1869" i="10"/>
  <c r="AE1868" i="10"/>
  <c r="AD1868" i="10"/>
  <c r="AE1867" i="10"/>
  <c r="AD1867" i="10"/>
  <c r="AE1866" i="10"/>
  <c r="AD1866" i="10"/>
  <c r="AE1865" i="10"/>
  <c r="AD1865" i="10"/>
  <c r="AE1864" i="10"/>
  <c r="AD1864" i="10"/>
  <c r="AE1863" i="10"/>
  <c r="AD1863" i="10"/>
  <c r="AE1862" i="10"/>
  <c r="AD1862" i="10"/>
  <c r="AE1861" i="10"/>
  <c r="AD1861" i="10"/>
  <c r="AE1860" i="10"/>
  <c r="AD1860" i="10"/>
  <c r="AE1859" i="10"/>
  <c r="AD1859" i="10"/>
  <c r="AE1858" i="10"/>
  <c r="AD1858" i="10"/>
  <c r="AE1857" i="10"/>
  <c r="AD1857" i="10"/>
  <c r="AE1856" i="10"/>
  <c r="AD1856" i="10"/>
  <c r="AE1855" i="10"/>
  <c r="AD1855" i="10"/>
  <c r="AE1854" i="10"/>
  <c r="AD1854" i="10"/>
  <c r="AE1853" i="10"/>
  <c r="AD1853" i="10"/>
  <c r="AE1852" i="10"/>
  <c r="AD1852" i="10"/>
  <c r="AE1851" i="10"/>
  <c r="AD1851" i="10"/>
  <c r="AE1850" i="10"/>
  <c r="AD1850" i="10"/>
  <c r="AE1849" i="10"/>
  <c r="AD1849" i="10"/>
  <c r="AE1848" i="10"/>
  <c r="AD1848" i="10"/>
  <c r="AE1847" i="10"/>
  <c r="AD1847" i="10"/>
  <c r="AE1846" i="10"/>
  <c r="AD1846" i="10"/>
  <c r="AE1845" i="10"/>
  <c r="AD1845" i="10"/>
  <c r="AE1844" i="10"/>
  <c r="AD1844" i="10"/>
  <c r="AE1843" i="10"/>
  <c r="AD1843" i="10"/>
  <c r="AE1842" i="10"/>
  <c r="AD1842" i="10"/>
  <c r="AE1841" i="10"/>
  <c r="AD1841" i="10"/>
  <c r="AE1840" i="10"/>
  <c r="AD1840" i="10"/>
  <c r="AE1839" i="10"/>
  <c r="AD1839" i="10"/>
  <c r="AE1838" i="10"/>
  <c r="AD1838" i="10"/>
  <c r="AE1837" i="10"/>
  <c r="AD1837" i="10"/>
  <c r="AE1836" i="10"/>
  <c r="AD1836" i="10"/>
  <c r="AE1835" i="10"/>
  <c r="AD1835" i="10"/>
  <c r="AE1834" i="10"/>
  <c r="AD1834" i="10"/>
  <c r="AE1833" i="10"/>
  <c r="AD1833" i="10"/>
  <c r="AE1832" i="10"/>
  <c r="AD1832" i="10"/>
  <c r="AE1831" i="10"/>
  <c r="AD1831" i="10"/>
  <c r="AE1830" i="10"/>
  <c r="AD1830" i="10"/>
  <c r="AE1829" i="10"/>
  <c r="AD1829" i="10"/>
  <c r="AE1828" i="10"/>
  <c r="AD1828" i="10"/>
  <c r="AE1827" i="10"/>
  <c r="AD1827" i="10"/>
  <c r="AE1826" i="10"/>
  <c r="AD1826" i="10"/>
  <c r="AE1825" i="10"/>
  <c r="AD1825" i="10"/>
  <c r="AE1824" i="10"/>
  <c r="AD1824" i="10"/>
  <c r="AE1823" i="10"/>
  <c r="AD1823" i="10"/>
  <c r="AE1822" i="10"/>
  <c r="AD1822" i="10"/>
  <c r="AE1821" i="10"/>
  <c r="AD1821" i="10"/>
  <c r="AE1820" i="10"/>
  <c r="AD1820" i="10"/>
  <c r="AE1819" i="10"/>
  <c r="AD1819" i="10"/>
  <c r="AE1818" i="10"/>
  <c r="AD1818" i="10"/>
  <c r="AE1817" i="10"/>
  <c r="AD1817" i="10"/>
  <c r="AE1816" i="10"/>
  <c r="AD1816" i="10"/>
  <c r="AE1815" i="10"/>
  <c r="AD1815" i="10"/>
  <c r="AE1814" i="10"/>
  <c r="AD1814" i="10"/>
  <c r="AE1813" i="10"/>
  <c r="AD1813" i="10"/>
  <c r="AE1812" i="10"/>
  <c r="AD1812" i="10"/>
  <c r="AE1811" i="10"/>
  <c r="AD1811" i="10"/>
  <c r="AE1810" i="10"/>
  <c r="AD1810" i="10"/>
  <c r="AE1809" i="10"/>
  <c r="AD1809" i="10"/>
  <c r="AE1808" i="10"/>
  <c r="AD1808" i="10"/>
  <c r="AE1807" i="10"/>
  <c r="AD1807" i="10"/>
  <c r="AE1806" i="10"/>
  <c r="AD1806" i="10"/>
  <c r="AE1805" i="10"/>
  <c r="AD1805" i="10"/>
  <c r="AE1804" i="10"/>
  <c r="AD1804" i="10"/>
  <c r="AE1803" i="10"/>
  <c r="AD1803" i="10"/>
  <c r="AE1802" i="10"/>
  <c r="AD1802" i="10"/>
  <c r="AE1801" i="10"/>
  <c r="AD1801" i="10"/>
  <c r="AE1800" i="10"/>
  <c r="AD1800" i="10"/>
  <c r="AE1799" i="10"/>
  <c r="AD1799" i="10"/>
  <c r="AE1798" i="10"/>
  <c r="AD1798" i="10"/>
  <c r="AE1797" i="10"/>
  <c r="AD1797" i="10"/>
  <c r="AE1796" i="10"/>
  <c r="AD1796" i="10"/>
  <c r="AE1795" i="10"/>
  <c r="AD1795" i="10"/>
  <c r="AE1794" i="10"/>
  <c r="AD1794" i="10"/>
  <c r="AE1793" i="10"/>
  <c r="AD1793" i="10"/>
  <c r="AE1792" i="10"/>
  <c r="AD1792" i="10"/>
  <c r="AE1791" i="10"/>
  <c r="AD1791" i="10"/>
  <c r="AE1790" i="10"/>
  <c r="AD1790" i="10"/>
  <c r="AE1789" i="10"/>
  <c r="AD1789" i="10"/>
  <c r="AE1788" i="10"/>
  <c r="AD1788" i="10"/>
  <c r="AE1787" i="10"/>
  <c r="AD1787" i="10"/>
  <c r="AE1786" i="10"/>
  <c r="AD1786" i="10"/>
  <c r="AE1785" i="10"/>
  <c r="AD1785" i="10"/>
  <c r="AE1784" i="10"/>
  <c r="AD1784" i="10"/>
  <c r="AE1783" i="10"/>
  <c r="AD1783" i="10"/>
  <c r="AE1782" i="10"/>
  <c r="AD1782" i="10"/>
  <c r="AE1781" i="10"/>
  <c r="AD1781" i="10"/>
  <c r="AE1780" i="10"/>
  <c r="AD1780" i="10"/>
  <c r="AE1779" i="10"/>
  <c r="AD1779" i="10"/>
  <c r="AE1778" i="10"/>
  <c r="AD1778" i="10"/>
  <c r="AE1777" i="10"/>
  <c r="AD1777" i="10"/>
  <c r="AE1776" i="10"/>
  <c r="AD1776" i="10"/>
  <c r="AE1775" i="10"/>
  <c r="AD1775" i="10"/>
  <c r="AE1774" i="10"/>
  <c r="AD1774" i="10"/>
  <c r="AE1773" i="10"/>
  <c r="AD1773" i="10"/>
  <c r="AE1772" i="10"/>
  <c r="AD1772" i="10"/>
  <c r="AE1771" i="10"/>
  <c r="AD1771" i="10"/>
  <c r="AE1770" i="10"/>
  <c r="AD1770" i="10"/>
  <c r="AE1769" i="10"/>
  <c r="AD1769" i="10"/>
  <c r="AE1768" i="10"/>
  <c r="AD1768" i="10"/>
  <c r="AE1767" i="10"/>
  <c r="AD1767" i="10"/>
  <c r="AE1766" i="10"/>
  <c r="AD1766" i="10"/>
  <c r="AE1765" i="10"/>
  <c r="AD1765" i="10"/>
  <c r="AE1764" i="10"/>
  <c r="AD1764" i="10"/>
  <c r="AE1763" i="10"/>
  <c r="AD1763" i="10"/>
  <c r="AE1762" i="10"/>
  <c r="AD1762" i="10"/>
  <c r="AE1761" i="10"/>
  <c r="AD1761" i="10"/>
  <c r="AE1760" i="10"/>
  <c r="AD1760" i="10"/>
  <c r="AE1759" i="10"/>
  <c r="AD1759" i="10"/>
  <c r="AE1758" i="10"/>
  <c r="AD1758" i="10"/>
  <c r="AE1757" i="10"/>
  <c r="AD1757" i="10"/>
  <c r="AE1756" i="10"/>
  <c r="AD1756" i="10"/>
  <c r="AE1755" i="10"/>
  <c r="AD1755" i="10"/>
  <c r="AE1754" i="10"/>
  <c r="AD1754" i="10"/>
  <c r="AE1753" i="10"/>
  <c r="AD1753" i="10"/>
  <c r="AE1752" i="10"/>
  <c r="AD1752" i="10"/>
  <c r="AE1751" i="10"/>
  <c r="AD1751" i="10"/>
  <c r="AE1750" i="10"/>
  <c r="AD1750" i="10"/>
  <c r="AE1749" i="10"/>
  <c r="AD1749" i="10"/>
  <c r="AE1748" i="10"/>
  <c r="AD1748" i="10"/>
  <c r="AE1747" i="10"/>
  <c r="AD1747" i="10"/>
  <c r="AE1746" i="10"/>
  <c r="AD1746" i="10"/>
  <c r="AE1745" i="10"/>
  <c r="AD1745" i="10"/>
  <c r="AE1744" i="10"/>
  <c r="AD1744" i="10"/>
  <c r="AE1743" i="10"/>
  <c r="AD1743" i="10"/>
  <c r="AE1742" i="10"/>
  <c r="AD1742" i="10"/>
  <c r="AE1741" i="10"/>
  <c r="AD1741" i="10"/>
  <c r="AE1740" i="10"/>
  <c r="AD1740" i="10"/>
  <c r="AE1739" i="10"/>
  <c r="AD1739" i="10"/>
  <c r="AE1738" i="10"/>
  <c r="AD1738" i="10"/>
  <c r="AE1737" i="10"/>
  <c r="AD1737" i="10"/>
  <c r="AE1736" i="10"/>
  <c r="AD1736" i="10"/>
  <c r="AE1735" i="10"/>
  <c r="AD1735" i="10"/>
  <c r="AE1734" i="10"/>
  <c r="AD1734" i="10"/>
  <c r="AE1733" i="10"/>
  <c r="AD1733" i="10"/>
  <c r="AE1732" i="10"/>
  <c r="AD1732" i="10"/>
  <c r="AE1731" i="10"/>
  <c r="AD1731" i="10"/>
  <c r="AE1730" i="10"/>
  <c r="AD1730" i="10"/>
  <c r="AE1729" i="10"/>
  <c r="AD1729" i="10"/>
  <c r="AE1728" i="10"/>
  <c r="AD1728" i="10"/>
  <c r="AE1727" i="10"/>
  <c r="AD1727" i="10"/>
  <c r="AE1726" i="10"/>
  <c r="AD1726" i="10"/>
  <c r="AE1725" i="10"/>
  <c r="AD1725" i="10"/>
  <c r="AE1724" i="10"/>
  <c r="AD1724" i="10"/>
  <c r="AE1723" i="10"/>
  <c r="AD1723" i="10"/>
  <c r="AE1722" i="10"/>
  <c r="AD1722" i="10"/>
  <c r="AE1721" i="10"/>
  <c r="AD1721" i="10"/>
  <c r="AE1720" i="10"/>
  <c r="AD1720" i="10"/>
  <c r="AE1719" i="10"/>
  <c r="AD1719" i="10"/>
  <c r="AE1718" i="10"/>
  <c r="AD1718" i="10"/>
  <c r="AE1717" i="10"/>
  <c r="AD1717" i="10"/>
  <c r="AE1716" i="10"/>
  <c r="AD1716" i="10"/>
  <c r="AE1715" i="10"/>
  <c r="AD1715" i="10"/>
  <c r="AE1714" i="10"/>
  <c r="AD1714" i="10"/>
  <c r="AE1713" i="10"/>
  <c r="AD1713" i="10"/>
  <c r="AE1712" i="10"/>
  <c r="AD1712" i="10"/>
  <c r="AE1711" i="10"/>
  <c r="AD1711" i="10"/>
  <c r="AE1710" i="10"/>
  <c r="AD1710" i="10"/>
  <c r="AE1709" i="10"/>
  <c r="AD1709" i="10"/>
  <c r="AE1708" i="10"/>
  <c r="AD1708" i="10"/>
  <c r="AE1707" i="10"/>
  <c r="AD1707" i="10"/>
  <c r="AE1706" i="10"/>
  <c r="AD1706" i="10"/>
  <c r="AE1705" i="10"/>
  <c r="AD1705" i="10"/>
  <c r="AE1704" i="10"/>
  <c r="AD1704" i="10"/>
  <c r="AE1703" i="10"/>
  <c r="AD1703" i="10"/>
  <c r="AE1702" i="10"/>
  <c r="AD1702" i="10"/>
  <c r="AE1701" i="10"/>
  <c r="AD1701" i="10"/>
  <c r="AE1700" i="10"/>
  <c r="AD1700" i="10"/>
  <c r="AE1699" i="10"/>
  <c r="AD1699" i="10"/>
  <c r="AE1698" i="10"/>
  <c r="AD1698" i="10"/>
  <c r="AE1697" i="10"/>
  <c r="AD1697" i="10"/>
  <c r="AE1696" i="10"/>
  <c r="AD1696" i="10"/>
  <c r="AE1695" i="10"/>
  <c r="AD1695" i="10"/>
  <c r="AE1694" i="10"/>
  <c r="AD1694" i="10"/>
  <c r="AE1693" i="10"/>
  <c r="AD1693" i="10"/>
  <c r="AE1692" i="10"/>
  <c r="AD1692" i="10"/>
  <c r="AE1691" i="10"/>
  <c r="AD1691" i="10"/>
  <c r="AE1690" i="10"/>
  <c r="AD1690" i="10"/>
  <c r="AE1689" i="10"/>
  <c r="AD1689" i="10"/>
  <c r="AE1688" i="10"/>
  <c r="AD1688" i="10"/>
  <c r="AE1687" i="10"/>
  <c r="AD1687" i="10"/>
  <c r="AE1686" i="10"/>
  <c r="AD1686" i="10"/>
  <c r="AE1685" i="10"/>
  <c r="AD1685" i="10"/>
  <c r="AE1684" i="10"/>
  <c r="AD1684" i="10"/>
  <c r="AE1683" i="10"/>
  <c r="AD1683" i="10"/>
  <c r="AE1682" i="10"/>
  <c r="AD1682" i="10"/>
  <c r="AE1681" i="10"/>
  <c r="AD1681" i="10"/>
  <c r="AE1680" i="10"/>
  <c r="AD1680" i="10"/>
  <c r="AE1679" i="10"/>
  <c r="AD1679" i="10"/>
  <c r="AE1678" i="10"/>
  <c r="AD1678" i="10"/>
  <c r="AE1677" i="10"/>
  <c r="AD1677" i="10"/>
  <c r="AE1676" i="10"/>
  <c r="AD1676" i="10"/>
  <c r="AE1675" i="10"/>
  <c r="AD1675" i="10"/>
  <c r="AE1674" i="10"/>
  <c r="AD1674" i="10"/>
  <c r="AE1673" i="10"/>
  <c r="AD1673" i="10"/>
  <c r="AE1672" i="10"/>
  <c r="AD1672" i="10"/>
  <c r="AE1671" i="10"/>
  <c r="AD1671" i="10"/>
  <c r="AE1670" i="10"/>
  <c r="AD1670" i="10"/>
  <c r="AE1669" i="10"/>
  <c r="AD1669" i="10"/>
  <c r="AE1668" i="10"/>
  <c r="AD1668" i="10"/>
  <c r="AE1667" i="10"/>
  <c r="AD1667" i="10"/>
  <c r="AE1666" i="10"/>
  <c r="AD1666" i="10"/>
  <c r="AE1665" i="10"/>
  <c r="AD1665" i="10"/>
  <c r="AE1664" i="10"/>
  <c r="AD1664" i="10"/>
  <c r="AE1663" i="10"/>
  <c r="AD1663" i="10"/>
  <c r="AE1662" i="10"/>
  <c r="AD1662" i="10"/>
  <c r="AE1661" i="10"/>
  <c r="AD1661" i="10"/>
  <c r="AE1660" i="10"/>
  <c r="AD1660" i="10"/>
  <c r="AE1659" i="10"/>
  <c r="AD1659" i="10"/>
  <c r="AE1658" i="10"/>
  <c r="AD1658" i="10"/>
  <c r="AE1657" i="10"/>
  <c r="AD1657" i="10"/>
  <c r="AE1656" i="10"/>
  <c r="AD1656" i="10"/>
  <c r="AE1655" i="10"/>
  <c r="AD1655" i="10"/>
  <c r="AE1654" i="10"/>
  <c r="AD1654" i="10"/>
  <c r="AE1653" i="10"/>
  <c r="AD1653" i="10"/>
  <c r="AE1652" i="10"/>
  <c r="AD1652" i="10"/>
  <c r="AE1651" i="10"/>
  <c r="AD1651" i="10"/>
  <c r="AE1650" i="10"/>
  <c r="AD1650" i="10"/>
  <c r="AE1649" i="10"/>
  <c r="AD1649" i="10"/>
  <c r="AE1648" i="10"/>
  <c r="AD1648" i="10"/>
  <c r="AE1647" i="10"/>
  <c r="AD1647" i="10"/>
  <c r="AE1646" i="10"/>
  <c r="AD1646" i="10"/>
  <c r="AE1645" i="10"/>
  <c r="AD1645" i="10"/>
  <c r="AE1644" i="10"/>
  <c r="AD1644" i="10"/>
  <c r="AE1643" i="10"/>
  <c r="AD1643" i="10"/>
  <c r="AE1642" i="10"/>
  <c r="AD1642" i="10"/>
  <c r="AE1641" i="10"/>
  <c r="AD1641" i="10"/>
  <c r="AE1640" i="10"/>
  <c r="AD1640" i="10"/>
  <c r="AE1639" i="10"/>
  <c r="AD1639" i="10"/>
  <c r="AE1638" i="10"/>
  <c r="AD1638" i="10"/>
  <c r="AE1637" i="10"/>
  <c r="AD1637" i="10"/>
  <c r="AE1636" i="10"/>
  <c r="AD1636" i="10"/>
  <c r="AE1635" i="10"/>
  <c r="AD1635" i="10"/>
  <c r="AE1634" i="10"/>
  <c r="AD1634" i="10"/>
  <c r="AE1633" i="10"/>
  <c r="AD1633" i="10"/>
  <c r="AE1632" i="10"/>
  <c r="AD1632" i="10"/>
  <c r="AE1631" i="10"/>
  <c r="AD1631" i="10"/>
  <c r="AE1630" i="10"/>
  <c r="AD1630" i="10"/>
  <c r="AE1629" i="10"/>
  <c r="AD1629" i="10"/>
  <c r="AE1628" i="10"/>
  <c r="AD1628" i="10"/>
  <c r="AE1627" i="10"/>
  <c r="AD1627" i="10"/>
  <c r="AE1626" i="10"/>
  <c r="AD1626" i="10"/>
  <c r="AE1625" i="10"/>
  <c r="AD1625" i="10"/>
  <c r="AE1624" i="10"/>
  <c r="AD1624" i="10"/>
  <c r="AE1623" i="10"/>
  <c r="AD1623" i="10"/>
  <c r="AE1622" i="10"/>
  <c r="AD1622" i="10"/>
  <c r="AE1621" i="10"/>
  <c r="AD1621" i="10"/>
  <c r="AE1620" i="10"/>
  <c r="AD1620" i="10"/>
  <c r="AE1619" i="10"/>
  <c r="AD1619" i="10"/>
  <c r="AE1618" i="10"/>
  <c r="AD1618" i="10"/>
  <c r="AE1617" i="10"/>
  <c r="AD1617" i="10"/>
  <c r="AE1616" i="10"/>
  <c r="AD1616" i="10"/>
  <c r="AE1615" i="10"/>
  <c r="AD1615" i="10"/>
  <c r="AE1614" i="10"/>
  <c r="AD1614" i="10"/>
  <c r="AE1613" i="10"/>
  <c r="AD1613" i="10"/>
  <c r="AE1612" i="10"/>
  <c r="AD1612" i="10"/>
  <c r="AE1611" i="10"/>
  <c r="AD1611" i="10"/>
  <c r="AE1610" i="10"/>
  <c r="AD1610" i="10"/>
  <c r="AE1609" i="10"/>
  <c r="AD1609" i="10"/>
  <c r="AE1608" i="10"/>
  <c r="AD1608" i="10"/>
  <c r="AE1607" i="10"/>
  <c r="AD1607" i="10"/>
  <c r="AE1606" i="10"/>
  <c r="AD1606" i="10"/>
  <c r="AE1605" i="10"/>
  <c r="AD1605" i="10"/>
  <c r="AE1604" i="10"/>
  <c r="AD1604" i="10"/>
  <c r="AE1603" i="10"/>
  <c r="AD1603" i="10"/>
  <c r="AE1602" i="10"/>
  <c r="AD1602" i="10"/>
  <c r="AE1601" i="10"/>
  <c r="AD1601" i="10"/>
  <c r="AE1600" i="10"/>
  <c r="AD1600" i="10"/>
  <c r="AE1599" i="10"/>
  <c r="AD1599" i="10"/>
  <c r="AE1598" i="10"/>
  <c r="AD1598" i="10"/>
  <c r="AE1597" i="10"/>
  <c r="AD1597" i="10"/>
  <c r="AE1596" i="10"/>
  <c r="AD1596" i="10"/>
  <c r="AE1595" i="10"/>
  <c r="AD1595" i="10"/>
  <c r="AE1594" i="10"/>
  <c r="AD1594" i="10"/>
  <c r="AE1593" i="10"/>
  <c r="AD1593" i="10"/>
  <c r="AE1592" i="10"/>
  <c r="AD1592" i="10"/>
  <c r="AE1591" i="10"/>
  <c r="AD1591" i="10"/>
  <c r="AE1590" i="10"/>
  <c r="AD1590" i="10"/>
  <c r="AE1589" i="10"/>
  <c r="AD1589" i="10"/>
  <c r="AE1588" i="10"/>
  <c r="AD1588" i="10"/>
  <c r="AE1587" i="10"/>
  <c r="AD1587" i="10"/>
  <c r="AE1586" i="10"/>
  <c r="AD1586" i="10"/>
  <c r="AE1585" i="10"/>
  <c r="AD1585" i="10"/>
  <c r="AE1584" i="10"/>
  <c r="AD1584" i="10"/>
  <c r="AE1583" i="10"/>
  <c r="AD1583" i="10"/>
  <c r="AE1582" i="10"/>
  <c r="AD1582" i="10"/>
  <c r="AE1581" i="10"/>
  <c r="AD1581" i="10"/>
  <c r="AE1580" i="10"/>
  <c r="AD1580" i="10"/>
  <c r="AE1579" i="10"/>
  <c r="AD1579" i="10"/>
  <c r="AE1578" i="10"/>
  <c r="AD1578" i="10"/>
  <c r="AE1577" i="10"/>
  <c r="AD1577" i="10"/>
  <c r="AE1576" i="10"/>
  <c r="AD1576" i="10"/>
  <c r="AE1575" i="10"/>
  <c r="AD1575" i="10"/>
  <c r="AE1574" i="10"/>
  <c r="AD1574" i="10"/>
  <c r="AE1573" i="10"/>
  <c r="AD1573" i="10"/>
  <c r="AE1572" i="10"/>
  <c r="AD1572" i="10"/>
  <c r="AE1571" i="10"/>
  <c r="AD1571" i="10"/>
  <c r="AE1570" i="10"/>
  <c r="AD1570" i="10"/>
  <c r="AE1569" i="10"/>
  <c r="AD1569" i="10"/>
  <c r="AE1568" i="10"/>
  <c r="AD1568" i="10"/>
  <c r="AE1567" i="10"/>
  <c r="AD1567" i="10"/>
  <c r="AE1566" i="10"/>
  <c r="AD1566" i="10"/>
  <c r="AE1565" i="10"/>
  <c r="AD1565" i="10"/>
  <c r="AE1564" i="10"/>
  <c r="AD1564" i="10"/>
  <c r="AE1563" i="10"/>
  <c r="AD1563" i="10"/>
  <c r="AE1562" i="10"/>
  <c r="AD1562" i="10"/>
  <c r="AE1561" i="10"/>
  <c r="AD1561" i="10"/>
  <c r="AE1560" i="10"/>
  <c r="AD1560" i="10"/>
  <c r="AE1559" i="10"/>
  <c r="AD1559" i="10"/>
  <c r="AE1558" i="10"/>
  <c r="AD1558" i="10"/>
  <c r="AE1557" i="10"/>
  <c r="AD1557" i="10"/>
  <c r="AE1556" i="10"/>
  <c r="AD1556" i="10"/>
  <c r="AE1555" i="10"/>
  <c r="AD1555" i="10"/>
  <c r="AE1554" i="10"/>
  <c r="AD1554" i="10"/>
  <c r="AE1553" i="10"/>
  <c r="AD1553" i="10"/>
  <c r="AE1552" i="10"/>
  <c r="AD1552" i="10"/>
  <c r="AE1551" i="10"/>
  <c r="AD1551" i="10"/>
  <c r="AE1550" i="10"/>
  <c r="AD1550" i="10"/>
  <c r="AE1549" i="10"/>
  <c r="AD1549" i="10"/>
  <c r="AE1548" i="10"/>
  <c r="AD1548" i="10"/>
  <c r="AE1547" i="10"/>
  <c r="AD1547" i="10"/>
  <c r="AE1546" i="10"/>
  <c r="AD1546" i="10"/>
  <c r="AE1545" i="10"/>
  <c r="AD1545" i="10"/>
  <c r="AE1544" i="10"/>
  <c r="AD1544" i="10"/>
  <c r="AE1543" i="10"/>
  <c r="AD1543" i="10"/>
  <c r="AE1542" i="10"/>
  <c r="AD1542" i="10"/>
  <c r="AE1541" i="10"/>
  <c r="AD1541" i="10"/>
  <c r="AE1540" i="10"/>
  <c r="AD1540" i="10"/>
  <c r="AE1539" i="10"/>
  <c r="AD1539" i="10"/>
  <c r="AE1538" i="10"/>
  <c r="AD1538" i="10"/>
  <c r="AE1537" i="10"/>
  <c r="AD1537" i="10"/>
  <c r="AE1536" i="10"/>
  <c r="AD1536" i="10"/>
  <c r="AE1535" i="10"/>
  <c r="AD1535" i="10"/>
  <c r="AE1534" i="10"/>
  <c r="AD1534" i="10"/>
  <c r="AE1533" i="10"/>
  <c r="AD1533" i="10"/>
  <c r="AE1532" i="10"/>
  <c r="AD1532" i="10"/>
  <c r="AE1531" i="10"/>
  <c r="AD1531" i="10"/>
  <c r="AE1530" i="10"/>
  <c r="AD1530" i="10"/>
  <c r="AE1529" i="10"/>
  <c r="AD1529" i="10"/>
  <c r="AE1528" i="10"/>
  <c r="AD1528" i="10"/>
  <c r="AE1527" i="10"/>
  <c r="AD1527" i="10"/>
  <c r="AE1526" i="10"/>
  <c r="AD1526" i="10"/>
  <c r="AE1525" i="10"/>
  <c r="AD1525" i="10"/>
  <c r="AE1524" i="10"/>
  <c r="AD1524" i="10"/>
  <c r="AE1523" i="10"/>
  <c r="AD1523" i="10"/>
  <c r="AE1522" i="10"/>
  <c r="AD1522" i="10"/>
  <c r="AE1521" i="10"/>
  <c r="AD1521" i="10"/>
  <c r="AE1520" i="10"/>
  <c r="AD1520" i="10"/>
  <c r="AE1519" i="10"/>
  <c r="AD1519" i="10"/>
  <c r="AE1518" i="10"/>
  <c r="AD1518" i="10"/>
  <c r="AE1517" i="10"/>
  <c r="AD1517" i="10"/>
  <c r="AE1516" i="10"/>
  <c r="AD1516" i="10"/>
  <c r="AE1515" i="10"/>
  <c r="AD1515" i="10"/>
  <c r="AE1514" i="10"/>
  <c r="AD1514" i="10"/>
  <c r="AE1513" i="10"/>
  <c r="AD1513" i="10"/>
  <c r="AE1512" i="10"/>
  <c r="AD1512" i="10"/>
  <c r="AE1511" i="10"/>
  <c r="AD1511" i="10"/>
  <c r="AE1510" i="10"/>
  <c r="AD1510" i="10"/>
  <c r="AE1509" i="10"/>
  <c r="AD1509" i="10"/>
  <c r="AE1508" i="10"/>
  <c r="AD1508" i="10"/>
  <c r="AE1507" i="10"/>
  <c r="AD1507" i="10"/>
  <c r="AE1506" i="10"/>
  <c r="AD1506" i="10"/>
  <c r="AE1505" i="10"/>
  <c r="AD1505" i="10"/>
  <c r="AE1504" i="10"/>
  <c r="AD1504" i="10"/>
  <c r="AE1503" i="10"/>
  <c r="AD1503" i="10"/>
  <c r="AE1502" i="10"/>
  <c r="AD1502" i="10"/>
  <c r="AE1501" i="10"/>
  <c r="AD1501" i="10"/>
  <c r="AE1500" i="10"/>
  <c r="AD1500" i="10"/>
  <c r="AE1499" i="10"/>
  <c r="AD1499" i="10"/>
  <c r="AE1498" i="10"/>
  <c r="AD1498" i="10"/>
  <c r="AE1497" i="10"/>
  <c r="AD1497" i="10"/>
  <c r="AE1496" i="10"/>
  <c r="AD1496" i="10"/>
  <c r="AE1495" i="10"/>
  <c r="AD1495" i="10"/>
  <c r="AE1494" i="10"/>
  <c r="AD1494" i="10"/>
  <c r="AE1493" i="10"/>
  <c r="AD1493" i="10"/>
  <c r="AE1492" i="10"/>
  <c r="AD1492" i="10"/>
  <c r="AE1491" i="10"/>
  <c r="AD1491" i="10"/>
  <c r="AE1490" i="10"/>
  <c r="AD1490" i="10"/>
  <c r="AE1489" i="10"/>
  <c r="AD1489" i="10"/>
  <c r="AE1488" i="10"/>
  <c r="AD1488" i="10"/>
  <c r="AE1487" i="10"/>
  <c r="AD1487" i="10"/>
  <c r="AE1486" i="10"/>
  <c r="AD1486" i="10"/>
  <c r="AE1485" i="10"/>
  <c r="AD1485" i="10"/>
  <c r="AE1484" i="10"/>
  <c r="AD1484" i="10"/>
  <c r="AE1483" i="10"/>
  <c r="AD1483" i="10"/>
  <c r="AE1482" i="10"/>
  <c r="AD1482" i="10"/>
  <c r="AE1481" i="10"/>
  <c r="AD1481" i="10"/>
  <c r="AE1480" i="10"/>
  <c r="AD1480" i="10"/>
  <c r="AE1479" i="10"/>
  <c r="AD1479" i="10"/>
  <c r="AE1478" i="10"/>
  <c r="AD1478" i="10"/>
  <c r="AE1477" i="10"/>
  <c r="AD1477" i="10"/>
  <c r="AE1476" i="10"/>
  <c r="AD1476" i="10"/>
  <c r="AE1475" i="10"/>
  <c r="AD1475" i="10"/>
  <c r="AE1474" i="10"/>
  <c r="AD1474" i="10"/>
  <c r="AE1473" i="10"/>
  <c r="AD1473" i="10"/>
  <c r="AE1472" i="10"/>
  <c r="AD1472" i="10"/>
  <c r="AE1471" i="10"/>
  <c r="AD1471" i="10"/>
  <c r="AE1470" i="10"/>
  <c r="AD1470" i="10"/>
  <c r="AE1469" i="10"/>
  <c r="AD1469" i="10"/>
  <c r="AE1468" i="10"/>
  <c r="AD1468" i="10"/>
  <c r="AE1467" i="10"/>
  <c r="AD1467" i="10"/>
  <c r="AE1466" i="10"/>
  <c r="AD1466" i="10"/>
  <c r="AE1465" i="10"/>
  <c r="AD1465" i="10"/>
  <c r="AE1464" i="10"/>
  <c r="AD1464" i="10"/>
  <c r="AE1463" i="10"/>
  <c r="AD1463" i="10"/>
  <c r="AE1462" i="10"/>
  <c r="AD1462" i="10"/>
  <c r="AE1461" i="10"/>
  <c r="AD1461" i="10"/>
  <c r="AE1460" i="10"/>
  <c r="AD1460" i="10"/>
  <c r="AE1459" i="10"/>
  <c r="AD1459" i="10"/>
  <c r="AE1458" i="10"/>
  <c r="AD1458" i="10"/>
  <c r="AE1457" i="10"/>
  <c r="AD1457" i="10"/>
  <c r="AE1456" i="10"/>
  <c r="AD1456" i="10"/>
  <c r="AE1455" i="10"/>
  <c r="AD1455" i="10"/>
  <c r="AE1454" i="10"/>
  <c r="AD1454" i="10"/>
  <c r="AE1453" i="10"/>
  <c r="AD1453" i="10"/>
  <c r="AE1452" i="10"/>
  <c r="AD1452" i="10"/>
  <c r="AE1451" i="10"/>
  <c r="AD1451" i="10"/>
  <c r="AE1450" i="10"/>
  <c r="AD1450" i="10"/>
  <c r="AE1449" i="10"/>
  <c r="AD1449" i="10"/>
  <c r="AE1448" i="10"/>
  <c r="AD1448" i="10"/>
  <c r="AE1447" i="10"/>
  <c r="AD1447" i="10"/>
  <c r="AE1446" i="10"/>
  <c r="AD1446" i="10"/>
  <c r="AE1445" i="10"/>
  <c r="AD1445" i="10"/>
  <c r="AE1444" i="10"/>
  <c r="AD1444" i="10"/>
  <c r="AE1443" i="10"/>
  <c r="AD1443" i="10"/>
  <c r="AE1442" i="10"/>
  <c r="AD1442" i="10"/>
  <c r="AE1441" i="10"/>
  <c r="AD1441" i="10"/>
  <c r="AE1440" i="10"/>
  <c r="AD1440" i="10"/>
  <c r="AE1439" i="10"/>
  <c r="AD1439" i="10"/>
  <c r="AE1438" i="10"/>
  <c r="AD1438" i="10"/>
  <c r="AE1437" i="10"/>
  <c r="AD1437" i="10"/>
  <c r="AE1436" i="10"/>
  <c r="AD1436" i="10"/>
  <c r="AE1435" i="10"/>
  <c r="AD1435" i="10"/>
  <c r="AE1434" i="10"/>
  <c r="AD1434" i="10"/>
  <c r="AE1433" i="10"/>
  <c r="AD1433" i="10"/>
  <c r="AE1432" i="10"/>
  <c r="AD1432" i="10"/>
  <c r="AE1431" i="10"/>
  <c r="AD1431" i="10"/>
  <c r="AE1430" i="10"/>
  <c r="AD1430" i="10"/>
  <c r="AE1429" i="10"/>
  <c r="AD1429" i="10"/>
  <c r="AE1428" i="10"/>
  <c r="AD1428" i="10"/>
  <c r="AE1427" i="10"/>
  <c r="AD1427" i="10"/>
  <c r="AE1426" i="10"/>
  <c r="AD1426" i="10"/>
  <c r="AE1425" i="10"/>
  <c r="AD1425" i="10"/>
  <c r="AE1424" i="10"/>
  <c r="AD1424" i="10"/>
  <c r="AE1423" i="10"/>
  <c r="AD1423" i="10"/>
  <c r="AE1422" i="10"/>
  <c r="AD1422" i="10"/>
  <c r="AE1421" i="10"/>
  <c r="AD1421" i="10"/>
  <c r="AE1420" i="10"/>
  <c r="AD1420" i="10"/>
  <c r="AE1419" i="10"/>
  <c r="AD1419" i="10"/>
  <c r="AE1418" i="10"/>
  <c r="AD1418" i="10"/>
  <c r="AE1417" i="10"/>
  <c r="AD1417" i="10"/>
  <c r="AE1416" i="10"/>
  <c r="AD1416" i="10"/>
  <c r="AE1415" i="10"/>
  <c r="AD1415" i="10"/>
  <c r="AE1414" i="10"/>
  <c r="AD1414" i="10"/>
  <c r="AE1413" i="10"/>
  <c r="AD1413" i="10"/>
  <c r="AE1412" i="10"/>
  <c r="AD1412" i="10"/>
  <c r="AE1411" i="10"/>
  <c r="AD1411" i="10"/>
  <c r="AE1410" i="10"/>
  <c r="AD1410" i="10"/>
  <c r="AE1409" i="10"/>
  <c r="AD1409" i="10"/>
  <c r="AE1408" i="10"/>
  <c r="AD1408" i="10"/>
  <c r="AE1407" i="10"/>
  <c r="AD1407" i="10"/>
  <c r="AE1406" i="10"/>
  <c r="AD1406" i="10"/>
  <c r="AE1405" i="10"/>
  <c r="AD1405" i="10"/>
  <c r="AE1404" i="10"/>
  <c r="AD1404" i="10"/>
  <c r="AE1403" i="10"/>
  <c r="AD1403" i="10"/>
  <c r="AE1402" i="10"/>
  <c r="AD1402" i="10"/>
  <c r="AE1401" i="10"/>
  <c r="AD1401" i="10"/>
  <c r="AE1400" i="10"/>
  <c r="AD1400" i="10"/>
  <c r="AE1399" i="10"/>
  <c r="AD1399" i="10"/>
  <c r="AE1398" i="10"/>
  <c r="AD1398" i="10"/>
  <c r="AE1397" i="10"/>
  <c r="AD1397" i="10"/>
  <c r="AE1396" i="10"/>
  <c r="AD1396" i="10"/>
  <c r="AE1395" i="10"/>
  <c r="AD1395" i="10"/>
  <c r="AE1394" i="10"/>
  <c r="AD1394" i="10"/>
  <c r="AE1393" i="10"/>
  <c r="AD1393" i="10"/>
  <c r="AE1392" i="10"/>
  <c r="AD1392" i="10"/>
  <c r="AE1391" i="10"/>
  <c r="AD1391" i="10"/>
  <c r="AE1390" i="10"/>
  <c r="AD1390" i="10"/>
  <c r="AE1389" i="10"/>
  <c r="AD1389" i="10"/>
  <c r="AE1388" i="10"/>
  <c r="AD1388" i="10"/>
  <c r="AE1387" i="10"/>
  <c r="AD1387" i="10"/>
  <c r="AE1386" i="10"/>
  <c r="AD1386" i="10"/>
  <c r="AE1385" i="10"/>
  <c r="AD1385" i="10"/>
  <c r="AE1384" i="10"/>
  <c r="AD1384" i="10"/>
  <c r="AE1383" i="10"/>
  <c r="AD1383" i="10"/>
  <c r="AE1382" i="10"/>
  <c r="AD1382" i="10"/>
  <c r="AE1381" i="10"/>
  <c r="AD1381" i="10"/>
  <c r="AE1380" i="10"/>
  <c r="AD1380" i="10"/>
  <c r="AE1379" i="10"/>
  <c r="AD1379" i="10"/>
  <c r="AE1378" i="10"/>
  <c r="AD1378" i="10"/>
  <c r="AE1377" i="10"/>
  <c r="AD1377" i="10"/>
  <c r="AE1376" i="10"/>
  <c r="AD1376" i="10"/>
  <c r="AE1375" i="10"/>
  <c r="AD1375" i="10"/>
  <c r="AE1374" i="10"/>
  <c r="AD1374" i="10"/>
  <c r="AE1373" i="10"/>
  <c r="AD1373" i="10"/>
  <c r="AE1372" i="10"/>
  <c r="AD1372" i="10"/>
  <c r="AE1371" i="10"/>
  <c r="AD1371" i="10"/>
  <c r="AE1370" i="10"/>
  <c r="AD1370" i="10"/>
  <c r="AE1369" i="10"/>
  <c r="AD1369" i="10"/>
  <c r="AE1368" i="10"/>
  <c r="AD1368" i="10"/>
  <c r="AE1367" i="10"/>
  <c r="AD1367" i="10"/>
  <c r="AE1366" i="10"/>
  <c r="AD1366" i="10"/>
  <c r="AE1365" i="10"/>
  <c r="AD1365" i="10"/>
  <c r="AE1364" i="10"/>
  <c r="AD1364" i="10"/>
  <c r="AE1363" i="10"/>
  <c r="AD1363" i="10"/>
  <c r="AE1362" i="10"/>
  <c r="AD1362" i="10"/>
  <c r="AE1361" i="10"/>
  <c r="AD1361" i="10"/>
  <c r="AE1360" i="10"/>
  <c r="AD1360" i="10"/>
  <c r="AE1359" i="10"/>
  <c r="AD1359" i="10"/>
  <c r="AE1358" i="10"/>
  <c r="AD1358" i="10"/>
  <c r="AE1357" i="10"/>
  <c r="AD1357" i="10"/>
  <c r="AE1356" i="10"/>
  <c r="AD1356" i="10"/>
  <c r="AE1355" i="10"/>
  <c r="AD1355" i="10"/>
  <c r="AE1354" i="10"/>
  <c r="AD1354" i="10"/>
  <c r="AE1353" i="10"/>
  <c r="AD1353" i="10"/>
  <c r="AE1352" i="10"/>
  <c r="AD1352" i="10"/>
  <c r="AE1351" i="10"/>
  <c r="AD1351" i="10"/>
  <c r="AE1350" i="10"/>
  <c r="AD1350" i="10"/>
  <c r="AE1349" i="10"/>
  <c r="AD1349" i="10"/>
  <c r="AE1348" i="10"/>
  <c r="AD1348" i="10"/>
  <c r="AE1347" i="10"/>
  <c r="AD1347" i="10"/>
  <c r="AE1346" i="10"/>
  <c r="AD1346" i="10"/>
  <c r="AE1345" i="10"/>
  <c r="AD1345" i="10"/>
  <c r="AE1344" i="10"/>
  <c r="AD1344" i="10"/>
  <c r="AE1343" i="10"/>
  <c r="AD1343" i="10"/>
  <c r="AE1342" i="10"/>
  <c r="AD1342" i="10"/>
  <c r="AE1341" i="10"/>
  <c r="AD1341" i="10"/>
  <c r="AE1340" i="10"/>
  <c r="AD1340" i="10"/>
  <c r="AE1339" i="10"/>
  <c r="AD1339" i="10"/>
  <c r="AE1338" i="10"/>
  <c r="AD1338" i="10"/>
  <c r="AE1337" i="10"/>
  <c r="AD1337" i="10"/>
  <c r="AE1336" i="10"/>
  <c r="AD1336" i="10"/>
  <c r="AE1335" i="10"/>
  <c r="AD1335" i="10"/>
  <c r="AE1334" i="10"/>
  <c r="AD1334" i="10"/>
  <c r="AE1333" i="10"/>
  <c r="AD1333" i="10"/>
  <c r="AE1332" i="10"/>
  <c r="AD1332" i="10"/>
  <c r="AE1331" i="10"/>
  <c r="AD1331" i="10"/>
  <c r="AE1330" i="10"/>
  <c r="AD1330" i="10"/>
  <c r="AE1329" i="10"/>
  <c r="AD1329" i="10"/>
  <c r="AE1328" i="10"/>
  <c r="AD1328" i="10"/>
  <c r="AE1327" i="10"/>
  <c r="AD1327" i="10"/>
  <c r="AE1326" i="10"/>
  <c r="AD1326" i="10"/>
  <c r="AE1325" i="10"/>
  <c r="AD1325" i="10"/>
  <c r="AE1324" i="10"/>
  <c r="AD1324" i="10"/>
  <c r="AE1323" i="10"/>
  <c r="AD1323" i="10"/>
  <c r="AE1322" i="10"/>
  <c r="AD1322" i="10"/>
  <c r="AE1321" i="10"/>
  <c r="AD1321" i="10"/>
  <c r="AE1320" i="10"/>
  <c r="AD1320" i="10"/>
  <c r="AE1319" i="10"/>
  <c r="AD1319" i="10"/>
  <c r="AE1318" i="10"/>
  <c r="AD1318" i="10"/>
  <c r="AE1317" i="10"/>
  <c r="AD1317" i="10"/>
  <c r="AE1316" i="10"/>
  <c r="AD1316" i="10"/>
  <c r="AE1315" i="10"/>
  <c r="AD1315" i="10"/>
  <c r="AE1314" i="10"/>
  <c r="AD1314" i="10"/>
  <c r="AE1313" i="10"/>
  <c r="AD1313" i="10"/>
  <c r="AE1312" i="10"/>
  <c r="AD1312" i="10"/>
  <c r="AE1311" i="10"/>
  <c r="AD1311" i="10"/>
  <c r="AE1310" i="10"/>
  <c r="AD1310" i="10"/>
  <c r="AE1309" i="10"/>
  <c r="AD1309" i="10"/>
  <c r="AE1308" i="10"/>
  <c r="AD1308" i="10"/>
  <c r="AE1307" i="10"/>
  <c r="AD1307" i="10"/>
  <c r="AE1306" i="10"/>
  <c r="AD1306" i="10"/>
  <c r="AE1305" i="10"/>
  <c r="AD1305" i="10"/>
  <c r="AE1304" i="10"/>
  <c r="AD1304" i="10"/>
  <c r="AE1303" i="10"/>
  <c r="AD1303" i="10"/>
  <c r="AE1302" i="10"/>
  <c r="AD1302" i="10"/>
  <c r="AE1301" i="10"/>
  <c r="AD1301" i="10"/>
  <c r="AE1300" i="10"/>
  <c r="AD1300" i="10"/>
  <c r="AE1299" i="10"/>
  <c r="AD1299" i="10"/>
  <c r="AE1298" i="10"/>
  <c r="AD1298" i="10"/>
  <c r="AE1297" i="10"/>
  <c r="AD1297" i="10"/>
  <c r="AE1296" i="10"/>
  <c r="AD1296" i="10"/>
  <c r="AE1295" i="10"/>
  <c r="AD1295" i="10"/>
  <c r="AE1294" i="10"/>
  <c r="AD1294" i="10"/>
  <c r="AE1293" i="10"/>
  <c r="AD1293" i="10"/>
  <c r="AE1292" i="10"/>
  <c r="AD1292" i="10"/>
  <c r="AE1291" i="10"/>
  <c r="AD1291" i="10"/>
  <c r="AE1290" i="10"/>
  <c r="AD1290" i="10"/>
  <c r="AE1289" i="10"/>
  <c r="AD1289" i="10"/>
  <c r="AE1288" i="10"/>
  <c r="AD1288" i="10"/>
  <c r="AE1287" i="10"/>
  <c r="AD1287" i="10"/>
  <c r="AE1286" i="10"/>
  <c r="AD1286" i="10"/>
  <c r="AE1285" i="10"/>
  <c r="AD1285" i="10"/>
  <c r="AE1284" i="10"/>
  <c r="AD1284" i="10"/>
  <c r="AE1283" i="10"/>
  <c r="AD1283" i="10"/>
  <c r="AE1282" i="10"/>
  <c r="AD1282" i="10"/>
  <c r="AE1281" i="10"/>
  <c r="AD1281" i="10"/>
  <c r="AE1280" i="10"/>
  <c r="AD1280" i="10"/>
  <c r="AE1279" i="10"/>
  <c r="AD1279" i="10"/>
  <c r="AE1278" i="10"/>
  <c r="AD1278" i="10"/>
  <c r="AE1277" i="10"/>
  <c r="AD1277" i="10"/>
  <c r="AE1276" i="10"/>
  <c r="AD1276" i="10"/>
  <c r="AE1275" i="10"/>
  <c r="AD1275" i="10"/>
  <c r="AE1274" i="10"/>
  <c r="AD1274" i="10"/>
  <c r="AE1273" i="10"/>
  <c r="AD1273" i="10"/>
  <c r="AE1272" i="10"/>
  <c r="AD1272" i="10"/>
  <c r="AE1271" i="10"/>
  <c r="AD1271" i="10"/>
  <c r="AE1270" i="10"/>
  <c r="AD1270" i="10"/>
  <c r="AE1269" i="10"/>
  <c r="AD1269" i="10"/>
  <c r="AE1268" i="10"/>
  <c r="AD1268" i="10"/>
  <c r="AE1267" i="10"/>
  <c r="AD1267" i="10"/>
  <c r="AE1266" i="10"/>
  <c r="AD1266" i="10"/>
  <c r="AE1265" i="10"/>
  <c r="AD1265" i="10"/>
  <c r="AE1264" i="10"/>
  <c r="AD1264" i="10"/>
  <c r="AE1263" i="10"/>
  <c r="AD1263" i="10"/>
  <c r="AE1262" i="10"/>
  <c r="AD1262" i="10"/>
  <c r="AE1261" i="10"/>
  <c r="AD1261" i="10"/>
  <c r="AE1260" i="10"/>
  <c r="AD1260" i="10"/>
  <c r="AE1259" i="10"/>
  <c r="AD1259" i="10"/>
  <c r="AE1258" i="10"/>
  <c r="AD1258" i="10"/>
  <c r="AE1257" i="10"/>
  <c r="AD1257" i="10"/>
  <c r="AE1256" i="10"/>
  <c r="AD1256" i="10"/>
  <c r="AE1255" i="10"/>
  <c r="AD1255" i="10"/>
  <c r="AE1254" i="10"/>
  <c r="AD1254" i="10"/>
  <c r="AE1253" i="10"/>
  <c r="AD1253" i="10"/>
  <c r="AE1252" i="10"/>
  <c r="AD1252" i="10"/>
  <c r="AE1251" i="10"/>
  <c r="AD1251" i="10"/>
  <c r="AE1250" i="10"/>
  <c r="AD1250" i="10"/>
  <c r="AE1249" i="10"/>
  <c r="AD1249" i="10"/>
  <c r="AE1248" i="10"/>
  <c r="AD1248" i="10"/>
  <c r="AE1247" i="10"/>
  <c r="AD1247" i="10"/>
  <c r="AE1246" i="10"/>
  <c r="AD1246" i="10"/>
  <c r="AE1245" i="10"/>
  <c r="AD1245" i="10"/>
  <c r="AE1244" i="10"/>
  <c r="AD1244" i="10"/>
  <c r="AE1243" i="10"/>
  <c r="AD1243" i="10"/>
  <c r="AE1242" i="10"/>
  <c r="AD1242" i="10"/>
  <c r="AE1241" i="10"/>
  <c r="AD1241" i="10"/>
  <c r="AE1240" i="10"/>
  <c r="AD1240" i="10"/>
  <c r="AE1239" i="10"/>
  <c r="AD1239" i="10"/>
  <c r="AE1238" i="10"/>
  <c r="AD1238" i="10"/>
  <c r="AE1237" i="10"/>
  <c r="AD1237" i="10"/>
  <c r="AE1236" i="10"/>
  <c r="AD1236" i="10"/>
  <c r="AE1235" i="10"/>
  <c r="AD1235" i="10"/>
  <c r="AE1234" i="10"/>
  <c r="AD1234" i="10"/>
  <c r="AE1233" i="10"/>
  <c r="AD1233" i="10"/>
  <c r="AE1232" i="10"/>
  <c r="AD1232" i="10"/>
  <c r="AE1231" i="10"/>
  <c r="AD1231" i="10"/>
  <c r="AE1230" i="10"/>
  <c r="AD1230" i="10"/>
  <c r="AE1229" i="10"/>
  <c r="AD1229" i="10"/>
  <c r="AE1228" i="10"/>
  <c r="AD1228" i="10"/>
  <c r="AE1227" i="10"/>
  <c r="AD1227" i="10"/>
  <c r="AE1226" i="10"/>
  <c r="AD1226" i="10"/>
  <c r="AE1225" i="10"/>
  <c r="AD1225" i="10"/>
  <c r="AE1224" i="10"/>
  <c r="AD1224" i="10"/>
  <c r="AE1223" i="10"/>
  <c r="AD1223" i="10"/>
  <c r="AE1222" i="10"/>
  <c r="AD1222" i="10"/>
  <c r="AE1221" i="10"/>
  <c r="AD1221" i="10"/>
  <c r="AE1220" i="10"/>
  <c r="AD1220" i="10"/>
  <c r="AE1219" i="10"/>
  <c r="AD1219" i="10"/>
  <c r="AE1218" i="10"/>
  <c r="AD1218" i="10"/>
  <c r="AE1217" i="10"/>
  <c r="AD1217" i="10"/>
  <c r="AE1216" i="10"/>
  <c r="AD1216" i="10"/>
  <c r="AE1215" i="10"/>
  <c r="AD1215" i="10"/>
  <c r="AE1214" i="10"/>
  <c r="AD1214" i="10"/>
  <c r="AE1213" i="10"/>
  <c r="AD1213" i="10"/>
  <c r="AE1212" i="10"/>
  <c r="AD1212" i="10"/>
  <c r="AE1211" i="10"/>
  <c r="AD1211" i="10"/>
  <c r="AE1210" i="10"/>
  <c r="AD1210" i="10"/>
  <c r="AE1209" i="10"/>
  <c r="AD1209" i="10"/>
  <c r="AE1208" i="10"/>
  <c r="AD1208" i="10"/>
  <c r="AE1207" i="10"/>
  <c r="AD1207" i="10"/>
  <c r="AE1206" i="10"/>
  <c r="AD1206" i="10"/>
  <c r="AE1205" i="10"/>
  <c r="AD1205" i="10"/>
  <c r="AE1204" i="10"/>
  <c r="AD1204" i="10"/>
  <c r="AE1203" i="10"/>
  <c r="AD1203" i="10"/>
  <c r="AE1202" i="10"/>
  <c r="AD1202" i="10"/>
  <c r="AE1201" i="10"/>
  <c r="AD1201" i="10"/>
  <c r="AE1200" i="10"/>
  <c r="AD1200" i="10"/>
  <c r="AE1199" i="10"/>
  <c r="AD1199" i="10"/>
  <c r="AE1198" i="10"/>
  <c r="AD1198" i="10"/>
  <c r="AE1197" i="10"/>
  <c r="AD1197" i="10"/>
  <c r="AE1196" i="10"/>
  <c r="AD1196" i="10"/>
  <c r="AE1195" i="10"/>
  <c r="AD1195" i="10"/>
  <c r="AE1194" i="10"/>
  <c r="AD1194" i="10"/>
  <c r="AE1193" i="10"/>
  <c r="AD1193" i="10"/>
  <c r="AE1192" i="10"/>
  <c r="AD1192" i="10"/>
  <c r="AE1191" i="10"/>
  <c r="AD1191" i="10"/>
  <c r="AE1190" i="10"/>
  <c r="AD1190" i="10"/>
  <c r="AE1189" i="10"/>
  <c r="AD1189" i="10"/>
  <c r="AE1188" i="10"/>
  <c r="AD1188" i="10"/>
  <c r="AE1187" i="10"/>
  <c r="AD1187" i="10"/>
  <c r="AE1186" i="10"/>
  <c r="AD1186" i="10"/>
  <c r="AE1185" i="10"/>
  <c r="AD1185" i="10"/>
  <c r="AE1184" i="10"/>
  <c r="AD1184" i="10"/>
  <c r="AE1183" i="10"/>
  <c r="AD1183" i="10"/>
  <c r="AE1182" i="10"/>
  <c r="AD1182" i="10"/>
  <c r="AE1181" i="10"/>
  <c r="AD1181" i="10"/>
  <c r="AE1180" i="10"/>
  <c r="AD1180" i="10"/>
  <c r="AE1179" i="10"/>
  <c r="AD1179" i="10"/>
  <c r="AE1178" i="10"/>
  <c r="AD1178" i="10"/>
  <c r="AE1177" i="10"/>
  <c r="AD1177" i="10"/>
  <c r="AE1176" i="10"/>
  <c r="AD1176" i="10"/>
  <c r="AE1175" i="10"/>
  <c r="AD1175" i="10"/>
  <c r="AE1174" i="10"/>
  <c r="AD1174" i="10"/>
  <c r="AE1173" i="10"/>
  <c r="AD1173" i="10"/>
  <c r="AE1172" i="10"/>
  <c r="AD1172" i="10"/>
  <c r="AE1171" i="10"/>
  <c r="AD1171" i="10"/>
  <c r="AE1170" i="10"/>
  <c r="AD1170" i="10"/>
  <c r="AE1169" i="10"/>
  <c r="AD1169" i="10"/>
  <c r="AE1168" i="10"/>
  <c r="AD1168" i="10"/>
  <c r="AE1167" i="10"/>
  <c r="AD1167" i="10"/>
  <c r="AE1166" i="10"/>
  <c r="AD1166" i="10"/>
  <c r="AE1165" i="10"/>
  <c r="AD1165" i="10"/>
  <c r="AE1164" i="10"/>
  <c r="AD1164" i="10"/>
  <c r="AE1163" i="10"/>
  <c r="AD1163" i="10"/>
  <c r="AE1162" i="10"/>
  <c r="AD1162" i="10"/>
  <c r="AE1161" i="10"/>
  <c r="AD1161" i="10"/>
  <c r="AE1160" i="10"/>
  <c r="AD1160" i="10"/>
  <c r="AE1159" i="10"/>
  <c r="AD1159" i="10"/>
  <c r="AE1158" i="10"/>
  <c r="AD1158" i="10"/>
  <c r="AE1157" i="10"/>
  <c r="AD1157" i="10"/>
  <c r="AE1156" i="10"/>
  <c r="AD1156" i="10"/>
  <c r="AE1155" i="10"/>
  <c r="AD1155" i="10"/>
  <c r="AE1154" i="10"/>
  <c r="AD1154" i="10"/>
  <c r="AE1153" i="10"/>
  <c r="AD1153" i="10"/>
  <c r="AE1152" i="10"/>
  <c r="AD1152" i="10"/>
  <c r="AE1151" i="10"/>
  <c r="AD1151" i="10"/>
  <c r="AE1150" i="10"/>
  <c r="AD1150" i="10"/>
  <c r="AE1149" i="10"/>
  <c r="AD1149" i="10"/>
  <c r="AE1148" i="10"/>
  <c r="AD1148" i="10"/>
  <c r="AE1147" i="10"/>
  <c r="AD1147" i="10"/>
  <c r="AE1146" i="10"/>
  <c r="AD1146" i="10"/>
  <c r="AE1145" i="10"/>
  <c r="AD1145" i="10"/>
  <c r="AE1144" i="10"/>
  <c r="AD1144" i="10"/>
  <c r="AE1143" i="10"/>
  <c r="AD1143" i="10"/>
  <c r="AE1142" i="10"/>
  <c r="AD1142" i="10"/>
  <c r="AE1141" i="10"/>
  <c r="AD1141" i="10"/>
  <c r="AE1140" i="10"/>
  <c r="AD1140" i="10"/>
  <c r="AE1139" i="10"/>
  <c r="AD1139" i="10"/>
  <c r="AE1138" i="10"/>
  <c r="AD1138" i="10"/>
  <c r="AE1137" i="10"/>
  <c r="AD1137" i="10"/>
  <c r="AE1136" i="10"/>
  <c r="AD1136" i="10"/>
  <c r="AE1135" i="10"/>
  <c r="AD1135" i="10"/>
  <c r="AE1134" i="10"/>
  <c r="AD1134" i="10"/>
  <c r="AE1133" i="10"/>
  <c r="AD1133" i="10"/>
  <c r="AE1132" i="10"/>
  <c r="AD1132" i="10"/>
  <c r="AE1131" i="10"/>
  <c r="AD1131" i="10"/>
  <c r="AE1130" i="10"/>
  <c r="AD1130" i="10"/>
  <c r="AE1129" i="10"/>
  <c r="AD1129" i="10"/>
  <c r="AE1128" i="10"/>
  <c r="AD1128" i="10"/>
  <c r="AE1127" i="10"/>
  <c r="AD1127" i="10"/>
  <c r="AE1126" i="10"/>
  <c r="AD1126" i="10"/>
  <c r="AE1125" i="10"/>
  <c r="AD1125" i="10"/>
  <c r="AE1124" i="10"/>
  <c r="AD1124" i="10"/>
  <c r="AE1123" i="10"/>
  <c r="AD1123" i="10"/>
  <c r="AE1122" i="10"/>
  <c r="AD1122" i="10"/>
  <c r="AE1121" i="10"/>
  <c r="AD1121" i="10"/>
  <c r="AE1120" i="10"/>
  <c r="AD1120" i="10"/>
  <c r="AE1119" i="10"/>
  <c r="AD1119" i="10"/>
  <c r="AE1118" i="10"/>
  <c r="AD1118" i="10"/>
  <c r="AE1117" i="10"/>
  <c r="AD1117" i="10"/>
  <c r="AE1116" i="10"/>
  <c r="AD1116" i="10"/>
  <c r="AE1115" i="10"/>
  <c r="AD1115" i="10"/>
  <c r="AE1114" i="10"/>
  <c r="AD1114" i="10"/>
  <c r="AE1113" i="10"/>
  <c r="AD1113" i="10"/>
  <c r="AE1112" i="10"/>
  <c r="AD1112" i="10"/>
  <c r="AE1111" i="10"/>
  <c r="AD1111" i="10"/>
  <c r="AE1110" i="10"/>
  <c r="AD1110" i="10"/>
  <c r="AE1109" i="10"/>
  <c r="AD1109" i="10"/>
  <c r="AE1108" i="10"/>
  <c r="AD1108" i="10"/>
  <c r="AE1107" i="10"/>
  <c r="AD1107" i="10"/>
  <c r="AE1106" i="10"/>
  <c r="AD1106" i="10"/>
  <c r="AE1105" i="10"/>
  <c r="AD1105" i="10"/>
  <c r="AE1104" i="10"/>
  <c r="AD1104" i="10"/>
  <c r="AE1103" i="10"/>
  <c r="AD1103" i="10"/>
  <c r="AE1102" i="10"/>
  <c r="AD1102" i="10"/>
  <c r="AE1101" i="10"/>
  <c r="AD1101" i="10"/>
  <c r="AE1100" i="10"/>
  <c r="AD1100" i="10"/>
  <c r="AE1099" i="10"/>
  <c r="AD1099" i="10"/>
  <c r="AE1098" i="10"/>
  <c r="AD1098" i="10"/>
  <c r="AE1097" i="10"/>
  <c r="AD1097" i="10"/>
  <c r="AE1096" i="10"/>
  <c r="AD1096" i="10"/>
  <c r="AE1095" i="10"/>
  <c r="AD1095" i="10"/>
  <c r="AE1094" i="10"/>
  <c r="AD1094" i="10"/>
  <c r="AE1093" i="10"/>
  <c r="AD1093" i="10"/>
  <c r="AE1092" i="10"/>
  <c r="AD1092" i="10"/>
  <c r="AE1091" i="10"/>
  <c r="AD1091" i="10"/>
  <c r="AE1090" i="10"/>
  <c r="AD1090" i="10"/>
  <c r="AE1089" i="10"/>
  <c r="AD1089" i="10"/>
  <c r="AE1088" i="10"/>
  <c r="AD1088" i="10"/>
  <c r="AE1087" i="10"/>
  <c r="AD1087" i="10"/>
  <c r="AE1086" i="10"/>
  <c r="AD1086" i="10"/>
  <c r="AE1085" i="10"/>
  <c r="AD1085" i="10"/>
  <c r="AE1084" i="10"/>
  <c r="AD1084" i="10"/>
  <c r="AE1083" i="10"/>
  <c r="AD1083" i="10"/>
  <c r="AE1082" i="10"/>
  <c r="AD1082" i="10"/>
  <c r="AE1081" i="10"/>
  <c r="AD1081" i="10"/>
  <c r="AE1080" i="10"/>
  <c r="AD1080" i="10"/>
  <c r="AE1079" i="10"/>
  <c r="AD1079" i="10"/>
  <c r="AE1078" i="10"/>
  <c r="AD1078" i="10"/>
  <c r="AE1077" i="10"/>
  <c r="AD1077" i="10"/>
  <c r="AE1076" i="10"/>
  <c r="AD1076" i="10"/>
  <c r="AE1075" i="10"/>
  <c r="AD1075" i="10"/>
  <c r="AE1074" i="10"/>
  <c r="AD1074" i="10"/>
  <c r="AE1073" i="10"/>
  <c r="AD1073" i="10"/>
  <c r="AE1072" i="10"/>
  <c r="AD1072" i="10"/>
  <c r="AE1071" i="10"/>
  <c r="AD1071" i="10"/>
  <c r="AE1070" i="10"/>
  <c r="AD1070" i="10"/>
  <c r="AE1069" i="10"/>
  <c r="AD1069" i="10"/>
  <c r="AE1068" i="10"/>
  <c r="AD1068" i="10"/>
  <c r="AE1067" i="10"/>
  <c r="AD1067" i="10"/>
  <c r="AE1066" i="10"/>
  <c r="AD1066" i="10"/>
  <c r="AE1065" i="10"/>
  <c r="AD1065" i="10"/>
  <c r="AE1064" i="10"/>
  <c r="AD1064" i="10"/>
  <c r="AE1063" i="10"/>
  <c r="AD1063" i="10"/>
  <c r="AE1062" i="10"/>
  <c r="AD1062" i="10"/>
  <c r="AE1061" i="10"/>
  <c r="AD1061" i="10"/>
  <c r="AE1060" i="10"/>
  <c r="AD1060" i="10"/>
  <c r="AE1059" i="10"/>
  <c r="AD1059" i="10"/>
  <c r="AE1058" i="10"/>
  <c r="AD1058" i="10"/>
  <c r="AE1057" i="10"/>
  <c r="AD1057" i="10"/>
  <c r="AE1056" i="10"/>
  <c r="AD1056" i="10"/>
  <c r="AE1055" i="10"/>
  <c r="AD1055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C2892" i="10"/>
  <c r="C2920" i="10"/>
  <c r="AE2818" i="10"/>
  <c r="AD2818" i="10"/>
  <c r="AE2817" i="10"/>
  <c r="AD2817" i="10"/>
  <c r="AE2816" i="10"/>
  <c r="AD2816" i="10"/>
  <c r="AE2815" i="10"/>
  <c r="AD2815" i="10"/>
  <c r="AE2814" i="10"/>
  <c r="AD2814" i="10"/>
  <c r="AE2813" i="10"/>
  <c r="AD2813" i="10"/>
  <c r="AE2812" i="10"/>
  <c r="AD2812" i="10"/>
  <c r="AE2811" i="10"/>
  <c r="AD2811" i="10"/>
  <c r="AE2810" i="10"/>
  <c r="AD2810" i="10"/>
  <c r="AE2809" i="10"/>
  <c r="AD2809" i="10"/>
  <c r="AE2808" i="10"/>
  <c r="AD2808" i="10"/>
  <c r="AE2807" i="10"/>
  <c r="AD2807" i="10"/>
  <c r="AE2806" i="10"/>
  <c r="AD2806" i="10"/>
  <c r="AE2805" i="10"/>
  <c r="AD2805" i="10"/>
  <c r="AE2804" i="10"/>
  <c r="AD2804" i="10"/>
  <c r="AE2803" i="10"/>
  <c r="AD2803" i="10"/>
  <c r="AE2802" i="10"/>
  <c r="AD2802" i="10"/>
  <c r="AE2801" i="10"/>
  <c r="AD2801" i="10"/>
  <c r="AE2800" i="10"/>
  <c r="AD2800" i="10"/>
  <c r="AE2799" i="10"/>
  <c r="AD2799" i="10"/>
  <c r="AE2798" i="10"/>
  <c r="AD2798" i="10"/>
  <c r="AE2797" i="10"/>
  <c r="AD2797" i="10"/>
  <c r="AE2796" i="10"/>
  <c r="AD2796" i="10"/>
  <c r="AE2795" i="10"/>
  <c r="AD2795" i="10"/>
  <c r="AE2794" i="10"/>
  <c r="AD2794" i="10"/>
  <c r="AE2793" i="10"/>
  <c r="AD2793" i="10"/>
  <c r="AE2792" i="10"/>
  <c r="AD2792" i="10"/>
  <c r="AE2791" i="10"/>
  <c r="AD2791" i="10"/>
  <c r="AE2790" i="10"/>
  <c r="AD2790" i="10"/>
  <c r="AE2789" i="10"/>
  <c r="AD2789" i="10"/>
  <c r="AE2788" i="10"/>
  <c r="AD2788" i="10"/>
  <c r="AE2787" i="10"/>
  <c r="AD2787" i="10"/>
  <c r="AE2786" i="10"/>
  <c r="AD2786" i="10"/>
  <c r="AE2785" i="10"/>
  <c r="AD2785" i="10"/>
  <c r="AE2784" i="10"/>
  <c r="AD2784" i="10"/>
  <c r="AE2783" i="10"/>
  <c r="AD2783" i="10"/>
  <c r="AE2782" i="10"/>
  <c r="AD2782" i="10"/>
  <c r="AE2781" i="10"/>
  <c r="AD2781" i="10"/>
  <c r="AE2780" i="10"/>
  <c r="AD2780" i="10"/>
  <c r="AE2779" i="10"/>
  <c r="AD2779" i="10"/>
  <c r="AE2778" i="10"/>
  <c r="AD2778" i="10"/>
  <c r="AE2777" i="10"/>
  <c r="AD2777" i="10"/>
  <c r="AE2776" i="10"/>
  <c r="AD2776" i="10"/>
  <c r="AE2775" i="10"/>
  <c r="AD2775" i="10"/>
  <c r="AE2774" i="10"/>
  <c r="AD2774" i="10"/>
  <c r="AE2773" i="10"/>
  <c r="AD2773" i="10"/>
  <c r="AE2772" i="10"/>
  <c r="AD2772" i="10"/>
  <c r="AE2771" i="10"/>
  <c r="AD2771" i="10"/>
  <c r="AE2770" i="10"/>
  <c r="AD2770" i="10"/>
  <c r="AE2769" i="10"/>
  <c r="AD2769" i="10"/>
  <c r="AE2768" i="10"/>
  <c r="AD2768" i="10"/>
  <c r="AE2767" i="10"/>
  <c r="AD2767" i="10"/>
  <c r="AE2766" i="10"/>
  <c r="AD2766" i="10"/>
  <c r="AE2765" i="10"/>
  <c r="AD2765" i="10"/>
  <c r="AE2764" i="10"/>
  <c r="AD2764" i="10"/>
  <c r="AE2763" i="10"/>
  <c r="AD2763" i="10"/>
  <c r="AE2762" i="10"/>
  <c r="AD2762" i="10"/>
  <c r="AE2761" i="10"/>
  <c r="AD2761" i="10"/>
  <c r="AE2760" i="10"/>
  <c r="AD2760" i="10"/>
  <c r="AE2759" i="10"/>
  <c r="AD2759" i="10"/>
  <c r="AE2758" i="10"/>
  <c r="AD2758" i="10"/>
  <c r="AE2757" i="10"/>
  <c r="AD2757" i="10"/>
  <c r="AE2756" i="10"/>
  <c r="AD2756" i="10"/>
  <c r="AE2755" i="10"/>
  <c r="AD2755" i="10"/>
  <c r="AE2754" i="10"/>
  <c r="AD2754" i="10"/>
  <c r="AE2753" i="10"/>
  <c r="AD2753" i="10"/>
  <c r="AE2752" i="10"/>
  <c r="AD2752" i="10"/>
  <c r="AE2751" i="10"/>
  <c r="AD2751" i="10"/>
  <c r="AE2750" i="10"/>
  <c r="AD2750" i="10"/>
  <c r="AE2749" i="10"/>
  <c r="AD2749" i="10"/>
  <c r="AE2748" i="10"/>
  <c r="AD2748" i="10"/>
  <c r="AE2747" i="10"/>
  <c r="AD2747" i="10"/>
  <c r="AE2746" i="10"/>
  <c r="AD2746" i="10"/>
  <c r="AE2745" i="10"/>
  <c r="AD2745" i="10"/>
  <c r="AE2744" i="10"/>
  <c r="AD2744" i="10"/>
  <c r="AE2743" i="10"/>
  <c r="AD2743" i="10"/>
  <c r="AE2742" i="10"/>
  <c r="AD2742" i="10"/>
  <c r="AE2741" i="10"/>
  <c r="AD2741" i="10"/>
  <c r="AE2740" i="10"/>
  <c r="AD2740" i="10"/>
  <c r="AE2739" i="10"/>
  <c r="AD2739" i="10"/>
  <c r="AE2738" i="10"/>
  <c r="AD2738" i="10"/>
  <c r="AE2737" i="10"/>
  <c r="AD2737" i="10"/>
  <c r="AE2736" i="10"/>
  <c r="AD2736" i="10"/>
  <c r="AE2735" i="10"/>
  <c r="AD2735" i="10"/>
  <c r="AE2734" i="10"/>
  <c r="AD2734" i="10"/>
  <c r="AE2733" i="10"/>
  <c r="AD2733" i="10"/>
  <c r="AE2732" i="10"/>
  <c r="AD2732" i="10"/>
  <c r="C2923" i="10"/>
  <c r="C2873" i="10"/>
  <c r="C2896" i="10"/>
  <c r="C2884" i="10"/>
  <c r="C2905" i="10"/>
  <c r="AE2855" i="10"/>
  <c r="AD2855" i="10"/>
  <c r="C2899" i="10"/>
  <c r="C2904" i="10"/>
  <c r="C2902" i="10"/>
  <c r="C2909" i="10"/>
  <c r="C2880" i="10"/>
  <c r="C2925" i="10"/>
  <c r="C2863" i="10"/>
  <c r="C2936" i="10"/>
  <c r="C2901" i="10"/>
  <c r="C2907" i="10"/>
  <c r="C2897" i="10"/>
  <c r="C2877" i="10"/>
  <c r="AE5" i="10"/>
  <c r="AD5" i="10"/>
  <c r="D2856" i="10"/>
  <c r="C2940" i="10" s="1"/>
  <c r="A6" i="9"/>
  <c r="B6" i="9" s="1"/>
  <c r="C6" i="9"/>
  <c r="D6" i="9" s="1"/>
  <c r="A10" i="9"/>
  <c r="B10" i="9" s="1"/>
  <c r="C10" i="9"/>
  <c r="D10" i="9" s="1"/>
  <c r="A5" i="6"/>
  <c r="B5" i="6" s="1"/>
  <c r="C5" i="6"/>
  <c r="D5" i="6" s="1"/>
  <c r="F6" i="7"/>
  <c r="H6" i="7" s="1"/>
  <c r="I6" i="7"/>
  <c r="Q6" i="7" s="1"/>
  <c r="M6" i="7"/>
  <c r="F7" i="7"/>
  <c r="H7" i="7" s="1"/>
  <c r="I7" i="7"/>
  <c r="Q7" i="7" s="1"/>
  <c r="M7" i="7"/>
  <c r="F8" i="7"/>
  <c r="H8" i="7" s="1"/>
  <c r="I8" i="7"/>
  <c r="J8" i="7" s="1"/>
  <c r="L8" i="7" s="1"/>
  <c r="M8" i="7"/>
  <c r="F9" i="7"/>
  <c r="H9" i="7" s="1"/>
  <c r="K9" i="7" s="1"/>
  <c r="I9" i="7"/>
  <c r="M9" i="7"/>
  <c r="F10" i="7"/>
  <c r="H10" i="7" s="1"/>
  <c r="I10" i="7"/>
  <c r="Q10" i="7" s="1"/>
  <c r="M10" i="7"/>
  <c r="F11" i="7"/>
  <c r="H11" i="7" s="1"/>
  <c r="I11" i="7"/>
  <c r="M11" i="7"/>
  <c r="F12" i="7"/>
  <c r="H12" i="7" s="1"/>
  <c r="O12" i="7" s="1"/>
  <c r="I12" i="7"/>
  <c r="M12" i="7"/>
  <c r="F13" i="7"/>
  <c r="H13" i="7" s="1"/>
  <c r="I13" i="7"/>
  <c r="Q13" i="7" s="1"/>
  <c r="M13" i="7"/>
  <c r="F14" i="7"/>
  <c r="H14" i="7" s="1"/>
  <c r="I14" i="7"/>
  <c r="Q14" i="7" s="1"/>
  <c r="M14" i="7"/>
  <c r="F15" i="7"/>
  <c r="H15" i="7" s="1"/>
  <c r="O15" i="7" s="1"/>
  <c r="R15" i="7" s="1"/>
  <c r="I15" i="7"/>
  <c r="Q15" i="7" s="1"/>
  <c r="M15" i="7"/>
  <c r="F16" i="7"/>
  <c r="H16" i="7" s="1"/>
  <c r="I16" i="7"/>
  <c r="Q16" i="7" s="1"/>
  <c r="M16" i="7"/>
  <c r="F17" i="7"/>
  <c r="H17" i="7" s="1"/>
  <c r="I17" i="7"/>
  <c r="J17" i="7" s="1"/>
  <c r="L17" i="7" s="1"/>
  <c r="M17" i="7"/>
  <c r="N17" i="7" s="1"/>
  <c r="T17" i="7" s="1"/>
  <c r="U17" i="7" s="1"/>
  <c r="F18" i="7"/>
  <c r="H18" i="7" s="1"/>
  <c r="I18" i="7"/>
  <c r="Q18" i="7" s="1"/>
  <c r="M18" i="7"/>
  <c r="F19" i="7"/>
  <c r="H19" i="7" s="1"/>
  <c r="I19" i="7"/>
  <c r="M19" i="7"/>
  <c r="C2864" i="10"/>
  <c r="D2864" i="10"/>
  <c r="E2864" i="10"/>
  <c r="C2865" i="10"/>
  <c r="D2865" i="10"/>
  <c r="E2865" i="10"/>
  <c r="C2866" i="10"/>
  <c r="C2867" i="10"/>
  <c r="D2867" i="10"/>
  <c r="E2867" i="10"/>
  <c r="C2868" i="10"/>
  <c r="C2869" i="10"/>
  <c r="D2869" i="10"/>
  <c r="E2869" i="10"/>
  <c r="C2870" i="10"/>
  <c r="E2870" i="10"/>
  <c r="C2871" i="10"/>
  <c r="C2872" i="10"/>
  <c r="C2874" i="10"/>
  <c r="D2874" i="10"/>
  <c r="E2874" i="10"/>
  <c r="C2875" i="10"/>
  <c r="D2875" i="10"/>
  <c r="E2875" i="10"/>
  <c r="C2876" i="10"/>
  <c r="C2878" i="10"/>
  <c r="D2878" i="10"/>
  <c r="E2878" i="10"/>
  <c r="C2879" i="10"/>
  <c r="C2881" i="10"/>
  <c r="C2882" i="10"/>
  <c r="C2883" i="10"/>
  <c r="C2885" i="10"/>
  <c r="D2885" i="10"/>
  <c r="E2885" i="10"/>
  <c r="C2886" i="10"/>
  <c r="C2887" i="10"/>
  <c r="C2888" i="10"/>
  <c r="C2889" i="10"/>
  <c r="C2890" i="10"/>
  <c r="C2891" i="10"/>
  <c r="C2893" i="10"/>
  <c r="D2893" i="10"/>
  <c r="E2893" i="10"/>
  <c r="C2894" i="10"/>
  <c r="C2895" i="10"/>
  <c r="C2898" i="10"/>
  <c r="C2900" i="10"/>
  <c r="C2903" i="10"/>
  <c r="C2906" i="10"/>
  <c r="D2906" i="10"/>
  <c r="E2906" i="10"/>
  <c r="C2908" i="10"/>
  <c r="D2908" i="10"/>
  <c r="E2908" i="10"/>
  <c r="C2910" i="10"/>
  <c r="C2912" i="10"/>
  <c r="C2913" i="10"/>
  <c r="D2913" i="10"/>
  <c r="E2913" i="10"/>
  <c r="C2914" i="10"/>
  <c r="C2915" i="10"/>
  <c r="C2916" i="10"/>
  <c r="D2916" i="10"/>
  <c r="E2916" i="10"/>
  <c r="C2917" i="10"/>
  <c r="D2917" i="10"/>
  <c r="E2917" i="10"/>
  <c r="C2918" i="10"/>
  <c r="C2919" i="10"/>
  <c r="C2921" i="10"/>
  <c r="C2922" i="10"/>
  <c r="C2924" i="10"/>
  <c r="C2926" i="10"/>
  <c r="C2927" i="10"/>
  <c r="C2928" i="10"/>
  <c r="D2928" i="10"/>
  <c r="E2928" i="10"/>
  <c r="C2929" i="10"/>
  <c r="C2930" i="10"/>
  <c r="D2930" i="10"/>
  <c r="E2930" i="10"/>
  <c r="C2931" i="10"/>
  <c r="D2931" i="10"/>
  <c r="E2931" i="10"/>
  <c r="C2932" i="10"/>
  <c r="C2933" i="10"/>
  <c r="C2934" i="10"/>
  <c r="C2935" i="10"/>
  <c r="D2935" i="10"/>
  <c r="E2935" i="10"/>
  <c r="A4" i="5"/>
  <c r="B4" i="5" s="1"/>
  <c r="D2890" i="10"/>
  <c r="D2870" i="10"/>
  <c r="E2890" i="10"/>
  <c r="E2921" i="10"/>
  <c r="D2921" i="10"/>
  <c r="D2900" i="10"/>
  <c r="E2900" i="10"/>
  <c r="E2924" i="10"/>
  <c r="D2924" i="10"/>
  <c r="D2901" i="10"/>
  <c r="E2901" i="10"/>
  <c r="E2886" i="10"/>
  <c r="D2886" i="10"/>
  <c r="D2915" i="10"/>
  <c r="E2915" i="10"/>
  <c r="D2936" i="10"/>
  <c r="E2936" i="10"/>
  <c r="D2919" i="10"/>
  <c r="E2919" i="10"/>
  <c r="E2898" i="10"/>
  <c r="D2929" i="10"/>
  <c r="E2929" i="10"/>
  <c r="D2872" i="10"/>
  <c r="E2872" i="10"/>
  <c r="D2904" i="10"/>
  <c r="E2904" i="10"/>
  <c r="E2894" i="10"/>
  <c r="D2894" i="10"/>
  <c r="D2891" i="10"/>
  <c r="E2891" i="10"/>
  <c r="AB5" i="10"/>
  <c r="E2927" i="10"/>
  <c r="D2927" i="10"/>
  <c r="E2932" i="10"/>
  <c r="D2932" i="10"/>
  <c r="E2909" i="10"/>
  <c r="D2909" i="10"/>
  <c r="E2871" i="10"/>
  <c r="D2898" i="10"/>
  <c r="E2905" i="10"/>
  <c r="D2905" i="10"/>
  <c r="E2880" i="10"/>
  <c r="D2880" i="10"/>
  <c r="D2871" i="10"/>
  <c r="E2923" i="10"/>
  <c r="D2923" i="10"/>
  <c r="E2903" i="10"/>
  <c r="D2903" i="10"/>
  <c r="D2925" i="10"/>
  <c r="D2884" i="10"/>
  <c r="E2925" i="10"/>
  <c r="E2884" i="10"/>
  <c r="E2902" i="10"/>
  <c r="D2902" i="10"/>
  <c r="E2888" i="10"/>
  <c r="E2887" i="10"/>
  <c r="D2887" i="10"/>
  <c r="E2876" i="10"/>
  <c r="D2876" i="10"/>
  <c r="E2896" i="10"/>
  <c r="D2896" i="10"/>
  <c r="E2926" i="10"/>
  <c r="D2926" i="10"/>
  <c r="D2934" i="10"/>
  <c r="E2934" i="10"/>
  <c r="D2877" i="10"/>
  <c r="E2877" i="10"/>
  <c r="E2910" i="10"/>
  <c r="D2910" i="10"/>
  <c r="D2912" i="10"/>
  <c r="E2912" i="10"/>
  <c r="D2866" i="10"/>
  <c r="E2866" i="10"/>
  <c r="C4" i="5"/>
  <c r="Q11" i="7"/>
  <c r="E2914" i="10"/>
  <c r="D2914" i="10"/>
  <c r="D2883" i="10"/>
  <c r="E2883" i="10"/>
  <c r="Q9" i="7"/>
  <c r="N12" i="7"/>
  <c r="T12" i="7" s="1"/>
  <c r="U12" i="7" s="1"/>
  <c r="E2895" i="10"/>
  <c r="D2895" i="10"/>
  <c r="E2873" i="10"/>
  <c r="D2873" i="10"/>
  <c r="D2879" i="10"/>
  <c r="E2879" i="10"/>
  <c r="J9" i="7"/>
  <c r="L9" i="7" s="1"/>
  <c r="E2920" i="10"/>
  <c r="D2920" i="10"/>
  <c r="E2907" i="10"/>
  <c r="D2907" i="10"/>
  <c r="N13" i="7" l="1"/>
  <c r="T13" i="7" s="1"/>
  <c r="U13" i="7" s="1"/>
  <c r="O13" i="7"/>
  <c r="N11" i="7"/>
  <c r="T11" i="7" s="1"/>
  <c r="U11" i="7" s="1"/>
  <c r="O19" i="7"/>
  <c r="Q17" i="7"/>
  <c r="K17" i="7"/>
  <c r="O17" i="7"/>
  <c r="R17" i="7" s="1"/>
  <c r="B9" i="12"/>
  <c r="B36" i="12"/>
  <c r="K8" i="7"/>
  <c r="Q8" i="7"/>
  <c r="B7" i="5"/>
  <c r="C7" i="5" s="1"/>
  <c r="E6" i="9"/>
  <c r="E10" i="9"/>
  <c r="B15" i="9" s="1"/>
  <c r="B16" i="9" s="1"/>
  <c r="B17" i="9" s="1"/>
  <c r="J11" i="7"/>
  <c r="L11" i="7" s="1"/>
  <c r="K11" i="7"/>
  <c r="O11" i="7"/>
  <c r="R11" i="7" s="1"/>
  <c r="K7" i="7"/>
  <c r="O7" i="7"/>
  <c r="R7" i="7" s="1"/>
  <c r="J7" i="7"/>
  <c r="L7" i="7" s="1"/>
  <c r="N7" i="7"/>
  <c r="P7" i="7" s="1"/>
  <c r="S7" i="7" s="1"/>
  <c r="J15" i="7"/>
  <c r="L15" i="7" s="1"/>
  <c r="N9" i="7"/>
  <c r="T9" i="7" s="1"/>
  <c r="U9" i="7" s="1"/>
  <c r="K15" i="7"/>
  <c r="N8" i="7"/>
  <c r="K19" i="7"/>
  <c r="Q19" i="7"/>
  <c r="N16" i="7"/>
  <c r="J16" i="7"/>
  <c r="L16" i="7" s="1"/>
  <c r="K16" i="7"/>
  <c r="O16" i="7"/>
  <c r="R16" i="7" s="1"/>
  <c r="Q12" i="7"/>
  <c r="K12" i="7"/>
  <c r="J12" i="7"/>
  <c r="L12" i="7" s="1"/>
  <c r="P8" i="7"/>
  <c r="S8" i="7" s="1"/>
  <c r="T8" i="7"/>
  <c r="U8" i="7" s="1"/>
  <c r="B18" i="9"/>
  <c r="R12" i="7"/>
  <c r="V12" i="7" s="1"/>
  <c r="X12" i="7" s="1"/>
  <c r="J13" i="7"/>
  <c r="L13" i="7" s="1"/>
  <c r="R19" i="7"/>
  <c r="R13" i="7"/>
  <c r="P12" i="7"/>
  <c r="S12" i="7" s="1"/>
  <c r="K13" i="7"/>
  <c r="J19" i="7"/>
  <c r="L19" i="7" s="1"/>
  <c r="O9" i="7"/>
  <c r="R9" i="7" s="1"/>
  <c r="O8" i="7"/>
  <c r="R8" i="7" s="1"/>
  <c r="C18" i="12"/>
  <c r="C10" i="12"/>
  <c r="C35" i="12"/>
  <c r="C19" i="12"/>
  <c r="C28" i="12"/>
  <c r="B26" i="12"/>
  <c r="C36" i="12"/>
  <c r="C17" i="12"/>
  <c r="B10" i="12"/>
  <c r="B15" i="12"/>
  <c r="C33" i="12"/>
  <c r="B34" i="12"/>
  <c r="C15" i="12"/>
  <c r="B28" i="12"/>
  <c r="C34" i="12"/>
  <c r="B17" i="12"/>
  <c r="B16" i="12"/>
  <c r="C26" i="12"/>
  <c r="B18" i="12"/>
  <c r="B37" i="12"/>
  <c r="B19" i="12"/>
  <c r="J18" i="7"/>
  <c r="L18" i="7" s="1"/>
  <c r="N18" i="7"/>
  <c r="O18" i="7"/>
  <c r="R18" i="7" s="1"/>
  <c r="K18" i="7"/>
  <c r="K14" i="7"/>
  <c r="J14" i="7"/>
  <c r="L14" i="7" s="1"/>
  <c r="O14" i="7"/>
  <c r="R14" i="7" s="1"/>
  <c r="N14" i="7"/>
  <c r="J10" i="7"/>
  <c r="L10" i="7" s="1"/>
  <c r="K10" i="7"/>
  <c r="O10" i="7"/>
  <c r="R10" i="7" s="1"/>
  <c r="N10" i="7"/>
  <c r="C49" i="12"/>
  <c r="E5" i="6"/>
  <c r="B10" i="6" s="1"/>
  <c r="N15" i="7"/>
  <c r="N19" i="7"/>
  <c r="T19" i="7" s="1"/>
  <c r="U19" i="7" s="1"/>
  <c r="B8" i="12"/>
  <c r="C9" i="12"/>
  <c r="C16" i="12"/>
  <c r="B35" i="12"/>
  <c r="C27" i="12"/>
  <c r="C8" i="12"/>
  <c r="C37" i="12"/>
  <c r="B33" i="12"/>
  <c r="B27" i="12"/>
  <c r="C12" i="12"/>
  <c r="C30" i="12"/>
  <c r="B30" i="12"/>
  <c r="C29" i="12"/>
  <c r="C11" i="12"/>
  <c r="B29" i="12"/>
  <c r="C13" i="12"/>
  <c r="B31" i="12"/>
  <c r="C31" i="12"/>
  <c r="C14" i="12"/>
  <c r="B32" i="12"/>
  <c r="C32" i="12"/>
  <c r="C2938" i="10"/>
  <c r="C2942" i="10" s="1"/>
  <c r="K6" i="7"/>
  <c r="O6" i="7"/>
  <c r="R6" i="7" s="1"/>
  <c r="J6" i="7"/>
  <c r="L6" i="7" s="1"/>
  <c r="N6" i="7"/>
  <c r="P17" i="7"/>
  <c r="V8" i="7" l="1"/>
  <c r="X8" i="7" s="1"/>
  <c r="P13" i="7"/>
  <c r="S13" i="7" s="1"/>
  <c r="T7" i="7"/>
  <c r="U7" i="7" s="1"/>
  <c r="V7" i="7" s="1"/>
  <c r="X7" i="7" s="1"/>
  <c r="P11" i="7"/>
  <c r="P9" i="7"/>
  <c r="P19" i="7"/>
  <c r="B19" i="9"/>
  <c r="P16" i="7"/>
  <c r="S16" i="7" s="1"/>
  <c r="T16" i="7"/>
  <c r="U16" i="7" s="1"/>
  <c r="P15" i="7"/>
  <c r="T15" i="7"/>
  <c r="U15" i="7" s="1"/>
  <c r="T10" i="7"/>
  <c r="U10" i="7" s="1"/>
  <c r="P10" i="7"/>
  <c r="T14" i="7"/>
  <c r="U14" i="7" s="1"/>
  <c r="P14" i="7"/>
  <c r="P18" i="7"/>
  <c r="T18" i="7"/>
  <c r="U18" i="7" s="1"/>
  <c r="B13" i="6"/>
  <c r="B11" i="6"/>
  <c r="B12" i="6" s="1"/>
  <c r="C38" i="12"/>
  <c r="E2889" i="10"/>
  <c r="C20" i="12"/>
  <c r="B38" i="12"/>
  <c r="D2899" i="10"/>
  <c r="E2899" i="10"/>
  <c r="D4" i="10"/>
  <c r="S19" i="7"/>
  <c r="V19" i="7"/>
  <c r="X19" i="7" s="1"/>
  <c r="S17" i="7"/>
  <c r="V17" i="7"/>
  <c r="X17" i="7" s="1"/>
  <c r="S11" i="7"/>
  <c r="V11" i="7"/>
  <c r="X11" i="7" s="1"/>
  <c r="P6" i="7"/>
  <c r="T6" i="7"/>
  <c r="U6" i="7" s="1"/>
  <c r="S9" i="7" l="1"/>
  <c r="V9" i="7"/>
  <c r="X9" i="7" s="1"/>
  <c r="V16" i="7"/>
  <c r="X16" i="7" s="1"/>
  <c r="V13" i="7"/>
  <c r="X13" i="7" s="1"/>
  <c r="E2918" i="10"/>
  <c r="E2922" i="10"/>
  <c r="D2888" i="10"/>
  <c r="V14" i="7"/>
  <c r="X14" i="7" s="1"/>
  <c r="B14" i="6"/>
  <c r="S14" i="7"/>
  <c r="C47" i="12"/>
  <c r="C51" i="12" s="1"/>
  <c r="C46" i="12" s="1"/>
  <c r="S18" i="7"/>
  <c r="V18" i="7"/>
  <c r="X18" i="7" s="1"/>
  <c r="S10" i="7"/>
  <c r="V10" i="7"/>
  <c r="X10" i="7" s="1"/>
  <c r="V15" i="7"/>
  <c r="X15" i="7" s="1"/>
  <c r="S15" i="7"/>
  <c r="S6" i="7"/>
  <c r="V6" i="7"/>
  <c r="X6" i="7" s="1"/>
  <c r="E2882" i="10" l="1"/>
  <c r="E2868" i="10"/>
  <c r="E2863" i="10"/>
  <c r="E2933" i="10"/>
  <c r="D2889" i="10"/>
  <c r="D2922" i="10"/>
  <c r="D2882" i="10"/>
  <c r="D2933" i="10"/>
  <c r="D2863" i="10"/>
  <c r="D2892" i="10"/>
  <c r="E2881" i="10"/>
  <c r="B14" i="12"/>
  <c r="D2918" i="10"/>
  <c r="D2881" i="10"/>
  <c r="D2911" i="10"/>
  <c r="E2911" i="10"/>
  <c r="E2892" i="10"/>
  <c r="B13" i="12"/>
  <c r="X20" i="7"/>
  <c r="D2897" i="10"/>
  <c r="E2897" i="10"/>
  <c r="B12" i="12"/>
  <c r="B49" i="12"/>
  <c r="AA5" i="10"/>
  <c r="B11" i="12"/>
  <c r="Z2856" i="10"/>
  <c r="D2868" i="10"/>
  <c r="E2938" i="10" l="1"/>
  <c r="AA4" i="10" s="1"/>
  <c r="D2938" i="10"/>
  <c r="D2941" i="10" s="1"/>
  <c r="B20" i="12"/>
  <c r="B47" i="12" s="1"/>
  <c r="B51" i="12" s="1"/>
  <c r="B46" i="12" s="1"/>
  <c r="Z4" i="10" l="1"/>
</calcChain>
</file>

<file path=xl/sharedStrings.xml><?xml version="1.0" encoding="utf-8"?>
<sst xmlns="http://schemas.openxmlformats.org/spreadsheetml/2006/main" count="489" uniqueCount="238">
  <si>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</si>
  <si>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</si>
  <si>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</si>
  <si>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</si>
  <si>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</si>
  <si>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</si>
  <si>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</si>
  <si>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</si>
  <si>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</si>
  <si>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</si>
  <si>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</si>
  <si>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</si>
  <si>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</si>
  <si>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</si>
  <si>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</si>
  <si>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</si>
  <si>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</si>
  <si>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</si>
  <si>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</si>
  <si>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</si>
  <si>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</si>
  <si>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</si>
  <si>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</si>
  <si>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</si>
  <si>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</si>
  <si>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</si>
  <si>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</si>
  <si>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</si>
  <si>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</si>
  <si>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</si>
  <si>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</si>
  <si>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</si>
  <si>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</si>
  <si>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</si>
  <si>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</si>
  <si>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</si>
  <si>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</si>
  <si>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</si>
  <si>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</si>
  <si>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</si>
  <si>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</si>
  <si>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</si>
  <si>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</si>
  <si>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</si>
  <si>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</si>
  <si>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CALCOLO COMMISSIONI  ELEKTRAWIRE</t>
  </si>
  <si>
    <t>Quota fissa 1%</t>
  </si>
  <si>
    <t>Quota fissa 3%</t>
  </si>
  <si>
    <t>Rame</t>
  </si>
  <si>
    <t>Totale Mat+Lav</t>
  </si>
  <si>
    <t>1,50%&lt;Delta</t>
  </si>
  <si>
    <t>1,5%&gt;Delta</t>
  </si>
  <si>
    <t>1,5% fissa</t>
  </si>
  <si>
    <t>Quota fissa 1,5%</t>
  </si>
  <si>
    <t>Galliera</t>
  </si>
  <si>
    <t>Braga</t>
  </si>
  <si>
    <t>Sater</t>
  </si>
  <si>
    <t>Data Consegna</t>
  </si>
  <si>
    <t>New Cemi</t>
  </si>
  <si>
    <t>Brignolo</t>
  </si>
  <si>
    <t>Gritti</t>
  </si>
  <si>
    <t>Cobral</t>
  </si>
  <si>
    <t>Ced</t>
  </si>
  <si>
    <t>Sassi</t>
  </si>
  <si>
    <t>Intermagnetics</t>
  </si>
  <si>
    <t>Ratto</t>
  </si>
  <si>
    <t>Baietti</t>
  </si>
  <si>
    <t>Ame</t>
  </si>
  <si>
    <t>Firm</t>
  </si>
  <si>
    <t>Trafomec</t>
  </si>
  <si>
    <t>Persico</t>
  </si>
  <si>
    <t>Facem</t>
  </si>
  <si>
    <t>Trasfotec</t>
  </si>
  <si>
    <t>Provvigioni</t>
  </si>
  <si>
    <t>Provvigioni Ok</t>
  </si>
  <si>
    <t>Trasfoproject</t>
  </si>
  <si>
    <t>Cet</t>
  </si>
  <si>
    <t>Tesar</t>
  </si>
  <si>
    <t>Power Europe</t>
  </si>
  <si>
    <t>Rizzi</t>
  </si>
  <si>
    <t>Elca</t>
  </si>
  <si>
    <t>Rapeti</t>
  </si>
  <si>
    <t>Baimetal</t>
  </si>
  <si>
    <t>Vazzoler</t>
  </si>
  <si>
    <t>Green Metal</t>
  </si>
  <si>
    <t>Gts</t>
  </si>
  <si>
    <t>Copper</t>
  </si>
  <si>
    <t>Piossasco</t>
  </si>
  <si>
    <t>Mace</t>
  </si>
  <si>
    <t>Emg</t>
  </si>
  <si>
    <t>Eletrafo</t>
  </si>
  <si>
    <t>GBE</t>
  </si>
  <si>
    <t>EBG</t>
  </si>
  <si>
    <t>Trafo</t>
  </si>
  <si>
    <t>Totale KG</t>
  </si>
  <si>
    <t>Ranzenigo</t>
  </si>
  <si>
    <t>Tmc</t>
  </si>
  <si>
    <t>Misure</t>
  </si>
  <si>
    <t>Carbognin</t>
  </si>
  <si>
    <t>Ocrev</t>
  </si>
  <si>
    <t>Mdls</t>
  </si>
  <si>
    <t>Sirmet</t>
  </si>
  <si>
    <t>MTP</t>
  </si>
  <si>
    <t>Mevis</t>
  </si>
  <si>
    <t>Fashion</t>
  </si>
  <si>
    <t>Danese</t>
  </si>
  <si>
    <t>Zennaro</t>
  </si>
  <si>
    <t>Alpe</t>
  </si>
  <si>
    <t>Picenia</t>
  </si>
  <si>
    <t>Picchierri</t>
  </si>
  <si>
    <t>Materiale</t>
  </si>
  <si>
    <t>Cima</t>
  </si>
  <si>
    <t>Elfri</t>
  </si>
  <si>
    <t>Trasfeco</t>
  </si>
  <si>
    <t>CM</t>
  </si>
  <si>
    <t>Technology</t>
  </si>
  <si>
    <t>Mese</t>
  </si>
  <si>
    <t>Euro</t>
  </si>
  <si>
    <t>Consegna</t>
  </si>
  <si>
    <t>Bixio</t>
  </si>
  <si>
    <t>Base</t>
  </si>
  <si>
    <t>Cogozzo</t>
  </si>
  <si>
    <t>NCC</t>
  </si>
  <si>
    <t>Meca</t>
  </si>
  <si>
    <t>Zucchiatti</t>
  </si>
  <si>
    <t>Tamura</t>
  </si>
  <si>
    <t>Dell'Era</t>
  </si>
  <si>
    <t>Newton</t>
  </si>
  <si>
    <t>Metaltrasfo</t>
  </si>
  <si>
    <t>MF</t>
  </si>
  <si>
    <t>Mangoldt</t>
  </si>
  <si>
    <t>Dicembre 2024</t>
  </si>
  <si>
    <t>Tot. Provv.</t>
  </si>
  <si>
    <t>Elett Campana</t>
  </si>
  <si>
    <t>Heusch</t>
  </si>
  <si>
    <t>Cem</t>
  </si>
  <si>
    <t>MInsavit</t>
  </si>
  <si>
    <t>Scame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</si>
  <si>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</si>
  <si>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</si>
  <si>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</si>
  <si>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</si>
  <si>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</si>
  <si>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</si>
  <si>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</si>
  <si>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</si>
  <si>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</si>
  <si>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</si>
  <si>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</si>
  <si>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Rusconi</t>
  </si>
  <si>
    <t>Genset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</si>
  <si>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</si>
  <si>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</si>
  <si>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</si>
  <si>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</si>
  <si>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</si>
  <si>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</si>
  <si>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</si>
  <si>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</si>
  <si>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</si>
  <si>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</si>
  <si>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</si>
  <si>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</si>
  <si>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14 x 4</t>
  </si>
  <si>
    <t>2 x 9</t>
  </si>
  <si>
    <t>25/01229</t>
  </si>
  <si>
    <t>20 x 3</t>
  </si>
  <si>
    <t>18 x 4</t>
  </si>
  <si>
    <t>d, 5,77</t>
  </si>
  <si>
    <t>26/00179</t>
  </si>
  <si>
    <t>d, 1,70</t>
  </si>
  <si>
    <t>d, 3,15</t>
  </si>
  <si>
    <t>d, 3,75</t>
  </si>
  <si>
    <t>d, 4,0</t>
  </si>
  <si>
    <t>26/00220</t>
  </si>
  <si>
    <t>Ebg</t>
  </si>
  <si>
    <t>12 x 4</t>
  </si>
  <si>
    <t>3,8 x 8</t>
  </si>
  <si>
    <t>3,0 x 9</t>
  </si>
  <si>
    <t>3,2 x 9</t>
  </si>
  <si>
    <t>26/00254</t>
  </si>
  <si>
    <t>18 x 3,5</t>
  </si>
  <si>
    <t>16 x 4</t>
  </si>
  <si>
    <t>12 x 3,5</t>
  </si>
  <si>
    <t>10 x 3,5</t>
  </si>
  <si>
    <t xml:space="preserve">7 x </t>
  </si>
  <si>
    <t>5 x 2,5</t>
  </si>
  <si>
    <t xml:space="preserve">7 x 2 </t>
  </si>
  <si>
    <t>16 x 2,5</t>
  </si>
  <si>
    <t>14 x 2,5</t>
  </si>
  <si>
    <t>26/00295</t>
  </si>
  <si>
    <t>d. 3,0</t>
  </si>
  <si>
    <t>d. 4,5</t>
  </si>
  <si>
    <t>d. 3,75</t>
  </si>
  <si>
    <t>26/00336</t>
  </si>
  <si>
    <t>4 x 12</t>
  </si>
  <si>
    <t>26/00344</t>
  </si>
  <si>
    <t>FATTURARE</t>
  </si>
  <si>
    <t>4 x 6</t>
  </si>
  <si>
    <t>10 x 6</t>
  </si>
  <si>
    <t>10 x 2,5</t>
  </si>
  <si>
    <t>26/00377</t>
  </si>
  <si>
    <t>26/00380</t>
  </si>
  <si>
    <t>FINE_TABELLA</t>
  </si>
  <si>
    <t>2,5 x 8</t>
  </si>
  <si>
    <t>26/00391</t>
  </si>
  <si>
    <t>5 x 10</t>
  </si>
  <si>
    <t>7 x 10</t>
  </si>
  <si>
    <t>3 x 8</t>
  </si>
  <si>
    <t>3,1 x 9</t>
  </si>
  <si>
    <t>26/00399</t>
  </si>
  <si>
    <t>26/00397</t>
  </si>
  <si>
    <t>3,9 X 8</t>
  </si>
  <si>
    <t>3,4 X 9</t>
  </si>
  <si>
    <t>26/00420</t>
  </si>
  <si>
    <t>13,5 x 3</t>
  </si>
  <si>
    <t>d. 5,77</t>
  </si>
  <si>
    <t>d. 3,35</t>
  </si>
  <si>
    <t>d. 4,50</t>
  </si>
  <si>
    <t>d. 2,12</t>
  </si>
  <si>
    <t>d. 2,50</t>
  </si>
  <si>
    <t>d. 3,00</t>
  </si>
  <si>
    <t>d. 4.00</t>
  </si>
  <si>
    <t>26/00428</t>
  </si>
  <si>
    <t>26/00430</t>
  </si>
  <si>
    <t>26/00453</t>
  </si>
  <si>
    <t>26/00447</t>
  </si>
  <si>
    <t>d. 4,00</t>
  </si>
  <si>
    <t>d. 4,90</t>
  </si>
  <si>
    <t>26/00456</t>
  </si>
  <si>
    <t>26/00455</t>
  </si>
  <si>
    <t>OK</t>
  </si>
  <si>
    <t>d. 3,85</t>
  </si>
  <si>
    <t>Litz</t>
  </si>
  <si>
    <t>26/00471</t>
  </si>
  <si>
    <t>26/00463</t>
  </si>
  <si>
    <t>26/00473</t>
  </si>
  <si>
    <t>26/00472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</si>
</sst>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&quot;€&quot;\ * #,##0.00_-;\-&quot;€&quot;\ * #,##0.00_-;_-&quot;€&quot;\ * &quot;-&quot;??_-;_-@_-"/>
    <numFmt numFmtId="165" formatCode="0.0%"/>
    <numFmt numFmtId="166" formatCode="#,##0.00_ ;\-#,##0.00\ "/>
  </numFmts>
  <fonts count="2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b/>
      <sz val="18"/>
      <color indexed="8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54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1" applyFont="1"/>
    <xf numFmtId="164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4" fontId="0" fillId="0" borderId="1" xfId="0" applyNumberFormat="1" applyBorder="1"/>
    <xf numFmtId="0" fontId="5" fillId="0" borderId="2" xfId="0" applyFont="1" applyBorder="1"/>
    <xf numFmtId="164" fontId="5" fillId="0" borderId="3" xfId="0" applyNumberFormat="1" applyFont="1" applyBorder="1"/>
    <xf numFmtId="0" fontId="0" fillId="0" borderId="4" xfId="0" applyBorder="1"/>
    <xf numFmtId="164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43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4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4" fontId="14" fillId="0" borderId="6" xfId="0" applyNumberFormat="1" applyFont="1" applyBorder="1"/>
    <xf numFmtId="0" fontId="14" fillId="0" borderId="7" xfId="0" applyFont="1" applyBorder="1"/>
    <xf numFmtId="164" fontId="15" fillId="0" borderId="8" xfId="0" applyNumberFormat="1" applyFont="1" applyBorder="1"/>
    <xf numFmtId="0" fontId="16" fillId="0" borderId="7" xfId="0" applyFont="1" applyBorder="1"/>
    <xf numFmtId="164" fontId="16" fillId="0" borderId="8" xfId="0" applyNumberFormat="1" applyFont="1" applyBorder="1"/>
    <xf numFmtId="0" fontId="17" fillId="5" borderId="9" xfId="0" applyFont="1" applyFill="1" applyBorder="1"/>
    <xf numFmtId="164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6" xfId="0" applyBorder="1" applyProtection="1">
      <protection locked="0"/>
    </xf>
    <xf numFmtId="164" fontId="0" fillId="0" borderId="16" xfId="0" applyNumberFormat="1" applyBorder="1" applyProtection="1">
      <protection locked="0"/>
    </xf>
    <xf numFmtId="14" fontId="0" fillId="0" borderId="16" xfId="0" applyNumberFormat="1" applyBorder="1" applyProtection="1">
      <protection locked="0"/>
    </xf>
    <xf numFmtId="0" fontId="21" fillId="0" borderId="0" xfId="0" applyFont="1"/>
    <xf numFmtId="0" fontId="21" fillId="0" borderId="17" xfId="0" quotePrefix="1" applyFont="1" applyBorder="1"/>
    <xf numFmtId="164" fontId="21" fillId="0" borderId="18" xfId="0" applyNumberFormat="1" applyFont="1" applyBorder="1"/>
    <xf numFmtId="4" fontId="21" fillId="0" borderId="19" xfId="0" applyNumberFormat="1" applyFont="1" applyBorder="1"/>
    <xf numFmtId="0" fontId="21" fillId="0" borderId="20" xfId="0" quotePrefix="1" applyFont="1" applyBorder="1"/>
    <xf numFmtId="164" fontId="21" fillId="0" borderId="1" xfId="0" applyNumberFormat="1" applyFont="1" applyBorder="1"/>
    <xf numFmtId="4" fontId="21" fillId="0" borderId="21" xfId="0" applyNumberFormat="1" applyFont="1" applyBorder="1"/>
    <xf numFmtId="0" fontId="21" fillId="0" borderId="22" xfId="0" quotePrefix="1" applyFont="1" applyBorder="1"/>
    <xf numFmtId="164" fontId="21" fillId="0" borderId="12" xfId="0" applyNumberFormat="1" applyFont="1" applyBorder="1"/>
    <xf numFmtId="4" fontId="21" fillId="0" borderId="23" xfId="0" applyNumberFormat="1" applyFont="1" applyBorder="1"/>
    <xf numFmtId="0" fontId="22" fillId="0" borderId="0" xfId="0" applyFont="1"/>
    <xf numFmtId="0" fontId="22" fillId="0" borderId="24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4" fontId="0" fillId="0" borderId="12" xfId="0" applyNumberFormat="1" applyBorder="1" applyProtection="1">
      <protection locked="0"/>
    </xf>
    <xf numFmtId="14" fontId="0" fillId="0" borderId="12" xfId="0" applyNumberFormat="1" applyBorder="1" applyProtection="1">
      <protection locked="0"/>
    </xf>
    <xf numFmtId="0" fontId="3" fillId="0" borderId="12" xfId="0" applyFont="1" applyBorder="1" applyProtection="1">
      <protection locked="0"/>
    </xf>
    <xf numFmtId="4" fontId="5" fillId="0" borderId="27" xfId="0" applyNumberFormat="1" applyFont="1" applyBorder="1" applyAlignment="1" applyProtection="1">
      <alignment horizontal="right" vertical="center"/>
      <protection locked="0"/>
    </xf>
    <xf numFmtId="164" fontId="22" fillId="0" borderId="28" xfId="2" applyFont="1" applyBorder="1"/>
    <xf numFmtId="4" fontId="22" fillId="0" borderId="29" xfId="0" applyNumberFormat="1" applyFont="1" applyBorder="1"/>
    <xf numFmtId="44" fontId="0" fillId="0" borderId="0" xfId="0" applyNumberFormat="1"/>
    <xf numFmtId="164" fontId="3" fillId="0" borderId="12" xfId="0" applyNumberFormat="1" applyFont="1" applyBorder="1" applyProtection="1">
      <protection locked="0"/>
    </xf>
    <xf numFmtId="0" fontId="23" fillId="6" borderId="30" xfId="0" applyFont="1" applyFill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0" borderId="32" xfId="0" applyFont="1" applyBorder="1" applyAlignment="1">
      <alignment horizontal="center"/>
    </xf>
    <xf numFmtId="0" fontId="0" fillId="0" borderId="0" xfId="0" applyProtection="1">
      <protection locked="0"/>
    </xf>
    <xf numFmtId="164" fontId="2" fillId="0" borderId="0" xfId="2" applyFont="1" applyProtection="1">
      <protection locked="0"/>
    </xf>
    <xf numFmtId="0" fontId="19" fillId="0" borderId="0" xfId="0" applyFont="1" applyProtection="1">
      <protection locked="0"/>
    </xf>
    <xf numFmtId="164" fontId="0" fillId="0" borderId="0" xfId="0" applyNumberFormat="1" applyProtection="1">
      <protection locked="0"/>
    </xf>
    <xf numFmtId="164" fontId="5" fillId="0" borderId="27" xfId="0" applyNumberFormat="1" applyFont="1" applyBorder="1" applyAlignment="1" applyProtection="1">
      <alignment vertical="center"/>
      <protection locked="0"/>
    </xf>
    <xf numFmtId="0" fontId="7" fillId="0" borderId="24" xfId="0" applyFont="1" applyBorder="1" applyProtection="1">
      <protection locked="0"/>
    </xf>
    <xf numFmtId="0" fontId="7" fillId="0" borderId="3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0" fillId="0" borderId="17" xfId="0" applyBorder="1" applyProtection="1">
      <protection locked="0"/>
    </xf>
    <xf numFmtId="4" fontId="0" fillId="0" borderId="18" xfId="0" applyNumberFormat="1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35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4" fontId="8" fillId="0" borderId="1" xfId="2" applyFont="1" applyBorder="1" applyProtection="1">
      <protection locked="0"/>
    </xf>
    <xf numFmtId="164" fontId="8" fillId="0" borderId="21" xfId="2" applyFont="1" applyBorder="1" applyProtection="1">
      <protection locked="0"/>
    </xf>
    <xf numFmtId="0" fontId="8" fillId="0" borderId="20" xfId="0" applyFont="1" applyBorder="1" applyProtection="1">
      <protection locked="0"/>
    </xf>
    <xf numFmtId="0" fontId="8" fillId="0" borderId="36" xfId="0" applyFont="1" applyBorder="1" applyProtection="1">
      <protection locked="0"/>
    </xf>
    <xf numFmtId="0" fontId="8" fillId="0" borderId="37" xfId="0" applyFont="1" applyBorder="1" applyProtection="1">
      <protection locked="0"/>
    </xf>
    <xf numFmtId="4" fontId="8" fillId="0" borderId="15" xfId="0" applyNumberFormat="1" applyFont="1" applyBorder="1" applyProtection="1">
      <protection locked="0"/>
    </xf>
    <xf numFmtId="0" fontId="8" fillId="0" borderId="15" xfId="0" applyFont="1" applyBorder="1" applyProtection="1">
      <protection locked="0"/>
    </xf>
    <xf numFmtId="0" fontId="8" fillId="0" borderId="38" xfId="0" applyFont="1" applyBorder="1" applyProtection="1">
      <protection locked="0"/>
    </xf>
    <xf numFmtId="0" fontId="0" fillId="0" borderId="28" xfId="0" applyBorder="1" applyProtection="1">
      <protection locked="0"/>
    </xf>
    <xf numFmtId="4" fontId="2" fillId="0" borderId="39" xfId="0" applyNumberFormat="1" applyFont="1" applyBorder="1" applyProtection="1">
      <protection locked="0"/>
    </xf>
    <xf numFmtId="164" fontId="2" fillId="0" borderId="39" xfId="2" applyFont="1" applyBorder="1" applyProtection="1">
      <protection locked="0"/>
    </xf>
    <xf numFmtId="164" fontId="2" fillId="0" borderId="29" xfId="2" applyFont="1" applyBorder="1" applyProtection="1">
      <protection locked="0"/>
    </xf>
    <xf numFmtId="164" fontId="0" fillId="0" borderId="0" xfId="2" applyFont="1" applyProtection="1">
      <protection locked="0"/>
    </xf>
    <xf numFmtId="164" fontId="18" fillId="0" borderId="0" xfId="0" applyNumberFormat="1" applyFont="1" applyProtection="1">
      <protection locked="0"/>
    </xf>
    <xf numFmtId="0" fontId="2" fillId="0" borderId="0" xfId="0" applyFont="1" applyAlignment="1">
      <alignment horizontal="center" vertical="center" wrapText="1"/>
    </xf>
    <xf numFmtId="164" fontId="2" fillId="0" borderId="0" xfId="2" applyFont="1" applyProtection="1"/>
    <xf numFmtId="166" fontId="2" fillId="0" borderId="0" xfId="2" applyNumberFormat="1" applyFont="1" applyProtection="1"/>
    <xf numFmtId="0" fontId="3" fillId="0" borderId="16" xfId="0" applyFont="1" applyBorder="1" applyProtection="1">
      <protection locked="0"/>
    </xf>
    <xf numFmtId="0" fontId="2" fillId="6" borderId="40" xfId="0" applyFont="1" applyFill="1" applyBorder="1"/>
    <xf numFmtId="0" fontId="1" fillId="0" borderId="12" xfId="0" applyFont="1" applyBorder="1" applyProtection="1">
      <protection locked="0"/>
    </xf>
    <xf numFmtId="164" fontId="1" fillId="0" borderId="12" xfId="0" applyNumberFormat="1" applyFont="1" applyBorder="1" applyProtection="1">
      <protection locked="0"/>
    </xf>
    <xf numFmtId="0" fontId="0" fillId="0" borderId="41" xfId="0" applyBorder="1"/>
    <xf numFmtId="164" fontId="0" fillId="0" borderId="41" xfId="0" applyNumberFormat="1" applyBorder="1"/>
    <xf numFmtId="14" fontId="0" fillId="0" borderId="41" xfId="0" applyNumberFormat="1" applyBorder="1"/>
    <xf numFmtId="0" fontId="2" fillId="10" borderId="42" xfId="0" applyFont="1" applyFill="1" applyBorder="1" applyAlignment="1">
      <alignment horizontal="center" vertical="center" wrapText="1"/>
    </xf>
    <xf numFmtId="0" fontId="2" fillId="10" borderId="43" xfId="0" applyFont="1" applyFill="1" applyBorder="1" applyAlignment="1">
      <alignment horizontal="center" vertical="center" wrapText="1"/>
    </xf>
    <xf numFmtId="0" fontId="2" fillId="10" borderId="44" xfId="0" applyFont="1" applyFill="1" applyBorder="1" applyAlignment="1">
      <alignment horizontal="center" vertical="center" wrapText="1"/>
    </xf>
    <xf numFmtId="0" fontId="2" fillId="10" borderId="45" xfId="0" applyFont="1" applyFill="1" applyBorder="1" applyAlignment="1">
      <alignment horizontal="center" vertical="center" wrapText="1"/>
    </xf>
    <xf numFmtId="0" fontId="2" fillId="10" borderId="46" xfId="0" applyFont="1" applyFill="1" applyBorder="1" applyAlignment="1">
      <alignment horizontal="center" vertical="center" wrapText="1"/>
    </xf>
    <xf numFmtId="0" fontId="2" fillId="10" borderId="46" xfId="0" applyFont="1" applyFill="1" applyBorder="1" applyAlignment="1">
      <alignment horizontal="center" vertical="center"/>
    </xf>
    <xf numFmtId="0" fontId="0" fillId="10" borderId="46" xfId="0" applyFill="1" applyBorder="1" applyAlignment="1">
      <alignment horizontal="center" vertical="center"/>
    </xf>
    <xf numFmtId="0" fontId="0" fillId="10" borderId="46" xfId="0" applyFill="1" applyBorder="1" applyAlignment="1">
      <alignment horizontal="center" vertical="center" wrapText="1"/>
    </xf>
    <xf numFmtId="0" fontId="0" fillId="10" borderId="47" xfId="0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 wrapText="1"/>
    </xf>
    <xf numFmtId="0" fontId="2" fillId="10" borderId="49" xfId="0" applyFont="1" applyFill="1" applyBorder="1" applyAlignment="1">
      <alignment horizontal="center" vertical="center" wrapText="1"/>
    </xf>
    <xf numFmtId="0" fontId="2" fillId="10" borderId="50" xfId="0" applyFont="1" applyFill="1" applyBorder="1" applyAlignment="1">
      <alignment horizontal="center" vertical="center" wrapText="1"/>
    </xf>
    <xf numFmtId="0" fontId="2" fillId="10" borderId="16" xfId="0" applyFont="1" applyFill="1" applyBorder="1" applyAlignment="1">
      <alignment horizontal="center" vertical="center" wrapText="1"/>
    </xf>
    <xf numFmtId="165" fontId="2" fillId="10" borderId="16" xfId="0" applyNumberFormat="1" applyFont="1" applyFill="1" applyBorder="1" applyAlignment="1">
      <alignment horizontal="center" vertical="center" wrapText="1"/>
    </xf>
    <xf numFmtId="0" fontId="2" fillId="10" borderId="51" xfId="0" applyFont="1" applyFill="1" applyBorder="1" applyAlignment="1">
      <alignment horizontal="center" vertical="center"/>
    </xf>
    <xf numFmtId="9" fontId="2" fillId="10" borderId="51" xfId="0" applyNumberFormat="1" applyFont="1" applyFill="1" applyBorder="1" applyAlignment="1">
      <alignment horizontal="center" vertical="center" wrapText="1"/>
    </xf>
    <xf numFmtId="0" fontId="2" fillId="10" borderId="52" xfId="0" applyFont="1" applyFill="1" applyBorder="1" applyAlignment="1">
      <alignment horizontal="center" vertical="center" wrapText="1"/>
    </xf>
    <xf numFmtId="0" fontId="2" fillId="10" borderId="53" xfId="0" applyFont="1" applyFill="1" applyBorder="1" applyAlignment="1">
      <alignment horizontal="center" vertical="center" wrapText="1"/>
    </xf>
    <xf numFmtId="0" fontId="24" fillId="9" borderId="0" xfId="0" applyFont="1" applyFill="1" applyProtection="1">
      <protection locked="0"/>
    </xf>
    <xf numFmtId="0" fontId="0" fillId="7" borderId="12" xfId="0" applyFill="1" applyBorder="1" applyProtection="1">
      <protection locked="0"/>
    </xf>
    <xf numFmtId="0" fontId="1" fillId="7" borderId="12" xfId="0" applyFont="1" applyFill="1" applyBorder="1" applyProtection="1">
      <protection locked="0"/>
    </xf>
    <xf numFmtId="0" fontId="3" fillId="7" borderId="12" xfId="0" applyFont="1" applyFill="1" applyBorder="1" applyProtection="1">
      <protection locked="0"/>
    </xf>
    <xf numFmtId="0" fontId="0" fillId="0" borderId="12" xfId="0" applyBorder="1" applyAlignment="1" applyProtection="1">
      <alignment horizontal="left"/>
      <protection locked="0"/>
    </xf>
    <xf numFmtId="0" fontId="23" fillId="6" borderId="30" xfId="0" applyFont="1" applyFill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0" borderId="3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41" xfId="0" applyNumberFormat="1" applyBorder="1"/>
    <xf numFmtId="0" fontId="0" fillId="0" borderId="12" xfId="0" applyNumberFormat="1" applyBorder="1" applyProtection="1">
      <protection locked="0"/>
    </xf>
    <xf numFmtId="0" fontId="0" fillId="7" borderId="12" xfId="0" applyNumberFormat="1" applyFill="1" applyBorder="1" applyProtection="1">
      <protection locked="0"/>
    </xf>
    <xf numFmtId="0" fontId="0" fillId="0" borderId="15" xfId="0" applyNumberFormat="1" applyBorder="1" applyProtection="1">
      <protection locked="0"/>
    </xf>
    <xf numFmtId="164" fontId="0" fillId="0" borderId="41" xfId="1" applyNumberFormat="1" applyFont="1" applyBorder="1" applyProtection="1"/>
    <xf numFmtId="164" fontId="0" fillId="0" borderId="12" xfId="1" applyNumberFormat="1" applyFont="1" applyBorder="1" applyProtection="1">
      <protection locked="0"/>
    </xf>
    <xf numFmtId="164" fontId="0" fillId="0" borderId="16" xfId="1" applyNumberFormat="1" applyFont="1" applyBorder="1" applyProtection="1">
      <protection locked="0"/>
    </xf>
    <xf numFmtId="164" fontId="20" fillId="8" borderId="41" xfId="1" applyNumberFormat="1" applyFont="1" applyFill="1" applyBorder="1" applyProtection="1"/>
    <xf numFmtId="164" fontId="0" fillId="7" borderId="12" xfId="1" applyNumberFormat="1" applyFont="1" applyFill="1" applyBorder="1" applyProtection="1">
      <protection locked="0"/>
    </xf>
    <xf numFmtId="164" fontId="20" fillId="7" borderId="41" xfId="1" applyNumberFormat="1" applyFont="1" applyFill="1" applyBorder="1" applyProtection="1"/>
    <xf numFmtId="164" fontId="0" fillId="0" borderId="15" xfId="1" applyNumberFormat="1" applyFont="1" applyBorder="1" applyProtection="1">
      <protection locked="0"/>
    </xf>
  </cellXfs>
  <cellStyles count="3">
    <cellStyle name="Euro" xfId="1" xr:uid="{00000000-0005-0000-0000-000000000000}"/>
    <cellStyle name="Normale" xfId="0" builtinId="0"/>
    <cellStyle name="Valuta" xfId="2" builtinId="4"/>
  </cellStyles>
  <dxfs count="45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95250</xdr:rowOff>
        </xdr:from>
        <xdr:to>
          <xdr:col>1</xdr:col>
          <xdr:colOff>276225</xdr:colOff>
          <xdr:row>2</xdr:row>
          <xdr:rowOff>57150</xdr:rowOff>
        </xdr:to>
        <xdr:sp macro="" textlink="">
          <xdr:nvSpPr>
            <xdr:cNvPr id="1032" name="CmdNuov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0</xdr:row>
          <xdr:rowOff>76200</xdr:rowOff>
        </xdr:from>
        <xdr:to>
          <xdr:col>2</xdr:col>
          <xdr:colOff>762000</xdr:colOff>
          <xdr:row>2</xdr:row>
          <xdr:rowOff>28575</xdr:rowOff>
        </xdr:to>
        <xdr:sp macro="" textlink="">
          <xdr:nvSpPr>
            <xdr:cNvPr id="1033" name="cmdDuplicaRigaSelezionat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0</xdr:row>
          <xdr:rowOff>57150</xdr:rowOff>
        </xdr:from>
        <xdr:to>
          <xdr:col>4</xdr:col>
          <xdr:colOff>276225</xdr:colOff>
          <xdr:row>2</xdr:row>
          <xdr:rowOff>19050</xdr:rowOff>
        </xdr:to>
        <xdr:sp macro="" textlink="">
          <xdr:nvSpPr>
            <xdr:cNvPr id="1034" name="CmdEliminaERipristinaRig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0</xdr:row>
          <xdr:rowOff>85725</xdr:rowOff>
        </xdr:from>
        <xdr:to>
          <xdr:col>14</xdr:col>
          <xdr:colOff>457200</xdr:colOff>
          <xdr:row>2</xdr:row>
          <xdr:rowOff>47625</xdr:rowOff>
        </xdr:to>
        <xdr:sp macro="" textlink="">
          <xdr:nvSpPr>
            <xdr:cNvPr id="1035" name="CmdSelezionaTabell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E2942"/>
  <sheetViews>
    <sheetView tabSelected="1" zoomScaleNormal="100" zoomScaleSheetLayoutView="10" workbookViewId="0">
      <selection activeCell="W7" sqref="W7"/>
    </sheetView>
  </sheetViews>
  <sheetFormatPr defaultRowHeight="12.75" x14ac:dyDescent="0.2"/>
  <cols>
    <col min="1" max="1" width="14.7109375" style="78" bestFit="1" customWidth="1"/>
    <col min="2" max="2" width="14.28515625" style="78" customWidth="1"/>
    <col min="3" max="3" width="14.42578125" style="78" customWidth="1"/>
    <col min="4" max="4" width="12.5703125" style="78" customWidth="1"/>
    <col min="5" max="5" width="12.28515625" style="78" customWidth="1"/>
    <col min="6" max="6" width="12.7109375" style="78" customWidth="1"/>
    <col min="7" max="7" width="10.42578125" style="78" customWidth="1"/>
    <col min="8" max="9" width="12" style="78" customWidth="1"/>
    <col min="10" max="10" width="12.5703125" style="78" customWidth="1"/>
    <col min="11" max="11" width="9.85546875" style="78" customWidth="1"/>
    <col min="12" max="13" width="0.140625" style="78" hidden="1" customWidth="1"/>
    <col min="14" max="14" width="10.85546875" style="78" customWidth="1"/>
    <col min="15" max="15" width="9.28515625" style="78" customWidth="1"/>
    <col min="16" max="16" width="0.42578125" style="78" hidden="1" customWidth="1"/>
    <col min="17" max="17" width="0.28515625" style="78" hidden="1" customWidth="1"/>
    <col min="18" max="18" width="9.28515625" style="78" bestFit="1" customWidth="1"/>
    <col min="19" max="20" width="11.5703125" style="78" customWidth="1"/>
    <col min="21" max="21" width="11" style="78" customWidth="1"/>
    <col min="22" max="22" width="9.140625" style="78" customWidth="1"/>
    <col min="23" max="23" width="11.28515625" style="78" customWidth="1"/>
    <col min="24" max="24" width="13.7109375" style="78" customWidth="1"/>
    <col min="25" max="25" width="13" style="78" customWidth="1"/>
    <col min="26" max="26" width="17.140625" style="78" customWidth="1"/>
    <col min="27" max="27" width="14.7109375" style="78" customWidth="1"/>
    <col min="28" max="28" width="17.5703125" style="78" customWidth="1"/>
    <col min="29" max="29" width="9.140625" style="78"/>
    <col min="30" max="30" width="12.7109375" style="78" customWidth="1"/>
    <col min="31" max="31" width="8.7109375" style="78" customWidth="1"/>
    <col min="32" max="16384" width="9.140625" style="78"/>
  </cols>
  <sheetData>
    <row r="1" spans="1:31" x14ac:dyDescent="0.2">
      <c r="AA1" s="79"/>
    </row>
    <row r="2" spans="1:31" ht="24" thickBot="1" x14ac:dyDescent="0.4">
      <c r="C2" s="80"/>
      <c r="F2" s="80" t="s">
        <v>45</v>
      </c>
    </row>
    <row r="3" spans="1:31" customFormat="1" ht="13.5" thickBot="1" x14ac:dyDescent="0.25">
      <c r="AA3" s="110" t="s">
        <v>197</v>
      </c>
    </row>
    <row r="4" spans="1:31" s="1" customFormat="1" ht="31.5" customHeight="1" x14ac:dyDescent="0.2">
      <c r="A4" s="116" t="s">
        <v>33</v>
      </c>
      <c r="B4" s="117" t="s">
        <v>21</v>
      </c>
      <c r="C4" s="117" t="s">
        <v>97</v>
      </c>
      <c r="D4" s="117" t="str">
        <f>IF(D2856=C2938,"Kg","ERRORE")</f>
        <v>Kg</v>
      </c>
      <c r="E4" s="117" t="s">
        <v>0</v>
      </c>
      <c r="F4" s="117" t="s">
        <v>110</v>
      </c>
      <c r="G4" s="117" t="s">
        <v>120</v>
      </c>
      <c r="H4" s="117" t="s">
        <v>49</v>
      </c>
      <c r="I4" s="117" t="s">
        <v>1</v>
      </c>
      <c r="J4" s="118" t="s">
        <v>17</v>
      </c>
      <c r="K4" s="119"/>
      <c r="L4" s="120"/>
      <c r="M4" s="121"/>
      <c r="N4" s="121" t="s">
        <v>41</v>
      </c>
      <c r="O4" s="122"/>
      <c r="P4" s="123"/>
      <c r="Q4" s="123"/>
      <c r="R4" s="124"/>
      <c r="S4" s="117" t="s">
        <v>53</v>
      </c>
      <c r="T4" s="117" t="s">
        <v>47</v>
      </c>
      <c r="U4" s="117" t="s">
        <v>20</v>
      </c>
      <c r="V4" s="117" t="s">
        <v>2</v>
      </c>
      <c r="W4" s="117" t="s">
        <v>6</v>
      </c>
      <c r="X4" s="117" t="s">
        <v>132</v>
      </c>
      <c r="Y4" s="117" t="s">
        <v>57</v>
      </c>
      <c r="Z4" s="125" t="str">
        <f>IF(Z2856=D2938,"Totale Provvigioni","ERRORE")</f>
        <v>Totale Provvigioni</v>
      </c>
      <c r="AA4" s="106" t="str">
        <f>IF(AA5=E2938,"Totale da fatturare","ERRORE")</f>
        <v>Totale da fatturare</v>
      </c>
      <c r="AB4" s="106" t="s">
        <v>94</v>
      </c>
    </row>
    <row r="5" spans="1:31" s="1" customFormat="1" ht="16.5" customHeight="1" thickBot="1" x14ac:dyDescent="0.25">
      <c r="A5" s="126"/>
      <c r="B5" s="127"/>
      <c r="C5" s="127"/>
      <c r="D5" s="127"/>
      <c r="E5" s="127"/>
      <c r="F5" s="127"/>
      <c r="G5" s="127"/>
      <c r="H5" s="127"/>
      <c r="I5" s="127"/>
      <c r="J5" s="128"/>
      <c r="K5" s="129">
        <v>1.4999999999999999E-2</v>
      </c>
      <c r="L5" s="130" t="s">
        <v>50</v>
      </c>
      <c r="M5" s="130" t="s">
        <v>51</v>
      </c>
      <c r="N5" s="128" t="s">
        <v>52</v>
      </c>
      <c r="O5" s="131">
        <v>0.03</v>
      </c>
      <c r="P5" s="130" t="s">
        <v>19</v>
      </c>
      <c r="Q5" s="130" t="s">
        <v>18</v>
      </c>
      <c r="R5" s="132" t="s">
        <v>15</v>
      </c>
      <c r="S5" s="127"/>
      <c r="T5" s="127"/>
      <c r="U5" s="127"/>
      <c r="V5" s="127"/>
      <c r="W5" s="127"/>
      <c r="X5" s="127"/>
      <c r="Y5" s="127"/>
      <c r="Z5" s="133"/>
      <c r="AA5" s="107">
        <f>SUMIF(AA7:AA2855,"OK",Z7:Z2855)</f>
        <v>3719.3917999999994</v>
      </c>
      <c r="AB5" s="108">
        <f>SUMIF(AA7:AA2855,"OK",D7:D2855)</f>
        <v>7147.4000000000005</v>
      </c>
      <c r="AD5">
        <f>IF(Y5="",0,MONTH(Y5))</f>
        <v>0</v>
      </c>
      <c r="AE5">
        <f>IF(Y5="",0,YEAR(Y5))</f>
        <v>0</v>
      </c>
    </row>
    <row r="6" spans="1:31" customFormat="1" x14ac:dyDescent="0.2">
      <c r="A6" s="113"/>
      <c r="B6" s="113"/>
      <c r="C6" s="113"/>
      <c r="D6" s="143"/>
      <c r="E6" s="114"/>
      <c r="F6" s="114"/>
      <c r="G6" s="114"/>
      <c r="H6" s="114">
        <f>ROUND(+E6+G6,4)</f>
        <v>0</v>
      </c>
      <c r="I6" s="114"/>
      <c r="J6" s="114">
        <f>ROUND(+I6-H6,4)</f>
        <v>0</v>
      </c>
      <c r="K6" s="114">
        <f>ROUND(IF(F6="alluminio",0,I6*1.5%),4)</f>
        <v>0</v>
      </c>
      <c r="L6" s="114">
        <f>ROUND(IF(K6&lt;J6,K6,0),4)</f>
        <v>0</v>
      </c>
      <c r="M6" s="114">
        <f>ROUND(IF(J6&gt;K6,0,J6),4)</f>
        <v>0</v>
      </c>
      <c r="N6" s="114">
        <f>ROUND(+L6*D6,4)</f>
        <v>0</v>
      </c>
      <c r="O6" s="114">
        <f>ROUND(IF(F6="rame",0,+I6*3%),4)</f>
        <v>0</v>
      </c>
      <c r="P6" s="114">
        <f>ROUND(IF(O6&lt;J6,O6,0),4)</f>
        <v>0</v>
      </c>
      <c r="Q6" s="114">
        <f>ROUND(IF(J6&gt;O6,0,J6),4)</f>
        <v>0</v>
      </c>
      <c r="R6" s="114">
        <f>ROUND(+P6*D6,4)</f>
        <v>0</v>
      </c>
      <c r="S6" s="114">
        <f>ROUND(IF(K6=0,0,M6*D6),4)</f>
        <v>0</v>
      </c>
      <c r="T6" s="114">
        <f>ROUND(+IF(K6=0,Q6*D6,0),4)</f>
        <v>0</v>
      </c>
      <c r="U6" s="114">
        <f>ROUND(+N6+R6+S6+T6,4)</f>
        <v>0</v>
      </c>
      <c r="V6" s="114">
        <f>ROUND(IF(P6=0,0,I6-H6-O6)+IF(L6=0,0,I6-H6-K6),4)</f>
        <v>0</v>
      </c>
      <c r="W6" s="114">
        <f>ROUND(+(V6*60%)*D6,4)</f>
        <v>0</v>
      </c>
      <c r="X6" s="147">
        <f>ROUND(+U6+W6,4)</f>
        <v>0</v>
      </c>
      <c r="Y6" s="115"/>
      <c r="Z6" s="150">
        <f>ROUND(IF(X6&gt;I6,X6,I6),4)</f>
        <v>0</v>
      </c>
      <c r="AD6">
        <f>IF(Y6="",0,MONTH(Y6))</f>
        <v>0</v>
      </c>
      <c r="AE6">
        <f>IF(Y6="",0,YEAR(Y6))</f>
        <v>0</v>
      </c>
    </row>
    <row r="7" spans="1:31" x14ac:dyDescent="0.2">
      <c r="A7" s="66" t="s">
        <v>165</v>
      </c>
      <c r="B7" s="66" t="s">
        <v>64</v>
      </c>
      <c r="C7" s="66" t="s">
        <v>164</v>
      </c>
      <c r="D7" s="144">
        <v>1800</v>
      </c>
      <c r="E7" s="67">
        <v>4.3099999999999996</v>
      </c>
      <c r="F7" s="67" t="s">
        <v>48</v>
      </c>
      <c r="G7" s="67">
        <v>10.99</v>
      </c>
      <c r="H7" s="67">
        <f>ROUND(+E7+G7,4)</f>
        <v>15.3</v>
      </c>
      <c r="I7" s="67">
        <v>16.309999999999999</v>
      </c>
      <c r="J7" s="67">
        <f>ROUND(+I7-H7,4)</f>
        <v>1.01</v>
      </c>
      <c r="K7" s="67">
        <f>ROUND(IF(F7="alluminio",0,I7*1.5%),4)</f>
        <v>0.2447</v>
      </c>
      <c r="L7" s="67">
        <f>ROUND(IF(K7&lt;J7,K7,0),4)</f>
        <v>0.2447</v>
      </c>
      <c r="M7" s="67">
        <f>ROUND(IF(J7&gt;K7,0,J7),4)</f>
        <v>0</v>
      </c>
      <c r="N7" s="67">
        <f>ROUND(+L7*D7,4)</f>
        <v>440.46</v>
      </c>
      <c r="O7" s="67">
        <f>ROUND(IF(F7="rame",0,+I7*3%),4)</f>
        <v>0</v>
      </c>
      <c r="P7" s="67">
        <f>ROUND(IF(O7&lt;J7,O7,0),4)</f>
        <v>0</v>
      </c>
      <c r="Q7" s="67">
        <f>ROUND(IF(J7&gt;O7,0,J7),4)</f>
        <v>0</v>
      </c>
      <c r="R7" s="67">
        <f>ROUND(+P7*D7,4)</f>
        <v>0</v>
      </c>
      <c r="S7" s="67">
        <f>ROUND(IF(K7=0,0,M7*D7),4)</f>
        <v>0</v>
      </c>
      <c r="T7" s="67">
        <f>ROUND(+IF(K7=0,Q7*D7,0),4)</f>
        <v>0</v>
      </c>
      <c r="U7" s="67">
        <f>ROUND(+N7+R7+S7+T7,4)</f>
        <v>440.46</v>
      </c>
      <c r="V7" s="67">
        <f>ROUND(IF(P7=0,0,I7-H7-O7)+IF(L7=0,0,I7-H7-K7),4)</f>
        <v>0.76529999999999998</v>
      </c>
      <c r="W7" s="67">
        <f>ROUND(+(V7*60%)*D7,4)</f>
        <v>826.524</v>
      </c>
      <c r="X7" s="148">
        <f>ROUND(+U7+W7,4)</f>
        <v>1266.9839999999999</v>
      </c>
      <c r="Y7" s="68">
        <v>46164</v>
      </c>
      <c r="Z7" s="148">
        <f>ROUND(IF(X7&gt;I7,X7,I7),4)</f>
        <v>1266.9839999999999</v>
      </c>
      <c r="AD7" s="78">
        <f t="shared" ref="AD7:AD8" si="0">IF(Y7="",0,MONTH(Y7))</f>
        <v>5</v>
      </c>
      <c r="AE7" s="78">
        <f t="shared" ref="AE7:AE8" si="1">IF(Y7="",0,YEAR(Y7))</f>
        <v>2026</v>
      </c>
    </row>
    <row r="8" spans="1:31" x14ac:dyDescent="0.2">
      <c r="A8" s="66" t="s">
        <v>165</v>
      </c>
      <c r="B8" s="66" t="s">
        <v>64</v>
      </c>
      <c r="C8" s="66" t="s">
        <v>164</v>
      </c>
      <c r="D8" s="144">
        <v>1800</v>
      </c>
      <c r="E8" s="67">
        <v>4.3099999999999996</v>
      </c>
      <c r="F8" s="67" t="s">
        <v>48</v>
      </c>
      <c r="G8" s="67">
        <v>10.99</v>
      </c>
      <c r="H8" s="67">
        <f>ROUND(+E8+G8,4)</f>
        <v>15.3</v>
      </c>
      <c r="I8" s="67">
        <v>16.309999999999999</v>
      </c>
      <c r="J8" s="67">
        <f>ROUND(+I8-H8,4)</f>
        <v>1.01</v>
      </c>
      <c r="K8" s="67">
        <f>ROUND(IF(F8="alluminio",0,I8*1.5%),4)</f>
        <v>0.2447</v>
      </c>
      <c r="L8" s="67">
        <f>ROUND(IF(K8&lt;J8,K8,0),4)</f>
        <v>0.2447</v>
      </c>
      <c r="M8" s="67">
        <f>ROUND(IF(J8&gt;K8,0,J8),4)</f>
        <v>0</v>
      </c>
      <c r="N8" s="67">
        <f>ROUND(+L8*D8,4)</f>
        <v>440.46</v>
      </c>
      <c r="O8" s="67">
        <f>ROUND(IF(F8="rame",0,+I8*3%),4)</f>
        <v>0</v>
      </c>
      <c r="P8" s="67">
        <f>ROUND(IF(O8&lt;J8,O8,0),4)</f>
        <v>0</v>
      </c>
      <c r="Q8" s="67">
        <f>ROUND(IF(J8&gt;O8,0,J8),4)</f>
        <v>0</v>
      </c>
      <c r="R8" s="67">
        <f>ROUND(+P8*D8,4)</f>
        <v>0</v>
      </c>
      <c r="S8" s="67">
        <f>ROUND(IF(K8=0,0,M8*D8),4)</f>
        <v>0</v>
      </c>
      <c r="T8" s="67">
        <f>ROUND(+IF(K8=0,Q8*D8,0),4)</f>
        <v>0</v>
      </c>
      <c r="U8" s="67">
        <f>ROUND(+N8+R8+S8+T8,4)</f>
        <v>440.46</v>
      </c>
      <c r="V8" s="67">
        <f>ROUND(IF(P8=0,0,I8-H8-O8)+IF(L8=0,0,I8-H8-K8),4)</f>
        <v>0.76529999999999998</v>
      </c>
      <c r="W8" s="67">
        <f>ROUND(+(V8*60%)*D8,4)</f>
        <v>826.524</v>
      </c>
      <c r="X8" s="148">
        <f>ROUND(+U8+W8,4)</f>
        <v>1266.9839999999999</v>
      </c>
      <c r="Y8" s="68">
        <v>46188</v>
      </c>
      <c r="Z8" s="148">
        <f>ROUND(IF(X8&gt;I8,X8,I8),4)</f>
        <v>1266.9839999999999</v>
      </c>
      <c r="AD8" s="78">
        <f t="shared" si="0"/>
        <v>6</v>
      </c>
      <c r="AE8" s="78">
        <f t="shared" si="1"/>
        <v>2026</v>
      </c>
    </row>
    <row r="9" spans="1:31" x14ac:dyDescent="0.2">
      <c r="A9" s="66" t="s">
        <v>169</v>
      </c>
      <c r="B9" s="135" t="s">
        <v>56</v>
      </c>
      <c r="C9" s="135" t="s">
        <v>168</v>
      </c>
      <c r="D9" s="145">
        <v>316.3</v>
      </c>
      <c r="E9" s="67">
        <v>0.77</v>
      </c>
      <c r="F9" s="67" t="s">
        <v>14</v>
      </c>
      <c r="G9" s="67">
        <v>3.83</v>
      </c>
      <c r="H9" s="67">
        <f>ROUND(+E9+G9,4)</f>
        <v>4.5999999999999996</v>
      </c>
      <c r="I9" s="67">
        <v>5.97</v>
      </c>
      <c r="J9" s="67">
        <f>ROUND(+I9-H9,4)</f>
        <v>1.37</v>
      </c>
      <c r="K9" s="67">
        <f>ROUND(IF(F9="alluminio",0,I9*1.5%),4)</f>
        <v>0</v>
      </c>
      <c r="L9" s="67">
        <f>ROUND(IF(K9&lt;J9,K9,0),4)</f>
        <v>0</v>
      </c>
      <c r="M9" s="67">
        <f>ROUND(IF(J9&gt;K9,0,J9),4)</f>
        <v>0</v>
      </c>
      <c r="N9" s="67">
        <f>ROUND(+L9*D9,4)</f>
        <v>0</v>
      </c>
      <c r="O9" s="67">
        <f>ROUND(IF(F9="rame",0,+I9*3%),4)</f>
        <v>0.17910000000000001</v>
      </c>
      <c r="P9" s="67">
        <f>ROUND(IF(O9&lt;J9,O9,0),4)</f>
        <v>0.17910000000000001</v>
      </c>
      <c r="Q9" s="67">
        <f>ROUND(IF(J9&gt;O9,0,J9),4)</f>
        <v>0</v>
      </c>
      <c r="R9" s="67">
        <f>ROUND(+P9*D9,4)</f>
        <v>56.649299999999997</v>
      </c>
      <c r="S9" s="67">
        <f>ROUND(IF(K9=0,0,M9*D9),4)</f>
        <v>0</v>
      </c>
      <c r="T9" s="67">
        <f>ROUND(+IF(K9=0,Q9*D9,0),4)</f>
        <v>0</v>
      </c>
      <c r="U9" s="67">
        <f>ROUND(+N9+R9+S9+T9,4)</f>
        <v>56.649299999999997</v>
      </c>
      <c r="V9" s="67">
        <f>ROUND(IF(P9=0,0,I9-H9-O9)+IF(L9=0,0,I9-H9-K9),4)</f>
        <v>1.1909000000000001</v>
      </c>
      <c r="W9" s="67">
        <f>ROUND(+(V9*60%)*D9,4)</f>
        <v>226.00899999999999</v>
      </c>
      <c r="X9" s="148">
        <f>ROUND(+U9+W9,4)</f>
        <v>282.6583</v>
      </c>
      <c r="Y9" s="68"/>
      <c r="Z9" s="151">
        <f>ROUND(IF(X9&gt;I9,X9,I9),4)</f>
        <v>282.6583</v>
      </c>
      <c r="AA9" s="78" t="s">
        <v>231</v>
      </c>
      <c r="AD9" s="78">
        <f t="shared" ref="AD9:AD19" si="2">IF(Y9="",0,MONTH(Y9))</f>
        <v>0</v>
      </c>
      <c r="AE9" s="78">
        <f t="shared" ref="AE9:AE19" si="3">IF(Y9="",0,YEAR(Y9))</f>
        <v>0</v>
      </c>
    </row>
    <row r="10" spans="1:31" x14ac:dyDescent="0.2">
      <c r="A10" s="69" t="s">
        <v>174</v>
      </c>
      <c r="B10" s="136" t="s">
        <v>78</v>
      </c>
      <c r="C10" s="137" t="s">
        <v>170</v>
      </c>
      <c r="D10" s="145">
        <v>312.5</v>
      </c>
      <c r="E10" s="67">
        <v>2.4</v>
      </c>
      <c r="F10" s="74" t="s">
        <v>14</v>
      </c>
      <c r="G10" s="67">
        <v>3.83</v>
      </c>
      <c r="H10" s="67">
        <f>ROUND(+E10+G10,4)</f>
        <v>6.23</v>
      </c>
      <c r="I10" s="67">
        <v>7.57</v>
      </c>
      <c r="J10" s="67">
        <f>ROUND(+I10-H10,4)</f>
        <v>1.34</v>
      </c>
      <c r="K10" s="67">
        <f>ROUND(IF(F10="alluminio",0,I10*1.5%),4)</f>
        <v>0</v>
      </c>
      <c r="L10" s="67">
        <f>ROUND(IF(K10&lt;J10,K10,0),4)</f>
        <v>0</v>
      </c>
      <c r="M10" s="67">
        <f>ROUND(IF(J10&gt;K10,0,J10),4)</f>
        <v>0</v>
      </c>
      <c r="N10" s="67">
        <f>ROUND(+L10*D10,4)</f>
        <v>0</v>
      </c>
      <c r="O10" s="67">
        <f>ROUND(IF(F10="rame",0,+I10*3%),4)</f>
        <v>0.2271</v>
      </c>
      <c r="P10" s="67">
        <f>ROUND(IF(O10&lt;J10,O10,0),4)</f>
        <v>0.2271</v>
      </c>
      <c r="Q10" s="67">
        <f>ROUND(IF(J10&gt;O10,0,J10),4)</f>
        <v>0</v>
      </c>
      <c r="R10" s="67">
        <f>ROUND(+P10*D10,4)</f>
        <v>70.968800000000002</v>
      </c>
      <c r="S10" s="67">
        <f>ROUND(IF(K10=0,0,M10*D10),4)</f>
        <v>0</v>
      </c>
      <c r="T10" s="67">
        <f>ROUND(+IF(K10=0,Q10*D10,0),4)</f>
        <v>0</v>
      </c>
      <c r="U10" s="67">
        <f>ROUND(+N10+R10+S10+T10,4)</f>
        <v>70.968800000000002</v>
      </c>
      <c r="V10" s="67">
        <f>ROUND(IF(P10=0,0,I10-H10-O10)+IF(L10=0,0,I10-H10-K10),4)</f>
        <v>1.1129</v>
      </c>
      <c r="W10" s="67">
        <f>ROUND(+(V10*60%)*D10,4)</f>
        <v>208.6688</v>
      </c>
      <c r="X10" s="148">
        <f>ROUND(+U10+W10,4)</f>
        <v>279.63760000000002</v>
      </c>
      <c r="Y10" s="68">
        <v>46152</v>
      </c>
      <c r="Z10" s="151">
        <f>ROUND(IF(X10&gt;I10,X10,I10),4)</f>
        <v>279.63760000000002</v>
      </c>
      <c r="AA10" s="78" t="s">
        <v>231</v>
      </c>
      <c r="AD10" s="78">
        <f t="shared" si="2"/>
        <v>5</v>
      </c>
      <c r="AE10" s="78">
        <f t="shared" si="3"/>
        <v>2026</v>
      </c>
    </row>
    <row r="11" spans="1:31" x14ac:dyDescent="0.2">
      <c r="A11" s="69" t="s">
        <v>174</v>
      </c>
      <c r="B11" s="136" t="s">
        <v>78</v>
      </c>
      <c r="C11" s="137" t="s">
        <v>171</v>
      </c>
      <c r="D11" s="145">
        <v>326.60000000000002</v>
      </c>
      <c r="E11" s="67">
        <v>1.4</v>
      </c>
      <c r="F11" s="74" t="s">
        <v>14</v>
      </c>
      <c r="G11" s="67">
        <v>3.83</v>
      </c>
      <c r="H11" s="67">
        <f>ROUND(+E11+G11,4)</f>
        <v>5.23</v>
      </c>
      <c r="I11" s="67">
        <v>5.85</v>
      </c>
      <c r="J11" s="67">
        <f>ROUND(+I11-H11,4)</f>
        <v>0.62</v>
      </c>
      <c r="K11" s="67">
        <f>ROUND(IF(F11="alluminio",0,I11*1.5%),4)</f>
        <v>0</v>
      </c>
      <c r="L11" s="67">
        <f>ROUND(IF(K11&lt;J11,K11,0),4)</f>
        <v>0</v>
      </c>
      <c r="M11" s="67">
        <f>ROUND(IF(J11&gt;K11,0,J11),4)</f>
        <v>0</v>
      </c>
      <c r="N11" s="67">
        <f>ROUND(+L11*D11,4)</f>
        <v>0</v>
      </c>
      <c r="O11" s="67">
        <f>ROUND(IF(F11="rame",0,+I11*3%),4)</f>
        <v>0.17549999999999999</v>
      </c>
      <c r="P11" s="67">
        <f>ROUND(IF(O11&lt;J11,O11,0),4)</f>
        <v>0.17549999999999999</v>
      </c>
      <c r="Q11" s="67">
        <f>ROUND(IF(J11&gt;O11,0,J11),4)</f>
        <v>0</v>
      </c>
      <c r="R11" s="67">
        <f>ROUND(+P11*D11,4)</f>
        <v>57.318300000000001</v>
      </c>
      <c r="S11" s="67">
        <f>ROUND(IF(K11=0,0,M11*D11),4)</f>
        <v>0</v>
      </c>
      <c r="T11" s="67">
        <f>ROUND(+IF(K11=0,Q11*D11,0),4)</f>
        <v>0</v>
      </c>
      <c r="U11" s="67">
        <f>ROUND(+N11+R11+S11+T11,4)</f>
        <v>57.318300000000001</v>
      </c>
      <c r="V11" s="67">
        <f>ROUND(IF(P11=0,0,I11-H11-O11)+IF(L11=0,0,I11-H11-K11),4)</f>
        <v>0.44450000000000001</v>
      </c>
      <c r="W11" s="67">
        <f>ROUND(+(V11*60%)*D11,4)</f>
        <v>87.104200000000006</v>
      </c>
      <c r="X11" s="148">
        <f>ROUND(+U11+W11,4)</f>
        <v>144.42250000000001</v>
      </c>
      <c r="Y11" s="68">
        <v>46152</v>
      </c>
      <c r="Z11" s="151">
        <f>ROUND(IF(X11&gt;I11,X11,I11),4)</f>
        <v>144.42250000000001</v>
      </c>
      <c r="AA11" s="78" t="s">
        <v>231</v>
      </c>
      <c r="AD11" s="78">
        <f t="shared" si="2"/>
        <v>5</v>
      </c>
      <c r="AE11" s="78">
        <f t="shared" si="3"/>
        <v>2026</v>
      </c>
    </row>
    <row r="12" spans="1:31" x14ac:dyDescent="0.2">
      <c r="A12" s="69" t="s">
        <v>174</v>
      </c>
      <c r="B12" s="136" t="s">
        <v>78</v>
      </c>
      <c r="C12" s="137" t="s">
        <v>172</v>
      </c>
      <c r="D12" s="145">
        <v>333.2</v>
      </c>
      <c r="E12" s="67">
        <v>1.24</v>
      </c>
      <c r="F12" s="74" t="s">
        <v>14</v>
      </c>
      <c r="G12" s="67">
        <v>3.83</v>
      </c>
      <c r="H12" s="67">
        <f>ROUND(+E12+G12,4)</f>
        <v>5.07</v>
      </c>
      <c r="I12" s="67">
        <v>5.69</v>
      </c>
      <c r="J12" s="67">
        <f>ROUND(+I12-H12,4)</f>
        <v>0.62</v>
      </c>
      <c r="K12" s="67">
        <f>ROUND(IF(F12="alluminio",0,I12*1.5%),4)</f>
        <v>0</v>
      </c>
      <c r="L12" s="67">
        <f>ROUND(IF(K12&lt;J12,K12,0),4)</f>
        <v>0</v>
      </c>
      <c r="M12" s="67">
        <f>ROUND(IF(J12&gt;K12,0,J12),4)</f>
        <v>0</v>
      </c>
      <c r="N12" s="67">
        <f>ROUND(+L12*D12,4)</f>
        <v>0</v>
      </c>
      <c r="O12" s="67">
        <f>ROUND(IF(F12="rame",0,+I12*3%),4)</f>
        <v>0.17069999999999999</v>
      </c>
      <c r="P12" s="67">
        <f>ROUND(IF(O12&lt;J12,O12,0),4)</f>
        <v>0.17069999999999999</v>
      </c>
      <c r="Q12" s="67">
        <f>ROUND(IF(J12&gt;O12,0,J12),4)</f>
        <v>0</v>
      </c>
      <c r="R12" s="67">
        <f>ROUND(+P12*D12,4)</f>
        <v>56.877200000000002</v>
      </c>
      <c r="S12" s="67">
        <f>ROUND(IF(K12=0,0,M12*D12),4)</f>
        <v>0</v>
      </c>
      <c r="T12" s="67">
        <f>ROUND(+IF(K12=0,Q12*D12,0),4)</f>
        <v>0</v>
      </c>
      <c r="U12" s="67">
        <f>ROUND(+N12+R12+S12+T12,4)</f>
        <v>56.877200000000002</v>
      </c>
      <c r="V12" s="67">
        <f>ROUND(IF(P12=0,0,I12-H12-O12)+IF(L12=0,0,I12-H12-K12),4)</f>
        <v>0.44929999999999998</v>
      </c>
      <c r="W12" s="67">
        <f>ROUND(+(V12*60%)*D12,4)</f>
        <v>89.824100000000001</v>
      </c>
      <c r="X12" s="148">
        <f>ROUND(+U12+W12,4)</f>
        <v>146.7013</v>
      </c>
      <c r="Y12" s="68">
        <v>46152</v>
      </c>
      <c r="Z12" s="151">
        <f>ROUND(IF(X12&gt;I12,X12,I12),4)</f>
        <v>146.7013</v>
      </c>
      <c r="AA12" s="78" t="s">
        <v>231</v>
      </c>
      <c r="AD12" s="78">
        <f t="shared" si="2"/>
        <v>5</v>
      </c>
      <c r="AE12" s="78">
        <f t="shared" si="3"/>
        <v>2026</v>
      </c>
    </row>
    <row r="13" spans="1:31" x14ac:dyDescent="0.2">
      <c r="A13" s="69" t="s">
        <v>174</v>
      </c>
      <c r="B13" s="136" t="s">
        <v>78</v>
      </c>
      <c r="C13" s="137" t="s">
        <v>173</v>
      </c>
      <c r="D13" s="145">
        <v>338.4</v>
      </c>
      <c r="E13" s="67">
        <v>1.18</v>
      </c>
      <c r="F13" s="74" t="s">
        <v>14</v>
      </c>
      <c r="G13" s="67">
        <v>3.83</v>
      </c>
      <c r="H13" s="67">
        <f>ROUND(+E13+G13,4)</f>
        <v>5.01</v>
      </c>
      <c r="I13" s="67">
        <v>5.63</v>
      </c>
      <c r="J13" s="67">
        <f>ROUND(+I13-H13,4)</f>
        <v>0.62</v>
      </c>
      <c r="K13" s="67">
        <f>ROUND(IF(F13="alluminio",0,I13*1.5%),4)</f>
        <v>0</v>
      </c>
      <c r="L13" s="67">
        <f>ROUND(IF(K13&lt;J13,K13,0),4)</f>
        <v>0</v>
      </c>
      <c r="M13" s="67">
        <f>ROUND(IF(J13&gt;K13,0,J13),4)</f>
        <v>0</v>
      </c>
      <c r="N13" s="67">
        <f>ROUND(+L13*D13,4)</f>
        <v>0</v>
      </c>
      <c r="O13" s="67">
        <f>ROUND(IF(F13="rame",0,+I13*3%),4)</f>
        <v>0.16889999999999999</v>
      </c>
      <c r="P13" s="67">
        <f>ROUND(IF(O13&lt;J13,O13,0),4)</f>
        <v>0.16889999999999999</v>
      </c>
      <c r="Q13" s="67">
        <f>ROUND(IF(J13&gt;O13,0,J13),4)</f>
        <v>0</v>
      </c>
      <c r="R13" s="67">
        <f>ROUND(+P13*D13,4)</f>
        <v>57.155799999999999</v>
      </c>
      <c r="S13" s="67">
        <f>ROUND(IF(K13=0,0,M13*D13),4)</f>
        <v>0</v>
      </c>
      <c r="T13" s="67">
        <f>ROUND(+IF(K13=0,Q13*D13,0),4)</f>
        <v>0</v>
      </c>
      <c r="U13" s="67">
        <f>ROUND(+N13+R13+S13+T13,4)</f>
        <v>57.155799999999999</v>
      </c>
      <c r="V13" s="67">
        <f>ROUND(IF(P13=0,0,I13-H13-O13)+IF(L13=0,0,I13-H13-K13),4)</f>
        <v>0.4511</v>
      </c>
      <c r="W13" s="67">
        <f>ROUND(+(V13*60%)*D13,4)</f>
        <v>91.591300000000004</v>
      </c>
      <c r="X13" s="148">
        <f>ROUND(+U13+W13,4)</f>
        <v>148.74709999999999</v>
      </c>
      <c r="Y13" s="68">
        <v>46152</v>
      </c>
      <c r="Z13" s="151">
        <f>ROUND(IF(X13&gt;I13,X13,I13),4)</f>
        <v>148.74709999999999</v>
      </c>
      <c r="AA13" s="78" t="s">
        <v>231</v>
      </c>
      <c r="AD13" s="78">
        <f t="shared" si="2"/>
        <v>5</v>
      </c>
      <c r="AE13" s="78">
        <f t="shared" si="3"/>
        <v>2026</v>
      </c>
    </row>
    <row r="14" spans="1:31" x14ac:dyDescent="0.2">
      <c r="A14" s="66" t="s">
        <v>180</v>
      </c>
      <c r="B14" s="135" t="s">
        <v>107</v>
      </c>
      <c r="C14" s="135" t="s">
        <v>177</v>
      </c>
      <c r="D14" s="145">
        <v>302</v>
      </c>
      <c r="E14" s="67">
        <v>1.05</v>
      </c>
      <c r="F14" s="67" t="s">
        <v>48</v>
      </c>
      <c r="G14" s="67">
        <v>12.32</v>
      </c>
      <c r="H14" s="67">
        <f>ROUND(+E14+G14,4)</f>
        <v>13.37</v>
      </c>
      <c r="I14" s="67">
        <v>14.3</v>
      </c>
      <c r="J14" s="67">
        <f>ROUND(+I14-H14,4)</f>
        <v>0.93</v>
      </c>
      <c r="K14" s="67">
        <f>ROUND(IF(F14="alluminio",0,I14*1.5%),4)</f>
        <v>0.2145</v>
      </c>
      <c r="L14" s="67">
        <f>ROUND(IF(K14&lt;J14,K14,0),4)</f>
        <v>0.2145</v>
      </c>
      <c r="M14" s="67">
        <f>ROUND(IF(J14&gt;K14,0,J14),4)</f>
        <v>0</v>
      </c>
      <c r="N14" s="67">
        <f>ROUND(+L14*D14,4)</f>
        <v>64.778999999999996</v>
      </c>
      <c r="O14" s="67">
        <f>ROUND(IF(F14="rame",0,+I14*3%),4)</f>
        <v>0</v>
      </c>
      <c r="P14" s="67">
        <f>ROUND(IF(O14&lt;J14,O14,0),4)</f>
        <v>0</v>
      </c>
      <c r="Q14" s="67">
        <f>ROUND(IF(J14&gt;O14,0,J14),4)</f>
        <v>0</v>
      </c>
      <c r="R14" s="67">
        <f>ROUND(+P14*D14,4)</f>
        <v>0</v>
      </c>
      <c r="S14" s="67">
        <f>ROUND(IF(K14=0,0,M14*D14),4)</f>
        <v>0</v>
      </c>
      <c r="T14" s="67">
        <f>ROUND(+IF(K14=0,Q14*D14,0),4)</f>
        <v>0</v>
      </c>
      <c r="U14" s="67">
        <f>ROUND(+N14+R14+S14+T14,4)</f>
        <v>64.778999999999996</v>
      </c>
      <c r="V14" s="67">
        <f>ROUND(IF(P14=0,0,I14-H14-O14)+IF(L14=0,0,I14-H14-K14),4)</f>
        <v>0.71550000000000002</v>
      </c>
      <c r="W14" s="67">
        <f>ROUND(+(V14*60%)*D14,4)</f>
        <v>129.64859999999999</v>
      </c>
      <c r="X14" s="148">
        <f>ROUND(+U14+W14,4)</f>
        <v>194.42760000000001</v>
      </c>
      <c r="Y14" s="68"/>
      <c r="Z14" s="151">
        <f>ROUND(IF(X14&gt;I14,X14,I14),4)</f>
        <v>194.42760000000001</v>
      </c>
      <c r="AA14" s="78" t="s">
        <v>231</v>
      </c>
      <c r="AD14" s="78">
        <f t="shared" si="2"/>
        <v>0</v>
      </c>
      <c r="AE14" s="78">
        <f t="shared" si="3"/>
        <v>0</v>
      </c>
    </row>
    <row r="15" spans="1:31" x14ac:dyDescent="0.2">
      <c r="A15" s="66" t="s">
        <v>180</v>
      </c>
      <c r="B15" s="135" t="s">
        <v>107</v>
      </c>
      <c r="C15" s="135" t="s">
        <v>178</v>
      </c>
      <c r="D15" s="145">
        <v>304.5</v>
      </c>
      <c r="E15" s="67">
        <v>1.05</v>
      </c>
      <c r="F15" s="67" t="s">
        <v>48</v>
      </c>
      <c r="G15" s="67">
        <v>12.32</v>
      </c>
      <c r="H15" s="67">
        <f>ROUND(+E15+G15,4)</f>
        <v>13.37</v>
      </c>
      <c r="I15" s="67">
        <v>14.3</v>
      </c>
      <c r="J15" s="67">
        <f>ROUND(+I15-H15,4)</f>
        <v>0.93</v>
      </c>
      <c r="K15" s="67">
        <f>ROUND(IF(F15="alluminio",0,I15*1.5%),4)</f>
        <v>0.2145</v>
      </c>
      <c r="L15" s="67">
        <f>ROUND(IF(K15&lt;J15,K15,0),4)</f>
        <v>0.2145</v>
      </c>
      <c r="M15" s="67">
        <f>ROUND(IF(J15&gt;K15,0,J15),4)</f>
        <v>0</v>
      </c>
      <c r="N15" s="67">
        <f>ROUND(+L15*D15,4)</f>
        <v>65.315299999999993</v>
      </c>
      <c r="O15" s="67">
        <f>ROUND(IF(F15="rame",0,+I15*3%),4)</f>
        <v>0</v>
      </c>
      <c r="P15" s="67">
        <f>ROUND(IF(O15&lt;J15,O15,0),4)</f>
        <v>0</v>
      </c>
      <c r="Q15" s="67">
        <f>ROUND(IF(J15&gt;O15,0,J15),4)</f>
        <v>0</v>
      </c>
      <c r="R15" s="67">
        <f>ROUND(+P15*D15,4)</f>
        <v>0</v>
      </c>
      <c r="S15" s="67">
        <f>ROUND(IF(K15=0,0,M15*D15),4)</f>
        <v>0</v>
      </c>
      <c r="T15" s="67">
        <f>ROUND(+IF(K15=0,Q15*D15,0),4)</f>
        <v>0</v>
      </c>
      <c r="U15" s="67">
        <f>ROUND(+N15+R15+S15+T15,4)</f>
        <v>65.315299999999993</v>
      </c>
      <c r="V15" s="67">
        <f>ROUND(IF(P15=0,0,I15-H15-O15)+IF(L15=0,0,I15-H15-K15),4)</f>
        <v>0.71550000000000002</v>
      </c>
      <c r="W15" s="67">
        <f>ROUND(+(V15*60%)*D15,4)</f>
        <v>130.72190000000001</v>
      </c>
      <c r="X15" s="148">
        <f>ROUND(+U15+W15,4)</f>
        <v>196.03720000000001</v>
      </c>
      <c r="Y15" s="68"/>
      <c r="Z15" s="151">
        <f>ROUND(IF(X15&gt;I15,X15,I15),4)</f>
        <v>196.03720000000001</v>
      </c>
      <c r="AA15" s="78" t="s">
        <v>231</v>
      </c>
      <c r="AD15" s="78">
        <f t="shared" si="2"/>
        <v>0</v>
      </c>
      <c r="AE15" s="78">
        <f t="shared" si="3"/>
        <v>0</v>
      </c>
    </row>
    <row r="16" spans="1:31" x14ac:dyDescent="0.2">
      <c r="A16" s="66" t="s">
        <v>180</v>
      </c>
      <c r="B16" s="135" t="s">
        <v>107</v>
      </c>
      <c r="C16" s="135" t="s">
        <v>179</v>
      </c>
      <c r="D16" s="145">
        <v>345.1</v>
      </c>
      <c r="E16" s="67">
        <v>1.05</v>
      </c>
      <c r="F16" s="67" t="s">
        <v>48</v>
      </c>
      <c r="G16" s="67">
        <v>12.32</v>
      </c>
      <c r="H16" s="67">
        <f>ROUND(+E16+G16,4)</f>
        <v>13.37</v>
      </c>
      <c r="I16" s="67">
        <v>14.3</v>
      </c>
      <c r="J16" s="67">
        <f>ROUND(+I16-H16,4)</f>
        <v>0.93</v>
      </c>
      <c r="K16" s="67">
        <f>ROUND(IF(F16="alluminio",0,I16*1.5%),4)</f>
        <v>0.2145</v>
      </c>
      <c r="L16" s="67">
        <f>ROUND(IF(K16&lt;J16,K16,0),4)</f>
        <v>0.2145</v>
      </c>
      <c r="M16" s="67">
        <f>ROUND(IF(J16&gt;K16,0,J16),4)</f>
        <v>0</v>
      </c>
      <c r="N16" s="67">
        <f>ROUND(+L16*D16,4)</f>
        <v>74.024000000000001</v>
      </c>
      <c r="O16" s="67">
        <f>ROUND(IF(F16="rame",0,+I16*3%),4)</f>
        <v>0</v>
      </c>
      <c r="P16" s="67">
        <f>ROUND(IF(O16&lt;J16,O16,0),4)</f>
        <v>0</v>
      </c>
      <c r="Q16" s="67">
        <f>ROUND(IF(J16&gt;O16,0,J16),4)</f>
        <v>0</v>
      </c>
      <c r="R16" s="67">
        <f>ROUND(+P16*D16,4)</f>
        <v>0</v>
      </c>
      <c r="S16" s="67">
        <f>ROUND(IF(K16=0,0,M16*D16),4)</f>
        <v>0</v>
      </c>
      <c r="T16" s="67">
        <f>ROUND(+IF(K16=0,Q16*D16,0),4)</f>
        <v>0</v>
      </c>
      <c r="U16" s="67">
        <f>ROUND(+N16+R16+S16+T16,4)</f>
        <v>74.024000000000001</v>
      </c>
      <c r="V16" s="67">
        <f>ROUND(IF(P16=0,0,I16-H16-O16)+IF(L16=0,0,I16-H16-K16),4)</f>
        <v>0.71550000000000002</v>
      </c>
      <c r="W16" s="67">
        <f>ROUND(+(V16*60%)*D16,4)</f>
        <v>148.1514</v>
      </c>
      <c r="X16" s="148">
        <f>ROUND(+U16+W16,4)</f>
        <v>222.1754</v>
      </c>
      <c r="Y16" s="68"/>
      <c r="Z16" s="151">
        <f>ROUND(IF(X16&gt;I16,X16,I16),4)</f>
        <v>222.1754</v>
      </c>
      <c r="AA16" s="78" t="s">
        <v>231</v>
      </c>
      <c r="AD16" s="78">
        <f t="shared" si="2"/>
        <v>0</v>
      </c>
      <c r="AE16" s="78">
        <f t="shared" si="3"/>
        <v>0</v>
      </c>
    </row>
    <row r="17" spans="1:31" x14ac:dyDescent="0.2">
      <c r="A17" s="66" t="s">
        <v>190</v>
      </c>
      <c r="B17" s="135" t="s">
        <v>55</v>
      </c>
      <c r="C17" s="135" t="s">
        <v>181</v>
      </c>
      <c r="D17" s="145">
        <v>155.9</v>
      </c>
      <c r="E17" s="67">
        <v>2.39</v>
      </c>
      <c r="F17" s="67" t="s">
        <v>14</v>
      </c>
      <c r="G17" s="67">
        <v>3.74</v>
      </c>
      <c r="H17" s="67">
        <f>ROUND(+E17+G17,4)</f>
        <v>6.13</v>
      </c>
      <c r="I17" s="67">
        <v>6.46</v>
      </c>
      <c r="J17" s="67">
        <f>ROUND(+I17-H17,4)</f>
        <v>0.33</v>
      </c>
      <c r="K17" s="67">
        <f>ROUND(IF(F17="alluminio",0,I17*1.5%),4)</f>
        <v>0</v>
      </c>
      <c r="L17" s="67">
        <f>ROUND(IF(K17&lt;J17,K17,0),4)</f>
        <v>0</v>
      </c>
      <c r="M17" s="67">
        <f>ROUND(IF(J17&gt;K17,0,J17),4)</f>
        <v>0</v>
      </c>
      <c r="N17" s="67">
        <f>ROUND(+L17*D17,4)</f>
        <v>0</v>
      </c>
      <c r="O17" s="67">
        <f>ROUND(IF(F17="rame",0,+I17*3%),4)</f>
        <v>0.1938</v>
      </c>
      <c r="P17" s="67">
        <f>ROUND(IF(O17&lt;J17,O17,0),4)</f>
        <v>0.1938</v>
      </c>
      <c r="Q17" s="67">
        <f>ROUND(IF(J17&gt;O17,0,J17),4)</f>
        <v>0</v>
      </c>
      <c r="R17" s="67">
        <f>ROUND(+P17*D17,4)</f>
        <v>30.2134</v>
      </c>
      <c r="S17" s="67">
        <f>ROUND(IF(K17=0,0,M17*D17),4)</f>
        <v>0</v>
      </c>
      <c r="T17" s="67">
        <f>ROUND(+IF(K17=0,Q17*D17,0),4)</f>
        <v>0</v>
      </c>
      <c r="U17" s="67">
        <f>ROUND(+N17+R17+S17+T17,4)</f>
        <v>30.2134</v>
      </c>
      <c r="V17" s="67">
        <f>ROUND(IF(P17=0,0,I17-H17-O17)+IF(L17=0,0,I17-H17-K17),4)</f>
        <v>0.13619999999999999</v>
      </c>
      <c r="W17" s="67">
        <f>ROUND(+(V17*60%)*D17,4)</f>
        <v>12.7401</v>
      </c>
      <c r="X17" s="148">
        <f>ROUND(+U17+W17,4)</f>
        <v>42.953499999999998</v>
      </c>
      <c r="Y17" s="68"/>
      <c r="Z17" s="151">
        <f>ROUND(IF(X17&gt;I17,X17,I17),4)</f>
        <v>42.953499999999998</v>
      </c>
      <c r="AA17" s="78" t="s">
        <v>231</v>
      </c>
      <c r="AD17" s="78">
        <f t="shared" si="2"/>
        <v>0</v>
      </c>
      <c r="AE17" s="78">
        <f t="shared" si="3"/>
        <v>0</v>
      </c>
    </row>
    <row r="18" spans="1:31" x14ac:dyDescent="0.2">
      <c r="A18" s="66" t="s">
        <v>190</v>
      </c>
      <c r="B18" s="135" t="s">
        <v>55</v>
      </c>
      <c r="C18" s="135" t="s">
        <v>182</v>
      </c>
      <c r="D18" s="145">
        <v>158.4</v>
      </c>
      <c r="E18" s="67">
        <v>2.25</v>
      </c>
      <c r="F18" s="67" t="s">
        <v>14</v>
      </c>
      <c r="G18" s="67">
        <v>3.74</v>
      </c>
      <c r="H18" s="67">
        <f>ROUND(+E18+G18,4)</f>
        <v>5.99</v>
      </c>
      <c r="I18" s="67">
        <v>6.32</v>
      </c>
      <c r="J18" s="67">
        <f>ROUND(+I18-H18,4)</f>
        <v>0.33</v>
      </c>
      <c r="K18" s="67">
        <f>ROUND(IF(F18="alluminio",0,I18*1.5%),4)</f>
        <v>0</v>
      </c>
      <c r="L18" s="67">
        <f>ROUND(IF(K18&lt;J18,K18,0),4)</f>
        <v>0</v>
      </c>
      <c r="M18" s="67">
        <f>ROUND(IF(J18&gt;K18,0,J18),4)</f>
        <v>0</v>
      </c>
      <c r="N18" s="67">
        <f>ROUND(+L18*D18,4)</f>
        <v>0</v>
      </c>
      <c r="O18" s="67">
        <f>ROUND(IF(F18="rame",0,+I18*3%),4)</f>
        <v>0.18959999999999999</v>
      </c>
      <c r="P18" s="67">
        <f>ROUND(IF(O18&lt;J18,O18,0),4)</f>
        <v>0.18959999999999999</v>
      </c>
      <c r="Q18" s="67">
        <f>ROUND(IF(J18&gt;O18,0,J18),4)</f>
        <v>0</v>
      </c>
      <c r="R18" s="67">
        <f>ROUND(+P18*D18,4)</f>
        <v>30.032599999999999</v>
      </c>
      <c r="S18" s="67">
        <f>ROUND(IF(K18=0,0,M18*D18),4)</f>
        <v>0</v>
      </c>
      <c r="T18" s="67">
        <f>ROUND(+IF(K18=0,Q18*D18,0),4)</f>
        <v>0</v>
      </c>
      <c r="U18" s="67">
        <f>ROUND(+N18+R18+S18+T18,4)</f>
        <v>30.032599999999999</v>
      </c>
      <c r="V18" s="67">
        <f>ROUND(IF(P18=0,0,I18-H18-O18)+IF(L18=0,0,I18-H18-K18),4)</f>
        <v>0.1404</v>
      </c>
      <c r="W18" s="67">
        <f>ROUND(+(V18*60%)*D18,4)</f>
        <v>13.3436</v>
      </c>
      <c r="X18" s="148">
        <f>ROUND(+U18+W18,4)</f>
        <v>43.376199999999997</v>
      </c>
      <c r="Y18" s="68"/>
      <c r="Z18" s="151">
        <f>ROUND(IF(X18&gt;I18,X18,I18),4)</f>
        <v>43.376199999999997</v>
      </c>
      <c r="AA18" s="78" t="s">
        <v>231</v>
      </c>
      <c r="AD18" s="78">
        <f t="shared" si="2"/>
        <v>0</v>
      </c>
      <c r="AE18" s="78">
        <f t="shared" si="3"/>
        <v>0</v>
      </c>
    </row>
    <row r="19" spans="1:31" x14ac:dyDescent="0.2">
      <c r="A19" s="66" t="s">
        <v>190</v>
      </c>
      <c r="B19" s="135" t="s">
        <v>55</v>
      </c>
      <c r="C19" s="135" t="s">
        <v>183</v>
      </c>
      <c r="D19" s="145">
        <v>153.4</v>
      </c>
      <c r="E19" s="67">
        <v>2.69</v>
      </c>
      <c r="F19" s="67" t="s">
        <v>14</v>
      </c>
      <c r="G19" s="67">
        <v>3.74</v>
      </c>
      <c r="H19" s="67">
        <f>ROUND(+E19+G19,4)</f>
        <v>6.43</v>
      </c>
      <c r="I19" s="67">
        <v>6.76</v>
      </c>
      <c r="J19" s="67">
        <f>ROUND(+I19-H19,4)</f>
        <v>0.33</v>
      </c>
      <c r="K19" s="67">
        <f>ROUND(IF(F19="alluminio",0,I19*1.5%),4)</f>
        <v>0</v>
      </c>
      <c r="L19" s="67">
        <f>ROUND(IF(K19&lt;J19,K19,0),4)</f>
        <v>0</v>
      </c>
      <c r="M19" s="67">
        <f>ROUND(IF(J19&gt;K19,0,J19),4)</f>
        <v>0</v>
      </c>
      <c r="N19" s="67">
        <f>ROUND(+L19*D19,4)</f>
        <v>0</v>
      </c>
      <c r="O19" s="67">
        <f>ROUND(IF(F19="rame",0,+I19*3%),4)</f>
        <v>0.20280000000000001</v>
      </c>
      <c r="P19" s="67">
        <f>ROUND(IF(O19&lt;J19,O19,0),4)</f>
        <v>0.20280000000000001</v>
      </c>
      <c r="Q19" s="67">
        <f>ROUND(IF(J19&gt;O19,0,J19),4)</f>
        <v>0</v>
      </c>
      <c r="R19" s="67">
        <f>ROUND(+P19*D19,4)</f>
        <v>31.109500000000001</v>
      </c>
      <c r="S19" s="67">
        <f>ROUND(IF(K19=0,0,M19*D19),4)</f>
        <v>0</v>
      </c>
      <c r="T19" s="67">
        <f>ROUND(+IF(K19=0,Q19*D19,0),4)</f>
        <v>0</v>
      </c>
      <c r="U19" s="67">
        <f>ROUND(+N19+R19+S19+T19,4)</f>
        <v>31.109500000000001</v>
      </c>
      <c r="V19" s="67">
        <f>ROUND(IF(P19=0,0,I19-H19-O19)+IF(L19=0,0,I19-H19-K19),4)</f>
        <v>0.12720000000000001</v>
      </c>
      <c r="W19" s="67">
        <f>ROUND(+(V19*60%)*D19,4)</f>
        <v>11.7075</v>
      </c>
      <c r="X19" s="148">
        <f>ROUND(+U19+W19,4)</f>
        <v>42.817</v>
      </c>
      <c r="Y19" s="68"/>
      <c r="Z19" s="151">
        <f>ROUND(IF(X19&gt;I19,X19,I19),4)</f>
        <v>42.817</v>
      </c>
      <c r="AA19" s="78" t="s">
        <v>231</v>
      </c>
      <c r="AD19" s="78">
        <f t="shared" si="2"/>
        <v>0</v>
      </c>
      <c r="AE19" s="78">
        <f t="shared" si="3"/>
        <v>0</v>
      </c>
    </row>
    <row r="20" spans="1:31" x14ac:dyDescent="0.2">
      <c r="A20" s="66" t="s">
        <v>190</v>
      </c>
      <c r="B20" s="135" t="s">
        <v>55</v>
      </c>
      <c r="C20" s="135" t="s">
        <v>184</v>
      </c>
      <c r="D20" s="145">
        <v>154.69999999999999</v>
      </c>
      <c r="E20" s="67">
        <v>2.85</v>
      </c>
      <c r="F20" s="67" t="s">
        <v>14</v>
      </c>
      <c r="G20" s="67">
        <v>3.74</v>
      </c>
      <c r="H20" s="67">
        <f>ROUND(+E20+G20,4)</f>
        <v>6.59</v>
      </c>
      <c r="I20" s="67">
        <v>6.89</v>
      </c>
      <c r="J20" s="67">
        <f>ROUND(+I20-H20,4)</f>
        <v>0.3</v>
      </c>
      <c r="K20" s="67">
        <f>ROUND(IF(F20="alluminio",0,I20*1.5%),4)</f>
        <v>0</v>
      </c>
      <c r="L20" s="67">
        <f>ROUND(IF(K20&lt;J20,K20,0),4)</f>
        <v>0</v>
      </c>
      <c r="M20" s="67">
        <f>ROUND(IF(J20&gt;K20,0,J20),4)</f>
        <v>0</v>
      </c>
      <c r="N20" s="67">
        <f>ROUND(+L20*D20,4)</f>
        <v>0</v>
      </c>
      <c r="O20" s="67">
        <f>ROUND(IF(F20="rame",0,+I20*3%),4)</f>
        <v>0.20669999999999999</v>
      </c>
      <c r="P20" s="67">
        <f>ROUND(IF(O20&lt;J20,O20,0),4)</f>
        <v>0.20669999999999999</v>
      </c>
      <c r="Q20" s="67">
        <f>ROUND(IF(J20&gt;O20,0,J20),4)</f>
        <v>0</v>
      </c>
      <c r="R20" s="67">
        <f>ROUND(+P20*D20,4)</f>
        <v>31.976500000000001</v>
      </c>
      <c r="S20" s="67">
        <f>ROUND(IF(K20=0,0,M20*D20),4)</f>
        <v>0</v>
      </c>
      <c r="T20" s="67">
        <f>ROUND(+IF(K20=0,Q20*D20,0),4)</f>
        <v>0</v>
      </c>
      <c r="U20" s="67">
        <f>ROUND(+N20+R20+S20+T20,4)</f>
        <v>31.976500000000001</v>
      </c>
      <c r="V20" s="67">
        <f>ROUND(IF(P20=0,0,I20-H20-O20)+IF(L20=0,0,I20-H20-K20),4)</f>
        <v>9.3299999999999994E-2</v>
      </c>
      <c r="W20" s="67">
        <f>ROUND(+(V20*60%)*D20,4)</f>
        <v>8.6600999999999999</v>
      </c>
      <c r="X20" s="148">
        <f>ROUND(+U20+W20,4)</f>
        <v>40.636600000000001</v>
      </c>
      <c r="Y20" s="68"/>
      <c r="Z20" s="151">
        <f>ROUND(IF(X20&gt;I20,X20,I20),4)</f>
        <v>40.636600000000001</v>
      </c>
      <c r="AA20" s="78" t="s">
        <v>231</v>
      </c>
      <c r="AD20" s="78">
        <f t="shared" ref="AD20:AD69" si="4">IF(Y20="",0,MONTH(Y20))</f>
        <v>0</v>
      </c>
      <c r="AE20" s="78">
        <f t="shared" ref="AE20:AE69" si="5">IF(Y20="",0,YEAR(Y20))</f>
        <v>0</v>
      </c>
    </row>
    <row r="21" spans="1:31" x14ac:dyDescent="0.2">
      <c r="A21" s="66" t="s">
        <v>190</v>
      </c>
      <c r="B21" s="135" t="s">
        <v>55</v>
      </c>
      <c r="C21" s="135" t="s">
        <v>187</v>
      </c>
      <c r="D21" s="145">
        <v>159.4</v>
      </c>
      <c r="E21" s="67">
        <v>5.18</v>
      </c>
      <c r="F21" s="67" t="s">
        <v>14</v>
      </c>
      <c r="G21" s="67">
        <v>3.74</v>
      </c>
      <c r="H21" s="67">
        <f>ROUND(+E21+G21,4)</f>
        <v>8.92</v>
      </c>
      <c r="I21" s="67">
        <v>9.2100000000000009</v>
      </c>
      <c r="J21" s="67">
        <f>ROUND(+I21-H21,4)</f>
        <v>0.28999999999999998</v>
      </c>
      <c r="K21" s="67">
        <f>ROUND(IF(F21="alluminio",0,I21*1.5%),4)</f>
        <v>0</v>
      </c>
      <c r="L21" s="67">
        <f>ROUND(IF(K21&lt;J21,K21,0),4)</f>
        <v>0</v>
      </c>
      <c r="M21" s="67">
        <f>ROUND(IF(J21&gt;K21,0,J21),4)</f>
        <v>0</v>
      </c>
      <c r="N21" s="67">
        <f>ROUND(+L21*D21,4)</f>
        <v>0</v>
      </c>
      <c r="O21" s="67">
        <f>ROUND(IF(F21="rame",0,+I21*3%),4)</f>
        <v>0.27629999999999999</v>
      </c>
      <c r="P21" s="67">
        <f>ROUND(IF(O21&lt;J21,O21,0),4)</f>
        <v>0.27629999999999999</v>
      </c>
      <c r="Q21" s="67">
        <f>ROUND(IF(J21&gt;O21,0,J21),4)</f>
        <v>0</v>
      </c>
      <c r="R21" s="67">
        <f>ROUND(+P21*D21,4)</f>
        <v>44.042200000000001</v>
      </c>
      <c r="S21" s="67">
        <f>ROUND(IF(K21=0,0,M21*D21),4)</f>
        <v>0</v>
      </c>
      <c r="T21" s="67">
        <f>ROUND(+IF(K21=0,Q21*D21,0),4)</f>
        <v>0</v>
      </c>
      <c r="U21" s="67">
        <f>ROUND(+N21+R21+S21+T21,4)</f>
        <v>44.042200000000001</v>
      </c>
      <c r="V21" s="67">
        <f>ROUND(IF(P21=0,0,I21-H21-O21)+IF(L21=0,0,I21-H21-K21),4)</f>
        <v>1.37E-2</v>
      </c>
      <c r="W21" s="67">
        <f>ROUND(+(V21*60%)*D21,4)</f>
        <v>1.3103</v>
      </c>
      <c r="X21" s="148">
        <f>ROUND(+U21+W21,4)</f>
        <v>45.352499999999999</v>
      </c>
      <c r="Y21" s="68"/>
      <c r="Z21" s="151">
        <f>ROUND(IF(X21&gt;I21,X21,I21),4)</f>
        <v>45.352499999999999</v>
      </c>
      <c r="AA21" s="78" t="s">
        <v>231</v>
      </c>
      <c r="AD21" s="78">
        <f t="shared" si="4"/>
        <v>0</v>
      </c>
      <c r="AE21" s="78">
        <f t="shared" si="5"/>
        <v>0</v>
      </c>
    </row>
    <row r="22" spans="1:31" x14ac:dyDescent="0.2">
      <c r="A22" s="66" t="s">
        <v>190</v>
      </c>
      <c r="B22" s="135" t="s">
        <v>55</v>
      </c>
      <c r="C22" s="135" t="s">
        <v>186</v>
      </c>
      <c r="D22" s="145">
        <v>167.8</v>
      </c>
      <c r="E22" s="67">
        <v>5.16</v>
      </c>
      <c r="F22" s="67" t="s">
        <v>14</v>
      </c>
      <c r="G22" s="67">
        <v>3.74</v>
      </c>
      <c r="H22" s="67">
        <f>ROUND(+E22+G22,4)</f>
        <v>8.9</v>
      </c>
      <c r="I22" s="67">
        <v>9.19</v>
      </c>
      <c r="J22" s="67">
        <f>ROUND(+I22-H22,4)</f>
        <v>0.28999999999999998</v>
      </c>
      <c r="K22" s="67">
        <f>ROUND(IF(F22="alluminio",0,I22*1.5%),4)</f>
        <v>0</v>
      </c>
      <c r="L22" s="67">
        <f>ROUND(IF(K22&lt;J22,K22,0),4)</f>
        <v>0</v>
      </c>
      <c r="M22" s="67">
        <f>ROUND(IF(J22&gt;K22,0,J22),4)</f>
        <v>0</v>
      </c>
      <c r="N22" s="67">
        <f>ROUND(+L22*D22,4)</f>
        <v>0</v>
      </c>
      <c r="O22" s="67">
        <f>ROUND(IF(F22="rame",0,+I22*3%),4)</f>
        <v>0.2757</v>
      </c>
      <c r="P22" s="67">
        <f>ROUND(IF(O22&lt;J22,O22,0),4)</f>
        <v>0.2757</v>
      </c>
      <c r="Q22" s="67">
        <f>ROUND(IF(J22&gt;O22,0,J22),4)</f>
        <v>0</v>
      </c>
      <c r="R22" s="67">
        <f>ROUND(+P22*D22,4)</f>
        <v>46.262500000000003</v>
      </c>
      <c r="S22" s="67">
        <f>ROUND(IF(K22=0,0,M22*D22),4)</f>
        <v>0</v>
      </c>
      <c r="T22" s="67">
        <f>ROUND(+IF(K22=0,Q22*D22,0),4)</f>
        <v>0</v>
      </c>
      <c r="U22" s="67">
        <f>ROUND(+N22+R22+S22+T22,4)</f>
        <v>46.262500000000003</v>
      </c>
      <c r="V22" s="67">
        <f>ROUND(IF(P22=0,0,I22-H22-O22)+IF(L22=0,0,I22-H22-K22),4)</f>
        <v>1.43E-2</v>
      </c>
      <c r="W22" s="67">
        <f>ROUND(+(V22*60%)*D22,4)</f>
        <v>1.4397</v>
      </c>
      <c r="X22" s="148">
        <f>ROUND(+U22+W22,4)</f>
        <v>47.702199999999998</v>
      </c>
      <c r="Y22" s="68"/>
      <c r="Z22" s="151">
        <f>ROUND(IF(X22&gt;I22,X22,I22),4)</f>
        <v>47.702199999999998</v>
      </c>
      <c r="AA22" s="78" t="s">
        <v>231</v>
      </c>
      <c r="AD22" s="78">
        <f t="shared" si="4"/>
        <v>0</v>
      </c>
      <c r="AE22" s="78">
        <f t="shared" si="5"/>
        <v>0</v>
      </c>
    </row>
    <row r="23" spans="1:31" x14ac:dyDescent="0.2">
      <c r="A23" s="66" t="s">
        <v>190</v>
      </c>
      <c r="B23" s="66" t="s">
        <v>55</v>
      </c>
      <c r="C23" s="66" t="s">
        <v>181</v>
      </c>
      <c r="D23" s="144">
        <v>150</v>
      </c>
      <c r="E23" s="67">
        <v>2.39</v>
      </c>
      <c r="F23" s="67" t="s">
        <v>14</v>
      </c>
      <c r="G23" s="67">
        <v>3.74</v>
      </c>
      <c r="H23" s="67">
        <f>ROUND(+E23+G23,4)</f>
        <v>6.13</v>
      </c>
      <c r="I23" s="67">
        <v>6.46</v>
      </c>
      <c r="J23" s="67">
        <f>ROUND(+I23-H23,4)</f>
        <v>0.33</v>
      </c>
      <c r="K23" s="67">
        <f>ROUND(IF(F23="alluminio",0,I23*1.5%),4)</f>
        <v>0</v>
      </c>
      <c r="L23" s="67">
        <f>ROUND(IF(K23&lt;J23,K23,0),4)</f>
        <v>0</v>
      </c>
      <c r="M23" s="67">
        <f>ROUND(IF(J23&gt;K23,0,J23),4)</f>
        <v>0</v>
      </c>
      <c r="N23" s="67">
        <f>ROUND(+L23*D23,4)</f>
        <v>0</v>
      </c>
      <c r="O23" s="67">
        <f>ROUND(IF(F23="rame",0,+I23*3%),4)</f>
        <v>0.1938</v>
      </c>
      <c r="P23" s="67">
        <f>ROUND(IF(O23&lt;J23,O23,0),4)</f>
        <v>0.1938</v>
      </c>
      <c r="Q23" s="67">
        <f>ROUND(IF(J23&gt;O23,0,J23),4)</f>
        <v>0</v>
      </c>
      <c r="R23" s="67">
        <f>ROUND(+P23*D23,4)</f>
        <v>29.07</v>
      </c>
      <c r="S23" s="67">
        <f>ROUND(IF(K23=0,0,M23*D23),4)</f>
        <v>0</v>
      </c>
      <c r="T23" s="67">
        <f>ROUND(+IF(K23=0,Q23*D23,0),4)</f>
        <v>0</v>
      </c>
      <c r="U23" s="67">
        <f>ROUND(+N23+R23+S23+T23,4)</f>
        <v>29.07</v>
      </c>
      <c r="V23" s="67">
        <f>ROUND(IF(P23=0,0,I23-H23-O23)+IF(L23=0,0,I23-H23-K23),4)</f>
        <v>0.13619999999999999</v>
      </c>
      <c r="W23" s="67">
        <f>ROUND(+(V23*60%)*D23,4)</f>
        <v>12.257999999999999</v>
      </c>
      <c r="X23" s="148">
        <f>ROUND(+U23+W23,4)</f>
        <v>41.328000000000003</v>
      </c>
      <c r="Y23" s="68">
        <v>46178</v>
      </c>
      <c r="Z23" s="148">
        <f>ROUND(IF(X23&gt;I23,X23,I23),4)</f>
        <v>41.328000000000003</v>
      </c>
      <c r="AD23" s="78">
        <f t="shared" si="4"/>
        <v>6</v>
      </c>
      <c r="AE23" s="78">
        <f t="shared" si="5"/>
        <v>2026</v>
      </c>
    </row>
    <row r="24" spans="1:31" x14ac:dyDescent="0.2">
      <c r="A24" s="66" t="s">
        <v>190</v>
      </c>
      <c r="B24" s="66" t="s">
        <v>55</v>
      </c>
      <c r="C24" s="66" t="s">
        <v>182</v>
      </c>
      <c r="D24" s="144">
        <v>150</v>
      </c>
      <c r="E24" s="67">
        <v>2.25</v>
      </c>
      <c r="F24" s="67" t="s">
        <v>14</v>
      </c>
      <c r="G24" s="67">
        <v>3.74</v>
      </c>
      <c r="H24" s="67">
        <f>ROUND(+E24+G24,4)</f>
        <v>5.99</v>
      </c>
      <c r="I24" s="67">
        <v>6.32</v>
      </c>
      <c r="J24" s="67">
        <f>ROUND(+I24-H24,4)</f>
        <v>0.33</v>
      </c>
      <c r="K24" s="67">
        <f>ROUND(IF(F24="alluminio",0,I24*1.5%),4)</f>
        <v>0</v>
      </c>
      <c r="L24" s="67">
        <f>ROUND(IF(K24&lt;J24,K24,0),4)</f>
        <v>0</v>
      </c>
      <c r="M24" s="67">
        <f>ROUND(IF(J24&gt;K24,0,J24),4)</f>
        <v>0</v>
      </c>
      <c r="N24" s="67">
        <f>ROUND(+L24*D24,4)</f>
        <v>0</v>
      </c>
      <c r="O24" s="67">
        <f>ROUND(IF(F24="rame",0,+I24*3%),4)</f>
        <v>0.18959999999999999</v>
      </c>
      <c r="P24" s="67">
        <f>ROUND(IF(O24&lt;J24,O24,0),4)</f>
        <v>0.18959999999999999</v>
      </c>
      <c r="Q24" s="67">
        <f>ROUND(IF(J24&gt;O24,0,J24),4)</f>
        <v>0</v>
      </c>
      <c r="R24" s="67">
        <f>ROUND(+P24*D24,4)</f>
        <v>28.44</v>
      </c>
      <c r="S24" s="67">
        <f>ROUND(IF(K24=0,0,M24*D24),4)</f>
        <v>0</v>
      </c>
      <c r="T24" s="67">
        <f>ROUND(+IF(K24=0,Q24*D24,0),4)</f>
        <v>0</v>
      </c>
      <c r="U24" s="67">
        <f>ROUND(+N24+R24+S24+T24,4)</f>
        <v>28.44</v>
      </c>
      <c r="V24" s="67">
        <f>ROUND(IF(P24=0,0,I24-H24-O24)+IF(L24=0,0,I24-H24-K24),4)</f>
        <v>0.1404</v>
      </c>
      <c r="W24" s="67">
        <f>ROUND(+(V24*60%)*D24,4)</f>
        <v>12.635999999999999</v>
      </c>
      <c r="X24" s="148">
        <f>ROUND(+U24+W24,4)</f>
        <v>41.076000000000001</v>
      </c>
      <c r="Y24" s="68">
        <v>46178</v>
      </c>
      <c r="Z24" s="148">
        <f>ROUND(IF(X24&gt;I24,X24,I24),4)</f>
        <v>41.076000000000001</v>
      </c>
      <c r="AD24" s="78">
        <f t="shared" si="4"/>
        <v>6</v>
      </c>
      <c r="AE24" s="78">
        <f t="shared" si="5"/>
        <v>2026</v>
      </c>
    </row>
    <row r="25" spans="1:31" x14ac:dyDescent="0.2">
      <c r="A25" s="66" t="s">
        <v>190</v>
      </c>
      <c r="B25" s="66" t="s">
        <v>55</v>
      </c>
      <c r="C25" s="66" t="s">
        <v>183</v>
      </c>
      <c r="D25" s="144">
        <v>150</v>
      </c>
      <c r="E25" s="67">
        <v>2.69</v>
      </c>
      <c r="F25" s="67" t="s">
        <v>14</v>
      </c>
      <c r="G25" s="67">
        <v>3.74</v>
      </c>
      <c r="H25" s="67">
        <f>ROUND(+E25+G25,4)</f>
        <v>6.43</v>
      </c>
      <c r="I25" s="67">
        <v>6.76</v>
      </c>
      <c r="J25" s="67">
        <f>ROUND(+I25-H25,4)</f>
        <v>0.33</v>
      </c>
      <c r="K25" s="67">
        <f>ROUND(IF(F25="alluminio",0,I25*1.5%),4)</f>
        <v>0</v>
      </c>
      <c r="L25" s="67">
        <f>ROUND(IF(K25&lt;J25,K25,0),4)</f>
        <v>0</v>
      </c>
      <c r="M25" s="67">
        <f>ROUND(IF(J25&gt;K25,0,J25),4)</f>
        <v>0</v>
      </c>
      <c r="N25" s="67">
        <f>ROUND(+L25*D25,4)</f>
        <v>0</v>
      </c>
      <c r="O25" s="67">
        <f>ROUND(IF(F25="rame",0,+I25*3%),4)</f>
        <v>0.20280000000000001</v>
      </c>
      <c r="P25" s="67">
        <f>ROUND(IF(O25&lt;J25,O25,0),4)</f>
        <v>0.20280000000000001</v>
      </c>
      <c r="Q25" s="67">
        <f>ROUND(IF(J25&gt;O25,0,J25),4)</f>
        <v>0</v>
      </c>
      <c r="R25" s="67">
        <f>ROUND(+P25*D25,4)</f>
        <v>30.42</v>
      </c>
      <c r="S25" s="67">
        <f>ROUND(IF(K25=0,0,M25*D25),4)</f>
        <v>0</v>
      </c>
      <c r="T25" s="67">
        <f>ROUND(+IF(K25=0,Q25*D25,0),4)</f>
        <v>0</v>
      </c>
      <c r="U25" s="67">
        <f>ROUND(+N25+R25+S25+T25,4)</f>
        <v>30.42</v>
      </c>
      <c r="V25" s="67">
        <f>ROUND(IF(P25=0,0,I25-H25-O25)+IF(L25=0,0,I25-H25-K25),4)</f>
        <v>0.12720000000000001</v>
      </c>
      <c r="W25" s="67">
        <f>ROUND(+(V25*60%)*D25,4)</f>
        <v>11.448</v>
      </c>
      <c r="X25" s="148">
        <f>ROUND(+U25+W25,4)</f>
        <v>41.868000000000002</v>
      </c>
      <c r="Y25" s="68">
        <v>46178</v>
      </c>
      <c r="Z25" s="148">
        <f>ROUND(IF(X25&gt;I25,X25,I25),4)</f>
        <v>41.868000000000002</v>
      </c>
      <c r="AD25" s="78">
        <f t="shared" si="4"/>
        <v>6</v>
      </c>
      <c r="AE25" s="78">
        <f t="shared" si="5"/>
        <v>2026</v>
      </c>
    </row>
    <row r="26" spans="1:31" x14ac:dyDescent="0.2">
      <c r="A26" s="66" t="s">
        <v>190</v>
      </c>
      <c r="B26" s="66" t="s">
        <v>55</v>
      </c>
      <c r="C26" s="66" t="s">
        <v>184</v>
      </c>
      <c r="D26" s="144">
        <v>150</v>
      </c>
      <c r="E26" s="67">
        <v>2.85</v>
      </c>
      <c r="F26" s="67" t="s">
        <v>14</v>
      </c>
      <c r="G26" s="67">
        <v>3.74</v>
      </c>
      <c r="H26" s="67">
        <f>ROUND(+E26+G26,4)</f>
        <v>6.59</v>
      </c>
      <c r="I26" s="67">
        <v>6.89</v>
      </c>
      <c r="J26" s="67">
        <f>ROUND(+I26-H26,4)</f>
        <v>0.3</v>
      </c>
      <c r="K26" s="67">
        <f>ROUND(IF(F26="alluminio",0,I26*1.5%),4)</f>
        <v>0</v>
      </c>
      <c r="L26" s="67">
        <f>ROUND(IF(K26&lt;J26,K26,0),4)</f>
        <v>0</v>
      </c>
      <c r="M26" s="67">
        <f>ROUND(IF(J26&gt;K26,0,J26),4)</f>
        <v>0</v>
      </c>
      <c r="N26" s="67">
        <f>ROUND(+L26*D26,4)</f>
        <v>0</v>
      </c>
      <c r="O26" s="67">
        <f>ROUND(IF(F26="rame",0,+I26*3%),4)</f>
        <v>0.20669999999999999</v>
      </c>
      <c r="P26" s="67">
        <f>ROUND(IF(O26&lt;J26,O26,0),4)</f>
        <v>0.20669999999999999</v>
      </c>
      <c r="Q26" s="67">
        <f>ROUND(IF(J26&gt;O26,0,J26),4)</f>
        <v>0</v>
      </c>
      <c r="R26" s="67">
        <f>ROUND(+P26*D26,4)</f>
        <v>31.004999999999999</v>
      </c>
      <c r="S26" s="67">
        <f>ROUND(IF(K26=0,0,M26*D26),4)</f>
        <v>0</v>
      </c>
      <c r="T26" s="67">
        <f>ROUND(+IF(K26=0,Q26*D26,0),4)</f>
        <v>0</v>
      </c>
      <c r="U26" s="67">
        <f>ROUND(+N26+R26+S26+T26,4)</f>
        <v>31.004999999999999</v>
      </c>
      <c r="V26" s="67">
        <f>ROUND(IF(P26=0,0,I26-H26-O26)+IF(L26=0,0,I26-H26-K26),4)</f>
        <v>9.3299999999999994E-2</v>
      </c>
      <c r="W26" s="67">
        <f>ROUND(+(V26*60%)*D26,4)</f>
        <v>8.3970000000000002</v>
      </c>
      <c r="X26" s="148">
        <f>ROUND(+U26+W26,4)</f>
        <v>39.402000000000001</v>
      </c>
      <c r="Y26" s="68">
        <v>46178</v>
      </c>
      <c r="Z26" s="148">
        <f>ROUND(IF(X26&gt;I26,X26,I26),4)</f>
        <v>39.402000000000001</v>
      </c>
      <c r="AD26" s="78">
        <f t="shared" si="4"/>
        <v>6</v>
      </c>
      <c r="AE26" s="78">
        <f t="shared" si="5"/>
        <v>2026</v>
      </c>
    </row>
    <row r="27" spans="1:31" x14ac:dyDescent="0.2">
      <c r="A27" s="66" t="s">
        <v>190</v>
      </c>
      <c r="B27" s="66" t="s">
        <v>55</v>
      </c>
      <c r="C27" s="66" t="s">
        <v>185</v>
      </c>
      <c r="D27" s="144">
        <v>150</v>
      </c>
      <c r="E27" s="67">
        <v>5.18</v>
      </c>
      <c r="F27" s="67" t="s">
        <v>14</v>
      </c>
      <c r="G27" s="67">
        <v>3.74</v>
      </c>
      <c r="H27" s="67">
        <f>ROUND(+E27+G27,4)</f>
        <v>8.92</v>
      </c>
      <c r="I27" s="67">
        <v>9.2100000000000009</v>
      </c>
      <c r="J27" s="67">
        <f>ROUND(+I27-H27,4)</f>
        <v>0.28999999999999998</v>
      </c>
      <c r="K27" s="67">
        <f>ROUND(IF(F27="alluminio",0,I27*1.5%),4)</f>
        <v>0</v>
      </c>
      <c r="L27" s="67">
        <f>ROUND(IF(K27&lt;J27,K27,0),4)</f>
        <v>0</v>
      </c>
      <c r="M27" s="67">
        <f>ROUND(IF(J27&gt;K27,0,J27),4)</f>
        <v>0</v>
      </c>
      <c r="N27" s="67">
        <f>ROUND(+L27*D27,4)</f>
        <v>0</v>
      </c>
      <c r="O27" s="67">
        <f>ROUND(IF(F27="rame",0,+I27*3%),4)</f>
        <v>0.27629999999999999</v>
      </c>
      <c r="P27" s="67">
        <f>ROUND(IF(O27&lt;J27,O27,0),4)</f>
        <v>0.27629999999999999</v>
      </c>
      <c r="Q27" s="67">
        <f>ROUND(IF(J27&gt;O27,0,J27),4)</f>
        <v>0</v>
      </c>
      <c r="R27" s="67">
        <f>ROUND(+P27*D27,4)</f>
        <v>41.445</v>
      </c>
      <c r="S27" s="67">
        <f>ROUND(IF(K27=0,0,M27*D27),4)</f>
        <v>0</v>
      </c>
      <c r="T27" s="67">
        <f>ROUND(+IF(K27=0,Q27*D27,0),4)</f>
        <v>0</v>
      </c>
      <c r="U27" s="67">
        <f>ROUND(+N27+R27+S27+T27,4)</f>
        <v>41.445</v>
      </c>
      <c r="V27" s="67">
        <f>ROUND(IF(P27=0,0,I27-H27-O27)+IF(L27=0,0,I27-H27-K27),4)</f>
        <v>1.37E-2</v>
      </c>
      <c r="W27" s="67">
        <f>ROUND(+(V27*60%)*D27,4)</f>
        <v>1.2330000000000001</v>
      </c>
      <c r="X27" s="148">
        <f>ROUND(+U27+W27,4)</f>
        <v>42.677999999999997</v>
      </c>
      <c r="Y27" s="68">
        <v>46178</v>
      </c>
      <c r="Z27" s="148">
        <f>ROUND(IF(X27&gt;I27,X27,I27),4)</f>
        <v>42.677999999999997</v>
      </c>
      <c r="AD27" s="78">
        <f t="shared" si="4"/>
        <v>6</v>
      </c>
      <c r="AE27" s="78">
        <f t="shared" si="5"/>
        <v>2026</v>
      </c>
    </row>
    <row r="28" spans="1:31" x14ac:dyDescent="0.2">
      <c r="A28" s="66" t="s">
        <v>190</v>
      </c>
      <c r="B28" s="66" t="s">
        <v>55</v>
      </c>
      <c r="C28" s="66" t="s">
        <v>186</v>
      </c>
      <c r="D28" s="144">
        <v>150</v>
      </c>
      <c r="E28" s="67">
        <v>5.16</v>
      </c>
      <c r="F28" s="67" t="s">
        <v>14</v>
      </c>
      <c r="G28" s="67">
        <v>3.74</v>
      </c>
      <c r="H28" s="67">
        <f>ROUND(+E28+G28,4)</f>
        <v>8.9</v>
      </c>
      <c r="I28" s="67">
        <v>9.19</v>
      </c>
      <c r="J28" s="67">
        <f>ROUND(+I28-H28,4)</f>
        <v>0.28999999999999998</v>
      </c>
      <c r="K28" s="67">
        <f>ROUND(IF(F28="alluminio",0,I28*1.5%),4)</f>
        <v>0</v>
      </c>
      <c r="L28" s="67">
        <f>ROUND(IF(K28&lt;J28,K28,0),4)</f>
        <v>0</v>
      </c>
      <c r="M28" s="67">
        <f>ROUND(IF(J28&gt;K28,0,J28),4)</f>
        <v>0</v>
      </c>
      <c r="N28" s="67">
        <f>ROUND(+L28*D28,4)</f>
        <v>0</v>
      </c>
      <c r="O28" s="67">
        <f>ROUND(IF(F28="rame",0,+I28*3%),4)</f>
        <v>0.2757</v>
      </c>
      <c r="P28" s="67">
        <f>ROUND(IF(O28&lt;J28,O28,0),4)</f>
        <v>0.2757</v>
      </c>
      <c r="Q28" s="67">
        <f>ROUND(IF(J28&gt;O28,0,J28),4)</f>
        <v>0</v>
      </c>
      <c r="R28" s="67">
        <f>ROUND(+P28*D28,4)</f>
        <v>41.354999999999997</v>
      </c>
      <c r="S28" s="67">
        <f>ROUND(IF(K28=0,0,M28*D28),4)</f>
        <v>0</v>
      </c>
      <c r="T28" s="67">
        <f>ROUND(+IF(K28=0,Q28*D28,0),4)</f>
        <v>0</v>
      </c>
      <c r="U28" s="67">
        <f>ROUND(+N28+R28+S28+T28,4)</f>
        <v>41.354999999999997</v>
      </c>
      <c r="V28" s="67">
        <f>ROUND(IF(P28=0,0,I28-H28-O28)+IF(L28=0,0,I28-H28-K28),4)</f>
        <v>1.43E-2</v>
      </c>
      <c r="W28" s="67">
        <f>ROUND(+(V28*60%)*D28,4)</f>
        <v>1.2869999999999999</v>
      </c>
      <c r="X28" s="148">
        <f>ROUND(+U28+W28,4)</f>
        <v>42.642000000000003</v>
      </c>
      <c r="Y28" s="68">
        <v>46178</v>
      </c>
      <c r="Z28" s="148">
        <f>ROUND(IF(X28&gt;I28,X28,I28),4)</f>
        <v>42.642000000000003</v>
      </c>
      <c r="AD28" s="78">
        <f t="shared" si="4"/>
        <v>6</v>
      </c>
      <c r="AE28" s="78">
        <f t="shared" si="5"/>
        <v>2026</v>
      </c>
    </row>
    <row r="29" spans="1:31" x14ac:dyDescent="0.2">
      <c r="A29" s="66" t="s">
        <v>190</v>
      </c>
      <c r="B29" s="66" t="s">
        <v>55</v>
      </c>
      <c r="C29" s="66" t="s">
        <v>167</v>
      </c>
      <c r="D29" s="144">
        <v>150</v>
      </c>
      <c r="E29" s="67">
        <v>2.17</v>
      </c>
      <c r="F29" s="67" t="s">
        <v>14</v>
      </c>
      <c r="G29" s="67">
        <v>3.74</v>
      </c>
      <c r="H29" s="67">
        <f>ROUND(+E29+G29,4)</f>
        <v>5.91</v>
      </c>
      <c r="I29" s="67">
        <v>6.24</v>
      </c>
      <c r="J29" s="67">
        <f>ROUND(+I29-H29,4)</f>
        <v>0.33</v>
      </c>
      <c r="K29" s="67">
        <f>ROUND(IF(F29="alluminio",0,I29*1.5%),4)</f>
        <v>0</v>
      </c>
      <c r="L29" s="67">
        <f>ROUND(IF(K29&lt;J29,K29,0),4)</f>
        <v>0</v>
      </c>
      <c r="M29" s="67">
        <f>ROUND(IF(J29&gt;K29,0,J29),4)</f>
        <v>0</v>
      </c>
      <c r="N29" s="67">
        <f>ROUND(+L29*D29,4)</f>
        <v>0</v>
      </c>
      <c r="O29" s="67">
        <f>ROUND(IF(F29="rame",0,+I29*3%),4)</f>
        <v>0.18720000000000001</v>
      </c>
      <c r="P29" s="67">
        <f>ROUND(IF(O29&lt;J29,O29,0),4)</f>
        <v>0.18720000000000001</v>
      </c>
      <c r="Q29" s="67">
        <f>ROUND(IF(J29&gt;O29,0,J29),4)</f>
        <v>0</v>
      </c>
      <c r="R29" s="67">
        <f>ROUND(+P29*D29,4)</f>
        <v>28.08</v>
      </c>
      <c r="S29" s="67">
        <f>ROUND(IF(K29=0,0,M29*D29),4)</f>
        <v>0</v>
      </c>
      <c r="T29" s="67">
        <f>ROUND(+IF(K29=0,Q29*D29,0),4)</f>
        <v>0</v>
      </c>
      <c r="U29" s="67">
        <f>ROUND(+N29+R29+S29+T29,4)</f>
        <v>28.08</v>
      </c>
      <c r="V29" s="67">
        <f>ROUND(IF(P29=0,0,I29-H29-O29)+IF(L29=0,0,I29-H29-K29),4)</f>
        <v>0.14280000000000001</v>
      </c>
      <c r="W29" s="67">
        <f>ROUND(+(V29*60%)*D29,4)</f>
        <v>12.852</v>
      </c>
      <c r="X29" s="148">
        <f>ROUND(+U29+W29,4)</f>
        <v>40.932000000000002</v>
      </c>
      <c r="Y29" s="68">
        <v>46178</v>
      </c>
      <c r="Z29" s="148">
        <f>ROUND(IF(X29&gt;I29,X29,I29),4)</f>
        <v>40.932000000000002</v>
      </c>
      <c r="AD29" s="78">
        <f t="shared" si="4"/>
        <v>6</v>
      </c>
      <c r="AE29" s="78">
        <f t="shared" si="5"/>
        <v>2026</v>
      </c>
    </row>
    <row r="30" spans="1:31" x14ac:dyDescent="0.2">
      <c r="A30" s="66" t="s">
        <v>190</v>
      </c>
      <c r="B30" s="66" t="s">
        <v>55</v>
      </c>
      <c r="C30" s="66" t="s">
        <v>188</v>
      </c>
      <c r="D30" s="144">
        <v>150</v>
      </c>
      <c r="E30" s="67">
        <v>3.27</v>
      </c>
      <c r="F30" s="67" t="s">
        <v>14</v>
      </c>
      <c r="G30" s="67">
        <v>3.74</v>
      </c>
      <c r="H30" s="67">
        <f>ROUND(+E30+G30,4)</f>
        <v>7.01</v>
      </c>
      <c r="I30" s="67">
        <v>7.35</v>
      </c>
      <c r="J30" s="67">
        <f>ROUND(+I30-H30,4)</f>
        <v>0.34</v>
      </c>
      <c r="K30" s="67">
        <f>ROUND(IF(F30="alluminio",0,I30*1.5%),4)</f>
        <v>0</v>
      </c>
      <c r="L30" s="67">
        <f>ROUND(IF(K30&lt;J30,K30,0),4)</f>
        <v>0</v>
      </c>
      <c r="M30" s="67">
        <f>ROUND(IF(J30&gt;K30,0,J30),4)</f>
        <v>0</v>
      </c>
      <c r="N30" s="67">
        <f>ROUND(+L30*D30,4)</f>
        <v>0</v>
      </c>
      <c r="O30" s="67">
        <f>ROUND(IF(F30="rame",0,+I30*3%),4)</f>
        <v>0.2205</v>
      </c>
      <c r="P30" s="67">
        <f>ROUND(IF(O30&lt;J30,O30,0),4)</f>
        <v>0.2205</v>
      </c>
      <c r="Q30" s="67">
        <f>ROUND(IF(J30&gt;O30,0,J30),4)</f>
        <v>0</v>
      </c>
      <c r="R30" s="67">
        <f>ROUND(+P30*D30,4)</f>
        <v>33.075000000000003</v>
      </c>
      <c r="S30" s="67">
        <f>ROUND(IF(K30=0,0,M30*D30),4)</f>
        <v>0</v>
      </c>
      <c r="T30" s="67">
        <f>ROUND(+IF(K30=0,Q30*D30,0),4)</f>
        <v>0</v>
      </c>
      <c r="U30" s="67">
        <f>ROUND(+N30+R30+S30+T30,4)</f>
        <v>33.075000000000003</v>
      </c>
      <c r="V30" s="67">
        <f>ROUND(IF(P30=0,0,I30-H30-O30)+IF(L30=0,0,I30-H30-K30),4)</f>
        <v>0.1195</v>
      </c>
      <c r="W30" s="67">
        <f>ROUND(+(V30*60%)*D30,4)</f>
        <v>10.755000000000001</v>
      </c>
      <c r="X30" s="148">
        <f>ROUND(+U30+W30,4)</f>
        <v>43.83</v>
      </c>
      <c r="Y30" s="68">
        <v>46178</v>
      </c>
      <c r="Z30" s="148">
        <f>ROUND(IF(X30&gt;I30,X30,I30),4)</f>
        <v>43.83</v>
      </c>
      <c r="AD30" s="78">
        <f t="shared" si="4"/>
        <v>6</v>
      </c>
      <c r="AE30" s="78">
        <f t="shared" si="5"/>
        <v>2026</v>
      </c>
    </row>
    <row r="31" spans="1:31" x14ac:dyDescent="0.2">
      <c r="A31" s="66" t="s">
        <v>190</v>
      </c>
      <c r="B31" s="66" t="s">
        <v>55</v>
      </c>
      <c r="C31" s="66" t="s">
        <v>163</v>
      </c>
      <c r="D31" s="144">
        <v>150</v>
      </c>
      <c r="E31" s="67">
        <v>2.36</v>
      </c>
      <c r="F31" s="67" t="s">
        <v>14</v>
      </c>
      <c r="G31" s="67">
        <v>3.74</v>
      </c>
      <c r="H31" s="67">
        <f>ROUND(+E31+G31,4)</f>
        <v>6.1</v>
      </c>
      <c r="I31" s="67">
        <v>6.43</v>
      </c>
      <c r="J31" s="67">
        <f>ROUND(+I31-H31,4)</f>
        <v>0.33</v>
      </c>
      <c r="K31" s="67">
        <f>ROUND(IF(F31="alluminio",0,I31*1.5%),4)</f>
        <v>0</v>
      </c>
      <c r="L31" s="67">
        <f>ROUND(IF(K31&lt;J31,K31,0),4)</f>
        <v>0</v>
      </c>
      <c r="M31" s="67">
        <f>ROUND(IF(J31&gt;K31,0,J31),4)</f>
        <v>0</v>
      </c>
      <c r="N31" s="67">
        <f>ROUND(+L31*D31,4)</f>
        <v>0</v>
      </c>
      <c r="O31" s="67">
        <f>ROUND(IF(F31="rame",0,+I31*3%),4)</f>
        <v>0.19289999999999999</v>
      </c>
      <c r="P31" s="67">
        <f>ROUND(IF(O31&lt;J31,O31,0),4)</f>
        <v>0.19289999999999999</v>
      </c>
      <c r="Q31" s="67">
        <f>ROUND(IF(J31&gt;O31,0,J31),4)</f>
        <v>0</v>
      </c>
      <c r="R31" s="67">
        <f>ROUND(+P31*D31,4)</f>
        <v>28.934999999999999</v>
      </c>
      <c r="S31" s="67">
        <f>ROUND(IF(K31=0,0,M31*D31),4)</f>
        <v>0</v>
      </c>
      <c r="T31" s="67">
        <f>ROUND(+IF(K31=0,Q31*D31,0),4)</f>
        <v>0</v>
      </c>
      <c r="U31" s="67">
        <f>ROUND(+N31+R31+S31+T31,4)</f>
        <v>28.934999999999999</v>
      </c>
      <c r="V31" s="67">
        <f>ROUND(IF(P31=0,0,I31-H31-O31)+IF(L31=0,0,I31-H31-K31),4)</f>
        <v>0.1371</v>
      </c>
      <c r="W31" s="67">
        <f>ROUND(+(V31*60%)*D31,4)</f>
        <v>12.339</v>
      </c>
      <c r="X31" s="148">
        <f>ROUND(+U31+W31,4)</f>
        <v>41.274000000000001</v>
      </c>
      <c r="Y31" s="68">
        <v>46178</v>
      </c>
      <c r="Z31" s="148">
        <f>ROUND(IF(X31&gt;I31,X31,I31),4)</f>
        <v>41.274000000000001</v>
      </c>
      <c r="AD31" s="78">
        <f t="shared" si="4"/>
        <v>6</v>
      </c>
      <c r="AE31" s="78">
        <f t="shared" si="5"/>
        <v>2026</v>
      </c>
    </row>
    <row r="32" spans="1:31" x14ac:dyDescent="0.2">
      <c r="A32" s="66" t="s">
        <v>190</v>
      </c>
      <c r="B32" s="66" t="s">
        <v>55</v>
      </c>
      <c r="C32" s="66" t="s">
        <v>189</v>
      </c>
      <c r="D32" s="144">
        <v>150</v>
      </c>
      <c r="E32" s="67">
        <v>3.34</v>
      </c>
      <c r="F32" s="67" t="s">
        <v>14</v>
      </c>
      <c r="G32" s="67">
        <v>3.74</v>
      </c>
      <c r="H32" s="67">
        <f>ROUND(+E32+G32,4)</f>
        <v>7.08</v>
      </c>
      <c r="I32" s="67">
        <v>7.41</v>
      </c>
      <c r="J32" s="67">
        <f>ROUND(+I32-H32,4)</f>
        <v>0.33</v>
      </c>
      <c r="K32" s="67">
        <f>ROUND(IF(F32="alluminio",0,I32*1.5%),4)</f>
        <v>0</v>
      </c>
      <c r="L32" s="67">
        <f>ROUND(IF(K32&lt;J32,K32,0),4)</f>
        <v>0</v>
      </c>
      <c r="M32" s="67">
        <f>ROUND(IF(J32&gt;K32,0,J32),4)</f>
        <v>0</v>
      </c>
      <c r="N32" s="67">
        <f>ROUND(+L32*D32,4)</f>
        <v>0</v>
      </c>
      <c r="O32" s="67">
        <f>ROUND(IF(F32="rame",0,+I32*3%),4)</f>
        <v>0.2223</v>
      </c>
      <c r="P32" s="67">
        <f>ROUND(IF(O32&lt;J32,O32,0),4)</f>
        <v>0.2223</v>
      </c>
      <c r="Q32" s="67">
        <f>ROUND(IF(J32&gt;O32,0,J32),4)</f>
        <v>0</v>
      </c>
      <c r="R32" s="67">
        <f>ROUND(+P32*D32,4)</f>
        <v>33.344999999999999</v>
      </c>
      <c r="S32" s="67">
        <f>ROUND(IF(K32=0,0,M32*D32),4)</f>
        <v>0</v>
      </c>
      <c r="T32" s="67">
        <f>ROUND(+IF(K32=0,Q32*D32,0),4)</f>
        <v>0</v>
      </c>
      <c r="U32" s="67">
        <f>ROUND(+N32+R32+S32+T32,4)</f>
        <v>33.344999999999999</v>
      </c>
      <c r="V32" s="67">
        <f>ROUND(IF(P32=0,0,I32-H32-O32)+IF(L32=0,0,I32-H32-K32),4)</f>
        <v>0.1077</v>
      </c>
      <c r="W32" s="67">
        <f>ROUND(+(V32*60%)*D32,4)</f>
        <v>9.6929999999999996</v>
      </c>
      <c r="X32" s="148">
        <f>ROUND(+U32+W32,4)</f>
        <v>43.037999999999997</v>
      </c>
      <c r="Y32" s="68">
        <v>46178</v>
      </c>
      <c r="Z32" s="148">
        <f>ROUND(IF(X32&gt;I32,X32,I32),4)</f>
        <v>43.037999999999997</v>
      </c>
      <c r="AD32" s="78">
        <f t="shared" si="4"/>
        <v>6</v>
      </c>
      <c r="AE32" s="78">
        <f t="shared" si="5"/>
        <v>2026</v>
      </c>
    </row>
    <row r="33" spans="1:31" x14ac:dyDescent="0.2">
      <c r="A33" s="66" t="s">
        <v>190</v>
      </c>
      <c r="B33" s="66" t="s">
        <v>55</v>
      </c>
      <c r="C33" s="66" t="s">
        <v>167</v>
      </c>
      <c r="D33" s="144">
        <v>150</v>
      </c>
      <c r="E33" s="67">
        <v>2.17</v>
      </c>
      <c r="F33" s="67" t="s">
        <v>14</v>
      </c>
      <c r="G33" s="67">
        <v>3.74</v>
      </c>
      <c r="H33" s="67">
        <f>ROUND(+E33+G33,4)</f>
        <v>5.91</v>
      </c>
      <c r="I33" s="67">
        <v>6.24</v>
      </c>
      <c r="J33" s="67">
        <f>ROUND(+I33-H33,4)</f>
        <v>0.33</v>
      </c>
      <c r="K33" s="67">
        <f>ROUND(IF(F33="alluminio",0,I33*1.5%),4)</f>
        <v>0</v>
      </c>
      <c r="L33" s="67">
        <f>ROUND(IF(K33&lt;J33,K33,0),4)</f>
        <v>0</v>
      </c>
      <c r="M33" s="67">
        <f>ROUND(IF(J33&gt;K33,0,J33),4)</f>
        <v>0</v>
      </c>
      <c r="N33" s="67">
        <f>ROUND(+L33*D33,4)</f>
        <v>0</v>
      </c>
      <c r="O33" s="67">
        <f>ROUND(IF(F33="rame",0,+I33*3%),4)</f>
        <v>0.18720000000000001</v>
      </c>
      <c r="P33" s="67">
        <f>ROUND(IF(O33&lt;J33,O33,0),4)</f>
        <v>0.18720000000000001</v>
      </c>
      <c r="Q33" s="67">
        <f>ROUND(IF(J33&gt;O33,0,J33),4)</f>
        <v>0</v>
      </c>
      <c r="R33" s="67">
        <f>ROUND(+P33*D33,4)</f>
        <v>28.08</v>
      </c>
      <c r="S33" s="67">
        <f>ROUND(IF(K33=0,0,M33*D33),4)</f>
        <v>0</v>
      </c>
      <c r="T33" s="67">
        <f>ROUND(+IF(K33=0,Q33*D33,0),4)</f>
        <v>0</v>
      </c>
      <c r="U33" s="67">
        <f>ROUND(+N33+R33+S33+T33,4)</f>
        <v>28.08</v>
      </c>
      <c r="V33" s="67">
        <f>ROUND(IF(P33=0,0,I33-H33-O33)+IF(L33=0,0,I33-H33-K33),4)</f>
        <v>0.14280000000000001</v>
      </c>
      <c r="W33" s="67">
        <f>ROUND(+(V33*60%)*D33,4)</f>
        <v>12.852</v>
      </c>
      <c r="X33" s="148">
        <f>ROUND(+U33+W33,4)</f>
        <v>40.932000000000002</v>
      </c>
      <c r="Y33" s="68">
        <v>46208</v>
      </c>
      <c r="Z33" s="148">
        <f>ROUND(IF(X33&gt;I33,X33,I33),4)</f>
        <v>40.932000000000002</v>
      </c>
      <c r="AD33" s="78">
        <f t="shared" si="4"/>
        <v>7</v>
      </c>
      <c r="AE33" s="78">
        <f t="shared" si="5"/>
        <v>2026</v>
      </c>
    </row>
    <row r="34" spans="1:31" x14ac:dyDescent="0.2">
      <c r="A34" s="66" t="s">
        <v>190</v>
      </c>
      <c r="B34" s="66" t="s">
        <v>55</v>
      </c>
      <c r="C34" s="66" t="s">
        <v>188</v>
      </c>
      <c r="D34" s="144">
        <v>150</v>
      </c>
      <c r="E34" s="67">
        <v>3.27</v>
      </c>
      <c r="F34" s="67" t="s">
        <v>14</v>
      </c>
      <c r="G34" s="67">
        <v>3.74</v>
      </c>
      <c r="H34" s="67">
        <f>ROUND(+E34+G34,4)</f>
        <v>7.01</v>
      </c>
      <c r="I34" s="67">
        <v>7.35</v>
      </c>
      <c r="J34" s="67">
        <f>ROUND(+I34-H34,4)</f>
        <v>0.34</v>
      </c>
      <c r="K34" s="67">
        <f>ROUND(IF(F34="alluminio",0,I34*1.5%),4)</f>
        <v>0</v>
      </c>
      <c r="L34" s="67">
        <f>ROUND(IF(K34&lt;J34,K34,0),4)</f>
        <v>0</v>
      </c>
      <c r="M34" s="67">
        <f>ROUND(IF(J34&gt;K34,0,J34),4)</f>
        <v>0</v>
      </c>
      <c r="N34" s="67">
        <f>ROUND(+L34*D34,4)</f>
        <v>0</v>
      </c>
      <c r="O34" s="67">
        <f>ROUND(IF(F34="rame",0,+I34*3%),4)</f>
        <v>0.2205</v>
      </c>
      <c r="P34" s="67">
        <f>ROUND(IF(O34&lt;J34,O34,0),4)</f>
        <v>0.2205</v>
      </c>
      <c r="Q34" s="67">
        <f>ROUND(IF(J34&gt;O34,0,J34),4)</f>
        <v>0</v>
      </c>
      <c r="R34" s="67">
        <f>ROUND(+P34*D34,4)</f>
        <v>33.075000000000003</v>
      </c>
      <c r="S34" s="67">
        <f>ROUND(IF(K34=0,0,M34*D34),4)</f>
        <v>0</v>
      </c>
      <c r="T34" s="67">
        <f>ROUND(+IF(K34=0,Q34*D34,0),4)</f>
        <v>0</v>
      </c>
      <c r="U34" s="67">
        <f>ROUND(+N34+R34+S34+T34,4)</f>
        <v>33.075000000000003</v>
      </c>
      <c r="V34" s="67">
        <f>ROUND(IF(P34=0,0,I34-H34-O34)+IF(L34=0,0,I34-H34-K34),4)</f>
        <v>0.1195</v>
      </c>
      <c r="W34" s="67">
        <f>ROUND(+(V34*60%)*D34,4)</f>
        <v>10.755000000000001</v>
      </c>
      <c r="X34" s="148">
        <f>ROUND(+U34+W34,4)</f>
        <v>43.83</v>
      </c>
      <c r="Y34" s="68">
        <v>46208</v>
      </c>
      <c r="Z34" s="148">
        <f>ROUND(IF(X34&gt;I34,X34,I34),4)</f>
        <v>43.83</v>
      </c>
      <c r="AD34" s="78">
        <f t="shared" si="4"/>
        <v>7</v>
      </c>
      <c r="AE34" s="78">
        <f t="shared" si="5"/>
        <v>2026</v>
      </c>
    </row>
    <row r="35" spans="1:31" x14ac:dyDescent="0.2">
      <c r="A35" s="66" t="s">
        <v>190</v>
      </c>
      <c r="B35" s="66" t="s">
        <v>55</v>
      </c>
      <c r="C35" s="66" t="s">
        <v>163</v>
      </c>
      <c r="D35" s="144">
        <v>150</v>
      </c>
      <c r="E35" s="67">
        <v>2.36</v>
      </c>
      <c r="F35" s="67" t="s">
        <v>14</v>
      </c>
      <c r="G35" s="67">
        <v>3.74</v>
      </c>
      <c r="H35" s="67">
        <f>ROUND(+E35+G35,4)</f>
        <v>6.1</v>
      </c>
      <c r="I35" s="67">
        <v>6.43</v>
      </c>
      <c r="J35" s="67">
        <f>ROUND(+I35-H35,4)</f>
        <v>0.33</v>
      </c>
      <c r="K35" s="67">
        <f>ROUND(IF(F35="alluminio",0,I35*1.5%),4)</f>
        <v>0</v>
      </c>
      <c r="L35" s="67">
        <f>ROUND(IF(K35&lt;J35,K35,0),4)</f>
        <v>0</v>
      </c>
      <c r="M35" s="67">
        <f>ROUND(IF(J35&gt;K35,0,J35),4)</f>
        <v>0</v>
      </c>
      <c r="N35" s="67">
        <f>ROUND(+L35*D35,4)</f>
        <v>0</v>
      </c>
      <c r="O35" s="67">
        <f>ROUND(IF(F35="rame",0,+I35*3%),4)</f>
        <v>0.19289999999999999</v>
      </c>
      <c r="P35" s="67">
        <f>ROUND(IF(O35&lt;J35,O35,0),4)</f>
        <v>0.19289999999999999</v>
      </c>
      <c r="Q35" s="67">
        <f>ROUND(IF(J35&gt;O35,0,J35),4)</f>
        <v>0</v>
      </c>
      <c r="R35" s="67">
        <f>ROUND(+P35*D35,4)</f>
        <v>28.934999999999999</v>
      </c>
      <c r="S35" s="67">
        <f>ROUND(IF(K35=0,0,M35*D35),4)</f>
        <v>0</v>
      </c>
      <c r="T35" s="67">
        <f>ROUND(+IF(K35=0,Q35*D35,0),4)</f>
        <v>0</v>
      </c>
      <c r="U35" s="67">
        <f>ROUND(+N35+R35+S35+T35,4)</f>
        <v>28.934999999999999</v>
      </c>
      <c r="V35" s="67">
        <f>ROUND(IF(P35=0,0,I35-H35-O35)+IF(L35=0,0,I35-H35-K35),4)</f>
        <v>0.1371</v>
      </c>
      <c r="W35" s="67">
        <f>ROUND(+(V35*60%)*D35,4)</f>
        <v>12.339</v>
      </c>
      <c r="X35" s="148">
        <f>ROUND(+U35+W35,4)</f>
        <v>41.274000000000001</v>
      </c>
      <c r="Y35" s="68">
        <v>46208</v>
      </c>
      <c r="Z35" s="148">
        <f>ROUND(IF(X35&gt;I35,X35,I35),4)</f>
        <v>41.274000000000001</v>
      </c>
      <c r="AD35" s="78">
        <f t="shared" si="4"/>
        <v>7</v>
      </c>
      <c r="AE35" s="78">
        <f t="shared" si="5"/>
        <v>2026</v>
      </c>
    </row>
    <row r="36" spans="1:31" x14ac:dyDescent="0.2">
      <c r="A36" s="66" t="s">
        <v>190</v>
      </c>
      <c r="B36" s="66" t="s">
        <v>55</v>
      </c>
      <c r="C36" s="66" t="s">
        <v>189</v>
      </c>
      <c r="D36" s="144">
        <v>150</v>
      </c>
      <c r="E36" s="67">
        <v>3.34</v>
      </c>
      <c r="F36" s="67" t="s">
        <v>14</v>
      </c>
      <c r="G36" s="67">
        <v>3.74</v>
      </c>
      <c r="H36" s="67">
        <f>ROUND(+E36+G36,4)</f>
        <v>7.08</v>
      </c>
      <c r="I36" s="67">
        <v>7.41</v>
      </c>
      <c r="J36" s="67">
        <f>ROUND(+I36-H36,4)</f>
        <v>0.33</v>
      </c>
      <c r="K36" s="67">
        <f>ROUND(IF(F36="alluminio",0,I36*1.5%),4)</f>
        <v>0</v>
      </c>
      <c r="L36" s="67">
        <f>ROUND(IF(K36&lt;J36,K36,0),4)</f>
        <v>0</v>
      </c>
      <c r="M36" s="67">
        <f>ROUND(IF(J36&gt;K36,0,J36),4)</f>
        <v>0</v>
      </c>
      <c r="N36" s="67">
        <f>ROUND(+L36*D36,4)</f>
        <v>0</v>
      </c>
      <c r="O36" s="67">
        <f>ROUND(IF(F36="rame",0,+I36*3%),4)</f>
        <v>0.2223</v>
      </c>
      <c r="P36" s="67">
        <f>ROUND(IF(O36&lt;J36,O36,0),4)</f>
        <v>0.2223</v>
      </c>
      <c r="Q36" s="67">
        <f>ROUND(IF(J36&gt;O36,0,J36),4)</f>
        <v>0</v>
      </c>
      <c r="R36" s="67">
        <f>ROUND(+P36*D36,4)</f>
        <v>33.344999999999999</v>
      </c>
      <c r="S36" s="67">
        <f>ROUND(IF(K36=0,0,M36*D36),4)</f>
        <v>0</v>
      </c>
      <c r="T36" s="67">
        <f>ROUND(+IF(K36=0,Q36*D36,0),4)</f>
        <v>0</v>
      </c>
      <c r="U36" s="67">
        <f>ROUND(+N36+R36+S36+T36,4)</f>
        <v>33.344999999999999</v>
      </c>
      <c r="V36" s="67">
        <f>ROUND(IF(P36=0,0,I36-H36-O36)+IF(L36=0,0,I36-H36-K36),4)</f>
        <v>0.1077</v>
      </c>
      <c r="W36" s="67">
        <f>ROUND(+(V36*60%)*D36,4)</f>
        <v>9.6929999999999996</v>
      </c>
      <c r="X36" s="148">
        <f>ROUND(+U36+W36,4)</f>
        <v>43.037999999999997</v>
      </c>
      <c r="Y36" s="68">
        <v>46208</v>
      </c>
      <c r="Z36" s="148">
        <f>ROUND(IF(X36&gt;I36,X36,I36),4)</f>
        <v>43.037999999999997</v>
      </c>
      <c r="AD36" s="78">
        <f t="shared" si="4"/>
        <v>7</v>
      </c>
      <c r="AE36" s="78">
        <f t="shared" si="5"/>
        <v>2026</v>
      </c>
    </row>
    <row r="37" spans="1:31" x14ac:dyDescent="0.2">
      <c r="A37" s="66" t="s">
        <v>194</v>
      </c>
      <c r="B37" s="136" t="s">
        <v>78</v>
      </c>
      <c r="C37" s="135" t="s">
        <v>191</v>
      </c>
      <c r="D37" s="145">
        <v>319.3</v>
      </c>
      <c r="E37" s="67">
        <v>1.42</v>
      </c>
      <c r="F37" s="67" t="s">
        <v>14</v>
      </c>
      <c r="G37" s="67">
        <v>3.74</v>
      </c>
      <c r="H37" s="67">
        <f>ROUND(+E37+G37,4)</f>
        <v>5.16</v>
      </c>
      <c r="I37" s="67">
        <v>5.8</v>
      </c>
      <c r="J37" s="67">
        <f>ROUND(+I37-H37,4)</f>
        <v>0.64</v>
      </c>
      <c r="K37" s="67">
        <f>ROUND(IF(F37="alluminio",0,I37*1.5%),4)</f>
        <v>0</v>
      </c>
      <c r="L37" s="67">
        <f>ROUND(IF(K37&lt;J37,K37,0),4)</f>
        <v>0</v>
      </c>
      <c r="M37" s="67">
        <f>ROUND(IF(J37&gt;K37,0,J37),4)</f>
        <v>0</v>
      </c>
      <c r="N37" s="67">
        <f>ROUND(+L37*D37,4)</f>
        <v>0</v>
      </c>
      <c r="O37" s="67">
        <f>ROUND(IF(F37="rame",0,+I37*3%),4)</f>
        <v>0.17399999999999999</v>
      </c>
      <c r="P37" s="67">
        <f>ROUND(IF(O37&lt;J37,O37,0),4)</f>
        <v>0.17399999999999999</v>
      </c>
      <c r="Q37" s="67">
        <f>ROUND(IF(J37&gt;O37,0,J37),4)</f>
        <v>0</v>
      </c>
      <c r="R37" s="67">
        <f>ROUND(+P37*D37,4)</f>
        <v>55.558199999999999</v>
      </c>
      <c r="S37" s="67">
        <f>ROUND(IF(K37=0,0,M37*D37),4)</f>
        <v>0</v>
      </c>
      <c r="T37" s="67">
        <f>ROUND(+IF(K37=0,Q37*D37,0),4)</f>
        <v>0</v>
      </c>
      <c r="U37" s="67">
        <f>ROUND(+N37+R37+S37+T37,4)</f>
        <v>55.558199999999999</v>
      </c>
      <c r="V37" s="67">
        <f>ROUND(IF(P37=0,0,I37-H37-O37)+IF(L37=0,0,I37-H37-K37),4)</f>
        <v>0.46600000000000003</v>
      </c>
      <c r="W37" s="67">
        <f>ROUND(+(V37*60%)*D37,4)</f>
        <v>89.276300000000006</v>
      </c>
      <c r="X37" s="148">
        <f>ROUND(+U37+W37,4)</f>
        <v>144.83449999999999</v>
      </c>
      <c r="Y37" s="68">
        <v>46153</v>
      </c>
      <c r="Z37" s="151">
        <f>ROUND(IF(X37&gt;I37,X37,I37),4)</f>
        <v>144.83449999999999</v>
      </c>
      <c r="AA37" s="78" t="s">
        <v>231</v>
      </c>
      <c r="AD37" s="78">
        <f t="shared" si="4"/>
        <v>5</v>
      </c>
      <c r="AE37" s="78">
        <f t="shared" si="5"/>
        <v>2026</v>
      </c>
    </row>
    <row r="38" spans="1:31" x14ac:dyDescent="0.2">
      <c r="A38" s="66" t="s">
        <v>194</v>
      </c>
      <c r="B38" s="136" t="s">
        <v>78</v>
      </c>
      <c r="C38" s="135" t="s">
        <v>192</v>
      </c>
      <c r="D38" s="145">
        <v>320.39999999999998</v>
      </c>
      <c r="E38" s="67">
        <v>1.1499999999999999</v>
      </c>
      <c r="F38" s="67" t="s">
        <v>14</v>
      </c>
      <c r="G38" s="67">
        <v>3.74</v>
      </c>
      <c r="H38" s="67">
        <f>ROUND(+E38+G38,4)</f>
        <v>4.8899999999999997</v>
      </c>
      <c r="I38" s="67">
        <v>5.53</v>
      </c>
      <c r="J38" s="67">
        <f>ROUND(+I38-H38,4)</f>
        <v>0.64</v>
      </c>
      <c r="K38" s="67">
        <f>ROUND(IF(F38="alluminio",0,I38*1.5%),4)</f>
        <v>0</v>
      </c>
      <c r="L38" s="67">
        <f>ROUND(IF(K38&lt;J38,K38,0),4)</f>
        <v>0</v>
      </c>
      <c r="M38" s="67">
        <f>ROUND(IF(J38&gt;K38,0,J38),4)</f>
        <v>0</v>
      </c>
      <c r="N38" s="67">
        <f>ROUND(+L38*D38,4)</f>
        <v>0</v>
      </c>
      <c r="O38" s="67">
        <f>ROUND(IF(F38="rame",0,+I38*3%),4)</f>
        <v>0.16589999999999999</v>
      </c>
      <c r="P38" s="67">
        <f>ROUND(IF(O38&lt;J38,O38,0),4)</f>
        <v>0.16589999999999999</v>
      </c>
      <c r="Q38" s="67">
        <f>ROUND(IF(J38&gt;O38,0,J38),4)</f>
        <v>0</v>
      </c>
      <c r="R38" s="67">
        <f>ROUND(+P38*D38,4)</f>
        <v>53.154400000000003</v>
      </c>
      <c r="S38" s="67">
        <f>ROUND(IF(K38=0,0,M38*D38),4)</f>
        <v>0</v>
      </c>
      <c r="T38" s="67">
        <f>ROUND(+IF(K38=0,Q38*D38,0),4)</f>
        <v>0</v>
      </c>
      <c r="U38" s="67">
        <f>ROUND(+N38+R38+S38+T38,4)</f>
        <v>53.154400000000003</v>
      </c>
      <c r="V38" s="67">
        <f>ROUND(IF(P38=0,0,I38-H38-O38)+IF(L38=0,0,I38-H38-K38),4)</f>
        <v>0.47410000000000002</v>
      </c>
      <c r="W38" s="67">
        <f>ROUND(+(V38*60%)*D38,4)</f>
        <v>91.141000000000005</v>
      </c>
      <c r="X38" s="148">
        <f>ROUND(+U38+W38,4)</f>
        <v>144.2954</v>
      </c>
      <c r="Y38" s="68">
        <v>46153</v>
      </c>
      <c r="Z38" s="151">
        <f>ROUND(IF(X38&gt;I38,X38,I38),4)</f>
        <v>144.2954</v>
      </c>
      <c r="AA38" s="78" t="s">
        <v>231</v>
      </c>
      <c r="AD38" s="78">
        <f t="shared" si="4"/>
        <v>5</v>
      </c>
      <c r="AE38" s="78">
        <f t="shared" si="5"/>
        <v>2026</v>
      </c>
    </row>
    <row r="39" spans="1:31" x14ac:dyDescent="0.2">
      <c r="A39" s="66" t="s">
        <v>194</v>
      </c>
      <c r="B39" s="111" t="s">
        <v>78</v>
      </c>
      <c r="C39" s="66" t="s">
        <v>193</v>
      </c>
      <c r="D39" s="144">
        <v>500</v>
      </c>
      <c r="E39" s="67">
        <v>1.24</v>
      </c>
      <c r="F39" s="67" t="s">
        <v>14</v>
      </c>
      <c r="G39" s="67">
        <v>3.74</v>
      </c>
      <c r="H39" s="67">
        <f>ROUND(+E39+G39,4)</f>
        <v>4.9800000000000004</v>
      </c>
      <c r="I39" s="67">
        <v>5.63</v>
      </c>
      <c r="J39" s="67">
        <f>ROUND(+I39-H39,4)</f>
        <v>0.65</v>
      </c>
      <c r="K39" s="67">
        <f>ROUND(IF(F39="alluminio",0,I39*1.5%),4)</f>
        <v>0</v>
      </c>
      <c r="L39" s="67">
        <f>ROUND(IF(K39&lt;J39,K39,0),4)</f>
        <v>0</v>
      </c>
      <c r="M39" s="67">
        <f>ROUND(IF(J39&gt;K39,0,J39),4)</f>
        <v>0</v>
      </c>
      <c r="N39" s="67">
        <f>ROUND(+L39*D39,4)</f>
        <v>0</v>
      </c>
      <c r="O39" s="67">
        <f>ROUND(IF(F39="rame",0,+I39*3%),4)</f>
        <v>0.16889999999999999</v>
      </c>
      <c r="P39" s="67">
        <f>ROUND(IF(O39&lt;J39,O39,0),4)</f>
        <v>0.16889999999999999</v>
      </c>
      <c r="Q39" s="67">
        <f>ROUND(IF(J39&gt;O39,0,J39),4)</f>
        <v>0</v>
      </c>
      <c r="R39" s="67">
        <f>ROUND(+P39*D39,4)</f>
        <v>84.45</v>
      </c>
      <c r="S39" s="67">
        <f>ROUND(IF(K39=0,0,M39*D39),4)</f>
        <v>0</v>
      </c>
      <c r="T39" s="67">
        <f>ROUND(+IF(K39=0,Q39*D39,0),4)</f>
        <v>0</v>
      </c>
      <c r="U39" s="67">
        <f>ROUND(+N39+R39+S39+T39,4)</f>
        <v>84.45</v>
      </c>
      <c r="V39" s="67">
        <f>ROUND(IF(P39=0,0,I39-H39-O39)+IF(L39=0,0,I39-H39-K39),4)</f>
        <v>0.48110000000000003</v>
      </c>
      <c r="W39" s="67">
        <f>ROUND(+(V39*60%)*D39,4)</f>
        <v>144.33000000000001</v>
      </c>
      <c r="X39" s="148">
        <f>ROUND(+U39+W39,4)</f>
        <v>228.78</v>
      </c>
      <c r="Y39" s="68">
        <v>46177</v>
      </c>
      <c r="Z39" s="148">
        <f>ROUND(IF(X39&gt;I39,X39,I39),4)</f>
        <v>228.78</v>
      </c>
      <c r="AD39" s="78">
        <f t="shared" si="4"/>
        <v>6</v>
      </c>
      <c r="AE39" s="78">
        <f t="shared" si="5"/>
        <v>2026</v>
      </c>
    </row>
    <row r="40" spans="1:31" x14ac:dyDescent="0.2">
      <c r="A40" s="66" t="s">
        <v>196</v>
      </c>
      <c r="B40" s="135" t="s">
        <v>175</v>
      </c>
      <c r="C40" s="135" t="s">
        <v>195</v>
      </c>
      <c r="D40" s="145">
        <v>509.6</v>
      </c>
      <c r="E40" s="67">
        <v>1.85</v>
      </c>
      <c r="F40" s="67" t="s">
        <v>14</v>
      </c>
      <c r="G40" s="67">
        <v>3.74</v>
      </c>
      <c r="H40" s="67">
        <f>ROUND(+E40+G40,4)</f>
        <v>5.59</v>
      </c>
      <c r="I40" s="67">
        <v>5.69</v>
      </c>
      <c r="J40" s="67">
        <f>ROUND(+I40-H40,4)</f>
        <v>0.1</v>
      </c>
      <c r="K40" s="67">
        <f>ROUND(IF(F40="alluminio",0,I40*1.5%),4)</f>
        <v>0</v>
      </c>
      <c r="L40" s="67">
        <f>ROUND(IF(K40&lt;J40,K40,0),4)</f>
        <v>0</v>
      </c>
      <c r="M40" s="67">
        <f>ROUND(IF(J40&gt;K40,0,J40),4)</f>
        <v>0</v>
      </c>
      <c r="N40" s="67">
        <f>ROUND(+L40*D40,4)</f>
        <v>0</v>
      </c>
      <c r="O40" s="67">
        <f>ROUND(IF(F40="rame",0,+I40*3%),4)</f>
        <v>0.17069999999999999</v>
      </c>
      <c r="P40" s="67">
        <f>ROUND(IF(O40&lt;J40,O40,0),4)</f>
        <v>0</v>
      </c>
      <c r="Q40" s="67">
        <f>ROUND(IF(J40&gt;O40,0,J40),4)</f>
        <v>0.1</v>
      </c>
      <c r="R40" s="67">
        <f>ROUND(+P40*D40,4)</f>
        <v>0</v>
      </c>
      <c r="S40" s="67">
        <f>ROUND(IF(K40=0,0,M40*D40),4)</f>
        <v>0</v>
      </c>
      <c r="T40" s="67">
        <f>ROUND(+IF(K40=0,Q40*D40,0),4)</f>
        <v>50.96</v>
      </c>
      <c r="U40" s="67">
        <f>ROUND(+N40+R40+S40+T40,4)</f>
        <v>50.96</v>
      </c>
      <c r="V40" s="67">
        <f>ROUND(IF(P40=0,0,I40-H40-O40)+IF(L40=0,0,I40-H40-K40),4)</f>
        <v>0</v>
      </c>
      <c r="W40" s="67">
        <f>ROUND(+(V40*60%)*D40,4)</f>
        <v>0</v>
      </c>
      <c r="X40" s="148">
        <f>ROUND(+U40+W40,4)</f>
        <v>50.96</v>
      </c>
      <c r="Y40" s="68"/>
      <c r="Z40" s="151">
        <f>ROUND(IF(X40&gt;I40,X40,I40),4)</f>
        <v>50.96</v>
      </c>
      <c r="AA40" s="78" t="s">
        <v>231</v>
      </c>
      <c r="AD40" s="78">
        <f t="shared" si="4"/>
        <v>0</v>
      </c>
      <c r="AE40" s="78">
        <f t="shared" si="5"/>
        <v>0</v>
      </c>
    </row>
    <row r="41" spans="1:31" x14ac:dyDescent="0.2">
      <c r="A41" s="66" t="s">
        <v>201</v>
      </c>
      <c r="B41" s="136" t="s">
        <v>72</v>
      </c>
      <c r="C41" s="136" t="s">
        <v>198</v>
      </c>
      <c r="D41" s="145">
        <v>319.10000000000002</v>
      </c>
      <c r="E41" s="67">
        <v>4.47</v>
      </c>
      <c r="F41" s="112" t="s">
        <v>14</v>
      </c>
      <c r="G41" s="67">
        <v>4.08</v>
      </c>
      <c r="H41" s="67">
        <f>ROUND(+E41+G41,4)</f>
        <v>8.5500000000000007</v>
      </c>
      <c r="I41" s="67">
        <v>9.7200000000000006</v>
      </c>
      <c r="J41" s="67">
        <f>ROUND(+I41-H41,4)</f>
        <v>1.17</v>
      </c>
      <c r="K41" s="67">
        <f>ROUND(IF(F41="alluminio",0,I41*1.5%),4)</f>
        <v>0</v>
      </c>
      <c r="L41" s="67">
        <f>ROUND(IF(K41&lt;J41,K41,0),4)</f>
        <v>0</v>
      </c>
      <c r="M41" s="67">
        <f>ROUND(IF(J41&gt;K41,0,J41),4)</f>
        <v>0</v>
      </c>
      <c r="N41" s="67">
        <f>ROUND(+L41*D41,4)</f>
        <v>0</v>
      </c>
      <c r="O41" s="67">
        <f>ROUND(IF(F41="rame",0,+I41*3%),4)</f>
        <v>0.29160000000000003</v>
      </c>
      <c r="P41" s="67">
        <f>ROUND(IF(O41&lt;J41,O41,0),4)</f>
        <v>0.29160000000000003</v>
      </c>
      <c r="Q41" s="67">
        <f>ROUND(IF(J41&gt;O41,0,J41),4)</f>
        <v>0</v>
      </c>
      <c r="R41" s="67">
        <f>ROUND(+P41*D41,4)</f>
        <v>93.049599999999998</v>
      </c>
      <c r="S41" s="67">
        <f>ROUND(IF(K41=0,0,M41*D41),4)</f>
        <v>0</v>
      </c>
      <c r="T41" s="67">
        <f>ROUND(+IF(K41=0,Q41*D41,0),4)</f>
        <v>0</v>
      </c>
      <c r="U41" s="67">
        <f>ROUND(+N41+R41+S41+T41,4)</f>
        <v>93.049599999999998</v>
      </c>
      <c r="V41" s="67">
        <f>ROUND(IF(P41=0,0,I41-H41-O41)+IF(L41=0,0,I41-H41-K41),4)</f>
        <v>0.87839999999999996</v>
      </c>
      <c r="W41" s="67">
        <f>ROUND(+(V41*60%)*D41,4)</f>
        <v>168.17850000000001</v>
      </c>
      <c r="X41" s="148">
        <f>ROUND(+U41+W41,4)</f>
        <v>261.22809999999998</v>
      </c>
      <c r="Y41" s="68"/>
      <c r="Z41" s="151">
        <f>ROUND(IF(X41&gt;I41,X41,I41),4)</f>
        <v>261.22809999999998</v>
      </c>
      <c r="AA41" s="78" t="s">
        <v>231</v>
      </c>
      <c r="AD41" s="78">
        <f t="shared" si="4"/>
        <v>0</v>
      </c>
      <c r="AE41" s="78">
        <f t="shared" si="5"/>
        <v>0</v>
      </c>
    </row>
    <row r="42" spans="1:31" x14ac:dyDescent="0.2">
      <c r="A42" s="66" t="s">
        <v>201</v>
      </c>
      <c r="B42" s="136" t="s">
        <v>72</v>
      </c>
      <c r="C42" s="136" t="s">
        <v>199</v>
      </c>
      <c r="D42" s="145">
        <v>317.10000000000002</v>
      </c>
      <c r="E42" s="67">
        <v>2.79</v>
      </c>
      <c r="F42" s="112" t="s">
        <v>14</v>
      </c>
      <c r="G42" s="67">
        <v>4.08</v>
      </c>
      <c r="H42" s="67">
        <f>ROUND(+E42+G42,4)</f>
        <v>6.87</v>
      </c>
      <c r="I42" s="67">
        <v>8.0399999999999991</v>
      </c>
      <c r="J42" s="67">
        <f>ROUND(+I42-H42,4)</f>
        <v>1.17</v>
      </c>
      <c r="K42" s="67">
        <f>ROUND(IF(F42="alluminio",0,I42*1.5%),4)</f>
        <v>0</v>
      </c>
      <c r="L42" s="67">
        <f>ROUND(IF(K42&lt;J42,K42,0),4)</f>
        <v>0</v>
      </c>
      <c r="M42" s="67">
        <f>ROUND(IF(J42&gt;K42,0,J42),4)</f>
        <v>0</v>
      </c>
      <c r="N42" s="67">
        <f>ROUND(+L42*D42,4)</f>
        <v>0</v>
      </c>
      <c r="O42" s="67">
        <f>ROUND(IF(F42="rame",0,+I42*3%),4)</f>
        <v>0.2412</v>
      </c>
      <c r="P42" s="67">
        <f>ROUND(IF(O42&lt;J42,O42,0),4)</f>
        <v>0.2412</v>
      </c>
      <c r="Q42" s="67">
        <f>ROUND(IF(J42&gt;O42,0,J42),4)</f>
        <v>0</v>
      </c>
      <c r="R42" s="67">
        <f>ROUND(+P42*D42,4)</f>
        <v>76.484499999999997</v>
      </c>
      <c r="S42" s="67">
        <f>ROUND(IF(K42=0,0,M42*D42),4)</f>
        <v>0</v>
      </c>
      <c r="T42" s="67">
        <f>ROUND(+IF(K42=0,Q42*D42,0),4)</f>
        <v>0</v>
      </c>
      <c r="U42" s="67">
        <f>ROUND(+N42+R42+S42+T42,4)</f>
        <v>76.484499999999997</v>
      </c>
      <c r="V42" s="67">
        <f>ROUND(IF(P42=0,0,I42-H42-O42)+IF(L42=0,0,I42-H42-K42),4)</f>
        <v>0.92879999999999996</v>
      </c>
      <c r="W42" s="67">
        <f>ROUND(+(V42*60%)*D42,4)</f>
        <v>176.71350000000001</v>
      </c>
      <c r="X42" s="148">
        <f>ROUND(+U42+W42,4)</f>
        <v>253.19800000000001</v>
      </c>
      <c r="Y42" s="68"/>
      <c r="Z42" s="151">
        <f>ROUND(IF(X42&gt;I42,X42,I42),4)</f>
        <v>253.19800000000001</v>
      </c>
      <c r="AA42" s="78" t="s">
        <v>231</v>
      </c>
      <c r="AD42" s="78">
        <f t="shared" si="4"/>
        <v>0</v>
      </c>
      <c r="AE42" s="78">
        <f t="shared" si="5"/>
        <v>0</v>
      </c>
    </row>
    <row r="43" spans="1:31" x14ac:dyDescent="0.2">
      <c r="A43" s="66" t="s">
        <v>201</v>
      </c>
      <c r="B43" s="136" t="s">
        <v>72</v>
      </c>
      <c r="C43" s="136" t="s">
        <v>176</v>
      </c>
      <c r="D43" s="145">
        <v>319.2</v>
      </c>
      <c r="E43" s="67">
        <v>2.65</v>
      </c>
      <c r="F43" s="112" t="s">
        <v>14</v>
      </c>
      <c r="G43" s="67">
        <v>4.08</v>
      </c>
      <c r="H43" s="67">
        <f>ROUND(+E43+G43,4)</f>
        <v>6.73</v>
      </c>
      <c r="I43" s="67">
        <v>7.9</v>
      </c>
      <c r="J43" s="67">
        <f>ROUND(+I43-H43,4)</f>
        <v>1.17</v>
      </c>
      <c r="K43" s="67">
        <f>ROUND(IF(F43="alluminio",0,I43*1.5%),4)</f>
        <v>0</v>
      </c>
      <c r="L43" s="67">
        <f>ROUND(IF(K43&lt;J43,K43,0),4)</f>
        <v>0</v>
      </c>
      <c r="M43" s="67">
        <f>ROUND(IF(J43&gt;K43,0,J43),4)</f>
        <v>0</v>
      </c>
      <c r="N43" s="67">
        <f>ROUND(+L43*D43,4)</f>
        <v>0</v>
      </c>
      <c r="O43" s="67">
        <f>ROUND(IF(F43="rame",0,+I43*3%),4)</f>
        <v>0.23699999999999999</v>
      </c>
      <c r="P43" s="67">
        <f>ROUND(IF(O43&lt;J43,O43,0),4)</f>
        <v>0.23699999999999999</v>
      </c>
      <c r="Q43" s="67">
        <f>ROUND(IF(J43&gt;O43,0,J43),4)</f>
        <v>0</v>
      </c>
      <c r="R43" s="67">
        <f>ROUND(+P43*D43,4)</f>
        <v>75.650400000000005</v>
      </c>
      <c r="S43" s="67">
        <f>ROUND(IF(K43=0,0,M43*D43),4)</f>
        <v>0</v>
      </c>
      <c r="T43" s="67">
        <f>ROUND(+IF(K43=0,Q43*D43,0),4)</f>
        <v>0</v>
      </c>
      <c r="U43" s="67">
        <f>ROUND(+N43+R43+S43+T43,4)</f>
        <v>75.650400000000005</v>
      </c>
      <c r="V43" s="67">
        <f>ROUND(IF(P43=0,0,I43-H43-O43)+IF(L43=0,0,I43-H43-K43),4)</f>
        <v>0.93300000000000005</v>
      </c>
      <c r="W43" s="67">
        <f>ROUND(+(V43*60%)*D43,4)</f>
        <v>178.68819999999999</v>
      </c>
      <c r="X43" s="148">
        <f>ROUND(+U43+W43,4)</f>
        <v>254.33860000000001</v>
      </c>
      <c r="Y43" s="68"/>
      <c r="Z43" s="151">
        <f>ROUND(IF(X43&gt;I43,X43,I43),4)</f>
        <v>254.33860000000001</v>
      </c>
      <c r="AA43" s="78" t="s">
        <v>231</v>
      </c>
      <c r="AD43" s="78">
        <f t="shared" si="4"/>
        <v>0</v>
      </c>
      <c r="AE43" s="78">
        <f t="shared" si="5"/>
        <v>0</v>
      </c>
    </row>
    <row r="44" spans="1:31" x14ac:dyDescent="0.2">
      <c r="A44" s="66" t="s">
        <v>202</v>
      </c>
      <c r="B44" s="136" t="s">
        <v>64</v>
      </c>
      <c r="C44" s="136" t="s">
        <v>200</v>
      </c>
      <c r="D44" s="145">
        <v>295</v>
      </c>
      <c r="E44" s="67">
        <v>1.88</v>
      </c>
      <c r="F44" s="112" t="s">
        <v>48</v>
      </c>
      <c r="G44" s="67">
        <v>12.2</v>
      </c>
      <c r="H44" s="67">
        <f>ROUND(+E44+G44,4)</f>
        <v>14.08</v>
      </c>
      <c r="I44" s="67">
        <v>14.85</v>
      </c>
      <c r="J44" s="67">
        <f>ROUND(+I44-H44,4)</f>
        <v>0.77</v>
      </c>
      <c r="K44" s="67">
        <f>ROUND(IF(F44="alluminio",0,I44*1.5%),4)</f>
        <v>0.2228</v>
      </c>
      <c r="L44" s="67">
        <f>ROUND(IF(K44&lt;J44,K44,0),4)</f>
        <v>0.2228</v>
      </c>
      <c r="M44" s="67">
        <f>ROUND(IF(J44&gt;K44,0,J44),4)</f>
        <v>0</v>
      </c>
      <c r="N44" s="67">
        <f>ROUND(+L44*D44,4)</f>
        <v>65.725999999999999</v>
      </c>
      <c r="O44" s="67">
        <f>ROUND(IF(F44="rame",0,+I44*3%),4)</f>
        <v>0</v>
      </c>
      <c r="P44" s="67">
        <f>ROUND(IF(O44&lt;J44,O44,0),4)</f>
        <v>0</v>
      </c>
      <c r="Q44" s="67">
        <f>ROUND(IF(J44&gt;O44,0,J44),4)</f>
        <v>0</v>
      </c>
      <c r="R44" s="67">
        <f>ROUND(+P44*D44,4)</f>
        <v>0</v>
      </c>
      <c r="S44" s="67">
        <f>ROUND(IF(K44=0,0,M44*D44),4)</f>
        <v>0</v>
      </c>
      <c r="T44" s="67">
        <f>ROUND(+IF(K44=0,Q44*D44,0),4)</f>
        <v>0</v>
      </c>
      <c r="U44" s="67">
        <f>ROUND(+N44+R44+S44+T44,4)</f>
        <v>65.725999999999999</v>
      </c>
      <c r="V44" s="67">
        <f>ROUND(IF(P44=0,0,I44-H44-O44)+IF(L44=0,0,I44-H44-K44),4)</f>
        <v>0.54720000000000002</v>
      </c>
      <c r="W44" s="67">
        <f>ROUND(+(V44*60%)*D44,4)</f>
        <v>96.854399999999998</v>
      </c>
      <c r="X44" s="148">
        <f>ROUND(+U44+W44,4)</f>
        <v>162.5804</v>
      </c>
      <c r="Y44" s="68"/>
      <c r="Z44" s="151">
        <f>ROUND(IF(X44&gt;I44,X44,I44),4)</f>
        <v>162.5804</v>
      </c>
      <c r="AA44" s="78" t="s">
        <v>231</v>
      </c>
      <c r="AD44" s="78">
        <f t="shared" si="4"/>
        <v>0</v>
      </c>
      <c r="AE44" s="78">
        <f t="shared" si="5"/>
        <v>0</v>
      </c>
    </row>
    <row r="45" spans="1:31" x14ac:dyDescent="0.2">
      <c r="A45" s="66" t="s">
        <v>205</v>
      </c>
      <c r="B45" s="66" t="s">
        <v>64</v>
      </c>
      <c r="C45" s="66" t="s">
        <v>204</v>
      </c>
      <c r="D45" s="144">
        <v>350</v>
      </c>
      <c r="E45" s="67">
        <v>4.16</v>
      </c>
      <c r="F45" s="67" t="s">
        <v>14</v>
      </c>
      <c r="G45" s="67">
        <v>4.08</v>
      </c>
      <c r="H45" s="67">
        <f>ROUND(+E45+G45,4)</f>
        <v>8.24</v>
      </c>
      <c r="I45" s="67">
        <v>8.9499999999999993</v>
      </c>
      <c r="J45" s="67">
        <f>ROUND(+I45-H45,4)</f>
        <v>0.71</v>
      </c>
      <c r="K45" s="67">
        <f>ROUND(IF(F45="alluminio",0,I45*1.5%),4)</f>
        <v>0</v>
      </c>
      <c r="L45" s="67">
        <f>ROUND(IF(K45&lt;J45,K45,0),4)</f>
        <v>0</v>
      </c>
      <c r="M45" s="67">
        <f>ROUND(IF(J45&gt;K45,0,J45),4)</f>
        <v>0</v>
      </c>
      <c r="N45" s="67">
        <f>ROUND(+L45*D45,4)</f>
        <v>0</v>
      </c>
      <c r="O45" s="67">
        <f>ROUND(IF(F45="rame",0,+I45*3%),4)</f>
        <v>0.26850000000000002</v>
      </c>
      <c r="P45" s="67">
        <f>ROUND(IF(O45&lt;J45,O45,0),4)</f>
        <v>0.26850000000000002</v>
      </c>
      <c r="Q45" s="67">
        <f>ROUND(IF(J45&gt;O45,0,J45),4)</f>
        <v>0</v>
      </c>
      <c r="R45" s="67">
        <f>ROUND(+P45*D45,4)</f>
        <v>93.974999999999994</v>
      </c>
      <c r="S45" s="67">
        <f>ROUND(IF(K45=0,0,M45*D45),4)</f>
        <v>0</v>
      </c>
      <c r="T45" s="67">
        <f>ROUND(+IF(K45=0,Q45*D45,0),4)</f>
        <v>0</v>
      </c>
      <c r="U45" s="67">
        <f>ROUND(+N45+R45+S45+T45,4)</f>
        <v>93.974999999999994</v>
      </c>
      <c r="V45" s="67">
        <f>ROUND(IF(P45=0,0,I45-H45-O45)+IF(L45=0,0,I45-H45-K45),4)</f>
        <v>0.4415</v>
      </c>
      <c r="W45" s="67">
        <f>ROUND(+(V45*60%)*D45,4)</f>
        <v>92.715000000000003</v>
      </c>
      <c r="X45" s="148">
        <f>ROUND(+U45+W45,4)</f>
        <v>186.69</v>
      </c>
      <c r="Y45" s="68">
        <v>46178</v>
      </c>
      <c r="Z45" s="148">
        <f>ROUND(IF(X45&gt;I45,X45,I45),4)</f>
        <v>186.69</v>
      </c>
      <c r="AD45" s="78">
        <f t="shared" si="4"/>
        <v>6</v>
      </c>
      <c r="AE45" s="78">
        <f t="shared" si="5"/>
        <v>2026</v>
      </c>
    </row>
    <row r="46" spans="1:31" x14ac:dyDescent="0.2">
      <c r="A46" s="66" t="s">
        <v>211</v>
      </c>
      <c r="B46" s="135" t="s">
        <v>80</v>
      </c>
      <c r="C46" s="135" t="s">
        <v>206</v>
      </c>
      <c r="D46" s="145">
        <v>302.89999999999998</v>
      </c>
      <c r="E46" s="67">
        <v>2.41</v>
      </c>
      <c r="F46" s="67" t="s">
        <v>14</v>
      </c>
      <c r="G46" s="67">
        <v>4.08</v>
      </c>
      <c r="H46" s="67">
        <f>ROUND(+E46+G46,4)</f>
        <v>6.49</v>
      </c>
      <c r="I46" s="67">
        <v>6.98</v>
      </c>
      <c r="J46" s="67">
        <f>ROUND(+I46-H46,4)</f>
        <v>0.49</v>
      </c>
      <c r="K46" s="67">
        <f>ROUND(IF(F46="alluminio",0,I46*1.5%),4)</f>
        <v>0</v>
      </c>
      <c r="L46" s="67">
        <f>ROUND(IF(K46&lt;J46,K46,0),4)</f>
        <v>0</v>
      </c>
      <c r="M46" s="67">
        <f>ROUND(IF(J46&gt;K46,0,J46),4)</f>
        <v>0</v>
      </c>
      <c r="N46" s="67">
        <f>ROUND(+L46*D46,4)</f>
        <v>0</v>
      </c>
      <c r="O46" s="67">
        <f>ROUND(IF(F46="rame",0,+I46*3%),4)</f>
        <v>0.2094</v>
      </c>
      <c r="P46" s="67">
        <f>ROUND(IF(O46&lt;J46,O46,0),4)</f>
        <v>0.2094</v>
      </c>
      <c r="Q46" s="67">
        <f>ROUND(IF(J46&gt;O46,0,J46),4)</f>
        <v>0</v>
      </c>
      <c r="R46" s="67">
        <f>ROUND(+P46*D46,4)</f>
        <v>63.427300000000002</v>
      </c>
      <c r="S46" s="67">
        <f>ROUND(IF(K46=0,0,M46*D46),4)</f>
        <v>0</v>
      </c>
      <c r="T46" s="67">
        <f>ROUND(+IF(K46=0,Q46*D46,0),4)</f>
        <v>0</v>
      </c>
      <c r="U46" s="67">
        <f>ROUND(+N46+R46+S46+T46,4)</f>
        <v>63.427300000000002</v>
      </c>
      <c r="V46" s="67">
        <f>ROUND(IF(P46=0,0,I46-H46-O46)+IF(L46=0,0,I46-H46-K46),4)</f>
        <v>0.28060000000000002</v>
      </c>
      <c r="W46" s="67">
        <f>ROUND(+(V46*60%)*D46,4)</f>
        <v>50.996200000000002</v>
      </c>
      <c r="X46" s="148">
        <f>ROUND(+U46+W46,4)</f>
        <v>114.4235</v>
      </c>
      <c r="Y46" s="68"/>
      <c r="Z46" s="151">
        <f>ROUND(IF(X46&gt;I46,X46,I46),4)</f>
        <v>114.4235</v>
      </c>
      <c r="AA46" s="78" t="s">
        <v>231</v>
      </c>
      <c r="AD46" s="78">
        <f t="shared" si="4"/>
        <v>0</v>
      </c>
      <c r="AE46" s="78">
        <f t="shared" si="5"/>
        <v>0</v>
      </c>
    </row>
    <row r="47" spans="1:31" x14ac:dyDescent="0.2">
      <c r="A47" s="66" t="s">
        <v>211</v>
      </c>
      <c r="B47" s="135" t="s">
        <v>80</v>
      </c>
      <c r="C47" s="135" t="s">
        <v>207</v>
      </c>
      <c r="D47" s="145">
        <v>308.2</v>
      </c>
      <c r="E47" s="67">
        <v>2.14</v>
      </c>
      <c r="F47" s="67" t="s">
        <v>14</v>
      </c>
      <c r="G47" s="67">
        <v>4.08</v>
      </c>
      <c r="H47" s="67">
        <f>ROUND(+E47+G47,4)</f>
        <v>6.22</v>
      </c>
      <c r="I47" s="67">
        <v>6.75</v>
      </c>
      <c r="J47" s="67">
        <f>ROUND(+I47-H47,4)</f>
        <v>0.53</v>
      </c>
      <c r="K47" s="67">
        <f>ROUND(IF(F47="alluminio",0,I47*1.5%),4)</f>
        <v>0</v>
      </c>
      <c r="L47" s="67">
        <f>ROUND(IF(K47&lt;J47,K47,0),4)</f>
        <v>0</v>
      </c>
      <c r="M47" s="67">
        <f>ROUND(IF(J47&gt;K47,0,J47),4)</f>
        <v>0</v>
      </c>
      <c r="N47" s="67">
        <f>ROUND(+L47*D47,4)</f>
        <v>0</v>
      </c>
      <c r="O47" s="67">
        <f>ROUND(IF(F47="rame",0,+I47*3%),4)</f>
        <v>0.20250000000000001</v>
      </c>
      <c r="P47" s="67">
        <f>ROUND(IF(O47&lt;J47,O47,0),4)</f>
        <v>0.20250000000000001</v>
      </c>
      <c r="Q47" s="67">
        <f>ROUND(IF(J47&gt;O47,0,J47),4)</f>
        <v>0</v>
      </c>
      <c r="R47" s="67">
        <f>ROUND(+P47*D47,4)</f>
        <v>62.410499999999999</v>
      </c>
      <c r="S47" s="67">
        <f>ROUND(IF(K47=0,0,M47*D47),4)</f>
        <v>0</v>
      </c>
      <c r="T47" s="67">
        <f>ROUND(+IF(K47=0,Q47*D47,0),4)</f>
        <v>0</v>
      </c>
      <c r="U47" s="67">
        <f>ROUND(+N47+R47+S47+T47,4)</f>
        <v>62.410499999999999</v>
      </c>
      <c r="V47" s="67">
        <f>ROUND(IF(P47=0,0,I47-H47-O47)+IF(L47=0,0,I47-H47-K47),4)</f>
        <v>0.32750000000000001</v>
      </c>
      <c r="W47" s="67">
        <f>ROUND(+(V47*60%)*D47,4)</f>
        <v>60.561300000000003</v>
      </c>
      <c r="X47" s="148">
        <f>ROUND(+U47+W47,4)</f>
        <v>122.9718</v>
      </c>
      <c r="Y47" s="68"/>
      <c r="Z47" s="151">
        <f>ROUND(IF(X47&gt;I47,X47,I47),4)</f>
        <v>122.9718</v>
      </c>
      <c r="AA47" s="78" t="s">
        <v>231</v>
      </c>
      <c r="AD47" s="78">
        <f t="shared" si="4"/>
        <v>0</v>
      </c>
      <c r="AE47" s="78">
        <f t="shared" si="5"/>
        <v>0</v>
      </c>
    </row>
    <row r="48" spans="1:31" x14ac:dyDescent="0.2">
      <c r="A48" s="66" t="s">
        <v>210</v>
      </c>
      <c r="B48" s="135" t="s">
        <v>107</v>
      </c>
      <c r="C48" s="135" t="s">
        <v>208</v>
      </c>
      <c r="D48" s="145">
        <v>308.39999999999998</v>
      </c>
      <c r="E48" s="67">
        <v>1.05</v>
      </c>
      <c r="F48" s="67" t="s">
        <v>48</v>
      </c>
      <c r="G48" s="67">
        <v>12.38</v>
      </c>
      <c r="H48" s="67">
        <f>ROUND(+E48+G48,4)</f>
        <v>13.43</v>
      </c>
      <c r="I48" s="67">
        <v>14.2</v>
      </c>
      <c r="J48" s="67">
        <f>ROUND(+I48-H48,4)</f>
        <v>0.77</v>
      </c>
      <c r="K48" s="67">
        <f>ROUND(IF(F48="alluminio",0,I48*1.5%),4)</f>
        <v>0.21299999999999999</v>
      </c>
      <c r="L48" s="67">
        <f>ROUND(IF(K48&lt;J48,K48,0),4)</f>
        <v>0.21299999999999999</v>
      </c>
      <c r="M48" s="67">
        <f>ROUND(IF(J48&gt;K48,0,J48),4)</f>
        <v>0</v>
      </c>
      <c r="N48" s="67">
        <f>ROUND(+L48*D48,4)</f>
        <v>65.6892</v>
      </c>
      <c r="O48" s="67">
        <f>ROUND(IF(F48="rame",0,+I48*3%),4)</f>
        <v>0</v>
      </c>
      <c r="P48" s="67">
        <f>ROUND(IF(O48&lt;J48,O48,0),4)</f>
        <v>0</v>
      </c>
      <c r="Q48" s="67">
        <f>ROUND(IF(J48&gt;O48,0,J48),4)</f>
        <v>0</v>
      </c>
      <c r="R48" s="67">
        <f>ROUND(+P48*D48,4)</f>
        <v>0</v>
      </c>
      <c r="S48" s="67">
        <f>ROUND(IF(K48=0,0,M48*D48),4)</f>
        <v>0</v>
      </c>
      <c r="T48" s="67">
        <f>ROUND(+IF(K48=0,Q48*D48,0),4)</f>
        <v>0</v>
      </c>
      <c r="U48" s="67">
        <f>ROUND(+N48+R48+S48+T48,4)</f>
        <v>65.6892</v>
      </c>
      <c r="V48" s="67">
        <f>ROUND(IF(P48=0,0,I48-H48-O48)+IF(L48=0,0,I48-H48-K48),4)</f>
        <v>0.55700000000000005</v>
      </c>
      <c r="W48" s="67">
        <f>ROUND(+(V48*60%)*D48,4)</f>
        <v>103.0673</v>
      </c>
      <c r="X48" s="148">
        <f>ROUND(+U48+W48,4)</f>
        <v>168.75649999999999</v>
      </c>
      <c r="Y48" s="68"/>
      <c r="Z48" s="151">
        <f>ROUND(IF(X48&gt;I48,X48,I48),4)</f>
        <v>168.75649999999999</v>
      </c>
      <c r="AA48" s="78" t="s">
        <v>231</v>
      </c>
      <c r="AD48" s="78">
        <f t="shared" si="4"/>
        <v>0</v>
      </c>
      <c r="AE48" s="78">
        <f t="shared" si="5"/>
        <v>0</v>
      </c>
    </row>
    <row r="49" spans="1:31" x14ac:dyDescent="0.2">
      <c r="A49" s="66" t="s">
        <v>210</v>
      </c>
      <c r="B49" s="135" t="s">
        <v>107</v>
      </c>
      <c r="C49" s="135" t="s">
        <v>209</v>
      </c>
      <c r="D49" s="145">
        <v>300</v>
      </c>
      <c r="E49" s="67">
        <v>1.05</v>
      </c>
      <c r="F49" s="67" t="s">
        <v>48</v>
      </c>
      <c r="G49" s="67">
        <v>12.38</v>
      </c>
      <c r="H49" s="67">
        <f>ROUND(+E49+G49,4)</f>
        <v>13.43</v>
      </c>
      <c r="I49" s="67">
        <v>14.2</v>
      </c>
      <c r="J49" s="67">
        <f>ROUND(+I49-H49,4)</f>
        <v>0.77</v>
      </c>
      <c r="K49" s="67">
        <f>ROUND(IF(F49="alluminio",0,I49*1.5%),4)</f>
        <v>0.21299999999999999</v>
      </c>
      <c r="L49" s="67">
        <f>ROUND(IF(K49&lt;J49,K49,0),4)</f>
        <v>0.21299999999999999</v>
      </c>
      <c r="M49" s="67">
        <f>ROUND(IF(J49&gt;K49,0,J49),4)</f>
        <v>0</v>
      </c>
      <c r="N49" s="67">
        <f>ROUND(+L49*D49,4)</f>
        <v>63.9</v>
      </c>
      <c r="O49" s="67">
        <f>ROUND(IF(F49="rame",0,+I49*3%),4)</f>
        <v>0</v>
      </c>
      <c r="P49" s="67">
        <f>ROUND(IF(O49&lt;J49,O49,0),4)</f>
        <v>0</v>
      </c>
      <c r="Q49" s="67">
        <f>ROUND(IF(J49&gt;O49,0,J49),4)</f>
        <v>0</v>
      </c>
      <c r="R49" s="67">
        <f>ROUND(+P49*D49,4)</f>
        <v>0</v>
      </c>
      <c r="S49" s="67">
        <f>ROUND(IF(K49=0,0,M49*D49),4)</f>
        <v>0</v>
      </c>
      <c r="T49" s="67">
        <f>ROUND(+IF(K49=0,Q49*D49,0),4)</f>
        <v>0</v>
      </c>
      <c r="U49" s="67">
        <f>ROUND(+N49+R49+S49+T49,4)</f>
        <v>63.9</v>
      </c>
      <c r="V49" s="67">
        <f>ROUND(IF(P49=0,0,I49-H49-O49)+IF(L49=0,0,I49-H49-K49),4)</f>
        <v>0.55700000000000005</v>
      </c>
      <c r="W49" s="67">
        <f>ROUND(+(V49*60%)*D49,4)</f>
        <v>100.26</v>
      </c>
      <c r="X49" s="148">
        <f>ROUND(+U49+W49,4)</f>
        <v>164.16</v>
      </c>
      <c r="Y49" s="68"/>
      <c r="Z49" s="151">
        <f>ROUND(IF(X49&gt;I49,X49,I49),4)</f>
        <v>164.16</v>
      </c>
      <c r="AA49" s="78" t="s">
        <v>231</v>
      </c>
      <c r="AD49" s="78">
        <f t="shared" si="4"/>
        <v>0</v>
      </c>
      <c r="AE49" s="78">
        <f t="shared" si="5"/>
        <v>0</v>
      </c>
    </row>
    <row r="50" spans="1:31" x14ac:dyDescent="0.2">
      <c r="A50" s="66" t="s">
        <v>214</v>
      </c>
      <c r="B50" s="66" t="s">
        <v>107</v>
      </c>
      <c r="C50" s="66" t="s">
        <v>212</v>
      </c>
      <c r="D50" s="144">
        <v>300</v>
      </c>
      <c r="E50" s="67">
        <v>1.05</v>
      </c>
      <c r="F50" s="67" t="s">
        <v>48</v>
      </c>
      <c r="G50" s="67">
        <v>12.53</v>
      </c>
      <c r="H50" s="67">
        <f>ROUND(+E50+G50,4)</f>
        <v>13.58</v>
      </c>
      <c r="I50" s="67">
        <v>14.2</v>
      </c>
      <c r="J50" s="67">
        <f>ROUND(+I50-H50,4)</f>
        <v>0.62</v>
      </c>
      <c r="K50" s="67">
        <f>ROUND(IF(F50="alluminio",0,I50*1.5%),4)</f>
        <v>0.21299999999999999</v>
      </c>
      <c r="L50" s="67">
        <f>ROUND(IF(K50&lt;J50,K50,0),4)</f>
        <v>0.21299999999999999</v>
      </c>
      <c r="M50" s="67">
        <f>ROUND(IF(J50&gt;K50,0,J50),4)</f>
        <v>0</v>
      </c>
      <c r="N50" s="67">
        <f>ROUND(+L50*D50,4)</f>
        <v>63.9</v>
      </c>
      <c r="O50" s="67">
        <f>ROUND(IF(F50="rame",0,+I50*3%),4)</f>
        <v>0</v>
      </c>
      <c r="P50" s="67">
        <f>ROUND(IF(O50&lt;J50,O50,0),4)</f>
        <v>0</v>
      </c>
      <c r="Q50" s="67">
        <f>ROUND(IF(J50&gt;O50,0,J50),4)</f>
        <v>0</v>
      </c>
      <c r="R50" s="67">
        <f>ROUND(+P50*D50,4)</f>
        <v>0</v>
      </c>
      <c r="S50" s="67">
        <f>ROUND(IF(K50=0,0,M50*D50),4)</f>
        <v>0</v>
      </c>
      <c r="T50" s="67">
        <f>ROUND(+IF(K50=0,Q50*D50,0),4)</f>
        <v>0</v>
      </c>
      <c r="U50" s="67">
        <f>ROUND(+N50+R50+S50+T50,4)</f>
        <v>63.9</v>
      </c>
      <c r="V50" s="67">
        <f>ROUND(IF(P50=0,0,I50-H50-O50)+IF(L50=0,0,I50-H50-K50),4)</f>
        <v>0.40699999999999997</v>
      </c>
      <c r="W50" s="67">
        <f>ROUND(+(V50*60%)*D50,4)</f>
        <v>73.260000000000005</v>
      </c>
      <c r="X50" s="148">
        <f>ROUND(+U50+W50,4)</f>
        <v>137.16</v>
      </c>
      <c r="Y50" s="68">
        <v>46174</v>
      </c>
      <c r="Z50" s="148">
        <f>ROUND(IF(X50&gt;I50,X50,I50),4)</f>
        <v>137.16</v>
      </c>
      <c r="AD50" s="78">
        <f t="shared" si="4"/>
        <v>6</v>
      </c>
      <c r="AE50" s="78">
        <f t="shared" si="5"/>
        <v>2026</v>
      </c>
    </row>
    <row r="51" spans="1:31" x14ac:dyDescent="0.2">
      <c r="A51" s="66" t="s">
        <v>214</v>
      </c>
      <c r="B51" s="66" t="s">
        <v>107</v>
      </c>
      <c r="C51" s="66" t="s">
        <v>213</v>
      </c>
      <c r="D51" s="144">
        <v>300</v>
      </c>
      <c r="E51" s="67">
        <v>1.05</v>
      </c>
      <c r="F51" s="67" t="s">
        <v>48</v>
      </c>
      <c r="G51" s="67">
        <v>12.53</v>
      </c>
      <c r="H51" s="67">
        <f>ROUND(+E51+G51,4)</f>
        <v>13.58</v>
      </c>
      <c r="I51" s="67">
        <v>14.2</v>
      </c>
      <c r="J51" s="67">
        <f>ROUND(+I51-H51,4)</f>
        <v>0.62</v>
      </c>
      <c r="K51" s="67">
        <f>ROUND(IF(F51="alluminio",0,I51*1.5%),4)</f>
        <v>0.21299999999999999</v>
      </c>
      <c r="L51" s="67">
        <f>ROUND(IF(K51&lt;J51,K51,0),4)</f>
        <v>0.21299999999999999</v>
      </c>
      <c r="M51" s="67">
        <f>ROUND(IF(J51&gt;K51,0,J51),4)</f>
        <v>0</v>
      </c>
      <c r="N51" s="67">
        <f>ROUND(+L51*D51,4)</f>
        <v>63.9</v>
      </c>
      <c r="O51" s="67">
        <f>ROUND(IF(F51="rame",0,+I51*3%),4)</f>
        <v>0</v>
      </c>
      <c r="P51" s="67">
        <f>ROUND(IF(O51&lt;J51,O51,0),4)</f>
        <v>0</v>
      </c>
      <c r="Q51" s="67">
        <f>ROUND(IF(J51&gt;O51,0,J51),4)</f>
        <v>0</v>
      </c>
      <c r="R51" s="67">
        <f>ROUND(+P51*D51,4)</f>
        <v>0</v>
      </c>
      <c r="S51" s="67">
        <f>ROUND(IF(K51=0,0,M51*D51),4)</f>
        <v>0</v>
      </c>
      <c r="T51" s="67">
        <f>ROUND(+IF(K51=0,Q51*D51,0),4)</f>
        <v>0</v>
      </c>
      <c r="U51" s="67">
        <f>ROUND(+N51+R51+S51+T51,4)</f>
        <v>63.9</v>
      </c>
      <c r="V51" s="67">
        <f>ROUND(IF(P51=0,0,I51-H51-O51)+IF(L51=0,0,I51-H51-K51),4)</f>
        <v>0.40699999999999997</v>
      </c>
      <c r="W51" s="67">
        <f>ROUND(+(V51*60%)*D51,4)</f>
        <v>73.260000000000005</v>
      </c>
      <c r="X51" s="148">
        <f>ROUND(+U51+W51,4)</f>
        <v>137.16</v>
      </c>
      <c r="Y51" s="68">
        <v>46174</v>
      </c>
      <c r="Z51" s="148">
        <f>ROUND(IF(X51&gt;I51,X51,I51),4)</f>
        <v>137.16</v>
      </c>
      <c r="AD51" s="78">
        <f t="shared" si="4"/>
        <v>6</v>
      </c>
      <c r="AE51" s="78">
        <f t="shared" si="5"/>
        <v>2026</v>
      </c>
    </row>
    <row r="52" spans="1:31" x14ac:dyDescent="0.2">
      <c r="A52" s="66" t="s">
        <v>226</v>
      </c>
      <c r="B52" s="66" t="s">
        <v>150</v>
      </c>
      <c r="C52" s="66" t="s">
        <v>215</v>
      </c>
      <c r="D52" s="144">
        <v>300</v>
      </c>
      <c r="E52" s="67">
        <v>1</v>
      </c>
      <c r="F52" s="67" t="s">
        <v>48</v>
      </c>
      <c r="G52" s="67">
        <v>12.43</v>
      </c>
      <c r="H52" s="67">
        <f>ROUND(+E52+G52,4)</f>
        <v>13.43</v>
      </c>
      <c r="I52" s="67">
        <v>14.45</v>
      </c>
      <c r="J52" s="67">
        <f>ROUND(+I52-H52,4)</f>
        <v>1.02</v>
      </c>
      <c r="K52" s="67">
        <f>ROUND(IF(F52="alluminio",0,I52*1.5%),4)</f>
        <v>0.21679999999999999</v>
      </c>
      <c r="L52" s="67">
        <f>ROUND(IF(K52&lt;J52,K52,0),4)</f>
        <v>0.21679999999999999</v>
      </c>
      <c r="M52" s="67">
        <f>ROUND(IF(J52&gt;K52,0,J52),4)</f>
        <v>0</v>
      </c>
      <c r="N52" s="67">
        <f>ROUND(+L52*D52,4)</f>
        <v>65.040000000000006</v>
      </c>
      <c r="O52" s="67">
        <f>ROUND(IF(F52="rame",0,+I52*3%),4)</f>
        <v>0</v>
      </c>
      <c r="P52" s="67">
        <f>ROUND(IF(O52&lt;J52,O52,0),4)</f>
        <v>0</v>
      </c>
      <c r="Q52" s="67">
        <f>ROUND(IF(J52&gt;O52,0,J52),4)</f>
        <v>0</v>
      </c>
      <c r="R52" s="67">
        <f>ROUND(+P52*D52,4)</f>
        <v>0</v>
      </c>
      <c r="S52" s="67">
        <f>ROUND(IF(K52=0,0,M52*D52),4)</f>
        <v>0</v>
      </c>
      <c r="T52" s="67">
        <f>ROUND(+IF(K52=0,Q52*D52,0),4)</f>
        <v>0</v>
      </c>
      <c r="U52" s="67">
        <f>ROUND(+N52+R52+S52+T52,4)</f>
        <v>65.040000000000006</v>
      </c>
      <c r="V52" s="67">
        <f>ROUND(IF(P52=0,0,I52-H52-O52)+IF(L52=0,0,I52-H52-K52),4)</f>
        <v>0.80320000000000003</v>
      </c>
      <c r="W52" s="67">
        <f>ROUND(+(V52*60%)*D52,4)</f>
        <v>144.57599999999999</v>
      </c>
      <c r="X52" s="148">
        <f>ROUND(+U52+W52,4)</f>
        <v>209.61600000000001</v>
      </c>
      <c r="Y52" s="68">
        <v>46175</v>
      </c>
      <c r="Z52" s="148">
        <f>ROUND(IF(X52&gt;I52,X52,I52),4)</f>
        <v>209.61600000000001</v>
      </c>
      <c r="AD52" s="78">
        <f t="shared" si="4"/>
        <v>6</v>
      </c>
      <c r="AE52" s="78">
        <f t="shared" si="5"/>
        <v>2026</v>
      </c>
    </row>
    <row r="53" spans="1:31" x14ac:dyDescent="0.2">
      <c r="A53" s="66" t="s">
        <v>226</v>
      </c>
      <c r="B53" s="66" t="s">
        <v>150</v>
      </c>
      <c r="C53" s="66" t="s">
        <v>167</v>
      </c>
      <c r="D53" s="144">
        <v>300</v>
      </c>
      <c r="E53" s="67">
        <v>1.25</v>
      </c>
      <c r="F53" s="67" t="s">
        <v>48</v>
      </c>
      <c r="G53" s="67">
        <v>12.43</v>
      </c>
      <c r="H53" s="67">
        <f>ROUND(+E53+G53,4)</f>
        <v>13.68</v>
      </c>
      <c r="I53" s="67">
        <v>14.45</v>
      </c>
      <c r="J53" s="67">
        <f>ROUND(+I53-H53,4)</f>
        <v>0.77</v>
      </c>
      <c r="K53" s="67">
        <f>ROUND(IF(F53="alluminio",0,I53*1.5%),4)</f>
        <v>0.21679999999999999</v>
      </c>
      <c r="L53" s="67">
        <f>ROUND(IF(K53&lt;J53,K53,0),4)</f>
        <v>0.21679999999999999</v>
      </c>
      <c r="M53" s="67">
        <f>ROUND(IF(J53&gt;K53,0,J53),4)</f>
        <v>0</v>
      </c>
      <c r="N53" s="67">
        <f>ROUND(+L53*D53,4)</f>
        <v>65.040000000000006</v>
      </c>
      <c r="O53" s="67">
        <f>ROUND(IF(F53="rame",0,+I53*3%),4)</f>
        <v>0</v>
      </c>
      <c r="P53" s="67">
        <f>ROUND(IF(O53&lt;J53,O53,0),4)</f>
        <v>0</v>
      </c>
      <c r="Q53" s="67">
        <f>ROUND(IF(J53&gt;O53,0,J53),4)</f>
        <v>0</v>
      </c>
      <c r="R53" s="67">
        <f>ROUND(+P53*D53,4)</f>
        <v>0</v>
      </c>
      <c r="S53" s="67">
        <f>ROUND(IF(K53=0,0,M53*D53),4)</f>
        <v>0</v>
      </c>
      <c r="T53" s="67">
        <f>ROUND(+IF(K53=0,Q53*D53,0),4)</f>
        <v>0</v>
      </c>
      <c r="U53" s="67">
        <f>ROUND(+N53+R53+S53+T53,4)</f>
        <v>65.040000000000006</v>
      </c>
      <c r="V53" s="67">
        <f>ROUND(IF(P53=0,0,I53-H53-O53)+IF(L53=0,0,I53-H53-K53),4)</f>
        <v>0.55320000000000003</v>
      </c>
      <c r="W53" s="67">
        <f>ROUND(+(V53*60%)*D53,4)</f>
        <v>99.575999999999993</v>
      </c>
      <c r="X53" s="148">
        <f>ROUND(+U53+W53,4)</f>
        <v>164.61600000000001</v>
      </c>
      <c r="Y53" s="68">
        <v>46205</v>
      </c>
      <c r="Z53" s="148">
        <f>ROUND(IF(X53&gt;I53,X53,I53),4)</f>
        <v>164.61600000000001</v>
      </c>
      <c r="AD53" s="78">
        <f t="shared" si="4"/>
        <v>7</v>
      </c>
      <c r="AE53" s="78">
        <f t="shared" si="5"/>
        <v>2026</v>
      </c>
    </row>
    <row r="54" spans="1:31" x14ac:dyDescent="0.2">
      <c r="A54" s="66" t="s">
        <v>226</v>
      </c>
      <c r="B54" s="66" t="s">
        <v>150</v>
      </c>
      <c r="C54" s="66" t="s">
        <v>166</v>
      </c>
      <c r="D54" s="144">
        <v>600</v>
      </c>
      <c r="E54" s="67">
        <v>1</v>
      </c>
      <c r="F54" s="67" t="s">
        <v>48</v>
      </c>
      <c r="G54" s="67">
        <v>12.43</v>
      </c>
      <c r="H54" s="67">
        <f>ROUND(+E54+G54,4)</f>
        <v>13.43</v>
      </c>
      <c r="I54" s="67">
        <v>14.45</v>
      </c>
      <c r="J54" s="67">
        <f>ROUND(+I54-H54,4)</f>
        <v>1.02</v>
      </c>
      <c r="K54" s="67">
        <f>ROUND(IF(F54="alluminio",0,I54*1.5%),4)</f>
        <v>0.21679999999999999</v>
      </c>
      <c r="L54" s="67">
        <f>ROUND(IF(K54&lt;J54,K54,0),4)</f>
        <v>0.21679999999999999</v>
      </c>
      <c r="M54" s="67">
        <f>ROUND(IF(J54&gt;K54,0,J54),4)</f>
        <v>0</v>
      </c>
      <c r="N54" s="67">
        <f>ROUND(+L54*D54,4)</f>
        <v>130.08000000000001</v>
      </c>
      <c r="O54" s="67">
        <f>ROUND(IF(F54="rame",0,+I54*3%),4)</f>
        <v>0</v>
      </c>
      <c r="P54" s="67">
        <f>ROUND(IF(O54&lt;J54,O54,0),4)</f>
        <v>0</v>
      </c>
      <c r="Q54" s="67">
        <f>ROUND(IF(J54&gt;O54,0,J54),4)</f>
        <v>0</v>
      </c>
      <c r="R54" s="67">
        <f>ROUND(+P54*D54,4)</f>
        <v>0</v>
      </c>
      <c r="S54" s="67">
        <f>ROUND(IF(K54=0,0,M54*D54),4)</f>
        <v>0</v>
      </c>
      <c r="T54" s="67">
        <f>ROUND(+IF(K54=0,Q54*D54,0),4)</f>
        <v>0</v>
      </c>
      <c r="U54" s="67">
        <f>ROUND(+N54+R54+S54+T54,4)</f>
        <v>130.08000000000001</v>
      </c>
      <c r="V54" s="67">
        <f>ROUND(IF(P54=0,0,I54-H54-O54)+IF(L54=0,0,I54-H54-K54),4)</f>
        <v>0.80320000000000003</v>
      </c>
      <c r="W54" s="67">
        <f>ROUND(+(V54*60%)*D54,4)</f>
        <v>289.15199999999999</v>
      </c>
      <c r="X54" s="148">
        <f>ROUND(+U54+W54,4)</f>
        <v>419.23200000000003</v>
      </c>
      <c r="Y54" s="68">
        <v>46175</v>
      </c>
      <c r="Z54" s="148">
        <f>ROUND(IF(X54&gt;I54,X54,I54),4)</f>
        <v>419.23200000000003</v>
      </c>
      <c r="AD54" s="78">
        <f t="shared" si="4"/>
        <v>6</v>
      </c>
      <c r="AE54" s="78">
        <f t="shared" si="5"/>
        <v>2026</v>
      </c>
    </row>
    <row r="55" spans="1:31" x14ac:dyDescent="0.2">
      <c r="A55" s="111" t="s">
        <v>223</v>
      </c>
      <c r="B55" s="66" t="s">
        <v>56</v>
      </c>
      <c r="C55" s="66" t="s">
        <v>216</v>
      </c>
      <c r="D55" s="144">
        <v>500</v>
      </c>
      <c r="E55" s="67">
        <v>0.77</v>
      </c>
      <c r="F55" s="67" t="s">
        <v>14</v>
      </c>
      <c r="G55" s="67">
        <v>4.08</v>
      </c>
      <c r="H55" s="67">
        <f>ROUND(+E55+G55,4)</f>
        <v>4.8499999999999996</v>
      </c>
      <c r="I55" s="67">
        <v>6.15</v>
      </c>
      <c r="J55" s="67">
        <f>ROUND(+I55-H55,4)</f>
        <v>1.3</v>
      </c>
      <c r="K55" s="67">
        <f>ROUND(IF(F55="alluminio",0,I55*1.5%),4)</f>
        <v>0</v>
      </c>
      <c r="L55" s="67">
        <f>ROUND(IF(K55&lt;J55,K55,0),4)</f>
        <v>0</v>
      </c>
      <c r="M55" s="67">
        <f>ROUND(IF(J55&gt;K55,0,J55),4)</f>
        <v>0</v>
      </c>
      <c r="N55" s="67">
        <f>ROUND(+L55*D55,4)</f>
        <v>0</v>
      </c>
      <c r="O55" s="67">
        <f>ROUND(IF(F55="rame",0,+I55*3%),4)</f>
        <v>0.1845</v>
      </c>
      <c r="P55" s="67">
        <f>ROUND(IF(O55&lt;J55,O55,0),4)</f>
        <v>0.1845</v>
      </c>
      <c r="Q55" s="67">
        <f>ROUND(IF(J55&gt;O55,0,J55),4)</f>
        <v>0</v>
      </c>
      <c r="R55" s="67">
        <f>ROUND(+P55*D55,4)</f>
        <v>92.25</v>
      </c>
      <c r="S55" s="67">
        <f>ROUND(IF(K55=0,0,M55*D55),4)</f>
        <v>0</v>
      </c>
      <c r="T55" s="67">
        <f>ROUND(+IF(K55=0,Q55*D55,0),4)</f>
        <v>0</v>
      </c>
      <c r="U55" s="67">
        <f>ROUND(+N55+R55+S55+T55,4)</f>
        <v>92.25</v>
      </c>
      <c r="V55" s="67">
        <f>ROUND(IF(P55=0,0,I55-H55-O55)+IF(L55=0,0,I55-H55-K55),4)</f>
        <v>1.1154999999999999</v>
      </c>
      <c r="W55" s="67">
        <f>ROUND(+(V55*60%)*D55,4)</f>
        <v>334.65</v>
      </c>
      <c r="X55" s="148">
        <f>ROUND(+U55+W55,4)</f>
        <v>426.9</v>
      </c>
      <c r="Y55" s="68">
        <v>46206</v>
      </c>
      <c r="Z55" s="148">
        <f>ROUND(IF(X55&gt;I55,X55,I55),4)</f>
        <v>426.9</v>
      </c>
      <c r="AD55" s="78">
        <f t="shared" si="4"/>
        <v>7</v>
      </c>
      <c r="AE55" s="78">
        <f t="shared" si="5"/>
        <v>2026</v>
      </c>
    </row>
    <row r="56" spans="1:31" x14ac:dyDescent="0.2">
      <c r="A56" s="66" t="s">
        <v>224</v>
      </c>
      <c r="B56" s="66" t="s">
        <v>78</v>
      </c>
      <c r="C56" s="66" t="s">
        <v>217</v>
      </c>
      <c r="D56" s="144">
        <v>300</v>
      </c>
      <c r="E56" s="67">
        <v>1.33</v>
      </c>
      <c r="F56" s="67" t="s">
        <v>14</v>
      </c>
      <c r="G56" s="67">
        <v>4.08</v>
      </c>
      <c r="H56" s="67">
        <f>ROUND(+E56+G56,4)</f>
        <v>5.41</v>
      </c>
      <c r="I56" s="67">
        <v>5.9</v>
      </c>
      <c r="J56" s="67">
        <f>ROUND(+I56-H56,4)</f>
        <v>0.49</v>
      </c>
      <c r="K56" s="67">
        <f>ROUND(IF(F56="alluminio",0,I56*1.5%),4)</f>
        <v>0</v>
      </c>
      <c r="L56" s="67">
        <f>ROUND(IF(K56&lt;J56,K56,0),4)</f>
        <v>0</v>
      </c>
      <c r="M56" s="67">
        <f>ROUND(IF(J56&gt;K56,0,J56),4)</f>
        <v>0</v>
      </c>
      <c r="N56" s="67">
        <f>ROUND(+L56*D56,4)</f>
        <v>0</v>
      </c>
      <c r="O56" s="67">
        <f>ROUND(IF(F56="rame",0,+I56*3%),4)</f>
        <v>0.17699999999999999</v>
      </c>
      <c r="P56" s="67">
        <f>ROUND(IF(O56&lt;J56,O56,0),4)</f>
        <v>0.17699999999999999</v>
      </c>
      <c r="Q56" s="67">
        <f>ROUND(IF(J56&gt;O56,0,J56),4)</f>
        <v>0</v>
      </c>
      <c r="R56" s="67">
        <f>ROUND(+P56*D56,4)</f>
        <v>53.1</v>
      </c>
      <c r="S56" s="67">
        <f>ROUND(IF(K56=0,0,M56*D56),4)</f>
        <v>0</v>
      </c>
      <c r="T56" s="67">
        <f>ROUND(+IF(K56=0,Q56*D56,0),4)</f>
        <v>0</v>
      </c>
      <c r="U56" s="67">
        <f>ROUND(+N56+R56+S56+T56,4)</f>
        <v>53.1</v>
      </c>
      <c r="V56" s="67">
        <f>ROUND(IF(P56=0,0,I56-H56-O56)+IF(L56=0,0,I56-H56-K56),4)</f>
        <v>0.313</v>
      </c>
      <c r="W56" s="67">
        <f>ROUND(+(V56*60%)*D56,4)</f>
        <v>56.34</v>
      </c>
      <c r="X56" s="148">
        <f>ROUND(+U56+W56,4)</f>
        <v>109.44</v>
      </c>
      <c r="Y56" s="68">
        <v>46155</v>
      </c>
      <c r="Z56" s="148">
        <f>ROUND(IF(X56&gt;I56,X56,I56),4)</f>
        <v>109.44</v>
      </c>
      <c r="AD56" s="78">
        <f t="shared" si="4"/>
        <v>5</v>
      </c>
      <c r="AE56" s="78">
        <f t="shared" si="5"/>
        <v>2026</v>
      </c>
    </row>
    <row r="57" spans="1:31" x14ac:dyDescent="0.2">
      <c r="A57" s="66" t="s">
        <v>224</v>
      </c>
      <c r="B57" s="66" t="s">
        <v>78</v>
      </c>
      <c r="C57" s="66" t="s">
        <v>218</v>
      </c>
      <c r="D57" s="144">
        <v>300</v>
      </c>
      <c r="E57" s="67">
        <v>1.1499999999999999</v>
      </c>
      <c r="F57" s="67" t="s">
        <v>14</v>
      </c>
      <c r="G57" s="67">
        <v>4.08</v>
      </c>
      <c r="H57" s="67">
        <f>ROUND(+E57+G57,4)</f>
        <v>5.23</v>
      </c>
      <c r="I57" s="67">
        <v>5.72</v>
      </c>
      <c r="J57" s="67">
        <f>ROUND(+I57-H57,4)</f>
        <v>0.49</v>
      </c>
      <c r="K57" s="67">
        <f>ROUND(IF(F57="alluminio",0,I57*1.5%),4)</f>
        <v>0</v>
      </c>
      <c r="L57" s="67">
        <f>ROUND(IF(K57&lt;J57,K57,0),4)</f>
        <v>0</v>
      </c>
      <c r="M57" s="67">
        <f>ROUND(IF(J57&gt;K57,0,J57),4)</f>
        <v>0</v>
      </c>
      <c r="N57" s="67">
        <f>ROUND(+L57*D57,4)</f>
        <v>0</v>
      </c>
      <c r="O57" s="67">
        <f>ROUND(IF(F57="rame",0,+I57*3%),4)</f>
        <v>0.1716</v>
      </c>
      <c r="P57" s="67">
        <f>ROUND(IF(O57&lt;J57,O57,0),4)</f>
        <v>0.1716</v>
      </c>
      <c r="Q57" s="67">
        <f>ROUND(IF(J57&gt;O57,0,J57),4)</f>
        <v>0</v>
      </c>
      <c r="R57" s="67">
        <f>ROUND(+P57*D57,4)</f>
        <v>51.48</v>
      </c>
      <c r="S57" s="67">
        <f>ROUND(IF(K57=0,0,M57*D57),4)</f>
        <v>0</v>
      </c>
      <c r="T57" s="67">
        <f>ROUND(+IF(K57=0,Q57*D57,0),4)</f>
        <v>0</v>
      </c>
      <c r="U57" s="67">
        <f>ROUND(+N57+R57+S57+T57,4)</f>
        <v>51.48</v>
      </c>
      <c r="V57" s="67">
        <f>ROUND(IF(P57=0,0,I57-H57-O57)+IF(L57=0,0,I57-H57-K57),4)</f>
        <v>0.31840000000000002</v>
      </c>
      <c r="W57" s="67">
        <f>ROUND(+(V57*60%)*D57,4)</f>
        <v>57.311999999999998</v>
      </c>
      <c r="X57" s="148">
        <f>ROUND(+U57+W57,4)</f>
        <v>108.792</v>
      </c>
      <c r="Y57" s="68">
        <v>46155</v>
      </c>
      <c r="Z57" s="148">
        <f>ROUND(IF(X57&gt;I57,X57,I57),4)</f>
        <v>108.792</v>
      </c>
      <c r="AD57" s="78">
        <f t="shared" si="4"/>
        <v>5</v>
      </c>
      <c r="AE57" s="78">
        <f t="shared" si="5"/>
        <v>2026</v>
      </c>
    </row>
    <row r="58" spans="1:31" x14ac:dyDescent="0.2">
      <c r="A58" s="66" t="s">
        <v>224</v>
      </c>
      <c r="B58" s="66" t="s">
        <v>78</v>
      </c>
      <c r="C58" s="66" t="s">
        <v>219</v>
      </c>
      <c r="D58" s="144">
        <v>300</v>
      </c>
      <c r="E58" s="67">
        <v>1.96</v>
      </c>
      <c r="F58" s="67" t="s">
        <v>14</v>
      </c>
      <c r="G58" s="67">
        <v>4.08</v>
      </c>
      <c r="H58" s="67">
        <f>ROUND(+E58+G58,4)</f>
        <v>6.04</v>
      </c>
      <c r="I58" s="67">
        <v>6.53</v>
      </c>
      <c r="J58" s="67">
        <f>ROUND(+I58-H58,4)</f>
        <v>0.49</v>
      </c>
      <c r="K58" s="67">
        <f>ROUND(IF(F58="alluminio",0,I58*1.5%),4)</f>
        <v>0</v>
      </c>
      <c r="L58" s="67">
        <f>ROUND(IF(K58&lt;J58,K58,0),4)</f>
        <v>0</v>
      </c>
      <c r="M58" s="67">
        <f>ROUND(IF(J58&gt;K58,0,J58),4)</f>
        <v>0</v>
      </c>
      <c r="N58" s="67">
        <f>ROUND(+L58*D58,4)</f>
        <v>0</v>
      </c>
      <c r="O58" s="67">
        <f>ROUND(IF(F58="rame",0,+I58*3%),4)</f>
        <v>0.19589999999999999</v>
      </c>
      <c r="P58" s="67">
        <f>ROUND(IF(O58&lt;J58,O58,0),4)</f>
        <v>0.19589999999999999</v>
      </c>
      <c r="Q58" s="67">
        <f>ROUND(IF(J58&gt;O58,0,J58),4)</f>
        <v>0</v>
      </c>
      <c r="R58" s="67">
        <f>ROUND(+P58*D58,4)</f>
        <v>58.77</v>
      </c>
      <c r="S58" s="67">
        <f>ROUND(IF(K58=0,0,M58*D58),4)</f>
        <v>0</v>
      </c>
      <c r="T58" s="67">
        <f>ROUND(+IF(K58=0,Q58*D58,0),4)</f>
        <v>0</v>
      </c>
      <c r="U58" s="67">
        <f>ROUND(+N58+R58+S58+T58,4)</f>
        <v>58.77</v>
      </c>
      <c r="V58" s="67">
        <f>ROUND(IF(P58=0,0,I58-H58-O58)+IF(L58=0,0,I58-H58-K58),4)</f>
        <v>0.29409999999999997</v>
      </c>
      <c r="W58" s="67">
        <f>ROUND(+(V58*60%)*D58,4)</f>
        <v>52.938000000000002</v>
      </c>
      <c r="X58" s="148">
        <f>ROUND(+U58+W58,4)</f>
        <v>111.708</v>
      </c>
      <c r="Y58" s="68">
        <v>46176</v>
      </c>
      <c r="Z58" s="148">
        <f>ROUND(IF(X58&gt;I58,X58,I58),4)</f>
        <v>111.708</v>
      </c>
      <c r="AD58" s="78">
        <f t="shared" si="4"/>
        <v>6</v>
      </c>
      <c r="AE58" s="78">
        <f t="shared" si="5"/>
        <v>2026</v>
      </c>
    </row>
    <row r="59" spans="1:31" x14ac:dyDescent="0.2">
      <c r="A59" s="66" t="s">
        <v>224</v>
      </c>
      <c r="B59" s="66" t="s">
        <v>78</v>
      </c>
      <c r="C59" s="66" t="s">
        <v>220</v>
      </c>
      <c r="D59" s="144">
        <v>300</v>
      </c>
      <c r="E59" s="67">
        <v>1.66</v>
      </c>
      <c r="F59" s="67" t="s">
        <v>14</v>
      </c>
      <c r="G59" s="67">
        <v>4.08</v>
      </c>
      <c r="H59" s="67">
        <f>ROUND(+E59+G59,4)</f>
        <v>5.74</v>
      </c>
      <c r="I59" s="67">
        <v>6.23</v>
      </c>
      <c r="J59" s="67">
        <f>ROUND(+I59-H59,4)</f>
        <v>0.49</v>
      </c>
      <c r="K59" s="67">
        <f>ROUND(IF(F59="alluminio",0,I59*1.5%),4)</f>
        <v>0</v>
      </c>
      <c r="L59" s="67">
        <f>ROUND(IF(K59&lt;J59,K59,0),4)</f>
        <v>0</v>
      </c>
      <c r="M59" s="67">
        <f>ROUND(IF(J59&gt;K59,0,J59),4)</f>
        <v>0</v>
      </c>
      <c r="N59" s="67">
        <f>ROUND(+L59*D59,4)</f>
        <v>0</v>
      </c>
      <c r="O59" s="67">
        <f>ROUND(IF(F59="rame",0,+I59*3%),4)</f>
        <v>0.18690000000000001</v>
      </c>
      <c r="P59" s="67">
        <f>ROUND(IF(O59&lt;J59,O59,0),4)</f>
        <v>0.18690000000000001</v>
      </c>
      <c r="Q59" s="67">
        <f>ROUND(IF(J59&gt;O59,0,J59),4)</f>
        <v>0</v>
      </c>
      <c r="R59" s="67">
        <f>ROUND(+P59*D59,4)</f>
        <v>56.07</v>
      </c>
      <c r="S59" s="67">
        <f>ROUND(IF(K59=0,0,M59*D59),4)</f>
        <v>0</v>
      </c>
      <c r="T59" s="67">
        <f>ROUND(+IF(K59=0,Q59*D59,0),4)</f>
        <v>0</v>
      </c>
      <c r="U59" s="67">
        <f>ROUND(+N59+R59+S59+T59,4)</f>
        <v>56.07</v>
      </c>
      <c r="V59" s="67">
        <f>ROUND(IF(P59=0,0,I59-H59-O59)+IF(L59=0,0,I59-H59-K59),4)</f>
        <v>0.30309999999999998</v>
      </c>
      <c r="W59" s="67">
        <f>ROUND(+(V59*60%)*D59,4)</f>
        <v>54.558</v>
      </c>
      <c r="X59" s="148">
        <f>ROUND(+U59+W59,4)</f>
        <v>110.628</v>
      </c>
      <c r="Y59" s="68">
        <v>46176</v>
      </c>
      <c r="Z59" s="148">
        <f>ROUND(IF(X59&gt;I59,X59,I59),4)</f>
        <v>110.628</v>
      </c>
      <c r="AD59" s="78">
        <f t="shared" si="4"/>
        <v>6</v>
      </c>
      <c r="AE59" s="78">
        <f t="shared" si="5"/>
        <v>2026</v>
      </c>
    </row>
    <row r="60" spans="1:31" x14ac:dyDescent="0.2">
      <c r="A60" s="66" t="s">
        <v>224</v>
      </c>
      <c r="B60" s="66" t="s">
        <v>78</v>
      </c>
      <c r="C60" s="66" t="s">
        <v>221</v>
      </c>
      <c r="D60" s="144">
        <v>300</v>
      </c>
      <c r="E60" s="67">
        <v>1.42</v>
      </c>
      <c r="F60" s="67" t="s">
        <v>14</v>
      </c>
      <c r="G60" s="67">
        <v>4.08</v>
      </c>
      <c r="H60" s="67">
        <f>ROUND(+E60+G60,4)</f>
        <v>5.5</v>
      </c>
      <c r="I60" s="67">
        <v>5.99</v>
      </c>
      <c r="J60" s="67">
        <f>ROUND(+I60-H60,4)</f>
        <v>0.49</v>
      </c>
      <c r="K60" s="67">
        <f>ROUND(IF(F60="alluminio",0,I60*1.5%),4)</f>
        <v>0</v>
      </c>
      <c r="L60" s="67">
        <f>ROUND(IF(K60&lt;J60,K60,0),4)</f>
        <v>0</v>
      </c>
      <c r="M60" s="67">
        <f>ROUND(IF(J60&gt;K60,0,J60),4)</f>
        <v>0</v>
      </c>
      <c r="N60" s="67">
        <f>ROUND(+L60*D60,4)</f>
        <v>0</v>
      </c>
      <c r="O60" s="67">
        <f>ROUND(IF(F60="rame",0,+I60*3%),4)</f>
        <v>0.1797</v>
      </c>
      <c r="P60" s="67">
        <f>ROUND(IF(O60&lt;J60,O60,0),4)</f>
        <v>0.1797</v>
      </c>
      <c r="Q60" s="67">
        <f>ROUND(IF(J60&gt;O60,0,J60),4)</f>
        <v>0</v>
      </c>
      <c r="R60" s="67">
        <f>ROUND(+P60*D60,4)</f>
        <v>53.91</v>
      </c>
      <c r="S60" s="67">
        <f>ROUND(IF(K60=0,0,M60*D60),4)</f>
        <v>0</v>
      </c>
      <c r="T60" s="67">
        <f>ROUND(+IF(K60=0,Q60*D60,0),4)</f>
        <v>0</v>
      </c>
      <c r="U60" s="67">
        <f>ROUND(+N60+R60+S60+T60,4)</f>
        <v>53.91</v>
      </c>
      <c r="V60" s="67">
        <f>ROUND(IF(P60=0,0,I60-H60-O60)+IF(L60=0,0,I60-H60-K60),4)</f>
        <v>0.31030000000000002</v>
      </c>
      <c r="W60" s="67">
        <f>ROUND(+(V60*60%)*D60,4)</f>
        <v>55.853999999999999</v>
      </c>
      <c r="X60" s="148">
        <f>ROUND(+U60+W60,4)</f>
        <v>109.764</v>
      </c>
      <c r="Y60" s="68">
        <v>46176</v>
      </c>
      <c r="Z60" s="148">
        <f>ROUND(IF(X60&gt;I60,X60,I60),4)</f>
        <v>109.764</v>
      </c>
      <c r="AD60" s="78">
        <f t="shared" si="4"/>
        <v>6</v>
      </c>
      <c r="AE60" s="78">
        <f t="shared" si="5"/>
        <v>2026</v>
      </c>
    </row>
    <row r="61" spans="1:31" x14ac:dyDescent="0.2">
      <c r="A61" s="66" t="s">
        <v>224</v>
      </c>
      <c r="B61" s="66" t="s">
        <v>78</v>
      </c>
      <c r="C61" s="66" t="s">
        <v>222</v>
      </c>
      <c r="D61" s="144">
        <v>300</v>
      </c>
      <c r="E61" s="67">
        <v>1.18</v>
      </c>
      <c r="F61" s="67" t="s">
        <v>14</v>
      </c>
      <c r="G61" s="67">
        <v>4.08</v>
      </c>
      <c r="H61" s="67">
        <f>ROUND(+E61+G61,4)</f>
        <v>5.26</v>
      </c>
      <c r="I61" s="67">
        <v>5.72</v>
      </c>
      <c r="J61" s="67">
        <f>ROUND(+I61-H61,4)</f>
        <v>0.46</v>
      </c>
      <c r="K61" s="67">
        <f>ROUND(IF(F61="alluminio",0,I61*1.5%),4)</f>
        <v>0</v>
      </c>
      <c r="L61" s="67">
        <f>ROUND(IF(K61&lt;J61,K61,0),4)</f>
        <v>0</v>
      </c>
      <c r="M61" s="67">
        <f>ROUND(IF(J61&gt;K61,0,J61),4)</f>
        <v>0</v>
      </c>
      <c r="N61" s="67">
        <f>ROUND(+L61*D61,4)</f>
        <v>0</v>
      </c>
      <c r="O61" s="67">
        <f>ROUND(IF(F61="rame",0,+I61*3%),4)</f>
        <v>0.1716</v>
      </c>
      <c r="P61" s="67">
        <f>ROUND(IF(O61&lt;J61,O61,0),4)</f>
        <v>0.1716</v>
      </c>
      <c r="Q61" s="67">
        <f>ROUND(IF(J61&gt;O61,0,J61),4)</f>
        <v>0</v>
      </c>
      <c r="R61" s="67">
        <f>ROUND(+P61*D61,4)</f>
        <v>51.48</v>
      </c>
      <c r="S61" s="67">
        <f>ROUND(IF(K61=0,0,M61*D61),4)</f>
        <v>0</v>
      </c>
      <c r="T61" s="67">
        <f>ROUND(+IF(K61=0,Q61*D61,0),4)</f>
        <v>0</v>
      </c>
      <c r="U61" s="67">
        <f>ROUND(+N61+R61+S61+T61,4)</f>
        <v>51.48</v>
      </c>
      <c r="V61" s="67">
        <f>ROUND(IF(P61=0,0,I61-H61-O61)+IF(L61=0,0,I61-H61-K61),4)</f>
        <v>0.28839999999999999</v>
      </c>
      <c r="W61" s="67">
        <f>ROUND(+(V61*60%)*D61,4)</f>
        <v>51.911999999999999</v>
      </c>
      <c r="X61" s="148">
        <f>ROUND(+U61+W61,4)</f>
        <v>103.392</v>
      </c>
      <c r="Y61" s="68">
        <v>46176</v>
      </c>
      <c r="Z61" s="148">
        <f>ROUND(IF(X61&gt;I61,X61,I61),4)</f>
        <v>103.392</v>
      </c>
      <c r="AD61" s="78">
        <f t="shared" si="4"/>
        <v>6</v>
      </c>
      <c r="AE61" s="78">
        <f t="shared" si="5"/>
        <v>2026</v>
      </c>
    </row>
    <row r="62" spans="1:31" x14ac:dyDescent="0.2">
      <c r="A62" s="66" t="s">
        <v>225</v>
      </c>
      <c r="B62" s="66" t="s">
        <v>68</v>
      </c>
      <c r="C62" s="66" t="s">
        <v>228</v>
      </c>
      <c r="D62" s="144">
        <v>400</v>
      </c>
      <c r="E62" s="67">
        <v>0.77</v>
      </c>
      <c r="F62" s="67" t="s">
        <v>14</v>
      </c>
      <c r="G62" s="67">
        <v>4.08</v>
      </c>
      <c r="H62" s="67">
        <f>ROUND(+E62+G62,4)</f>
        <v>4.8499999999999996</v>
      </c>
      <c r="I62" s="67">
        <v>5.43</v>
      </c>
      <c r="J62" s="67">
        <f>ROUND(+I62-H62,4)</f>
        <v>0.57999999999999996</v>
      </c>
      <c r="K62" s="67">
        <f>ROUND(IF(F62="alluminio",0,I62*1.5%),4)</f>
        <v>0</v>
      </c>
      <c r="L62" s="67">
        <f>ROUND(IF(K62&lt;J62,K62,0),4)</f>
        <v>0</v>
      </c>
      <c r="M62" s="67">
        <f>ROUND(IF(J62&gt;K62,0,J62),4)</f>
        <v>0</v>
      </c>
      <c r="N62" s="67">
        <f>ROUND(+L62*D62,4)</f>
        <v>0</v>
      </c>
      <c r="O62" s="67">
        <f>ROUND(IF(F62="rame",0,+I62*3%),4)</f>
        <v>0.16289999999999999</v>
      </c>
      <c r="P62" s="67">
        <f>ROUND(IF(O62&lt;J62,O62,0),4)</f>
        <v>0.16289999999999999</v>
      </c>
      <c r="Q62" s="67">
        <f>ROUND(IF(J62&gt;O62,0,J62),4)</f>
        <v>0</v>
      </c>
      <c r="R62" s="67">
        <f>ROUND(+P62*D62,4)</f>
        <v>65.16</v>
      </c>
      <c r="S62" s="67">
        <f>ROUND(IF(K62=0,0,M62*D62),4)</f>
        <v>0</v>
      </c>
      <c r="T62" s="67">
        <f>ROUND(+IF(K62=0,Q62*D62,0),4)</f>
        <v>0</v>
      </c>
      <c r="U62" s="67">
        <f>ROUND(+N62+R62+S62+T62,4)</f>
        <v>65.16</v>
      </c>
      <c r="V62" s="67">
        <f>ROUND(IF(P62=0,0,I62-H62-O62)+IF(L62=0,0,I62-H62-K62),4)</f>
        <v>0.41710000000000003</v>
      </c>
      <c r="W62" s="67">
        <f>ROUND(+(V62*60%)*D62,4)</f>
        <v>100.104</v>
      </c>
      <c r="X62" s="148">
        <f>ROUND(+U62+W62,4)</f>
        <v>165.26400000000001</v>
      </c>
      <c r="Y62" s="68">
        <v>46157</v>
      </c>
      <c r="Z62" s="148">
        <f>ROUND(IF(X62&gt;I62,X62,I62),4)</f>
        <v>165.26400000000001</v>
      </c>
      <c r="AD62" s="78">
        <f t="shared" si="4"/>
        <v>5</v>
      </c>
      <c r="AE62" s="78">
        <f t="shared" si="5"/>
        <v>2026</v>
      </c>
    </row>
    <row r="63" spans="1:31" x14ac:dyDescent="0.2">
      <c r="A63" s="66" t="s">
        <v>230</v>
      </c>
      <c r="B63" s="66" t="s">
        <v>68</v>
      </c>
      <c r="C63" s="66" t="s">
        <v>227</v>
      </c>
      <c r="D63" s="144">
        <v>350</v>
      </c>
      <c r="E63" s="67">
        <v>0.95</v>
      </c>
      <c r="F63" s="67" t="s">
        <v>48</v>
      </c>
      <c r="G63" s="67">
        <v>12.2</v>
      </c>
      <c r="H63" s="67">
        <f>ROUND(+E63+G63,4)</f>
        <v>13.15</v>
      </c>
      <c r="I63" s="67">
        <v>13.65</v>
      </c>
      <c r="J63" s="67">
        <f>ROUND(+I63-H63,4)</f>
        <v>0.5</v>
      </c>
      <c r="K63" s="67">
        <f>ROUND(IF(F63="alluminio",0,I63*1.5%),4)</f>
        <v>0.20480000000000001</v>
      </c>
      <c r="L63" s="67">
        <f>ROUND(IF(K63&lt;J63,K63,0),4)</f>
        <v>0.20480000000000001</v>
      </c>
      <c r="M63" s="67">
        <f>ROUND(IF(J63&gt;K63,0,J63),4)</f>
        <v>0</v>
      </c>
      <c r="N63" s="67">
        <f>ROUND(+L63*D63,4)</f>
        <v>71.680000000000007</v>
      </c>
      <c r="O63" s="67">
        <f>ROUND(IF(F63="rame",0,+I63*3%),4)</f>
        <v>0</v>
      </c>
      <c r="P63" s="67">
        <f>ROUND(IF(O63&lt;J63,O63,0),4)</f>
        <v>0</v>
      </c>
      <c r="Q63" s="67">
        <f>ROUND(IF(J63&gt;O63,0,J63),4)</f>
        <v>0</v>
      </c>
      <c r="R63" s="67">
        <f>ROUND(+P63*D63,4)</f>
        <v>0</v>
      </c>
      <c r="S63" s="67">
        <f>ROUND(IF(K63=0,0,M63*D63),4)</f>
        <v>0</v>
      </c>
      <c r="T63" s="67">
        <f>ROUND(+IF(K63=0,Q63*D63,0),4)</f>
        <v>0</v>
      </c>
      <c r="U63" s="67">
        <f>ROUND(+N63+R63+S63+T63,4)</f>
        <v>71.680000000000007</v>
      </c>
      <c r="V63" s="67">
        <f>ROUND(IF(P63=0,0,I63-H63-O63)+IF(L63=0,0,I63-H63-K63),4)</f>
        <v>0.29520000000000002</v>
      </c>
      <c r="W63" s="67">
        <f>ROUND(+(V63*60%)*D63,4)</f>
        <v>61.991999999999997</v>
      </c>
      <c r="X63" s="148">
        <f>ROUND(+U63+W63,4)</f>
        <v>133.672</v>
      </c>
      <c r="Y63" s="68">
        <v>46152</v>
      </c>
      <c r="Z63" s="148">
        <f>ROUND(IF(X63&gt;I63,X63,I63),4)</f>
        <v>133.672</v>
      </c>
      <c r="AD63" s="78">
        <f t="shared" si="4"/>
        <v>5</v>
      </c>
      <c r="AE63" s="78">
        <f t="shared" si="5"/>
        <v>2026</v>
      </c>
    </row>
    <row r="64" spans="1:31" x14ac:dyDescent="0.2">
      <c r="A64" s="66" t="s">
        <v>230</v>
      </c>
      <c r="B64" s="66" t="s">
        <v>68</v>
      </c>
      <c r="C64" s="66" t="s">
        <v>227</v>
      </c>
      <c r="D64" s="144">
        <v>350</v>
      </c>
      <c r="E64" s="67">
        <v>0.95</v>
      </c>
      <c r="F64" s="67" t="s">
        <v>48</v>
      </c>
      <c r="G64" s="67">
        <v>12.2</v>
      </c>
      <c r="H64" s="67">
        <f>ROUND(+E64+G64,4)</f>
        <v>13.15</v>
      </c>
      <c r="I64" s="67">
        <v>13.65</v>
      </c>
      <c r="J64" s="67">
        <f>ROUND(+I64-H64,4)</f>
        <v>0.5</v>
      </c>
      <c r="K64" s="67">
        <f>ROUND(IF(F64="alluminio",0,I64*1.5%),4)</f>
        <v>0.20480000000000001</v>
      </c>
      <c r="L64" s="67">
        <f>ROUND(IF(K64&lt;J64,K64,0),4)</f>
        <v>0.20480000000000001</v>
      </c>
      <c r="M64" s="67">
        <f>ROUND(IF(J64&gt;K64,0,J64),4)</f>
        <v>0</v>
      </c>
      <c r="N64" s="67">
        <f>ROUND(+L64*D64,4)</f>
        <v>71.680000000000007</v>
      </c>
      <c r="O64" s="67">
        <f>ROUND(IF(F64="rame",0,+I64*3%),4)</f>
        <v>0</v>
      </c>
      <c r="P64" s="67">
        <f>ROUND(IF(O64&lt;J64,O64,0),4)</f>
        <v>0</v>
      </c>
      <c r="Q64" s="67">
        <f>ROUND(IF(J64&gt;O64,0,J64),4)</f>
        <v>0</v>
      </c>
      <c r="R64" s="67">
        <f>ROUND(+P64*D64,4)</f>
        <v>0</v>
      </c>
      <c r="S64" s="67">
        <f>ROUND(IF(K64=0,0,M64*D64),4)</f>
        <v>0</v>
      </c>
      <c r="T64" s="67">
        <f>ROUND(+IF(K64=0,Q64*D64,0),4)</f>
        <v>0</v>
      </c>
      <c r="U64" s="67">
        <f>ROUND(+N64+R64+S64+T64,4)</f>
        <v>71.680000000000007</v>
      </c>
      <c r="V64" s="67">
        <f>ROUND(IF(P64=0,0,I64-H64-O64)+IF(L64=0,0,I64-H64-K64),4)</f>
        <v>0.29520000000000002</v>
      </c>
      <c r="W64" s="67">
        <f>ROUND(+(V64*60%)*D64,4)</f>
        <v>61.991999999999997</v>
      </c>
      <c r="X64" s="148">
        <f>ROUND(+U64+W64,4)</f>
        <v>133.672</v>
      </c>
      <c r="Y64" s="68">
        <v>46178</v>
      </c>
      <c r="Z64" s="148">
        <f>ROUND(IF(X64&gt;I64,X64,I64),4)</f>
        <v>133.672</v>
      </c>
      <c r="AD64" s="78">
        <f t="shared" si="4"/>
        <v>6</v>
      </c>
      <c r="AE64" s="78">
        <f t="shared" si="5"/>
        <v>2026</v>
      </c>
    </row>
    <row r="65" spans="1:31" x14ac:dyDescent="0.2">
      <c r="A65" s="66" t="s">
        <v>229</v>
      </c>
      <c r="B65" s="66" t="s">
        <v>68</v>
      </c>
      <c r="C65" s="66" t="s">
        <v>221</v>
      </c>
      <c r="D65" s="144">
        <v>350</v>
      </c>
      <c r="E65" s="67">
        <v>0.95</v>
      </c>
      <c r="F65" s="67" t="s">
        <v>48</v>
      </c>
      <c r="G65" s="67">
        <v>12.2</v>
      </c>
      <c r="H65" s="67">
        <f>ROUND(+E65+G65,4)</f>
        <v>13.15</v>
      </c>
      <c r="I65" s="67">
        <v>13.65</v>
      </c>
      <c r="J65" s="67">
        <f>ROUND(+I65-H65,4)</f>
        <v>0.5</v>
      </c>
      <c r="K65" s="67">
        <f>ROUND(IF(F65="alluminio",0,I65*1.5%),4)</f>
        <v>0.20480000000000001</v>
      </c>
      <c r="L65" s="67">
        <f>ROUND(IF(K65&lt;J65,K65,0),4)</f>
        <v>0.20480000000000001</v>
      </c>
      <c r="M65" s="67">
        <f>ROUND(IF(J65&gt;K65,0,J65),4)</f>
        <v>0</v>
      </c>
      <c r="N65" s="67">
        <f>ROUND(+L65*D65,4)</f>
        <v>71.680000000000007</v>
      </c>
      <c r="O65" s="67">
        <f>ROUND(IF(F65="rame",0,+I65*3%),4)</f>
        <v>0</v>
      </c>
      <c r="P65" s="67">
        <f>ROUND(IF(O65&lt;J65,O65,0),4)</f>
        <v>0</v>
      </c>
      <c r="Q65" s="67">
        <f>ROUND(IF(J65&gt;O65,0,J65),4)</f>
        <v>0</v>
      </c>
      <c r="R65" s="67">
        <f>ROUND(+P65*D65,4)</f>
        <v>0</v>
      </c>
      <c r="S65" s="67">
        <f>ROUND(IF(K65=0,0,M65*D65),4)</f>
        <v>0</v>
      </c>
      <c r="T65" s="67">
        <f>ROUND(+IF(K65=0,Q65*D65,0),4)</f>
        <v>0</v>
      </c>
      <c r="U65" s="67">
        <f>ROUND(+N65+R65+S65+T65,4)</f>
        <v>71.680000000000007</v>
      </c>
      <c r="V65" s="67">
        <f>ROUND(IF(P65=0,0,I65-H65-O65)+IF(L65=0,0,I65-H65-K65),4)</f>
        <v>0.29520000000000002</v>
      </c>
      <c r="W65" s="67">
        <f>ROUND(+(V65*60%)*D65,4)</f>
        <v>61.991999999999997</v>
      </c>
      <c r="X65" s="148">
        <f>ROUND(+U65+W65,4)</f>
        <v>133.672</v>
      </c>
      <c r="Y65" s="68">
        <v>46152</v>
      </c>
      <c r="Z65" s="148">
        <f>ROUND(IF(X65&gt;I65,X65,I65),4)</f>
        <v>133.672</v>
      </c>
      <c r="AD65" s="78">
        <f t="shared" si="4"/>
        <v>5</v>
      </c>
      <c r="AE65" s="78">
        <f t="shared" si="5"/>
        <v>2026</v>
      </c>
    </row>
    <row r="66" spans="1:31" x14ac:dyDescent="0.2">
      <c r="A66" s="138" t="s">
        <v>235</v>
      </c>
      <c r="B66" s="66" t="s">
        <v>65</v>
      </c>
      <c r="C66" s="66" t="s">
        <v>232</v>
      </c>
      <c r="D66" s="144">
        <v>300</v>
      </c>
      <c r="E66" s="67">
        <v>0.7</v>
      </c>
      <c r="F66" s="67" t="s">
        <v>48</v>
      </c>
      <c r="G66" s="67">
        <v>12.22</v>
      </c>
      <c r="H66" s="67">
        <f>ROUND(+E66+G66,4)</f>
        <v>12.92</v>
      </c>
      <c r="I66" s="67">
        <v>13.9</v>
      </c>
      <c r="J66" s="67">
        <f>ROUND(+I66-H66,4)</f>
        <v>0.98</v>
      </c>
      <c r="K66" s="67">
        <f>ROUND(IF(F66="alluminio",0,I66*1.5%),4)</f>
        <v>0.20849999999999999</v>
      </c>
      <c r="L66" s="67">
        <f>ROUND(IF(K66&lt;J66,K66,0),4)</f>
        <v>0.20849999999999999</v>
      </c>
      <c r="M66" s="67">
        <f>ROUND(IF(J66&gt;K66,0,J66),4)</f>
        <v>0</v>
      </c>
      <c r="N66" s="67">
        <f>ROUND(+L66*D66,4)</f>
        <v>62.55</v>
      </c>
      <c r="O66" s="67">
        <f>ROUND(IF(F66="rame",0,+I66*3%),4)</f>
        <v>0</v>
      </c>
      <c r="P66" s="67">
        <f>ROUND(IF(O66&lt;J66,O66,0),4)</f>
        <v>0</v>
      </c>
      <c r="Q66" s="67">
        <f>ROUND(IF(J66&gt;O66,0,J66),4)</f>
        <v>0</v>
      </c>
      <c r="R66" s="67">
        <f>ROUND(+P66*D66,4)</f>
        <v>0</v>
      </c>
      <c r="S66" s="67">
        <f>ROUND(IF(K66=0,0,M66*D66),4)</f>
        <v>0</v>
      </c>
      <c r="T66" s="67">
        <f>ROUND(+IF(K66=0,Q66*D66,0),4)</f>
        <v>0</v>
      </c>
      <c r="U66" s="67">
        <f>ROUND(+N66+R66+S66+T66,4)</f>
        <v>62.55</v>
      </c>
      <c r="V66" s="67">
        <f>ROUND(IF(P66=0,0,I66-H66-O66)+IF(L66=0,0,I66-H66-K66),4)</f>
        <v>0.77149999999999996</v>
      </c>
      <c r="W66" s="67">
        <f>ROUND(+(V66*60%)*D66,4)</f>
        <v>138.87</v>
      </c>
      <c r="X66" s="148">
        <f>ROUND(+U66+W66,4)</f>
        <v>201.42</v>
      </c>
      <c r="Y66" s="68">
        <v>46152</v>
      </c>
      <c r="Z66" s="148">
        <f>ROUND(IF(X66&gt;I66,X66,I66),4)</f>
        <v>201.42</v>
      </c>
      <c r="AD66" s="78">
        <f t="shared" si="4"/>
        <v>5</v>
      </c>
      <c r="AE66" s="78">
        <f t="shared" si="5"/>
        <v>2026</v>
      </c>
    </row>
    <row r="67" spans="1:31" x14ac:dyDescent="0.2">
      <c r="A67" s="66" t="s">
        <v>236</v>
      </c>
      <c r="B67" s="66" t="s">
        <v>78</v>
      </c>
      <c r="C67" s="66" t="s">
        <v>217</v>
      </c>
      <c r="D67" s="144">
        <v>300</v>
      </c>
      <c r="E67" s="67">
        <v>1.33</v>
      </c>
      <c r="F67" s="67" t="s">
        <v>14</v>
      </c>
      <c r="G67" s="67">
        <v>4.25</v>
      </c>
      <c r="H67" s="67">
        <f>ROUND(+E67+G67,4)</f>
        <v>5.58</v>
      </c>
      <c r="I67" s="67">
        <v>6.06</v>
      </c>
      <c r="J67" s="67">
        <f>ROUND(+I67-H67,4)</f>
        <v>0.48</v>
      </c>
      <c r="K67" s="67">
        <f>ROUND(IF(F67="alluminio",0,I67*1.5%),4)</f>
        <v>0</v>
      </c>
      <c r="L67" s="67">
        <f>ROUND(IF(K67&lt;J67,K67,0),4)</f>
        <v>0</v>
      </c>
      <c r="M67" s="67">
        <f>ROUND(IF(J67&gt;K67,0,J67),4)</f>
        <v>0</v>
      </c>
      <c r="N67" s="67">
        <f>ROUND(+L67*D67,4)</f>
        <v>0</v>
      </c>
      <c r="O67" s="67">
        <f>ROUND(IF(F67="rame",0,+I67*3%),4)</f>
        <v>0.18179999999999999</v>
      </c>
      <c r="P67" s="67">
        <f>ROUND(IF(O67&lt;J67,O67,0),4)</f>
        <v>0.18179999999999999</v>
      </c>
      <c r="Q67" s="67">
        <f>ROUND(IF(J67&gt;O67,0,J67),4)</f>
        <v>0</v>
      </c>
      <c r="R67" s="67">
        <f>ROUND(+P67*D67,4)</f>
        <v>54.54</v>
      </c>
      <c r="S67" s="67">
        <f>ROUND(IF(K67=0,0,M67*D67),4)</f>
        <v>0</v>
      </c>
      <c r="T67" s="67">
        <f>ROUND(+IF(K67=0,Q67*D67,0),4)</f>
        <v>0</v>
      </c>
      <c r="U67" s="67">
        <f>ROUND(+N67+R67+S67+T67,4)</f>
        <v>54.54</v>
      </c>
      <c r="V67" s="67">
        <f>ROUND(IF(P67=0,0,I67-H67-O67)+IF(L67=0,0,I67-H67-K67),4)</f>
        <v>0.29820000000000002</v>
      </c>
      <c r="W67" s="67">
        <f>ROUND(+(V67*60%)*D67,4)</f>
        <v>53.676000000000002</v>
      </c>
      <c r="X67" s="148">
        <f>ROUND(+U67+W67,4)</f>
        <v>108.21599999999999</v>
      </c>
      <c r="Y67" s="68">
        <v>46175</v>
      </c>
      <c r="Z67" s="148">
        <f>ROUND(IF(X67&gt;I67,X67,I67),4)</f>
        <v>108.21599999999999</v>
      </c>
      <c r="AD67" s="78">
        <f t="shared" si="4"/>
        <v>6</v>
      </c>
      <c r="AE67" s="78">
        <f t="shared" si="5"/>
        <v>2026</v>
      </c>
    </row>
    <row r="68" spans="1:31" x14ac:dyDescent="0.2">
      <c r="A68" s="66" t="s">
        <v>236</v>
      </c>
      <c r="B68" s="66" t="s">
        <v>78</v>
      </c>
      <c r="C68" s="66" t="s">
        <v>227</v>
      </c>
      <c r="D68" s="144">
        <v>700</v>
      </c>
      <c r="E68" s="67">
        <v>1.18</v>
      </c>
      <c r="F68" s="67" t="s">
        <v>14</v>
      </c>
      <c r="G68" s="67">
        <v>4.25</v>
      </c>
      <c r="H68" s="67">
        <f>ROUND(+E68+G68,4)</f>
        <v>5.43</v>
      </c>
      <c r="I68" s="67">
        <v>5.91</v>
      </c>
      <c r="J68" s="67">
        <f>ROUND(+I68-H68,4)</f>
        <v>0.48</v>
      </c>
      <c r="K68" s="67">
        <f>ROUND(IF(F68="alluminio",0,I68*1.5%),4)</f>
        <v>0</v>
      </c>
      <c r="L68" s="67">
        <f>ROUND(IF(K68&lt;J68,K68,0),4)</f>
        <v>0</v>
      </c>
      <c r="M68" s="67">
        <f>ROUND(IF(J68&gt;K68,0,J68),4)</f>
        <v>0</v>
      </c>
      <c r="N68" s="67">
        <f>ROUND(+L68*D68,4)</f>
        <v>0</v>
      </c>
      <c r="O68" s="67">
        <f>ROUND(IF(F68="rame",0,+I68*3%),4)</f>
        <v>0.17730000000000001</v>
      </c>
      <c r="P68" s="67">
        <f>ROUND(IF(O68&lt;J68,O68,0),4)</f>
        <v>0.17730000000000001</v>
      </c>
      <c r="Q68" s="67">
        <f>ROUND(IF(J68&gt;O68,0,J68),4)</f>
        <v>0</v>
      </c>
      <c r="R68" s="67">
        <f>ROUND(+P68*D68,4)</f>
        <v>124.11</v>
      </c>
      <c r="S68" s="67">
        <f>ROUND(IF(K68=0,0,M68*D68),4)</f>
        <v>0</v>
      </c>
      <c r="T68" s="67">
        <f>ROUND(+IF(K68=0,Q68*D68,0),4)</f>
        <v>0</v>
      </c>
      <c r="U68" s="67">
        <f>ROUND(+N68+R68+S68+T68,4)</f>
        <v>124.11</v>
      </c>
      <c r="V68" s="67">
        <f>ROUND(IF(P68=0,0,I68-H68-O68)+IF(L68=0,0,I68-H68-K68),4)</f>
        <v>0.30270000000000002</v>
      </c>
      <c r="W68" s="67">
        <f>ROUND(+(V68*60%)*D68,4)</f>
        <v>127.134</v>
      </c>
      <c r="X68" s="148">
        <f>ROUND(+U68+W68,4)</f>
        <v>251.244</v>
      </c>
      <c r="Y68" s="68">
        <v>46175</v>
      </c>
      <c r="Z68" s="148">
        <f>ROUND(IF(X68&gt;I68,X68,I68),4)</f>
        <v>251.244</v>
      </c>
      <c r="AD68" s="78">
        <f t="shared" si="4"/>
        <v>6</v>
      </c>
      <c r="AE68" s="78">
        <f t="shared" si="5"/>
        <v>2026</v>
      </c>
    </row>
    <row r="69" spans="1:31" x14ac:dyDescent="0.2">
      <c r="A69" s="66" t="s">
        <v>236</v>
      </c>
      <c r="B69" s="66" t="s">
        <v>78</v>
      </c>
      <c r="C69" s="66" t="s">
        <v>218</v>
      </c>
      <c r="D69" s="144">
        <v>1200</v>
      </c>
      <c r="E69" s="67">
        <v>1.1499999999999999</v>
      </c>
      <c r="F69" s="67" t="s">
        <v>14</v>
      </c>
      <c r="G69" s="67">
        <v>4.25</v>
      </c>
      <c r="H69" s="67">
        <f>ROUND(+E69+G69,4)</f>
        <v>5.4</v>
      </c>
      <c r="I69" s="67">
        <v>5.88</v>
      </c>
      <c r="J69" s="67">
        <f>ROUND(+I69-H69,4)</f>
        <v>0.48</v>
      </c>
      <c r="K69" s="67">
        <f>ROUND(IF(F69="alluminio",0,I69*1.5%),4)</f>
        <v>0</v>
      </c>
      <c r="L69" s="67">
        <f>ROUND(IF(K69&lt;J69,K69,0),4)</f>
        <v>0</v>
      </c>
      <c r="M69" s="67">
        <f>ROUND(IF(J69&gt;K69,0,J69),4)</f>
        <v>0</v>
      </c>
      <c r="N69" s="67">
        <f>ROUND(+L69*D69,4)</f>
        <v>0</v>
      </c>
      <c r="O69" s="67">
        <f>ROUND(IF(F69="rame",0,+I69*3%),4)</f>
        <v>0.1764</v>
      </c>
      <c r="P69" s="67">
        <f>ROUND(IF(O69&lt;J69,O69,0),4)</f>
        <v>0.1764</v>
      </c>
      <c r="Q69" s="67">
        <f>ROUND(IF(J69&gt;O69,0,J69),4)</f>
        <v>0</v>
      </c>
      <c r="R69" s="67">
        <f>ROUND(+P69*D69,4)</f>
        <v>211.68</v>
      </c>
      <c r="S69" s="67">
        <f>ROUND(IF(K69=0,0,M69*D69),4)</f>
        <v>0</v>
      </c>
      <c r="T69" s="67">
        <f>ROUND(+IF(K69=0,Q69*D69,0),4)</f>
        <v>0</v>
      </c>
      <c r="U69" s="67">
        <f>ROUND(+N69+R69+S69+T69,4)</f>
        <v>211.68</v>
      </c>
      <c r="V69" s="67">
        <f>ROUND(IF(P69=0,0,I69-H69-O69)+IF(L69=0,0,I69-H69-K69),4)</f>
        <v>0.30359999999999998</v>
      </c>
      <c r="W69" s="67">
        <f>ROUND(+(V69*60%)*D69,4)</f>
        <v>218.59200000000001</v>
      </c>
      <c r="X69" s="148">
        <f>ROUND(+U69+W69,4)</f>
        <v>430.27199999999999</v>
      </c>
      <c r="Y69" s="68">
        <v>46175</v>
      </c>
      <c r="Z69" s="148">
        <f>ROUND(IF(X69&gt;I69,X69,I69),4)</f>
        <v>430.27199999999999</v>
      </c>
      <c r="AD69" s="78">
        <f t="shared" si="4"/>
        <v>6</v>
      </c>
      <c r="AE69" s="78">
        <f t="shared" si="5"/>
        <v>2026</v>
      </c>
    </row>
    <row r="70" spans="1:31" x14ac:dyDescent="0.2">
      <c r="A70" s="66" t="s">
        <v>234</v>
      </c>
      <c r="B70" s="66" t="s">
        <v>56</v>
      </c>
      <c r="C70" s="66" t="s">
        <v>216</v>
      </c>
      <c r="D70" s="144">
        <v>300</v>
      </c>
      <c r="E70" s="67">
        <v>0.77</v>
      </c>
      <c r="F70" s="67" t="s">
        <v>14</v>
      </c>
      <c r="G70" s="67">
        <v>4.25</v>
      </c>
      <c r="H70" s="67">
        <f>ROUND(+E70+G70,4)</f>
        <v>5.0199999999999996</v>
      </c>
      <c r="I70" s="67">
        <v>6.15</v>
      </c>
      <c r="J70" s="67">
        <f>ROUND(+I70-H70,4)</f>
        <v>1.1299999999999999</v>
      </c>
      <c r="K70" s="67">
        <f>ROUND(IF(F70="alluminio",0,I70*1.5%),4)</f>
        <v>0</v>
      </c>
      <c r="L70" s="67">
        <f>ROUND(IF(K70&lt;J70,K70,0),4)</f>
        <v>0</v>
      </c>
      <c r="M70" s="67">
        <f>ROUND(IF(J70&gt;K70,0,J70),4)</f>
        <v>0</v>
      </c>
      <c r="N70" s="67">
        <f>ROUND(+L70*D70,4)</f>
        <v>0</v>
      </c>
      <c r="O70" s="67">
        <f>ROUND(IF(F70="rame",0,+I70*3%),4)</f>
        <v>0.1845</v>
      </c>
      <c r="P70" s="67">
        <f>ROUND(IF(O70&lt;J70,O70,0),4)</f>
        <v>0.1845</v>
      </c>
      <c r="Q70" s="67">
        <f>ROUND(IF(J70&gt;O70,0,J70),4)</f>
        <v>0</v>
      </c>
      <c r="R70" s="67">
        <f>ROUND(+P70*D70,4)</f>
        <v>55.35</v>
      </c>
      <c r="S70" s="67">
        <f>ROUND(IF(K70=0,0,M70*D70),4)</f>
        <v>0</v>
      </c>
      <c r="T70" s="67">
        <f>ROUND(+IF(K70=0,Q70*D70,0),4)</f>
        <v>0</v>
      </c>
      <c r="U70" s="67">
        <f>ROUND(+N70+R70+S70+T70,4)</f>
        <v>55.35</v>
      </c>
      <c r="V70" s="67">
        <f>ROUND(IF(P70=0,0,I70-H70-O70)+IF(L70=0,0,I70-H70-K70),4)</f>
        <v>0.94550000000000001</v>
      </c>
      <c r="W70" s="67">
        <f>ROUND(+(V70*60%)*D70,4)</f>
        <v>170.19</v>
      </c>
      <c r="X70" s="148">
        <f>ROUND(+U70+W70,4)</f>
        <v>225.54</v>
      </c>
      <c r="Y70" s="68">
        <v>46206</v>
      </c>
      <c r="Z70" s="148">
        <f>ROUND(IF(X70&gt;I70,X70,I70),4)</f>
        <v>225.54</v>
      </c>
      <c r="AD70" s="78">
        <f t="shared" ref="AD70:AD133" si="6">IF(Y70="",0,MONTH(Y70))</f>
        <v>7</v>
      </c>
      <c r="AE70" s="78">
        <f t="shared" ref="AE70:AE133" si="7">IF(Y70="",0,YEAR(Y70))</f>
        <v>2026</v>
      </c>
    </row>
    <row r="71" spans="1:31" x14ac:dyDescent="0.2">
      <c r="A71" s="66" t="s">
        <v>237</v>
      </c>
      <c r="B71" s="66" t="s">
        <v>104</v>
      </c>
      <c r="C71" s="66" t="s">
        <v>233</v>
      </c>
      <c r="D71" s="144">
        <v>30</v>
      </c>
      <c r="E71" s="67">
        <v>14.43</v>
      </c>
      <c r="F71" s="67" t="s">
        <v>48</v>
      </c>
      <c r="G71" s="67">
        <v>12.48</v>
      </c>
      <c r="H71" s="67">
        <f>ROUND(+E71+G71,4)</f>
        <v>26.91</v>
      </c>
      <c r="I71" s="67">
        <v>30.04</v>
      </c>
      <c r="J71" s="67">
        <f>ROUND(+I71-H71,4)</f>
        <v>3.13</v>
      </c>
      <c r="K71" s="67">
        <f>ROUND(IF(F71="alluminio",0,I71*1.5%),4)</f>
        <v>0.4506</v>
      </c>
      <c r="L71" s="67">
        <f>ROUND(IF(K71&lt;J71,K71,0),4)</f>
        <v>0.4506</v>
      </c>
      <c r="M71" s="67">
        <f>ROUND(IF(J71&gt;K71,0,J71),4)</f>
        <v>0</v>
      </c>
      <c r="N71" s="67">
        <f>ROUND(+L71*D71,4)</f>
        <v>13.518000000000001</v>
      </c>
      <c r="O71" s="67">
        <f>ROUND(IF(F71="rame",0,+I71*3%),4)</f>
        <v>0</v>
      </c>
      <c r="P71" s="67">
        <f>ROUND(IF(O71&lt;J71,O71,0),4)</f>
        <v>0</v>
      </c>
      <c r="Q71" s="67">
        <f>ROUND(IF(J71&gt;O71,0,J71),4)</f>
        <v>0</v>
      </c>
      <c r="R71" s="67">
        <f>ROUND(+P71*D71,4)</f>
        <v>0</v>
      </c>
      <c r="S71" s="67">
        <f>ROUND(IF(K71=0,0,M71*D71),4)</f>
        <v>0</v>
      </c>
      <c r="T71" s="67">
        <f>ROUND(+IF(K71=0,Q71*D71,0),4)</f>
        <v>0</v>
      </c>
      <c r="U71" s="67">
        <f>ROUND(+N71+R71+S71+T71,4)</f>
        <v>13.518000000000001</v>
      </c>
      <c r="V71" s="67">
        <f>ROUND(IF(P71=0,0,I71-H71-O71)+IF(L71=0,0,I71-H71-K71),4)</f>
        <v>2.6793999999999998</v>
      </c>
      <c r="W71" s="67">
        <f>ROUND(+(V71*60%)*D71,4)</f>
        <v>48.229199999999999</v>
      </c>
      <c r="X71" s="148">
        <f>ROUND(+U71+W71,4)</f>
        <v>61.747199999999999</v>
      </c>
      <c r="Y71" s="68">
        <v>46176</v>
      </c>
      <c r="Z71" s="148">
        <f>ROUND(IF(X71&gt;I71,X71,I71),4)</f>
        <v>61.747199999999999</v>
      </c>
      <c r="AD71" s="78">
        <f t="shared" si="6"/>
        <v>6</v>
      </c>
      <c r="AE71" s="78">
        <f t="shared" si="7"/>
        <v>2026</v>
      </c>
    </row>
    <row r="72" spans="1:31" x14ac:dyDescent="0.2">
      <c r="A72" s="66"/>
      <c r="B72" s="66"/>
      <c r="C72" s="66"/>
      <c r="D72" s="144"/>
      <c r="E72" s="67"/>
      <c r="F72" s="67"/>
      <c r="G72" s="67"/>
      <c r="H72" s="67">
        <f>ROUND(+E72+G72,4)</f>
        <v>0</v>
      </c>
      <c r="I72" s="67"/>
      <c r="J72" s="67">
        <f>ROUND(+I72-H72,4)</f>
        <v>0</v>
      </c>
      <c r="K72" s="67">
        <f>ROUND(IF(F72="alluminio",0,I72*1.5%),4)</f>
        <v>0</v>
      </c>
      <c r="L72" s="67">
        <f>ROUND(IF(K72&lt;J72,K72,0),4)</f>
        <v>0</v>
      </c>
      <c r="M72" s="67">
        <f>ROUND(IF(J72&gt;K72,0,J72),4)</f>
        <v>0</v>
      </c>
      <c r="N72" s="67">
        <f>ROUND(+L72*D72,4)</f>
        <v>0</v>
      </c>
      <c r="O72" s="67">
        <f>ROUND(IF(F72="rame",0,+I72*3%),4)</f>
        <v>0</v>
      </c>
      <c r="P72" s="67">
        <f>ROUND(IF(O72&lt;J72,O72,0),4)</f>
        <v>0</v>
      </c>
      <c r="Q72" s="67">
        <f>ROUND(IF(J72&gt;O72,0,J72),4)</f>
        <v>0</v>
      </c>
      <c r="R72" s="67">
        <f>ROUND(+P72*D72,4)</f>
        <v>0</v>
      </c>
      <c r="S72" s="67">
        <f>ROUND(IF(K72=0,0,M72*D72),4)</f>
        <v>0</v>
      </c>
      <c r="T72" s="67">
        <f>ROUND(+IF(K72=0,Q72*D72,0),4)</f>
        <v>0</v>
      </c>
      <c r="U72" s="67">
        <f>ROUND(+N72+R72+S72+T72,4)</f>
        <v>0</v>
      </c>
      <c r="V72" s="67">
        <f>ROUND(IF(P72=0,0,I72-H72-O72)+IF(L72=0,0,I72-H72-K72),4)</f>
        <v>0</v>
      </c>
      <c r="W72" s="67">
        <f>ROUND(+(V72*60%)*D72,4)</f>
        <v>0</v>
      </c>
      <c r="X72" s="148">
        <f>ROUND(+U72+W72,4)</f>
        <v>0</v>
      </c>
      <c r="Y72" s="68"/>
      <c r="Z72" s="148">
        <f>ROUND(IF(X72&gt;I72,X72,I72),4)</f>
        <v>0</v>
      </c>
      <c r="AD72" s="78">
        <f t="shared" si="6"/>
        <v>0</v>
      </c>
      <c r="AE72" s="78">
        <f t="shared" si="7"/>
        <v>0</v>
      </c>
    </row>
    <row r="73" spans="1:31" x14ac:dyDescent="0.2">
      <c r="A73" s="66"/>
      <c r="B73" s="66"/>
      <c r="C73" s="66"/>
      <c r="D73" s="144"/>
      <c r="E73" s="67"/>
      <c r="F73" s="67"/>
      <c r="G73" s="67"/>
      <c r="H73" s="67">
        <f>ROUND(+E73+G73,4)</f>
        <v>0</v>
      </c>
      <c r="I73" s="67"/>
      <c r="J73" s="67">
        <f>ROUND(+I73-H73,4)</f>
        <v>0</v>
      </c>
      <c r="K73" s="67">
        <f>ROUND(IF(F73="alluminio",0,I73*1.5%),4)</f>
        <v>0</v>
      </c>
      <c r="L73" s="67">
        <f>ROUND(IF(K73&lt;J73,K73,0),4)</f>
        <v>0</v>
      </c>
      <c r="M73" s="67">
        <f>ROUND(IF(J73&gt;K73,0,J73),4)</f>
        <v>0</v>
      </c>
      <c r="N73" s="67">
        <f>ROUND(+L73*D73,4)</f>
        <v>0</v>
      </c>
      <c r="O73" s="67">
        <f>ROUND(IF(F73="rame",0,+I73*3%),4)</f>
        <v>0</v>
      </c>
      <c r="P73" s="67">
        <f>ROUND(IF(O73&lt;J73,O73,0),4)</f>
        <v>0</v>
      </c>
      <c r="Q73" s="67">
        <f>ROUND(IF(J73&gt;O73,0,J73),4)</f>
        <v>0</v>
      </c>
      <c r="R73" s="67">
        <f>ROUND(+P73*D73,4)</f>
        <v>0</v>
      </c>
      <c r="S73" s="67">
        <f>ROUND(IF(K73=0,0,M73*D73),4)</f>
        <v>0</v>
      </c>
      <c r="T73" s="67">
        <f>ROUND(+IF(K73=0,Q73*D73,0),4)</f>
        <v>0</v>
      </c>
      <c r="U73" s="67">
        <f>ROUND(+N73+R73+S73+T73,4)</f>
        <v>0</v>
      </c>
      <c r="V73" s="67">
        <f>ROUND(IF(P73=0,0,I73-H73-O73)+IF(L73=0,0,I73-H73-K73),4)</f>
        <v>0</v>
      </c>
      <c r="W73" s="67">
        <f>ROUND(+(V73*60%)*D73,4)</f>
        <v>0</v>
      </c>
      <c r="X73" s="148">
        <f>ROUND(+U73+W73,4)</f>
        <v>0</v>
      </c>
      <c r="Y73" s="68"/>
      <c r="Z73" s="148">
        <f>ROUND(IF(X73&gt;I73,X73,I73),4)</f>
        <v>0</v>
      </c>
      <c r="AD73" s="78">
        <f t="shared" si="6"/>
        <v>0</v>
      </c>
      <c r="AE73" s="78">
        <f t="shared" si="7"/>
        <v>0</v>
      </c>
    </row>
    <row r="74" spans="1:31" x14ac:dyDescent="0.2">
      <c r="A74" s="66"/>
      <c r="B74" s="66"/>
      <c r="C74" s="66"/>
      <c r="D74" s="144"/>
      <c r="E74" s="67"/>
      <c r="F74" s="67"/>
      <c r="G74" s="67"/>
      <c r="H74" s="67">
        <f>ROUND(+E74+G74,4)</f>
        <v>0</v>
      </c>
      <c r="I74" s="67"/>
      <c r="J74" s="67">
        <f>ROUND(+I74-H74,4)</f>
        <v>0</v>
      </c>
      <c r="K74" s="67">
        <f>ROUND(IF(F74="alluminio",0,I74*1.5%),4)</f>
        <v>0</v>
      </c>
      <c r="L74" s="67">
        <f>ROUND(IF(K74&lt;J74,K74,0),4)</f>
        <v>0</v>
      </c>
      <c r="M74" s="67">
        <f>ROUND(IF(J74&gt;K74,0,J74),4)</f>
        <v>0</v>
      </c>
      <c r="N74" s="67">
        <f>ROUND(+L74*D74,4)</f>
        <v>0</v>
      </c>
      <c r="O74" s="67">
        <f>ROUND(IF(F74="rame",0,+I74*3%),4)</f>
        <v>0</v>
      </c>
      <c r="P74" s="67">
        <f>ROUND(IF(O74&lt;J74,O74,0),4)</f>
        <v>0</v>
      </c>
      <c r="Q74" s="67">
        <f>ROUND(IF(J74&gt;O74,0,J74),4)</f>
        <v>0</v>
      </c>
      <c r="R74" s="67">
        <f>ROUND(+P74*D74,4)</f>
        <v>0</v>
      </c>
      <c r="S74" s="67">
        <f>ROUND(IF(K74=0,0,M74*D74),4)</f>
        <v>0</v>
      </c>
      <c r="T74" s="67">
        <f>ROUND(+IF(K74=0,Q74*D74,0),4)</f>
        <v>0</v>
      </c>
      <c r="U74" s="67">
        <f>ROUND(+N74+R74+S74+T74,4)</f>
        <v>0</v>
      </c>
      <c r="V74" s="67">
        <f>ROUND(IF(P74=0,0,I74-H74-O74)+IF(L74=0,0,I74-H74-K74),4)</f>
        <v>0</v>
      </c>
      <c r="W74" s="67">
        <f>ROUND(+(V74*60%)*D74,4)</f>
        <v>0</v>
      </c>
      <c r="X74" s="148">
        <f>ROUND(+U74+W74,4)</f>
        <v>0</v>
      </c>
      <c r="Y74" s="68"/>
      <c r="Z74" s="148">
        <f>ROUND(IF(X74&gt;I74,X74,I74),4)</f>
        <v>0</v>
      </c>
      <c r="AD74" s="78">
        <f t="shared" si="6"/>
        <v>0</v>
      </c>
      <c r="AE74" s="78">
        <f t="shared" si="7"/>
        <v>0</v>
      </c>
    </row>
    <row r="75" spans="1:31" x14ac:dyDescent="0.2">
      <c r="A75" s="66"/>
      <c r="B75" s="66"/>
      <c r="C75" s="66"/>
      <c r="D75" s="144"/>
      <c r="E75" s="67"/>
      <c r="F75" s="67"/>
      <c r="G75" s="67"/>
      <c r="H75" s="67">
        <f>ROUND(+E75+G75,4)</f>
        <v>0</v>
      </c>
      <c r="I75" s="67"/>
      <c r="J75" s="67">
        <f>ROUND(+I75-H75,4)</f>
        <v>0</v>
      </c>
      <c r="K75" s="67">
        <f>ROUND(IF(F75="alluminio",0,I75*1.5%),4)</f>
        <v>0</v>
      </c>
      <c r="L75" s="67">
        <f>ROUND(IF(K75&lt;J75,K75,0),4)</f>
        <v>0</v>
      </c>
      <c r="M75" s="67">
        <f>ROUND(IF(J75&gt;K75,0,J75),4)</f>
        <v>0</v>
      </c>
      <c r="N75" s="67">
        <f>ROUND(+L75*D75,4)</f>
        <v>0</v>
      </c>
      <c r="O75" s="67">
        <f>ROUND(IF(F75="rame",0,+I75*3%),4)</f>
        <v>0</v>
      </c>
      <c r="P75" s="67">
        <f>ROUND(IF(O75&lt;J75,O75,0),4)</f>
        <v>0</v>
      </c>
      <c r="Q75" s="67">
        <f>ROUND(IF(J75&gt;O75,0,J75),4)</f>
        <v>0</v>
      </c>
      <c r="R75" s="67">
        <f>ROUND(+P75*D75,4)</f>
        <v>0</v>
      </c>
      <c r="S75" s="67">
        <f>ROUND(IF(K75=0,0,M75*D75),4)</f>
        <v>0</v>
      </c>
      <c r="T75" s="67">
        <f>ROUND(+IF(K75=0,Q75*D75,0),4)</f>
        <v>0</v>
      </c>
      <c r="U75" s="67">
        <f>ROUND(+N75+R75+S75+T75,4)</f>
        <v>0</v>
      </c>
      <c r="V75" s="67">
        <f>ROUND(IF(P75=0,0,I75-H75-O75)+IF(L75=0,0,I75-H75-K75),4)</f>
        <v>0</v>
      </c>
      <c r="W75" s="67">
        <f>ROUND(+(V75*60%)*D75,4)</f>
        <v>0</v>
      </c>
      <c r="X75" s="148">
        <f>ROUND(+U75+W75,4)</f>
        <v>0</v>
      </c>
      <c r="Y75" s="68"/>
      <c r="Z75" s="148">
        <f>ROUND(IF(X75&gt;I75,X75,I75),4)</f>
        <v>0</v>
      </c>
      <c r="AD75" s="78">
        <f t="shared" si="6"/>
        <v>0</v>
      </c>
      <c r="AE75" s="78">
        <f t="shared" si="7"/>
        <v>0</v>
      </c>
    </row>
    <row r="76" spans="1:31" x14ac:dyDescent="0.2">
      <c r="A76" s="66"/>
      <c r="B76" s="66"/>
      <c r="C76" s="66"/>
      <c r="D76" s="144"/>
      <c r="E76" s="67"/>
      <c r="F76" s="67"/>
      <c r="G76" s="67"/>
      <c r="H76" s="67">
        <f>ROUND(+E76+G76,4)</f>
        <v>0</v>
      </c>
      <c r="I76" s="67"/>
      <c r="J76" s="67">
        <f>ROUND(+I76-H76,4)</f>
        <v>0</v>
      </c>
      <c r="K76" s="67">
        <f>ROUND(IF(F76="alluminio",0,I76*1.5%),4)</f>
        <v>0</v>
      </c>
      <c r="L76" s="67">
        <f>ROUND(IF(K76&lt;J76,K76,0),4)</f>
        <v>0</v>
      </c>
      <c r="M76" s="67">
        <f>ROUND(IF(J76&gt;K76,0,J76),4)</f>
        <v>0</v>
      </c>
      <c r="N76" s="67">
        <f>ROUND(+L76*D76,4)</f>
        <v>0</v>
      </c>
      <c r="O76" s="67">
        <f>ROUND(IF(F76="rame",0,+I76*3%),4)</f>
        <v>0</v>
      </c>
      <c r="P76" s="67">
        <f>ROUND(IF(O76&lt;J76,O76,0),4)</f>
        <v>0</v>
      </c>
      <c r="Q76" s="67">
        <f>ROUND(IF(J76&gt;O76,0,J76),4)</f>
        <v>0</v>
      </c>
      <c r="R76" s="67">
        <f>ROUND(+P76*D76,4)</f>
        <v>0</v>
      </c>
      <c r="S76" s="67">
        <f>ROUND(IF(K76=0,0,M76*D76),4)</f>
        <v>0</v>
      </c>
      <c r="T76" s="67">
        <f>ROUND(+IF(K76=0,Q76*D76,0),4)</f>
        <v>0</v>
      </c>
      <c r="U76" s="67">
        <f>ROUND(+N76+R76+S76+T76,4)</f>
        <v>0</v>
      </c>
      <c r="V76" s="67">
        <f>ROUND(IF(P76=0,0,I76-H76-O76)+IF(L76=0,0,I76-H76-K76),4)</f>
        <v>0</v>
      </c>
      <c r="W76" s="67">
        <f>ROUND(+(V76*60%)*D76,4)</f>
        <v>0</v>
      </c>
      <c r="X76" s="148">
        <f>ROUND(+U76+W76,4)</f>
        <v>0</v>
      </c>
      <c r="Y76" s="68"/>
      <c r="Z76" s="148">
        <f>ROUND(IF(X76&gt;I76,X76,I76),4)</f>
        <v>0</v>
      </c>
      <c r="AD76" s="78">
        <f t="shared" si="6"/>
        <v>0</v>
      </c>
      <c r="AE76" s="78">
        <f t="shared" si="7"/>
        <v>0</v>
      </c>
    </row>
    <row r="77" spans="1:31" x14ac:dyDescent="0.2">
      <c r="A77" s="66"/>
      <c r="B77" s="66"/>
      <c r="C77" s="66"/>
      <c r="D77" s="144"/>
      <c r="E77" s="67"/>
      <c r="F77" s="67"/>
      <c r="G77" s="67"/>
      <c r="H77" s="67">
        <f>ROUND(+E77+G77,4)</f>
        <v>0</v>
      </c>
      <c r="I77" s="67"/>
      <c r="J77" s="67">
        <f>ROUND(+I77-H77,4)</f>
        <v>0</v>
      </c>
      <c r="K77" s="67">
        <f>ROUND(IF(F77="alluminio",0,I77*1.5%),4)</f>
        <v>0</v>
      </c>
      <c r="L77" s="67">
        <f>ROUND(IF(K77&lt;J77,K77,0),4)</f>
        <v>0</v>
      </c>
      <c r="M77" s="67">
        <f>ROUND(IF(J77&gt;K77,0,J77),4)</f>
        <v>0</v>
      </c>
      <c r="N77" s="67">
        <f>ROUND(+L77*D77,4)</f>
        <v>0</v>
      </c>
      <c r="O77" s="67">
        <f>ROUND(IF(F77="rame",0,+I77*3%),4)</f>
        <v>0</v>
      </c>
      <c r="P77" s="67">
        <f>ROUND(IF(O77&lt;J77,O77,0),4)</f>
        <v>0</v>
      </c>
      <c r="Q77" s="67">
        <f>ROUND(IF(J77&gt;O77,0,J77),4)</f>
        <v>0</v>
      </c>
      <c r="R77" s="67">
        <f>ROUND(+P77*D77,4)</f>
        <v>0</v>
      </c>
      <c r="S77" s="67">
        <f>ROUND(IF(K77=0,0,M77*D77),4)</f>
        <v>0</v>
      </c>
      <c r="T77" s="67">
        <f>ROUND(+IF(K77=0,Q77*D77,0),4)</f>
        <v>0</v>
      </c>
      <c r="U77" s="67">
        <f>ROUND(+N77+R77+S77+T77,4)</f>
        <v>0</v>
      </c>
      <c r="V77" s="67">
        <f>ROUND(IF(P77=0,0,I77-H77-O77)+IF(L77=0,0,I77-H77-K77),4)</f>
        <v>0</v>
      </c>
      <c r="W77" s="67">
        <f>ROUND(+(V77*60%)*D77,4)</f>
        <v>0</v>
      </c>
      <c r="X77" s="148">
        <f>ROUND(+U77+W77,4)</f>
        <v>0</v>
      </c>
      <c r="Y77" s="68"/>
      <c r="Z77" s="148">
        <f>ROUND(IF(X77&gt;I77,X77,I77),4)</f>
        <v>0</v>
      </c>
      <c r="AD77" s="78">
        <f t="shared" si="6"/>
        <v>0</v>
      </c>
      <c r="AE77" s="78">
        <f t="shared" si="7"/>
        <v>0</v>
      </c>
    </row>
    <row r="78" spans="1:31" x14ac:dyDescent="0.2">
      <c r="A78" s="66"/>
      <c r="B78" s="66"/>
      <c r="C78" s="66"/>
      <c r="D78" s="144"/>
      <c r="E78" s="67"/>
      <c r="F78" s="67"/>
      <c r="G78" s="67"/>
      <c r="H78" s="67">
        <f>ROUND(+E78+G78,4)</f>
        <v>0</v>
      </c>
      <c r="I78" s="67"/>
      <c r="J78" s="67">
        <f>ROUND(+I78-H78,4)</f>
        <v>0</v>
      </c>
      <c r="K78" s="67">
        <f>ROUND(IF(F78="alluminio",0,I78*1.5%),4)</f>
        <v>0</v>
      </c>
      <c r="L78" s="67">
        <f>ROUND(IF(K78&lt;J78,K78,0),4)</f>
        <v>0</v>
      </c>
      <c r="M78" s="67">
        <f>ROUND(IF(J78&gt;K78,0,J78),4)</f>
        <v>0</v>
      </c>
      <c r="N78" s="67">
        <f>ROUND(+L78*D78,4)</f>
        <v>0</v>
      </c>
      <c r="O78" s="67">
        <f>ROUND(IF(F78="rame",0,+I78*3%),4)</f>
        <v>0</v>
      </c>
      <c r="P78" s="67">
        <f>ROUND(IF(O78&lt;J78,O78,0),4)</f>
        <v>0</v>
      </c>
      <c r="Q78" s="67">
        <f>ROUND(IF(J78&gt;O78,0,J78),4)</f>
        <v>0</v>
      </c>
      <c r="R78" s="67">
        <f>ROUND(+P78*D78,4)</f>
        <v>0</v>
      </c>
      <c r="S78" s="67">
        <f>ROUND(IF(K78=0,0,M78*D78),4)</f>
        <v>0</v>
      </c>
      <c r="T78" s="67">
        <f>ROUND(+IF(K78=0,Q78*D78,0),4)</f>
        <v>0</v>
      </c>
      <c r="U78" s="67">
        <f>ROUND(+N78+R78+S78+T78,4)</f>
        <v>0</v>
      </c>
      <c r="V78" s="67">
        <f>ROUND(IF(P78=0,0,I78-H78-O78)+IF(L78=0,0,I78-H78-K78),4)</f>
        <v>0</v>
      </c>
      <c r="W78" s="67">
        <f>ROUND(+(V78*60%)*D78,4)</f>
        <v>0</v>
      </c>
      <c r="X78" s="148">
        <f>ROUND(+U78+W78,4)</f>
        <v>0</v>
      </c>
      <c r="Y78" s="68"/>
      <c r="Z78" s="148">
        <f>ROUND(IF(X78&gt;I78,X78,I78),4)</f>
        <v>0</v>
      </c>
      <c r="AD78" s="78">
        <f t="shared" si="6"/>
        <v>0</v>
      </c>
      <c r="AE78" s="78">
        <f t="shared" si="7"/>
        <v>0</v>
      </c>
    </row>
    <row r="79" spans="1:31" x14ac:dyDescent="0.2">
      <c r="A79" s="66"/>
      <c r="B79" s="66"/>
      <c r="C79" s="66"/>
      <c r="D79" s="144"/>
      <c r="E79" s="67"/>
      <c r="F79" s="67"/>
      <c r="G79" s="67"/>
      <c r="H79" s="67">
        <f>ROUND(+E79+G79,4)</f>
        <v>0</v>
      </c>
      <c r="I79" s="67"/>
      <c r="J79" s="67">
        <f>ROUND(+I79-H79,4)</f>
        <v>0</v>
      </c>
      <c r="K79" s="67">
        <f>ROUND(IF(F79="alluminio",0,I79*1.5%),4)</f>
        <v>0</v>
      </c>
      <c r="L79" s="67">
        <f>ROUND(IF(K79&lt;J79,K79,0),4)</f>
        <v>0</v>
      </c>
      <c r="M79" s="67">
        <f>ROUND(IF(J79&gt;K79,0,J79),4)</f>
        <v>0</v>
      </c>
      <c r="N79" s="67">
        <f>ROUND(+L79*D79,4)</f>
        <v>0</v>
      </c>
      <c r="O79" s="67">
        <f>ROUND(IF(F79="rame",0,+I79*3%),4)</f>
        <v>0</v>
      </c>
      <c r="P79" s="67">
        <f>ROUND(IF(O79&lt;J79,O79,0),4)</f>
        <v>0</v>
      </c>
      <c r="Q79" s="67">
        <f>ROUND(IF(J79&gt;O79,0,J79),4)</f>
        <v>0</v>
      </c>
      <c r="R79" s="67">
        <f>ROUND(+P79*D79,4)</f>
        <v>0</v>
      </c>
      <c r="S79" s="67">
        <f>ROUND(IF(K79=0,0,M79*D79),4)</f>
        <v>0</v>
      </c>
      <c r="T79" s="67">
        <f>ROUND(+IF(K79=0,Q79*D79,0),4)</f>
        <v>0</v>
      </c>
      <c r="U79" s="67">
        <f>ROUND(+N79+R79+S79+T79,4)</f>
        <v>0</v>
      </c>
      <c r="V79" s="67">
        <f>ROUND(IF(P79=0,0,I79-H79-O79)+IF(L79=0,0,I79-H79-K79),4)</f>
        <v>0</v>
      </c>
      <c r="W79" s="67">
        <f>ROUND(+(V79*60%)*D79,4)</f>
        <v>0</v>
      </c>
      <c r="X79" s="148">
        <f>ROUND(+U79+W79,4)</f>
        <v>0</v>
      </c>
      <c r="Y79" s="68"/>
      <c r="Z79" s="148">
        <f>ROUND(IF(X79&gt;I79,X79,I79),4)</f>
        <v>0</v>
      </c>
      <c r="AD79" s="78">
        <f t="shared" si="6"/>
        <v>0</v>
      </c>
      <c r="AE79" s="78">
        <f t="shared" si="7"/>
        <v>0</v>
      </c>
    </row>
    <row r="80" spans="1:31" x14ac:dyDescent="0.2">
      <c r="A80" s="66"/>
      <c r="B80" s="66"/>
      <c r="C80" s="66"/>
      <c r="D80" s="144"/>
      <c r="E80" s="67"/>
      <c r="F80" s="67"/>
      <c r="G80" s="67"/>
      <c r="H80" s="67">
        <f>ROUND(+E80+G80,4)</f>
        <v>0</v>
      </c>
      <c r="I80" s="67"/>
      <c r="J80" s="67">
        <f>ROUND(+I80-H80,4)</f>
        <v>0</v>
      </c>
      <c r="K80" s="67">
        <f>ROUND(IF(F80="alluminio",0,I80*1.5%),4)</f>
        <v>0</v>
      </c>
      <c r="L80" s="67">
        <f>ROUND(IF(K80&lt;J80,K80,0),4)</f>
        <v>0</v>
      </c>
      <c r="M80" s="67">
        <f>ROUND(IF(J80&gt;K80,0,J80),4)</f>
        <v>0</v>
      </c>
      <c r="N80" s="67">
        <f>ROUND(+L80*D80,4)</f>
        <v>0</v>
      </c>
      <c r="O80" s="67">
        <f>ROUND(IF(F80="rame",0,+I80*3%),4)</f>
        <v>0</v>
      </c>
      <c r="P80" s="67">
        <f>ROUND(IF(O80&lt;J80,O80,0),4)</f>
        <v>0</v>
      </c>
      <c r="Q80" s="67">
        <f>ROUND(IF(J80&gt;O80,0,J80),4)</f>
        <v>0</v>
      </c>
      <c r="R80" s="67">
        <f>ROUND(+P80*D80,4)</f>
        <v>0</v>
      </c>
      <c r="S80" s="67">
        <f>ROUND(IF(K80=0,0,M80*D80),4)</f>
        <v>0</v>
      </c>
      <c r="T80" s="67">
        <f>ROUND(+IF(K80=0,Q80*D80,0),4)</f>
        <v>0</v>
      </c>
      <c r="U80" s="67">
        <f>ROUND(+N80+R80+S80+T80,4)</f>
        <v>0</v>
      </c>
      <c r="V80" s="67">
        <f>ROUND(IF(P80=0,0,I80-H80-O80)+IF(L80=0,0,I80-H80-K80),4)</f>
        <v>0</v>
      </c>
      <c r="W80" s="67">
        <f>ROUND(+(V80*60%)*D80,4)</f>
        <v>0</v>
      </c>
      <c r="X80" s="148">
        <f>ROUND(+U80+W80,4)</f>
        <v>0</v>
      </c>
      <c r="Y80" s="68"/>
      <c r="Z80" s="148">
        <f>ROUND(IF(X80&gt;I80,X80,I80),4)</f>
        <v>0</v>
      </c>
      <c r="AD80" s="78">
        <f t="shared" si="6"/>
        <v>0</v>
      </c>
      <c r="AE80" s="78">
        <f t="shared" si="7"/>
        <v>0</v>
      </c>
    </row>
    <row r="81" spans="1:31" x14ac:dyDescent="0.2">
      <c r="A81" s="66"/>
      <c r="B81" s="66"/>
      <c r="C81" s="66"/>
      <c r="D81" s="144"/>
      <c r="E81" s="67"/>
      <c r="F81" s="67"/>
      <c r="G81" s="67"/>
      <c r="H81" s="67">
        <f>ROUND(+E81+G81,4)</f>
        <v>0</v>
      </c>
      <c r="I81" s="67"/>
      <c r="J81" s="67">
        <f>ROUND(+I81-H81,4)</f>
        <v>0</v>
      </c>
      <c r="K81" s="67">
        <f>ROUND(IF(F81="alluminio",0,I81*1.5%),4)</f>
        <v>0</v>
      </c>
      <c r="L81" s="67">
        <f>ROUND(IF(K81&lt;J81,K81,0),4)</f>
        <v>0</v>
      </c>
      <c r="M81" s="67">
        <f>ROUND(IF(J81&gt;K81,0,J81),4)</f>
        <v>0</v>
      </c>
      <c r="N81" s="67">
        <f>ROUND(+L81*D81,4)</f>
        <v>0</v>
      </c>
      <c r="O81" s="67">
        <f>ROUND(IF(F81="rame",0,+I81*3%),4)</f>
        <v>0</v>
      </c>
      <c r="P81" s="67">
        <f>ROUND(IF(O81&lt;J81,O81,0),4)</f>
        <v>0</v>
      </c>
      <c r="Q81" s="67">
        <f>ROUND(IF(J81&gt;O81,0,J81),4)</f>
        <v>0</v>
      </c>
      <c r="R81" s="67">
        <f>ROUND(+P81*D81,4)</f>
        <v>0</v>
      </c>
      <c r="S81" s="67">
        <f>ROUND(IF(K81=0,0,M81*D81),4)</f>
        <v>0</v>
      </c>
      <c r="T81" s="67">
        <f>ROUND(+IF(K81=0,Q81*D81,0),4)</f>
        <v>0</v>
      </c>
      <c r="U81" s="67">
        <f>ROUND(+N81+R81+S81+T81,4)</f>
        <v>0</v>
      </c>
      <c r="V81" s="67">
        <f>ROUND(IF(P81=0,0,I81-H81-O81)+IF(L81=0,0,I81-H81-K81),4)</f>
        <v>0</v>
      </c>
      <c r="W81" s="67">
        <f>ROUND(+(V81*60%)*D81,4)</f>
        <v>0</v>
      </c>
      <c r="X81" s="148">
        <f>ROUND(+U81+W81,4)</f>
        <v>0</v>
      </c>
      <c r="Y81" s="68"/>
      <c r="Z81" s="148">
        <f>ROUND(IF(X81&gt;I81,X81,I81),4)</f>
        <v>0</v>
      </c>
      <c r="AD81" s="78">
        <f t="shared" si="6"/>
        <v>0</v>
      </c>
      <c r="AE81" s="78">
        <f t="shared" si="7"/>
        <v>0</v>
      </c>
    </row>
    <row r="82" spans="1:31" x14ac:dyDescent="0.2">
      <c r="A82" s="66"/>
      <c r="B82" s="66"/>
      <c r="C82" s="66"/>
      <c r="D82" s="144"/>
      <c r="E82" s="67"/>
      <c r="F82" s="67"/>
      <c r="G82" s="67"/>
      <c r="H82" s="67">
        <f>ROUND(+E82+G82,4)</f>
        <v>0</v>
      </c>
      <c r="I82" s="67"/>
      <c r="J82" s="67">
        <f>ROUND(+I82-H82,4)</f>
        <v>0</v>
      </c>
      <c r="K82" s="67">
        <f>ROUND(IF(F82="alluminio",0,I82*1.5%),4)</f>
        <v>0</v>
      </c>
      <c r="L82" s="67">
        <f>ROUND(IF(K82&lt;J82,K82,0),4)</f>
        <v>0</v>
      </c>
      <c r="M82" s="67">
        <f>ROUND(IF(J82&gt;K82,0,J82),4)</f>
        <v>0</v>
      </c>
      <c r="N82" s="67">
        <f>ROUND(+L82*D82,4)</f>
        <v>0</v>
      </c>
      <c r="O82" s="67">
        <f>ROUND(IF(F82="rame",0,+I82*3%),4)</f>
        <v>0</v>
      </c>
      <c r="P82" s="67">
        <f>ROUND(IF(O82&lt;J82,O82,0),4)</f>
        <v>0</v>
      </c>
      <c r="Q82" s="67">
        <f>ROUND(IF(J82&gt;O82,0,J82),4)</f>
        <v>0</v>
      </c>
      <c r="R82" s="67">
        <f>ROUND(+P82*D82,4)</f>
        <v>0</v>
      </c>
      <c r="S82" s="67">
        <f>ROUND(IF(K82=0,0,M82*D82),4)</f>
        <v>0</v>
      </c>
      <c r="T82" s="67">
        <f>ROUND(+IF(K82=0,Q82*D82,0),4)</f>
        <v>0</v>
      </c>
      <c r="U82" s="67">
        <f>ROUND(+N82+R82+S82+T82,4)</f>
        <v>0</v>
      </c>
      <c r="V82" s="67">
        <f>ROUND(IF(P82=0,0,I82-H82-O82)+IF(L82=0,0,I82-H82-K82),4)</f>
        <v>0</v>
      </c>
      <c r="W82" s="67">
        <f>ROUND(+(V82*60%)*D82,4)</f>
        <v>0</v>
      </c>
      <c r="X82" s="148">
        <f>ROUND(+U82+W82,4)</f>
        <v>0</v>
      </c>
      <c r="Y82" s="68"/>
      <c r="Z82" s="148">
        <f>ROUND(IF(X82&gt;I82,X82,I82),4)</f>
        <v>0</v>
      </c>
      <c r="AD82" s="78">
        <f t="shared" si="6"/>
        <v>0</v>
      </c>
      <c r="AE82" s="78">
        <f t="shared" si="7"/>
        <v>0</v>
      </c>
    </row>
    <row r="83" spans="1:31" x14ac:dyDescent="0.2">
      <c r="A83" s="66"/>
      <c r="B83" s="66"/>
      <c r="C83" s="66"/>
      <c r="D83" s="144"/>
      <c r="E83" s="67"/>
      <c r="F83" s="67"/>
      <c r="G83" s="67"/>
      <c r="H83" s="67">
        <f>ROUND(+E83+G83,4)</f>
        <v>0</v>
      </c>
      <c r="I83" s="67"/>
      <c r="J83" s="67">
        <f>ROUND(+I83-H83,4)</f>
        <v>0</v>
      </c>
      <c r="K83" s="67">
        <f>ROUND(IF(F83="alluminio",0,I83*1.5%),4)</f>
        <v>0</v>
      </c>
      <c r="L83" s="67">
        <f>ROUND(IF(K83&lt;J83,K83,0),4)</f>
        <v>0</v>
      </c>
      <c r="M83" s="67">
        <f>ROUND(IF(J83&gt;K83,0,J83),4)</f>
        <v>0</v>
      </c>
      <c r="N83" s="67">
        <f>ROUND(+L83*D83,4)</f>
        <v>0</v>
      </c>
      <c r="O83" s="67">
        <f>ROUND(IF(F83="rame",0,+I83*3%),4)</f>
        <v>0</v>
      </c>
      <c r="P83" s="67">
        <f>ROUND(IF(O83&lt;J83,O83,0),4)</f>
        <v>0</v>
      </c>
      <c r="Q83" s="67">
        <f>ROUND(IF(J83&gt;O83,0,J83),4)</f>
        <v>0</v>
      </c>
      <c r="R83" s="67">
        <f>ROUND(+P83*D83,4)</f>
        <v>0</v>
      </c>
      <c r="S83" s="67">
        <f>ROUND(IF(K83=0,0,M83*D83),4)</f>
        <v>0</v>
      </c>
      <c r="T83" s="67">
        <f>ROUND(+IF(K83=0,Q83*D83,0),4)</f>
        <v>0</v>
      </c>
      <c r="U83" s="67">
        <f>ROUND(+N83+R83+S83+T83,4)</f>
        <v>0</v>
      </c>
      <c r="V83" s="67">
        <f>ROUND(IF(P83=0,0,I83-H83-O83)+IF(L83=0,0,I83-H83-K83),4)</f>
        <v>0</v>
      </c>
      <c r="W83" s="67">
        <f>ROUND(+(V83*60%)*D83,4)</f>
        <v>0</v>
      </c>
      <c r="X83" s="148">
        <f>ROUND(+U83+W83,4)</f>
        <v>0</v>
      </c>
      <c r="Y83" s="68"/>
      <c r="Z83" s="148">
        <f>ROUND(IF(X83&gt;I83,X83,I83),4)</f>
        <v>0</v>
      </c>
      <c r="AD83" s="78">
        <f t="shared" si="6"/>
        <v>0</v>
      </c>
      <c r="AE83" s="78">
        <f t="shared" si="7"/>
        <v>0</v>
      </c>
    </row>
    <row r="84" spans="1:31" x14ac:dyDescent="0.2">
      <c r="A84" s="66"/>
      <c r="B84" s="66"/>
      <c r="C84" s="66"/>
      <c r="D84" s="144"/>
      <c r="E84" s="67"/>
      <c r="F84" s="67"/>
      <c r="G84" s="67"/>
      <c r="H84" s="67">
        <f>ROUND(+E84+G84,4)</f>
        <v>0</v>
      </c>
      <c r="I84" s="67"/>
      <c r="J84" s="67">
        <f>ROUND(+I84-H84,4)</f>
        <v>0</v>
      </c>
      <c r="K84" s="67">
        <f>ROUND(IF(F84="alluminio",0,I84*1.5%),4)</f>
        <v>0</v>
      </c>
      <c r="L84" s="67">
        <f>ROUND(IF(K84&lt;J84,K84,0),4)</f>
        <v>0</v>
      </c>
      <c r="M84" s="67">
        <f>ROUND(IF(J84&gt;K84,0,J84),4)</f>
        <v>0</v>
      </c>
      <c r="N84" s="67">
        <f>ROUND(+L84*D84,4)</f>
        <v>0</v>
      </c>
      <c r="O84" s="67">
        <f>ROUND(IF(F84="rame",0,+I84*3%),4)</f>
        <v>0</v>
      </c>
      <c r="P84" s="67">
        <f>ROUND(IF(O84&lt;J84,O84,0),4)</f>
        <v>0</v>
      </c>
      <c r="Q84" s="67">
        <f>ROUND(IF(J84&gt;O84,0,J84),4)</f>
        <v>0</v>
      </c>
      <c r="R84" s="67">
        <f>ROUND(+P84*D84,4)</f>
        <v>0</v>
      </c>
      <c r="S84" s="67">
        <f>ROUND(IF(K84=0,0,M84*D84),4)</f>
        <v>0</v>
      </c>
      <c r="T84" s="67">
        <f>ROUND(+IF(K84=0,Q84*D84,0),4)</f>
        <v>0</v>
      </c>
      <c r="U84" s="67">
        <f>ROUND(+N84+R84+S84+T84,4)</f>
        <v>0</v>
      </c>
      <c r="V84" s="67">
        <f>ROUND(IF(P84=0,0,I84-H84-O84)+IF(L84=0,0,I84-H84-K84),4)</f>
        <v>0</v>
      </c>
      <c r="W84" s="67">
        <f>ROUND(+(V84*60%)*D84,4)</f>
        <v>0</v>
      </c>
      <c r="X84" s="148">
        <f>ROUND(+U84+W84,4)</f>
        <v>0</v>
      </c>
      <c r="Y84" s="68"/>
      <c r="Z84" s="148">
        <f>ROUND(IF(X84&gt;I84,X84,I84),4)</f>
        <v>0</v>
      </c>
      <c r="AD84" s="78">
        <f t="shared" si="6"/>
        <v>0</v>
      </c>
      <c r="AE84" s="78">
        <f t="shared" si="7"/>
        <v>0</v>
      </c>
    </row>
    <row r="85" spans="1:31" x14ac:dyDescent="0.2">
      <c r="A85" s="66"/>
      <c r="B85" s="66"/>
      <c r="C85" s="66"/>
      <c r="D85" s="144"/>
      <c r="E85" s="67"/>
      <c r="F85" s="67"/>
      <c r="G85" s="67"/>
      <c r="H85" s="67">
        <f>ROUND(+E85+G85,4)</f>
        <v>0</v>
      </c>
      <c r="I85" s="67"/>
      <c r="J85" s="67">
        <f>ROUND(+I85-H85,4)</f>
        <v>0</v>
      </c>
      <c r="K85" s="67">
        <f>ROUND(IF(F85="alluminio",0,I85*1.5%),4)</f>
        <v>0</v>
      </c>
      <c r="L85" s="67">
        <f>ROUND(IF(K85&lt;J85,K85,0),4)</f>
        <v>0</v>
      </c>
      <c r="M85" s="67">
        <f>ROUND(IF(J85&gt;K85,0,J85),4)</f>
        <v>0</v>
      </c>
      <c r="N85" s="67">
        <f>ROUND(+L85*D85,4)</f>
        <v>0</v>
      </c>
      <c r="O85" s="67">
        <f>ROUND(IF(F85="rame",0,+I85*3%),4)</f>
        <v>0</v>
      </c>
      <c r="P85" s="67">
        <f>ROUND(IF(O85&lt;J85,O85,0),4)</f>
        <v>0</v>
      </c>
      <c r="Q85" s="67">
        <f>ROUND(IF(J85&gt;O85,0,J85),4)</f>
        <v>0</v>
      </c>
      <c r="R85" s="67">
        <f>ROUND(+P85*D85,4)</f>
        <v>0</v>
      </c>
      <c r="S85" s="67">
        <f>ROUND(IF(K85=0,0,M85*D85),4)</f>
        <v>0</v>
      </c>
      <c r="T85" s="67">
        <f>ROUND(+IF(K85=0,Q85*D85,0),4)</f>
        <v>0</v>
      </c>
      <c r="U85" s="67">
        <f>ROUND(+N85+R85+S85+T85,4)</f>
        <v>0</v>
      </c>
      <c r="V85" s="67">
        <f>ROUND(IF(P85=0,0,I85-H85-O85)+IF(L85=0,0,I85-H85-K85),4)</f>
        <v>0</v>
      </c>
      <c r="W85" s="67">
        <f>ROUND(+(V85*60%)*D85,4)</f>
        <v>0</v>
      </c>
      <c r="X85" s="148">
        <f>ROUND(+U85+W85,4)</f>
        <v>0</v>
      </c>
      <c r="Y85" s="68"/>
      <c r="Z85" s="148">
        <f>ROUND(IF(X85&gt;I85,X85,I85),4)</f>
        <v>0</v>
      </c>
      <c r="AD85" s="78">
        <f t="shared" si="6"/>
        <v>0</v>
      </c>
      <c r="AE85" s="78">
        <f t="shared" si="7"/>
        <v>0</v>
      </c>
    </row>
    <row r="86" spans="1:31" x14ac:dyDescent="0.2">
      <c r="A86" s="66"/>
      <c r="B86" s="66"/>
      <c r="C86" s="66"/>
      <c r="D86" s="144"/>
      <c r="E86" s="67"/>
      <c r="F86" s="67"/>
      <c r="G86" s="67"/>
      <c r="H86" s="67">
        <f>ROUND(+E86+G86,4)</f>
        <v>0</v>
      </c>
      <c r="I86" s="67"/>
      <c r="J86" s="67">
        <f>ROUND(+I86-H86,4)</f>
        <v>0</v>
      </c>
      <c r="K86" s="67">
        <f>ROUND(IF(F86="alluminio",0,I86*1.5%),4)</f>
        <v>0</v>
      </c>
      <c r="L86" s="67">
        <f>ROUND(IF(K86&lt;J86,K86,0),4)</f>
        <v>0</v>
      </c>
      <c r="M86" s="67">
        <f>ROUND(IF(J86&gt;K86,0,J86),4)</f>
        <v>0</v>
      </c>
      <c r="N86" s="67">
        <f>ROUND(+L86*D86,4)</f>
        <v>0</v>
      </c>
      <c r="O86" s="67">
        <f>ROUND(IF(F86="rame",0,+I86*3%),4)</f>
        <v>0</v>
      </c>
      <c r="P86" s="67">
        <f>ROUND(IF(O86&lt;J86,O86,0),4)</f>
        <v>0</v>
      </c>
      <c r="Q86" s="67">
        <f>ROUND(IF(J86&gt;O86,0,J86),4)</f>
        <v>0</v>
      </c>
      <c r="R86" s="67">
        <f>ROUND(+P86*D86,4)</f>
        <v>0</v>
      </c>
      <c r="S86" s="67">
        <f>ROUND(IF(K86=0,0,M86*D86),4)</f>
        <v>0</v>
      </c>
      <c r="T86" s="67">
        <f>ROUND(+IF(K86=0,Q86*D86,0),4)</f>
        <v>0</v>
      </c>
      <c r="U86" s="67">
        <f>ROUND(+N86+R86+S86+T86,4)</f>
        <v>0</v>
      </c>
      <c r="V86" s="67">
        <f>ROUND(IF(P86=0,0,I86-H86-O86)+IF(L86=0,0,I86-H86-K86),4)</f>
        <v>0</v>
      </c>
      <c r="W86" s="67">
        <f>ROUND(+(V86*60%)*D86,4)</f>
        <v>0</v>
      </c>
      <c r="X86" s="148">
        <f>ROUND(+U86+W86,4)</f>
        <v>0</v>
      </c>
      <c r="Y86" s="68"/>
      <c r="Z86" s="148">
        <f>ROUND(IF(X86&gt;I86,X86,I86),4)</f>
        <v>0</v>
      </c>
      <c r="AD86" s="78">
        <f t="shared" si="6"/>
        <v>0</v>
      </c>
      <c r="AE86" s="78">
        <f t="shared" si="7"/>
        <v>0</v>
      </c>
    </row>
    <row r="87" spans="1:31" x14ac:dyDescent="0.2">
      <c r="A87" s="66"/>
      <c r="B87" s="66"/>
      <c r="C87" s="66"/>
      <c r="D87" s="144"/>
      <c r="E87" s="67"/>
      <c r="F87" s="67"/>
      <c r="G87" s="67"/>
      <c r="H87" s="67">
        <f>ROUND(+E87+G87,4)</f>
        <v>0</v>
      </c>
      <c r="I87" s="67"/>
      <c r="J87" s="67">
        <f>ROUND(+I87-H87,4)</f>
        <v>0</v>
      </c>
      <c r="K87" s="67">
        <f>ROUND(IF(F87="alluminio",0,I87*1.5%),4)</f>
        <v>0</v>
      </c>
      <c r="L87" s="67">
        <f>ROUND(IF(K87&lt;J87,K87,0),4)</f>
        <v>0</v>
      </c>
      <c r="M87" s="67">
        <f>ROUND(IF(J87&gt;K87,0,J87),4)</f>
        <v>0</v>
      </c>
      <c r="N87" s="67">
        <f>ROUND(+L87*D87,4)</f>
        <v>0</v>
      </c>
      <c r="O87" s="67">
        <f>ROUND(IF(F87="rame",0,+I87*3%),4)</f>
        <v>0</v>
      </c>
      <c r="P87" s="67">
        <f>ROUND(IF(O87&lt;J87,O87,0),4)</f>
        <v>0</v>
      </c>
      <c r="Q87" s="67">
        <f>ROUND(IF(J87&gt;O87,0,J87),4)</f>
        <v>0</v>
      </c>
      <c r="R87" s="67">
        <f>ROUND(+P87*D87,4)</f>
        <v>0</v>
      </c>
      <c r="S87" s="67">
        <f>ROUND(IF(K87=0,0,M87*D87),4)</f>
        <v>0</v>
      </c>
      <c r="T87" s="67">
        <f>ROUND(+IF(K87=0,Q87*D87,0),4)</f>
        <v>0</v>
      </c>
      <c r="U87" s="67">
        <f>ROUND(+N87+R87+S87+T87,4)</f>
        <v>0</v>
      </c>
      <c r="V87" s="67">
        <f>ROUND(IF(P87=0,0,I87-H87-O87)+IF(L87=0,0,I87-H87-K87),4)</f>
        <v>0</v>
      </c>
      <c r="W87" s="67">
        <f>ROUND(+(V87*60%)*D87,4)</f>
        <v>0</v>
      </c>
      <c r="X87" s="148">
        <f>ROUND(+U87+W87,4)</f>
        <v>0</v>
      </c>
      <c r="Y87" s="68"/>
      <c r="Z87" s="148">
        <f>ROUND(IF(X87&gt;I87,X87,I87),4)</f>
        <v>0</v>
      </c>
      <c r="AD87" s="78">
        <f t="shared" si="6"/>
        <v>0</v>
      </c>
      <c r="AE87" s="78">
        <f t="shared" si="7"/>
        <v>0</v>
      </c>
    </row>
    <row r="88" spans="1:31" x14ac:dyDescent="0.2">
      <c r="A88" s="66"/>
      <c r="B88" s="66"/>
      <c r="C88" s="66"/>
      <c r="D88" s="144"/>
      <c r="E88" s="67"/>
      <c r="F88" s="67"/>
      <c r="G88" s="67"/>
      <c r="H88" s="67">
        <f>ROUND(+E88+G88,4)</f>
        <v>0</v>
      </c>
      <c r="I88" s="67"/>
      <c r="J88" s="67">
        <f>ROUND(+I88-H88,4)</f>
        <v>0</v>
      </c>
      <c r="K88" s="67">
        <f>ROUND(IF(F88="alluminio",0,I88*1.5%),4)</f>
        <v>0</v>
      </c>
      <c r="L88" s="67">
        <f>ROUND(IF(K88&lt;J88,K88,0),4)</f>
        <v>0</v>
      </c>
      <c r="M88" s="67">
        <f>ROUND(IF(J88&gt;K88,0,J88),4)</f>
        <v>0</v>
      </c>
      <c r="N88" s="67">
        <f>ROUND(+L88*D88,4)</f>
        <v>0</v>
      </c>
      <c r="O88" s="67">
        <f>ROUND(IF(F88="rame",0,+I88*3%),4)</f>
        <v>0</v>
      </c>
      <c r="P88" s="67">
        <f>ROUND(IF(O88&lt;J88,O88,0),4)</f>
        <v>0</v>
      </c>
      <c r="Q88" s="67">
        <f>ROUND(IF(J88&gt;O88,0,J88),4)</f>
        <v>0</v>
      </c>
      <c r="R88" s="67">
        <f>ROUND(+P88*D88,4)</f>
        <v>0</v>
      </c>
      <c r="S88" s="67">
        <f>ROUND(IF(K88=0,0,M88*D88),4)</f>
        <v>0</v>
      </c>
      <c r="T88" s="67">
        <f>ROUND(+IF(K88=0,Q88*D88,0),4)</f>
        <v>0</v>
      </c>
      <c r="U88" s="67">
        <f>ROUND(+N88+R88+S88+T88,4)</f>
        <v>0</v>
      </c>
      <c r="V88" s="67">
        <f>ROUND(IF(P88=0,0,I88-H88-O88)+IF(L88=0,0,I88-H88-K88),4)</f>
        <v>0</v>
      </c>
      <c r="W88" s="67">
        <f>ROUND(+(V88*60%)*D88,4)</f>
        <v>0</v>
      </c>
      <c r="X88" s="148">
        <f>ROUND(+U88+W88,4)</f>
        <v>0</v>
      </c>
      <c r="Y88" s="68"/>
      <c r="Z88" s="148">
        <f>ROUND(IF(X88&gt;I88,X88,I88),4)</f>
        <v>0</v>
      </c>
      <c r="AD88" s="78">
        <f t="shared" si="6"/>
        <v>0</v>
      </c>
      <c r="AE88" s="78">
        <f t="shared" si="7"/>
        <v>0</v>
      </c>
    </row>
    <row r="89" spans="1:31" x14ac:dyDescent="0.2">
      <c r="A89" s="66"/>
      <c r="B89" s="66"/>
      <c r="C89" s="66"/>
      <c r="D89" s="144"/>
      <c r="E89" s="67"/>
      <c r="F89" s="67"/>
      <c r="G89" s="67"/>
      <c r="H89" s="67">
        <f>ROUND(+E89+G89,4)</f>
        <v>0</v>
      </c>
      <c r="I89" s="67"/>
      <c r="J89" s="67">
        <f>ROUND(+I89-H89,4)</f>
        <v>0</v>
      </c>
      <c r="K89" s="67">
        <f>ROUND(IF(F89="alluminio",0,I89*1.5%),4)</f>
        <v>0</v>
      </c>
      <c r="L89" s="67">
        <f>ROUND(IF(K89&lt;J89,K89,0),4)</f>
        <v>0</v>
      </c>
      <c r="M89" s="67">
        <f>ROUND(IF(J89&gt;K89,0,J89),4)</f>
        <v>0</v>
      </c>
      <c r="N89" s="67">
        <f>ROUND(+L89*D89,4)</f>
        <v>0</v>
      </c>
      <c r="O89" s="67">
        <f>ROUND(IF(F89="rame",0,+I89*3%),4)</f>
        <v>0</v>
      </c>
      <c r="P89" s="67">
        <f>ROUND(IF(O89&lt;J89,O89,0),4)</f>
        <v>0</v>
      </c>
      <c r="Q89" s="67">
        <f>ROUND(IF(J89&gt;O89,0,J89),4)</f>
        <v>0</v>
      </c>
      <c r="R89" s="67">
        <f>ROUND(+P89*D89,4)</f>
        <v>0</v>
      </c>
      <c r="S89" s="67">
        <f>ROUND(IF(K89=0,0,M89*D89),4)</f>
        <v>0</v>
      </c>
      <c r="T89" s="67">
        <f>ROUND(+IF(K89=0,Q89*D89,0),4)</f>
        <v>0</v>
      </c>
      <c r="U89" s="67">
        <f>ROUND(+N89+R89+S89+T89,4)</f>
        <v>0</v>
      </c>
      <c r="V89" s="67">
        <f>ROUND(IF(P89=0,0,I89-H89-O89)+IF(L89=0,0,I89-H89-K89),4)</f>
        <v>0</v>
      </c>
      <c r="W89" s="67">
        <f>ROUND(+(V89*60%)*D89,4)</f>
        <v>0</v>
      </c>
      <c r="X89" s="148">
        <f>ROUND(+U89+W89,4)</f>
        <v>0</v>
      </c>
      <c r="Y89" s="68"/>
      <c r="Z89" s="148">
        <f>ROUND(IF(X89&gt;I89,X89,I89),4)</f>
        <v>0</v>
      </c>
      <c r="AD89" s="78">
        <f t="shared" si="6"/>
        <v>0</v>
      </c>
      <c r="AE89" s="78">
        <f t="shared" si="7"/>
        <v>0</v>
      </c>
    </row>
    <row r="90" spans="1:31" x14ac:dyDescent="0.2">
      <c r="A90" s="66"/>
      <c r="B90" s="66"/>
      <c r="C90" s="66"/>
      <c r="D90" s="144"/>
      <c r="E90" s="67"/>
      <c r="F90" s="67"/>
      <c r="G90" s="67"/>
      <c r="H90" s="67">
        <f>ROUND(+E90+G90,4)</f>
        <v>0</v>
      </c>
      <c r="I90" s="67"/>
      <c r="J90" s="67">
        <f>ROUND(+I90-H90,4)</f>
        <v>0</v>
      </c>
      <c r="K90" s="67">
        <f>ROUND(IF(F90="alluminio",0,I90*1.5%),4)</f>
        <v>0</v>
      </c>
      <c r="L90" s="67">
        <f>ROUND(IF(K90&lt;J90,K90,0),4)</f>
        <v>0</v>
      </c>
      <c r="M90" s="67">
        <f>ROUND(IF(J90&gt;K90,0,J90),4)</f>
        <v>0</v>
      </c>
      <c r="N90" s="67">
        <f>ROUND(+L90*D90,4)</f>
        <v>0</v>
      </c>
      <c r="O90" s="67">
        <f>ROUND(IF(F90="rame",0,+I90*3%),4)</f>
        <v>0</v>
      </c>
      <c r="P90" s="67">
        <f>ROUND(IF(O90&lt;J90,O90,0),4)</f>
        <v>0</v>
      </c>
      <c r="Q90" s="67">
        <f>ROUND(IF(J90&gt;O90,0,J90),4)</f>
        <v>0</v>
      </c>
      <c r="R90" s="67">
        <f>ROUND(+P90*D90,4)</f>
        <v>0</v>
      </c>
      <c r="S90" s="67">
        <f>ROUND(IF(K90=0,0,M90*D90),4)</f>
        <v>0</v>
      </c>
      <c r="T90" s="67">
        <f>ROUND(+IF(K90=0,Q90*D90,0),4)</f>
        <v>0</v>
      </c>
      <c r="U90" s="67">
        <f>ROUND(+N90+R90+S90+T90,4)</f>
        <v>0</v>
      </c>
      <c r="V90" s="67">
        <f>ROUND(IF(P90=0,0,I90-H90-O90)+IF(L90=0,0,I90-H90-K90),4)</f>
        <v>0</v>
      </c>
      <c r="W90" s="67">
        <f>ROUND(+(V90*60%)*D90,4)</f>
        <v>0</v>
      </c>
      <c r="X90" s="148">
        <f>ROUND(+U90+W90,4)</f>
        <v>0</v>
      </c>
      <c r="Y90" s="68"/>
      <c r="Z90" s="148">
        <f>ROUND(IF(X90&gt;I90,X90,I90),4)</f>
        <v>0</v>
      </c>
      <c r="AD90" s="78">
        <f t="shared" si="6"/>
        <v>0</v>
      </c>
      <c r="AE90" s="78">
        <f t="shared" si="7"/>
        <v>0</v>
      </c>
    </row>
    <row r="91" spans="1:31" x14ac:dyDescent="0.2">
      <c r="A91" s="66"/>
      <c r="B91" s="66"/>
      <c r="C91" s="66"/>
      <c r="D91" s="144"/>
      <c r="E91" s="67"/>
      <c r="F91" s="67"/>
      <c r="G91" s="67"/>
      <c r="H91" s="67">
        <f>ROUND(+E91+G91,4)</f>
        <v>0</v>
      </c>
      <c r="I91" s="67"/>
      <c r="J91" s="67">
        <f>ROUND(+I91-H91,4)</f>
        <v>0</v>
      </c>
      <c r="K91" s="67">
        <f>ROUND(IF(F91="alluminio",0,I91*1.5%),4)</f>
        <v>0</v>
      </c>
      <c r="L91" s="67">
        <f>ROUND(IF(K91&lt;J91,K91,0),4)</f>
        <v>0</v>
      </c>
      <c r="M91" s="67">
        <f>ROUND(IF(J91&gt;K91,0,J91),4)</f>
        <v>0</v>
      </c>
      <c r="N91" s="67">
        <f>ROUND(+L91*D91,4)</f>
        <v>0</v>
      </c>
      <c r="O91" s="67">
        <f>ROUND(IF(F91="rame",0,+I91*3%),4)</f>
        <v>0</v>
      </c>
      <c r="P91" s="67">
        <f>ROUND(IF(O91&lt;J91,O91,0),4)</f>
        <v>0</v>
      </c>
      <c r="Q91" s="67">
        <f>ROUND(IF(J91&gt;O91,0,J91),4)</f>
        <v>0</v>
      </c>
      <c r="R91" s="67">
        <f>ROUND(+P91*D91,4)</f>
        <v>0</v>
      </c>
      <c r="S91" s="67">
        <f>ROUND(IF(K91=0,0,M91*D91),4)</f>
        <v>0</v>
      </c>
      <c r="T91" s="67">
        <f>ROUND(+IF(K91=0,Q91*D91,0),4)</f>
        <v>0</v>
      </c>
      <c r="U91" s="67">
        <f>ROUND(+N91+R91+S91+T91,4)</f>
        <v>0</v>
      </c>
      <c r="V91" s="67">
        <f>ROUND(IF(P91=0,0,I91-H91-O91)+IF(L91=0,0,I91-H91-K91),4)</f>
        <v>0</v>
      </c>
      <c r="W91" s="67">
        <f>ROUND(+(V91*60%)*D91,4)</f>
        <v>0</v>
      </c>
      <c r="X91" s="148">
        <f>ROUND(+U91+W91,4)</f>
        <v>0</v>
      </c>
      <c r="Y91" s="68"/>
      <c r="Z91" s="148">
        <f>ROUND(IF(X91&gt;I91,X91,I91),4)</f>
        <v>0</v>
      </c>
      <c r="AD91" s="78">
        <f t="shared" si="6"/>
        <v>0</v>
      </c>
      <c r="AE91" s="78">
        <f t="shared" si="7"/>
        <v>0</v>
      </c>
    </row>
    <row r="92" spans="1:31" x14ac:dyDescent="0.2">
      <c r="A92" s="66"/>
      <c r="B92" s="66"/>
      <c r="C92" s="66"/>
      <c r="D92" s="144"/>
      <c r="E92" s="67"/>
      <c r="F92" s="67"/>
      <c r="G92" s="67"/>
      <c r="H92" s="67">
        <f>ROUND(+E92+G92,4)</f>
        <v>0</v>
      </c>
      <c r="I92" s="67"/>
      <c r="J92" s="67">
        <f>ROUND(+I92-H92,4)</f>
        <v>0</v>
      </c>
      <c r="K92" s="67">
        <f>ROUND(IF(F92="alluminio",0,I92*1.5%),4)</f>
        <v>0</v>
      </c>
      <c r="L92" s="67">
        <f>ROUND(IF(K92&lt;J92,K92,0),4)</f>
        <v>0</v>
      </c>
      <c r="M92" s="67">
        <f>ROUND(IF(J92&gt;K92,0,J92),4)</f>
        <v>0</v>
      </c>
      <c r="N92" s="67">
        <f>ROUND(+L92*D92,4)</f>
        <v>0</v>
      </c>
      <c r="O92" s="67">
        <f>ROUND(IF(F92="rame",0,+I92*3%),4)</f>
        <v>0</v>
      </c>
      <c r="P92" s="67">
        <f>ROUND(IF(O92&lt;J92,O92,0),4)</f>
        <v>0</v>
      </c>
      <c r="Q92" s="67">
        <f>ROUND(IF(J92&gt;O92,0,J92),4)</f>
        <v>0</v>
      </c>
      <c r="R92" s="67">
        <f>ROUND(+P92*D92,4)</f>
        <v>0</v>
      </c>
      <c r="S92" s="67">
        <f>ROUND(IF(K92=0,0,M92*D92),4)</f>
        <v>0</v>
      </c>
      <c r="T92" s="67">
        <f>ROUND(+IF(K92=0,Q92*D92,0),4)</f>
        <v>0</v>
      </c>
      <c r="U92" s="67">
        <f>ROUND(+N92+R92+S92+T92,4)</f>
        <v>0</v>
      </c>
      <c r="V92" s="67">
        <f>ROUND(IF(P92=0,0,I92-H92-O92)+IF(L92=0,0,I92-H92-K92),4)</f>
        <v>0</v>
      </c>
      <c r="W92" s="67">
        <f>ROUND(+(V92*60%)*D92,4)</f>
        <v>0</v>
      </c>
      <c r="X92" s="148">
        <f>ROUND(+U92+W92,4)</f>
        <v>0</v>
      </c>
      <c r="Y92" s="68"/>
      <c r="Z92" s="148">
        <f>ROUND(IF(X92&gt;I92,X92,I92),4)</f>
        <v>0</v>
      </c>
      <c r="AD92" s="78">
        <f t="shared" si="6"/>
        <v>0</v>
      </c>
      <c r="AE92" s="78">
        <f t="shared" si="7"/>
        <v>0</v>
      </c>
    </row>
    <row r="93" spans="1:31" x14ac:dyDescent="0.2">
      <c r="A93" s="66"/>
      <c r="B93" s="66"/>
      <c r="C93" s="66"/>
      <c r="D93" s="144"/>
      <c r="E93" s="67"/>
      <c r="F93" s="67"/>
      <c r="G93" s="67"/>
      <c r="H93" s="67">
        <f>ROUND(+E93+G93,4)</f>
        <v>0</v>
      </c>
      <c r="I93" s="67"/>
      <c r="J93" s="67">
        <f>ROUND(+I93-H93,4)</f>
        <v>0</v>
      </c>
      <c r="K93" s="67">
        <f>ROUND(IF(F93="alluminio",0,I93*1.5%),4)</f>
        <v>0</v>
      </c>
      <c r="L93" s="67">
        <f>ROUND(IF(K93&lt;J93,K93,0),4)</f>
        <v>0</v>
      </c>
      <c r="M93" s="67">
        <f>ROUND(IF(J93&gt;K93,0,J93),4)</f>
        <v>0</v>
      </c>
      <c r="N93" s="67">
        <f>ROUND(+L93*D93,4)</f>
        <v>0</v>
      </c>
      <c r="O93" s="67">
        <f>ROUND(IF(F93="rame",0,+I93*3%),4)</f>
        <v>0</v>
      </c>
      <c r="P93" s="67">
        <f>ROUND(IF(O93&lt;J93,O93,0),4)</f>
        <v>0</v>
      </c>
      <c r="Q93" s="67">
        <f>ROUND(IF(J93&gt;O93,0,J93),4)</f>
        <v>0</v>
      </c>
      <c r="R93" s="67">
        <f>ROUND(+P93*D93,4)</f>
        <v>0</v>
      </c>
      <c r="S93" s="67">
        <f>ROUND(IF(K93=0,0,M93*D93),4)</f>
        <v>0</v>
      </c>
      <c r="T93" s="67">
        <f>ROUND(+IF(K93=0,Q93*D93,0),4)</f>
        <v>0</v>
      </c>
      <c r="U93" s="67">
        <f>ROUND(+N93+R93+S93+T93,4)</f>
        <v>0</v>
      </c>
      <c r="V93" s="67">
        <f>ROUND(IF(P93=0,0,I93-H93-O93)+IF(L93=0,0,I93-H93-K93),4)</f>
        <v>0</v>
      </c>
      <c r="W93" s="67">
        <f>ROUND(+(V93*60%)*D93,4)</f>
        <v>0</v>
      </c>
      <c r="X93" s="148">
        <f>ROUND(+U93+W93,4)</f>
        <v>0</v>
      </c>
      <c r="Y93" s="68"/>
      <c r="Z93" s="148">
        <f>ROUND(IF(X93&gt;I93,X93,I93),4)</f>
        <v>0</v>
      </c>
      <c r="AD93" s="78">
        <f t="shared" si="6"/>
        <v>0</v>
      </c>
      <c r="AE93" s="78">
        <f t="shared" si="7"/>
        <v>0</v>
      </c>
    </row>
    <row r="94" spans="1:31" x14ac:dyDescent="0.2">
      <c r="A94" s="66"/>
      <c r="B94" s="66"/>
      <c r="C94" s="66"/>
      <c r="D94" s="144"/>
      <c r="E94" s="67"/>
      <c r="F94" s="67"/>
      <c r="G94" s="67"/>
      <c r="H94" s="67">
        <f>ROUND(+E94+G94,4)</f>
        <v>0</v>
      </c>
      <c r="I94" s="67"/>
      <c r="J94" s="67">
        <f>ROUND(+I94-H94,4)</f>
        <v>0</v>
      </c>
      <c r="K94" s="67">
        <f>ROUND(IF(F94="alluminio",0,I94*1.5%),4)</f>
        <v>0</v>
      </c>
      <c r="L94" s="67">
        <f>ROUND(IF(K94&lt;J94,K94,0),4)</f>
        <v>0</v>
      </c>
      <c r="M94" s="67">
        <f>ROUND(IF(J94&gt;K94,0,J94),4)</f>
        <v>0</v>
      </c>
      <c r="N94" s="67">
        <f>ROUND(+L94*D94,4)</f>
        <v>0</v>
      </c>
      <c r="O94" s="67">
        <f>ROUND(IF(F94="rame",0,+I94*3%),4)</f>
        <v>0</v>
      </c>
      <c r="P94" s="67">
        <f>ROUND(IF(O94&lt;J94,O94,0),4)</f>
        <v>0</v>
      </c>
      <c r="Q94" s="67">
        <f>ROUND(IF(J94&gt;O94,0,J94),4)</f>
        <v>0</v>
      </c>
      <c r="R94" s="67">
        <f>ROUND(+P94*D94,4)</f>
        <v>0</v>
      </c>
      <c r="S94" s="67">
        <f>ROUND(IF(K94=0,0,M94*D94),4)</f>
        <v>0</v>
      </c>
      <c r="T94" s="67">
        <f>ROUND(+IF(K94=0,Q94*D94,0),4)</f>
        <v>0</v>
      </c>
      <c r="U94" s="67">
        <f>ROUND(+N94+R94+S94+T94,4)</f>
        <v>0</v>
      </c>
      <c r="V94" s="67">
        <f>ROUND(IF(P94=0,0,I94-H94-O94)+IF(L94=0,0,I94-H94-K94),4)</f>
        <v>0</v>
      </c>
      <c r="W94" s="67">
        <f>ROUND(+(V94*60%)*D94,4)</f>
        <v>0</v>
      </c>
      <c r="X94" s="148">
        <f>ROUND(+U94+W94,4)</f>
        <v>0</v>
      </c>
      <c r="Y94" s="68"/>
      <c r="Z94" s="148">
        <f>ROUND(IF(X94&gt;I94,X94,I94),4)</f>
        <v>0</v>
      </c>
      <c r="AD94" s="78">
        <f t="shared" si="6"/>
        <v>0</v>
      </c>
      <c r="AE94" s="78">
        <f t="shared" si="7"/>
        <v>0</v>
      </c>
    </row>
    <row r="95" spans="1:31" x14ac:dyDescent="0.2">
      <c r="A95" s="66"/>
      <c r="B95" s="66"/>
      <c r="C95" s="66"/>
      <c r="D95" s="144"/>
      <c r="E95" s="67"/>
      <c r="F95" s="67"/>
      <c r="G95" s="67"/>
      <c r="H95" s="67">
        <f>ROUND(+E95+G95,4)</f>
        <v>0</v>
      </c>
      <c r="I95" s="67"/>
      <c r="J95" s="67">
        <f>ROUND(+I95-H95,4)</f>
        <v>0</v>
      </c>
      <c r="K95" s="67">
        <f>ROUND(IF(F95="alluminio",0,I95*1.5%),4)</f>
        <v>0</v>
      </c>
      <c r="L95" s="67">
        <f>ROUND(IF(K95&lt;J95,K95,0),4)</f>
        <v>0</v>
      </c>
      <c r="M95" s="67">
        <f>ROUND(IF(J95&gt;K95,0,J95),4)</f>
        <v>0</v>
      </c>
      <c r="N95" s="67">
        <f>ROUND(+L95*D95,4)</f>
        <v>0</v>
      </c>
      <c r="O95" s="67">
        <f>ROUND(IF(F95="rame",0,+I95*3%),4)</f>
        <v>0</v>
      </c>
      <c r="P95" s="67">
        <f>ROUND(IF(O95&lt;J95,O95,0),4)</f>
        <v>0</v>
      </c>
      <c r="Q95" s="67">
        <f>ROUND(IF(J95&gt;O95,0,J95),4)</f>
        <v>0</v>
      </c>
      <c r="R95" s="67">
        <f>ROUND(+P95*D95,4)</f>
        <v>0</v>
      </c>
      <c r="S95" s="67">
        <f>ROUND(IF(K95=0,0,M95*D95),4)</f>
        <v>0</v>
      </c>
      <c r="T95" s="67">
        <f>ROUND(+IF(K95=0,Q95*D95,0),4)</f>
        <v>0</v>
      </c>
      <c r="U95" s="67">
        <f>ROUND(+N95+R95+S95+T95,4)</f>
        <v>0</v>
      </c>
      <c r="V95" s="67">
        <f>ROUND(IF(P95=0,0,I95-H95-O95)+IF(L95=0,0,I95-H95-K95),4)</f>
        <v>0</v>
      </c>
      <c r="W95" s="67">
        <f>ROUND(+(V95*60%)*D95,4)</f>
        <v>0</v>
      </c>
      <c r="X95" s="148">
        <f>ROUND(+U95+W95,4)</f>
        <v>0</v>
      </c>
      <c r="Y95" s="68"/>
      <c r="Z95" s="148">
        <f>ROUND(IF(X95&gt;I95,X95,I95),4)</f>
        <v>0</v>
      </c>
      <c r="AD95" s="78">
        <f t="shared" si="6"/>
        <v>0</v>
      </c>
      <c r="AE95" s="78">
        <f t="shared" si="7"/>
        <v>0</v>
      </c>
    </row>
    <row r="96" spans="1:31" x14ac:dyDescent="0.2">
      <c r="A96" s="66"/>
      <c r="B96" s="66"/>
      <c r="C96" s="66"/>
      <c r="D96" s="144"/>
      <c r="E96" s="67"/>
      <c r="F96" s="67"/>
      <c r="G96" s="67"/>
      <c r="H96" s="67">
        <f>ROUND(+E96+G96,4)</f>
        <v>0</v>
      </c>
      <c r="I96" s="67"/>
      <c r="J96" s="67">
        <f>ROUND(+I96-H96,4)</f>
        <v>0</v>
      </c>
      <c r="K96" s="67">
        <f>ROUND(IF(F96="alluminio",0,I96*1.5%),4)</f>
        <v>0</v>
      </c>
      <c r="L96" s="67">
        <f>ROUND(IF(K96&lt;J96,K96,0),4)</f>
        <v>0</v>
      </c>
      <c r="M96" s="67">
        <f>ROUND(IF(J96&gt;K96,0,J96),4)</f>
        <v>0</v>
      </c>
      <c r="N96" s="67">
        <f>ROUND(+L96*D96,4)</f>
        <v>0</v>
      </c>
      <c r="O96" s="67">
        <f>ROUND(IF(F96="rame",0,+I96*3%),4)</f>
        <v>0</v>
      </c>
      <c r="P96" s="67">
        <f>ROUND(IF(O96&lt;J96,O96,0),4)</f>
        <v>0</v>
      </c>
      <c r="Q96" s="67">
        <f>ROUND(IF(J96&gt;O96,0,J96),4)</f>
        <v>0</v>
      </c>
      <c r="R96" s="67">
        <f>ROUND(+P96*D96,4)</f>
        <v>0</v>
      </c>
      <c r="S96" s="67">
        <f>ROUND(IF(K96=0,0,M96*D96),4)</f>
        <v>0</v>
      </c>
      <c r="T96" s="67">
        <f>ROUND(+IF(K96=0,Q96*D96,0),4)</f>
        <v>0</v>
      </c>
      <c r="U96" s="67">
        <f>ROUND(+N96+R96+S96+T96,4)</f>
        <v>0</v>
      </c>
      <c r="V96" s="67">
        <f>ROUND(IF(P96=0,0,I96-H96-O96)+IF(L96=0,0,I96-H96-K96),4)</f>
        <v>0</v>
      </c>
      <c r="W96" s="67">
        <f>ROUND(+(V96*60%)*D96,4)</f>
        <v>0</v>
      </c>
      <c r="X96" s="148">
        <f>ROUND(+U96+W96,4)</f>
        <v>0</v>
      </c>
      <c r="Y96" s="68"/>
      <c r="Z96" s="148">
        <f>ROUND(IF(X96&gt;I96,X96,I96),4)</f>
        <v>0</v>
      </c>
      <c r="AD96" s="78">
        <f t="shared" si="6"/>
        <v>0</v>
      </c>
      <c r="AE96" s="78">
        <f t="shared" si="7"/>
        <v>0</v>
      </c>
    </row>
    <row r="97" spans="1:31" x14ac:dyDescent="0.2">
      <c r="A97" s="66"/>
      <c r="B97" s="66"/>
      <c r="C97" s="66"/>
      <c r="D97" s="144"/>
      <c r="E97" s="67"/>
      <c r="F97" s="67"/>
      <c r="G97" s="67"/>
      <c r="H97" s="67">
        <f>ROUND(+E97+G97,4)</f>
        <v>0</v>
      </c>
      <c r="I97" s="67"/>
      <c r="J97" s="67">
        <f>ROUND(+I97-H97,4)</f>
        <v>0</v>
      </c>
      <c r="K97" s="67">
        <f>ROUND(IF(F97="alluminio",0,I97*1.5%),4)</f>
        <v>0</v>
      </c>
      <c r="L97" s="67">
        <f>ROUND(IF(K97&lt;J97,K97,0),4)</f>
        <v>0</v>
      </c>
      <c r="M97" s="67">
        <f>ROUND(IF(J97&gt;K97,0,J97),4)</f>
        <v>0</v>
      </c>
      <c r="N97" s="67">
        <f>ROUND(+L97*D97,4)</f>
        <v>0</v>
      </c>
      <c r="O97" s="67">
        <f>ROUND(IF(F97="rame",0,+I97*3%),4)</f>
        <v>0</v>
      </c>
      <c r="P97" s="67">
        <f>ROUND(IF(O97&lt;J97,O97,0),4)</f>
        <v>0</v>
      </c>
      <c r="Q97" s="67">
        <f>ROUND(IF(J97&gt;O97,0,J97),4)</f>
        <v>0</v>
      </c>
      <c r="R97" s="67">
        <f>ROUND(+P97*D97,4)</f>
        <v>0</v>
      </c>
      <c r="S97" s="67">
        <f>ROUND(IF(K97=0,0,M97*D97),4)</f>
        <v>0</v>
      </c>
      <c r="T97" s="67">
        <f>ROUND(+IF(K97=0,Q97*D97,0),4)</f>
        <v>0</v>
      </c>
      <c r="U97" s="67">
        <f>ROUND(+N97+R97+S97+T97,4)</f>
        <v>0</v>
      </c>
      <c r="V97" s="67">
        <f>ROUND(IF(P97=0,0,I97-H97-O97)+IF(L97=0,0,I97-H97-K97),4)</f>
        <v>0</v>
      </c>
      <c r="W97" s="67">
        <f>ROUND(+(V97*60%)*D97,4)</f>
        <v>0</v>
      </c>
      <c r="X97" s="148">
        <f>ROUND(+U97+W97,4)</f>
        <v>0</v>
      </c>
      <c r="Y97" s="68"/>
      <c r="Z97" s="148">
        <f>ROUND(IF(X97&gt;I97,X97,I97),4)</f>
        <v>0</v>
      </c>
      <c r="AD97" s="78">
        <f t="shared" si="6"/>
        <v>0</v>
      </c>
      <c r="AE97" s="78">
        <f t="shared" si="7"/>
        <v>0</v>
      </c>
    </row>
    <row r="98" spans="1:31" x14ac:dyDescent="0.2">
      <c r="A98" s="66"/>
      <c r="B98" s="66"/>
      <c r="C98" s="66"/>
      <c r="D98" s="144"/>
      <c r="E98" s="67"/>
      <c r="F98" s="67"/>
      <c r="G98" s="67"/>
      <c r="H98" s="67">
        <f>ROUND(+E98+G98,4)</f>
        <v>0</v>
      </c>
      <c r="I98" s="67"/>
      <c r="J98" s="67">
        <f>ROUND(+I98-H98,4)</f>
        <v>0</v>
      </c>
      <c r="K98" s="67">
        <f>ROUND(IF(F98="alluminio",0,I98*1.5%),4)</f>
        <v>0</v>
      </c>
      <c r="L98" s="67">
        <f>ROUND(IF(K98&lt;J98,K98,0),4)</f>
        <v>0</v>
      </c>
      <c r="M98" s="67">
        <f>ROUND(IF(J98&gt;K98,0,J98),4)</f>
        <v>0</v>
      </c>
      <c r="N98" s="67">
        <f>ROUND(+L98*D98,4)</f>
        <v>0</v>
      </c>
      <c r="O98" s="67">
        <f>ROUND(IF(F98="rame",0,+I98*3%),4)</f>
        <v>0</v>
      </c>
      <c r="P98" s="67">
        <f>ROUND(IF(O98&lt;J98,O98,0),4)</f>
        <v>0</v>
      </c>
      <c r="Q98" s="67">
        <f>ROUND(IF(J98&gt;O98,0,J98),4)</f>
        <v>0</v>
      </c>
      <c r="R98" s="67">
        <f>ROUND(+P98*D98,4)</f>
        <v>0</v>
      </c>
      <c r="S98" s="67">
        <f>ROUND(IF(K98=0,0,M98*D98),4)</f>
        <v>0</v>
      </c>
      <c r="T98" s="67">
        <f>ROUND(+IF(K98=0,Q98*D98,0),4)</f>
        <v>0</v>
      </c>
      <c r="U98" s="67">
        <f>ROUND(+N98+R98+S98+T98,4)</f>
        <v>0</v>
      </c>
      <c r="V98" s="67">
        <f>ROUND(IF(P98=0,0,I98-H98-O98)+IF(L98=0,0,I98-H98-K98),4)</f>
        <v>0</v>
      </c>
      <c r="W98" s="67">
        <f>ROUND(+(V98*60%)*D98,4)</f>
        <v>0</v>
      </c>
      <c r="X98" s="148">
        <f>ROUND(+U98+W98,4)</f>
        <v>0</v>
      </c>
      <c r="Y98" s="68"/>
      <c r="Z98" s="148">
        <f>ROUND(IF(X98&gt;I98,X98,I98),4)</f>
        <v>0</v>
      </c>
      <c r="AD98" s="78">
        <f t="shared" si="6"/>
        <v>0</v>
      </c>
      <c r="AE98" s="78">
        <f t="shared" si="7"/>
        <v>0</v>
      </c>
    </row>
    <row r="99" spans="1:31" x14ac:dyDescent="0.2">
      <c r="A99" s="66"/>
      <c r="B99" s="66"/>
      <c r="C99" s="66"/>
      <c r="D99" s="144"/>
      <c r="E99" s="67"/>
      <c r="F99" s="67"/>
      <c r="G99" s="67"/>
      <c r="H99" s="67">
        <f>ROUND(+E99+G99,4)</f>
        <v>0</v>
      </c>
      <c r="I99" s="67"/>
      <c r="J99" s="67">
        <f>ROUND(+I99-H99,4)</f>
        <v>0</v>
      </c>
      <c r="K99" s="67">
        <f>ROUND(IF(F99="alluminio",0,I99*1.5%),4)</f>
        <v>0</v>
      </c>
      <c r="L99" s="67">
        <f>ROUND(IF(K99&lt;J99,K99,0),4)</f>
        <v>0</v>
      </c>
      <c r="M99" s="67">
        <f>ROUND(IF(J99&gt;K99,0,J99),4)</f>
        <v>0</v>
      </c>
      <c r="N99" s="67">
        <f>ROUND(+L99*D99,4)</f>
        <v>0</v>
      </c>
      <c r="O99" s="67">
        <f>ROUND(IF(F99="rame",0,+I99*3%),4)</f>
        <v>0</v>
      </c>
      <c r="P99" s="67">
        <f>ROUND(IF(O99&lt;J99,O99,0),4)</f>
        <v>0</v>
      </c>
      <c r="Q99" s="67">
        <f>ROUND(IF(J99&gt;O99,0,J99),4)</f>
        <v>0</v>
      </c>
      <c r="R99" s="67">
        <f>ROUND(+P99*D99,4)</f>
        <v>0</v>
      </c>
      <c r="S99" s="67">
        <f>ROUND(IF(K99=0,0,M99*D99),4)</f>
        <v>0</v>
      </c>
      <c r="T99" s="67">
        <f>ROUND(+IF(K99=0,Q99*D99,0),4)</f>
        <v>0</v>
      </c>
      <c r="U99" s="67">
        <f>ROUND(+N99+R99+S99+T99,4)</f>
        <v>0</v>
      </c>
      <c r="V99" s="67">
        <f>ROUND(IF(P99=0,0,I99-H99-O99)+IF(L99=0,0,I99-H99-K99),4)</f>
        <v>0</v>
      </c>
      <c r="W99" s="67">
        <f>ROUND(+(V99*60%)*D99,4)</f>
        <v>0</v>
      </c>
      <c r="X99" s="148">
        <f>ROUND(+U99+W99,4)</f>
        <v>0</v>
      </c>
      <c r="Y99" s="68"/>
      <c r="Z99" s="148">
        <f>ROUND(IF(X99&gt;I99,X99,I99),4)</f>
        <v>0</v>
      </c>
      <c r="AD99" s="78">
        <f t="shared" si="6"/>
        <v>0</v>
      </c>
      <c r="AE99" s="78">
        <f t="shared" si="7"/>
        <v>0</v>
      </c>
    </row>
    <row r="100" spans="1:31" x14ac:dyDescent="0.2">
      <c r="A100" s="66"/>
      <c r="B100" s="66"/>
      <c r="C100" s="66"/>
      <c r="D100" s="144"/>
      <c r="E100" s="67"/>
      <c r="F100" s="67"/>
      <c r="G100" s="67"/>
      <c r="H100" s="67">
        <f>ROUND(+E100+G100,4)</f>
        <v>0</v>
      </c>
      <c r="I100" s="67"/>
      <c r="J100" s="67">
        <f>ROUND(+I100-H100,4)</f>
        <v>0</v>
      </c>
      <c r="K100" s="67">
        <f>ROUND(IF(F100="alluminio",0,I100*1.5%),4)</f>
        <v>0</v>
      </c>
      <c r="L100" s="67">
        <f>ROUND(IF(K100&lt;J100,K100,0),4)</f>
        <v>0</v>
      </c>
      <c r="M100" s="67">
        <f>ROUND(IF(J100&gt;K100,0,J100),4)</f>
        <v>0</v>
      </c>
      <c r="N100" s="67">
        <f>ROUND(+L100*D100,4)</f>
        <v>0</v>
      </c>
      <c r="O100" s="67">
        <f>ROUND(IF(F100="rame",0,+I100*3%),4)</f>
        <v>0</v>
      </c>
      <c r="P100" s="67">
        <f>ROUND(IF(O100&lt;J100,O100,0),4)</f>
        <v>0</v>
      </c>
      <c r="Q100" s="67">
        <f>ROUND(IF(J100&gt;O100,0,J100),4)</f>
        <v>0</v>
      </c>
      <c r="R100" s="67">
        <f>ROUND(+P100*D100,4)</f>
        <v>0</v>
      </c>
      <c r="S100" s="67">
        <f>ROUND(IF(K100=0,0,M100*D100),4)</f>
        <v>0</v>
      </c>
      <c r="T100" s="67">
        <f>ROUND(+IF(K100=0,Q100*D100,0),4)</f>
        <v>0</v>
      </c>
      <c r="U100" s="67">
        <f>ROUND(+N100+R100+S100+T100,4)</f>
        <v>0</v>
      </c>
      <c r="V100" s="67">
        <f>ROUND(IF(P100=0,0,I100-H100-O100)+IF(L100=0,0,I100-H100-K100),4)</f>
        <v>0</v>
      </c>
      <c r="W100" s="67">
        <f>ROUND(+(V100*60%)*D100,4)</f>
        <v>0</v>
      </c>
      <c r="X100" s="148">
        <f>ROUND(+U100+W100,4)</f>
        <v>0</v>
      </c>
      <c r="Y100" s="68"/>
      <c r="Z100" s="148">
        <f>ROUND(IF(X100&gt;I100,X100,I100),4)</f>
        <v>0</v>
      </c>
      <c r="AD100" s="78">
        <f t="shared" si="6"/>
        <v>0</v>
      </c>
      <c r="AE100" s="78">
        <f t="shared" si="7"/>
        <v>0</v>
      </c>
    </row>
    <row r="101" spans="1:31" x14ac:dyDescent="0.2">
      <c r="A101" s="66"/>
      <c r="B101" s="66"/>
      <c r="C101" s="66"/>
      <c r="D101" s="144"/>
      <c r="E101" s="67"/>
      <c r="F101" s="67"/>
      <c r="G101" s="67"/>
      <c r="H101" s="67">
        <f>ROUND(+E101+G101,4)</f>
        <v>0</v>
      </c>
      <c r="I101" s="67"/>
      <c r="J101" s="67">
        <f>ROUND(+I101-H101,4)</f>
        <v>0</v>
      </c>
      <c r="K101" s="67">
        <f>ROUND(IF(F101="alluminio",0,I101*1.5%),4)</f>
        <v>0</v>
      </c>
      <c r="L101" s="67">
        <f>ROUND(IF(K101&lt;J101,K101,0),4)</f>
        <v>0</v>
      </c>
      <c r="M101" s="67">
        <f>ROUND(IF(J101&gt;K101,0,J101),4)</f>
        <v>0</v>
      </c>
      <c r="N101" s="67">
        <f>ROUND(+L101*D101,4)</f>
        <v>0</v>
      </c>
      <c r="O101" s="67">
        <f>ROUND(IF(F101="rame",0,+I101*3%),4)</f>
        <v>0</v>
      </c>
      <c r="P101" s="67">
        <f>ROUND(IF(O101&lt;J101,O101,0),4)</f>
        <v>0</v>
      </c>
      <c r="Q101" s="67">
        <f>ROUND(IF(J101&gt;O101,0,J101),4)</f>
        <v>0</v>
      </c>
      <c r="R101" s="67">
        <f>ROUND(+P101*D101,4)</f>
        <v>0</v>
      </c>
      <c r="S101" s="67">
        <f>ROUND(IF(K101=0,0,M101*D101),4)</f>
        <v>0</v>
      </c>
      <c r="T101" s="67">
        <f>ROUND(+IF(K101=0,Q101*D101,0),4)</f>
        <v>0</v>
      </c>
      <c r="U101" s="67">
        <f>ROUND(+N101+R101+S101+T101,4)</f>
        <v>0</v>
      </c>
      <c r="V101" s="67">
        <f>ROUND(IF(P101=0,0,I101-H101-O101)+IF(L101=0,0,I101-H101-K101),4)</f>
        <v>0</v>
      </c>
      <c r="W101" s="67">
        <f>ROUND(+(V101*60%)*D101,4)</f>
        <v>0</v>
      </c>
      <c r="X101" s="148">
        <f>ROUND(+U101+W101,4)</f>
        <v>0</v>
      </c>
      <c r="Y101" s="68"/>
      <c r="Z101" s="148">
        <f>ROUND(IF(X101&gt;I101,X101,I101),4)</f>
        <v>0</v>
      </c>
      <c r="AD101" s="78">
        <f t="shared" si="6"/>
        <v>0</v>
      </c>
      <c r="AE101" s="78">
        <f t="shared" si="7"/>
        <v>0</v>
      </c>
    </row>
    <row r="102" spans="1:31" x14ac:dyDescent="0.2">
      <c r="A102" s="66"/>
      <c r="B102" s="66"/>
      <c r="C102" s="66"/>
      <c r="D102" s="144"/>
      <c r="E102" s="67"/>
      <c r="F102" s="67"/>
      <c r="G102" s="67"/>
      <c r="H102" s="67">
        <f>ROUND(+E102+G102,4)</f>
        <v>0</v>
      </c>
      <c r="I102" s="67"/>
      <c r="J102" s="67">
        <f>ROUND(+I102-H102,4)</f>
        <v>0</v>
      </c>
      <c r="K102" s="67">
        <f>ROUND(IF(F102="alluminio",0,I102*1.5%),4)</f>
        <v>0</v>
      </c>
      <c r="L102" s="67">
        <f>ROUND(IF(K102&lt;J102,K102,0),4)</f>
        <v>0</v>
      </c>
      <c r="M102" s="67">
        <f>ROUND(IF(J102&gt;K102,0,J102),4)</f>
        <v>0</v>
      </c>
      <c r="N102" s="67">
        <f>ROUND(+L102*D102,4)</f>
        <v>0</v>
      </c>
      <c r="O102" s="67">
        <f>ROUND(IF(F102="rame",0,+I102*3%),4)</f>
        <v>0</v>
      </c>
      <c r="P102" s="67">
        <f>ROUND(IF(O102&lt;J102,O102,0),4)</f>
        <v>0</v>
      </c>
      <c r="Q102" s="67">
        <f>ROUND(IF(J102&gt;O102,0,J102),4)</f>
        <v>0</v>
      </c>
      <c r="R102" s="67">
        <f>ROUND(+P102*D102,4)</f>
        <v>0</v>
      </c>
      <c r="S102" s="67">
        <f>ROUND(IF(K102=0,0,M102*D102),4)</f>
        <v>0</v>
      </c>
      <c r="T102" s="67">
        <f>ROUND(+IF(K102=0,Q102*D102,0),4)</f>
        <v>0</v>
      </c>
      <c r="U102" s="67">
        <f>ROUND(+N102+R102+S102+T102,4)</f>
        <v>0</v>
      </c>
      <c r="V102" s="67">
        <f>ROUND(IF(P102=0,0,I102-H102-O102)+IF(L102=0,0,I102-H102-K102),4)</f>
        <v>0</v>
      </c>
      <c r="W102" s="67">
        <f>ROUND(+(V102*60%)*D102,4)</f>
        <v>0</v>
      </c>
      <c r="X102" s="148">
        <f>ROUND(+U102+W102,4)</f>
        <v>0</v>
      </c>
      <c r="Y102" s="68"/>
      <c r="Z102" s="148">
        <f>ROUND(IF(X102&gt;I102,X102,I102),4)</f>
        <v>0</v>
      </c>
      <c r="AD102" s="78">
        <f t="shared" si="6"/>
        <v>0</v>
      </c>
      <c r="AE102" s="78">
        <f t="shared" si="7"/>
        <v>0</v>
      </c>
    </row>
    <row r="103" spans="1:31" x14ac:dyDescent="0.2">
      <c r="A103" s="66"/>
      <c r="B103" s="66"/>
      <c r="C103" s="66"/>
      <c r="D103" s="144"/>
      <c r="E103" s="67"/>
      <c r="F103" s="67"/>
      <c r="G103" s="67"/>
      <c r="H103" s="67">
        <f>ROUND(+E103+G103,4)</f>
        <v>0</v>
      </c>
      <c r="I103" s="67"/>
      <c r="J103" s="67">
        <f>ROUND(+I103-H103,4)</f>
        <v>0</v>
      </c>
      <c r="K103" s="67">
        <f>ROUND(IF(F103="alluminio",0,I103*1.5%),4)</f>
        <v>0</v>
      </c>
      <c r="L103" s="67">
        <f>ROUND(IF(K103&lt;J103,K103,0),4)</f>
        <v>0</v>
      </c>
      <c r="M103" s="67">
        <f>ROUND(IF(J103&gt;K103,0,J103),4)</f>
        <v>0</v>
      </c>
      <c r="N103" s="67">
        <f>ROUND(+L103*D103,4)</f>
        <v>0</v>
      </c>
      <c r="O103" s="67">
        <f>ROUND(IF(F103="rame",0,+I103*3%),4)</f>
        <v>0</v>
      </c>
      <c r="P103" s="67">
        <f>ROUND(IF(O103&lt;J103,O103,0),4)</f>
        <v>0</v>
      </c>
      <c r="Q103" s="67">
        <f>ROUND(IF(J103&gt;O103,0,J103),4)</f>
        <v>0</v>
      </c>
      <c r="R103" s="67">
        <f>ROUND(+P103*D103,4)</f>
        <v>0</v>
      </c>
      <c r="S103" s="67">
        <f>ROUND(IF(K103=0,0,M103*D103),4)</f>
        <v>0</v>
      </c>
      <c r="T103" s="67">
        <f>ROUND(+IF(K103=0,Q103*D103,0),4)</f>
        <v>0</v>
      </c>
      <c r="U103" s="67">
        <f>ROUND(+N103+R103+S103+T103,4)</f>
        <v>0</v>
      </c>
      <c r="V103" s="67">
        <f>ROUND(IF(P103=0,0,I103-H103-O103)+IF(L103=0,0,I103-H103-K103),4)</f>
        <v>0</v>
      </c>
      <c r="W103" s="67">
        <f>ROUND(+(V103*60%)*D103,4)</f>
        <v>0</v>
      </c>
      <c r="X103" s="148">
        <f>ROUND(+U103+W103,4)</f>
        <v>0</v>
      </c>
      <c r="Y103" s="68"/>
      <c r="Z103" s="148">
        <f>ROUND(IF(X103&gt;I103,X103,I103),4)</f>
        <v>0</v>
      </c>
      <c r="AD103" s="78">
        <f t="shared" si="6"/>
        <v>0</v>
      </c>
      <c r="AE103" s="78">
        <f t="shared" si="7"/>
        <v>0</v>
      </c>
    </row>
    <row r="104" spans="1:31" x14ac:dyDescent="0.2">
      <c r="A104" s="66"/>
      <c r="B104" s="66"/>
      <c r="C104" s="66"/>
      <c r="D104" s="144"/>
      <c r="E104" s="67"/>
      <c r="F104" s="67"/>
      <c r="G104" s="67"/>
      <c r="H104" s="67">
        <f>ROUND(+E104+G104,4)</f>
        <v>0</v>
      </c>
      <c r="I104" s="67"/>
      <c r="J104" s="67">
        <f>ROUND(+I104-H104,4)</f>
        <v>0</v>
      </c>
      <c r="K104" s="67">
        <f>ROUND(IF(F104="alluminio",0,I104*1.5%),4)</f>
        <v>0</v>
      </c>
      <c r="L104" s="67">
        <f>ROUND(IF(K104&lt;J104,K104,0),4)</f>
        <v>0</v>
      </c>
      <c r="M104" s="67">
        <f>ROUND(IF(J104&gt;K104,0,J104),4)</f>
        <v>0</v>
      </c>
      <c r="N104" s="67">
        <f>ROUND(+L104*D104,4)</f>
        <v>0</v>
      </c>
      <c r="O104" s="67">
        <f>ROUND(IF(F104="rame",0,+I104*3%),4)</f>
        <v>0</v>
      </c>
      <c r="P104" s="67">
        <f>ROUND(IF(O104&lt;J104,O104,0),4)</f>
        <v>0</v>
      </c>
      <c r="Q104" s="67">
        <f>ROUND(IF(J104&gt;O104,0,J104),4)</f>
        <v>0</v>
      </c>
      <c r="R104" s="67">
        <f>ROUND(+P104*D104,4)</f>
        <v>0</v>
      </c>
      <c r="S104" s="67">
        <f>ROUND(IF(K104=0,0,M104*D104),4)</f>
        <v>0</v>
      </c>
      <c r="T104" s="67">
        <f>ROUND(+IF(K104=0,Q104*D104,0),4)</f>
        <v>0</v>
      </c>
      <c r="U104" s="67">
        <f>ROUND(+N104+R104+S104+T104,4)</f>
        <v>0</v>
      </c>
      <c r="V104" s="67">
        <f>ROUND(IF(P104=0,0,I104-H104-O104)+IF(L104=0,0,I104-H104-K104),4)</f>
        <v>0</v>
      </c>
      <c r="W104" s="67">
        <f>ROUND(+(V104*60%)*D104,4)</f>
        <v>0</v>
      </c>
      <c r="X104" s="148">
        <f>ROUND(+U104+W104,4)</f>
        <v>0</v>
      </c>
      <c r="Y104" s="68"/>
      <c r="Z104" s="148">
        <f>ROUND(IF(X104&gt;I104,X104,I104),4)</f>
        <v>0</v>
      </c>
      <c r="AD104" s="78">
        <f t="shared" si="6"/>
        <v>0</v>
      </c>
      <c r="AE104" s="78">
        <f t="shared" si="7"/>
        <v>0</v>
      </c>
    </row>
    <row r="105" spans="1:31" x14ac:dyDescent="0.2">
      <c r="A105" s="66"/>
      <c r="B105" s="66"/>
      <c r="C105" s="66"/>
      <c r="D105" s="144"/>
      <c r="E105" s="67"/>
      <c r="F105" s="67"/>
      <c r="G105" s="67"/>
      <c r="H105" s="67">
        <f>ROUND(+E105+G105,4)</f>
        <v>0</v>
      </c>
      <c r="I105" s="67"/>
      <c r="J105" s="67">
        <f>ROUND(+I105-H105,4)</f>
        <v>0</v>
      </c>
      <c r="K105" s="67">
        <f>ROUND(IF(F105="alluminio",0,I105*1.5%),4)</f>
        <v>0</v>
      </c>
      <c r="L105" s="67">
        <f>ROUND(IF(K105&lt;J105,K105,0),4)</f>
        <v>0</v>
      </c>
      <c r="M105" s="67">
        <f>ROUND(IF(J105&gt;K105,0,J105),4)</f>
        <v>0</v>
      </c>
      <c r="N105" s="67">
        <f>ROUND(+L105*D105,4)</f>
        <v>0</v>
      </c>
      <c r="O105" s="67">
        <f>ROUND(IF(F105="rame",0,+I105*3%),4)</f>
        <v>0</v>
      </c>
      <c r="P105" s="67">
        <f>ROUND(IF(O105&lt;J105,O105,0),4)</f>
        <v>0</v>
      </c>
      <c r="Q105" s="67">
        <f>ROUND(IF(J105&gt;O105,0,J105),4)</f>
        <v>0</v>
      </c>
      <c r="R105" s="67">
        <f>ROUND(+P105*D105,4)</f>
        <v>0</v>
      </c>
      <c r="S105" s="67">
        <f>ROUND(IF(K105=0,0,M105*D105),4)</f>
        <v>0</v>
      </c>
      <c r="T105" s="67">
        <f>ROUND(+IF(K105=0,Q105*D105,0),4)</f>
        <v>0</v>
      </c>
      <c r="U105" s="67">
        <f>ROUND(+N105+R105+S105+T105,4)</f>
        <v>0</v>
      </c>
      <c r="V105" s="67">
        <f>ROUND(IF(P105=0,0,I105-H105-O105)+IF(L105=0,0,I105-H105-K105),4)</f>
        <v>0</v>
      </c>
      <c r="W105" s="67">
        <f>ROUND(+(V105*60%)*D105,4)</f>
        <v>0</v>
      </c>
      <c r="X105" s="148">
        <f>ROUND(+U105+W105,4)</f>
        <v>0</v>
      </c>
      <c r="Y105" s="68"/>
      <c r="Z105" s="148">
        <f>ROUND(IF(X105&gt;I105,X105,I105),4)</f>
        <v>0</v>
      </c>
      <c r="AD105" s="78">
        <f t="shared" si="6"/>
        <v>0</v>
      </c>
      <c r="AE105" s="78">
        <f t="shared" si="7"/>
        <v>0</v>
      </c>
    </row>
    <row r="106" spans="1:31" x14ac:dyDescent="0.2">
      <c r="A106" s="66"/>
      <c r="B106" s="66"/>
      <c r="C106" s="66"/>
      <c r="D106" s="144"/>
      <c r="E106" s="67"/>
      <c r="F106" s="67"/>
      <c r="G106" s="67"/>
      <c r="H106" s="67">
        <f>ROUND(+E106+G106,4)</f>
        <v>0</v>
      </c>
      <c r="I106" s="67"/>
      <c r="J106" s="67">
        <f>ROUND(+I106-H106,4)</f>
        <v>0</v>
      </c>
      <c r="K106" s="67">
        <f>ROUND(IF(F106="alluminio",0,I106*1.5%),4)</f>
        <v>0</v>
      </c>
      <c r="L106" s="67">
        <f>ROUND(IF(K106&lt;J106,K106,0),4)</f>
        <v>0</v>
      </c>
      <c r="M106" s="67">
        <f>ROUND(IF(J106&gt;K106,0,J106),4)</f>
        <v>0</v>
      </c>
      <c r="N106" s="67">
        <f>ROUND(+L106*D106,4)</f>
        <v>0</v>
      </c>
      <c r="O106" s="67">
        <f>ROUND(IF(F106="rame",0,+I106*3%),4)</f>
        <v>0</v>
      </c>
      <c r="P106" s="67">
        <f>ROUND(IF(O106&lt;J106,O106,0),4)</f>
        <v>0</v>
      </c>
      <c r="Q106" s="67">
        <f>ROUND(IF(J106&gt;O106,0,J106),4)</f>
        <v>0</v>
      </c>
      <c r="R106" s="67">
        <f>ROUND(+P106*D106,4)</f>
        <v>0</v>
      </c>
      <c r="S106" s="67">
        <f>ROUND(IF(K106=0,0,M106*D106),4)</f>
        <v>0</v>
      </c>
      <c r="T106" s="67">
        <f>ROUND(+IF(K106=0,Q106*D106,0),4)</f>
        <v>0</v>
      </c>
      <c r="U106" s="67">
        <f>ROUND(+N106+R106+S106+T106,4)</f>
        <v>0</v>
      </c>
      <c r="V106" s="67">
        <f>ROUND(IF(P106=0,0,I106-H106-O106)+IF(L106=0,0,I106-H106-K106),4)</f>
        <v>0</v>
      </c>
      <c r="W106" s="67">
        <f>ROUND(+(V106*60%)*D106,4)</f>
        <v>0</v>
      </c>
      <c r="X106" s="148">
        <f>ROUND(+U106+W106,4)</f>
        <v>0</v>
      </c>
      <c r="Y106" s="68"/>
      <c r="Z106" s="148">
        <f>ROUND(IF(X106&gt;I106,X106,I106),4)</f>
        <v>0</v>
      </c>
      <c r="AD106" s="78">
        <f t="shared" si="6"/>
        <v>0</v>
      </c>
      <c r="AE106" s="78">
        <f t="shared" si="7"/>
        <v>0</v>
      </c>
    </row>
    <row r="107" spans="1:31" x14ac:dyDescent="0.2">
      <c r="A107" s="66"/>
      <c r="B107" s="66"/>
      <c r="C107" s="66"/>
      <c r="D107" s="144"/>
      <c r="E107" s="67"/>
      <c r="F107" s="67"/>
      <c r="G107" s="67"/>
      <c r="H107" s="67">
        <f>ROUND(+E107+G107,4)</f>
        <v>0</v>
      </c>
      <c r="I107" s="67"/>
      <c r="J107" s="67">
        <f>ROUND(+I107-H107,4)</f>
        <v>0</v>
      </c>
      <c r="K107" s="67">
        <f>ROUND(IF(F107="alluminio",0,I107*1.5%),4)</f>
        <v>0</v>
      </c>
      <c r="L107" s="67">
        <f>ROUND(IF(K107&lt;J107,K107,0),4)</f>
        <v>0</v>
      </c>
      <c r="M107" s="67">
        <f>ROUND(IF(J107&gt;K107,0,J107),4)</f>
        <v>0</v>
      </c>
      <c r="N107" s="67">
        <f>ROUND(+L107*D107,4)</f>
        <v>0</v>
      </c>
      <c r="O107" s="67">
        <f>ROUND(IF(F107="rame",0,+I107*3%),4)</f>
        <v>0</v>
      </c>
      <c r="P107" s="67">
        <f>ROUND(IF(O107&lt;J107,O107,0),4)</f>
        <v>0</v>
      </c>
      <c r="Q107" s="67">
        <f>ROUND(IF(J107&gt;O107,0,J107),4)</f>
        <v>0</v>
      </c>
      <c r="R107" s="67">
        <f>ROUND(+P107*D107,4)</f>
        <v>0</v>
      </c>
      <c r="S107" s="67">
        <f>ROUND(IF(K107=0,0,M107*D107),4)</f>
        <v>0</v>
      </c>
      <c r="T107" s="67">
        <f>ROUND(+IF(K107=0,Q107*D107,0),4)</f>
        <v>0</v>
      </c>
      <c r="U107" s="67">
        <f>ROUND(+N107+R107+S107+T107,4)</f>
        <v>0</v>
      </c>
      <c r="V107" s="67">
        <f>ROUND(IF(P107=0,0,I107-H107-O107)+IF(L107=0,0,I107-H107-K107),4)</f>
        <v>0</v>
      </c>
      <c r="W107" s="67">
        <f>ROUND(+(V107*60%)*D107,4)</f>
        <v>0</v>
      </c>
      <c r="X107" s="148">
        <f>ROUND(+U107+W107,4)</f>
        <v>0</v>
      </c>
      <c r="Y107" s="68"/>
      <c r="Z107" s="148">
        <f>ROUND(IF(X107&gt;I107,X107,I107),4)</f>
        <v>0</v>
      </c>
      <c r="AD107" s="78">
        <f t="shared" si="6"/>
        <v>0</v>
      </c>
      <c r="AE107" s="78">
        <f t="shared" si="7"/>
        <v>0</v>
      </c>
    </row>
    <row r="108" spans="1:31" x14ac:dyDescent="0.2">
      <c r="A108" s="66"/>
      <c r="B108" s="66"/>
      <c r="C108" s="66"/>
      <c r="D108" s="144"/>
      <c r="E108" s="67"/>
      <c r="F108" s="67"/>
      <c r="G108" s="67"/>
      <c r="H108" s="67">
        <f>ROUND(+E108+G108,4)</f>
        <v>0</v>
      </c>
      <c r="I108" s="67"/>
      <c r="J108" s="67">
        <f>ROUND(+I108-H108,4)</f>
        <v>0</v>
      </c>
      <c r="K108" s="67">
        <f>ROUND(IF(F108="alluminio",0,I108*1.5%),4)</f>
        <v>0</v>
      </c>
      <c r="L108" s="67">
        <f>ROUND(IF(K108&lt;J108,K108,0),4)</f>
        <v>0</v>
      </c>
      <c r="M108" s="67">
        <f>ROUND(IF(J108&gt;K108,0,J108),4)</f>
        <v>0</v>
      </c>
      <c r="N108" s="67">
        <f>ROUND(+L108*D108,4)</f>
        <v>0</v>
      </c>
      <c r="O108" s="67">
        <f>ROUND(IF(F108="rame",0,+I108*3%),4)</f>
        <v>0</v>
      </c>
      <c r="P108" s="67">
        <f>ROUND(IF(O108&lt;J108,O108,0),4)</f>
        <v>0</v>
      </c>
      <c r="Q108" s="67">
        <f>ROUND(IF(J108&gt;O108,0,J108),4)</f>
        <v>0</v>
      </c>
      <c r="R108" s="67">
        <f>ROUND(+P108*D108,4)</f>
        <v>0</v>
      </c>
      <c r="S108" s="67">
        <f>ROUND(IF(K108=0,0,M108*D108),4)</f>
        <v>0</v>
      </c>
      <c r="T108" s="67">
        <f>ROUND(+IF(K108=0,Q108*D108,0),4)</f>
        <v>0</v>
      </c>
      <c r="U108" s="67">
        <f>ROUND(+N108+R108+S108+T108,4)</f>
        <v>0</v>
      </c>
      <c r="V108" s="67">
        <f>ROUND(IF(P108=0,0,I108-H108-O108)+IF(L108=0,0,I108-H108-K108),4)</f>
        <v>0</v>
      </c>
      <c r="W108" s="67">
        <f>ROUND(+(V108*60%)*D108,4)</f>
        <v>0</v>
      </c>
      <c r="X108" s="148">
        <f>ROUND(+U108+W108,4)</f>
        <v>0</v>
      </c>
      <c r="Y108" s="68"/>
      <c r="Z108" s="148">
        <f>ROUND(IF(X108&gt;I108,X108,I108),4)</f>
        <v>0</v>
      </c>
      <c r="AD108" s="78">
        <f t="shared" si="6"/>
        <v>0</v>
      </c>
      <c r="AE108" s="78">
        <f t="shared" si="7"/>
        <v>0</v>
      </c>
    </row>
    <row r="109" spans="1:31" x14ac:dyDescent="0.2">
      <c r="A109" s="66"/>
      <c r="B109" s="66"/>
      <c r="C109" s="66"/>
      <c r="D109" s="144"/>
      <c r="E109" s="67"/>
      <c r="F109" s="67"/>
      <c r="G109" s="67"/>
      <c r="H109" s="67">
        <f>ROUND(+E109+G109,4)</f>
        <v>0</v>
      </c>
      <c r="I109" s="67"/>
      <c r="J109" s="67">
        <f>ROUND(+I109-H109,4)</f>
        <v>0</v>
      </c>
      <c r="K109" s="67">
        <f>ROUND(IF(F109="alluminio",0,I109*1.5%),4)</f>
        <v>0</v>
      </c>
      <c r="L109" s="67">
        <f>ROUND(IF(K109&lt;J109,K109,0),4)</f>
        <v>0</v>
      </c>
      <c r="M109" s="67">
        <f>ROUND(IF(J109&gt;K109,0,J109),4)</f>
        <v>0</v>
      </c>
      <c r="N109" s="67">
        <f>ROUND(+L109*D109,4)</f>
        <v>0</v>
      </c>
      <c r="O109" s="67">
        <f>ROUND(IF(F109="rame",0,+I109*3%),4)</f>
        <v>0</v>
      </c>
      <c r="P109" s="67">
        <f>ROUND(IF(O109&lt;J109,O109,0),4)</f>
        <v>0</v>
      </c>
      <c r="Q109" s="67">
        <f>ROUND(IF(J109&gt;O109,0,J109),4)</f>
        <v>0</v>
      </c>
      <c r="R109" s="67">
        <f>ROUND(+P109*D109,4)</f>
        <v>0</v>
      </c>
      <c r="S109" s="67">
        <f>ROUND(IF(K109=0,0,M109*D109),4)</f>
        <v>0</v>
      </c>
      <c r="T109" s="67">
        <f>ROUND(+IF(K109=0,Q109*D109,0),4)</f>
        <v>0</v>
      </c>
      <c r="U109" s="67">
        <f>ROUND(+N109+R109+S109+T109,4)</f>
        <v>0</v>
      </c>
      <c r="V109" s="67">
        <f>ROUND(IF(P109=0,0,I109-H109-O109)+IF(L109=0,0,I109-H109-K109),4)</f>
        <v>0</v>
      </c>
      <c r="W109" s="67">
        <f>ROUND(+(V109*60%)*D109,4)</f>
        <v>0</v>
      </c>
      <c r="X109" s="148">
        <f>ROUND(+U109+W109,4)</f>
        <v>0</v>
      </c>
      <c r="Y109" s="68"/>
      <c r="Z109" s="148">
        <f>ROUND(IF(X109&gt;I109,X109,I109),4)</f>
        <v>0</v>
      </c>
      <c r="AD109" s="78">
        <f t="shared" si="6"/>
        <v>0</v>
      </c>
      <c r="AE109" s="78">
        <f t="shared" si="7"/>
        <v>0</v>
      </c>
    </row>
    <row r="110" spans="1:31" x14ac:dyDescent="0.2">
      <c r="A110" s="66"/>
      <c r="B110" s="66"/>
      <c r="C110" s="66"/>
      <c r="D110" s="144"/>
      <c r="E110" s="67"/>
      <c r="F110" s="67"/>
      <c r="G110" s="67"/>
      <c r="H110" s="67">
        <f>ROUND(+E110+G110,4)</f>
        <v>0</v>
      </c>
      <c r="I110" s="67"/>
      <c r="J110" s="67">
        <f>ROUND(+I110-H110,4)</f>
        <v>0</v>
      </c>
      <c r="K110" s="67">
        <f>ROUND(IF(F110="alluminio",0,I110*1.5%),4)</f>
        <v>0</v>
      </c>
      <c r="L110" s="67">
        <f>ROUND(IF(K110&lt;J110,K110,0),4)</f>
        <v>0</v>
      </c>
      <c r="M110" s="67">
        <f>ROUND(IF(J110&gt;K110,0,J110),4)</f>
        <v>0</v>
      </c>
      <c r="N110" s="67">
        <f>ROUND(+L110*D110,4)</f>
        <v>0</v>
      </c>
      <c r="O110" s="67">
        <f>ROUND(IF(F110="rame",0,+I110*3%),4)</f>
        <v>0</v>
      </c>
      <c r="P110" s="67">
        <f>ROUND(IF(O110&lt;J110,O110,0),4)</f>
        <v>0</v>
      </c>
      <c r="Q110" s="67">
        <f>ROUND(IF(J110&gt;O110,0,J110),4)</f>
        <v>0</v>
      </c>
      <c r="R110" s="67">
        <f>ROUND(+P110*D110,4)</f>
        <v>0</v>
      </c>
      <c r="S110" s="67">
        <f>ROUND(IF(K110=0,0,M110*D110),4)</f>
        <v>0</v>
      </c>
      <c r="T110" s="67">
        <f>ROUND(+IF(K110=0,Q110*D110,0),4)</f>
        <v>0</v>
      </c>
      <c r="U110" s="67">
        <f>ROUND(+N110+R110+S110+T110,4)</f>
        <v>0</v>
      </c>
      <c r="V110" s="67">
        <f>ROUND(IF(P110=0,0,I110-H110-O110)+IF(L110=0,0,I110-H110-K110),4)</f>
        <v>0</v>
      </c>
      <c r="W110" s="67">
        <f>ROUND(+(V110*60%)*D110,4)</f>
        <v>0</v>
      </c>
      <c r="X110" s="148">
        <f>ROUND(+U110+W110,4)</f>
        <v>0</v>
      </c>
      <c r="Y110" s="68"/>
      <c r="Z110" s="148">
        <f>ROUND(IF(X110&gt;I110,X110,I110),4)</f>
        <v>0</v>
      </c>
      <c r="AD110" s="78">
        <f t="shared" si="6"/>
        <v>0</v>
      </c>
      <c r="AE110" s="78">
        <f t="shared" si="7"/>
        <v>0</v>
      </c>
    </row>
    <row r="111" spans="1:31" x14ac:dyDescent="0.2">
      <c r="A111" s="66"/>
      <c r="B111" s="66"/>
      <c r="C111" s="66"/>
      <c r="D111" s="144"/>
      <c r="E111" s="67"/>
      <c r="F111" s="67"/>
      <c r="G111" s="67"/>
      <c r="H111" s="67">
        <f>ROUND(+E111+G111,4)</f>
        <v>0</v>
      </c>
      <c r="I111" s="67"/>
      <c r="J111" s="67">
        <f>ROUND(+I111-H111,4)</f>
        <v>0</v>
      </c>
      <c r="K111" s="67">
        <f>ROUND(IF(F111="alluminio",0,I111*1.5%),4)</f>
        <v>0</v>
      </c>
      <c r="L111" s="67">
        <f>ROUND(IF(K111&lt;J111,K111,0),4)</f>
        <v>0</v>
      </c>
      <c r="M111" s="67">
        <f>ROUND(IF(J111&gt;K111,0,J111),4)</f>
        <v>0</v>
      </c>
      <c r="N111" s="67">
        <f>ROUND(+L111*D111,4)</f>
        <v>0</v>
      </c>
      <c r="O111" s="67">
        <f>ROUND(IF(F111="rame",0,+I111*3%),4)</f>
        <v>0</v>
      </c>
      <c r="P111" s="67">
        <f>ROUND(IF(O111&lt;J111,O111,0),4)</f>
        <v>0</v>
      </c>
      <c r="Q111" s="67">
        <f>ROUND(IF(J111&gt;O111,0,J111),4)</f>
        <v>0</v>
      </c>
      <c r="R111" s="67">
        <f>ROUND(+P111*D111,4)</f>
        <v>0</v>
      </c>
      <c r="S111" s="67">
        <f>ROUND(IF(K111=0,0,M111*D111),4)</f>
        <v>0</v>
      </c>
      <c r="T111" s="67">
        <f>ROUND(+IF(K111=0,Q111*D111,0),4)</f>
        <v>0</v>
      </c>
      <c r="U111" s="67">
        <f>ROUND(+N111+R111+S111+T111,4)</f>
        <v>0</v>
      </c>
      <c r="V111" s="67">
        <f>ROUND(IF(P111=0,0,I111-H111-O111)+IF(L111=0,0,I111-H111-K111),4)</f>
        <v>0</v>
      </c>
      <c r="W111" s="67">
        <f>ROUND(+(V111*60%)*D111,4)</f>
        <v>0</v>
      </c>
      <c r="X111" s="148">
        <f>ROUND(+U111+W111,4)</f>
        <v>0</v>
      </c>
      <c r="Y111" s="68"/>
      <c r="Z111" s="148">
        <f>ROUND(IF(X111&gt;I111,X111,I111),4)</f>
        <v>0</v>
      </c>
      <c r="AD111" s="78">
        <f t="shared" si="6"/>
        <v>0</v>
      </c>
      <c r="AE111" s="78">
        <f t="shared" si="7"/>
        <v>0</v>
      </c>
    </row>
    <row r="112" spans="1:31" x14ac:dyDescent="0.2">
      <c r="A112" s="66"/>
      <c r="B112" s="66"/>
      <c r="C112" s="66"/>
      <c r="D112" s="144"/>
      <c r="E112" s="67"/>
      <c r="F112" s="67"/>
      <c r="G112" s="67"/>
      <c r="H112" s="67">
        <f>ROUND(+E112+G112,4)</f>
        <v>0</v>
      </c>
      <c r="I112" s="67"/>
      <c r="J112" s="67">
        <f>ROUND(+I112-H112,4)</f>
        <v>0</v>
      </c>
      <c r="K112" s="67">
        <f>ROUND(IF(F112="alluminio",0,I112*1.5%),4)</f>
        <v>0</v>
      </c>
      <c r="L112" s="67">
        <f>ROUND(IF(K112&lt;J112,K112,0),4)</f>
        <v>0</v>
      </c>
      <c r="M112" s="67">
        <f>ROUND(IF(J112&gt;K112,0,J112),4)</f>
        <v>0</v>
      </c>
      <c r="N112" s="67">
        <f>ROUND(+L112*D112,4)</f>
        <v>0</v>
      </c>
      <c r="O112" s="67">
        <f>ROUND(IF(F112="rame",0,+I112*3%),4)</f>
        <v>0</v>
      </c>
      <c r="P112" s="67">
        <f>ROUND(IF(O112&lt;J112,O112,0),4)</f>
        <v>0</v>
      </c>
      <c r="Q112" s="67">
        <f>ROUND(IF(J112&gt;O112,0,J112),4)</f>
        <v>0</v>
      </c>
      <c r="R112" s="67">
        <f>ROUND(+P112*D112,4)</f>
        <v>0</v>
      </c>
      <c r="S112" s="67">
        <f>ROUND(IF(K112=0,0,M112*D112),4)</f>
        <v>0</v>
      </c>
      <c r="T112" s="67">
        <f>ROUND(+IF(K112=0,Q112*D112,0),4)</f>
        <v>0</v>
      </c>
      <c r="U112" s="67">
        <f>ROUND(+N112+R112+S112+T112,4)</f>
        <v>0</v>
      </c>
      <c r="V112" s="67">
        <f>ROUND(IF(P112=0,0,I112-H112-O112)+IF(L112=0,0,I112-H112-K112),4)</f>
        <v>0</v>
      </c>
      <c r="W112" s="67">
        <f>ROUND(+(V112*60%)*D112,4)</f>
        <v>0</v>
      </c>
      <c r="X112" s="148">
        <f>ROUND(+U112+W112,4)</f>
        <v>0</v>
      </c>
      <c r="Y112" s="68"/>
      <c r="Z112" s="148">
        <f>ROUND(IF(X112&gt;I112,X112,I112),4)</f>
        <v>0</v>
      </c>
      <c r="AD112" s="78">
        <f t="shared" si="6"/>
        <v>0</v>
      </c>
      <c r="AE112" s="78">
        <f t="shared" si="7"/>
        <v>0</v>
      </c>
    </row>
    <row r="113" spans="1:31" x14ac:dyDescent="0.2">
      <c r="A113" s="66"/>
      <c r="B113" s="66"/>
      <c r="C113" s="66"/>
      <c r="D113" s="144"/>
      <c r="E113" s="67"/>
      <c r="F113" s="67"/>
      <c r="G113" s="67"/>
      <c r="H113" s="67">
        <f>ROUND(+E113+G113,4)</f>
        <v>0</v>
      </c>
      <c r="I113" s="67"/>
      <c r="J113" s="67">
        <f>ROUND(+I113-H113,4)</f>
        <v>0</v>
      </c>
      <c r="K113" s="67">
        <f>ROUND(IF(F113="alluminio",0,I113*1.5%),4)</f>
        <v>0</v>
      </c>
      <c r="L113" s="67">
        <f>ROUND(IF(K113&lt;J113,K113,0),4)</f>
        <v>0</v>
      </c>
      <c r="M113" s="67">
        <f>ROUND(IF(J113&gt;K113,0,J113),4)</f>
        <v>0</v>
      </c>
      <c r="N113" s="67">
        <f>ROUND(+L113*D113,4)</f>
        <v>0</v>
      </c>
      <c r="O113" s="67">
        <f>ROUND(IF(F113="rame",0,+I113*3%),4)</f>
        <v>0</v>
      </c>
      <c r="P113" s="67">
        <f>ROUND(IF(O113&lt;J113,O113,0),4)</f>
        <v>0</v>
      </c>
      <c r="Q113" s="67">
        <f>ROUND(IF(J113&gt;O113,0,J113),4)</f>
        <v>0</v>
      </c>
      <c r="R113" s="67">
        <f>ROUND(+P113*D113,4)</f>
        <v>0</v>
      </c>
      <c r="S113" s="67">
        <f>ROUND(IF(K113=0,0,M113*D113),4)</f>
        <v>0</v>
      </c>
      <c r="T113" s="67">
        <f>ROUND(+IF(K113=0,Q113*D113,0),4)</f>
        <v>0</v>
      </c>
      <c r="U113" s="67">
        <f>ROUND(+N113+R113+S113+T113,4)</f>
        <v>0</v>
      </c>
      <c r="V113" s="67">
        <f>ROUND(IF(P113=0,0,I113-H113-O113)+IF(L113=0,0,I113-H113-K113),4)</f>
        <v>0</v>
      </c>
      <c r="W113" s="67">
        <f>ROUND(+(V113*60%)*D113,4)</f>
        <v>0</v>
      </c>
      <c r="X113" s="148">
        <f>ROUND(+U113+W113,4)</f>
        <v>0</v>
      </c>
      <c r="Y113" s="68"/>
      <c r="Z113" s="148">
        <f>ROUND(IF(X113&gt;I113,X113,I113),4)</f>
        <v>0</v>
      </c>
      <c r="AD113" s="78">
        <f t="shared" si="6"/>
        <v>0</v>
      </c>
      <c r="AE113" s="78">
        <f t="shared" si="7"/>
        <v>0</v>
      </c>
    </row>
    <row r="114" spans="1:31" x14ac:dyDescent="0.2">
      <c r="A114" s="66"/>
      <c r="B114" s="66"/>
      <c r="C114" s="66"/>
      <c r="D114" s="144"/>
      <c r="E114" s="67"/>
      <c r="F114" s="67"/>
      <c r="G114" s="67"/>
      <c r="H114" s="67">
        <f>ROUND(+E114+G114,4)</f>
        <v>0</v>
      </c>
      <c r="I114" s="67"/>
      <c r="J114" s="67">
        <f>ROUND(+I114-H114,4)</f>
        <v>0</v>
      </c>
      <c r="K114" s="67">
        <f>ROUND(IF(F114="alluminio",0,I114*1.5%),4)</f>
        <v>0</v>
      </c>
      <c r="L114" s="67">
        <f>ROUND(IF(K114&lt;J114,K114,0),4)</f>
        <v>0</v>
      </c>
      <c r="M114" s="67">
        <f>ROUND(IF(J114&gt;K114,0,J114),4)</f>
        <v>0</v>
      </c>
      <c r="N114" s="67">
        <f>ROUND(+L114*D114,4)</f>
        <v>0</v>
      </c>
      <c r="O114" s="67">
        <f>ROUND(IF(F114="rame",0,+I114*3%),4)</f>
        <v>0</v>
      </c>
      <c r="P114" s="67">
        <f>ROUND(IF(O114&lt;J114,O114,0),4)</f>
        <v>0</v>
      </c>
      <c r="Q114" s="67">
        <f>ROUND(IF(J114&gt;O114,0,J114),4)</f>
        <v>0</v>
      </c>
      <c r="R114" s="67">
        <f>ROUND(+P114*D114,4)</f>
        <v>0</v>
      </c>
      <c r="S114" s="67">
        <f>ROUND(IF(K114=0,0,M114*D114),4)</f>
        <v>0</v>
      </c>
      <c r="T114" s="67">
        <f>ROUND(+IF(K114=0,Q114*D114,0),4)</f>
        <v>0</v>
      </c>
      <c r="U114" s="67">
        <f>ROUND(+N114+R114+S114+T114,4)</f>
        <v>0</v>
      </c>
      <c r="V114" s="67">
        <f>ROUND(IF(P114=0,0,I114-H114-O114)+IF(L114=0,0,I114-H114-K114),4)</f>
        <v>0</v>
      </c>
      <c r="W114" s="67">
        <f>ROUND(+(V114*60%)*D114,4)</f>
        <v>0</v>
      </c>
      <c r="X114" s="148">
        <f>ROUND(+U114+W114,4)</f>
        <v>0</v>
      </c>
      <c r="Y114" s="68"/>
      <c r="Z114" s="148">
        <f>ROUND(IF(X114&gt;I114,X114,I114),4)</f>
        <v>0</v>
      </c>
      <c r="AD114" s="78">
        <f t="shared" si="6"/>
        <v>0</v>
      </c>
      <c r="AE114" s="78">
        <f t="shared" si="7"/>
        <v>0</v>
      </c>
    </row>
    <row r="115" spans="1:31" x14ac:dyDescent="0.2">
      <c r="A115" s="66"/>
      <c r="B115" s="66"/>
      <c r="C115" s="66"/>
      <c r="D115" s="144"/>
      <c r="E115" s="67"/>
      <c r="F115" s="67"/>
      <c r="G115" s="67"/>
      <c r="H115" s="67">
        <f>ROUND(+E115+G115,4)</f>
        <v>0</v>
      </c>
      <c r="I115" s="67"/>
      <c r="J115" s="67">
        <f>ROUND(+I115-H115,4)</f>
        <v>0</v>
      </c>
      <c r="K115" s="67">
        <f>ROUND(IF(F115="alluminio",0,I115*1.5%),4)</f>
        <v>0</v>
      </c>
      <c r="L115" s="67">
        <f>ROUND(IF(K115&lt;J115,K115,0),4)</f>
        <v>0</v>
      </c>
      <c r="M115" s="67">
        <f>ROUND(IF(J115&gt;K115,0,J115),4)</f>
        <v>0</v>
      </c>
      <c r="N115" s="67">
        <f>ROUND(+L115*D115,4)</f>
        <v>0</v>
      </c>
      <c r="O115" s="67">
        <f>ROUND(IF(F115="rame",0,+I115*3%),4)</f>
        <v>0</v>
      </c>
      <c r="P115" s="67">
        <f>ROUND(IF(O115&lt;J115,O115,0),4)</f>
        <v>0</v>
      </c>
      <c r="Q115" s="67">
        <f>ROUND(IF(J115&gt;O115,0,J115),4)</f>
        <v>0</v>
      </c>
      <c r="R115" s="67">
        <f>ROUND(+P115*D115,4)</f>
        <v>0</v>
      </c>
      <c r="S115" s="67">
        <f>ROUND(IF(K115=0,0,M115*D115),4)</f>
        <v>0</v>
      </c>
      <c r="T115" s="67">
        <f>ROUND(+IF(K115=0,Q115*D115,0),4)</f>
        <v>0</v>
      </c>
      <c r="U115" s="67">
        <f>ROUND(+N115+R115+S115+T115,4)</f>
        <v>0</v>
      </c>
      <c r="V115" s="67">
        <f>ROUND(IF(P115=0,0,I115-H115-O115)+IF(L115=0,0,I115-H115-K115),4)</f>
        <v>0</v>
      </c>
      <c r="W115" s="67">
        <f>ROUND(+(V115*60%)*D115,4)</f>
        <v>0</v>
      </c>
      <c r="X115" s="148">
        <f>ROUND(+U115+W115,4)</f>
        <v>0</v>
      </c>
      <c r="Y115" s="68"/>
      <c r="Z115" s="148">
        <f>ROUND(IF(X115&gt;I115,X115,I115),4)</f>
        <v>0</v>
      </c>
      <c r="AD115" s="78">
        <f t="shared" si="6"/>
        <v>0</v>
      </c>
      <c r="AE115" s="78">
        <f t="shared" si="7"/>
        <v>0</v>
      </c>
    </row>
    <row r="116" spans="1:31" x14ac:dyDescent="0.2">
      <c r="A116" s="66"/>
      <c r="B116" s="66"/>
      <c r="C116" s="66"/>
      <c r="D116" s="144"/>
      <c r="E116" s="67"/>
      <c r="F116" s="67"/>
      <c r="G116" s="67"/>
      <c r="H116" s="67">
        <f>ROUND(+E116+G116,4)</f>
        <v>0</v>
      </c>
      <c r="I116" s="67"/>
      <c r="J116" s="67">
        <f>ROUND(+I116-H116,4)</f>
        <v>0</v>
      </c>
      <c r="K116" s="67">
        <f>ROUND(IF(F116="alluminio",0,I116*1.5%),4)</f>
        <v>0</v>
      </c>
      <c r="L116" s="67">
        <f>ROUND(IF(K116&lt;J116,K116,0),4)</f>
        <v>0</v>
      </c>
      <c r="M116" s="67">
        <f>ROUND(IF(J116&gt;K116,0,J116),4)</f>
        <v>0</v>
      </c>
      <c r="N116" s="67">
        <f>ROUND(+L116*D116,4)</f>
        <v>0</v>
      </c>
      <c r="O116" s="67">
        <f>ROUND(IF(F116="rame",0,+I116*3%),4)</f>
        <v>0</v>
      </c>
      <c r="P116" s="67">
        <f>ROUND(IF(O116&lt;J116,O116,0),4)</f>
        <v>0</v>
      </c>
      <c r="Q116" s="67">
        <f>ROUND(IF(J116&gt;O116,0,J116),4)</f>
        <v>0</v>
      </c>
      <c r="R116" s="67">
        <f>ROUND(+P116*D116,4)</f>
        <v>0</v>
      </c>
      <c r="S116" s="67">
        <f>ROUND(IF(K116=0,0,M116*D116),4)</f>
        <v>0</v>
      </c>
      <c r="T116" s="67">
        <f>ROUND(+IF(K116=0,Q116*D116,0),4)</f>
        <v>0</v>
      </c>
      <c r="U116" s="67">
        <f>ROUND(+N116+R116+S116+T116,4)</f>
        <v>0</v>
      </c>
      <c r="V116" s="67">
        <f>ROUND(IF(P116=0,0,I116-H116-O116)+IF(L116=0,0,I116-H116-K116),4)</f>
        <v>0</v>
      </c>
      <c r="W116" s="67">
        <f>ROUND(+(V116*60%)*D116,4)</f>
        <v>0</v>
      </c>
      <c r="X116" s="148">
        <f>ROUND(+U116+W116,4)</f>
        <v>0</v>
      </c>
      <c r="Y116" s="68"/>
      <c r="Z116" s="148">
        <f>ROUND(IF(X116&gt;I116,X116,I116),4)</f>
        <v>0</v>
      </c>
      <c r="AD116" s="78">
        <f t="shared" si="6"/>
        <v>0</v>
      </c>
      <c r="AE116" s="78">
        <f t="shared" si="7"/>
        <v>0</v>
      </c>
    </row>
    <row r="117" spans="1:31" x14ac:dyDescent="0.2">
      <c r="A117" s="66"/>
      <c r="B117" s="66"/>
      <c r="C117" s="66"/>
      <c r="D117" s="144"/>
      <c r="E117" s="67"/>
      <c r="F117" s="67"/>
      <c r="G117" s="67"/>
      <c r="H117" s="67">
        <f>ROUND(+E117+G117,4)</f>
        <v>0</v>
      </c>
      <c r="I117" s="67"/>
      <c r="J117" s="67">
        <f>ROUND(+I117-H117,4)</f>
        <v>0</v>
      </c>
      <c r="K117" s="67">
        <f>ROUND(IF(F117="alluminio",0,I117*1.5%),4)</f>
        <v>0</v>
      </c>
      <c r="L117" s="67">
        <f>ROUND(IF(K117&lt;J117,K117,0),4)</f>
        <v>0</v>
      </c>
      <c r="M117" s="67">
        <f>ROUND(IF(J117&gt;K117,0,J117),4)</f>
        <v>0</v>
      </c>
      <c r="N117" s="67">
        <f>ROUND(+L117*D117,4)</f>
        <v>0</v>
      </c>
      <c r="O117" s="67">
        <f>ROUND(IF(F117="rame",0,+I117*3%),4)</f>
        <v>0</v>
      </c>
      <c r="P117" s="67">
        <f>ROUND(IF(O117&lt;J117,O117,0),4)</f>
        <v>0</v>
      </c>
      <c r="Q117" s="67">
        <f>ROUND(IF(J117&gt;O117,0,J117),4)</f>
        <v>0</v>
      </c>
      <c r="R117" s="67">
        <f>ROUND(+P117*D117,4)</f>
        <v>0</v>
      </c>
      <c r="S117" s="67">
        <f>ROUND(IF(K117=0,0,M117*D117),4)</f>
        <v>0</v>
      </c>
      <c r="T117" s="67">
        <f>ROUND(+IF(K117=0,Q117*D117,0),4)</f>
        <v>0</v>
      </c>
      <c r="U117" s="67">
        <f>ROUND(+N117+R117+S117+T117,4)</f>
        <v>0</v>
      </c>
      <c r="V117" s="67">
        <f>ROUND(IF(P117=0,0,I117-H117-O117)+IF(L117=0,0,I117-H117-K117),4)</f>
        <v>0</v>
      </c>
      <c r="W117" s="67">
        <f>ROUND(+(V117*60%)*D117,4)</f>
        <v>0</v>
      </c>
      <c r="X117" s="148">
        <f>ROUND(+U117+W117,4)</f>
        <v>0</v>
      </c>
      <c r="Y117" s="68"/>
      <c r="Z117" s="148">
        <f>ROUND(IF(X117&gt;I117,X117,I117),4)</f>
        <v>0</v>
      </c>
      <c r="AD117" s="78">
        <f t="shared" si="6"/>
        <v>0</v>
      </c>
      <c r="AE117" s="78">
        <f t="shared" si="7"/>
        <v>0</v>
      </c>
    </row>
    <row r="118" spans="1:31" x14ac:dyDescent="0.2">
      <c r="A118" s="66"/>
      <c r="B118" s="66"/>
      <c r="C118" s="66"/>
      <c r="D118" s="144"/>
      <c r="E118" s="67"/>
      <c r="F118" s="67"/>
      <c r="G118" s="67"/>
      <c r="H118" s="67">
        <f>ROUND(+E118+G118,4)</f>
        <v>0</v>
      </c>
      <c r="I118" s="67"/>
      <c r="J118" s="67">
        <f>ROUND(+I118-H118,4)</f>
        <v>0</v>
      </c>
      <c r="K118" s="67">
        <f>ROUND(IF(F118="alluminio",0,I118*1.5%),4)</f>
        <v>0</v>
      </c>
      <c r="L118" s="67">
        <f>ROUND(IF(K118&lt;J118,K118,0),4)</f>
        <v>0</v>
      </c>
      <c r="M118" s="67">
        <f>ROUND(IF(J118&gt;K118,0,J118),4)</f>
        <v>0</v>
      </c>
      <c r="N118" s="67">
        <f>ROUND(+L118*D118,4)</f>
        <v>0</v>
      </c>
      <c r="O118" s="67">
        <f>ROUND(IF(F118="rame",0,+I118*3%),4)</f>
        <v>0</v>
      </c>
      <c r="P118" s="67">
        <f>ROUND(IF(O118&lt;J118,O118,0),4)</f>
        <v>0</v>
      </c>
      <c r="Q118" s="67">
        <f>ROUND(IF(J118&gt;O118,0,J118),4)</f>
        <v>0</v>
      </c>
      <c r="R118" s="67">
        <f>ROUND(+P118*D118,4)</f>
        <v>0</v>
      </c>
      <c r="S118" s="67">
        <f>ROUND(IF(K118=0,0,M118*D118),4)</f>
        <v>0</v>
      </c>
      <c r="T118" s="67">
        <f>ROUND(+IF(K118=0,Q118*D118,0),4)</f>
        <v>0</v>
      </c>
      <c r="U118" s="67">
        <f>ROUND(+N118+R118+S118+T118,4)</f>
        <v>0</v>
      </c>
      <c r="V118" s="67">
        <f>ROUND(IF(P118=0,0,I118-H118-O118)+IF(L118=0,0,I118-H118-K118),4)</f>
        <v>0</v>
      </c>
      <c r="W118" s="67">
        <f>ROUND(+(V118*60%)*D118,4)</f>
        <v>0</v>
      </c>
      <c r="X118" s="148">
        <f>ROUND(+U118+W118,4)</f>
        <v>0</v>
      </c>
      <c r="Y118" s="68"/>
      <c r="Z118" s="148">
        <f>ROUND(IF(X118&gt;I118,X118,I118),4)</f>
        <v>0</v>
      </c>
      <c r="AD118" s="78">
        <f t="shared" si="6"/>
        <v>0</v>
      </c>
      <c r="AE118" s="78">
        <f t="shared" si="7"/>
        <v>0</v>
      </c>
    </row>
    <row r="119" spans="1:31" x14ac:dyDescent="0.2">
      <c r="A119" s="66"/>
      <c r="B119" s="66"/>
      <c r="C119" s="66"/>
      <c r="D119" s="144"/>
      <c r="E119" s="67"/>
      <c r="F119" s="67"/>
      <c r="G119" s="67"/>
      <c r="H119" s="67">
        <f>ROUND(+E119+G119,4)</f>
        <v>0</v>
      </c>
      <c r="I119" s="67"/>
      <c r="J119" s="67">
        <f>ROUND(+I119-H119,4)</f>
        <v>0</v>
      </c>
      <c r="K119" s="67">
        <f>ROUND(IF(F119="alluminio",0,I119*1.5%),4)</f>
        <v>0</v>
      </c>
      <c r="L119" s="67">
        <f>ROUND(IF(K119&lt;J119,K119,0),4)</f>
        <v>0</v>
      </c>
      <c r="M119" s="67">
        <f>ROUND(IF(J119&gt;K119,0,J119),4)</f>
        <v>0</v>
      </c>
      <c r="N119" s="67">
        <f>ROUND(+L119*D119,4)</f>
        <v>0</v>
      </c>
      <c r="O119" s="67">
        <f>ROUND(IF(F119="rame",0,+I119*3%),4)</f>
        <v>0</v>
      </c>
      <c r="P119" s="67">
        <f>ROUND(IF(O119&lt;J119,O119,0),4)</f>
        <v>0</v>
      </c>
      <c r="Q119" s="67">
        <f>ROUND(IF(J119&gt;O119,0,J119),4)</f>
        <v>0</v>
      </c>
      <c r="R119" s="67">
        <f>ROUND(+P119*D119,4)</f>
        <v>0</v>
      </c>
      <c r="S119" s="67">
        <f>ROUND(IF(K119=0,0,M119*D119),4)</f>
        <v>0</v>
      </c>
      <c r="T119" s="67">
        <f>ROUND(+IF(K119=0,Q119*D119,0),4)</f>
        <v>0</v>
      </c>
      <c r="U119" s="67">
        <f>ROUND(+N119+R119+S119+T119,4)</f>
        <v>0</v>
      </c>
      <c r="V119" s="67">
        <f>ROUND(IF(P119=0,0,I119-H119-O119)+IF(L119=0,0,I119-H119-K119),4)</f>
        <v>0</v>
      </c>
      <c r="W119" s="67">
        <f>ROUND(+(V119*60%)*D119,4)</f>
        <v>0</v>
      </c>
      <c r="X119" s="148">
        <f>ROUND(+U119+W119,4)</f>
        <v>0</v>
      </c>
      <c r="Y119" s="68"/>
      <c r="Z119" s="148">
        <f>ROUND(IF(X119&gt;I119,X119,I119),4)</f>
        <v>0</v>
      </c>
      <c r="AD119" s="78">
        <f t="shared" si="6"/>
        <v>0</v>
      </c>
      <c r="AE119" s="78">
        <f t="shared" si="7"/>
        <v>0</v>
      </c>
    </row>
    <row r="120" spans="1:31" x14ac:dyDescent="0.2">
      <c r="A120" s="66"/>
      <c r="B120" s="66"/>
      <c r="C120" s="66"/>
      <c r="D120" s="144"/>
      <c r="E120" s="67"/>
      <c r="F120" s="67"/>
      <c r="G120" s="67"/>
      <c r="H120" s="67">
        <f>ROUND(+E120+G120,4)</f>
        <v>0</v>
      </c>
      <c r="I120" s="67"/>
      <c r="J120" s="67">
        <f>ROUND(+I120-H120,4)</f>
        <v>0</v>
      </c>
      <c r="K120" s="67">
        <f>ROUND(IF(F120="alluminio",0,I120*1.5%),4)</f>
        <v>0</v>
      </c>
      <c r="L120" s="67">
        <f>ROUND(IF(K120&lt;J120,K120,0),4)</f>
        <v>0</v>
      </c>
      <c r="M120" s="67">
        <f>ROUND(IF(J120&gt;K120,0,J120),4)</f>
        <v>0</v>
      </c>
      <c r="N120" s="67">
        <f>ROUND(+L120*D120,4)</f>
        <v>0</v>
      </c>
      <c r="O120" s="67">
        <f>ROUND(IF(F120="rame",0,+I120*3%),4)</f>
        <v>0</v>
      </c>
      <c r="P120" s="67">
        <f>ROUND(IF(O120&lt;J120,O120,0),4)</f>
        <v>0</v>
      </c>
      <c r="Q120" s="67">
        <f>ROUND(IF(J120&gt;O120,0,J120),4)</f>
        <v>0</v>
      </c>
      <c r="R120" s="67">
        <f>ROUND(+P120*D120,4)</f>
        <v>0</v>
      </c>
      <c r="S120" s="67">
        <f>ROUND(IF(K120=0,0,M120*D120),4)</f>
        <v>0</v>
      </c>
      <c r="T120" s="67">
        <f>ROUND(+IF(K120=0,Q120*D120,0),4)</f>
        <v>0</v>
      </c>
      <c r="U120" s="67">
        <f>ROUND(+N120+R120+S120+T120,4)</f>
        <v>0</v>
      </c>
      <c r="V120" s="67">
        <f>ROUND(IF(P120=0,0,I120-H120-O120)+IF(L120=0,0,I120-H120-K120),4)</f>
        <v>0</v>
      </c>
      <c r="W120" s="67">
        <f>ROUND(+(V120*60%)*D120,4)</f>
        <v>0</v>
      </c>
      <c r="X120" s="148">
        <f>ROUND(+U120+W120,4)</f>
        <v>0</v>
      </c>
      <c r="Y120" s="68"/>
      <c r="Z120" s="148">
        <f>ROUND(IF(X120&gt;I120,X120,I120),4)</f>
        <v>0</v>
      </c>
      <c r="AD120" s="78">
        <f t="shared" si="6"/>
        <v>0</v>
      </c>
      <c r="AE120" s="78">
        <f t="shared" si="7"/>
        <v>0</v>
      </c>
    </row>
    <row r="121" spans="1:31" x14ac:dyDescent="0.2">
      <c r="A121" s="66"/>
      <c r="B121" s="66"/>
      <c r="C121" s="66"/>
      <c r="D121" s="144"/>
      <c r="E121" s="67"/>
      <c r="F121" s="67"/>
      <c r="G121" s="67"/>
      <c r="H121" s="67">
        <f>ROUND(+E121+G121,4)</f>
        <v>0</v>
      </c>
      <c r="I121" s="67"/>
      <c r="J121" s="67">
        <f>ROUND(+I121-H121,4)</f>
        <v>0</v>
      </c>
      <c r="K121" s="67">
        <f>ROUND(IF(F121="alluminio",0,I121*1.5%),4)</f>
        <v>0</v>
      </c>
      <c r="L121" s="67">
        <f>ROUND(IF(K121&lt;J121,K121,0),4)</f>
        <v>0</v>
      </c>
      <c r="M121" s="67">
        <f>ROUND(IF(J121&gt;K121,0,J121),4)</f>
        <v>0</v>
      </c>
      <c r="N121" s="67">
        <f>ROUND(+L121*D121,4)</f>
        <v>0</v>
      </c>
      <c r="O121" s="67">
        <f>ROUND(IF(F121="rame",0,+I121*3%),4)</f>
        <v>0</v>
      </c>
      <c r="P121" s="67">
        <f>ROUND(IF(O121&lt;J121,O121,0),4)</f>
        <v>0</v>
      </c>
      <c r="Q121" s="67">
        <f>ROUND(IF(J121&gt;O121,0,J121),4)</f>
        <v>0</v>
      </c>
      <c r="R121" s="67">
        <f>ROUND(+P121*D121,4)</f>
        <v>0</v>
      </c>
      <c r="S121" s="67">
        <f>ROUND(IF(K121=0,0,M121*D121),4)</f>
        <v>0</v>
      </c>
      <c r="T121" s="67">
        <f>ROUND(+IF(K121=0,Q121*D121,0),4)</f>
        <v>0</v>
      </c>
      <c r="U121" s="67">
        <f>ROUND(+N121+R121+S121+T121,4)</f>
        <v>0</v>
      </c>
      <c r="V121" s="67">
        <f>ROUND(IF(P121=0,0,I121-H121-O121)+IF(L121=0,0,I121-H121-K121),4)</f>
        <v>0</v>
      </c>
      <c r="W121" s="67">
        <f>ROUND(+(V121*60%)*D121,4)</f>
        <v>0</v>
      </c>
      <c r="X121" s="148">
        <f>ROUND(+U121+W121,4)</f>
        <v>0</v>
      </c>
      <c r="Y121" s="68"/>
      <c r="Z121" s="148">
        <f>ROUND(IF(X121&gt;I121,X121,I121),4)</f>
        <v>0</v>
      </c>
      <c r="AD121" s="78">
        <f t="shared" si="6"/>
        <v>0</v>
      </c>
      <c r="AE121" s="78">
        <f t="shared" si="7"/>
        <v>0</v>
      </c>
    </row>
    <row r="122" spans="1:31" x14ac:dyDescent="0.2">
      <c r="A122" s="66"/>
      <c r="B122" s="66"/>
      <c r="C122" s="66"/>
      <c r="D122" s="144"/>
      <c r="E122" s="67"/>
      <c r="F122" s="67"/>
      <c r="G122" s="67"/>
      <c r="H122" s="67">
        <f>ROUND(+E122+G122,4)</f>
        <v>0</v>
      </c>
      <c r="I122" s="67"/>
      <c r="J122" s="67">
        <f>ROUND(+I122-H122,4)</f>
        <v>0</v>
      </c>
      <c r="K122" s="67">
        <f>ROUND(IF(F122="alluminio",0,I122*1.5%),4)</f>
        <v>0</v>
      </c>
      <c r="L122" s="67">
        <f>ROUND(IF(K122&lt;J122,K122,0),4)</f>
        <v>0</v>
      </c>
      <c r="M122" s="67">
        <f>ROUND(IF(J122&gt;K122,0,J122),4)</f>
        <v>0</v>
      </c>
      <c r="N122" s="67">
        <f>ROUND(+L122*D122,4)</f>
        <v>0</v>
      </c>
      <c r="O122" s="67">
        <f>ROUND(IF(F122="rame",0,+I122*3%),4)</f>
        <v>0</v>
      </c>
      <c r="P122" s="67">
        <f>ROUND(IF(O122&lt;J122,O122,0),4)</f>
        <v>0</v>
      </c>
      <c r="Q122" s="67">
        <f>ROUND(IF(J122&gt;O122,0,J122),4)</f>
        <v>0</v>
      </c>
      <c r="R122" s="67">
        <f>ROUND(+P122*D122,4)</f>
        <v>0</v>
      </c>
      <c r="S122" s="67">
        <f>ROUND(IF(K122=0,0,M122*D122),4)</f>
        <v>0</v>
      </c>
      <c r="T122" s="67">
        <f>ROUND(+IF(K122=0,Q122*D122,0),4)</f>
        <v>0</v>
      </c>
      <c r="U122" s="67">
        <f>ROUND(+N122+R122+S122+T122,4)</f>
        <v>0</v>
      </c>
      <c r="V122" s="67">
        <f>ROUND(IF(P122=0,0,I122-H122-O122)+IF(L122=0,0,I122-H122-K122),4)</f>
        <v>0</v>
      </c>
      <c r="W122" s="67">
        <f>ROUND(+(V122*60%)*D122,4)</f>
        <v>0</v>
      </c>
      <c r="X122" s="148">
        <f>ROUND(+U122+W122,4)</f>
        <v>0</v>
      </c>
      <c r="Y122" s="68"/>
      <c r="Z122" s="148">
        <f>ROUND(IF(X122&gt;I122,X122,I122),4)</f>
        <v>0</v>
      </c>
      <c r="AD122" s="78">
        <f t="shared" si="6"/>
        <v>0</v>
      </c>
      <c r="AE122" s="78">
        <f t="shared" si="7"/>
        <v>0</v>
      </c>
    </row>
    <row r="123" spans="1:31" x14ac:dyDescent="0.2">
      <c r="A123" s="66"/>
      <c r="B123" s="66"/>
      <c r="C123" s="66"/>
      <c r="D123" s="144"/>
      <c r="E123" s="67"/>
      <c r="F123" s="67"/>
      <c r="G123" s="67"/>
      <c r="H123" s="67">
        <f>ROUND(+E123+G123,4)</f>
        <v>0</v>
      </c>
      <c r="I123" s="67"/>
      <c r="J123" s="67">
        <f>ROUND(+I123-H123,4)</f>
        <v>0</v>
      </c>
      <c r="K123" s="67">
        <f>ROUND(IF(F123="alluminio",0,I123*1.5%),4)</f>
        <v>0</v>
      </c>
      <c r="L123" s="67">
        <f>ROUND(IF(K123&lt;J123,K123,0),4)</f>
        <v>0</v>
      </c>
      <c r="M123" s="67">
        <f>ROUND(IF(J123&gt;K123,0,J123),4)</f>
        <v>0</v>
      </c>
      <c r="N123" s="67">
        <f>ROUND(+L123*D123,4)</f>
        <v>0</v>
      </c>
      <c r="O123" s="67">
        <f>ROUND(IF(F123="rame",0,+I123*3%),4)</f>
        <v>0</v>
      </c>
      <c r="P123" s="67">
        <f>ROUND(IF(O123&lt;J123,O123,0),4)</f>
        <v>0</v>
      </c>
      <c r="Q123" s="67">
        <f>ROUND(IF(J123&gt;O123,0,J123),4)</f>
        <v>0</v>
      </c>
      <c r="R123" s="67">
        <f>ROUND(+P123*D123,4)</f>
        <v>0</v>
      </c>
      <c r="S123" s="67">
        <f>ROUND(IF(K123=0,0,M123*D123),4)</f>
        <v>0</v>
      </c>
      <c r="T123" s="67">
        <f>ROUND(+IF(K123=0,Q123*D123,0),4)</f>
        <v>0</v>
      </c>
      <c r="U123" s="67">
        <f>ROUND(+N123+R123+S123+T123,4)</f>
        <v>0</v>
      </c>
      <c r="V123" s="67">
        <f>ROUND(IF(P123=0,0,I123-H123-O123)+IF(L123=0,0,I123-H123-K123),4)</f>
        <v>0</v>
      </c>
      <c r="W123" s="67">
        <f>ROUND(+(V123*60%)*D123,4)</f>
        <v>0</v>
      </c>
      <c r="X123" s="148">
        <f>ROUND(+U123+W123,4)</f>
        <v>0</v>
      </c>
      <c r="Y123" s="68"/>
      <c r="Z123" s="148">
        <f>ROUND(IF(X123&gt;I123,X123,I123),4)</f>
        <v>0</v>
      </c>
      <c r="AD123" s="78">
        <f t="shared" si="6"/>
        <v>0</v>
      </c>
      <c r="AE123" s="78">
        <f t="shared" si="7"/>
        <v>0</v>
      </c>
    </row>
    <row r="124" spans="1:31" x14ac:dyDescent="0.2">
      <c r="A124" s="66"/>
      <c r="B124" s="66"/>
      <c r="C124" s="66"/>
      <c r="D124" s="144"/>
      <c r="E124" s="67"/>
      <c r="F124" s="67"/>
      <c r="G124" s="67"/>
      <c r="H124" s="67">
        <f>ROUND(+E124+G124,4)</f>
        <v>0</v>
      </c>
      <c r="I124" s="67"/>
      <c r="J124" s="67">
        <f>ROUND(+I124-H124,4)</f>
        <v>0</v>
      </c>
      <c r="K124" s="67">
        <f>ROUND(IF(F124="alluminio",0,I124*1.5%),4)</f>
        <v>0</v>
      </c>
      <c r="L124" s="67">
        <f>ROUND(IF(K124&lt;J124,K124,0),4)</f>
        <v>0</v>
      </c>
      <c r="M124" s="67">
        <f>ROUND(IF(J124&gt;K124,0,J124),4)</f>
        <v>0</v>
      </c>
      <c r="N124" s="67">
        <f>ROUND(+L124*D124,4)</f>
        <v>0</v>
      </c>
      <c r="O124" s="67">
        <f>ROUND(IF(F124="rame",0,+I124*3%),4)</f>
        <v>0</v>
      </c>
      <c r="P124" s="67">
        <f>ROUND(IF(O124&lt;J124,O124,0),4)</f>
        <v>0</v>
      </c>
      <c r="Q124" s="67">
        <f>ROUND(IF(J124&gt;O124,0,J124),4)</f>
        <v>0</v>
      </c>
      <c r="R124" s="67">
        <f>ROUND(+P124*D124,4)</f>
        <v>0</v>
      </c>
      <c r="S124" s="67">
        <f>ROUND(IF(K124=0,0,M124*D124),4)</f>
        <v>0</v>
      </c>
      <c r="T124" s="67">
        <f>ROUND(+IF(K124=0,Q124*D124,0),4)</f>
        <v>0</v>
      </c>
      <c r="U124" s="67">
        <f>ROUND(+N124+R124+S124+T124,4)</f>
        <v>0</v>
      </c>
      <c r="V124" s="67">
        <f>ROUND(IF(P124=0,0,I124-H124-O124)+IF(L124=0,0,I124-H124-K124),4)</f>
        <v>0</v>
      </c>
      <c r="W124" s="67">
        <f>ROUND(+(V124*60%)*D124,4)</f>
        <v>0</v>
      </c>
      <c r="X124" s="148">
        <f>ROUND(+U124+W124,4)</f>
        <v>0</v>
      </c>
      <c r="Y124" s="68"/>
      <c r="Z124" s="148">
        <f>ROUND(IF(X124&gt;I124,X124,I124),4)</f>
        <v>0</v>
      </c>
      <c r="AD124" s="78">
        <f t="shared" si="6"/>
        <v>0</v>
      </c>
      <c r="AE124" s="78">
        <f t="shared" si="7"/>
        <v>0</v>
      </c>
    </row>
    <row r="125" spans="1:31" x14ac:dyDescent="0.2">
      <c r="A125" s="66"/>
      <c r="B125" s="66"/>
      <c r="C125" s="66"/>
      <c r="D125" s="144"/>
      <c r="E125" s="67"/>
      <c r="F125" s="67"/>
      <c r="G125" s="67"/>
      <c r="H125" s="67">
        <f>ROUND(+E125+G125,4)</f>
        <v>0</v>
      </c>
      <c r="I125" s="67"/>
      <c r="J125" s="67">
        <f>ROUND(+I125-H125,4)</f>
        <v>0</v>
      </c>
      <c r="K125" s="67">
        <f>ROUND(IF(F125="alluminio",0,I125*1.5%),4)</f>
        <v>0</v>
      </c>
      <c r="L125" s="67">
        <f>ROUND(IF(K125&lt;J125,K125,0),4)</f>
        <v>0</v>
      </c>
      <c r="M125" s="67">
        <f>ROUND(IF(J125&gt;K125,0,J125),4)</f>
        <v>0</v>
      </c>
      <c r="N125" s="67">
        <f>ROUND(+L125*D125,4)</f>
        <v>0</v>
      </c>
      <c r="O125" s="67">
        <f>ROUND(IF(F125="rame",0,+I125*3%),4)</f>
        <v>0</v>
      </c>
      <c r="P125" s="67">
        <f>ROUND(IF(O125&lt;J125,O125,0),4)</f>
        <v>0</v>
      </c>
      <c r="Q125" s="67">
        <f>ROUND(IF(J125&gt;O125,0,J125),4)</f>
        <v>0</v>
      </c>
      <c r="R125" s="67">
        <f>ROUND(+P125*D125,4)</f>
        <v>0</v>
      </c>
      <c r="S125" s="67">
        <f>ROUND(IF(K125=0,0,M125*D125),4)</f>
        <v>0</v>
      </c>
      <c r="T125" s="67">
        <f>ROUND(+IF(K125=0,Q125*D125,0),4)</f>
        <v>0</v>
      </c>
      <c r="U125" s="67">
        <f>ROUND(+N125+R125+S125+T125,4)</f>
        <v>0</v>
      </c>
      <c r="V125" s="67">
        <f>ROUND(IF(P125=0,0,I125-H125-O125)+IF(L125=0,0,I125-H125-K125),4)</f>
        <v>0</v>
      </c>
      <c r="W125" s="67">
        <f>ROUND(+(V125*60%)*D125,4)</f>
        <v>0</v>
      </c>
      <c r="X125" s="148">
        <f>ROUND(+U125+W125,4)</f>
        <v>0</v>
      </c>
      <c r="Y125" s="68"/>
      <c r="Z125" s="148">
        <f>ROUND(IF(X125&gt;I125,X125,I125),4)</f>
        <v>0</v>
      </c>
      <c r="AD125" s="78">
        <f t="shared" si="6"/>
        <v>0</v>
      </c>
      <c r="AE125" s="78">
        <f t="shared" si="7"/>
        <v>0</v>
      </c>
    </row>
    <row r="126" spans="1:31" x14ac:dyDescent="0.2">
      <c r="A126" s="66"/>
      <c r="B126" s="66"/>
      <c r="C126" s="66"/>
      <c r="D126" s="144"/>
      <c r="E126" s="67"/>
      <c r="F126" s="67"/>
      <c r="G126" s="67"/>
      <c r="H126" s="67">
        <f>ROUND(+E126+G126,4)</f>
        <v>0</v>
      </c>
      <c r="I126" s="67"/>
      <c r="J126" s="67">
        <f>ROUND(+I126-H126,4)</f>
        <v>0</v>
      </c>
      <c r="K126" s="67">
        <f>ROUND(IF(F126="alluminio",0,I126*1.5%),4)</f>
        <v>0</v>
      </c>
      <c r="L126" s="67">
        <f>ROUND(IF(K126&lt;J126,K126,0),4)</f>
        <v>0</v>
      </c>
      <c r="M126" s="67">
        <f>ROUND(IF(J126&gt;K126,0,J126),4)</f>
        <v>0</v>
      </c>
      <c r="N126" s="67">
        <f>ROUND(+L126*D126,4)</f>
        <v>0</v>
      </c>
      <c r="O126" s="67">
        <f>ROUND(IF(F126="rame",0,+I126*3%),4)</f>
        <v>0</v>
      </c>
      <c r="P126" s="67">
        <f>ROUND(IF(O126&lt;J126,O126,0),4)</f>
        <v>0</v>
      </c>
      <c r="Q126" s="67">
        <f>ROUND(IF(J126&gt;O126,0,J126),4)</f>
        <v>0</v>
      </c>
      <c r="R126" s="67">
        <f>ROUND(+P126*D126,4)</f>
        <v>0</v>
      </c>
      <c r="S126" s="67">
        <f>ROUND(IF(K126=0,0,M126*D126),4)</f>
        <v>0</v>
      </c>
      <c r="T126" s="67">
        <f>ROUND(+IF(K126=0,Q126*D126,0),4)</f>
        <v>0</v>
      </c>
      <c r="U126" s="67">
        <f>ROUND(+N126+R126+S126+T126,4)</f>
        <v>0</v>
      </c>
      <c r="V126" s="67">
        <f>ROUND(IF(P126=0,0,I126-H126-O126)+IF(L126=0,0,I126-H126-K126),4)</f>
        <v>0</v>
      </c>
      <c r="W126" s="67">
        <f>ROUND(+(V126*60%)*D126,4)</f>
        <v>0</v>
      </c>
      <c r="X126" s="148">
        <f>ROUND(+U126+W126,4)</f>
        <v>0</v>
      </c>
      <c r="Y126" s="68"/>
      <c r="Z126" s="148">
        <f>ROUND(IF(X126&gt;I126,X126,I126),4)</f>
        <v>0</v>
      </c>
      <c r="AD126" s="78">
        <f t="shared" si="6"/>
        <v>0</v>
      </c>
      <c r="AE126" s="78">
        <f t="shared" si="7"/>
        <v>0</v>
      </c>
    </row>
    <row r="127" spans="1:31" x14ac:dyDescent="0.2">
      <c r="A127" s="66"/>
      <c r="B127" s="66"/>
      <c r="C127" s="66"/>
      <c r="D127" s="144"/>
      <c r="E127" s="67"/>
      <c r="F127" s="67"/>
      <c r="G127" s="67"/>
      <c r="H127" s="67">
        <f>ROUND(+E127+G127,4)</f>
        <v>0</v>
      </c>
      <c r="I127" s="67"/>
      <c r="J127" s="67">
        <f>ROUND(+I127-H127,4)</f>
        <v>0</v>
      </c>
      <c r="K127" s="67">
        <f>ROUND(IF(F127="alluminio",0,I127*1.5%),4)</f>
        <v>0</v>
      </c>
      <c r="L127" s="67">
        <f>ROUND(IF(K127&lt;J127,K127,0),4)</f>
        <v>0</v>
      </c>
      <c r="M127" s="67">
        <f>ROUND(IF(J127&gt;K127,0,J127),4)</f>
        <v>0</v>
      </c>
      <c r="N127" s="67">
        <f>ROUND(+L127*D127,4)</f>
        <v>0</v>
      </c>
      <c r="O127" s="67">
        <f>ROUND(IF(F127="rame",0,+I127*3%),4)</f>
        <v>0</v>
      </c>
      <c r="P127" s="67">
        <f>ROUND(IF(O127&lt;J127,O127,0),4)</f>
        <v>0</v>
      </c>
      <c r="Q127" s="67">
        <f>ROUND(IF(J127&gt;O127,0,J127),4)</f>
        <v>0</v>
      </c>
      <c r="R127" s="67">
        <f>ROUND(+P127*D127,4)</f>
        <v>0</v>
      </c>
      <c r="S127" s="67">
        <f>ROUND(IF(K127=0,0,M127*D127),4)</f>
        <v>0</v>
      </c>
      <c r="T127" s="67">
        <f>ROUND(+IF(K127=0,Q127*D127,0),4)</f>
        <v>0</v>
      </c>
      <c r="U127" s="67">
        <f>ROUND(+N127+R127+S127+T127,4)</f>
        <v>0</v>
      </c>
      <c r="V127" s="67">
        <f>ROUND(IF(P127=0,0,I127-H127-O127)+IF(L127=0,0,I127-H127-K127),4)</f>
        <v>0</v>
      </c>
      <c r="W127" s="67">
        <f>ROUND(+(V127*60%)*D127,4)</f>
        <v>0</v>
      </c>
      <c r="X127" s="148">
        <f>ROUND(+U127+W127,4)</f>
        <v>0</v>
      </c>
      <c r="Y127" s="68"/>
      <c r="Z127" s="148">
        <f>ROUND(IF(X127&gt;I127,X127,I127),4)</f>
        <v>0</v>
      </c>
      <c r="AD127" s="78">
        <f t="shared" si="6"/>
        <v>0</v>
      </c>
      <c r="AE127" s="78">
        <f t="shared" si="7"/>
        <v>0</v>
      </c>
    </row>
    <row r="128" spans="1:31" x14ac:dyDescent="0.2">
      <c r="A128" s="66"/>
      <c r="B128" s="66"/>
      <c r="C128" s="66"/>
      <c r="D128" s="144"/>
      <c r="E128" s="67"/>
      <c r="F128" s="67"/>
      <c r="G128" s="67"/>
      <c r="H128" s="67">
        <f>ROUND(+E128+G128,4)</f>
        <v>0</v>
      </c>
      <c r="I128" s="67"/>
      <c r="J128" s="67">
        <f>ROUND(+I128-H128,4)</f>
        <v>0</v>
      </c>
      <c r="K128" s="67">
        <f>ROUND(IF(F128="alluminio",0,I128*1.5%),4)</f>
        <v>0</v>
      </c>
      <c r="L128" s="67">
        <f>ROUND(IF(K128&lt;J128,K128,0),4)</f>
        <v>0</v>
      </c>
      <c r="M128" s="67">
        <f>ROUND(IF(J128&gt;K128,0,J128),4)</f>
        <v>0</v>
      </c>
      <c r="N128" s="67">
        <f>ROUND(+L128*D128,4)</f>
        <v>0</v>
      </c>
      <c r="O128" s="67">
        <f>ROUND(IF(F128="rame",0,+I128*3%),4)</f>
        <v>0</v>
      </c>
      <c r="P128" s="67">
        <f>ROUND(IF(O128&lt;J128,O128,0),4)</f>
        <v>0</v>
      </c>
      <c r="Q128" s="67">
        <f>ROUND(IF(J128&gt;O128,0,J128),4)</f>
        <v>0</v>
      </c>
      <c r="R128" s="67">
        <f>ROUND(+P128*D128,4)</f>
        <v>0</v>
      </c>
      <c r="S128" s="67">
        <f>ROUND(IF(K128=0,0,M128*D128),4)</f>
        <v>0</v>
      </c>
      <c r="T128" s="67">
        <f>ROUND(+IF(K128=0,Q128*D128,0),4)</f>
        <v>0</v>
      </c>
      <c r="U128" s="67">
        <f>ROUND(+N128+R128+S128+T128,4)</f>
        <v>0</v>
      </c>
      <c r="V128" s="67">
        <f>ROUND(IF(P128=0,0,I128-H128-O128)+IF(L128=0,0,I128-H128-K128),4)</f>
        <v>0</v>
      </c>
      <c r="W128" s="67">
        <f>ROUND(+(V128*60%)*D128,4)</f>
        <v>0</v>
      </c>
      <c r="X128" s="148">
        <f>ROUND(+U128+W128,4)</f>
        <v>0</v>
      </c>
      <c r="Y128" s="68"/>
      <c r="Z128" s="148">
        <f>ROUND(IF(X128&gt;I128,X128,I128),4)</f>
        <v>0</v>
      </c>
      <c r="AD128" s="78">
        <f t="shared" si="6"/>
        <v>0</v>
      </c>
      <c r="AE128" s="78">
        <f t="shared" si="7"/>
        <v>0</v>
      </c>
    </row>
    <row r="129" spans="1:31" x14ac:dyDescent="0.2">
      <c r="A129" s="66"/>
      <c r="B129" s="66"/>
      <c r="C129" s="66"/>
      <c r="D129" s="144"/>
      <c r="E129" s="67"/>
      <c r="F129" s="67"/>
      <c r="G129" s="67"/>
      <c r="H129" s="67">
        <f>ROUND(+E129+G129,4)</f>
        <v>0</v>
      </c>
      <c r="I129" s="67"/>
      <c r="J129" s="67">
        <f>ROUND(+I129-H129,4)</f>
        <v>0</v>
      </c>
      <c r="K129" s="67">
        <f>ROUND(IF(F129="alluminio",0,I129*1.5%),4)</f>
        <v>0</v>
      </c>
      <c r="L129" s="67">
        <f>ROUND(IF(K129&lt;J129,K129,0),4)</f>
        <v>0</v>
      </c>
      <c r="M129" s="67">
        <f>ROUND(IF(J129&gt;K129,0,J129),4)</f>
        <v>0</v>
      </c>
      <c r="N129" s="67">
        <f>ROUND(+L129*D129,4)</f>
        <v>0</v>
      </c>
      <c r="O129" s="67">
        <f>ROUND(IF(F129="rame",0,+I129*3%),4)</f>
        <v>0</v>
      </c>
      <c r="P129" s="67">
        <f>ROUND(IF(O129&lt;J129,O129,0),4)</f>
        <v>0</v>
      </c>
      <c r="Q129" s="67">
        <f>ROUND(IF(J129&gt;O129,0,J129),4)</f>
        <v>0</v>
      </c>
      <c r="R129" s="67">
        <f>ROUND(+P129*D129,4)</f>
        <v>0</v>
      </c>
      <c r="S129" s="67">
        <f>ROUND(IF(K129=0,0,M129*D129),4)</f>
        <v>0</v>
      </c>
      <c r="T129" s="67">
        <f>ROUND(+IF(K129=0,Q129*D129,0),4)</f>
        <v>0</v>
      </c>
      <c r="U129" s="67">
        <f>ROUND(+N129+R129+S129+T129,4)</f>
        <v>0</v>
      </c>
      <c r="V129" s="67">
        <f>ROUND(IF(P129=0,0,I129-H129-O129)+IF(L129=0,0,I129-H129-K129),4)</f>
        <v>0</v>
      </c>
      <c r="W129" s="67">
        <f>ROUND(+(V129*60%)*D129,4)</f>
        <v>0</v>
      </c>
      <c r="X129" s="148">
        <f>ROUND(+U129+W129,4)</f>
        <v>0</v>
      </c>
      <c r="Y129" s="68"/>
      <c r="Z129" s="148">
        <f>ROUND(IF(X129&gt;I129,X129,I129),4)</f>
        <v>0</v>
      </c>
      <c r="AD129" s="78">
        <f t="shared" si="6"/>
        <v>0</v>
      </c>
      <c r="AE129" s="78">
        <f t="shared" si="7"/>
        <v>0</v>
      </c>
    </row>
    <row r="130" spans="1:31" x14ac:dyDescent="0.2">
      <c r="A130" s="66"/>
      <c r="B130" s="66"/>
      <c r="C130" s="66"/>
      <c r="D130" s="144"/>
      <c r="E130" s="67"/>
      <c r="F130" s="67"/>
      <c r="G130" s="67"/>
      <c r="H130" s="67">
        <f>ROUND(+E130+G130,4)</f>
        <v>0</v>
      </c>
      <c r="I130" s="67"/>
      <c r="J130" s="67">
        <f>ROUND(+I130-H130,4)</f>
        <v>0</v>
      </c>
      <c r="K130" s="67">
        <f>ROUND(IF(F130="alluminio",0,I130*1.5%),4)</f>
        <v>0</v>
      </c>
      <c r="L130" s="67">
        <f>ROUND(IF(K130&lt;J130,K130,0),4)</f>
        <v>0</v>
      </c>
      <c r="M130" s="67">
        <f>ROUND(IF(J130&gt;K130,0,J130),4)</f>
        <v>0</v>
      </c>
      <c r="N130" s="67">
        <f>ROUND(+L130*D130,4)</f>
        <v>0</v>
      </c>
      <c r="O130" s="67">
        <f>ROUND(IF(F130="rame",0,+I130*3%),4)</f>
        <v>0</v>
      </c>
      <c r="P130" s="67">
        <f>ROUND(IF(O130&lt;J130,O130,0),4)</f>
        <v>0</v>
      </c>
      <c r="Q130" s="67">
        <f>ROUND(IF(J130&gt;O130,0,J130),4)</f>
        <v>0</v>
      </c>
      <c r="R130" s="67">
        <f>ROUND(+P130*D130,4)</f>
        <v>0</v>
      </c>
      <c r="S130" s="67">
        <f>ROUND(IF(K130=0,0,M130*D130),4)</f>
        <v>0</v>
      </c>
      <c r="T130" s="67">
        <f>ROUND(+IF(K130=0,Q130*D130,0),4)</f>
        <v>0</v>
      </c>
      <c r="U130" s="67">
        <f>ROUND(+N130+R130+S130+T130,4)</f>
        <v>0</v>
      </c>
      <c r="V130" s="67">
        <f>ROUND(IF(P130=0,0,I130-H130-O130)+IF(L130=0,0,I130-H130-K130),4)</f>
        <v>0</v>
      </c>
      <c r="W130" s="67">
        <f>ROUND(+(V130*60%)*D130,4)</f>
        <v>0</v>
      </c>
      <c r="X130" s="148">
        <f>ROUND(+U130+W130,4)</f>
        <v>0</v>
      </c>
      <c r="Y130" s="68"/>
      <c r="Z130" s="148">
        <f>ROUND(IF(X130&gt;I130,X130,I130),4)</f>
        <v>0</v>
      </c>
      <c r="AD130" s="78">
        <f t="shared" si="6"/>
        <v>0</v>
      </c>
      <c r="AE130" s="78">
        <f t="shared" si="7"/>
        <v>0</v>
      </c>
    </row>
    <row r="131" spans="1:31" x14ac:dyDescent="0.2">
      <c r="A131" s="66"/>
      <c r="B131" s="66"/>
      <c r="C131" s="66"/>
      <c r="D131" s="144"/>
      <c r="E131" s="67"/>
      <c r="F131" s="67"/>
      <c r="G131" s="67"/>
      <c r="H131" s="67">
        <f>ROUND(+E131+G131,4)</f>
        <v>0</v>
      </c>
      <c r="I131" s="67"/>
      <c r="J131" s="67">
        <f>ROUND(+I131-H131,4)</f>
        <v>0</v>
      </c>
      <c r="K131" s="67">
        <f>ROUND(IF(F131="alluminio",0,I131*1.5%),4)</f>
        <v>0</v>
      </c>
      <c r="L131" s="67">
        <f>ROUND(IF(K131&lt;J131,K131,0),4)</f>
        <v>0</v>
      </c>
      <c r="M131" s="67">
        <f>ROUND(IF(J131&gt;K131,0,J131),4)</f>
        <v>0</v>
      </c>
      <c r="N131" s="67">
        <f>ROUND(+L131*D131,4)</f>
        <v>0</v>
      </c>
      <c r="O131" s="67">
        <f>ROUND(IF(F131="rame",0,+I131*3%),4)</f>
        <v>0</v>
      </c>
      <c r="P131" s="67">
        <f>ROUND(IF(O131&lt;J131,O131,0),4)</f>
        <v>0</v>
      </c>
      <c r="Q131" s="67">
        <f>ROUND(IF(J131&gt;O131,0,J131),4)</f>
        <v>0</v>
      </c>
      <c r="R131" s="67">
        <f>ROUND(+P131*D131,4)</f>
        <v>0</v>
      </c>
      <c r="S131" s="67">
        <f>ROUND(IF(K131=0,0,M131*D131),4)</f>
        <v>0</v>
      </c>
      <c r="T131" s="67">
        <f>ROUND(+IF(K131=0,Q131*D131,0),4)</f>
        <v>0</v>
      </c>
      <c r="U131" s="67">
        <f>ROUND(+N131+R131+S131+T131,4)</f>
        <v>0</v>
      </c>
      <c r="V131" s="67">
        <f>ROUND(IF(P131=0,0,I131-H131-O131)+IF(L131=0,0,I131-H131-K131),4)</f>
        <v>0</v>
      </c>
      <c r="W131" s="67">
        <f>ROUND(+(V131*60%)*D131,4)</f>
        <v>0</v>
      </c>
      <c r="X131" s="148">
        <f>ROUND(+U131+W131,4)</f>
        <v>0</v>
      </c>
      <c r="Y131" s="68"/>
      <c r="Z131" s="148">
        <f>ROUND(IF(X131&gt;I131,X131,I131),4)</f>
        <v>0</v>
      </c>
      <c r="AD131" s="78">
        <f t="shared" si="6"/>
        <v>0</v>
      </c>
      <c r="AE131" s="78">
        <f t="shared" si="7"/>
        <v>0</v>
      </c>
    </row>
    <row r="132" spans="1:31" x14ac:dyDescent="0.2">
      <c r="A132" s="66"/>
      <c r="B132" s="66"/>
      <c r="C132" s="66"/>
      <c r="D132" s="144"/>
      <c r="E132" s="67"/>
      <c r="F132" s="67"/>
      <c r="G132" s="67"/>
      <c r="H132" s="67">
        <f>ROUND(+E132+G132,4)</f>
        <v>0</v>
      </c>
      <c r="I132" s="67"/>
      <c r="J132" s="67">
        <f>ROUND(+I132-H132,4)</f>
        <v>0</v>
      </c>
      <c r="K132" s="67">
        <f>ROUND(IF(F132="alluminio",0,I132*1.5%),4)</f>
        <v>0</v>
      </c>
      <c r="L132" s="67">
        <f>ROUND(IF(K132&lt;J132,K132,0),4)</f>
        <v>0</v>
      </c>
      <c r="M132" s="67">
        <f>ROUND(IF(J132&gt;K132,0,J132),4)</f>
        <v>0</v>
      </c>
      <c r="N132" s="67">
        <f>ROUND(+L132*D132,4)</f>
        <v>0</v>
      </c>
      <c r="O132" s="67">
        <f>ROUND(IF(F132="rame",0,+I132*3%),4)</f>
        <v>0</v>
      </c>
      <c r="P132" s="67">
        <f>ROUND(IF(O132&lt;J132,O132,0),4)</f>
        <v>0</v>
      </c>
      <c r="Q132" s="67">
        <f>ROUND(IF(J132&gt;O132,0,J132),4)</f>
        <v>0</v>
      </c>
      <c r="R132" s="67">
        <f>ROUND(+P132*D132,4)</f>
        <v>0</v>
      </c>
      <c r="S132" s="67">
        <f>ROUND(IF(K132=0,0,M132*D132),4)</f>
        <v>0</v>
      </c>
      <c r="T132" s="67">
        <f>ROUND(+IF(K132=0,Q132*D132,0),4)</f>
        <v>0</v>
      </c>
      <c r="U132" s="67">
        <f>ROUND(+N132+R132+S132+T132,4)</f>
        <v>0</v>
      </c>
      <c r="V132" s="67">
        <f>ROUND(IF(P132=0,0,I132-H132-O132)+IF(L132=0,0,I132-H132-K132),4)</f>
        <v>0</v>
      </c>
      <c r="W132" s="67">
        <f>ROUND(+(V132*60%)*D132,4)</f>
        <v>0</v>
      </c>
      <c r="X132" s="148">
        <f>ROUND(+U132+W132,4)</f>
        <v>0</v>
      </c>
      <c r="Y132" s="68"/>
      <c r="Z132" s="148">
        <f>ROUND(IF(X132&gt;I132,X132,I132),4)</f>
        <v>0</v>
      </c>
      <c r="AD132" s="78">
        <f t="shared" si="6"/>
        <v>0</v>
      </c>
      <c r="AE132" s="78">
        <f t="shared" si="7"/>
        <v>0</v>
      </c>
    </row>
    <row r="133" spans="1:31" x14ac:dyDescent="0.2">
      <c r="A133" s="66"/>
      <c r="B133" s="66"/>
      <c r="C133" s="66"/>
      <c r="D133" s="144"/>
      <c r="E133" s="67"/>
      <c r="F133" s="67"/>
      <c r="G133" s="67"/>
      <c r="H133" s="67">
        <f>ROUND(+E133+G133,4)</f>
        <v>0</v>
      </c>
      <c r="I133" s="67"/>
      <c r="J133" s="67">
        <f>ROUND(+I133-H133,4)</f>
        <v>0</v>
      </c>
      <c r="K133" s="67">
        <f>ROUND(IF(F133="alluminio",0,I133*1.5%),4)</f>
        <v>0</v>
      </c>
      <c r="L133" s="67">
        <f>ROUND(IF(K133&lt;J133,K133,0),4)</f>
        <v>0</v>
      </c>
      <c r="M133" s="67">
        <f>ROUND(IF(J133&gt;K133,0,J133),4)</f>
        <v>0</v>
      </c>
      <c r="N133" s="67">
        <f>ROUND(+L133*D133,4)</f>
        <v>0</v>
      </c>
      <c r="O133" s="67">
        <f>ROUND(IF(F133="rame",0,+I133*3%),4)</f>
        <v>0</v>
      </c>
      <c r="P133" s="67">
        <f>ROUND(IF(O133&lt;J133,O133,0),4)</f>
        <v>0</v>
      </c>
      <c r="Q133" s="67">
        <f>ROUND(IF(J133&gt;O133,0,J133),4)</f>
        <v>0</v>
      </c>
      <c r="R133" s="67">
        <f>ROUND(+P133*D133,4)</f>
        <v>0</v>
      </c>
      <c r="S133" s="67">
        <f>ROUND(IF(K133=0,0,M133*D133),4)</f>
        <v>0</v>
      </c>
      <c r="T133" s="67">
        <f>ROUND(+IF(K133=0,Q133*D133,0),4)</f>
        <v>0</v>
      </c>
      <c r="U133" s="67">
        <f>ROUND(+N133+R133+S133+T133,4)</f>
        <v>0</v>
      </c>
      <c r="V133" s="67">
        <f>ROUND(IF(P133=0,0,I133-H133-O133)+IF(L133=0,0,I133-H133-K133),4)</f>
        <v>0</v>
      </c>
      <c r="W133" s="67">
        <f>ROUND(+(V133*60%)*D133,4)</f>
        <v>0</v>
      </c>
      <c r="X133" s="148">
        <f>ROUND(+U133+W133,4)</f>
        <v>0</v>
      </c>
      <c r="Y133" s="68"/>
      <c r="Z133" s="148">
        <f>ROUND(IF(X133&gt;I133,X133,I133),4)</f>
        <v>0</v>
      </c>
      <c r="AD133" s="78">
        <f t="shared" si="6"/>
        <v>0</v>
      </c>
      <c r="AE133" s="78">
        <f t="shared" si="7"/>
        <v>0</v>
      </c>
    </row>
    <row r="134" spans="1:31" x14ac:dyDescent="0.2">
      <c r="A134" s="66"/>
      <c r="B134" s="66"/>
      <c r="C134" s="66"/>
      <c r="D134" s="144"/>
      <c r="E134" s="67"/>
      <c r="F134" s="67"/>
      <c r="G134" s="67"/>
      <c r="H134" s="67">
        <f>ROUND(+E134+G134,4)</f>
        <v>0</v>
      </c>
      <c r="I134" s="67"/>
      <c r="J134" s="67">
        <f>ROUND(+I134-H134,4)</f>
        <v>0</v>
      </c>
      <c r="K134" s="67">
        <f>ROUND(IF(F134="alluminio",0,I134*1.5%),4)</f>
        <v>0</v>
      </c>
      <c r="L134" s="67">
        <f>ROUND(IF(K134&lt;J134,K134,0),4)</f>
        <v>0</v>
      </c>
      <c r="M134" s="67">
        <f>ROUND(IF(J134&gt;K134,0,J134),4)</f>
        <v>0</v>
      </c>
      <c r="N134" s="67">
        <f>ROUND(+L134*D134,4)</f>
        <v>0</v>
      </c>
      <c r="O134" s="67">
        <f>ROUND(IF(F134="rame",0,+I134*3%),4)</f>
        <v>0</v>
      </c>
      <c r="P134" s="67">
        <f>ROUND(IF(O134&lt;J134,O134,0),4)</f>
        <v>0</v>
      </c>
      <c r="Q134" s="67">
        <f>ROUND(IF(J134&gt;O134,0,J134),4)</f>
        <v>0</v>
      </c>
      <c r="R134" s="67">
        <f>ROUND(+P134*D134,4)</f>
        <v>0</v>
      </c>
      <c r="S134" s="67">
        <f>ROUND(IF(K134=0,0,M134*D134),4)</f>
        <v>0</v>
      </c>
      <c r="T134" s="67">
        <f>ROUND(+IF(K134=0,Q134*D134,0),4)</f>
        <v>0</v>
      </c>
      <c r="U134" s="67">
        <f>ROUND(+N134+R134+S134+T134,4)</f>
        <v>0</v>
      </c>
      <c r="V134" s="67">
        <f>ROUND(IF(P134=0,0,I134-H134-O134)+IF(L134=0,0,I134-H134-K134),4)</f>
        <v>0</v>
      </c>
      <c r="W134" s="67">
        <f>ROUND(+(V134*60%)*D134,4)</f>
        <v>0</v>
      </c>
      <c r="X134" s="148">
        <f>ROUND(+U134+W134,4)</f>
        <v>0</v>
      </c>
      <c r="Y134" s="68"/>
      <c r="Z134" s="148">
        <f>ROUND(IF(X134&gt;I134,X134,I134),4)</f>
        <v>0</v>
      </c>
      <c r="AD134" s="78">
        <f t="shared" ref="AD134:AD177" si="8">IF(Y134="",0,MONTH(Y134))</f>
        <v>0</v>
      </c>
      <c r="AE134" s="78">
        <f t="shared" ref="AE134:AE177" si="9">IF(Y134="",0,YEAR(Y134))</f>
        <v>0</v>
      </c>
    </row>
    <row r="135" spans="1:31" x14ac:dyDescent="0.2">
      <c r="A135" s="66"/>
      <c r="B135" s="66"/>
      <c r="C135" s="66"/>
      <c r="D135" s="144"/>
      <c r="E135" s="67"/>
      <c r="F135" s="67"/>
      <c r="G135" s="67"/>
      <c r="H135" s="67">
        <f>ROUND(+E135+G135,4)</f>
        <v>0</v>
      </c>
      <c r="I135" s="67"/>
      <c r="J135" s="67">
        <f>ROUND(+I135-H135,4)</f>
        <v>0</v>
      </c>
      <c r="K135" s="67">
        <f>ROUND(IF(F135="alluminio",0,I135*1.5%),4)</f>
        <v>0</v>
      </c>
      <c r="L135" s="67">
        <f>ROUND(IF(K135&lt;J135,K135,0),4)</f>
        <v>0</v>
      </c>
      <c r="M135" s="67">
        <f>ROUND(IF(J135&gt;K135,0,J135),4)</f>
        <v>0</v>
      </c>
      <c r="N135" s="67">
        <f>ROUND(+L135*D135,4)</f>
        <v>0</v>
      </c>
      <c r="O135" s="67">
        <f>ROUND(IF(F135="rame",0,+I135*3%),4)</f>
        <v>0</v>
      </c>
      <c r="P135" s="67">
        <f>ROUND(IF(O135&lt;J135,O135,0),4)</f>
        <v>0</v>
      </c>
      <c r="Q135" s="67">
        <f>ROUND(IF(J135&gt;O135,0,J135),4)</f>
        <v>0</v>
      </c>
      <c r="R135" s="67">
        <f>ROUND(+P135*D135,4)</f>
        <v>0</v>
      </c>
      <c r="S135" s="67">
        <f>ROUND(IF(K135=0,0,M135*D135),4)</f>
        <v>0</v>
      </c>
      <c r="T135" s="67">
        <f>ROUND(+IF(K135=0,Q135*D135,0),4)</f>
        <v>0</v>
      </c>
      <c r="U135" s="67">
        <f>ROUND(+N135+R135+S135+T135,4)</f>
        <v>0</v>
      </c>
      <c r="V135" s="67">
        <f>ROUND(IF(P135=0,0,I135-H135-O135)+IF(L135=0,0,I135-H135-K135),4)</f>
        <v>0</v>
      </c>
      <c r="W135" s="67">
        <f>ROUND(+(V135*60%)*D135,4)</f>
        <v>0</v>
      </c>
      <c r="X135" s="148">
        <f>ROUND(+U135+W135,4)</f>
        <v>0</v>
      </c>
      <c r="Y135" s="68"/>
      <c r="Z135" s="148">
        <f>ROUND(IF(X135&gt;I135,X135,I135),4)</f>
        <v>0</v>
      </c>
      <c r="AD135" s="78">
        <f t="shared" si="8"/>
        <v>0</v>
      </c>
      <c r="AE135" s="78">
        <f t="shared" si="9"/>
        <v>0</v>
      </c>
    </row>
    <row r="136" spans="1:31" x14ac:dyDescent="0.2">
      <c r="A136" s="66"/>
      <c r="B136" s="66"/>
      <c r="C136" s="66"/>
      <c r="D136" s="144"/>
      <c r="E136" s="67"/>
      <c r="F136" s="67"/>
      <c r="G136" s="67"/>
      <c r="H136" s="67">
        <f>ROUND(+E136+G136,4)</f>
        <v>0</v>
      </c>
      <c r="I136" s="67"/>
      <c r="J136" s="67">
        <f>ROUND(+I136-H136,4)</f>
        <v>0</v>
      </c>
      <c r="K136" s="67">
        <f>ROUND(IF(F136="alluminio",0,I136*1.5%),4)</f>
        <v>0</v>
      </c>
      <c r="L136" s="67">
        <f>ROUND(IF(K136&lt;J136,K136,0),4)</f>
        <v>0</v>
      </c>
      <c r="M136" s="67">
        <f>ROUND(IF(J136&gt;K136,0,J136),4)</f>
        <v>0</v>
      </c>
      <c r="N136" s="67">
        <f>ROUND(+L136*D136,4)</f>
        <v>0</v>
      </c>
      <c r="O136" s="67">
        <f>ROUND(IF(F136="rame",0,+I136*3%),4)</f>
        <v>0</v>
      </c>
      <c r="P136" s="67">
        <f>ROUND(IF(O136&lt;J136,O136,0),4)</f>
        <v>0</v>
      </c>
      <c r="Q136" s="67">
        <f>ROUND(IF(J136&gt;O136,0,J136),4)</f>
        <v>0</v>
      </c>
      <c r="R136" s="67">
        <f>ROUND(+P136*D136,4)</f>
        <v>0</v>
      </c>
      <c r="S136" s="67">
        <f>ROUND(IF(K136=0,0,M136*D136),4)</f>
        <v>0</v>
      </c>
      <c r="T136" s="67">
        <f>ROUND(+IF(K136=0,Q136*D136,0),4)</f>
        <v>0</v>
      </c>
      <c r="U136" s="67">
        <f>ROUND(+N136+R136+S136+T136,4)</f>
        <v>0</v>
      </c>
      <c r="V136" s="67">
        <f>ROUND(IF(P136=0,0,I136-H136-O136)+IF(L136=0,0,I136-H136-K136),4)</f>
        <v>0</v>
      </c>
      <c r="W136" s="67">
        <f>ROUND(+(V136*60%)*D136,4)</f>
        <v>0</v>
      </c>
      <c r="X136" s="148">
        <f>ROUND(+U136+W136,4)</f>
        <v>0</v>
      </c>
      <c r="Y136" s="68"/>
      <c r="Z136" s="148">
        <f>ROUND(IF(X136&gt;I136,X136,I136),4)</f>
        <v>0</v>
      </c>
      <c r="AD136" s="78">
        <f t="shared" si="8"/>
        <v>0</v>
      </c>
      <c r="AE136" s="78">
        <f t="shared" si="9"/>
        <v>0</v>
      </c>
    </row>
    <row r="137" spans="1:31" x14ac:dyDescent="0.2">
      <c r="A137" s="66"/>
      <c r="B137" s="66"/>
      <c r="C137" s="66"/>
      <c r="D137" s="144"/>
      <c r="E137" s="67"/>
      <c r="F137" s="67"/>
      <c r="G137" s="67"/>
      <c r="H137" s="67">
        <f>ROUND(+E137+G137,4)</f>
        <v>0</v>
      </c>
      <c r="I137" s="67"/>
      <c r="J137" s="67">
        <f>ROUND(+I137-H137,4)</f>
        <v>0</v>
      </c>
      <c r="K137" s="67">
        <f>ROUND(IF(F137="alluminio",0,I137*1.5%),4)</f>
        <v>0</v>
      </c>
      <c r="L137" s="67">
        <f>ROUND(IF(K137&lt;J137,K137,0),4)</f>
        <v>0</v>
      </c>
      <c r="M137" s="67">
        <f>ROUND(IF(J137&gt;K137,0,J137),4)</f>
        <v>0</v>
      </c>
      <c r="N137" s="67">
        <f>ROUND(+L137*D137,4)</f>
        <v>0</v>
      </c>
      <c r="O137" s="67">
        <f>ROUND(IF(F137="rame",0,+I137*3%),4)</f>
        <v>0</v>
      </c>
      <c r="P137" s="67">
        <f>ROUND(IF(O137&lt;J137,O137,0),4)</f>
        <v>0</v>
      </c>
      <c r="Q137" s="67">
        <f>ROUND(IF(J137&gt;O137,0,J137),4)</f>
        <v>0</v>
      </c>
      <c r="R137" s="67">
        <f>ROUND(+P137*D137,4)</f>
        <v>0</v>
      </c>
      <c r="S137" s="67">
        <f>ROUND(IF(K137=0,0,M137*D137),4)</f>
        <v>0</v>
      </c>
      <c r="T137" s="67">
        <f>ROUND(+IF(K137=0,Q137*D137,0),4)</f>
        <v>0</v>
      </c>
      <c r="U137" s="67">
        <f>ROUND(+N137+R137+S137+T137,4)</f>
        <v>0</v>
      </c>
      <c r="V137" s="67">
        <f>ROUND(IF(P137=0,0,I137-H137-O137)+IF(L137=0,0,I137-H137-K137),4)</f>
        <v>0</v>
      </c>
      <c r="W137" s="67">
        <f>ROUND(+(V137*60%)*D137,4)</f>
        <v>0</v>
      </c>
      <c r="X137" s="148">
        <f>ROUND(+U137+W137,4)</f>
        <v>0</v>
      </c>
      <c r="Y137" s="68"/>
      <c r="Z137" s="148">
        <f>ROUND(IF(X137&gt;I137,X137,I137),4)</f>
        <v>0</v>
      </c>
      <c r="AD137" s="78">
        <f t="shared" si="8"/>
        <v>0</v>
      </c>
      <c r="AE137" s="78">
        <f t="shared" si="9"/>
        <v>0</v>
      </c>
    </row>
    <row r="138" spans="1:31" x14ac:dyDescent="0.2">
      <c r="A138" s="66"/>
      <c r="B138" s="66"/>
      <c r="C138" s="66"/>
      <c r="D138" s="144"/>
      <c r="E138" s="67"/>
      <c r="F138" s="67"/>
      <c r="G138" s="67"/>
      <c r="H138" s="67">
        <f>ROUND(+E138+G138,4)</f>
        <v>0</v>
      </c>
      <c r="I138" s="67"/>
      <c r="J138" s="67">
        <f>ROUND(+I138-H138,4)</f>
        <v>0</v>
      </c>
      <c r="K138" s="67">
        <f>ROUND(IF(F138="alluminio",0,I138*1.5%),4)</f>
        <v>0</v>
      </c>
      <c r="L138" s="67">
        <f>ROUND(IF(K138&lt;J138,K138,0),4)</f>
        <v>0</v>
      </c>
      <c r="M138" s="67">
        <f>ROUND(IF(J138&gt;K138,0,J138),4)</f>
        <v>0</v>
      </c>
      <c r="N138" s="67">
        <f>ROUND(+L138*D138,4)</f>
        <v>0</v>
      </c>
      <c r="O138" s="67">
        <f>ROUND(IF(F138="rame",0,+I138*3%),4)</f>
        <v>0</v>
      </c>
      <c r="P138" s="67">
        <f>ROUND(IF(O138&lt;J138,O138,0),4)</f>
        <v>0</v>
      </c>
      <c r="Q138" s="67">
        <f>ROUND(IF(J138&gt;O138,0,J138),4)</f>
        <v>0</v>
      </c>
      <c r="R138" s="67">
        <f>ROUND(+P138*D138,4)</f>
        <v>0</v>
      </c>
      <c r="S138" s="67">
        <f>ROUND(IF(K138=0,0,M138*D138),4)</f>
        <v>0</v>
      </c>
      <c r="T138" s="67">
        <f>ROUND(+IF(K138=0,Q138*D138,0),4)</f>
        <v>0</v>
      </c>
      <c r="U138" s="67">
        <f>ROUND(+N138+R138+S138+T138,4)</f>
        <v>0</v>
      </c>
      <c r="V138" s="67">
        <f>ROUND(IF(P138=0,0,I138-H138-O138)+IF(L138=0,0,I138-H138-K138),4)</f>
        <v>0</v>
      </c>
      <c r="W138" s="67">
        <f>ROUND(+(V138*60%)*D138,4)</f>
        <v>0</v>
      </c>
      <c r="X138" s="148">
        <f>ROUND(+U138+W138,4)</f>
        <v>0</v>
      </c>
      <c r="Y138" s="68"/>
      <c r="Z138" s="148">
        <f>ROUND(IF(X138&gt;I138,X138,I138),4)</f>
        <v>0</v>
      </c>
      <c r="AD138" s="78">
        <f t="shared" si="8"/>
        <v>0</v>
      </c>
      <c r="AE138" s="78">
        <f t="shared" si="9"/>
        <v>0</v>
      </c>
    </row>
    <row r="139" spans="1:31" x14ac:dyDescent="0.2">
      <c r="A139" s="66"/>
      <c r="B139" s="66"/>
      <c r="C139" s="66"/>
      <c r="D139" s="144"/>
      <c r="E139" s="67"/>
      <c r="F139" s="67"/>
      <c r="G139" s="67"/>
      <c r="H139" s="67">
        <f>ROUND(+E139+G139,4)</f>
        <v>0</v>
      </c>
      <c r="I139" s="67"/>
      <c r="J139" s="67">
        <f>ROUND(+I139-H139,4)</f>
        <v>0</v>
      </c>
      <c r="K139" s="67">
        <f>ROUND(IF(F139="alluminio",0,I139*1.5%),4)</f>
        <v>0</v>
      </c>
      <c r="L139" s="67">
        <f>ROUND(IF(K139&lt;J139,K139,0),4)</f>
        <v>0</v>
      </c>
      <c r="M139" s="67">
        <f>ROUND(IF(J139&gt;K139,0,J139),4)</f>
        <v>0</v>
      </c>
      <c r="N139" s="67">
        <f>ROUND(+L139*D139,4)</f>
        <v>0</v>
      </c>
      <c r="O139" s="67">
        <f>ROUND(IF(F139="rame",0,+I139*3%),4)</f>
        <v>0</v>
      </c>
      <c r="P139" s="67">
        <f>ROUND(IF(O139&lt;J139,O139,0),4)</f>
        <v>0</v>
      </c>
      <c r="Q139" s="67">
        <f>ROUND(IF(J139&gt;O139,0,J139),4)</f>
        <v>0</v>
      </c>
      <c r="R139" s="67">
        <f>ROUND(+P139*D139,4)</f>
        <v>0</v>
      </c>
      <c r="S139" s="67">
        <f>ROUND(IF(K139=0,0,M139*D139),4)</f>
        <v>0</v>
      </c>
      <c r="T139" s="67">
        <f>ROUND(+IF(K139=0,Q139*D139,0),4)</f>
        <v>0</v>
      </c>
      <c r="U139" s="67">
        <f>ROUND(+N139+R139+S139+T139,4)</f>
        <v>0</v>
      </c>
      <c r="V139" s="67">
        <f>ROUND(IF(P139=0,0,I139-H139-O139)+IF(L139=0,0,I139-H139-K139),4)</f>
        <v>0</v>
      </c>
      <c r="W139" s="67">
        <f>ROUND(+(V139*60%)*D139,4)</f>
        <v>0</v>
      </c>
      <c r="X139" s="148">
        <f>ROUND(+U139+W139,4)</f>
        <v>0</v>
      </c>
      <c r="Y139" s="68"/>
      <c r="Z139" s="148">
        <f>ROUND(IF(X139&gt;I139,X139,I139),4)</f>
        <v>0</v>
      </c>
      <c r="AD139" s="78">
        <f t="shared" si="8"/>
        <v>0</v>
      </c>
      <c r="AE139" s="78">
        <f t="shared" si="9"/>
        <v>0</v>
      </c>
    </row>
    <row r="140" spans="1:31" x14ac:dyDescent="0.2">
      <c r="A140" s="66"/>
      <c r="B140" s="66"/>
      <c r="C140" s="66"/>
      <c r="D140" s="144"/>
      <c r="E140" s="67"/>
      <c r="F140" s="67"/>
      <c r="G140" s="67"/>
      <c r="H140" s="67">
        <f>ROUND(+E140+G140,4)</f>
        <v>0</v>
      </c>
      <c r="I140" s="67"/>
      <c r="J140" s="67">
        <f>ROUND(+I140-H140,4)</f>
        <v>0</v>
      </c>
      <c r="K140" s="67">
        <f>ROUND(IF(F140="alluminio",0,I140*1.5%),4)</f>
        <v>0</v>
      </c>
      <c r="L140" s="67">
        <f>ROUND(IF(K140&lt;J140,K140,0),4)</f>
        <v>0</v>
      </c>
      <c r="M140" s="67">
        <f>ROUND(IF(J140&gt;K140,0,J140),4)</f>
        <v>0</v>
      </c>
      <c r="N140" s="67">
        <f>ROUND(+L140*D140,4)</f>
        <v>0</v>
      </c>
      <c r="O140" s="67">
        <f>ROUND(IF(F140="rame",0,+I140*3%),4)</f>
        <v>0</v>
      </c>
      <c r="P140" s="67">
        <f>ROUND(IF(O140&lt;J140,O140,0),4)</f>
        <v>0</v>
      </c>
      <c r="Q140" s="67">
        <f>ROUND(IF(J140&gt;O140,0,J140),4)</f>
        <v>0</v>
      </c>
      <c r="R140" s="67">
        <f>ROUND(+P140*D140,4)</f>
        <v>0</v>
      </c>
      <c r="S140" s="67">
        <f>ROUND(IF(K140=0,0,M140*D140),4)</f>
        <v>0</v>
      </c>
      <c r="T140" s="67">
        <f>ROUND(+IF(K140=0,Q140*D140,0),4)</f>
        <v>0</v>
      </c>
      <c r="U140" s="67">
        <f>ROUND(+N140+R140+S140+T140,4)</f>
        <v>0</v>
      </c>
      <c r="V140" s="67">
        <f>ROUND(IF(P140=0,0,I140-H140-O140)+IF(L140=0,0,I140-H140-K140),4)</f>
        <v>0</v>
      </c>
      <c r="W140" s="67">
        <f>ROUND(+(V140*60%)*D140,4)</f>
        <v>0</v>
      </c>
      <c r="X140" s="148">
        <f>ROUND(+U140+W140,4)</f>
        <v>0</v>
      </c>
      <c r="Y140" s="68"/>
      <c r="Z140" s="148">
        <f>ROUND(IF(X140&gt;I140,X140,I140),4)</f>
        <v>0</v>
      </c>
      <c r="AD140" s="78">
        <f t="shared" si="8"/>
        <v>0</v>
      </c>
      <c r="AE140" s="78">
        <f t="shared" si="9"/>
        <v>0</v>
      </c>
    </row>
    <row r="141" spans="1:31" x14ac:dyDescent="0.2">
      <c r="A141" s="66"/>
      <c r="B141" s="66"/>
      <c r="C141" s="66"/>
      <c r="D141" s="144"/>
      <c r="E141" s="67"/>
      <c r="F141" s="67"/>
      <c r="G141" s="67"/>
      <c r="H141" s="67">
        <f>ROUND(+E141+G141,4)</f>
        <v>0</v>
      </c>
      <c r="I141" s="67"/>
      <c r="J141" s="67">
        <f>ROUND(+I141-H141,4)</f>
        <v>0</v>
      </c>
      <c r="K141" s="67">
        <f>ROUND(IF(F141="alluminio",0,I141*1.5%),4)</f>
        <v>0</v>
      </c>
      <c r="L141" s="67">
        <f>ROUND(IF(K141&lt;J141,K141,0),4)</f>
        <v>0</v>
      </c>
      <c r="M141" s="67">
        <f>ROUND(IF(J141&gt;K141,0,J141),4)</f>
        <v>0</v>
      </c>
      <c r="N141" s="67">
        <f>ROUND(+L141*D141,4)</f>
        <v>0</v>
      </c>
      <c r="O141" s="67">
        <f>ROUND(IF(F141="rame",0,+I141*3%),4)</f>
        <v>0</v>
      </c>
      <c r="P141" s="67">
        <f>ROUND(IF(O141&lt;J141,O141,0),4)</f>
        <v>0</v>
      </c>
      <c r="Q141" s="67">
        <f>ROUND(IF(J141&gt;O141,0,J141),4)</f>
        <v>0</v>
      </c>
      <c r="R141" s="67">
        <f>ROUND(+P141*D141,4)</f>
        <v>0</v>
      </c>
      <c r="S141" s="67">
        <f>ROUND(IF(K141=0,0,M141*D141),4)</f>
        <v>0</v>
      </c>
      <c r="T141" s="67">
        <f>ROUND(+IF(K141=0,Q141*D141,0),4)</f>
        <v>0</v>
      </c>
      <c r="U141" s="67">
        <f>ROUND(+N141+R141+S141+T141,4)</f>
        <v>0</v>
      </c>
      <c r="V141" s="67">
        <f>ROUND(IF(P141=0,0,I141-H141-O141)+IF(L141=0,0,I141-H141-K141),4)</f>
        <v>0</v>
      </c>
      <c r="W141" s="67">
        <f>ROUND(+(V141*60%)*D141,4)</f>
        <v>0</v>
      </c>
      <c r="X141" s="148">
        <f>ROUND(+U141+W141,4)</f>
        <v>0</v>
      </c>
      <c r="Y141" s="68"/>
      <c r="Z141" s="148">
        <f>ROUND(IF(X141&gt;I141,X141,I141),4)</f>
        <v>0</v>
      </c>
      <c r="AD141" s="78">
        <f t="shared" si="8"/>
        <v>0</v>
      </c>
      <c r="AE141" s="78">
        <f t="shared" si="9"/>
        <v>0</v>
      </c>
    </row>
    <row r="142" spans="1:31" x14ac:dyDescent="0.2">
      <c r="A142" s="66"/>
      <c r="B142" s="66"/>
      <c r="C142" s="66"/>
      <c r="D142" s="144"/>
      <c r="E142" s="67"/>
      <c r="F142" s="67"/>
      <c r="G142" s="67"/>
      <c r="H142" s="67">
        <f>ROUND(+E142+G142,4)</f>
        <v>0</v>
      </c>
      <c r="I142" s="67"/>
      <c r="J142" s="67">
        <f>ROUND(+I142-H142,4)</f>
        <v>0</v>
      </c>
      <c r="K142" s="67">
        <f>ROUND(IF(F142="alluminio",0,I142*1.5%),4)</f>
        <v>0</v>
      </c>
      <c r="L142" s="67">
        <f>ROUND(IF(K142&lt;J142,K142,0),4)</f>
        <v>0</v>
      </c>
      <c r="M142" s="67">
        <f>ROUND(IF(J142&gt;K142,0,J142),4)</f>
        <v>0</v>
      </c>
      <c r="N142" s="67">
        <f>ROUND(+L142*D142,4)</f>
        <v>0</v>
      </c>
      <c r="O142" s="67">
        <f>ROUND(IF(F142="rame",0,+I142*3%),4)</f>
        <v>0</v>
      </c>
      <c r="P142" s="67">
        <f>ROUND(IF(O142&lt;J142,O142,0),4)</f>
        <v>0</v>
      </c>
      <c r="Q142" s="67">
        <f>ROUND(IF(J142&gt;O142,0,J142),4)</f>
        <v>0</v>
      </c>
      <c r="R142" s="67">
        <f>ROUND(+P142*D142,4)</f>
        <v>0</v>
      </c>
      <c r="S142" s="67">
        <f>ROUND(IF(K142=0,0,M142*D142),4)</f>
        <v>0</v>
      </c>
      <c r="T142" s="67">
        <f>ROUND(+IF(K142=0,Q142*D142,0),4)</f>
        <v>0</v>
      </c>
      <c r="U142" s="67">
        <f>ROUND(+N142+R142+S142+T142,4)</f>
        <v>0</v>
      </c>
      <c r="V142" s="67">
        <f>ROUND(IF(P142=0,0,I142-H142-O142)+IF(L142=0,0,I142-H142-K142),4)</f>
        <v>0</v>
      </c>
      <c r="W142" s="67">
        <f>ROUND(+(V142*60%)*D142,4)</f>
        <v>0</v>
      </c>
      <c r="X142" s="148">
        <f>ROUND(+U142+W142,4)</f>
        <v>0</v>
      </c>
      <c r="Y142" s="68"/>
      <c r="Z142" s="148">
        <f>ROUND(IF(X142&gt;I142,X142,I142),4)</f>
        <v>0</v>
      </c>
      <c r="AD142" s="78">
        <f t="shared" si="8"/>
        <v>0</v>
      </c>
      <c r="AE142" s="78">
        <f t="shared" si="9"/>
        <v>0</v>
      </c>
    </row>
    <row r="143" spans="1:31" x14ac:dyDescent="0.2">
      <c r="A143" s="66"/>
      <c r="B143" s="66"/>
      <c r="C143" s="66"/>
      <c r="D143" s="144"/>
      <c r="E143" s="67"/>
      <c r="F143" s="67"/>
      <c r="G143" s="67"/>
      <c r="H143" s="67">
        <f>ROUND(+E143+G143,4)</f>
        <v>0</v>
      </c>
      <c r="I143" s="67"/>
      <c r="J143" s="67">
        <f>ROUND(+I143-H143,4)</f>
        <v>0</v>
      </c>
      <c r="K143" s="67">
        <f>ROUND(IF(F143="alluminio",0,I143*1.5%),4)</f>
        <v>0</v>
      </c>
      <c r="L143" s="67">
        <f>ROUND(IF(K143&lt;J143,K143,0),4)</f>
        <v>0</v>
      </c>
      <c r="M143" s="67">
        <f>ROUND(IF(J143&gt;K143,0,J143),4)</f>
        <v>0</v>
      </c>
      <c r="N143" s="67">
        <f>ROUND(+L143*D143,4)</f>
        <v>0</v>
      </c>
      <c r="O143" s="67">
        <f>ROUND(IF(F143="rame",0,+I143*3%),4)</f>
        <v>0</v>
      </c>
      <c r="P143" s="67">
        <f>ROUND(IF(O143&lt;J143,O143,0),4)</f>
        <v>0</v>
      </c>
      <c r="Q143" s="67">
        <f>ROUND(IF(J143&gt;O143,0,J143),4)</f>
        <v>0</v>
      </c>
      <c r="R143" s="67">
        <f>ROUND(+P143*D143,4)</f>
        <v>0</v>
      </c>
      <c r="S143" s="67">
        <f>ROUND(IF(K143=0,0,M143*D143),4)</f>
        <v>0</v>
      </c>
      <c r="T143" s="67">
        <f>ROUND(+IF(K143=0,Q143*D143,0),4)</f>
        <v>0</v>
      </c>
      <c r="U143" s="67">
        <f>ROUND(+N143+R143+S143+T143,4)</f>
        <v>0</v>
      </c>
      <c r="V143" s="67">
        <f>ROUND(IF(P143=0,0,I143-H143-O143)+IF(L143=0,0,I143-H143-K143),4)</f>
        <v>0</v>
      </c>
      <c r="W143" s="67">
        <f>ROUND(+(V143*60%)*D143,4)</f>
        <v>0</v>
      </c>
      <c r="X143" s="148">
        <f>ROUND(+U143+W143,4)</f>
        <v>0</v>
      </c>
      <c r="Y143" s="68"/>
      <c r="Z143" s="148">
        <f>ROUND(IF(X143&gt;I143,X143,I143),4)</f>
        <v>0</v>
      </c>
      <c r="AD143" s="78">
        <f t="shared" si="8"/>
        <v>0</v>
      </c>
      <c r="AE143" s="78">
        <f t="shared" si="9"/>
        <v>0</v>
      </c>
    </row>
    <row r="144" spans="1:31" x14ac:dyDescent="0.2">
      <c r="A144" s="66"/>
      <c r="B144" s="66"/>
      <c r="C144" s="66"/>
      <c r="D144" s="144"/>
      <c r="E144" s="67"/>
      <c r="F144" s="67"/>
      <c r="G144" s="67"/>
      <c r="H144" s="67">
        <f>ROUND(+E144+G144,4)</f>
        <v>0</v>
      </c>
      <c r="I144" s="67"/>
      <c r="J144" s="67">
        <f>ROUND(+I144-H144,4)</f>
        <v>0</v>
      </c>
      <c r="K144" s="67">
        <f>ROUND(IF(F144="alluminio",0,I144*1.5%),4)</f>
        <v>0</v>
      </c>
      <c r="L144" s="67">
        <f>ROUND(IF(K144&lt;J144,K144,0),4)</f>
        <v>0</v>
      </c>
      <c r="M144" s="67">
        <f>ROUND(IF(J144&gt;K144,0,J144),4)</f>
        <v>0</v>
      </c>
      <c r="N144" s="67">
        <f>ROUND(+L144*D144,4)</f>
        <v>0</v>
      </c>
      <c r="O144" s="67">
        <f>ROUND(IF(F144="rame",0,+I144*3%),4)</f>
        <v>0</v>
      </c>
      <c r="P144" s="67">
        <f>ROUND(IF(O144&lt;J144,O144,0),4)</f>
        <v>0</v>
      </c>
      <c r="Q144" s="67">
        <f>ROUND(IF(J144&gt;O144,0,J144),4)</f>
        <v>0</v>
      </c>
      <c r="R144" s="67">
        <f>ROUND(+P144*D144,4)</f>
        <v>0</v>
      </c>
      <c r="S144" s="67">
        <f>ROUND(IF(K144=0,0,M144*D144),4)</f>
        <v>0</v>
      </c>
      <c r="T144" s="67">
        <f>ROUND(+IF(K144=0,Q144*D144,0),4)</f>
        <v>0</v>
      </c>
      <c r="U144" s="67">
        <f>ROUND(+N144+R144+S144+T144,4)</f>
        <v>0</v>
      </c>
      <c r="V144" s="67">
        <f>ROUND(IF(P144=0,0,I144-H144-O144)+IF(L144=0,0,I144-H144-K144),4)</f>
        <v>0</v>
      </c>
      <c r="W144" s="67">
        <f>ROUND(+(V144*60%)*D144,4)</f>
        <v>0</v>
      </c>
      <c r="X144" s="148">
        <f>ROUND(+U144+W144,4)</f>
        <v>0</v>
      </c>
      <c r="Y144" s="68"/>
      <c r="Z144" s="148">
        <f>ROUND(IF(X144&gt;I144,X144,I144),4)</f>
        <v>0</v>
      </c>
      <c r="AD144" s="78">
        <f t="shared" si="8"/>
        <v>0</v>
      </c>
      <c r="AE144" s="78">
        <f t="shared" si="9"/>
        <v>0</v>
      </c>
    </row>
    <row r="145" spans="1:31" x14ac:dyDescent="0.2">
      <c r="A145" s="66"/>
      <c r="B145" s="66"/>
      <c r="C145" s="66"/>
      <c r="D145" s="144"/>
      <c r="E145" s="67"/>
      <c r="F145" s="67"/>
      <c r="G145" s="67"/>
      <c r="H145" s="67">
        <f>ROUND(+E145+G145,4)</f>
        <v>0</v>
      </c>
      <c r="I145" s="67"/>
      <c r="J145" s="67">
        <f>ROUND(+I145-H145,4)</f>
        <v>0</v>
      </c>
      <c r="K145" s="67">
        <f>ROUND(IF(F145="alluminio",0,I145*1.5%),4)</f>
        <v>0</v>
      </c>
      <c r="L145" s="67">
        <f>ROUND(IF(K145&lt;J145,K145,0),4)</f>
        <v>0</v>
      </c>
      <c r="M145" s="67">
        <f>ROUND(IF(J145&gt;K145,0,J145),4)</f>
        <v>0</v>
      </c>
      <c r="N145" s="67">
        <f>ROUND(+L145*D145,4)</f>
        <v>0</v>
      </c>
      <c r="O145" s="67">
        <f>ROUND(IF(F145="rame",0,+I145*3%),4)</f>
        <v>0</v>
      </c>
      <c r="P145" s="67">
        <f>ROUND(IF(O145&lt;J145,O145,0),4)</f>
        <v>0</v>
      </c>
      <c r="Q145" s="67">
        <f>ROUND(IF(J145&gt;O145,0,J145),4)</f>
        <v>0</v>
      </c>
      <c r="R145" s="67">
        <f>ROUND(+P145*D145,4)</f>
        <v>0</v>
      </c>
      <c r="S145" s="67">
        <f>ROUND(IF(K145=0,0,M145*D145),4)</f>
        <v>0</v>
      </c>
      <c r="T145" s="67">
        <f>ROUND(+IF(K145=0,Q145*D145,0),4)</f>
        <v>0</v>
      </c>
      <c r="U145" s="67">
        <f>ROUND(+N145+R145+S145+T145,4)</f>
        <v>0</v>
      </c>
      <c r="V145" s="67">
        <f>ROUND(IF(P145=0,0,I145-H145-O145)+IF(L145=0,0,I145-H145-K145),4)</f>
        <v>0</v>
      </c>
      <c r="W145" s="67">
        <f>ROUND(+(V145*60%)*D145,4)</f>
        <v>0</v>
      </c>
      <c r="X145" s="148">
        <f>ROUND(+U145+W145,4)</f>
        <v>0</v>
      </c>
      <c r="Y145" s="68"/>
      <c r="Z145" s="148">
        <f>ROUND(IF(X145&gt;I145,X145,I145),4)</f>
        <v>0</v>
      </c>
      <c r="AD145" s="78">
        <f t="shared" si="8"/>
        <v>0</v>
      </c>
      <c r="AE145" s="78">
        <f t="shared" si="9"/>
        <v>0</v>
      </c>
    </row>
    <row r="146" spans="1:31" x14ac:dyDescent="0.2">
      <c r="A146" s="66"/>
      <c r="B146" s="66"/>
      <c r="C146" s="66"/>
      <c r="D146" s="144"/>
      <c r="E146" s="67"/>
      <c r="F146" s="67"/>
      <c r="G146" s="67"/>
      <c r="H146" s="67">
        <f>ROUND(+E146+G146,4)</f>
        <v>0</v>
      </c>
      <c r="I146" s="67"/>
      <c r="J146" s="67">
        <f>ROUND(+I146-H146,4)</f>
        <v>0</v>
      </c>
      <c r="K146" s="67">
        <f>ROUND(IF(F146="alluminio",0,I146*1.5%),4)</f>
        <v>0</v>
      </c>
      <c r="L146" s="67">
        <f>ROUND(IF(K146&lt;J146,K146,0),4)</f>
        <v>0</v>
      </c>
      <c r="M146" s="67">
        <f>ROUND(IF(J146&gt;K146,0,J146),4)</f>
        <v>0</v>
      </c>
      <c r="N146" s="67">
        <f>ROUND(+L146*D146,4)</f>
        <v>0</v>
      </c>
      <c r="O146" s="67">
        <f>ROUND(IF(F146="rame",0,+I146*3%),4)</f>
        <v>0</v>
      </c>
      <c r="P146" s="67">
        <f>ROUND(IF(O146&lt;J146,O146,0),4)</f>
        <v>0</v>
      </c>
      <c r="Q146" s="67">
        <f>ROUND(IF(J146&gt;O146,0,J146),4)</f>
        <v>0</v>
      </c>
      <c r="R146" s="67">
        <f>ROUND(+P146*D146,4)</f>
        <v>0</v>
      </c>
      <c r="S146" s="67">
        <f>ROUND(IF(K146=0,0,M146*D146),4)</f>
        <v>0</v>
      </c>
      <c r="T146" s="67">
        <f>ROUND(+IF(K146=0,Q146*D146,0),4)</f>
        <v>0</v>
      </c>
      <c r="U146" s="67">
        <f>ROUND(+N146+R146+S146+T146,4)</f>
        <v>0</v>
      </c>
      <c r="V146" s="67">
        <f>ROUND(IF(P146=0,0,I146-H146-O146)+IF(L146=0,0,I146-H146-K146),4)</f>
        <v>0</v>
      </c>
      <c r="W146" s="67">
        <f>ROUND(+(V146*60%)*D146,4)</f>
        <v>0</v>
      </c>
      <c r="X146" s="148">
        <f>ROUND(+U146+W146,4)</f>
        <v>0</v>
      </c>
      <c r="Y146" s="68"/>
      <c r="Z146" s="148">
        <f>ROUND(IF(X146&gt;I146,X146,I146),4)</f>
        <v>0</v>
      </c>
      <c r="AD146" s="78">
        <f t="shared" si="8"/>
        <v>0</v>
      </c>
      <c r="AE146" s="78">
        <f t="shared" si="9"/>
        <v>0</v>
      </c>
    </row>
    <row r="147" spans="1:31" x14ac:dyDescent="0.2">
      <c r="A147" s="66"/>
      <c r="B147" s="66"/>
      <c r="C147" s="66"/>
      <c r="D147" s="144"/>
      <c r="E147" s="67"/>
      <c r="F147" s="67"/>
      <c r="G147" s="67"/>
      <c r="H147" s="67">
        <f>ROUND(+E147+G147,4)</f>
        <v>0</v>
      </c>
      <c r="I147" s="67"/>
      <c r="J147" s="67">
        <f>ROUND(+I147-H147,4)</f>
        <v>0</v>
      </c>
      <c r="K147" s="67">
        <f>ROUND(IF(F147="alluminio",0,I147*1.5%),4)</f>
        <v>0</v>
      </c>
      <c r="L147" s="67">
        <f>ROUND(IF(K147&lt;J147,K147,0),4)</f>
        <v>0</v>
      </c>
      <c r="M147" s="67">
        <f>ROUND(IF(J147&gt;K147,0,J147),4)</f>
        <v>0</v>
      </c>
      <c r="N147" s="67">
        <f>ROUND(+L147*D147,4)</f>
        <v>0</v>
      </c>
      <c r="O147" s="67">
        <f>ROUND(IF(F147="rame",0,+I147*3%),4)</f>
        <v>0</v>
      </c>
      <c r="P147" s="67">
        <f>ROUND(IF(O147&lt;J147,O147,0),4)</f>
        <v>0</v>
      </c>
      <c r="Q147" s="67">
        <f>ROUND(IF(J147&gt;O147,0,J147),4)</f>
        <v>0</v>
      </c>
      <c r="R147" s="67">
        <f>ROUND(+P147*D147,4)</f>
        <v>0</v>
      </c>
      <c r="S147" s="67">
        <f>ROUND(IF(K147=0,0,M147*D147),4)</f>
        <v>0</v>
      </c>
      <c r="T147" s="67">
        <f>ROUND(+IF(K147=0,Q147*D147,0),4)</f>
        <v>0</v>
      </c>
      <c r="U147" s="67">
        <f>ROUND(+N147+R147+S147+T147,4)</f>
        <v>0</v>
      </c>
      <c r="V147" s="67">
        <f>ROUND(IF(P147=0,0,I147-H147-O147)+IF(L147=0,0,I147-H147-K147),4)</f>
        <v>0</v>
      </c>
      <c r="W147" s="67">
        <f>ROUND(+(V147*60%)*D147,4)</f>
        <v>0</v>
      </c>
      <c r="X147" s="148">
        <f>ROUND(+U147+W147,4)</f>
        <v>0</v>
      </c>
      <c r="Y147" s="68"/>
      <c r="Z147" s="148">
        <f>ROUND(IF(X147&gt;I147,X147,I147),4)</f>
        <v>0</v>
      </c>
      <c r="AD147" s="78">
        <f t="shared" si="8"/>
        <v>0</v>
      </c>
      <c r="AE147" s="78">
        <f t="shared" si="9"/>
        <v>0</v>
      </c>
    </row>
    <row r="148" spans="1:31" x14ac:dyDescent="0.2">
      <c r="A148" s="66"/>
      <c r="B148" s="66"/>
      <c r="C148" s="66"/>
      <c r="D148" s="144"/>
      <c r="E148" s="67"/>
      <c r="F148" s="67"/>
      <c r="G148" s="67"/>
      <c r="H148" s="67">
        <f>ROUND(+E148+G148,4)</f>
        <v>0</v>
      </c>
      <c r="I148" s="67"/>
      <c r="J148" s="67">
        <f>ROUND(+I148-H148,4)</f>
        <v>0</v>
      </c>
      <c r="K148" s="67">
        <f>ROUND(IF(F148="alluminio",0,I148*1.5%),4)</f>
        <v>0</v>
      </c>
      <c r="L148" s="67">
        <f>ROUND(IF(K148&lt;J148,K148,0),4)</f>
        <v>0</v>
      </c>
      <c r="M148" s="67">
        <f>ROUND(IF(J148&gt;K148,0,J148),4)</f>
        <v>0</v>
      </c>
      <c r="N148" s="67">
        <f>ROUND(+L148*D148,4)</f>
        <v>0</v>
      </c>
      <c r="O148" s="67">
        <f>ROUND(IF(F148="rame",0,+I148*3%),4)</f>
        <v>0</v>
      </c>
      <c r="P148" s="67">
        <f>ROUND(IF(O148&lt;J148,O148,0),4)</f>
        <v>0</v>
      </c>
      <c r="Q148" s="67">
        <f>ROUND(IF(J148&gt;O148,0,J148),4)</f>
        <v>0</v>
      </c>
      <c r="R148" s="67">
        <f>ROUND(+P148*D148,4)</f>
        <v>0</v>
      </c>
      <c r="S148" s="67">
        <f>ROUND(IF(K148=0,0,M148*D148),4)</f>
        <v>0</v>
      </c>
      <c r="T148" s="67">
        <f>ROUND(+IF(K148=0,Q148*D148,0),4)</f>
        <v>0</v>
      </c>
      <c r="U148" s="67">
        <f>ROUND(+N148+R148+S148+T148,4)</f>
        <v>0</v>
      </c>
      <c r="V148" s="67">
        <f>ROUND(IF(P148=0,0,I148-H148-O148)+IF(L148=0,0,I148-H148-K148),4)</f>
        <v>0</v>
      </c>
      <c r="W148" s="67">
        <f>ROUND(+(V148*60%)*D148,4)</f>
        <v>0</v>
      </c>
      <c r="X148" s="148">
        <f>ROUND(+U148+W148,4)</f>
        <v>0</v>
      </c>
      <c r="Y148" s="68"/>
      <c r="Z148" s="148">
        <f>ROUND(IF(X148&gt;I148,X148,I148),4)</f>
        <v>0</v>
      </c>
      <c r="AD148" s="78">
        <f t="shared" si="8"/>
        <v>0</v>
      </c>
      <c r="AE148" s="78">
        <f t="shared" si="9"/>
        <v>0</v>
      </c>
    </row>
    <row r="149" spans="1:31" x14ac:dyDescent="0.2">
      <c r="A149" s="66"/>
      <c r="B149" s="66"/>
      <c r="C149" s="66"/>
      <c r="D149" s="144"/>
      <c r="E149" s="67"/>
      <c r="F149" s="67"/>
      <c r="G149" s="67"/>
      <c r="H149" s="67">
        <f>ROUND(+E149+G149,4)</f>
        <v>0</v>
      </c>
      <c r="I149" s="67"/>
      <c r="J149" s="67">
        <f>ROUND(+I149-H149,4)</f>
        <v>0</v>
      </c>
      <c r="K149" s="67">
        <f>ROUND(IF(F149="alluminio",0,I149*1.5%),4)</f>
        <v>0</v>
      </c>
      <c r="L149" s="67">
        <f>ROUND(IF(K149&lt;J149,K149,0),4)</f>
        <v>0</v>
      </c>
      <c r="M149" s="67">
        <f>ROUND(IF(J149&gt;K149,0,J149),4)</f>
        <v>0</v>
      </c>
      <c r="N149" s="67">
        <f>ROUND(+L149*D149,4)</f>
        <v>0</v>
      </c>
      <c r="O149" s="67">
        <f>ROUND(IF(F149="rame",0,+I149*3%),4)</f>
        <v>0</v>
      </c>
      <c r="P149" s="67">
        <f>ROUND(IF(O149&lt;J149,O149,0),4)</f>
        <v>0</v>
      </c>
      <c r="Q149" s="67">
        <f>ROUND(IF(J149&gt;O149,0,J149),4)</f>
        <v>0</v>
      </c>
      <c r="R149" s="67">
        <f>ROUND(+P149*D149,4)</f>
        <v>0</v>
      </c>
      <c r="S149" s="67">
        <f>ROUND(IF(K149=0,0,M149*D149),4)</f>
        <v>0</v>
      </c>
      <c r="T149" s="67">
        <f>ROUND(+IF(K149=0,Q149*D149,0),4)</f>
        <v>0</v>
      </c>
      <c r="U149" s="67">
        <f>ROUND(+N149+R149+S149+T149,4)</f>
        <v>0</v>
      </c>
      <c r="V149" s="67">
        <f>ROUND(IF(P149=0,0,I149-H149-O149)+IF(L149=0,0,I149-H149-K149),4)</f>
        <v>0</v>
      </c>
      <c r="W149" s="67">
        <f>ROUND(+(V149*60%)*D149,4)</f>
        <v>0</v>
      </c>
      <c r="X149" s="148">
        <f>ROUND(+U149+W149,4)</f>
        <v>0</v>
      </c>
      <c r="Y149" s="68"/>
      <c r="Z149" s="148">
        <f>ROUND(IF(X149&gt;I149,X149,I149),4)</f>
        <v>0</v>
      </c>
      <c r="AD149" s="78">
        <f t="shared" si="8"/>
        <v>0</v>
      </c>
      <c r="AE149" s="78">
        <f t="shared" si="9"/>
        <v>0</v>
      </c>
    </row>
    <row r="150" spans="1:31" x14ac:dyDescent="0.2">
      <c r="A150" s="66"/>
      <c r="B150" s="66"/>
      <c r="C150" s="66"/>
      <c r="D150" s="144"/>
      <c r="E150" s="67"/>
      <c r="F150" s="67"/>
      <c r="G150" s="67"/>
      <c r="H150" s="67">
        <f>ROUND(+E150+G150,4)</f>
        <v>0</v>
      </c>
      <c r="I150" s="67"/>
      <c r="J150" s="67">
        <f>ROUND(+I150-H150,4)</f>
        <v>0</v>
      </c>
      <c r="K150" s="67">
        <f>ROUND(IF(F150="alluminio",0,I150*1.5%),4)</f>
        <v>0</v>
      </c>
      <c r="L150" s="67">
        <f>ROUND(IF(K150&lt;J150,K150,0),4)</f>
        <v>0</v>
      </c>
      <c r="M150" s="67">
        <f>ROUND(IF(J150&gt;K150,0,J150),4)</f>
        <v>0</v>
      </c>
      <c r="N150" s="67">
        <f>ROUND(+L150*D150,4)</f>
        <v>0</v>
      </c>
      <c r="O150" s="67">
        <f>ROUND(IF(F150="rame",0,+I150*3%),4)</f>
        <v>0</v>
      </c>
      <c r="P150" s="67">
        <f>ROUND(IF(O150&lt;J150,O150,0),4)</f>
        <v>0</v>
      </c>
      <c r="Q150" s="67">
        <f>ROUND(IF(J150&gt;O150,0,J150),4)</f>
        <v>0</v>
      </c>
      <c r="R150" s="67">
        <f>ROUND(+P150*D150,4)</f>
        <v>0</v>
      </c>
      <c r="S150" s="67">
        <f>ROUND(IF(K150=0,0,M150*D150),4)</f>
        <v>0</v>
      </c>
      <c r="T150" s="67">
        <f>ROUND(+IF(K150=0,Q150*D150,0),4)</f>
        <v>0</v>
      </c>
      <c r="U150" s="67">
        <f>ROUND(+N150+R150+S150+T150,4)</f>
        <v>0</v>
      </c>
      <c r="V150" s="67">
        <f>ROUND(IF(P150=0,0,I150-H150-O150)+IF(L150=0,0,I150-H150-K150),4)</f>
        <v>0</v>
      </c>
      <c r="W150" s="67">
        <f>ROUND(+(V150*60%)*D150,4)</f>
        <v>0</v>
      </c>
      <c r="X150" s="148">
        <f>ROUND(+U150+W150,4)</f>
        <v>0</v>
      </c>
      <c r="Y150" s="68"/>
      <c r="Z150" s="148">
        <f>ROUND(IF(X150&gt;I150,X150,I150),4)</f>
        <v>0</v>
      </c>
      <c r="AD150" s="78">
        <f t="shared" si="8"/>
        <v>0</v>
      </c>
      <c r="AE150" s="78">
        <f t="shared" si="9"/>
        <v>0</v>
      </c>
    </row>
    <row r="151" spans="1:31" x14ac:dyDescent="0.2">
      <c r="A151" s="66"/>
      <c r="B151" s="66"/>
      <c r="C151" s="66"/>
      <c r="D151" s="144"/>
      <c r="E151" s="67"/>
      <c r="F151" s="67"/>
      <c r="G151" s="67"/>
      <c r="H151" s="67">
        <f>ROUND(+E151+G151,4)</f>
        <v>0</v>
      </c>
      <c r="I151" s="67"/>
      <c r="J151" s="67">
        <f>ROUND(+I151-H151,4)</f>
        <v>0</v>
      </c>
      <c r="K151" s="67">
        <f>ROUND(IF(F151="alluminio",0,I151*1.5%),4)</f>
        <v>0</v>
      </c>
      <c r="L151" s="67">
        <f>ROUND(IF(K151&lt;J151,K151,0),4)</f>
        <v>0</v>
      </c>
      <c r="M151" s="67">
        <f>ROUND(IF(J151&gt;K151,0,J151),4)</f>
        <v>0</v>
      </c>
      <c r="N151" s="67">
        <f>ROUND(+L151*D151,4)</f>
        <v>0</v>
      </c>
      <c r="O151" s="67">
        <f>ROUND(IF(F151="rame",0,+I151*3%),4)</f>
        <v>0</v>
      </c>
      <c r="P151" s="67">
        <f>ROUND(IF(O151&lt;J151,O151,0),4)</f>
        <v>0</v>
      </c>
      <c r="Q151" s="67">
        <f>ROUND(IF(J151&gt;O151,0,J151),4)</f>
        <v>0</v>
      </c>
      <c r="R151" s="67">
        <f>ROUND(+P151*D151,4)</f>
        <v>0</v>
      </c>
      <c r="S151" s="67">
        <f>ROUND(IF(K151=0,0,M151*D151),4)</f>
        <v>0</v>
      </c>
      <c r="T151" s="67">
        <f>ROUND(+IF(K151=0,Q151*D151,0),4)</f>
        <v>0</v>
      </c>
      <c r="U151" s="67">
        <f>ROUND(+N151+R151+S151+T151,4)</f>
        <v>0</v>
      </c>
      <c r="V151" s="67">
        <f>ROUND(IF(P151=0,0,I151-H151-O151)+IF(L151=0,0,I151-H151-K151),4)</f>
        <v>0</v>
      </c>
      <c r="W151" s="67">
        <f>ROUND(+(V151*60%)*D151,4)</f>
        <v>0</v>
      </c>
      <c r="X151" s="148">
        <f>ROUND(+U151+W151,4)</f>
        <v>0</v>
      </c>
      <c r="Y151" s="68"/>
      <c r="Z151" s="148">
        <f>ROUND(IF(X151&gt;I151,X151,I151),4)</f>
        <v>0</v>
      </c>
      <c r="AD151" s="78">
        <f t="shared" si="8"/>
        <v>0</v>
      </c>
      <c r="AE151" s="78">
        <f t="shared" si="9"/>
        <v>0</v>
      </c>
    </row>
    <row r="152" spans="1:31" x14ac:dyDescent="0.2">
      <c r="A152" s="66"/>
      <c r="B152" s="66"/>
      <c r="C152" s="66"/>
      <c r="D152" s="144"/>
      <c r="E152" s="67"/>
      <c r="F152" s="67"/>
      <c r="G152" s="67"/>
      <c r="H152" s="67">
        <f>ROUND(+E152+G152,4)</f>
        <v>0</v>
      </c>
      <c r="I152" s="67"/>
      <c r="J152" s="67">
        <f>ROUND(+I152-H152,4)</f>
        <v>0</v>
      </c>
      <c r="K152" s="67">
        <f>ROUND(IF(F152="alluminio",0,I152*1.5%),4)</f>
        <v>0</v>
      </c>
      <c r="L152" s="67">
        <f>ROUND(IF(K152&lt;J152,K152,0),4)</f>
        <v>0</v>
      </c>
      <c r="M152" s="67">
        <f>ROUND(IF(J152&gt;K152,0,J152),4)</f>
        <v>0</v>
      </c>
      <c r="N152" s="67">
        <f>ROUND(+L152*D152,4)</f>
        <v>0</v>
      </c>
      <c r="O152" s="67">
        <f>ROUND(IF(F152="rame",0,+I152*3%),4)</f>
        <v>0</v>
      </c>
      <c r="P152" s="67">
        <f>ROUND(IF(O152&lt;J152,O152,0),4)</f>
        <v>0</v>
      </c>
      <c r="Q152" s="67">
        <f>ROUND(IF(J152&gt;O152,0,J152),4)</f>
        <v>0</v>
      </c>
      <c r="R152" s="67">
        <f>ROUND(+P152*D152,4)</f>
        <v>0</v>
      </c>
      <c r="S152" s="67">
        <f>ROUND(IF(K152=0,0,M152*D152),4)</f>
        <v>0</v>
      </c>
      <c r="T152" s="67">
        <f>ROUND(+IF(K152=0,Q152*D152,0),4)</f>
        <v>0</v>
      </c>
      <c r="U152" s="67">
        <f>ROUND(+N152+R152+S152+T152,4)</f>
        <v>0</v>
      </c>
      <c r="V152" s="67">
        <f>ROUND(IF(P152=0,0,I152-H152-O152)+IF(L152=0,0,I152-H152-K152),4)</f>
        <v>0</v>
      </c>
      <c r="W152" s="67">
        <f>ROUND(+(V152*60%)*D152,4)</f>
        <v>0</v>
      </c>
      <c r="X152" s="148">
        <f>ROUND(+U152+W152,4)</f>
        <v>0</v>
      </c>
      <c r="Y152" s="68"/>
      <c r="Z152" s="148">
        <f>ROUND(IF(X152&gt;I152,X152,I152),4)</f>
        <v>0</v>
      </c>
      <c r="AD152" s="78">
        <f t="shared" si="8"/>
        <v>0</v>
      </c>
      <c r="AE152" s="78">
        <f t="shared" si="9"/>
        <v>0</v>
      </c>
    </row>
    <row r="153" spans="1:31" x14ac:dyDescent="0.2">
      <c r="A153" s="66"/>
      <c r="B153" s="66"/>
      <c r="C153" s="66"/>
      <c r="D153" s="144"/>
      <c r="E153" s="67"/>
      <c r="F153" s="67"/>
      <c r="G153" s="67"/>
      <c r="H153" s="67">
        <f>ROUND(+E153+G153,4)</f>
        <v>0</v>
      </c>
      <c r="I153" s="67"/>
      <c r="J153" s="67">
        <f>ROUND(+I153-H153,4)</f>
        <v>0</v>
      </c>
      <c r="K153" s="67">
        <f>ROUND(IF(F153="alluminio",0,I153*1.5%),4)</f>
        <v>0</v>
      </c>
      <c r="L153" s="67">
        <f>ROUND(IF(K153&lt;J153,K153,0),4)</f>
        <v>0</v>
      </c>
      <c r="M153" s="67">
        <f>ROUND(IF(J153&gt;K153,0,J153),4)</f>
        <v>0</v>
      </c>
      <c r="N153" s="67">
        <f>ROUND(+L153*D153,4)</f>
        <v>0</v>
      </c>
      <c r="O153" s="67">
        <f>ROUND(IF(F153="rame",0,+I153*3%),4)</f>
        <v>0</v>
      </c>
      <c r="P153" s="67">
        <f>ROUND(IF(O153&lt;J153,O153,0),4)</f>
        <v>0</v>
      </c>
      <c r="Q153" s="67">
        <f>ROUND(IF(J153&gt;O153,0,J153),4)</f>
        <v>0</v>
      </c>
      <c r="R153" s="67">
        <f>ROUND(+P153*D153,4)</f>
        <v>0</v>
      </c>
      <c r="S153" s="67">
        <f>ROUND(IF(K153=0,0,M153*D153),4)</f>
        <v>0</v>
      </c>
      <c r="T153" s="67">
        <f>ROUND(+IF(K153=0,Q153*D153,0),4)</f>
        <v>0</v>
      </c>
      <c r="U153" s="67">
        <f>ROUND(+N153+R153+S153+T153,4)</f>
        <v>0</v>
      </c>
      <c r="V153" s="67">
        <f>ROUND(IF(P153=0,0,I153-H153-O153)+IF(L153=0,0,I153-H153-K153),4)</f>
        <v>0</v>
      </c>
      <c r="W153" s="67">
        <f>ROUND(+(V153*60%)*D153,4)</f>
        <v>0</v>
      </c>
      <c r="X153" s="148">
        <f>ROUND(+U153+W153,4)</f>
        <v>0</v>
      </c>
      <c r="Y153" s="68"/>
      <c r="Z153" s="148">
        <f>ROUND(IF(X153&gt;I153,X153,I153),4)</f>
        <v>0</v>
      </c>
      <c r="AD153" s="78">
        <f t="shared" si="8"/>
        <v>0</v>
      </c>
      <c r="AE153" s="78">
        <f t="shared" si="9"/>
        <v>0</v>
      </c>
    </row>
    <row r="154" spans="1:31" x14ac:dyDescent="0.2">
      <c r="A154" s="66"/>
      <c r="B154" s="66"/>
      <c r="C154" s="66"/>
      <c r="D154" s="144"/>
      <c r="E154" s="67"/>
      <c r="F154" s="67"/>
      <c r="G154" s="67"/>
      <c r="H154" s="67">
        <f>ROUND(+E154+G154,4)</f>
        <v>0</v>
      </c>
      <c r="I154" s="67"/>
      <c r="J154" s="67">
        <f>ROUND(+I154-H154,4)</f>
        <v>0</v>
      </c>
      <c r="K154" s="67">
        <f>ROUND(IF(F154="alluminio",0,I154*1.5%),4)</f>
        <v>0</v>
      </c>
      <c r="L154" s="67">
        <f>ROUND(IF(K154&lt;J154,K154,0),4)</f>
        <v>0</v>
      </c>
      <c r="M154" s="67">
        <f>ROUND(IF(J154&gt;K154,0,J154),4)</f>
        <v>0</v>
      </c>
      <c r="N154" s="67">
        <f>ROUND(+L154*D154,4)</f>
        <v>0</v>
      </c>
      <c r="O154" s="67">
        <f>ROUND(IF(F154="rame",0,+I154*3%),4)</f>
        <v>0</v>
      </c>
      <c r="P154" s="67">
        <f>ROUND(IF(O154&lt;J154,O154,0),4)</f>
        <v>0</v>
      </c>
      <c r="Q154" s="67">
        <f>ROUND(IF(J154&gt;O154,0,J154),4)</f>
        <v>0</v>
      </c>
      <c r="R154" s="67">
        <f>ROUND(+P154*D154,4)</f>
        <v>0</v>
      </c>
      <c r="S154" s="67">
        <f>ROUND(IF(K154=0,0,M154*D154),4)</f>
        <v>0</v>
      </c>
      <c r="T154" s="67">
        <f>ROUND(+IF(K154=0,Q154*D154,0),4)</f>
        <v>0</v>
      </c>
      <c r="U154" s="67">
        <f>ROUND(+N154+R154+S154+T154,4)</f>
        <v>0</v>
      </c>
      <c r="V154" s="67">
        <f>ROUND(IF(P154=0,0,I154-H154-O154)+IF(L154=0,0,I154-H154-K154),4)</f>
        <v>0</v>
      </c>
      <c r="W154" s="67">
        <f>ROUND(+(V154*60%)*D154,4)</f>
        <v>0</v>
      </c>
      <c r="X154" s="148">
        <f>ROUND(+U154+W154,4)</f>
        <v>0</v>
      </c>
      <c r="Y154" s="68"/>
      <c r="Z154" s="148">
        <f>ROUND(IF(X154&gt;I154,X154,I154),4)</f>
        <v>0</v>
      </c>
      <c r="AD154" s="78">
        <f t="shared" si="8"/>
        <v>0</v>
      </c>
      <c r="AE154" s="78">
        <f t="shared" si="9"/>
        <v>0</v>
      </c>
    </row>
    <row r="155" spans="1:31" x14ac:dyDescent="0.2">
      <c r="A155" s="66"/>
      <c r="B155" s="66"/>
      <c r="C155" s="66"/>
      <c r="D155" s="144"/>
      <c r="E155" s="67"/>
      <c r="F155" s="67"/>
      <c r="G155" s="67"/>
      <c r="H155" s="67">
        <f>ROUND(+E155+G155,4)</f>
        <v>0</v>
      </c>
      <c r="I155" s="67"/>
      <c r="J155" s="67">
        <f>ROUND(+I155-H155,4)</f>
        <v>0</v>
      </c>
      <c r="K155" s="67">
        <f>ROUND(IF(F155="alluminio",0,I155*1.5%),4)</f>
        <v>0</v>
      </c>
      <c r="L155" s="67">
        <f>ROUND(IF(K155&lt;J155,K155,0),4)</f>
        <v>0</v>
      </c>
      <c r="M155" s="67">
        <f>ROUND(IF(J155&gt;K155,0,J155),4)</f>
        <v>0</v>
      </c>
      <c r="N155" s="67">
        <f>ROUND(+L155*D155,4)</f>
        <v>0</v>
      </c>
      <c r="O155" s="67">
        <f>ROUND(IF(F155="rame",0,+I155*3%),4)</f>
        <v>0</v>
      </c>
      <c r="P155" s="67">
        <f>ROUND(IF(O155&lt;J155,O155,0),4)</f>
        <v>0</v>
      </c>
      <c r="Q155" s="67">
        <f>ROUND(IF(J155&gt;O155,0,J155),4)</f>
        <v>0</v>
      </c>
      <c r="R155" s="67">
        <f>ROUND(+P155*D155,4)</f>
        <v>0</v>
      </c>
      <c r="S155" s="67">
        <f>ROUND(IF(K155=0,0,M155*D155),4)</f>
        <v>0</v>
      </c>
      <c r="T155" s="67">
        <f>ROUND(+IF(K155=0,Q155*D155,0),4)</f>
        <v>0</v>
      </c>
      <c r="U155" s="67">
        <f>ROUND(+N155+R155+S155+T155,4)</f>
        <v>0</v>
      </c>
      <c r="V155" s="67">
        <f>ROUND(IF(P155=0,0,I155-H155-O155)+IF(L155=0,0,I155-H155-K155),4)</f>
        <v>0</v>
      </c>
      <c r="W155" s="67">
        <f>ROUND(+(V155*60%)*D155,4)</f>
        <v>0</v>
      </c>
      <c r="X155" s="148">
        <f>ROUND(+U155+W155,4)</f>
        <v>0</v>
      </c>
      <c r="Y155" s="68"/>
      <c r="Z155" s="148">
        <f>ROUND(IF(X155&gt;I155,X155,I155),4)</f>
        <v>0</v>
      </c>
      <c r="AD155" s="78">
        <f t="shared" si="8"/>
        <v>0</v>
      </c>
      <c r="AE155" s="78">
        <f t="shared" si="9"/>
        <v>0</v>
      </c>
    </row>
    <row r="156" spans="1:31" x14ac:dyDescent="0.2">
      <c r="A156" s="66"/>
      <c r="B156" s="66"/>
      <c r="C156" s="66"/>
      <c r="D156" s="144"/>
      <c r="E156" s="67"/>
      <c r="F156" s="67"/>
      <c r="G156" s="67"/>
      <c r="H156" s="67">
        <f>ROUND(+E156+G156,4)</f>
        <v>0</v>
      </c>
      <c r="I156" s="67"/>
      <c r="J156" s="67">
        <f>ROUND(+I156-H156,4)</f>
        <v>0</v>
      </c>
      <c r="K156" s="67">
        <f>ROUND(IF(F156="alluminio",0,I156*1.5%),4)</f>
        <v>0</v>
      </c>
      <c r="L156" s="67">
        <f>ROUND(IF(K156&lt;J156,K156,0),4)</f>
        <v>0</v>
      </c>
      <c r="M156" s="67">
        <f>ROUND(IF(J156&gt;K156,0,J156),4)</f>
        <v>0</v>
      </c>
      <c r="N156" s="67">
        <f>ROUND(+L156*D156,4)</f>
        <v>0</v>
      </c>
      <c r="O156" s="67">
        <f>ROUND(IF(F156="rame",0,+I156*3%),4)</f>
        <v>0</v>
      </c>
      <c r="P156" s="67">
        <f>ROUND(IF(O156&lt;J156,O156,0),4)</f>
        <v>0</v>
      </c>
      <c r="Q156" s="67">
        <f>ROUND(IF(J156&gt;O156,0,J156),4)</f>
        <v>0</v>
      </c>
      <c r="R156" s="67">
        <f>ROUND(+P156*D156,4)</f>
        <v>0</v>
      </c>
      <c r="S156" s="67">
        <f>ROUND(IF(K156=0,0,M156*D156),4)</f>
        <v>0</v>
      </c>
      <c r="T156" s="67">
        <f>ROUND(+IF(K156=0,Q156*D156,0),4)</f>
        <v>0</v>
      </c>
      <c r="U156" s="67">
        <f>ROUND(+N156+R156+S156+T156,4)</f>
        <v>0</v>
      </c>
      <c r="V156" s="67">
        <f>ROUND(IF(P156=0,0,I156-H156-O156)+IF(L156=0,0,I156-H156-K156),4)</f>
        <v>0</v>
      </c>
      <c r="W156" s="67">
        <f>ROUND(+(V156*60%)*D156,4)</f>
        <v>0</v>
      </c>
      <c r="X156" s="148">
        <f>ROUND(+U156+W156,4)</f>
        <v>0</v>
      </c>
      <c r="Y156" s="68"/>
      <c r="Z156" s="148">
        <f>ROUND(IF(X156&gt;I156,X156,I156),4)</f>
        <v>0</v>
      </c>
      <c r="AD156" s="78">
        <f t="shared" si="8"/>
        <v>0</v>
      </c>
      <c r="AE156" s="78">
        <f t="shared" si="9"/>
        <v>0</v>
      </c>
    </row>
    <row r="157" spans="1:31" x14ac:dyDescent="0.2">
      <c r="A157" s="66"/>
      <c r="B157" s="66"/>
      <c r="C157" s="66"/>
      <c r="D157" s="144"/>
      <c r="E157" s="67"/>
      <c r="F157" s="67"/>
      <c r="G157" s="67"/>
      <c r="H157" s="67">
        <f>ROUND(+E157+G157,4)</f>
        <v>0</v>
      </c>
      <c r="I157" s="67"/>
      <c r="J157" s="67">
        <f>ROUND(+I157-H157,4)</f>
        <v>0</v>
      </c>
      <c r="K157" s="67">
        <f>ROUND(IF(F157="alluminio",0,I157*1.5%),4)</f>
        <v>0</v>
      </c>
      <c r="L157" s="67">
        <f>ROUND(IF(K157&lt;J157,K157,0),4)</f>
        <v>0</v>
      </c>
      <c r="M157" s="67">
        <f>ROUND(IF(J157&gt;K157,0,J157),4)</f>
        <v>0</v>
      </c>
      <c r="N157" s="67">
        <f>ROUND(+L157*D157,4)</f>
        <v>0</v>
      </c>
      <c r="O157" s="67">
        <f>ROUND(IF(F157="rame",0,+I157*3%),4)</f>
        <v>0</v>
      </c>
      <c r="P157" s="67">
        <f>ROUND(IF(O157&lt;J157,O157,0),4)</f>
        <v>0</v>
      </c>
      <c r="Q157" s="67">
        <f>ROUND(IF(J157&gt;O157,0,J157),4)</f>
        <v>0</v>
      </c>
      <c r="R157" s="67">
        <f>ROUND(+P157*D157,4)</f>
        <v>0</v>
      </c>
      <c r="S157" s="67">
        <f>ROUND(IF(K157=0,0,M157*D157),4)</f>
        <v>0</v>
      </c>
      <c r="T157" s="67">
        <f>ROUND(+IF(K157=0,Q157*D157,0),4)</f>
        <v>0</v>
      </c>
      <c r="U157" s="67">
        <f>ROUND(+N157+R157+S157+T157,4)</f>
        <v>0</v>
      </c>
      <c r="V157" s="67">
        <f>ROUND(IF(P157=0,0,I157-H157-O157)+IF(L157=0,0,I157-H157-K157),4)</f>
        <v>0</v>
      </c>
      <c r="W157" s="67">
        <f>ROUND(+(V157*60%)*D157,4)</f>
        <v>0</v>
      </c>
      <c r="X157" s="148">
        <f>ROUND(+U157+W157,4)</f>
        <v>0</v>
      </c>
      <c r="Y157" s="68"/>
      <c r="Z157" s="148">
        <f>ROUND(IF(X157&gt;I157,X157,I157),4)</f>
        <v>0</v>
      </c>
      <c r="AD157" s="78">
        <f t="shared" si="8"/>
        <v>0</v>
      </c>
      <c r="AE157" s="78">
        <f t="shared" si="9"/>
        <v>0</v>
      </c>
    </row>
    <row r="158" spans="1:31" x14ac:dyDescent="0.2">
      <c r="A158" s="66"/>
      <c r="B158" s="66"/>
      <c r="C158" s="66"/>
      <c r="D158" s="144"/>
      <c r="E158" s="67"/>
      <c r="F158" s="67"/>
      <c r="G158" s="67"/>
      <c r="H158" s="67">
        <f>ROUND(+E158+G158,4)</f>
        <v>0</v>
      </c>
      <c r="I158" s="67"/>
      <c r="J158" s="67">
        <f>ROUND(+I158-H158,4)</f>
        <v>0</v>
      </c>
      <c r="K158" s="67">
        <f>ROUND(IF(F158="alluminio",0,I158*1.5%),4)</f>
        <v>0</v>
      </c>
      <c r="L158" s="67">
        <f>ROUND(IF(K158&lt;J158,K158,0),4)</f>
        <v>0</v>
      </c>
      <c r="M158" s="67">
        <f>ROUND(IF(J158&gt;K158,0,J158),4)</f>
        <v>0</v>
      </c>
      <c r="N158" s="67">
        <f>ROUND(+L158*D158,4)</f>
        <v>0</v>
      </c>
      <c r="O158" s="67">
        <f>ROUND(IF(F158="rame",0,+I158*3%),4)</f>
        <v>0</v>
      </c>
      <c r="P158" s="67">
        <f>ROUND(IF(O158&lt;J158,O158,0),4)</f>
        <v>0</v>
      </c>
      <c r="Q158" s="67">
        <f>ROUND(IF(J158&gt;O158,0,J158),4)</f>
        <v>0</v>
      </c>
      <c r="R158" s="67">
        <f>ROUND(+P158*D158,4)</f>
        <v>0</v>
      </c>
      <c r="S158" s="67">
        <f>ROUND(IF(K158=0,0,M158*D158),4)</f>
        <v>0</v>
      </c>
      <c r="T158" s="67">
        <f>ROUND(+IF(K158=0,Q158*D158,0),4)</f>
        <v>0</v>
      </c>
      <c r="U158" s="67">
        <f>ROUND(+N158+R158+S158+T158,4)</f>
        <v>0</v>
      </c>
      <c r="V158" s="67">
        <f>ROUND(IF(P158=0,0,I158-H158-O158)+IF(L158=0,0,I158-H158-K158),4)</f>
        <v>0</v>
      </c>
      <c r="W158" s="67">
        <f>ROUND(+(V158*60%)*D158,4)</f>
        <v>0</v>
      </c>
      <c r="X158" s="148">
        <f>ROUND(+U158+W158,4)</f>
        <v>0</v>
      </c>
      <c r="Y158" s="68"/>
      <c r="Z158" s="148">
        <f>ROUND(IF(X158&gt;I158,X158,I158),4)</f>
        <v>0</v>
      </c>
      <c r="AD158" s="78">
        <f t="shared" si="8"/>
        <v>0</v>
      </c>
      <c r="AE158" s="78">
        <f t="shared" si="9"/>
        <v>0</v>
      </c>
    </row>
    <row r="159" spans="1:31" x14ac:dyDescent="0.2">
      <c r="A159" s="66"/>
      <c r="B159" s="66"/>
      <c r="C159" s="66"/>
      <c r="D159" s="144"/>
      <c r="E159" s="67"/>
      <c r="F159" s="67"/>
      <c r="G159" s="67"/>
      <c r="H159" s="67">
        <f>ROUND(+E159+G159,4)</f>
        <v>0</v>
      </c>
      <c r="I159" s="67"/>
      <c r="J159" s="67">
        <f>ROUND(+I159-H159,4)</f>
        <v>0</v>
      </c>
      <c r="K159" s="67">
        <f>ROUND(IF(F159="alluminio",0,I159*1.5%),4)</f>
        <v>0</v>
      </c>
      <c r="L159" s="67">
        <f>ROUND(IF(K159&lt;J159,K159,0),4)</f>
        <v>0</v>
      </c>
      <c r="M159" s="67">
        <f>ROUND(IF(J159&gt;K159,0,J159),4)</f>
        <v>0</v>
      </c>
      <c r="N159" s="67">
        <f>ROUND(+L159*D159,4)</f>
        <v>0</v>
      </c>
      <c r="O159" s="67">
        <f>ROUND(IF(F159="rame",0,+I159*3%),4)</f>
        <v>0</v>
      </c>
      <c r="P159" s="67">
        <f>ROUND(IF(O159&lt;J159,O159,0),4)</f>
        <v>0</v>
      </c>
      <c r="Q159" s="67">
        <f>ROUND(IF(J159&gt;O159,0,J159),4)</f>
        <v>0</v>
      </c>
      <c r="R159" s="67">
        <f>ROUND(+P159*D159,4)</f>
        <v>0</v>
      </c>
      <c r="S159" s="67">
        <f>ROUND(IF(K159=0,0,M159*D159),4)</f>
        <v>0</v>
      </c>
      <c r="T159" s="67">
        <f>ROUND(+IF(K159=0,Q159*D159,0),4)</f>
        <v>0</v>
      </c>
      <c r="U159" s="67">
        <f>ROUND(+N159+R159+S159+T159,4)</f>
        <v>0</v>
      </c>
      <c r="V159" s="67">
        <f>ROUND(IF(P159=0,0,I159-H159-O159)+IF(L159=0,0,I159-H159-K159),4)</f>
        <v>0</v>
      </c>
      <c r="W159" s="67">
        <f>ROUND(+(V159*60%)*D159,4)</f>
        <v>0</v>
      </c>
      <c r="X159" s="148">
        <f>ROUND(+U159+W159,4)</f>
        <v>0</v>
      </c>
      <c r="Y159" s="68"/>
      <c r="Z159" s="148">
        <f>ROUND(IF(X159&gt;I159,X159,I159),4)</f>
        <v>0</v>
      </c>
      <c r="AD159" s="78">
        <f t="shared" si="8"/>
        <v>0</v>
      </c>
      <c r="AE159" s="78">
        <f t="shared" si="9"/>
        <v>0</v>
      </c>
    </row>
    <row r="160" spans="1:31" x14ac:dyDescent="0.2">
      <c r="A160" s="66"/>
      <c r="B160" s="66"/>
      <c r="C160" s="66"/>
      <c r="D160" s="144"/>
      <c r="E160" s="67"/>
      <c r="F160" s="67"/>
      <c r="G160" s="67"/>
      <c r="H160" s="67">
        <f>ROUND(+E160+G160,4)</f>
        <v>0</v>
      </c>
      <c r="I160" s="67"/>
      <c r="J160" s="67">
        <f>ROUND(+I160-H160,4)</f>
        <v>0</v>
      </c>
      <c r="K160" s="67">
        <f>ROUND(IF(F160="alluminio",0,I160*1.5%),4)</f>
        <v>0</v>
      </c>
      <c r="L160" s="67">
        <f>ROUND(IF(K160&lt;J160,K160,0),4)</f>
        <v>0</v>
      </c>
      <c r="M160" s="67">
        <f>ROUND(IF(J160&gt;K160,0,J160),4)</f>
        <v>0</v>
      </c>
      <c r="N160" s="67">
        <f>ROUND(+L160*D160,4)</f>
        <v>0</v>
      </c>
      <c r="O160" s="67">
        <f>ROUND(IF(F160="rame",0,+I160*3%),4)</f>
        <v>0</v>
      </c>
      <c r="P160" s="67">
        <f>ROUND(IF(O160&lt;J160,O160,0),4)</f>
        <v>0</v>
      </c>
      <c r="Q160" s="67">
        <f>ROUND(IF(J160&gt;O160,0,J160),4)</f>
        <v>0</v>
      </c>
      <c r="R160" s="67">
        <f>ROUND(+P160*D160,4)</f>
        <v>0</v>
      </c>
      <c r="S160" s="67">
        <f>ROUND(IF(K160=0,0,M160*D160),4)</f>
        <v>0</v>
      </c>
      <c r="T160" s="67">
        <f>ROUND(+IF(K160=0,Q160*D160,0),4)</f>
        <v>0</v>
      </c>
      <c r="U160" s="67">
        <f>ROUND(+N160+R160+S160+T160,4)</f>
        <v>0</v>
      </c>
      <c r="V160" s="67">
        <f>ROUND(IF(P160=0,0,I160-H160-O160)+IF(L160=0,0,I160-H160-K160),4)</f>
        <v>0</v>
      </c>
      <c r="W160" s="67">
        <f>ROUND(+(V160*60%)*D160,4)</f>
        <v>0</v>
      </c>
      <c r="X160" s="148">
        <f>ROUND(+U160+W160,4)</f>
        <v>0</v>
      </c>
      <c r="Y160" s="68"/>
      <c r="Z160" s="148">
        <f>ROUND(IF(X160&gt;I160,X160,I160),4)</f>
        <v>0</v>
      </c>
      <c r="AD160" s="78">
        <f t="shared" si="8"/>
        <v>0</v>
      </c>
      <c r="AE160" s="78">
        <f t="shared" si="9"/>
        <v>0</v>
      </c>
    </row>
    <row r="161" spans="1:31" x14ac:dyDescent="0.2">
      <c r="A161" s="66"/>
      <c r="B161" s="66"/>
      <c r="C161" s="66"/>
      <c r="D161" s="144"/>
      <c r="E161" s="67"/>
      <c r="F161" s="67"/>
      <c r="G161" s="67"/>
      <c r="H161" s="67">
        <f>ROUND(+E161+G161,4)</f>
        <v>0</v>
      </c>
      <c r="I161" s="67"/>
      <c r="J161" s="67">
        <f>ROUND(+I161-H161,4)</f>
        <v>0</v>
      </c>
      <c r="K161" s="67">
        <f>ROUND(IF(F161="alluminio",0,I161*1.5%),4)</f>
        <v>0</v>
      </c>
      <c r="L161" s="67">
        <f>ROUND(IF(K161&lt;J161,K161,0),4)</f>
        <v>0</v>
      </c>
      <c r="M161" s="67">
        <f>ROUND(IF(J161&gt;K161,0,J161),4)</f>
        <v>0</v>
      </c>
      <c r="N161" s="67">
        <f>ROUND(+L161*D161,4)</f>
        <v>0</v>
      </c>
      <c r="O161" s="67">
        <f>ROUND(IF(F161="rame",0,+I161*3%),4)</f>
        <v>0</v>
      </c>
      <c r="P161" s="67">
        <f>ROUND(IF(O161&lt;J161,O161,0),4)</f>
        <v>0</v>
      </c>
      <c r="Q161" s="67">
        <f>ROUND(IF(J161&gt;O161,0,J161),4)</f>
        <v>0</v>
      </c>
      <c r="R161" s="67">
        <f>ROUND(+P161*D161,4)</f>
        <v>0</v>
      </c>
      <c r="S161" s="67">
        <f>ROUND(IF(K161=0,0,M161*D161),4)</f>
        <v>0</v>
      </c>
      <c r="T161" s="67">
        <f>ROUND(+IF(K161=0,Q161*D161,0),4)</f>
        <v>0</v>
      </c>
      <c r="U161" s="67">
        <f>ROUND(+N161+R161+S161+T161,4)</f>
        <v>0</v>
      </c>
      <c r="V161" s="67">
        <f>ROUND(IF(P161=0,0,I161-H161-O161)+IF(L161=0,0,I161-H161-K161),4)</f>
        <v>0</v>
      </c>
      <c r="W161" s="67">
        <f>ROUND(+(V161*60%)*D161,4)</f>
        <v>0</v>
      </c>
      <c r="X161" s="148">
        <f>ROUND(+U161+W161,4)</f>
        <v>0</v>
      </c>
      <c r="Y161" s="68"/>
      <c r="Z161" s="148">
        <f>ROUND(IF(X161&gt;I161,X161,I161),4)</f>
        <v>0</v>
      </c>
      <c r="AD161" s="78">
        <f t="shared" si="8"/>
        <v>0</v>
      </c>
      <c r="AE161" s="78">
        <f t="shared" si="9"/>
        <v>0</v>
      </c>
    </row>
    <row r="162" spans="1:31" x14ac:dyDescent="0.2">
      <c r="A162" s="66"/>
      <c r="B162" s="66"/>
      <c r="C162" s="66"/>
      <c r="D162" s="144"/>
      <c r="E162" s="67"/>
      <c r="F162" s="67"/>
      <c r="G162" s="67"/>
      <c r="H162" s="67">
        <f>ROUND(+E162+G162,4)</f>
        <v>0</v>
      </c>
      <c r="I162" s="67"/>
      <c r="J162" s="67">
        <f>ROUND(+I162-H162,4)</f>
        <v>0</v>
      </c>
      <c r="K162" s="67">
        <f>ROUND(IF(F162="alluminio",0,I162*1.5%),4)</f>
        <v>0</v>
      </c>
      <c r="L162" s="67">
        <f>ROUND(IF(K162&lt;J162,K162,0),4)</f>
        <v>0</v>
      </c>
      <c r="M162" s="67">
        <f>ROUND(IF(J162&gt;K162,0,J162),4)</f>
        <v>0</v>
      </c>
      <c r="N162" s="67">
        <f>ROUND(+L162*D162,4)</f>
        <v>0</v>
      </c>
      <c r="O162" s="67">
        <f>ROUND(IF(F162="rame",0,+I162*3%),4)</f>
        <v>0</v>
      </c>
      <c r="P162" s="67">
        <f>ROUND(IF(O162&lt;J162,O162,0),4)</f>
        <v>0</v>
      </c>
      <c r="Q162" s="67">
        <f>ROUND(IF(J162&gt;O162,0,J162),4)</f>
        <v>0</v>
      </c>
      <c r="R162" s="67">
        <f>ROUND(+P162*D162,4)</f>
        <v>0</v>
      </c>
      <c r="S162" s="67">
        <f>ROUND(IF(K162=0,0,M162*D162),4)</f>
        <v>0</v>
      </c>
      <c r="T162" s="67">
        <f>ROUND(+IF(K162=0,Q162*D162,0),4)</f>
        <v>0</v>
      </c>
      <c r="U162" s="67">
        <f>ROUND(+N162+R162+S162+T162,4)</f>
        <v>0</v>
      </c>
      <c r="V162" s="67">
        <f>ROUND(IF(P162=0,0,I162-H162-O162)+IF(L162=0,0,I162-H162-K162),4)</f>
        <v>0</v>
      </c>
      <c r="W162" s="67">
        <f>ROUND(+(V162*60%)*D162,4)</f>
        <v>0</v>
      </c>
      <c r="X162" s="148">
        <f>ROUND(+U162+W162,4)</f>
        <v>0</v>
      </c>
      <c r="Y162" s="68"/>
      <c r="Z162" s="148">
        <f>ROUND(IF(X162&gt;I162,X162,I162),4)</f>
        <v>0</v>
      </c>
      <c r="AD162" s="78">
        <f t="shared" si="8"/>
        <v>0</v>
      </c>
      <c r="AE162" s="78">
        <f t="shared" si="9"/>
        <v>0</v>
      </c>
    </row>
    <row r="163" spans="1:31" x14ac:dyDescent="0.2">
      <c r="A163" s="66"/>
      <c r="B163" s="66"/>
      <c r="C163" s="66"/>
      <c r="D163" s="144"/>
      <c r="E163" s="67"/>
      <c r="F163" s="67"/>
      <c r="G163" s="67"/>
      <c r="H163" s="67">
        <f>ROUND(+E163+G163,4)</f>
        <v>0</v>
      </c>
      <c r="I163" s="67"/>
      <c r="J163" s="67">
        <f>ROUND(+I163-H163,4)</f>
        <v>0</v>
      </c>
      <c r="K163" s="67">
        <f>ROUND(IF(F163="alluminio",0,I163*1.5%),4)</f>
        <v>0</v>
      </c>
      <c r="L163" s="67">
        <f>ROUND(IF(K163&lt;J163,K163,0),4)</f>
        <v>0</v>
      </c>
      <c r="M163" s="67">
        <f>ROUND(IF(J163&gt;K163,0,J163),4)</f>
        <v>0</v>
      </c>
      <c r="N163" s="67">
        <f>ROUND(+L163*D163,4)</f>
        <v>0</v>
      </c>
      <c r="O163" s="67">
        <f>ROUND(IF(F163="rame",0,+I163*3%),4)</f>
        <v>0</v>
      </c>
      <c r="P163" s="67">
        <f>ROUND(IF(O163&lt;J163,O163,0),4)</f>
        <v>0</v>
      </c>
      <c r="Q163" s="67">
        <f>ROUND(IF(J163&gt;O163,0,J163),4)</f>
        <v>0</v>
      </c>
      <c r="R163" s="67">
        <f>ROUND(+P163*D163,4)</f>
        <v>0</v>
      </c>
      <c r="S163" s="67">
        <f>ROUND(IF(K163=0,0,M163*D163),4)</f>
        <v>0</v>
      </c>
      <c r="T163" s="67">
        <f>ROUND(+IF(K163=0,Q163*D163,0),4)</f>
        <v>0</v>
      </c>
      <c r="U163" s="67">
        <f>ROUND(+N163+R163+S163+T163,4)</f>
        <v>0</v>
      </c>
      <c r="V163" s="67">
        <f>ROUND(IF(P163=0,0,I163-H163-O163)+IF(L163=0,0,I163-H163-K163),4)</f>
        <v>0</v>
      </c>
      <c r="W163" s="67">
        <f>ROUND(+(V163*60%)*D163,4)</f>
        <v>0</v>
      </c>
      <c r="X163" s="148">
        <f>ROUND(+U163+W163,4)</f>
        <v>0</v>
      </c>
      <c r="Y163" s="68"/>
      <c r="Z163" s="148">
        <f>ROUND(IF(X163&gt;I163,X163,I163),4)</f>
        <v>0</v>
      </c>
      <c r="AD163" s="78">
        <f t="shared" si="8"/>
        <v>0</v>
      </c>
      <c r="AE163" s="78">
        <f t="shared" si="9"/>
        <v>0</v>
      </c>
    </row>
    <row r="164" spans="1:31" x14ac:dyDescent="0.2">
      <c r="A164" s="66"/>
      <c r="B164" s="66"/>
      <c r="C164" s="66"/>
      <c r="D164" s="144"/>
      <c r="E164" s="67"/>
      <c r="F164" s="67"/>
      <c r="G164" s="67"/>
      <c r="H164" s="67">
        <f>ROUND(+E164+G164,4)</f>
        <v>0</v>
      </c>
      <c r="I164" s="67"/>
      <c r="J164" s="67">
        <f>ROUND(+I164-H164,4)</f>
        <v>0</v>
      </c>
      <c r="K164" s="67">
        <f>ROUND(IF(F164="alluminio",0,I164*1.5%),4)</f>
        <v>0</v>
      </c>
      <c r="L164" s="67">
        <f>ROUND(IF(K164&lt;J164,K164,0),4)</f>
        <v>0</v>
      </c>
      <c r="M164" s="67">
        <f>ROUND(IF(J164&gt;K164,0,J164),4)</f>
        <v>0</v>
      </c>
      <c r="N164" s="67">
        <f>ROUND(+L164*D164,4)</f>
        <v>0</v>
      </c>
      <c r="O164" s="67">
        <f>ROUND(IF(F164="rame",0,+I164*3%),4)</f>
        <v>0</v>
      </c>
      <c r="P164" s="67">
        <f>ROUND(IF(O164&lt;J164,O164,0),4)</f>
        <v>0</v>
      </c>
      <c r="Q164" s="67">
        <f>ROUND(IF(J164&gt;O164,0,J164),4)</f>
        <v>0</v>
      </c>
      <c r="R164" s="67">
        <f>ROUND(+P164*D164,4)</f>
        <v>0</v>
      </c>
      <c r="S164" s="67">
        <f>ROUND(IF(K164=0,0,M164*D164),4)</f>
        <v>0</v>
      </c>
      <c r="T164" s="67">
        <f>ROUND(+IF(K164=0,Q164*D164,0),4)</f>
        <v>0</v>
      </c>
      <c r="U164" s="67">
        <f>ROUND(+N164+R164+S164+T164,4)</f>
        <v>0</v>
      </c>
      <c r="V164" s="67">
        <f>ROUND(IF(P164=0,0,I164-H164-O164)+IF(L164=0,0,I164-H164-K164),4)</f>
        <v>0</v>
      </c>
      <c r="W164" s="67">
        <f>ROUND(+(V164*60%)*D164,4)</f>
        <v>0</v>
      </c>
      <c r="X164" s="148">
        <f>ROUND(+U164+W164,4)</f>
        <v>0</v>
      </c>
      <c r="Y164" s="68"/>
      <c r="Z164" s="148">
        <f>ROUND(IF(X164&gt;I164,X164,I164),4)</f>
        <v>0</v>
      </c>
      <c r="AD164" s="78">
        <f t="shared" si="8"/>
        <v>0</v>
      </c>
      <c r="AE164" s="78">
        <f t="shared" si="9"/>
        <v>0</v>
      </c>
    </row>
    <row r="165" spans="1:31" x14ac:dyDescent="0.2">
      <c r="A165" s="66"/>
      <c r="B165" s="66"/>
      <c r="C165" s="66"/>
      <c r="D165" s="144"/>
      <c r="E165" s="67"/>
      <c r="F165" s="67"/>
      <c r="G165" s="67"/>
      <c r="H165" s="67">
        <f>ROUND(+E165+G165,4)</f>
        <v>0</v>
      </c>
      <c r="I165" s="67"/>
      <c r="J165" s="67">
        <f>ROUND(+I165-H165,4)</f>
        <v>0</v>
      </c>
      <c r="K165" s="67">
        <f>ROUND(IF(F165="alluminio",0,I165*1.5%),4)</f>
        <v>0</v>
      </c>
      <c r="L165" s="67">
        <f>ROUND(IF(K165&lt;J165,K165,0),4)</f>
        <v>0</v>
      </c>
      <c r="M165" s="67">
        <f>ROUND(IF(J165&gt;K165,0,J165),4)</f>
        <v>0</v>
      </c>
      <c r="N165" s="67">
        <f>ROUND(+L165*D165,4)</f>
        <v>0</v>
      </c>
      <c r="O165" s="67">
        <f>ROUND(IF(F165="rame",0,+I165*3%),4)</f>
        <v>0</v>
      </c>
      <c r="P165" s="67">
        <f>ROUND(IF(O165&lt;J165,O165,0),4)</f>
        <v>0</v>
      </c>
      <c r="Q165" s="67">
        <f>ROUND(IF(J165&gt;O165,0,J165),4)</f>
        <v>0</v>
      </c>
      <c r="R165" s="67">
        <f>ROUND(+P165*D165,4)</f>
        <v>0</v>
      </c>
      <c r="S165" s="67">
        <f>ROUND(IF(K165=0,0,M165*D165),4)</f>
        <v>0</v>
      </c>
      <c r="T165" s="67">
        <f>ROUND(+IF(K165=0,Q165*D165,0),4)</f>
        <v>0</v>
      </c>
      <c r="U165" s="67">
        <f>ROUND(+N165+R165+S165+T165,4)</f>
        <v>0</v>
      </c>
      <c r="V165" s="67">
        <f>ROUND(IF(P165=0,0,I165-H165-O165)+IF(L165=0,0,I165-H165-K165),4)</f>
        <v>0</v>
      </c>
      <c r="W165" s="67">
        <f>ROUND(+(V165*60%)*D165,4)</f>
        <v>0</v>
      </c>
      <c r="X165" s="148">
        <f>ROUND(+U165+W165,4)</f>
        <v>0</v>
      </c>
      <c r="Y165" s="68"/>
      <c r="Z165" s="148">
        <f>ROUND(IF(X165&gt;I165,X165,I165),4)</f>
        <v>0</v>
      </c>
      <c r="AD165" s="78">
        <f t="shared" si="8"/>
        <v>0</v>
      </c>
      <c r="AE165" s="78">
        <f t="shared" si="9"/>
        <v>0</v>
      </c>
    </row>
    <row r="166" spans="1:31" x14ac:dyDescent="0.2">
      <c r="A166" s="66"/>
      <c r="B166" s="66"/>
      <c r="C166" s="66"/>
      <c r="D166" s="144"/>
      <c r="E166" s="67"/>
      <c r="F166" s="67"/>
      <c r="G166" s="67"/>
      <c r="H166" s="67">
        <f>ROUND(+E166+G166,4)</f>
        <v>0</v>
      </c>
      <c r="I166" s="67"/>
      <c r="J166" s="67">
        <f>ROUND(+I166-H166,4)</f>
        <v>0</v>
      </c>
      <c r="K166" s="67">
        <f>ROUND(IF(F166="alluminio",0,I166*1.5%),4)</f>
        <v>0</v>
      </c>
      <c r="L166" s="67">
        <f>ROUND(IF(K166&lt;J166,K166,0),4)</f>
        <v>0</v>
      </c>
      <c r="M166" s="67">
        <f>ROUND(IF(J166&gt;K166,0,J166),4)</f>
        <v>0</v>
      </c>
      <c r="N166" s="67">
        <f>ROUND(+L166*D166,4)</f>
        <v>0</v>
      </c>
      <c r="O166" s="67">
        <f>ROUND(IF(F166="rame",0,+I166*3%),4)</f>
        <v>0</v>
      </c>
      <c r="P166" s="67">
        <f>ROUND(IF(O166&lt;J166,O166,0),4)</f>
        <v>0</v>
      </c>
      <c r="Q166" s="67">
        <f>ROUND(IF(J166&gt;O166,0,J166),4)</f>
        <v>0</v>
      </c>
      <c r="R166" s="67">
        <f>ROUND(+P166*D166,4)</f>
        <v>0</v>
      </c>
      <c r="S166" s="67">
        <f>ROUND(IF(K166=0,0,M166*D166),4)</f>
        <v>0</v>
      </c>
      <c r="T166" s="67">
        <f>ROUND(+IF(K166=0,Q166*D166,0),4)</f>
        <v>0</v>
      </c>
      <c r="U166" s="67">
        <f>ROUND(+N166+R166+S166+T166,4)</f>
        <v>0</v>
      </c>
      <c r="V166" s="67">
        <f>ROUND(IF(P166=0,0,I166-H166-O166)+IF(L166=0,0,I166-H166-K166),4)</f>
        <v>0</v>
      </c>
      <c r="W166" s="67">
        <f>ROUND(+(V166*60%)*D166,4)</f>
        <v>0</v>
      </c>
      <c r="X166" s="148">
        <f>ROUND(+U166+W166,4)</f>
        <v>0</v>
      </c>
      <c r="Y166" s="68"/>
      <c r="Z166" s="148">
        <f>ROUND(IF(X166&gt;I166,X166,I166),4)</f>
        <v>0</v>
      </c>
      <c r="AD166" s="78">
        <f t="shared" si="8"/>
        <v>0</v>
      </c>
      <c r="AE166" s="78">
        <f t="shared" si="9"/>
        <v>0</v>
      </c>
    </row>
    <row r="167" spans="1:31" x14ac:dyDescent="0.2">
      <c r="A167" s="66"/>
      <c r="B167" s="66"/>
      <c r="C167" s="66"/>
      <c r="D167" s="144"/>
      <c r="E167" s="67"/>
      <c r="F167" s="67"/>
      <c r="G167" s="67"/>
      <c r="H167" s="67">
        <f>ROUND(+E167+G167,4)</f>
        <v>0</v>
      </c>
      <c r="I167" s="67"/>
      <c r="J167" s="67">
        <f>ROUND(+I167-H167,4)</f>
        <v>0</v>
      </c>
      <c r="K167" s="67">
        <f>ROUND(IF(F167="alluminio",0,I167*1.5%),4)</f>
        <v>0</v>
      </c>
      <c r="L167" s="67">
        <f>ROUND(IF(K167&lt;J167,K167,0),4)</f>
        <v>0</v>
      </c>
      <c r="M167" s="67">
        <f>ROUND(IF(J167&gt;K167,0,J167),4)</f>
        <v>0</v>
      </c>
      <c r="N167" s="67">
        <f>ROUND(+L167*D167,4)</f>
        <v>0</v>
      </c>
      <c r="O167" s="67">
        <f>ROUND(IF(F167="rame",0,+I167*3%),4)</f>
        <v>0</v>
      </c>
      <c r="P167" s="67">
        <f>ROUND(IF(O167&lt;J167,O167,0),4)</f>
        <v>0</v>
      </c>
      <c r="Q167" s="67">
        <f>ROUND(IF(J167&gt;O167,0,J167),4)</f>
        <v>0</v>
      </c>
      <c r="R167" s="67">
        <f>ROUND(+P167*D167,4)</f>
        <v>0</v>
      </c>
      <c r="S167" s="67">
        <f>ROUND(IF(K167=0,0,M167*D167),4)</f>
        <v>0</v>
      </c>
      <c r="T167" s="67">
        <f>ROUND(+IF(K167=0,Q167*D167,0),4)</f>
        <v>0</v>
      </c>
      <c r="U167" s="67">
        <f>ROUND(+N167+R167+S167+T167,4)</f>
        <v>0</v>
      </c>
      <c r="V167" s="67">
        <f>ROUND(IF(P167=0,0,I167-H167-O167)+IF(L167=0,0,I167-H167-K167),4)</f>
        <v>0</v>
      </c>
      <c r="W167" s="67">
        <f>ROUND(+(V167*60%)*D167,4)</f>
        <v>0</v>
      </c>
      <c r="X167" s="148">
        <f>ROUND(+U167+W167,4)</f>
        <v>0</v>
      </c>
      <c r="Y167" s="68"/>
      <c r="Z167" s="148">
        <f>ROUND(IF(X167&gt;I167,X167,I167),4)</f>
        <v>0</v>
      </c>
      <c r="AD167" s="78">
        <f t="shared" si="8"/>
        <v>0</v>
      </c>
      <c r="AE167" s="78">
        <f t="shared" si="9"/>
        <v>0</v>
      </c>
    </row>
    <row r="168" spans="1:31" x14ac:dyDescent="0.2">
      <c r="A168" s="66"/>
      <c r="B168" s="66"/>
      <c r="C168" s="66"/>
      <c r="D168" s="144"/>
      <c r="E168" s="67"/>
      <c r="F168" s="67"/>
      <c r="G168" s="67"/>
      <c r="H168" s="67">
        <f>ROUND(+E168+G168,4)</f>
        <v>0</v>
      </c>
      <c r="I168" s="67"/>
      <c r="J168" s="67">
        <f>ROUND(+I168-H168,4)</f>
        <v>0</v>
      </c>
      <c r="K168" s="67">
        <f>ROUND(IF(F168="alluminio",0,I168*1.5%),4)</f>
        <v>0</v>
      </c>
      <c r="L168" s="67">
        <f>ROUND(IF(K168&lt;J168,K168,0),4)</f>
        <v>0</v>
      </c>
      <c r="M168" s="67">
        <f>ROUND(IF(J168&gt;K168,0,J168),4)</f>
        <v>0</v>
      </c>
      <c r="N168" s="67">
        <f>ROUND(+L168*D168,4)</f>
        <v>0</v>
      </c>
      <c r="O168" s="67">
        <f>ROUND(IF(F168="rame",0,+I168*3%),4)</f>
        <v>0</v>
      </c>
      <c r="P168" s="67">
        <f>ROUND(IF(O168&lt;J168,O168,0),4)</f>
        <v>0</v>
      </c>
      <c r="Q168" s="67">
        <f>ROUND(IF(J168&gt;O168,0,J168),4)</f>
        <v>0</v>
      </c>
      <c r="R168" s="67">
        <f>ROUND(+P168*D168,4)</f>
        <v>0</v>
      </c>
      <c r="S168" s="67">
        <f>ROUND(IF(K168=0,0,M168*D168),4)</f>
        <v>0</v>
      </c>
      <c r="T168" s="67">
        <f>ROUND(+IF(K168=0,Q168*D168,0),4)</f>
        <v>0</v>
      </c>
      <c r="U168" s="67">
        <f>ROUND(+N168+R168+S168+T168,4)</f>
        <v>0</v>
      </c>
      <c r="V168" s="67">
        <f>ROUND(IF(P168=0,0,I168-H168-O168)+IF(L168=0,0,I168-H168-K168),4)</f>
        <v>0</v>
      </c>
      <c r="W168" s="67">
        <f>ROUND(+(V168*60%)*D168,4)</f>
        <v>0</v>
      </c>
      <c r="X168" s="148">
        <f>ROUND(+U168+W168,4)</f>
        <v>0</v>
      </c>
      <c r="Y168" s="68"/>
      <c r="Z168" s="148">
        <f>ROUND(IF(X168&gt;I168,X168,I168),4)</f>
        <v>0</v>
      </c>
      <c r="AD168" s="78">
        <f t="shared" si="8"/>
        <v>0</v>
      </c>
      <c r="AE168" s="78">
        <f t="shared" si="9"/>
        <v>0</v>
      </c>
    </row>
    <row r="169" spans="1:31" x14ac:dyDescent="0.2">
      <c r="A169" s="66"/>
      <c r="B169" s="66"/>
      <c r="C169" s="66"/>
      <c r="D169" s="144"/>
      <c r="E169" s="67"/>
      <c r="F169" s="67"/>
      <c r="G169" s="67"/>
      <c r="H169" s="67">
        <f>ROUND(+E169+G169,4)</f>
        <v>0</v>
      </c>
      <c r="I169" s="67"/>
      <c r="J169" s="67">
        <f>ROUND(+I169-H169,4)</f>
        <v>0</v>
      </c>
      <c r="K169" s="67">
        <f>ROUND(IF(F169="alluminio",0,I169*1.5%),4)</f>
        <v>0</v>
      </c>
      <c r="L169" s="67">
        <f>ROUND(IF(K169&lt;J169,K169,0),4)</f>
        <v>0</v>
      </c>
      <c r="M169" s="67">
        <f>ROUND(IF(J169&gt;K169,0,J169),4)</f>
        <v>0</v>
      </c>
      <c r="N169" s="67">
        <f>ROUND(+L169*D169,4)</f>
        <v>0</v>
      </c>
      <c r="O169" s="67">
        <f>ROUND(IF(F169="rame",0,+I169*3%),4)</f>
        <v>0</v>
      </c>
      <c r="P169" s="67">
        <f>ROUND(IF(O169&lt;J169,O169,0),4)</f>
        <v>0</v>
      </c>
      <c r="Q169" s="67">
        <f>ROUND(IF(J169&gt;O169,0,J169),4)</f>
        <v>0</v>
      </c>
      <c r="R169" s="67">
        <f>ROUND(+P169*D169,4)</f>
        <v>0</v>
      </c>
      <c r="S169" s="67">
        <f>ROUND(IF(K169=0,0,M169*D169),4)</f>
        <v>0</v>
      </c>
      <c r="T169" s="67">
        <f>ROUND(+IF(K169=0,Q169*D169,0),4)</f>
        <v>0</v>
      </c>
      <c r="U169" s="67">
        <f>ROUND(+N169+R169+S169+T169,4)</f>
        <v>0</v>
      </c>
      <c r="V169" s="67">
        <f>ROUND(IF(P169=0,0,I169-H169-O169)+IF(L169=0,0,I169-H169-K169),4)</f>
        <v>0</v>
      </c>
      <c r="W169" s="67">
        <f>ROUND(+(V169*60%)*D169,4)</f>
        <v>0</v>
      </c>
      <c r="X169" s="148">
        <f>ROUND(+U169+W169,4)</f>
        <v>0</v>
      </c>
      <c r="Y169" s="68"/>
      <c r="Z169" s="148">
        <f>ROUND(IF(X169&gt;I169,X169,I169),4)</f>
        <v>0</v>
      </c>
      <c r="AD169" s="78">
        <f t="shared" si="8"/>
        <v>0</v>
      </c>
      <c r="AE169" s="78">
        <f t="shared" si="9"/>
        <v>0</v>
      </c>
    </row>
    <row r="170" spans="1:31" x14ac:dyDescent="0.2">
      <c r="A170" s="66"/>
      <c r="B170" s="66"/>
      <c r="C170" s="66"/>
      <c r="D170" s="144"/>
      <c r="E170" s="67"/>
      <c r="F170" s="67"/>
      <c r="G170" s="67"/>
      <c r="H170" s="67">
        <f>ROUND(+E170+G170,4)</f>
        <v>0</v>
      </c>
      <c r="I170" s="67"/>
      <c r="J170" s="67">
        <f>ROUND(+I170-H170,4)</f>
        <v>0</v>
      </c>
      <c r="K170" s="67">
        <f>ROUND(IF(F170="alluminio",0,I170*1.5%),4)</f>
        <v>0</v>
      </c>
      <c r="L170" s="67">
        <f>ROUND(IF(K170&lt;J170,K170,0),4)</f>
        <v>0</v>
      </c>
      <c r="M170" s="67">
        <f>ROUND(IF(J170&gt;K170,0,J170),4)</f>
        <v>0</v>
      </c>
      <c r="N170" s="67">
        <f>ROUND(+L170*D170,4)</f>
        <v>0</v>
      </c>
      <c r="O170" s="67">
        <f>ROUND(IF(F170="rame",0,+I170*3%),4)</f>
        <v>0</v>
      </c>
      <c r="P170" s="67">
        <f>ROUND(IF(O170&lt;J170,O170,0),4)</f>
        <v>0</v>
      </c>
      <c r="Q170" s="67">
        <f>ROUND(IF(J170&gt;O170,0,J170),4)</f>
        <v>0</v>
      </c>
      <c r="R170" s="67">
        <f>ROUND(+P170*D170,4)</f>
        <v>0</v>
      </c>
      <c r="S170" s="67">
        <f>ROUND(IF(K170=0,0,M170*D170),4)</f>
        <v>0</v>
      </c>
      <c r="T170" s="67">
        <f>ROUND(+IF(K170=0,Q170*D170,0),4)</f>
        <v>0</v>
      </c>
      <c r="U170" s="67">
        <f>ROUND(+N170+R170+S170+T170,4)</f>
        <v>0</v>
      </c>
      <c r="V170" s="67">
        <f>ROUND(IF(P170=0,0,I170-H170-O170)+IF(L170=0,0,I170-H170-K170),4)</f>
        <v>0</v>
      </c>
      <c r="W170" s="67">
        <f>ROUND(+(V170*60%)*D170,4)</f>
        <v>0</v>
      </c>
      <c r="X170" s="148">
        <f>ROUND(+U170+W170,4)</f>
        <v>0</v>
      </c>
      <c r="Y170" s="68"/>
      <c r="Z170" s="148">
        <f>ROUND(IF(X170&gt;I170,X170,I170),4)</f>
        <v>0</v>
      </c>
      <c r="AD170" s="78">
        <f t="shared" si="8"/>
        <v>0</v>
      </c>
      <c r="AE170" s="78">
        <f t="shared" si="9"/>
        <v>0</v>
      </c>
    </row>
    <row r="171" spans="1:31" x14ac:dyDescent="0.2">
      <c r="A171" s="66"/>
      <c r="B171" s="66"/>
      <c r="C171" s="66"/>
      <c r="D171" s="144"/>
      <c r="E171" s="67"/>
      <c r="F171" s="67"/>
      <c r="G171" s="67"/>
      <c r="H171" s="67">
        <f>ROUND(+E171+G171,4)</f>
        <v>0</v>
      </c>
      <c r="I171" s="67"/>
      <c r="J171" s="67">
        <f>ROUND(+I171-H171,4)</f>
        <v>0</v>
      </c>
      <c r="K171" s="67">
        <f>ROUND(IF(F171="alluminio",0,I171*1.5%),4)</f>
        <v>0</v>
      </c>
      <c r="L171" s="67">
        <f>ROUND(IF(K171&lt;J171,K171,0),4)</f>
        <v>0</v>
      </c>
      <c r="M171" s="67">
        <f>ROUND(IF(J171&gt;K171,0,J171),4)</f>
        <v>0</v>
      </c>
      <c r="N171" s="67">
        <f>ROUND(+L171*D171,4)</f>
        <v>0</v>
      </c>
      <c r="O171" s="67">
        <f>ROUND(IF(F171="rame",0,+I171*3%),4)</f>
        <v>0</v>
      </c>
      <c r="P171" s="67">
        <f>ROUND(IF(O171&lt;J171,O171,0),4)</f>
        <v>0</v>
      </c>
      <c r="Q171" s="67">
        <f>ROUND(IF(J171&gt;O171,0,J171),4)</f>
        <v>0</v>
      </c>
      <c r="R171" s="67">
        <f>ROUND(+P171*D171,4)</f>
        <v>0</v>
      </c>
      <c r="S171" s="67">
        <f>ROUND(IF(K171=0,0,M171*D171),4)</f>
        <v>0</v>
      </c>
      <c r="T171" s="67">
        <f>ROUND(+IF(K171=0,Q171*D171,0),4)</f>
        <v>0</v>
      </c>
      <c r="U171" s="67">
        <f>ROUND(+N171+R171+S171+T171,4)</f>
        <v>0</v>
      </c>
      <c r="V171" s="67">
        <f>ROUND(IF(P171=0,0,I171-H171-O171)+IF(L171=0,0,I171-H171-K171),4)</f>
        <v>0</v>
      </c>
      <c r="W171" s="67">
        <f>ROUND(+(V171*60%)*D171,4)</f>
        <v>0</v>
      </c>
      <c r="X171" s="148">
        <f>ROUND(+U171+W171,4)</f>
        <v>0</v>
      </c>
      <c r="Y171" s="68"/>
      <c r="Z171" s="148">
        <f>ROUND(IF(X171&gt;I171,X171,I171),4)</f>
        <v>0</v>
      </c>
      <c r="AD171" s="78">
        <f t="shared" si="8"/>
        <v>0</v>
      </c>
      <c r="AE171" s="78">
        <f t="shared" si="9"/>
        <v>0</v>
      </c>
    </row>
    <row r="172" spans="1:31" x14ac:dyDescent="0.2">
      <c r="A172" s="66"/>
      <c r="B172" s="66"/>
      <c r="C172" s="66"/>
      <c r="D172" s="144"/>
      <c r="E172" s="67"/>
      <c r="F172" s="67"/>
      <c r="G172" s="67"/>
      <c r="H172" s="67">
        <f>ROUND(+E172+G172,4)</f>
        <v>0</v>
      </c>
      <c r="I172" s="67"/>
      <c r="J172" s="67">
        <f>ROUND(+I172-H172,4)</f>
        <v>0</v>
      </c>
      <c r="K172" s="67">
        <f>ROUND(IF(F172="alluminio",0,I172*1.5%),4)</f>
        <v>0</v>
      </c>
      <c r="L172" s="67">
        <f>ROUND(IF(K172&lt;J172,K172,0),4)</f>
        <v>0</v>
      </c>
      <c r="M172" s="67">
        <f>ROUND(IF(J172&gt;K172,0,J172),4)</f>
        <v>0</v>
      </c>
      <c r="N172" s="67">
        <f>ROUND(+L172*D172,4)</f>
        <v>0</v>
      </c>
      <c r="O172" s="67">
        <f>ROUND(IF(F172="rame",0,+I172*3%),4)</f>
        <v>0</v>
      </c>
      <c r="P172" s="67">
        <f>ROUND(IF(O172&lt;J172,O172,0),4)</f>
        <v>0</v>
      </c>
      <c r="Q172" s="67">
        <f>ROUND(IF(J172&gt;O172,0,J172),4)</f>
        <v>0</v>
      </c>
      <c r="R172" s="67">
        <f>ROUND(+P172*D172,4)</f>
        <v>0</v>
      </c>
      <c r="S172" s="67">
        <f>ROUND(IF(K172=0,0,M172*D172),4)</f>
        <v>0</v>
      </c>
      <c r="T172" s="67">
        <f>ROUND(+IF(K172=0,Q172*D172,0),4)</f>
        <v>0</v>
      </c>
      <c r="U172" s="67">
        <f>ROUND(+N172+R172+S172+T172,4)</f>
        <v>0</v>
      </c>
      <c r="V172" s="67">
        <f>ROUND(IF(P172=0,0,I172-H172-O172)+IF(L172=0,0,I172-H172-K172),4)</f>
        <v>0</v>
      </c>
      <c r="W172" s="67">
        <f>ROUND(+(V172*60%)*D172,4)</f>
        <v>0</v>
      </c>
      <c r="X172" s="148">
        <f>ROUND(+U172+W172,4)</f>
        <v>0</v>
      </c>
      <c r="Y172" s="68"/>
      <c r="Z172" s="148">
        <f>ROUND(IF(X172&gt;I172,X172,I172),4)</f>
        <v>0</v>
      </c>
      <c r="AD172" s="78">
        <f t="shared" si="8"/>
        <v>0</v>
      </c>
      <c r="AE172" s="78">
        <f t="shared" si="9"/>
        <v>0</v>
      </c>
    </row>
    <row r="173" spans="1:31" x14ac:dyDescent="0.2">
      <c r="A173" s="66"/>
      <c r="B173" s="66"/>
      <c r="C173" s="66"/>
      <c r="D173" s="144"/>
      <c r="E173" s="67"/>
      <c r="F173" s="67"/>
      <c r="G173" s="67"/>
      <c r="H173" s="67">
        <f>ROUND(+E173+G173,4)</f>
        <v>0</v>
      </c>
      <c r="I173" s="67"/>
      <c r="J173" s="67">
        <f>ROUND(+I173-H173,4)</f>
        <v>0</v>
      </c>
      <c r="K173" s="67">
        <f>ROUND(IF(F173="alluminio",0,I173*1.5%),4)</f>
        <v>0</v>
      </c>
      <c r="L173" s="67">
        <f>ROUND(IF(K173&lt;J173,K173,0),4)</f>
        <v>0</v>
      </c>
      <c r="M173" s="67">
        <f>ROUND(IF(J173&gt;K173,0,J173),4)</f>
        <v>0</v>
      </c>
      <c r="N173" s="67">
        <f>ROUND(+L173*D173,4)</f>
        <v>0</v>
      </c>
      <c r="O173" s="67">
        <f>ROUND(IF(F173="rame",0,+I173*3%),4)</f>
        <v>0</v>
      </c>
      <c r="P173" s="67">
        <f>ROUND(IF(O173&lt;J173,O173,0),4)</f>
        <v>0</v>
      </c>
      <c r="Q173" s="67">
        <f>ROUND(IF(J173&gt;O173,0,J173),4)</f>
        <v>0</v>
      </c>
      <c r="R173" s="67">
        <f>ROUND(+P173*D173,4)</f>
        <v>0</v>
      </c>
      <c r="S173" s="67">
        <f>ROUND(IF(K173=0,0,M173*D173),4)</f>
        <v>0</v>
      </c>
      <c r="T173" s="67">
        <f>ROUND(+IF(K173=0,Q173*D173,0),4)</f>
        <v>0</v>
      </c>
      <c r="U173" s="67">
        <f>ROUND(+N173+R173+S173+T173,4)</f>
        <v>0</v>
      </c>
      <c r="V173" s="67">
        <f>ROUND(IF(P173=0,0,I173-H173-O173)+IF(L173=0,0,I173-H173-K173),4)</f>
        <v>0</v>
      </c>
      <c r="W173" s="67">
        <f>ROUND(+(V173*60%)*D173,4)</f>
        <v>0</v>
      </c>
      <c r="X173" s="148">
        <f>ROUND(+U173+W173,4)</f>
        <v>0</v>
      </c>
      <c r="Y173" s="68"/>
      <c r="Z173" s="148">
        <f>ROUND(IF(X173&gt;I173,X173,I173),4)</f>
        <v>0</v>
      </c>
      <c r="AD173" s="78">
        <f t="shared" si="8"/>
        <v>0</v>
      </c>
      <c r="AE173" s="78">
        <f t="shared" si="9"/>
        <v>0</v>
      </c>
    </row>
    <row r="174" spans="1:31" x14ac:dyDescent="0.2">
      <c r="A174" s="66"/>
      <c r="B174" s="66"/>
      <c r="C174" s="66"/>
      <c r="D174" s="144"/>
      <c r="E174" s="67"/>
      <c r="F174" s="67"/>
      <c r="G174" s="67"/>
      <c r="H174" s="67">
        <f>ROUND(+E174+G174,4)</f>
        <v>0</v>
      </c>
      <c r="I174" s="67"/>
      <c r="J174" s="67">
        <f>ROUND(+I174-H174,4)</f>
        <v>0</v>
      </c>
      <c r="K174" s="67">
        <f>ROUND(IF(F174="alluminio",0,I174*1.5%),4)</f>
        <v>0</v>
      </c>
      <c r="L174" s="67">
        <f>ROUND(IF(K174&lt;J174,K174,0),4)</f>
        <v>0</v>
      </c>
      <c r="M174" s="67">
        <f>ROUND(IF(J174&gt;K174,0,J174),4)</f>
        <v>0</v>
      </c>
      <c r="N174" s="67">
        <f>ROUND(+L174*D174,4)</f>
        <v>0</v>
      </c>
      <c r="O174" s="67">
        <f>ROUND(IF(F174="rame",0,+I174*3%),4)</f>
        <v>0</v>
      </c>
      <c r="P174" s="67">
        <f>ROUND(IF(O174&lt;J174,O174,0),4)</f>
        <v>0</v>
      </c>
      <c r="Q174" s="67">
        <f>ROUND(IF(J174&gt;O174,0,J174),4)</f>
        <v>0</v>
      </c>
      <c r="R174" s="67">
        <f>ROUND(+P174*D174,4)</f>
        <v>0</v>
      </c>
      <c r="S174" s="67">
        <f>ROUND(IF(K174=0,0,M174*D174),4)</f>
        <v>0</v>
      </c>
      <c r="T174" s="67">
        <f>ROUND(+IF(K174=0,Q174*D174,0),4)</f>
        <v>0</v>
      </c>
      <c r="U174" s="67">
        <f>ROUND(+N174+R174+S174+T174,4)</f>
        <v>0</v>
      </c>
      <c r="V174" s="67">
        <f>ROUND(IF(P174=0,0,I174-H174-O174)+IF(L174=0,0,I174-H174-K174),4)</f>
        <v>0</v>
      </c>
      <c r="W174" s="67">
        <f>ROUND(+(V174*60%)*D174,4)</f>
        <v>0</v>
      </c>
      <c r="X174" s="148">
        <f>ROUND(+U174+W174,4)</f>
        <v>0</v>
      </c>
      <c r="Y174" s="68"/>
      <c r="Z174" s="148">
        <f>ROUND(IF(X174&gt;I174,X174,I174),4)</f>
        <v>0</v>
      </c>
      <c r="AD174" s="78">
        <f t="shared" si="8"/>
        <v>0</v>
      </c>
      <c r="AE174" s="78">
        <f t="shared" si="9"/>
        <v>0</v>
      </c>
    </row>
    <row r="175" spans="1:31" x14ac:dyDescent="0.2">
      <c r="A175" s="66"/>
      <c r="B175" s="66"/>
      <c r="C175" s="66"/>
      <c r="D175" s="144"/>
      <c r="E175" s="67"/>
      <c r="F175" s="67"/>
      <c r="G175" s="67"/>
      <c r="H175" s="67">
        <f>ROUND(+E175+G175,4)</f>
        <v>0</v>
      </c>
      <c r="I175" s="67"/>
      <c r="J175" s="67">
        <f>ROUND(+I175-H175,4)</f>
        <v>0</v>
      </c>
      <c r="K175" s="67">
        <f>ROUND(IF(F175="alluminio",0,I175*1.5%),4)</f>
        <v>0</v>
      </c>
      <c r="L175" s="67">
        <f>ROUND(IF(K175&lt;J175,K175,0),4)</f>
        <v>0</v>
      </c>
      <c r="M175" s="67">
        <f>ROUND(IF(J175&gt;K175,0,J175),4)</f>
        <v>0</v>
      </c>
      <c r="N175" s="67">
        <f>ROUND(+L175*D175,4)</f>
        <v>0</v>
      </c>
      <c r="O175" s="67">
        <f>ROUND(IF(F175="rame",0,+I175*3%),4)</f>
        <v>0</v>
      </c>
      <c r="P175" s="67">
        <f>ROUND(IF(O175&lt;J175,O175,0),4)</f>
        <v>0</v>
      </c>
      <c r="Q175" s="67">
        <f>ROUND(IF(J175&gt;O175,0,J175),4)</f>
        <v>0</v>
      </c>
      <c r="R175" s="67">
        <f>ROUND(+P175*D175,4)</f>
        <v>0</v>
      </c>
      <c r="S175" s="67">
        <f>ROUND(IF(K175=0,0,M175*D175),4)</f>
        <v>0</v>
      </c>
      <c r="T175" s="67">
        <f>ROUND(+IF(K175=0,Q175*D175,0),4)</f>
        <v>0</v>
      </c>
      <c r="U175" s="67">
        <f>ROUND(+N175+R175+S175+T175,4)</f>
        <v>0</v>
      </c>
      <c r="V175" s="67">
        <f>ROUND(IF(P175=0,0,I175-H175-O175)+IF(L175=0,0,I175-H175-K175),4)</f>
        <v>0</v>
      </c>
      <c r="W175" s="67">
        <f>ROUND(+(V175*60%)*D175,4)</f>
        <v>0</v>
      </c>
      <c r="X175" s="148">
        <f>ROUND(+U175+W175,4)</f>
        <v>0</v>
      </c>
      <c r="Y175" s="68"/>
      <c r="Z175" s="148">
        <f>ROUND(IF(X175&gt;I175,X175,I175),4)</f>
        <v>0</v>
      </c>
      <c r="AD175" s="78">
        <f t="shared" si="8"/>
        <v>0</v>
      </c>
      <c r="AE175" s="78">
        <f t="shared" si="9"/>
        <v>0</v>
      </c>
    </row>
    <row r="176" spans="1:31" x14ac:dyDescent="0.2">
      <c r="A176" s="66"/>
      <c r="B176" s="66"/>
      <c r="C176" s="66"/>
      <c r="D176" s="144"/>
      <c r="E176" s="67"/>
      <c r="F176" s="67"/>
      <c r="G176" s="67"/>
      <c r="H176" s="67">
        <f>ROUND(+E176+G176,4)</f>
        <v>0</v>
      </c>
      <c r="I176" s="67"/>
      <c r="J176" s="67">
        <f>ROUND(+I176-H176,4)</f>
        <v>0</v>
      </c>
      <c r="K176" s="67">
        <f>ROUND(IF(F176="alluminio",0,I176*1.5%),4)</f>
        <v>0</v>
      </c>
      <c r="L176" s="67">
        <f>ROUND(IF(K176&lt;J176,K176,0),4)</f>
        <v>0</v>
      </c>
      <c r="M176" s="67">
        <f>ROUND(IF(J176&gt;K176,0,J176),4)</f>
        <v>0</v>
      </c>
      <c r="N176" s="67">
        <f>ROUND(+L176*D176,4)</f>
        <v>0</v>
      </c>
      <c r="O176" s="67">
        <f>ROUND(IF(F176="rame",0,+I176*3%),4)</f>
        <v>0</v>
      </c>
      <c r="P176" s="67">
        <f>ROUND(IF(O176&lt;J176,O176,0),4)</f>
        <v>0</v>
      </c>
      <c r="Q176" s="67">
        <f>ROUND(IF(J176&gt;O176,0,J176),4)</f>
        <v>0</v>
      </c>
      <c r="R176" s="67">
        <f>ROUND(+P176*D176,4)</f>
        <v>0</v>
      </c>
      <c r="S176" s="67">
        <f>ROUND(IF(K176=0,0,M176*D176),4)</f>
        <v>0</v>
      </c>
      <c r="T176" s="67">
        <f>ROUND(+IF(K176=0,Q176*D176,0),4)</f>
        <v>0</v>
      </c>
      <c r="U176" s="67">
        <f>ROUND(+N176+R176+S176+T176,4)</f>
        <v>0</v>
      </c>
      <c r="V176" s="67">
        <f>ROUND(IF(P176=0,0,I176-H176-O176)+IF(L176=0,0,I176-H176-K176),4)</f>
        <v>0</v>
      </c>
      <c r="W176" s="67">
        <f>ROUND(+(V176*60%)*D176,4)</f>
        <v>0</v>
      </c>
      <c r="X176" s="148">
        <f>ROUND(+U176+W176,4)</f>
        <v>0</v>
      </c>
      <c r="Y176" s="68"/>
      <c r="Z176" s="148">
        <f>ROUND(IF(X176&gt;I176,X176,I176),4)</f>
        <v>0</v>
      </c>
      <c r="AD176" s="78">
        <f t="shared" si="8"/>
        <v>0</v>
      </c>
      <c r="AE176" s="78">
        <f t="shared" si="9"/>
        <v>0</v>
      </c>
    </row>
    <row r="177" spans="1:31" x14ac:dyDescent="0.2">
      <c r="A177" s="66"/>
      <c r="B177" s="66"/>
      <c r="C177" s="66"/>
      <c r="D177" s="144"/>
      <c r="E177" s="67"/>
      <c r="F177" s="67"/>
      <c r="G177" s="67"/>
      <c r="H177" s="67">
        <f>ROUND(+E177+G177,4)</f>
        <v>0</v>
      </c>
      <c r="I177" s="67"/>
      <c r="J177" s="67">
        <f>ROUND(+I177-H177,4)</f>
        <v>0</v>
      </c>
      <c r="K177" s="67">
        <f>ROUND(IF(F177="alluminio",0,I177*1.5%),4)</f>
        <v>0</v>
      </c>
      <c r="L177" s="67">
        <f>ROUND(IF(K177&lt;J177,K177,0),4)</f>
        <v>0</v>
      </c>
      <c r="M177" s="67">
        <f>ROUND(IF(J177&gt;K177,0,J177),4)</f>
        <v>0</v>
      </c>
      <c r="N177" s="67">
        <f>ROUND(+L177*D177,4)</f>
        <v>0</v>
      </c>
      <c r="O177" s="67">
        <f>ROUND(IF(F177="rame",0,+I177*3%),4)</f>
        <v>0</v>
      </c>
      <c r="P177" s="67">
        <f>ROUND(IF(O177&lt;J177,O177,0),4)</f>
        <v>0</v>
      </c>
      <c r="Q177" s="67">
        <f>ROUND(IF(J177&gt;O177,0,J177),4)</f>
        <v>0</v>
      </c>
      <c r="R177" s="67">
        <f>ROUND(+P177*D177,4)</f>
        <v>0</v>
      </c>
      <c r="S177" s="67">
        <f>ROUND(IF(K177=0,0,M177*D177),4)</f>
        <v>0</v>
      </c>
      <c r="T177" s="67">
        <f>ROUND(+IF(K177=0,Q177*D177,0),4)</f>
        <v>0</v>
      </c>
      <c r="U177" s="67">
        <f>ROUND(+N177+R177+S177+T177,4)</f>
        <v>0</v>
      </c>
      <c r="V177" s="67">
        <f>ROUND(IF(P177=0,0,I177-H177-O177)+IF(L177=0,0,I177-H177-K177),4)</f>
        <v>0</v>
      </c>
      <c r="W177" s="67">
        <f>ROUND(+(V177*60%)*D177,4)</f>
        <v>0</v>
      </c>
      <c r="X177" s="148">
        <f>ROUND(+U177+W177,4)</f>
        <v>0</v>
      </c>
      <c r="Y177" s="68"/>
      <c r="Z177" s="148">
        <f>ROUND(IF(X177&gt;I177,X177,I177),4)</f>
        <v>0</v>
      </c>
      <c r="AD177" s="78">
        <f t="shared" si="8"/>
        <v>0</v>
      </c>
      <c r="AE177" s="78">
        <f t="shared" si="9"/>
        <v>0</v>
      </c>
    </row>
    <row r="178" spans="1:31" x14ac:dyDescent="0.2">
      <c r="A178" s="66"/>
      <c r="B178" s="66"/>
      <c r="C178" s="66"/>
      <c r="D178" s="144"/>
      <c r="E178" s="67"/>
      <c r="F178" s="67"/>
      <c r="G178" s="67"/>
      <c r="H178" s="67">
        <f>ROUND(+E178+G178,4)</f>
        <v>0</v>
      </c>
      <c r="I178" s="67"/>
      <c r="J178" s="67">
        <f>ROUND(+I178-H178,4)</f>
        <v>0</v>
      </c>
      <c r="K178" s="67">
        <f>ROUND(IF(F178="alluminio",0,I178*1.5%),4)</f>
        <v>0</v>
      </c>
      <c r="L178" s="67">
        <f>ROUND(IF(K178&lt;J178,K178,0),4)</f>
        <v>0</v>
      </c>
      <c r="M178" s="67">
        <f>ROUND(IF(J178&gt;K178,0,J178),4)</f>
        <v>0</v>
      </c>
      <c r="N178" s="67">
        <f>ROUND(+L178*D178,4)</f>
        <v>0</v>
      </c>
      <c r="O178" s="67">
        <f>ROUND(IF(F178="rame",0,+I178*3%),4)</f>
        <v>0</v>
      </c>
      <c r="P178" s="67">
        <f>ROUND(IF(O178&lt;J178,O178,0),4)</f>
        <v>0</v>
      </c>
      <c r="Q178" s="67">
        <f>ROUND(IF(J178&gt;O178,0,J178),4)</f>
        <v>0</v>
      </c>
      <c r="R178" s="67">
        <f>ROUND(+P178*D178,4)</f>
        <v>0</v>
      </c>
      <c r="S178" s="67">
        <f>ROUND(IF(K178=0,0,M178*D178),4)</f>
        <v>0</v>
      </c>
      <c r="T178" s="67">
        <f>ROUND(+IF(K178=0,Q178*D178,0),4)</f>
        <v>0</v>
      </c>
      <c r="U178" s="67">
        <f>ROUND(+N178+R178+S178+T178,4)</f>
        <v>0</v>
      </c>
      <c r="V178" s="67">
        <f>ROUND(IF(P178=0,0,I178-H178-O178)+IF(L178=0,0,I178-H178-K178),4)</f>
        <v>0</v>
      </c>
      <c r="W178" s="67">
        <f>ROUND(+(V178*60%)*D178,4)</f>
        <v>0</v>
      </c>
      <c r="X178" s="148">
        <f>ROUND(+U178+W178,4)</f>
        <v>0</v>
      </c>
      <c r="Y178" s="68"/>
      <c r="Z178" s="148">
        <f>ROUND(IF(X178&gt;I178,X178,I178),4)</f>
        <v>0</v>
      </c>
    </row>
    <row r="179" spans="1:31" x14ac:dyDescent="0.2">
      <c r="A179" s="66"/>
      <c r="B179" s="66"/>
      <c r="C179" s="66"/>
      <c r="D179" s="144"/>
      <c r="E179" s="67"/>
      <c r="F179" s="67"/>
      <c r="G179" s="67"/>
      <c r="H179" s="67">
        <f>ROUND(+E179+G179,4)</f>
        <v>0</v>
      </c>
      <c r="I179" s="67"/>
      <c r="J179" s="67">
        <f>ROUND(+I179-H179,4)</f>
        <v>0</v>
      </c>
      <c r="K179" s="67">
        <f>ROUND(IF(F179="alluminio",0,I179*1.5%),4)</f>
        <v>0</v>
      </c>
      <c r="L179" s="67">
        <f>ROUND(IF(K179&lt;J179,K179,0),4)</f>
        <v>0</v>
      </c>
      <c r="M179" s="67">
        <f>ROUND(IF(J179&gt;K179,0,J179),4)</f>
        <v>0</v>
      </c>
      <c r="N179" s="67">
        <f>ROUND(+L179*D179,4)</f>
        <v>0</v>
      </c>
      <c r="O179" s="67">
        <f>ROUND(IF(F179="rame",0,+I179*3%),4)</f>
        <v>0</v>
      </c>
      <c r="P179" s="67">
        <f>ROUND(IF(O179&lt;J179,O179,0),4)</f>
        <v>0</v>
      </c>
      <c r="Q179" s="67">
        <f>ROUND(IF(J179&gt;O179,0,J179),4)</f>
        <v>0</v>
      </c>
      <c r="R179" s="67">
        <f>ROUND(+P179*D179,4)</f>
        <v>0</v>
      </c>
      <c r="S179" s="67">
        <f>ROUND(IF(K179=0,0,M179*D179),4)</f>
        <v>0</v>
      </c>
      <c r="T179" s="67">
        <f>ROUND(+IF(K179=0,Q179*D179,0),4)</f>
        <v>0</v>
      </c>
      <c r="U179" s="67">
        <f>ROUND(+N179+R179+S179+T179,4)</f>
        <v>0</v>
      </c>
      <c r="V179" s="67">
        <f>ROUND(IF(P179=0,0,I179-H179-O179)+IF(L179=0,0,I179-H179-K179),4)</f>
        <v>0</v>
      </c>
      <c r="W179" s="67">
        <f>ROUND(+(V179*60%)*D179,4)</f>
        <v>0</v>
      </c>
      <c r="X179" s="148">
        <f>ROUND(+U179+W179,4)</f>
        <v>0</v>
      </c>
      <c r="Y179" s="68"/>
      <c r="Z179" s="148">
        <f>ROUND(IF(X179&gt;I179,X179,I179),4)</f>
        <v>0</v>
      </c>
    </row>
    <row r="180" spans="1:31" x14ac:dyDescent="0.2">
      <c r="A180" s="66"/>
      <c r="B180" s="66"/>
      <c r="C180" s="66"/>
      <c r="D180" s="144"/>
      <c r="E180" s="67"/>
      <c r="F180" s="67"/>
      <c r="G180" s="67"/>
      <c r="H180" s="67">
        <f>ROUND(+E180+G180,4)</f>
        <v>0</v>
      </c>
      <c r="I180" s="67"/>
      <c r="J180" s="67">
        <f>ROUND(+I180-H180,4)</f>
        <v>0</v>
      </c>
      <c r="K180" s="67">
        <f>ROUND(IF(F180="alluminio",0,I180*1.5%),4)</f>
        <v>0</v>
      </c>
      <c r="L180" s="67">
        <f>ROUND(IF(K180&lt;J180,K180,0),4)</f>
        <v>0</v>
      </c>
      <c r="M180" s="67">
        <f>ROUND(IF(J180&gt;K180,0,J180),4)</f>
        <v>0</v>
      </c>
      <c r="N180" s="67">
        <f>ROUND(+L180*D180,4)</f>
        <v>0</v>
      </c>
      <c r="O180" s="67">
        <f>ROUND(IF(F180="rame",0,+I180*3%),4)</f>
        <v>0</v>
      </c>
      <c r="P180" s="67">
        <f>ROUND(IF(O180&lt;J180,O180,0),4)</f>
        <v>0</v>
      </c>
      <c r="Q180" s="67">
        <f>ROUND(IF(J180&gt;O180,0,J180),4)</f>
        <v>0</v>
      </c>
      <c r="R180" s="67">
        <f>ROUND(+P180*D180,4)</f>
        <v>0</v>
      </c>
      <c r="S180" s="67">
        <f>ROUND(IF(K180=0,0,M180*D180),4)</f>
        <v>0</v>
      </c>
      <c r="T180" s="67">
        <f>ROUND(+IF(K180=0,Q180*D180,0),4)</f>
        <v>0</v>
      </c>
      <c r="U180" s="67">
        <f>ROUND(+N180+R180+S180+T180,4)</f>
        <v>0</v>
      </c>
      <c r="V180" s="67">
        <f>ROUND(IF(P180=0,0,I180-H180-O180)+IF(L180=0,0,I180-H180-K180),4)</f>
        <v>0</v>
      </c>
      <c r="W180" s="67">
        <f>ROUND(+(V180*60%)*D180,4)</f>
        <v>0</v>
      </c>
      <c r="X180" s="148">
        <f>ROUND(+U180+W180,4)</f>
        <v>0</v>
      </c>
      <c r="Y180" s="68"/>
      <c r="Z180" s="148">
        <f>ROUND(IF(X180&gt;I180,X180,I180),4)</f>
        <v>0</v>
      </c>
    </row>
    <row r="181" spans="1:31" x14ac:dyDescent="0.2">
      <c r="A181" s="66"/>
      <c r="B181" s="66"/>
      <c r="C181" s="66"/>
      <c r="D181" s="144"/>
      <c r="E181" s="67"/>
      <c r="F181" s="67"/>
      <c r="G181" s="67"/>
      <c r="H181" s="67">
        <f>ROUND(+E181+G181,4)</f>
        <v>0</v>
      </c>
      <c r="I181" s="67"/>
      <c r="J181" s="67">
        <f>ROUND(+I181-H181,4)</f>
        <v>0</v>
      </c>
      <c r="K181" s="67">
        <f>ROUND(IF(F181="alluminio",0,I181*1.5%),4)</f>
        <v>0</v>
      </c>
      <c r="L181" s="67">
        <f>ROUND(IF(K181&lt;J181,K181,0),4)</f>
        <v>0</v>
      </c>
      <c r="M181" s="67">
        <f>ROUND(IF(J181&gt;K181,0,J181),4)</f>
        <v>0</v>
      </c>
      <c r="N181" s="67">
        <f>ROUND(+L181*D181,4)</f>
        <v>0</v>
      </c>
      <c r="O181" s="67">
        <f>ROUND(IF(F181="rame",0,+I181*3%),4)</f>
        <v>0</v>
      </c>
      <c r="P181" s="67">
        <f>ROUND(IF(O181&lt;J181,O181,0),4)</f>
        <v>0</v>
      </c>
      <c r="Q181" s="67">
        <f>ROUND(IF(J181&gt;O181,0,J181),4)</f>
        <v>0</v>
      </c>
      <c r="R181" s="67">
        <f>ROUND(+P181*D181,4)</f>
        <v>0</v>
      </c>
      <c r="S181" s="67">
        <f>ROUND(IF(K181=0,0,M181*D181),4)</f>
        <v>0</v>
      </c>
      <c r="T181" s="67">
        <f>ROUND(+IF(K181=0,Q181*D181,0),4)</f>
        <v>0</v>
      </c>
      <c r="U181" s="67">
        <f>ROUND(+N181+R181+S181+T181,4)</f>
        <v>0</v>
      </c>
      <c r="V181" s="67">
        <f>ROUND(IF(P181=0,0,I181-H181-O181)+IF(L181=0,0,I181-H181-K181),4)</f>
        <v>0</v>
      </c>
      <c r="W181" s="67">
        <f>ROUND(+(V181*60%)*D181,4)</f>
        <v>0</v>
      </c>
      <c r="X181" s="148">
        <f>ROUND(+U181+W181,4)</f>
        <v>0</v>
      </c>
      <c r="Y181" s="68"/>
      <c r="Z181" s="148">
        <f>ROUND(IF(X181&gt;I181,X181,I181),4)</f>
        <v>0</v>
      </c>
    </row>
    <row r="182" spans="1:31" x14ac:dyDescent="0.2">
      <c r="A182" s="66"/>
      <c r="B182" s="66"/>
      <c r="C182" s="66"/>
      <c r="D182" s="144"/>
      <c r="E182" s="67"/>
      <c r="F182" s="67"/>
      <c r="G182" s="67"/>
      <c r="H182" s="67">
        <f>ROUND(+E182+G182,4)</f>
        <v>0</v>
      </c>
      <c r="I182" s="67"/>
      <c r="J182" s="67">
        <f>ROUND(+I182-H182,4)</f>
        <v>0</v>
      </c>
      <c r="K182" s="67">
        <f>ROUND(IF(F182="alluminio",0,I182*1.5%),4)</f>
        <v>0</v>
      </c>
      <c r="L182" s="67">
        <f>ROUND(IF(K182&lt;J182,K182,0),4)</f>
        <v>0</v>
      </c>
      <c r="M182" s="67">
        <f>ROUND(IF(J182&gt;K182,0,J182),4)</f>
        <v>0</v>
      </c>
      <c r="N182" s="67">
        <f>ROUND(+L182*D182,4)</f>
        <v>0</v>
      </c>
      <c r="O182" s="67">
        <f>ROUND(IF(F182="rame",0,+I182*3%),4)</f>
        <v>0</v>
      </c>
      <c r="P182" s="67">
        <f>ROUND(IF(O182&lt;J182,O182,0),4)</f>
        <v>0</v>
      </c>
      <c r="Q182" s="67">
        <f>ROUND(IF(J182&gt;O182,0,J182),4)</f>
        <v>0</v>
      </c>
      <c r="R182" s="67">
        <f>ROUND(+P182*D182,4)</f>
        <v>0</v>
      </c>
      <c r="S182" s="67">
        <f>ROUND(IF(K182=0,0,M182*D182),4)</f>
        <v>0</v>
      </c>
      <c r="T182" s="67">
        <f>ROUND(+IF(K182=0,Q182*D182,0),4)</f>
        <v>0</v>
      </c>
      <c r="U182" s="67">
        <f>ROUND(+N182+R182+S182+T182,4)</f>
        <v>0</v>
      </c>
      <c r="V182" s="67">
        <f>ROUND(IF(P182=0,0,I182-H182-O182)+IF(L182=0,0,I182-H182-K182),4)</f>
        <v>0</v>
      </c>
      <c r="W182" s="67">
        <f>ROUND(+(V182*60%)*D182,4)</f>
        <v>0</v>
      </c>
      <c r="X182" s="148">
        <f>ROUND(+U182+W182,4)</f>
        <v>0</v>
      </c>
      <c r="Y182" s="68"/>
      <c r="Z182" s="148">
        <f>ROUND(IF(X182&gt;I182,X182,I182),4)</f>
        <v>0</v>
      </c>
    </row>
    <row r="183" spans="1:31" x14ac:dyDescent="0.2">
      <c r="A183" s="66"/>
      <c r="B183" s="66"/>
      <c r="C183" s="66"/>
      <c r="D183" s="144"/>
      <c r="E183" s="67"/>
      <c r="F183" s="67"/>
      <c r="G183" s="67"/>
      <c r="H183" s="67">
        <f>ROUND(+E183+G183,4)</f>
        <v>0</v>
      </c>
      <c r="I183" s="67"/>
      <c r="J183" s="67">
        <f>ROUND(+I183-H183,4)</f>
        <v>0</v>
      </c>
      <c r="K183" s="67">
        <f>ROUND(IF(F183="alluminio",0,I183*1.5%),4)</f>
        <v>0</v>
      </c>
      <c r="L183" s="67">
        <f>ROUND(IF(K183&lt;J183,K183,0),4)</f>
        <v>0</v>
      </c>
      <c r="M183" s="67">
        <f>ROUND(IF(J183&gt;K183,0,J183),4)</f>
        <v>0</v>
      </c>
      <c r="N183" s="67">
        <f>ROUND(+L183*D183,4)</f>
        <v>0</v>
      </c>
      <c r="O183" s="67">
        <f>ROUND(IF(F183="rame",0,+I183*3%),4)</f>
        <v>0</v>
      </c>
      <c r="P183" s="67">
        <f>ROUND(IF(O183&lt;J183,O183,0),4)</f>
        <v>0</v>
      </c>
      <c r="Q183" s="67">
        <f>ROUND(IF(J183&gt;O183,0,J183),4)</f>
        <v>0</v>
      </c>
      <c r="R183" s="67">
        <f>ROUND(+P183*D183,4)</f>
        <v>0</v>
      </c>
      <c r="S183" s="67">
        <f>ROUND(IF(K183=0,0,M183*D183),4)</f>
        <v>0</v>
      </c>
      <c r="T183" s="67">
        <f>ROUND(+IF(K183=0,Q183*D183,0),4)</f>
        <v>0</v>
      </c>
      <c r="U183" s="67">
        <f>ROUND(+N183+R183+S183+T183,4)</f>
        <v>0</v>
      </c>
      <c r="V183" s="67">
        <f>ROUND(IF(P183=0,0,I183-H183-O183)+IF(L183=0,0,I183-H183-K183),4)</f>
        <v>0</v>
      </c>
      <c r="W183" s="67">
        <f>ROUND(+(V183*60%)*D183,4)</f>
        <v>0</v>
      </c>
      <c r="X183" s="148">
        <f>ROUND(+U183+W183,4)</f>
        <v>0</v>
      </c>
      <c r="Y183" s="68"/>
      <c r="Z183" s="148">
        <f>ROUND(IF(X183&gt;I183,X183,I183),4)</f>
        <v>0</v>
      </c>
    </row>
    <row r="184" spans="1:31" x14ac:dyDescent="0.2">
      <c r="A184" s="66"/>
      <c r="B184" s="66"/>
      <c r="C184" s="66"/>
      <c r="D184" s="144"/>
      <c r="E184" s="67"/>
      <c r="F184" s="67"/>
      <c r="G184" s="67"/>
      <c r="H184" s="67">
        <f>ROUND(+E184+G184,4)</f>
        <v>0</v>
      </c>
      <c r="I184" s="67"/>
      <c r="J184" s="67">
        <f>ROUND(+I184-H184,4)</f>
        <v>0</v>
      </c>
      <c r="K184" s="67">
        <f>ROUND(IF(F184="alluminio",0,I184*1.5%),4)</f>
        <v>0</v>
      </c>
      <c r="L184" s="67">
        <f>ROUND(IF(K184&lt;J184,K184,0),4)</f>
        <v>0</v>
      </c>
      <c r="M184" s="67">
        <f>ROUND(IF(J184&gt;K184,0,J184),4)</f>
        <v>0</v>
      </c>
      <c r="N184" s="67">
        <f>ROUND(+L184*D184,4)</f>
        <v>0</v>
      </c>
      <c r="O184" s="67">
        <f>ROUND(IF(F184="rame",0,+I184*3%),4)</f>
        <v>0</v>
      </c>
      <c r="P184" s="67">
        <f>ROUND(IF(O184&lt;J184,O184,0),4)</f>
        <v>0</v>
      </c>
      <c r="Q184" s="67">
        <f>ROUND(IF(J184&gt;O184,0,J184),4)</f>
        <v>0</v>
      </c>
      <c r="R184" s="67">
        <f>ROUND(+P184*D184,4)</f>
        <v>0</v>
      </c>
      <c r="S184" s="67">
        <f>ROUND(IF(K184=0,0,M184*D184),4)</f>
        <v>0</v>
      </c>
      <c r="T184" s="67">
        <f>ROUND(+IF(K184=0,Q184*D184,0),4)</f>
        <v>0</v>
      </c>
      <c r="U184" s="67">
        <f>ROUND(+N184+R184+S184+T184,4)</f>
        <v>0</v>
      </c>
      <c r="V184" s="67">
        <f>ROUND(IF(P184=0,0,I184-H184-O184)+IF(L184=0,0,I184-H184-K184),4)</f>
        <v>0</v>
      </c>
      <c r="W184" s="67">
        <f>ROUND(+(V184*60%)*D184,4)</f>
        <v>0</v>
      </c>
      <c r="X184" s="148">
        <f>ROUND(+U184+W184,4)</f>
        <v>0</v>
      </c>
      <c r="Y184" s="68"/>
      <c r="Z184" s="148">
        <f>ROUND(IF(X184&gt;I184,X184,I184),4)</f>
        <v>0</v>
      </c>
    </row>
    <row r="185" spans="1:31" x14ac:dyDescent="0.2">
      <c r="A185" s="66"/>
      <c r="B185" s="66"/>
      <c r="C185" s="66"/>
      <c r="D185" s="144"/>
      <c r="E185" s="67"/>
      <c r="F185" s="67"/>
      <c r="G185" s="67"/>
      <c r="H185" s="67">
        <f>ROUND(+E185+G185,4)</f>
        <v>0</v>
      </c>
      <c r="I185" s="67"/>
      <c r="J185" s="67">
        <f>ROUND(+I185-H185,4)</f>
        <v>0</v>
      </c>
      <c r="K185" s="67">
        <f>ROUND(IF(F185="alluminio",0,I185*1.5%),4)</f>
        <v>0</v>
      </c>
      <c r="L185" s="67">
        <f>ROUND(IF(K185&lt;J185,K185,0),4)</f>
        <v>0</v>
      </c>
      <c r="M185" s="67">
        <f>ROUND(IF(J185&gt;K185,0,J185),4)</f>
        <v>0</v>
      </c>
      <c r="N185" s="67">
        <f>ROUND(+L185*D185,4)</f>
        <v>0</v>
      </c>
      <c r="O185" s="67">
        <f>ROUND(IF(F185="rame",0,+I185*3%),4)</f>
        <v>0</v>
      </c>
      <c r="P185" s="67">
        <f>ROUND(IF(O185&lt;J185,O185,0),4)</f>
        <v>0</v>
      </c>
      <c r="Q185" s="67">
        <f>ROUND(IF(J185&gt;O185,0,J185),4)</f>
        <v>0</v>
      </c>
      <c r="R185" s="67">
        <f>ROUND(+P185*D185,4)</f>
        <v>0</v>
      </c>
      <c r="S185" s="67">
        <f>ROUND(IF(K185=0,0,M185*D185),4)</f>
        <v>0</v>
      </c>
      <c r="T185" s="67">
        <f>ROUND(+IF(K185=0,Q185*D185,0),4)</f>
        <v>0</v>
      </c>
      <c r="U185" s="67">
        <f>ROUND(+N185+R185+S185+T185,4)</f>
        <v>0</v>
      </c>
      <c r="V185" s="67">
        <f>ROUND(IF(P185=0,0,I185-H185-O185)+IF(L185=0,0,I185-H185-K185),4)</f>
        <v>0</v>
      </c>
      <c r="W185" s="67">
        <f>ROUND(+(V185*60%)*D185,4)</f>
        <v>0</v>
      </c>
      <c r="X185" s="148">
        <f>ROUND(+U185+W185,4)</f>
        <v>0</v>
      </c>
      <c r="Y185" s="68"/>
      <c r="Z185" s="148">
        <f>ROUND(IF(X185&gt;I185,X185,I185),4)</f>
        <v>0</v>
      </c>
    </row>
    <row r="186" spans="1:31" x14ac:dyDescent="0.2">
      <c r="A186" s="66"/>
      <c r="B186" s="66"/>
      <c r="C186" s="66"/>
      <c r="D186" s="144"/>
      <c r="E186" s="67"/>
      <c r="F186" s="67"/>
      <c r="G186" s="67"/>
      <c r="H186" s="67">
        <f>ROUND(+E186+G186,4)</f>
        <v>0</v>
      </c>
      <c r="I186" s="67"/>
      <c r="J186" s="67">
        <f>ROUND(+I186-H186,4)</f>
        <v>0</v>
      </c>
      <c r="K186" s="67">
        <f>ROUND(IF(F186="alluminio",0,I186*1.5%),4)</f>
        <v>0</v>
      </c>
      <c r="L186" s="67">
        <f>ROUND(IF(K186&lt;J186,K186,0),4)</f>
        <v>0</v>
      </c>
      <c r="M186" s="67">
        <f>ROUND(IF(J186&gt;K186,0,J186),4)</f>
        <v>0</v>
      </c>
      <c r="N186" s="67">
        <f>ROUND(+L186*D186,4)</f>
        <v>0</v>
      </c>
      <c r="O186" s="67">
        <f>ROUND(IF(F186="rame",0,+I186*3%),4)</f>
        <v>0</v>
      </c>
      <c r="P186" s="67">
        <f>ROUND(IF(O186&lt;J186,O186,0),4)</f>
        <v>0</v>
      </c>
      <c r="Q186" s="67">
        <f>ROUND(IF(J186&gt;O186,0,J186),4)</f>
        <v>0</v>
      </c>
      <c r="R186" s="67">
        <f>ROUND(+P186*D186,4)</f>
        <v>0</v>
      </c>
      <c r="S186" s="67">
        <f>ROUND(IF(K186=0,0,M186*D186),4)</f>
        <v>0</v>
      </c>
      <c r="T186" s="67">
        <f>ROUND(+IF(K186=0,Q186*D186,0),4)</f>
        <v>0</v>
      </c>
      <c r="U186" s="67">
        <f>ROUND(+N186+R186+S186+T186,4)</f>
        <v>0</v>
      </c>
      <c r="V186" s="67">
        <f>ROUND(IF(P186=0,0,I186-H186-O186)+IF(L186=0,0,I186-H186-K186),4)</f>
        <v>0</v>
      </c>
      <c r="W186" s="67">
        <f>ROUND(+(V186*60%)*D186,4)</f>
        <v>0</v>
      </c>
      <c r="X186" s="148">
        <f>ROUND(+U186+W186,4)</f>
        <v>0</v>
      </c>
      <c r="Y186" s="68"/>
      <c r="Z186" s="148">
        <f>ROUND(IF(X186&gt;I186,X186,I186),4)</f>
        <v>0</v>
      </c>
    </row>
    <row r="187" spans="1:31" x14ac:dyDescent="0.2">
      <c r="A187" s="66"/>
      <c r="B187" s="66"/>
      <c r="C187" s="66"/>
      <c r="D187" s="144"/>
      <c r="E187" s="67"/>
      <c r="F187" s="67"/>
      <c r="G187" s="67"/>
      <c r="H187" s="67">
        <f>ROUND(+E187+G187,4)</f>
        <v>0</v>
      </c>
      <c r="I187" s="67"/>
      <c r="J187" s="67">
        <f>ROUND(+I187-H187,4)</f>
        <v>0</v>
      </c>
      <c r="K187" s="67">
        <f>ROUND(IF(F187="alluminio",0,I187*1.5%),4)</f>
        <v>0</v>
      </c>
      <c r="L187" s="67">
        <f>ROUND(IF(K187&lt;J187,K187,0),4)</f>
        <v>0</v>
      </c>
      <c r="M187" s="67">
        <f>ROUND(IF(J187&gt;K187,0,J187),4)</f>
        <v>0</v>
      </c>
      <c r="N187" s="67">
        <f>ROUND(+L187*D187,4)</f>
        <v>0</v>
      </c>
      <c r="O187" s="67">
        <f>ROUND(IF(F187="rame",0,+I187*3%),4)</f>
        <v>0</v>
      </c>
      <c r="P187" s="67">
        <f>ROUND(IF(O187&lt;J187,O187,0),4)</f>
        <v>0</v>
      </c>
      <c r="Q187" s="67">
        <f>ROUND(IF(J187&gt;O187,0,J187),4)</f>
        <v>0</v>
      </c>
      <c r="R187" s="67">
        <f>ROUND(+P187*D187,4)</f>
        <v>0</v>
      </c>
      <c r="S187" s="67">
        <f>ROUND(IF(K187=0,0,M187*D187),4)</f>
        <v>0</v>
      </c>
      <c r="T187" s="67">
        <f>ROUND(+IF(K187=0,Q187*D187,0),4)</f>
        <v>0</v>
      </c>
      <c r="U187" s="67">
        <f>ROUND(+N187+R187+S187+T187,4)</f>
        <v>0</v>
      </c>
      <c r="V187" s="67">
        <f>ROUND(IF(P187=0,0,I187-H187-O187)+IF(L187=0,0,I187-H187-K187),4)</f>
        <v>0</v>
      </c>
      <c r="W187" s="67">
        <f>ROUND(+(V187*60%)*D187,4)</f>
        <v>0</v>
      </c>
      <c r="X187" s="148">
        <f>ROUND(+U187+W187,4)</f>
        <v>0</v>
      </c>
      <c r="Y187" s="68"/>
      <c r="Z187" s="148">
        <f>ROUND(IF(X187&gt;I187,X187,I187),4)</f>
        <v>0</v>
      </c>
    </row>
    <row r="188" spans="1:31" x14ac:dyDescent="0.2">
      <c r="A188" s="66"/>
      <c r="B188" s="66"/>
      <c r="C188" s="66"/>
      <c r="D188" s="144"/>
      <c r="E188" s="67"/>
      <c r="F188" s="67"/>
      <c r="G188" s="67"/>
      <c r="H188" s="67">
        <f>ROUND(+E188+G188,4)</f>
        <v>0</v>
      </c>
      <c r="I188" s="67"/>
      <c r="J188" s="67">
        <f>ROUND(+I188-H188,4)</f>
        <v>0</v>
      </c>
      <c r="K188" s="67">
        <f>ROUND(IF(F188="alluminio",0,I188*1.5%),4)</f>
        <v>0</v>
      </c>
      <c r="L188" s="67">
        <f>ROUND(IF(K188&lt;J188,K188,0),4)</f>
        <v>0</v>
      </c>
      <c r="M188" s="67">
        <f>ROUND(IF(J188&gt;K188,0,J188),4)</f>
        <v>0</v>
      </c>
      <c r="N188" s="67">
        <f>ROUND(+L188*D188,4)</f>
        <v>0</v>
      </c>
      <c r="O188" s="67">
        <f>ROUND(IF(F188="rame",0,+I188*3%),4)</f>
        <v>0</v>
      </c>
      <c r="P188" s="67">
        <f>ROUND(IF(O188&lt;J188,O188,0),4)</f>
        <v>0</v>
      </c>
      <c r="Q188" s="67">
        <f>ROUND(IF(J188&gt;O188,0,J188),4)</f>
        <v>0</v>
      </c>
      <c r="R188" s="67">
        <f>ROUND(+P188*D188,4)</f>
        <v>0</v>
      </c>
      <c r="S188" s="67">
        <f>ROUND(IF(K188=0,0,M188*D188),4)</f>
        <v>0</v>
      </c>
      <c r="T188" s="67">
        <f>ROUND(+IF(K188=0,Q188*D188,0),4)</f>
        <v>0</v>
      </c>
      <c r="U188" s="67">
        <f>ROUND(+N188+R188+S188+T188,4)</f>
        <v>0</v>
      </c>
      <c r="V188" s="67">
        <f>ROUND(IF(P188=0,0,I188-H188-O188)+IF(L188=0,0,I188-H188-K188),4)</f>
        <v>0</v>
      </c>
      <c r="W188" s="67">
        <f>ROUND(+(V188*60%)*D188,4)</f>
        <v>0</v>
      </c>
      <c r="X188" s="148">
        <f>ROUND(+U188+W188,4)</f>
        <v>0</v>
      </c>
      <c r="Y188" s="68"/>
      <c r="Z188" s="148">
        <f>ROUND(IF(X188&gt;I188,X188,I188),4)</f>
        <v>0</v>
      </c>
    </row>
    <row r="189" spans="1:31" x14ac:dyDescent="0.2">
      <c r="A189" s="66"/>
      <c r="B189" s="66"/>
      <c r="C189" s="66"/>
      <c r="D189" s="144"/>
      <c r="E189" s="67"/>
      <c r="F189" s="67"/>
      <c r="G189" s="67"/>
      <c r="H189" s="67">
        <f>ROUND(+E189+G189,4)</f>
        <v>0</v>
      </c>
      <c r="I189" s="67"/>
      <c r="J189" s="67">
        <f>ROUND(+I189-H189,4)</f>
        <v>0</v>
      </c>
      <c r="K189" s="67">
        <f>ROUND(IF(F189="alluminio",0,I189*1.5%),4)</f>
        <v>0</v>
      </c>
      <c r="L189" s="67">
        <f>ROUND(IF(K189&lt;J189,K189,0),4)</f>
        <v>0</v>
      </c>
      <c r="M189" s="67">
        <f>ROUND(IF(J189&gt;K189,0,J189),4)</f>
        <v>0</v>
      </c>
      <c r="N189" s="67">
        <f>ROUND(+L189*D189,4)</f>
        <v>0</v>
      </c>
      <c r="O189" s="67">
        <f>ROUND(IF(F189="rame",0,+I189*3%),4)</f>
        <v>0</v>
      </c>
      <c r="P189" s="67">
        <f>ROUND(IF(O189&lt;J189,O189,0),4)</f>
        <v>0</v>
      </c>
      <c r="Q189" s="67">
        <f>ROUND(IF(J189&gt;O189,0,J189),4)</f>
        <v>0</v>
      </c>
      <c r="R189" s="67">
        <f>ROUND(+P189*D189,4)</f>
        <v>0</v>
      </c>
      <c r="S189" s="67">
        <f>ROUND(IF(K189=0,0,M189*D189),4)</f>
        <v>0</v>
      </c>
      <c r="T189" s="67">
        <f>ROUND(+IF(K189=0,Q189*D189,0),4)</f>
        <v>0</v>
      </c>
      <c r="U189" s="67">
        <f>ROUND(+N189+R189+S189+T189,4)</f>
        <v>0</v>
      </c>
      <c r="V189" s="67">
        <f>ROUND(IF(P189=0,0,I189-H189-O189)+IF(L189=0,0,I189-H189-K189),4)</f>
        <v>0</v>
      </c>
      <c r="W189" s="67">
        <f>ROUND(+(V189*60%)*D189,4)</f>
        <v>0</v>
      </c>
      <c r="X189" s="148">
        <f>ROUND(+U189+W189,4)</f>
        <v>0</v>
      </c>
      <c r="Y189" s="68"/>
      <c r="Z189" s="148">
        <f>ROUND(IF(X189&gt;I189,X189,I189),4)</f>
        <v>0</v>
      </c>
    </row>
    <row r="190" spans="1:31" x14ac:dyDescent="0.2">
      <c r="A190" s="66"/>
      <c r="B190" s="66"/>
      <c r="C190" s="66"/>
      <c r="D190" s="144"/>
      <c r="E190" s="67"/>
      <c r="F190" s="67"/>
      <c r="G190" s="67"/>
      <c r="H190" s="67">
        <f>ROUND(+E190+G190,4)</f>
        <v>0</v>
      </c>
      <c r="I190" s="67"/>
      <c r="J190" s="67">
        <f>ROUND(+I190-H190,4)</f>
        <v>0</v>
      </c>
      <c r="K190" s="67">
        <f>ROUND(IF(F190="alluminio",0,I190*1.5%),4)</f>
        <v>0</v>
      </c>
      <c r="L190" s="67">
        <f>ROUND(IF(K190&lt;J190,K190,0),4)</f>
        <v>0</v>
      </c>
      <c r="M190" s="67">
        <f>ROUND(IF(J190&gt;K190,0,J190),4)</f>
        <v>0</v>
      </c>
      <c r="N190" s="67">
        <f>ROUND(+L190*D190,4)</f>
        <v>0</v>
      </c>
      <c r="O190" s="67">
        <f>ROUND(IF(F190="rame",0,+I190*3%),4)</f>
        <v>0</v>
      </c>
      <c r="P190" s="67">
        <f>ROUND(IF(O190&lt;J190,O190,0),4)</f>
        <v>0</v>
      </c>
      <c r="Q190" s="67">
        <f>ROUND(IF(J190&gt;O190,0,J190),4)</f>
        <v>0</v>
      </c>
      <c r="R190" s="67">
        <f>ROUND(+P190*D190,4)</f>
        <v>0</v>
      </c>
      <c r="S190" s="67">
        <f>ROUND(IF(K190=0,0,M190*D190),4)</f>
        <v>0</v>
      </c>
      <c r="T190" s="67">
        <f>ROUND(+IF(K190=0,Q190*D190,0),4)</f>
        <v>0</v>
      </c>
      <c r="U190" s="67">
        <f>ROUND(+N190+R190+S190+T190,4)</f>
        <v>0</v>
      </c>
      <c r="V190" s="67">
        <f>ROUND(IF(P190=0,0,I190-H190-O190)+IF(L190=0,0,I190-H190-K190),4)</f>
        <v>0</v>
      </c>
      <c r="W190" s="67">
        <f>ROUND(+(V190*60%)*D190,4)</f>
        <v>0</v>
      </c>
      <c r="X190" s="148">
        <f>ROUND(+U190+W190,4)</f>
        <v>0</v>
      </c>
      <c r="Y190" s="68"/>
      <c r="Z190" s="148">
        <f>ROUND(IF(X190&gt;I190,X190,I190),4)</f>
        <v>0</v>
      </c>
    </row>
    <row r="191" spans="1:31" x14ac:dyDescent="0.2">
      <c r="A191" s="66"/>
      <c r="B191" s="66"/>
      <c r="C191" s="66"/>
      <c r="D191" s="144"/>
      <c r="E191" s="67"/>
      <c r="F191" s="67"/>
      <c r="G191" s="67"/>
      <c r="H191" s="67">
        <f>ROUND(+E191+G191,4)</f>
        <v>0</v>
      </c>
      <c r="I191" s="67"/>
      <c r="J191" s="67">
        <f>ROUND(+I191-H191,4)</f>
        <v>0</v>
      </c>
      <c r="K191" s="67">
        <f>ROUND(IF(F191="alluminio",0,I191*1.5%),4)</f>
        <v>0</v>
      </c>
      <c r="L191" s="67">
        <f>ROUND(IF(K191&lt;J191,K191,0),4)</f>
        <v>0</v>
      </c>
      <c r="M191" s="67">
        <f>ROUND(IF(J191&gt;K191,0,J191),4)</f>
        <v>0</v>
      </c>
      <c r="N191" s="67">
        <f>ROUND(+L191*D191,4)</f>
        <v>0</v>
      </c>
      <c r="O191" s="67">
        <f>ROUND(IF(F191="rame",0,+I191*3%),4)</f>
        <v>0</v>
      </c>
      <c r="P191" s="67">
        <f>ROUND(IF(O191&lt;J191,O191,0),4)</f>
        <v>0</v>
      </c>
      <c r="Q191" s="67">
        <f>ROUND(IF(J191&gt;O191,0,J191),4)</f>
        <v>0</v>
      </c>
      <c r="R191" s="67">
        <f>ROUND(+P191*D191,4)</f>
        <v>0</v>
      </c>
      <c r="S191" s="67">
        <f>ROUND(IF(K191=0,0,M191*D191),4)</f>
        <v>0</v>
      </c>
      <c r="T191" s="67">
        <f>ROUND(+IF(K191=0,Q191*D191,0),4)</f>
        <v>0</v>
      </c>
      <c r="U191" s="67">
        <f>ROUND(+N191+R191+S191+T191,4)</f>
        <v>0</v>
      </c>
      <c r="V191" s="67">
        <f>ROUND(IF(P191=0,0,I191-H191-O191)+IF(L191=0,0,I191-H191-K191),4)</f>
        <v>0</v>
      </c>
      <c r="W191" s="67">
        <f>ROUND(+(V191*60%)*D191,4)</f>
        <v>0</v>
      </c>
      <c r="X191" s="148">
        <f>ROUND(+U191+W191,4)</f>
        <v>0</v>
      </c>
      <c r="Y191" s="68"/>
      <c r="Z191" s="148">
        <f>ROUND(IF(X191&gt;I191,X191,I191),4)</f>
        <v>0</v>
      </c>
    </row>
    <row r="192" spans="1:31" x14ac:dyDescent="0.2">
      <c r="A192" s="66"/>
      <c r="B192" s="66"/>
      <c r="C192" s="66"/>
      <c r="D192" s="144"/>
      <c r="E192" s="67"/>
      <c r="F192" s="67"/>
      <c r="G192" s="67"/>
      <c r="H192" s="67">
        <f>ROUND(+E192+G192,4)</f>
        <v>0</v>
      </c>
      <c r="I192" s="67"/>
      <c r="J192" s="67">
        <f>ROUND(+I192-H192,4)</f>
        <v>0</v>
      </c>
      <c r="K192" s="67">
        <f>ROUND(IF(F192="alluminio",0,I192*1.5%),4)</f>
        <v>0</v>
      </c>
      <c r="L192" s="67">
        <f>ROUND(IF(K192&lt;J192,K192,0),4)</f>
        <v>0</v>
      </c>
      <c r="M192" s="67">
        <f>ROUND(IF(J192&gt;K192,0,J192),4)</f>
        <v>0</v>
      </c>
      <c r="N192" s="67">
        <f>ROUND(+L192*D192,4)</f>
        <v>0</v>
      </c>
      <c r="O192" s="67">
        <f>ROUND(IF(F192="rame",0,+I192*3%),4)</f>
        <v>0</v>
      </c>
      <c r="P192" s="67">
        <f>ROUND(IF(O192&lt;J192,O192,0),4)</f>
        <v>0</v>
      </c>
      <c r="Q192" s="67">
        <f>ROUND(IF(J192&gt;O192,0,J192),4)</f>
        <v>0</v>
      </c>
      <c r="R192" s="67">
        <f>ROUND(+P192*D192,4)</f>
        <v>0</v>
      </c>
      <c r="S192" s="67">
        <f>ROUND(IF(K192=0,0,M192*D192),4)</f>
        <v>0</v>
      </c>
      <c r="T192" s="67">
        <f>ROUND(+IF(K192=0,Q192*D192,0),4)</f>
        <v>0</v>
      </c>
      <c r="U192" s="67">
        <f>ROUND(+N192+R192+S192+T192,4)</f>
        <v>0</v>
      </c>
      <c r="V192" s="67">
        <f>ROUND(IF(P192=0,0,I192-H192-O192)+IF(L192=0,0,I192-H192-K192),4)</f>
        <v>0</v>
      </c>
      <c r="W192" s="67">
        <f>ROUND(+(V192*60%)*D192,4)</f>
        <v>0</v>
      </c>
      <c r="X192" s="148">
        <f>ROUND(+U192+W192,4)</f>
        <v>0</v>
      </c>
      <c r="Y192" s="68"/>
      <c r="Z192" s="148">
        <f>ROUND(IF(X192&gt;I192,X192,I192),4)</f>
        <v>0</v>
      </c>
    </row>
    <row r="193" spans="1:26" x14ac:dyDescent="0.2">
      <c r="A193" s="66"/>
      <c r="B193" s="66"/>
      <c r="C193" s="66"/>
      <c r="D193" s="144"/>
      <c r="E193" s="67"/>
      <c r="F193" s="67"/>
      <c r="G193" s="67"/>
      <c r="H193" s="67">
        <f>ROUND(+E193+G193,4)</f>
        <v>0</v>
      </c>
      <c r="I193" s="67"/>
      <c r="J193" s="67">
        <f>ROUND(+I193-H193,4)</f>
        <v>0</v>
      </c>
      <c r="K193" s="67">
        <f>ROUND(IF(F193="alluminio",0,I193*1.5%),4)</f>
        <v>0</v>
      </c>
      <c r="L193" s="67">
        <f>ROUND(IF(K193&lt;J193,K193,0),4)</f>
        <v>0</v>
      </c>
      <c r="M193" s="67">
        <f>ROUND(IF(J193&gt;K193,0,J193),4)</f>
        <v>0</v>
      </c>
      <c r="N193" s="67">
        <f>ROUND(+L193*D193,4)</f>
        <v>0</v>
      </c>
      <c r="O193" s="67">
        <f>ROUND(IF(F193="rame",0,+I193*3%),4)</f>
        <v>0</v>
      </c>
      <c r="P193" s="67">
        <f>ROUND(IF(O193&lt;J193,O193,0),4)</f>
        <v>0</v>
      </c>
      <c r="Q193" s="67">
        <f>ROUND(IF(J193&gt;O193,0,J193),4)</f>
        <v>0</v>
      </c>
      <c r="R193" s="67">
        <f>ROUND(+P193*D193,4)</f>
        <v>0</v>
      </c>
      <c r="S193" s="67">
        <f>ROUND(IF(K193=0,0,M193*D193),4)</f>
        <v>0</v>
      </c>
      <c r="T193" s="67">
        <f>ROUND(+IF(K193=0,Q193*D193,0),4)</f>
        <v>0</v>
      </c>
      <c r="U193" s="67">
        <f>ROUND(+N193+R193+S193+T193,4)</f>
        <v>0</v>
      </c>
      <c r="V193" s="67">
        <f>ROUND(IF(P193=0,0,I193-H193-O193)+IF(L193=0,0,I193-H193-K193),4)</f>
        <v>0</v>
      </c>
      <c r="W193" s="67">
        <f>ROUND(+(V193*60%)*D193,4)</f>
        <v>0</v>
      </c>
      <c r="X193" s="148">
        <f>ROUND(+U193+W193,4)</f>
        <v>0</v>
      </c>
      <c r="Y193" s="68"/>
      <c r="Z193" s="148">
        <f>ROUND(IF(X193&gt;I193,X193,I193),4)</f>
        <v>0</v>
      </c>
    </row>
    <row r="194" spans="1:26" x14ac:dyDescent="0.2">
      <c r="A194" s="66"/>
      <c r="B194" s="66"/>
      <c r="C194" s="66"/>
      <c r="D194" s="144"/>
      <c r="E194" s="67"/>
      <c r="F194" s="67"/>
      <c r="G194" s="67"/>
      <c r="H194" s="67">
        <f>ROUND(+E194+G194,4)</f>
        <v>0</v>
      </c>
      <c r="I194" s="67"/>
      <c r="J194" s="67">
        <f>ROUND(+I194-H194,4)</f>
        <v>0</v>
      </c>
      <c r="K194" s="67">
        <f>ROUND(IF(F194="alluminio",0,I194*1.5%),4)</f>
        <v>0</v>
      </c>
      <c r="L194" s="67">
        <f>ROUND(IF(K194&lt;J194,K194,0),4)</f>
        <v>0</v>
      </c>
      <c r="M194" s="67">
        <f>ROUND(IF(J194&gt;K194,0,J194),4)</f>
        <v>0</v>
      </c>
      <c r="N194" s="67">
        <f>ROUND(+L194*D194,4)</f>
        <v>0</v>
      </c>
      <c r="O194" s="67">
        <f>ROUND(IF(F194="rame",0,+I194*3%),4)</f>
        <v>0</v>
      </c>
      <c r="P194" s="67">
        <f>ROUND(IF(O194&lt;J194,O194,0),4)</f>
        <v>0</v>
      </c>
      <c r="Q194" s="67">
        <f>ROUND(IF(J194&gt;O194,0,J194),4)</f>
        <v>0</v>
      </c>
      <c r="R194" s="67">
        <f>ROUND(+P194*D194,4)</f>
        <v>0</v>
      </c>
      <c r="S194" s="67">
        <f>ROUND(IF(K194=0,0,M194*D194),4)</f>
        <v>0</v>
      </c>
      <c r="T194" s="67">
        <f>ROUND(+IF(K194=0,Q194*D194,0),4)</f>
        <v>0</v>
      </c>
      <c r="U194" s="67">
        <f>ROUND(+N194+R194+S194+T194,4)</f>
        <v>0</v>
      </c>
      <c r="V194" s="67">
        <f>ROUND(IF(P194=0,0,I194-H194-O194)+IF(L194=0,0,I194-H194-K194),4)</f>
        <v>0</v>
      </c>
      <c r="W194" s="67">
        <f>ROUND(+(V194*60%)*D194,4)</f>
        <v>0</v>
      </c>
      <c r="X194" s="148">
        <f>ROUND(+U194+W194,4)</f>
        <v>0</v>
      </c>
      <c r="Y194" s="68"/>
      <c r="Z194" s="148">
        <f>ROUND(IF(X194&gt;I194,X194,I194),4)</f>
        <v>0</v>
      </c>
    </row>
    <row r="195" spans="1:26" x14ac:dyDescent="0.2">
      <c r="A195" s="66"/>
      <c r="B195" s="66"/>
      <c r="C195" s="66"/>
      <c r="D195" s="144"/>
      <c r="E195" s="67"/>
      <c r="F195" s="67"/>
      <c r="G195" s="67"/>
      <c r="H195" s="67">
        <f>ROUND(+E195+G195,4)</f>
        <v>0</v>
      </c>
      <c r="I195" s="67"/>
      <c r="J195" s="67">
        <f>ROUND(+I195-H195,4)</f>
        <v>0</v>
      </c>
      <c r="K195" s="67">
        <f>ROUND(IF(F195="alluminio",0,I195*1.5%),4)</f>
        <v>0</v>
      </c>
      <c r="L195" s="67">
        <f>ROUND(IF(K195&lt;J195,K195,0),4)</f>
        <v>0</v>
      </c>
      <c r="M195" s="67">
        <f>ROUND(IF(J195&gt;K195,0,J195),4)</f>
        <v>0</v>
      </c>
      <c r="N195" s="67">
        <f>ROUND(+L195*D195,4)</f>
        <v>0</v>
      </c>
      <c r="O195" s="67">
        <f>ROUND(IF(F195="rame",0,+I195*3%),4)</f>
        <v>0</v>
      </c>
      <c r="P195" s="67">
        <f>ROUND(IF(O195&lt;J195,O195,0),4)</f>
        <v>0</v>
      </c>
      <c r="Q195" s="67">
        <f>ROUND(IF(J195&gt;O195,0,J195),4)</f>
        <v>0</v>
      </c>
      <c r="R195" s="67">
        <f>ROUND(+P195*D195,4)</f>
        <v>0</v>
      </c>
      <c r="S195" s="67">
        <f>ROUND(IF(K195=0,0,M195*D195),4)</f>
        <v>0</v>
      </c>
      <c r="T195" s="67">
        <f>ROUND(+IF(K195=0,Q195*D195,0),4)</f>
        <v>0</v>
      </c>
      <c r="U195" s="67">
        <f>ROUND(+N195+R195+S195+T195,4)</f>
        <v>0</v>
      </c>
      <c r="V195" s="67">
        <f>ROUND(IF(P195=0,0,I195-H195-O195)+IF(L195=0,0,I195-H195-K195),4)</f>
        <v>0</v>
      </c>
      <c r="W195" s="67">
        <f>ROUND(+(V195*60%)*D195,4)</f>
        <v>0</v>
      </c>
      <c r="X195" s="148">
        <f>ROUND(+U195+W195,4)</f>
        <v>0</v>
      </c>
      <c r="Y195" s="68"/>
      <c r="Z195" s="148">
        <f>ROUND(IF(X195&gt;I195,X195,I195),4)</f>
        <v>0</v>
      </c>
    </row>
    <row r="196" spans="1:26" x14ac:dyDescent="0.2">
      <c r="A196" s="66"/>
      <c r="B196" s="66"/>
      <c r="C196" s="66"/>
      <c r="D196" s="144"/>
      <c r="E196" s="67"/>
      <c r="F196" s="67"/>
      <c r="G196" s="67"/>
      <c r="H196" s="67">
        <f>ROUND(+E196+G196,4)</f>
        <v>0</v>
      </c>
      <c r="I196" s="67"/>
      <c r="J196" s="67">
        <f>ROUND(+I196-H196,4)</f>
        <v>0</v>
      </c>
      <c r="K196" s="67">
        <f>ROUND(IF(F196="alluminio",0,I196*1.5%),4)</f>
        <v>0</v>
      </c>
      <c r="L196" s="67">
        <f>ROUND(IF(K196&lt;J196,K196,0),4)</f>
        <v>0</v>
      </c>
      <c r="M196" s="67">
        <f>ROUND(IF(J196&gt;K196,0,J196),4)</f>
        <v>0</v>
      </c>
      <c r="N196" s="67">
        <f>ROUND(+L196*D196,4)</f>
        <v>0</v>
      </c>
      <c r="O196" s="67">
        <f>ROUND(IF(F196="rame",0,+I196*3%),4)</f>
        <v>0</v>
      </c>
      <c r="P196" s="67">
        <f>ROUND(IF(O196&lt;J196,O196,0),4)</f>
        <v>0</v>
      </c>
      <c r="Q196" s="67">
        <f>ROUND(IF(J196&gt;O196,0,J196),4)</f>
        <v>0</v>
      </c>
      <c r="R196" s="67">
        <f>ROUND(+P196*D196,4)</f>
        <v>0</v>
      </c>
      <c r="S196" s="67">
        <f>ROUND(IF(K196=0,0,M196*D196),4)</f>
        <v>0</v>
      </c>
      <c r="T196" s="67">
        <f>ROUND(+IF(K196=0,Q196*D196,0),4)</f>
        <v>0</v>
      </c>
      <c r="U196" s="67">
        <f>ROUND(+N196+R196+S196+T196,4)</f>
        <v>0</v>
      </c>
      <c r="V196" s="67">
        <f>ROUND(IF(P196=0,0,I196-H196-O196)+IF(L196=0,0,I196-H196-K196),4)</f>
        <v>0</v>
      </c>
      <c r="W196" s="67">
        <f>ROUND(+(V196*60%)*D196,4)</f>
        <v>0</v>
      </c>
      <c r="X196" s="148">
        <f>ROUND(+U196+W196,4)</f>
        <v>0</v>
      </c>
      <c r="Y196" s="68"/>
      <c r="Z196" s="148">
        <f>ROUND(IF(X196&gt;I196,X196,I196),4)</f>
        <v>0</v>
      </c>
    </row>
    <row r="197" spans="1:26" x14ac:dyDescent="0.2">
      <c r="A197" s="66"/>
      <c r="B197" s="66"/>
      <c r="C197" s="66"/>
      <c r="D197" s="144"/>
      <c r="E197" s="67"/>
      <c r="F197" s="67"/>
      <c r="G197" s="67"/>
      <c r="H197" s="67">
        <f>ROUND(+E197+G197,4)</f>
        <v>0</v>
      </c>
      <c r="I197" s="67"/>
      <c r="J197" s="67">
        <f>ROUND(+I197-H197,4)</f>
        <v>0</v>
      </c>
      <c r="K197" s="67">
        <f>ROUND(IF(F197="alluminio",0,I197*1.5%),4)</f>
        <v>0</v>
      </c>
      <c r="L197" s="67">
        <f>ROUND(IF(K197&lt;J197,K197,0),4)</f>
        <v>0</v>
      </c>
      <c r="M197" s="67">
        <f>ROUND(IF(J197&gt;K197,0,J197),4)</f>
        <v>0</v>
      </c>
      <c r="N197" s="67">
        <f>ROUND(+L197*D197,4)</f>
        <v>0</v>
      </c>
      <c r="O197" s="67">
        <f>ROUND(IF(F197="rame",0,+I197*3%),4)</f>
        <v>0</v>
      </c>
      <c r="P197" s="67">
        <f>ROUND(IF(O197&lt;J197,O197,0),4)</f>
        <v>0</v>
      </c>
      <c r="Q197" s="67">
        <f>ROUND(IF(J197&gt;O197,0,J197),4)</f>
        <v>0</v>
      </c>
      <c r="R197" s="67">
        <f>ROUND(+P197*D197,4)</f>
        <v>0</v>
      </c>
      <c r="S197" s="67">
        <f>ROUND(IF(K197=0,0,M197*D197),4)</f>
        <v>0</v>
      </c>
      <c r="T197" s="67">
        <f>ROUND(+IF(K197=0,Q197*D197,0),4)</f>
        <v>0</v>
      </c>
      <c r="U197" s="67">
        <f>ROUND(+N197+R197+S197+T197,4)</f>
        <v>0</v>
      </c>
      <c r="V197" s="67">
        <f>ROUND(IF(P197=0,0,I197-H197-O197)+IF(L197=0,0,I197-H197-K197),4)</f>
        <v>0</v>
      </c>
      <c r="W197" s="67">
        <f>ROUND(+(V197*60%)*D197,4)</f>
        <v>0</v>
      </c>
      <c r="X197" s="148">
        <f>ROUND(+U197+W197,4)</f>
        <v>0</v>
      </c>
      <c r="Y197" s="68"/>
      <c r="Z197" s="148">
        <f>ROUND(IF(X197&gt;I197,X197,I197),4)</f>
        <v>0</v>
      </c>
    </row>
    <row r="198" spans="1:26" x14ac:dyDescent="0.2">
      <c r="A198" s="66"/>
      <c r="B198" s="66"/>
      <c r="C198" s="66"/>
      <c r="D198" s="144"/>
      <c r="E198" s="67"/>
      <c r="F198" s="67"/>
      <c r="G198" s="67"/>
      <c r="H198" s="67">
        <f>ROUND(+E198+G198,4)</f>
        <v>0</v>
      </c>
      <c r="I198" s="67"/>
      <c r="J198" s="67">
        <f>ROUND(+I198-H198,4)</f>
        <v>0</v>
      </c>
      <c r="K198" s="67">
        <f>ROUND(IF(F198="alluminio",0,I198*1.5%),4)</f>
        <v>0</v>
      </c>
      <c r="L198" s="67">
        <f>ROUND(IF(K198&lt;J198,K198,0),4)</f>
        <v>0</v>
      </c>
      <c r="M198" s="67">
        <f>ROUND(IF(J198&gt;K198,0,J198),4)</f>
        <v>0</v>
      </c>
      <c r="N198" s="67">
        <f>ROUND(+L198*D198,4)</f>
        <v>0</v>
      </c>
      <c r="O198" s="67">
        <f>ROUND(IF(F198="rame",0,+I198*3%),4)</f>
        <v>0</v>
      </c>
      <c r="P198" s="67">
        <f>ROUND(IF(O198&lt;J198,O198,0),4)</f>
        <v>0</v>
      </c>
      <c r="Q198" s="67">
        <f>ROUND(IF(J198&gt;O198,0,J198),4)</f>
        <v>0</v>
      </c>
      <c r="R198" s="67">
        <f>ROUND(+P198*D198,4)</f>
        <v>0</v>
      </c>
      <c r="S198" s="67">
        <f>ROUND(IF(K198=0,0,M198*D198),4)</f>
        <v>0</v>
      </c>
      <c r="T198" s="67">
        <f>ROUND(+IF(K198=0,Q198*D198,0),4)</f>
        <v>0</v>
      </c>
      <c r="U198" s="67">
        <f>ROUND(+N198+R198+S198+T198,4)</f>
        <v>0</v>
      </c>
      <c r="V198" s="67">
        <f>ROUND(IF(P198=0,0,I198-H198-O198)+IF(L198=0,0,I198-H198-K198),4)</f>
        <v>0</v>
      </c>
      <c r="W198" s="67">
        <f>ROUND(+(V198*60%)*D198,4)</f>
        <v>0</v>
      </c>
      <c r="X198" s="148">
        <f>ROUND(+U198+W198,4)</f>
        <v>0</v>
      </c>
      <c r="Y198" s="68"/>
      <c r="Z198" s="148">
        <f>ROUND(IF(X198&gt;I198,X198,I198),4)</f>
        <v>0</v>
      </c>
    </row>
    <row r="199" spans="1:26" x14ac:dyDescent="0.2">
      <c r="A199" s="66"/>
      <c r="B199" s="66"/>
      <c r="C199" s="66"/>
      <c r="D199" s="144"/>
      <c r="E199" s="67"/>
      <c r="F199" s="67"/>
      <c r="G199" s="67"/>
      <c r="H199" s="67">
        <f>ROUND(+E199+G199,4)</f>
        <v>0</v>
      </c>
      <c r="I199" s="67"/>
      <c r="J199" s="67">
        <f>ROUND(+I199-H199,4)</f>
        <v>0</v>
      </c>
      <c r="K199" s="67">
        <f>ROUND(IF(F199="alluminio",0,I199*1.5%),4)</f>
        <v>0</v>
      </c>
      <c r="L199" s="67">
        <f>ROUND(IF(K199&lt;J199,K199,0),4)</f>
        <v>0</v>
      </c>
      <c r="M199" s="67">
        <f>ROUND(IF(J199&gt;K199,0,J199),4)</f>
        <v>0</v>
      </c>
      <c r="N199" s="67">
        <f>ROUND(+L199*D199,4)</f>
        <v>0</v>
      </c>
      <c r="O199" s="67">
        <f>ROUND(IF(F199="rame",0,+I199*3%),4)</f>
        <v>0</v>
      </c>
      <c r="P199" s="67">
        <f>ROUND(IF(O199&lt;J199,O199,0),4)</f>
        <v>0</v>
      </c>
      <c r="Q199" s="67">
        <f>ROUND(IF(J199&gt;O199,0,J199),4)</f>
        <v>0</v>
      </c>
      <c r="R199" s="67">
        <f>ROUND(+P199*D199,4)</f>
        <v>0</v>
      </c>
      <c r="S199" s="67">
        <f>ROUND(IF(K199=0,0,M199*D199),4)</f>
        <v>0</v>
      </c>
      <c r="T199" s="67">
        <f>ROUND(+IF(K199=0,Q199*D199,0),4)</f>
        <v>0</v>
      </c>
      <c r="U199" s="67">
        <f>ROUND(+N199+R199+S199+T199,4)</f>
        <v>0</v>
      </c>
      <c r="V199" s="67">
        <f>ROUND(IF(P199=0,0,I199-H199-O199)+IF(L199=0,0,I199-H199-K199),4)</f>
        <v>0</v>
      </c>
      <c r="W199" s="67">
        <f>ROUND(+(V199*60%)*D199,4)</f>
        <v>0</v>
      </c>
      <c r="X199" s="148">
        <f>ROUND(+U199+W199,4)</f>
        <v>0</v>
      </c>
      <c r="Y199" s="68"/>
      <c r="Z199" s="148">
        <f>ROUND(IF(X199&gt;I199,X199,I199),4)</f>
        <v>0</v>
      </c>
    </row>
    <row r="200" spans="1:26" x14ac:dyDescent="0.2">
      <c r="A200" s="66"/>
      <c r="B200" s="66"/>
      <c r="C200" s="66"/>
      <c r="D200" s="144"/>
      <c r="E200" s="67"/>
      <c r="F200" s="67"/>
      <c r="G200" s="67"/>
      <c r="H200" s="67">
        <f>ROUND(+E200+G200,4)</f>
        <v>0</v>
      </c>
      <c r="I200" s="67"/>
      <c r="J200" s="67">
        <f>ROUND(+I200-H200,4)</f>
        <v>0</v>
      </c>
      <c r="K200" s="67">
        <f>ROUND(IF(F200="alluminio",0,I200*1.5%),4)</f>
        <v>0</v>
      </c>
      <c r="L200" s="67">
        <f>ROUND(IF(K200&lt;J200,K200,0),4)</f>
        <v>0</v>
      </c>
      <c r="M200" s="67">
        <f>ROUND(IF(J200&gt;K200,0,J200),4)</f>
        <v>0</v>
      </c>
      <c r="N200" s="67">
        <f>ROUND(+L200*D200,4)</f>
        <v>0</v>
      </c>
      <c r="O200" s="67">
        <f>ROUND(IF(F200="rame",0,+I200*3%),4)</f>
        <v>0</v>
      </c>
      <c r="P200" s="67">
        <f>ROUND(IF(O200&lt;J200,O200,0),4)</f>
        <v>0</v>
      </c>
      <c r="Q200" s="67">
        <f>ROUND(IF(J200&gt;O200,0,J200),4)</f>
        <v>0</v>
      </c>
      <c r="R200" s="67">
        <f>ROUND(+P200*D200,4)</f>
        <v>0</v>
      </c>
      <c r="S200" s="67">
        <f>ROUND(IF(K200=0,0,M200*D200),4)</f>
        <v>0</v>
      </c>
      <c r="T200" s="67">
        <f>ROUND(+IF(K200=0,Q200*D200,0),4)</f>
        <v>0</v>
      </c>
      <c r="U200" s="67">
        <f>ROUND(+N200+R200+S200+T200,4)</f>
        <v>0</v>
      </c>
      <c r="V200" s="67">
        <f>ROUND(IF(P200=0,0,I200-H200-O200)+IF(L200=0,0,I200-H200-K200),4)</f>
        <v>0</v>
      </c>
      <c r="W200" s="67">
        <f>ROUND(+(V200*60%)*D200,4)</f>
        <v>0</v>
      </c>
      <c r="X200" s="148">
        <f>ROUND(+U200+W200,4)</f>
        <v>0</v>
      </c>
      <c r="Y200" s="68"/>
      <c r="Z200" s="148">
        <f>ROUND(IF(X200&gt;I200,X200,I200),4)</f>
        <v>0</v>
      </c>
    </row>
    <row r="201" spans="1:26" x14ac:dyDescent="0.2">
      <c r="A201" s="66"/>
      <c r="B201" s="66"/>
      <c r="C201" s="66"/>
      <c r="D201" s="144"/>
      <c r="E201" s="67"/>
      <c r="F201" s="67"/>
      <c r="G201" s="67"/>
      <c r="H201" s="67">
        <f>ROUND(+E201+G201,4)</f>
        <v>0</v>
      </c>
      <c r="I201" s="67"/>
      <c r="J201" s="67">
        <f>ROUND(+I201-H201,4)</f>
        <v>0</v>
      </c>
      <c r="K201" s="67">
        <f>ROUND(IF(F201="alluminio",0,I201*1.5%),4)</f>
        <v>0</v>
      </c>
      <c r="L201" s="67">
        <f>ROUND(IF(K201&lt;J201,K201,0),4)</f>
        <v>0</v>
      </c>
      <c r="M201" s="67">
        <f>ROUND(IF(J201&gt;K201,0,J201),4)</f>
        <v>0</v>
      </c>
      <c r="N201" s="67">
        <f>ROUND(+L201*D201,4)</f>
        <v>0</v>
      </c>
      <c r="O201" s="67">
        <f>ROUND(IF(F201="rame",0,+I201*3%),4)</f>
        <v>0</v>
      </c>
      <c r="P201" s="67">
        <f>ROUND(IF(O201&lt;J201,O201,0),4)</f>
        <v>0</v>
      </c>
      <c r="Q201" s="67">
        <f>ROUND(IF(J201&gt;O201,0,J201),4)</f>
        <v>0</v>
      </c>
      <c r="R201" s="67">
        <f>ROUND(+P201*D201,4)</f>
        <v>0</v>
      </c>
      <c r="S201" s="67">
        <f>ROUND(IF(K201=0,0,M201*D201),4)</f>
        <v>0</v>
      </c>
      <c r="T201" s="67">
        <f>ROUND(+IF(K201=0,Q201*D201,0),4)</f>
        <v>0</v>
      </c>
      <c r="U201" s="67">
        <f>ROUND(+N201+R201+S201+T201,4)</f>
        <v>0</v>
      </c>
      <c r="V201" s="67">
        <f>ROUND(IF(P201=0,0,I201-H201-O201)+IF(L201=0,0,I201-H201-K201),4)</f>
        <v>0</v>
      </c>
      <c r="W201" s="67">
        <f>ROUND(+(V201*60%)*D201,4)</f>
        <v>0</v>
      </c>
      <c r="X201" s="148">
        <f>ROUND(+U201+W201,4)</f>
        <v>0</v>
      </c>
      <c r="Y201" s="68"/>
      <c r="Z201" s="148">
        <f>ROUND(IF(X201&gt;I201,X201,I201),4)</f>
        <v>0</v>
      </c>
    </row>
    <row r="202" spans="1:26" x14ac:dyDescent="0.2">
      <c r="A202" s="66"/>
      <c r="B202" s="66"/>
      <c r="C202" s="66"/>
      <c r="D202" s="144"/>
      <c r="E202" s="67"/>
      <c r="F202" s="67"/>
      <c r="G202" s="67"/>
      <c r="H202" s="67">
        <f>ROUND(+E202+G202,4)</f>
        <v>0</v>
      </c>
      <c r="I202" s="67"/>
      <c r="J202" s="67">
        <f>ROUND(+I202-H202,4)</f>
        <v>0</v>
      </c>
      <c r="K202" s="67">
        <f>ROUND(IF(F202="alluminio",0,I202*1.5%),4)</f>
        <v>0</v>
      </c>
      <c r="L202" s="67">
        <f>ROUND(IF(K202&lt;J202,K202,0),4)</f>
        <v>0</v>
      </c>
      <c r="M202" s="67">
        <f>ROUND(IF(J202&gt;K202,0,J202),4)</f>
        <v>0</v>
      </c>
      <c r="N202" s="67">
        <f>ROUND(+L202*D202,4)</f>
        <v>0</v>
      </c>
      <c r="O202" s="67">
        <f>ROUND(IF(F202="rame",0,+I202*3%),4)</f>
        <v>0</v>
      </c>
      <c r="P202" s="67">
        <f>ROUND(IF(O202&lt;J202,O202,0),4)</f>
        <v>0</v>
      </c>
      <c r="Q202" s="67">
        <f>ROUND(IF(J202&gt;O202,0,J202),4)</f>
        <v>0</v>
      </c>
      <c r="R202" s="67">
        <f>ROUND(+P202*D202,4)</f>
        <v>0</v>
      </c>
      <c r="S202" s="67">
        <f>ROUND(IF(K202=0,0,M202*D202),4)</f>
        <v>0</v>
      </c>
      <c r="T202" s="67">
        <f>ROUND(+IF(K202=0,Q202*D202,0),4)</f>
        <v>0</v>
      </c>
      <c r="U202" s="67">
        <f>ROUND(+N202+R202+S202+T202,4)</f>
        <v>0</v>
      </c>
      <c r="V202" s="67">
        <f>ROUND(IF(P202=0,0,I202-H202-O202)+IF(L202=0,0,I202-H202-K202),4)</f>
        <v>0</v>
      </c>
      <c r="W202" s="67">
        <f>ROUND(+(V202*60%)*D202,4)</f>
        <v>0</v>
      </c>
      <c r="X202" s="148">
        <f>ROUND(+U202+W202,4)</f>
        <v>0</v>
      </c>
      <c r="Y202" s="68"/>
      <c r="Z202" s="148">
        <f>ROUND(IF(X202&gt;I202,X202,I202),4)</f>
        <v>0</v>
      </c>
    </row>
    <row r="203" spans="1:26" x14ac:dyDescent="0.2">
      <c r="A203" s="66"/>
      <c r="B203" s="66"/>
      <c r="C203" s="66"/>
      <c r="D203" s="144"/>
      <c r="E203" s="67"/>
      <c r="F203" s="67"/>
      <c r="G203" s="67"/>
      <c r="H203" s="67">
        <f>ROUND(+E203+G203,4)</f>
        <v>0</v>
      </c>
      <c r="I203" s="67"/>
      <c r="J203" s="67">
        <f>ROUND(+I203-H203,4)</f>
        <v>0</v>
      </c>
      <c r="K203" s="67">
        <f>ROUND(IF(F203="alluminio",0,I203*1.5%),4)</f>
        <v>0</v>
      </c>
      <c r="L203" s="67">
        <f>ROUND(IF(K203&lt;J203,K203,0),4)</f>
        <v>0</v>
      </c>
      <c r="M203" s="67">
        <f>ROUND(IF(J203&gt;K203,0,J203),4)</f>
        <v>0</v>
      </c>
      <c r="N203" s="67">
        <f>ROUND(+L203*D203,4)</f>
        <v>0</v>
      </c>
      <c r="O203" s="67">
        <f>ROUND(IF(F203="rame",0,+I203*3%),4)</f>
        <v>0</v>
      </c>
      <c r="P203" s="67">
        <f>ROUND(IF(O203&lt;J203,O203,0),4)</f>
        <v>0</v>
      </c>
      <c r="Q203" s="67">
        <f>ROUND(IF(J203&gt;O203,0,J203),4)</f>
        <v>0</v>
      </c>
      <c r="R203" s="67">
        <f>ROUND(+P203*D203,4)</f>
        <v>0</v>
      </c>
      <c r="S203" s="67">
        <f>ROUND(IF(K203=0,0,M203*D203),4)</f>
        <v>0</v>
      </c>
      <c r="T203" s="67">
        <f>ROUND(+IF(K203=0,Q203*D203,0),4)</f>
        <v>0</v>
      </c>
      <c r="U203" s="67">
        <f>ROUND(+N203+R203+S203+T203,4)</f>
        <v>0</v>
      </c>
      <c r="V203" s="67">
        <f>ROUND(IF(P203=0,0,I203-H203-O203)+IF(L203=0,0,I203-H203-K203),4)</f>
        <v>0</v>
      </c>
      <c r="W203" s="67">
        <f>ROUND(+(V203*60%)*D203,4)</f>
        <v>0</v>
      </c>
      <c r="X203" s="148">
        <f>ROUND(+U203+W203,4)</f>
        <v>0</v>
      </c>
      <c r="Y203" s="68"/>
      <c r="Z203" s="148">
        <f>ROUND(IF(X203&gt;I203,X203,I203),4)</f>
        <v>0</v>
      </c>
    </row>
    <row r="204" spans="1:26" x14ac:dyDescent="0.2">
      <c r="A204" s="66"/>
      <c r="B204" s="66"/>
      <c r="C204" s="66"/>
      <c r="D204" s="144"/>
      <c r="E204" s="67"/>
      <c r="F204" s="67"/>
      <c r="G204" s="67"/>
      <c r="H204" s="67">
        <f>ROUND(+E204+G204,4)</f>
        <v>0</v>
      </c>
      <c r="I204" s="67"/>
      <c r="J204" s="67">
        <f>ROUND(+I204-H204,4)</f>
        <v>0</v>
      </c>
      <c r="K204" s="67">
        <f>ROUND(IF(F204="alluminio",0,I204*1.5%),4)</f>
        <v>0</v>
      </c>
      <c r="L204" s="67">
        <f>ROUND(IF(K204&lt;J204,K204,0),4)</f>
        <v>0</v>
      </c>
      <c r="M204" s="67">
        <f>ROUND(IF(J204&gt;K204,0,J204),4)</f>
        <v>0</v>
      </c>
      <c r="N204" s="67">
        <f>ROUND(+L204*D204,4)</f>
        <v>0</v>
      </c>
      <c r="O204" s="67">
        <f>ROUND(IF(F204="rame",0,+I204*3%),4)</f>
        <v>0</v>
      </c>
      <c r="P204" s="67">
        <f>ROUND(IF(O204&lt;J204,O204,0),4)</f>
        <v>0</v>
      </c>
      <c r="Q204" s="67">
        <f>ROUND(IF(J204&gt;O204,0,J204),4)</f>
        <v>0</v>
      </c>
      <c r="R204" s="67">
        <f>ROUND(+P204*D204,4)</f>
        <v>0</v>
      </c>
      <c r="S204" s="67">
        <f>ROUND(IF(K204=0,0,M204*D204),4)</f>
        <v>0</v>
      </c>
      <c r="T204" s="67">
        <f>ROUND(+IF(K204=0,Q204*D204,0),4)</f>
        <v>0</v>
      </c>
      <c r="U204" s="67">
        <f>ROUND(+N204+R204+S204+T204,4)</f>
        <v>0</v>
      </c>
      <c r="V204" s="67">
        <f>ROUND(IF(P204=0,0,I204-H204-O204)+IF(L204=0,0,I204-H204-K204),4)</f>
        <v>0</v>
      </c>
      <c r="W204" s="67">
        <f>ROUND(+(V204*60%)*D204,4)</f>
        <v>0</v>
      </c>
      <c r="X204" s="148">
        <f>ROUND(+U204+W204,4)</f>
        <v>0</v>
      </c>
      <c r="Y204" s="68"/>
      <c r="Z204" s="148">
        <f>ROUND(IF(X204&gt;I204,X204,I204),4)</f>
        <v>0</v>
      </c>
    </row>
    <row r="205" spans="1:26" x14ac:dyDescent="0.2">
      <c r="A205" s="66"/>
      <c r="B205" s="66"/>
      <c r="C205" s="66"/>
      <c r="D205" s="144"/>
      <c r="E205" s="67"/>
      <c r="F205" s="67"/>
      <c r="G205" s="67"/>
      <c r="H205" s="67">
        <f>ROUND(+E205+G205,4)</f>
        <v>0</v>
      </c>
      <c r="I205" s="67"/>
      <c r="J205" s="67">
        <f>ROUND(+I205-H205,4)</f>
        <v>0</v>
      </c>
      <c r="K205" s="67">
        <f>ROUND(IF(F205="alluminio",0,I205*1.5%),4)</f>
        <v>0</v>
      </c>
      <c r="L205" s="67">
        <f>ROUND(IF(K205&lt;J205,K205,0),4)</f>
        <v>0</v>
      </c>
      <c r="M205" s="67">
        <f>ROUND(IF(J205&gt;K205,0,J205),4)</f>
        <v>0</v>
      </c>
      <c r="N205" s="67">
        <f>ROUND(+L205*D205,4)</f>
        <v>0</v>
      </c>
      <c r="O205" s="67">
        <f>ROUND(IF(F205="rame",0,+I205*3%),4)</f>
        <v>0</v>
      </c>
      <c r="P205" s="67">
        <f>ROUND(IF(O205&lt;J205,O205,0),4)</f>
        <v>0</v>
      </c>
      <c r="Q205" s="67">
        <f>ROUND(IF(J205&gt;O205,0,J205),4)</f>
        <v>0</v>
      </c>
      <c r="R205" s="67">
        <f>ROUND(+P205*D205,4)</f>
        <v>0</v>
      </c>
      <c r="S205" s="67">
        <f>ROUND(IF(K205=0,0,M205*D205),4)</f>
        <v>0</v>
      </c>
      <c r="T205" s="67">
        <f>ROUND(+IF(K205=0,Q205*D205,0),4)</f>
        <v>0</v>
      </c>
      <c r="U205" s="67">
        <f>ROUND(+N205+R205+S205+T205,4)</f>
        <v>0</v>
      </c>
      <c r="V205" s="67">
        <f>ROUND(IF(P205=0,0,I205-H205-O205)+IF(L205=0,0,I205-H205-K205),4)</f>
        <v>0</v>
      </c>
      <c r="W205" s="67">
        <f>ROUND(+(V205*60%)*D205,4)</f>
        <v>0</v>
      </c>
      <c r="X205" s="148">
        <f>ROUND(+U205+W205,4)</f>
        <v>0</v>
      </c>
      <c r="Y205" s="68"/>
      <c r="Z205" s="148">
        <f>ROUND(IF(X205&gt;I205,X205,I205),4)</f>
        <v>0</v>
      </c>
    </row>
    <row r="206" spans="1:26" x14ac:dyDescent="0.2">
      <c r="A206" s="66"/>
      <c r="B206" s="66"/>
      <c r="C206" s="66"/>
      <c r="D206" s="144"/>
      <c r="E206" s="67"/>
      <c r="F206" s="67"/>
      <c r="G206" s="67"/>
      <c r="H206" s="67">
        <f>ROUND(+E206+G206,4)</f>
        <v>0</v>
      </c>
      <c r="I206" s="67"/>
      <c r="J206" s="67">
        <f>ROUND(+I206-H206,4)</f>
        <v>0</v>
      </c>
      <c r="K206" s="67">
        <f>ROUND(IF(F206="alluminio",0,I206*1.5%),4)</f>
        <v>0</v>
      </c>
      <c r="L206" s="67">
        <f>ROUND(IF(K206&lt;J206,K206,0),4)</f>
        <v>0</v>
      </c>
      <c r="M206" s="67">
        <f>ROUND(IF(J206&gt;K206,0,J206),4)</f>
        <v>0</v>
      </c>
      <c r="N206" s="67">
        <f>ROUND(+L206*D206,4)</f>
        <v>0</v>
      </c>
      <c r="O206" s="67">
        <f>ROUND(IF(F206="rame",0,+I206*3%),4)</f>
        <v>0</v>
      </c>
      <c r="P206" s="67">
        <f>ROUND(IF(O206&lt;J206,O206,0),4)</f>
        <v>0</v>
      </c>
      <c r="Q206" s="67">
        <f>ROUND(IF(J206&gt;O206,0,J206),4)</f>
        <v>0</v>
      </c>
      <c r="R206" s="67">
        <f>ROUND(+P206*D206,4)</f>
        <v>0</v>
      </c>
      <c r="S206" s="67">
        <f>ROUND(IF(K206=0,0,M206*D206),4)</f>
        <v>0</v>
      </c>
      <c r="T206" s="67">
        <f>ROUND(+IF(K206=0,Q206*D206,0),4)</f>
        <v>0</v>
      </c>
      <c r="U206" s="67">
        <f>ROUND(+N206+R206+S206+T206,4)</f>
        <v>0</v>
      </c>
      <c r="V206" s="67">
        <f>ROUND(IF(P206=0,0,I206-H206-O206)+IF(L206=0,0,I206-H206-K206),4)</f>
        <v>0</v>
      </c>
      <c r="W206" s="67">
        <f>ROUND(+(V206*60%)*D206,4)</f>
        <v>0</v>
      </c>
      <c r="X206" s="148">
        <f>ROUND(+U206+W206,4)</f>
        <v>0</v>
      </c>
      <c r="Y206" s="68"/>
      <c r="Z206" s="148">
        <f>ROUND(IF(X206&gt;I206,X206,I206),4)</f>
        <v>0</v>
      </c>
    </row>
    <row r="207" spans="1:26" x14ac:dyDescent="0.2">
      <c r="A207" s="66"/>
      <c r="B207" s="66"/>
      <c r="C207" s="66"/>
      <c r="D207" s="144"/>
      <c r="E207" s="67"/>
      <c r="F207" s="67"/>
      <c r="G207" s="67"/>
      <c r="H207" s="67">
        <f>ROUND(+E207+G207,4)</f>
        <v>0</v>
      </c>
      <c r="I207" s="67"/>
      <c r="J207" s="67">
        <f>ROUND(+I207-H207,4)</f>
        <v>0</v>
      </c>
      <c r="K207" s="67">
        <f>ROUND(IF(F207="alluminio",0,I207*1.5%),4)</f>
        <v>0</v>
      </c>
      <c r="L207" s="67">
        <f>ROUND(IF(K207&lt;J207,K207,0),4)</f>
        <v>0</v>
      </c>
      <c r="M207" s="67">
        <f>ROUND(IF(J207&gt;K207,0,J207),4)</f>
        <v>0</v>
      </c>
      <c r="N207" s="67">
        <f>ROUND(+L207*D207,4)</f>
        <v>0</v>
      </c>
      <c r="O207" s="67">
        <f>ROUND(IF(F207="rame",0,+I207*3%),4)</f>
        <v>0</v>
      </c>
      <c r="P207" s="67">
        <f>ROUND(IF(O207&lt;J207,O207,0),4)</f>
        <v>0</v>
      </c>
      <c r="Q207" s="67">
        <f>ROUND(IF(J207&gt;O207,0,J207),4)</f>
        <v>0</v>
      </c>
      <c r="R207" s="67">
        <f>ROUND(+P207*D207,4)</f>
        <v>0</v>
      </c>
      <c r="S207" s="67">
        <f>ROUND(IF(K207=0,0,M207*D207),4)</f>
        <v>0</v>
      </c>
      <c r="T207" s="67">
        <f>ROUND(+IF(K207=0,Q207*D207,0),4)</f>
        <v>0</v>
      </c>
      <c r="U207" s="67">
        <f>ROUND(+N207+R207+S207+T207,4)</f>
        <v>0</v>
      </c>
      <c r="V207" s="67">
        <f>ROUND(IF(P207=0,0,I207-H207-O207)+IF(L207=0,0,I207-H207-K207),4)</f>
        <v>0</v>
      </c>
      <c r="W207" s="67">
        <f>ROUND(+(V207*60%)*D207,4)</f>
        <v>0</v>
      </c>
      <c r="X207" s="148">
        <f>ROUND(+U207+W207,4)</f>
        <v>0</v>
      </c>
      <c r="Y207" s="68"/>
      <c r="Z207" s="148">
        <f>ROUND(IF(X207&gt;I207,X207,I207),4)</f>
        <v>0</v>
      </c>
    </row>
    <row r="208" spans="1:26" x14ac:dyDescent="0.2">
      <c r="A208" s="66"/>
      <c r="B208" s="66"/>
      <c r="C208" s="66"/>
      <c r="D208" s="144"/>
      <c r="E208" s="67"/>
      <c r="F208" s="67"/>
      <c r="G208" s="67"/>
      <c r="H208" s="67">
        <f>ROUND(+E208+G208,4)</f>
        <v>0</v>
      </c>
      <c r="I208" s="67"/>
      <c r="J208" s="67">
        <f>ROUND(+I208-H208,4)</f>
        <v>0</v>
      </c>
      <c r="K208" s="67">
        <f>ROUND(IF(F208="alluminio",0,I208*1.5%),4)</f>
        <v>0</v>
      </c>
      <c r="L208" s="67">
        <f>ROUND(IF(K208&lt;J208,K208,0),4)</f>
        <v>0</v>
      </c>
      <c r="M208" s="67">
        <f>ROUND(IF(J208&gt;K208,0,J208),4)</f>
        <v>0</v>
      </c>
      <c r="N208" s="67">
        <f>ROUND(+L208*D208,4)</f>
        <v>0</v>
      </c>
      <c r="O208" s="67">
        <f>ROUND(IF(F208="rame",0,+I208*3%),4)</f>
        <v>0</v>
      </c>
      <c r="P208" s="67">
        <f>ROUND(IF(O208&lt;J208,O208,0),4)</f>
        <v>0</v>
      </c>
      <c r="Q208" s="67">
        <f>ROUND(IF(J208&gt;O208,0,J208),4)</f>
        <v>0</v>
      </c>
      <c r="R208" s="67">
        <f>ROUND(+P208*D208,4)</f>
        <v>0</v>
      </c>
      <c r="S208" s="67">
        <f>ROUND(IF(K208=0,0,M208*D208),4)</f>
        <v>0</v>
      </c>
      <c r="T208" s="67">
        <f>ROUND(+IF(K208=0,Q208*D208,0),4)</f>
        <v>0</v>
      </c>
      <c r="U208" s="67">
        <f>ROUND(+N208+R208+S208+T208,4)</f>
        <v>0</v>
      </c>
      <c r="V208" s="67">
        <f>ROUND(IF(P208=0,0,I208-H208-O208)+IF(L208=0,0,I208-H208-K208),4)</f>
        <v>0</v>
      </c>
      <c r="W208" s="67">
        <f>ROUND(+(V208*60%)*D208,4)</f>
        <v>0</v>
      </c>
      <c r="X208" s="148">
        <f>ROUND(+U208+W208,4)</f>
        <v>0</v>
      </c>
      <c r="Y208" s="68"/>
      <c r="Z208" s="148">
        <f>ROUND(IF(X208&gt;I208,X208,I208),4)</f>
        <v>0</v>
      </c>
    </row>
    <row r="209" spans="1:26" x14ac:dyDescent="0.2">
      <c r="A209" s="66"/>
      <c r="B209" s="66"/>
      <c r="C209" s="66"/>
      <c r="D209" s="144"/>
      <c r="E209" s="67"/>
      <c r="F209" s="67"/>
      <c r="G209" s="67"/>
      <c r="H209" s="67">
        <f>ROUND(+E209+G209,4)</f>
        <v>0</v>
      </c>
      <c r="I209" s="67"/>
      <c r="J209" s="67">
        <f>ROUND(+I209-H209,4)</f>
        <v>0</v>
      </c>
      <c r="K209" s="67">
        <f>ROUND(IF(F209="alluminio",0,I209*1.5%),4)</f>
        <v>0</v>
      </c>
      <c r="L209" s="67">
        <f>ROUND(IF(K209&lt;J209,K209,0),4)</f>
        <v>0</v>
      </c>
      <c r="M209" s="67">
        <f>ROUND(IF(J209&gt;K209,0,J209),4)</f>
        <v>0</v>
      </c>
      <c r="N209" s="67">
        <f>ROUND(+L209*D209,4)</f>
        <v>0</v>
      </c>
      <c r="O209" s="67">
        <f>ROUND(IF(F209="rame",0,+I209*3%),4)</f>
        <v>0</v>
      </c>
      <c r="P209" s="67">
        <f>ROUND(IF(O209&lt;J209,O209,0),4)</f>
        <v>0</v>
      </c>
      <c r="Q209" s="67">
        <f>ROUND(IF(J209&gt;O209,0,J209),4)</f>
        <v>0</v>
      </c>
      <c r="R209" s="67">
        <f>ROUND(+P209*D209,4)</f>
        <v>0</v>
      </c>
      <c r="S209" s="67">
        <f>ROUND(IF(K209=0,0,M209*D209),4)</f>
        <v>0</v>
      </c>
      <c r="T209" s="67">
        <f>ROUND(+IF(K209=0,Q209*D209,0),4)</f>
        <v>0</v>
      </c>
      <c r="U209" s="67">
        <f>ROUND(+N209+R209+S209+T209,4)</f>
        <v>0</v>
      </c>
      <c r="V209" s="67">
        <f>ROUND(IF(P209=0,0,I209-H209-O209)+IF(L209=0,0,I209-H209-K209),4)</f>
        <v>0</v>
      </c>
      <c r="W209" s="67">
        <f>ROUND(+(V209*60%)*D209,4)</f>
        <v>0</v>
      </c>
      <c r="X209" s="148">
        <f>ROUND(+U209+W209,4)</f>
        <v>0</v>
      </c>
      <c r="Y209" s="68"/>
      <c r="Z209" s="148">
        <f>ROUND(IF(X209&gt;I209,X209,I209),4)</f>
        <v>0</v>
      </c>
    </row>
    <row r="210" spans="1:26" x14ac:dyDescent="0.2">
      <c r="A210" s="66"/>
      <c r="B210" s="66"/>
      <c r="C210" s="66"/>
      <c r="D210" s="144"/>
      <c r="E210" s="67"/>
      <c r="F210" s="67"/>
      <c r="G210" s="67"/>
      <c r="H210" s="67">
        <f>ROUND(+E210+G210,4)</f>
        <v>0</v>
      </c>
      <c r="I210" s="67"/>
      <c r="J210" s="67">
        <f>ROUND(+I210-H210,4)</f>
        <v>0</v>
      </c>
      <c r="K210" s="67">
        <f>ROUND(IF(F210="alluminio",0,I210*1.5%),4)</f>
        <v>0</v>
      </c>
      <c r="L210" s="67">
        <f>ROUND(IF(K210&lt;J210,K210,0),4)</f>
        <v>0</v>
      </c>
      <c r="M210" s="67">
        <f>ROUND(IF(J210&gt;K210,0,J210),4)</f>
        <v>0</v>
      </c>
      <c r="N210" s="67">
        <f>ROUND(+L210*D210,4)</f>
        <v>0</v>
      </c>
      <c r="O210" s="67">
        <f>ROUND(IF(F210="rame",0,+I210*3%),4)</f>
        <v>0</v>
      </c>
      <c r="P210" s="67">
        <f>ROUND(IF(O210&lt;J210,O210,0),4)</f>
        <v>0</v>
      </c>
      <c r="Q210" s="67">
        <f>ROUND(IF(J210&gt;O210,0,J210),4)</f>
        <v>0</v>
      </c>
      <c r="R210" s="67">
        <f>ROUND(+P210*D210,4)</f>
        <v>0</v>
      </c>
      <c r="S210" s="67">
        <f>ROUND(IF(K210=0,0,M210*D210),4)</f>
        <v>0</v>
      </c>
      <c r="T210" s="67">
        <f>ROUND(+IF(K210=0,Q210*D210,0),4)</f>
        <v>0</v>
      </c>
      <c r="U210" s="67">
        <f>ROUND(+N210+R210+S210+T210,4)</f>
        <v>0</v>
      </c>
      <c r="V210" s="67">
        <f>ROUND(IF(P210=0,0,I210-H210-O210)+IF(L210=0,0,I210-H210-K210),4)</f>
        <v>0</v>
      </c>
      <c r="W210" s="67">
        <f>ROUND(+(V210*60%)*D210,4)</f>
        <v>0</v>
      </c>
      <c r="X210" s="148">
        <f>ROUND(+U210+W210,4)</f>
        <v>0</v>
      </c>
      <c r="Y210" s="68"/>
      <c r="Z210" s="148">
        <f>ROUND(IF(X210&gt;I210,X210,I210),4)</f>
        <v>0</v>
      </c>
    </row>
    <row r="211" spans="1:26" x14ac:dyDescent="0.2">
      <c r="A211" s="66"/>
      <c r="B211" s="66"/>
      <c r="C211" s="66"/>
      <c r="D211" s="144"/>
      <c r="E211" s="67"/>
      <c r="F211" s="67"/>
      <c r="G211" s="67"/>
      <c r="H211" s="67">
        <f>ROUND(+E211+G211,4)</f>
        <v>0</v>
      </c>
      <c r="I211" s="67"/>
      <c r="J211" s="67">
        <f>ROUND(+I211-H211,4)</f>
        <v>0</v>
      </c>
      <c r="K211" s="67">
        <f>ROUND(IF(F211="alluminio",0,I211*1.5%),4)</f>
        <v>0</v>
      </c>
      <c r="L211" s="67">
        <f>ROUND(IF(K211&lt;J211,K211,0),4)</f>
        <v>0</v>
      </c>
      <c r="M211" s="67">
        <f>ROUND(IF(J211&gt;K211,0,J211),4)</f>
        <v>0</v>
      </c>
      <c r="N211" s="67">
        <f>ROUND(+L211*D211,4)</f>
        <v>0</v>
      </c>
      <c r="O211" s="67">
        <f>ROUND(IF(F211="rame",0,+I211*3%),4)</f>
        <v>0</v>
      </c>
      <c r="P211" s="67">
        <f>ROUND(IF(O211&lt;J211,O211,0),4)</f>
        <v>0</v>
      </c>
      <c r="Q211" s="67">
        <f>ROUND(IF(J211&gt;O211,0,J211),4)</f>
        <v>0</v>
      </c>
      <c r="R211" s="67">
        <f>ROUND(+P211*D211,4)</f>
        <v>0</v>
      </c>
      <c r="S211" s="67">
        <f>ROUND(IF(K211=0,0,M211*D211),4)</f>
        <v>0</v>
      </c>
      <c r="T211" s="67">
        <f>ROUND(+IF(K211=0,Q211*D211,0),4)</f>
        <v>0</v>
      </c>
      <c r="U211" s="67">
        <f>ROUND(+N211+R211+S211+T211,4)</f>
        <v>0</v>
      </c>
      <c r="V211" s="67">
        <f>ROUND(IF(P211=0,0,I211-H211-O211)+IF(L211=0,0,I211-H211-K211),4)</f>
        <v>0</v>
      </c>
      <c r="W211" s="67">
        <f>ROUND(+(V211*60%)*D211,4)</f>
        <v>0</v>
      </c>
      <c r="X211" s="148">
        <f>ROUND(+U211+W211,4)</f>
        <v>0</v>
      </c>
      <c r="Y211" s="68"/>
      <c r="Z211" s="148">
        <f>ROUND(IF(X211&gt;I211,X211,I211),4)</f>
        <v>0</v>
      </c>
    </row>
    <row r="212" spans="1:26" x14ac:dyDescent="0.2">
      <c r="A212" s="66"/>
      <c r="B212" s="66"/>
      <c r="C212" s="66"/>
      <c r="D212" s="144"/>
      <c r="E212" s="67"/>
      <c r="F212" s="67"/>
      <c r="G212" s="67"/>
      <c r="H212" s="67">
        <f>ROUND(+E212+G212,4)</f>
        <v>0</v>
      </c>
      <c r="I212" s="67"/>
      <c r="J212" s="67">
        <f>ROUND(+I212-H212,4)</f>
        <v>0</v>
      </c>
      <c r="K212" s="67">
        <f>ROUND(IF(F212="alluminio",0,I212*1.5%),4)</f>
        <v>0</v>
      </c>
      <c r="L212" s="67">
        <f>ROUND(IF(K212&lt;J212,K212,0),4)</f>
        <v>0</v>
      </c>
      <c r="M212" s="67">
        <f>ROUND(IF(J212&gt;K212,0,J212),4)</f>
        <v>0</v>
      </c>
      <c r="N212" s="67">
        <f>ROUND(+L212*D212,4)</f>
        <v>0</v>
      </c>
      <c r="O212" s="67">
        <f>ROUND(IF(F212="rame",0,+I212*3%),4)</f>
        <v>0</v>
      </c>
      <c r="P212" s="67">
        <f>ROUND(IF(O212&lt;J212,O212,0),4)</f>
        <v>0</v>
      </c>
      <c r="Q212" s="67">
        <f>ROUND(IF(J212&gt;O212,0,J212),4)</f>
        <v>0</v>
      </c>
      <c r="R212" s="67">
        <f>ROUND(+P212*D212,4)</f>
        <v>0</v>
      </c>
      <c r="S212" s="67">
        <f>ROUND(IF(K212=0,0,M212*D212),4)</f>
        <v>0</v>
      </c>
      <c r="T212" s="67">
        <f>ROUND(+IF(K212=0,Q212*D212,0),4)</f>
        <v>0</v>
      </c>
      <c r="U212" s="67">
        <f>ROUND(+N212+R212+S212+T212,4)</f>
        <v>0</v>
      </c>
      <c r="V212" s="67">
        <f>ROUND(IF(P212=0,0,I212-H212-O212)+IF(L212=0,0,I212-H212-K212),4)</f>
        <v>0</v>
      </c>
      <c r="W212" s="67">
        <f>ROUND(+(V212*60%)*D212,4)</f>
        <v>0</v>
      </c>
      <c r="X212" s="148">
        <f>ROUND(+U212+W212,4)</f>
        <v>0</v>
      </c>
      <c r="Y212" s="68"/>
      <c r="Z212" s="148">
        <f>ROUND(IF(X212&gt;I212,X212,I212),4)</f>
        <v>0</v>
      </c>
    </row>
    <row r="213" spans="1:26" x14ac:dyDescent="0.2">
      <c r="A213" s="66"/>
      <c r="B213" s="66"/>
      <c r="C213" s="66"/>
      <c r="D213" s="144"/>
      <c r="E213" s="67"/>
      <c r="F213" s="67"/>
      <c r="G213" s="67"/>
      <c r="H213" s="67">
        <f>ROUND(+E213+G213,4)</f>
        <v>0</v>
      </c>
      <c r="I213" s="67"/>
      <c r="J213" s="67">
        <f>ROUND(+I213-H213,4)</f>
        <v>0</v>
      </c>
      <c r="K213" s="67">
        <f>ROUND(IF(F213="alluminio",0,I213*1.5%),4)</f>
        <v>0</v>
      </c>
      <c r="L213" s="67">
        <f>ROUND(IF(K213&lt;J213,K213,0),4)</f>
        <v>0</v>
      </c>
      <c r="M213" s="67">
        <f>ROUND(IF(J213&gt;K213,0,J213),4)</f>
        <v>0</v>
      </c>
      <c r="N213" s="67">
        <f>ROUND(+L213*D213,4)</f>
        <v>0</v>
      </c>
      <c r="O213" s="67">
        <f>ROUND(IF(F213="rame",0,+I213*3%),4)</f>
        <v>0</v>
      </c>
      <c r="P213" s="67">
        <f>ROUND(IF(O213&lt;J213,O213,0),4)</f>
        <v>0</v>
      </c>
      <c r="Q213" s="67">
        <f>ROUND(IF(J213&gt;O213,0,J213),4)</f>
        <v>0</v>
      </c>
      <c r="R213" s="67">
        <f>ROUND(+P213*D213,4)</f>
        <v>0</v>
      </c>
      <c r="S213" s="67">
        <f>ROUND(IF(K213=0,0,M213*D213),4)</f>
        <v>0</v>
      </c>
      <c r="T213" s="67">
        <f>ROUND(+IF(K213=0,Q213*D213,0),4)</f>
        <v>0</v>
      </c>
      <c r="U213" s="67">
        <f>ROUND(+N213+R213+S213+T213,4)</f>
        <v>0</v>
      </c>
      <c r="V213" s="67">
        <f>ROUND(IF(P213=0,0,I213-H213-O213)+IF(L213=0,0,I213-H213-K213),4)</f>
        <v>0</v>
      </c>
      <c r="W213" s="67">
        <f>ROUND(+(V213*60%)*D213,4)</f>
        <v>0</v>
      </c>
      <c r="X213" s="148">
        <f>ROUND(+U213+W213,4)</f>
        <v>0</v>
      </c>
      <c r="Y213" s="68"/>
      <c r="Z213" s="148">
        <f>ROUND(IF(X213&gt;I213,X213,I213),4)</f>
        <v>0</v>
      </c>
    </row>
    <row r="214" spans="1:26" x14ac:dyDescent="0.2">
      <c r="A214" s="66"/>
      <c r="B214" s="66"/>
      <c r="C214" s="66"/>
      <c r="D214" s="144"/>
      <c r="E214" s="67"/>
      <c r="F214" s="67"/>
      <c r="G214" s="67"/>
      <c r="H214" s="67">
        <f>ROUND(+E214+G214,4)</f>
        <v>0</v>
      </c>
      <c r="I214" s="67"/>
      <c r="J214" s="67">
        <f>ROUND(+I214-H214,4)</f>
        <v>0</v>
      </c>
      <c r="K214" s="67">
        <f>ROUND(IF(F214="alluminio",0,I214*1.5%),4)</f>
        <v>0</v>
      </c>
      <c r="L214" s="67">
        <f>ROUND(IF(K214&lt;J214,K214,0),4)</f>
        <v>0</v>
      </c>
      <c r="M214" s="67">
        <f>ROUND(IF(J214&gt;K214,0,J214),4)</f>
        <v>0</v>
      </c>
      <c r="N214" s="67">
        <f>ROUND(+L214*D214,4)</f>
        <v>0</v>
      </c>
      <c r="O214" s="67">
        <f>ROUND(IF(F214="rame",0,+I214*3%),4)</f>
        <v>0</v>
      </c>
      <c r="P214" s="67">
        <f>ROUND(IF(O214&lt;J214,O214,0),4)</f>
        <v>0</v>
      </c>
      <c r="Q214" s="67">
        <f>ROUND(IF(J214&gt;O214,0,J214),4)</f>
        <v>0</v>
      </c>
      <c r="R214" s="67">
        <f>ROUND(+P214*D214,4)</f>
        <v>0</v>
      </c>
      <c r="S214" s="67">
        <f>ROUND(IF(K214=0,0,M214*D214),4)</f>
        <v>0</v>
      </c>
      <c r="T214" s="67">
        <f>ROUND(+IF(K214=0,Q214*D214,0),4)</f>
        <v>0</v>
      </c>
      <c r="U214" s="67">
        <f>ROUND(+N214+R214+S214+T214,4)</f>
        <v>0</v>
      </c>
      <c r="V214" s="67">
        <f>ROUND(IF(P214=0,0,I214-H214-O214)+IF(L214=0,0,I214-H214-K214),4)</f>
        <v>0</v>
      </c>
      <c r="W214" s="67">
        <f>ROUND(+(V214*60%)*D214,4)</f>
        <v>0</v>
      </c>
      <c r="X214" s="148">
        <f>ROUND(+U214+W214,4)</f>
        <v>0</v>
      </c>
      <c r="Y214" s="68"/>
      <c r="Z214" s="148">
        <f>ROUND(IF(X214&gt;I214,X214,I214),4)</f>
        <v>0</v>
      </c>
    </row>
    <row r="215" spans="1:26" x14ac:dyDescent="0.2">
      <c r="A215" s="66"/>
      <c r="B215" s="66"/>
      <c r="C215" s="66"/>
      <c r="D215" s="144"/>
      <c r="E215" s="67"/>
      <c r="F215" s="67"/>
      <c r="G215" s="67"/>
      <c r="H215" s="67">
        <f>ROUND(+E215+G215,4)</f>
        <v>0</v>
      </c>
      <c r="I215" s="67"/>
      <c r="J215" s="67">
        <f>ROUND(+I215-H215,4)</f>
        <v>0</v>
      </c>
      <c r="K215" s="67">
        <f>ROUND(IF(F215="alluminio",0,I215*1.5%),4)</f>
        <v>0</v>
      </c>
      <c r="L215" s="67">
        <f>ROUND(IF(K215&lt;J215,K215,0),4)</f>
        <v>0</v>
      </c>
      <c r="M215" s="67">
        <f>ROUND(IF(J215&gt;K215,0,J215),4)</f>
        <v>0</v>
      </c>
      <c r="N215" s="67">
        <f>ROUND(+L215*D215,4)</f>
        <v>0</v>
      </c>
      <c r="O215" s="67">
        <f>ROUND(IF(F215="rame",0,+I215*3%),4)</f>
        <v>0</v>
      </c>
      <c r="P215" s="67">
        <f>ROUND(IF(O215&lt;J215,O215,0),4)</f>
        <v>0</v>
      </c>
      <c r="Q215" s="67">
        <f>ROUND(IF(J215&gt;O215,0,J215),4)</f>
        <v>0</v>
      </c>
      <c r="R215" s="67">
        <f>ROUND(+P215*D215,4)</f>
        <v>0</v>
      </c>
      <c r="S215" s="67">
        <f>ROUND(IF(K215=0,0,M215*D215),4)</f>
        <v>0</v>
      </c>
      <c r="T215" s="67">
        <f>ROUND(+IF(K215=0,Q215*D215,0),4)</f>
        <v>0</v>
      </c>
      <c r="U215" s="67">
        <f>ROUND(+N215+R215+S215+T215,4)</f>
        <v>0</v>
      </c>
      <c r="V215" s="67">
        <f>ROUND(IF(P215=0,0,I215-H215-O215)+IF(L215=0,0,I215-H215-K215),4)</f>
        <v>0</v>
      </c>
      <c r="W215" s="67">
        <f>ROUND(+(V215*60%)*D215,4)</f>
        <v>0</v>
      </c>
      <c r="X215" s="148">
        <f>ROUND(+U215+W215,4)</f>
        <v>0</v>
      </c>
      <c r="Y215" s="68"/>
      <c r="Z215" s="148">
        <f>ROUND(IF(X215&gt;I215,X215,I215),4)</f>
        <v>0</v>
      </c>
    </row>
    <row r="216" spans="1:26" x14ac:dyDescent="0.2">
      <c r="A216" s="66"/>
      <c r="B216" s="66"/>
      <c r="C216" s="66"/>
      <c r="D216" s="144"/>
      <c r="E216" s="67"/>
      <c r="F216" s="67"/>
      <c r="G216" s="67"/>
      <c r="H216" s="67">
        <f>ROUND(+E216+G216,4)</f>
        <v>0</v>
      </c>
      <c r="I216" s="67"/>
      <c r="J216" s="67">
        <f>ROUND(+I216-H216,4)</f>
        <v>0</v>
      </c>
      <c r="K216" s="67">
        <f>ROUND(IF(F216="alluminio",0,I216*1.5%),4)</f>
        <v>0</v>
      </c>
      <c r="L216" s="67">
        <f>ROUND(IF(K216&lt;J216,K216,0),4)</f>
        <v>0</v>
      </c>
      <c r="M216" s="67">
        <f>ROUND(IF(J216&gt;K216,0,J216),4)</f>
        <v>0</v>
      </c>
      <c r="N216" s="67">
        <f>ROUND(+L216*D216,4)</f>
        <v>0</v>
      </c>
      <c r="O216" s="67">
        <f>ROUND(IF(F216="rame",0,+I216*3%),4)</f>
        <v>0</v>
      </c>
      <c r="P216" s="67">
        <f>ROUND(IF(O216&lt;J216,O216,0),4)</f>
        <v>0</v>
      </c>
      <c r="Q216" s="67">
        <f>ROUND(IF(J216&gt;O216,0,J216),4)</f>
        <v>0</v>
      </c>
      <c r="R216" s="67">
        <f>ROUND(+P216*D216,4)</f>
        <v>0</v>
      </c>
      <c r="S216" s="67">
        <f>ROUND(IF(K216=0,0,M216*D216),4)</f>
        <v>0</v>
      </c>
      <c r="T216" s="67">
        <f>ROUND(+IF(K216=0,Q216*D216,0),4)</f>
        <v>0</v>
      </c>
      <c r="U216" s="67">
        <f>ROUND(+N216+R216+S216+T216,4)</f>
        <v>0</v>
      </c>
      <c r="V216" s="67">
        <f>ROUND(IF(P216=0,0,I216-H216-O216)+IF(L216=0,0,I216-H216-K216),4)</f>
        <v>0</v>
      </c>
      <c r="W216" s="67">
        <f>ROUND(+(V216*60%)*D216,4)</f>
        <v>0</v>
      </c>
      <c r="X216" s="148">
        <f>ROUND(+U216+W216,4)</f>
        <v>0</v>
      </c>
      <c r="Y216" s="68"/>
      <c r="Z216" s="148">
        <f>ROUND(IF(X216&gt;I216,X216,I216),4)</f>
        <v>0</v>
      </c>
    </row>
    <row r="217" spans="1:26" x14ac:dyDescent="0.2">
      <c r="A217" s="66"/>
      <c r="B217" s="66"/>
      <c r="C217" s="66"/>
      <c r="D217" s="144"/>
      <c r="E217" s="67"/>
      <c r="F217" s="67"/>
      <c r="G217" s="67"/>
      <c r="H217" s="67">
        <f>ROUND(+E217+G217,4)</f>
        <v>0</v>
      </c>
      <c r="I217" s="67"/>
      <c r="J217" s="67">
        <f>ROUND(+I217-H217,4)</f>
        <v>0</v>
      </c>
      <c r="K217" s="67">
        <f>ROUND(IF(F217="alluminio",0,I217*1.5%),4)</f>
        <v>0</v>
      </c>
      <c r="L217" s="67">
        <f>ROUND(IF(K217&lt;J217,K217,0),4)</f>
        <v>0</v>
      </c>
      <c r="M217" s="67">
        <f>ROUND(IF(J217&gt;K217,0,J217),4)</f>
        <v>0</v>
      </c>
      <c r="N217" s="67">
        <f>ROUND(+L217*D217,4)</f>
        <v>0</v>
      </c>
      <c r="O217" s="67">
        <f>ROUND(IF(F217="rame",0,+I217*3%),4)</f>
        <v>0</v>
      </c>
      <c r="P217" s="67">
        <f>ROUND(IF(O217&lt;J217,O217,0),4)</f>
        <v>0</v>
      </c>
      <c r="Q217" s="67">
        <f>ROUND(IF(J217&gt;O217,0,J217),4)</f>
        <v>0</v>
      </c>
      <c r="R217" s="67">
        <f>ROUND(+P217*D217,4)</f>
        <v>0</v>
      </c>
      <c r="S217" s="67">
        <f>ROUND(IF(K217=0,0,M217*D217),4)</f>
        <v>0</v>
      </c>
      <c r="T217" s="67">
        <f>ROUND(+IF(K217=0,Q217*D217,0),4)</f>
        <v>0</v>
      </c>
      <c r="U217" s="67">
        <f>ROUND(+N217+R217+S217+T217,4)</f>
        <v>0</v>
      </c>
      <c r="V217" s="67">
        <f>ROUND(IF(P217=0,0,I217-H217-O217)+IF(L217=0,0,I217-H217-K217),4)</f>
        <v>0</v>
      </c>
      <c r="W217" s="67">
        <f>ROUND(+(V217*60%)*D217,4)</f>
        <v>0</v>
      </c>
      <c r="X217" s="148">
        <f>ROUND(+U217+W217,4)</f>
        <v>0</v>
      </c>
      <c r="Y217" s="68"/>
      <c r="Z217" s="148">
        <f>ROUND(IF(X217&gt;I217,X217,I217),4)</f>
        <v>0</v>
      </c>
    </row>
    <row r="218" spans="1:26" x14ac:dyDescent="0.2">
      <c r="A218" s="66"/>
      <c r="B218" s="66"/>
      <c r="C218" s="66"/>
      <c r="D218" s="144"/>
      <c r="E218" s="67"/>
      <c r="F218" s="67"/>
      <c r="G218" s="67"/>
      <c r="H218" s="67">
        <f>ROUND(+E218+G218,4)</f>
        <v>0</v>
      </c>
      <c r="I218" s="67"/>
      <c r="J218" s="67">
        <f>ROUND(+I218-H218,4)</f>
        <v>0</v>
      </c>
      <c r="K218" s="67">
        <f>ROUND(IF(F218="alluminio",0,I218*1.5%),4)</f>
        <v>0</v>
      </c>
      <c r="L218" s="67">
        <f>ROUND(IF(K218&lt;J218,K218,0),4)</f>
        <v>0</v>
      </c>
      <c r="M218" s="67">
        <f>ROUND(IF(J218&gt;K218,0,J218),4)</f>
        <v>0</v>
      </c>
      <c r="N218" s="67">
        <f>ROUND(+L218*D218,4)</f>
        <v>0</v>
      </c>
      <c r="O218" s="67">
        <f>ROUND(IF(F218="rame",0,+I218*3%),4)</f>
        <v>0</v>
      </c>
      <c r="P218" s="67">
        <f>ROUND(IF(O218&lt;J218,O218,0),4)</f>
        <v>0</v>
      </c>
      <c r="Q218" s="67">
        <f>ROUND(IF(J218&gt;O218,0,J218),4)</f>
        <v>0</v>
      </c>
      <c r="R218" s="67">
        <f>ROUND(+P218*D218,4)</f>
        <v>0</v>
      </c>
      <c r="S218" s="67">
        <f>ROUND(IF(K218=0,0,M218*D218),4)</f>
        <v>0</v>
      </c>
      <c r="T218" s="67">
        <f>ROUND(+IF(K218=0,Q218*D218,0),4)</f>
        <v>0</v>
      </c>
      <c r="U218" s="67">
        <f>ROUND(+N218+R218+S218+T218,4)</f>
        <v>0</v>
      </c>
      <c r="V218" s="67">
        <f>ROUND(IF(P218=0,0,I218-H218-O218)+IF(L218=0,0,I218-H218-K218),4)</f>
        <v>0</v>
      </c>
      <c r="W218" s="67">
        <f>ROUND(+(V218*60%)*D218,4)</f>
        <v>0</v>
      </c>
      <c r="X218" s="148">
        <f>ROUND(+U218+W218,4)</f>
        <v>0</v>
      </c>
      <c r="Y218" s="68"/>
      <c r="Z218" s="148">
        <f>ROUND(IF(X218&gt;I218,X218,I218),4)</f>
        <v>0</v>
      </c>
    </row>
    <row r="219" spans="1:26" x14ac:dyDescent="0.2">
      <c r="A219" s="66"/>
      <c r="B219" s="66"/>
      <c r="C219" s="66"/>
      <c r="D219" s="144"/>
      <c r="E219" s="67"/>
      <c r="F219" s="67"/>
      <c r="G219" s="67"/>
      <c r="H219" s="67">
        <f>ROUND(+E219+G219,4)</f>
        <v>0</v>
      </c>
      <c r="I219" s="67"/>
      <c r="J219" s="67">
        <f>ROUND(+I219-H219,4)</f>
        <v>0</v>
      </c>
      <c r="K219" s="67">
        <f>ROUND(IF(F219="alluminio",0,I219*1.5%),4)</f>
        <v>0</v>
      </c>
      <c r="L219" s="67">
        <f>ROUND(IF(K219&lt;J219,K219,0),4)</f>
        <v>0</v>
      </c>
      <c r="M219" s="67">
        <f>ROUND(IF(J219&gt;K219,0,J219),4)</f>
        <v>0</v>
      </c>
      <c r="N219" s="67">
        <f>ROUND(+L219*D219,4)</f>
        <v>0</v>
      </c>
      <c r="O219" s="67">
        <f>ROUND(IF(F219="rame",0,+I219*3%),4)</f>
        <v>0</v>
      </c>
      <c r="P219" s="67">
        <f>ROUND(IF(O219&lt;J219,O219,0),4)</f>
        <v>0</v>
      </c>
      <c r="Q219" s="67">
        <f>ROUND(IF(J219&gt;O219,0,J219),4)</f>
        <v>0</v>
      </c>
      <c r="R219" s="67">
        <f>ROUND(+P219*D219,4)</f>
        <v>0</v>
      </c>
      <c r="S219" s="67">
        <f>ROUND(IF(K219=0,0,M219*D219),4)</f>
        <v>0</v>
      </c>
      <c r="T219" s="67">
        <f>ROUND(+IF(K219=0,Q219*D219,0),4)</f>
        <v>0</v>
      </c>
      <c r="U219" s="67">
        <f>ROUND(+N219+R219+S219+T219,4)</f>
        <v>0</v>
      </c>
      <c r="V219" s="67">
        <f>ROUND(IF(P219=0,0,I219-H219-O219)+IF(L219=0,0,I219-H219-K219),4)</f>
        <v>0</v>
      </c>
      <c r="W219" s="67">
        <f>ROUND(+(V219*60%)*D219,4)</f>
        <v>0</v>
      </c>
      <c r="X219" s="148">
        <f>ROUND(+U219+W219,4)</f>
        <v>0</v>
      </c>
      <c r="Y219" s="68"/>
      <c r="Z219" s="148">
        <f>ROUND(IF(X219&gt;I219,X219,I219),4)</f>
        <v>0</v>
      </c>
    </row>
    <row r="220" spans="1:26" x14ac:dyDescent="0.2">
      <c r="A220" s="66"/>
      <c r="B220" s="66"/>
      <c r="C220" s="66"/>
      <c r="D220" s="144"/>
      <c r="E220" s="67"/>
      <c r="F220" s="67"/>
      <c r="G220" s="67"/>
      <c r="H220" s="67">
        <f>ROUND(+E220+G220,4)</f>
        <v>0</v>
      </c>
      <c r="I220" s="67"/>
      <c r="J220" s="67">
        <f>ROUND(+I220-H220,4)</f>
        <v>0</v>
      </c>
      <c r="K220" s="67">
        <f>ROUND(IF(F220="alluminio",0,I220*1.5%),4)</f>
        <v>0</v>
      </c>
      <c r="L220" s="67">
        <f>ROUND(IF(K220&lt;J220,K220,0),4)</f>
        <v>0</v>
      </c>
      <c r="M220" s="67">
        <f>ROUND(IF(J220&gt;K220,0,J220),4)</f>
        <v>0</v>
      </c>
      <c r="N220" s="67">
        <f>ROUND(+L220*D220,4)</f>
        <v>0</v>
      </c>
      <c r="O220" s="67">
        <f>ROUND(IF(F220="rame",0,+I220*3%),4)</f>
        <v>0</v>
      </c>
      <c r="P220" s="67">
        <f>ROUND(IF(O220&lt;J220,O220,0),4)</f>
        <v>0</v>
      </c>
      <c r="Q220" s="67">
        <f>ROUND(IF(J220&gt;O220,0,J220),4)</f>
        <v>0</v>
      </c>
      <c r="R220" s="67">
        <f>ROUND(+P220*D220,4)</f>
        <v>0</v>
      </c>
      <c r="S220" s="67">
        <f>ROUND(IF(K220=0,0,M220*D220),4)</f>
        <v>0</v>
      </c>
      <c r="T220" s="67">
        <f>ROUND(+IF(K220=0,Q220*D220,0),4)</f>
        <v>0</v>
      </c>
      <c r="U220" s="67">
        <f>ROUND(+N220+R220+S220+T220,4)</f>
        <v>0</v>
      </c>
      <c r="V220" s="67">
        <f>ROUND(IF(P220=0,0,I220-H220-O220)+IF(L220=0,0,I220-H220-K220),4)</f>
        <v>0</v>
      </c>
      <c r="W220" s="67">
        <f>ROUND(+(V220*60%)*D220,4)</f>
        <v>0</v>
      </c>
      <c r="X220" s="148">
        <f>ROUND(+U220+W220,4)</f>
        <v>0</v>
      </c>
      <c r="Y220" s="68"/>
      <c r="Z220" s="148">
        <f>ROUND(IF(X220&gt;I220,X220,I220),4)</f>
        <v>0</v>
      </c>
    </row>
    <row r="221" spans="1:26" x14ac:dyDescent="0.2">
      <c r="A221" s="66"/>
      <c r="B221" s="66"/>
      <c r="C221" s="66"/>
      <c r="D221" s="144"/>
      <c r="E221" s="67"/>
      <c r="F221" s="67"/>
      <c r="G221" s="67"/>
      <c r="H221" s="67">
        <f>ROUND(+E221+G221,4)</f>
        <v>0</v>
      </c>
      <c r="I221" s="67"/>
      <c r="J221" s="67">
        <f>ROUND(+I221-H221,4)</f>
        <v>0</v>
      </c>
      <c r="K221" s="67">
        <f>ROUND(IF(F221="alluminio",0,I221*1.5%),4)</f>
        <v>0</v>
      </c>
      <c r="L221" s="67">
        <f>ROUND(IF(K221&lt;J221,K221,0),4)</f>
        <v>0</v>
      </c>
      <c r="M221" s="67">
        <f>ROUND(IF(J221&gt;K221,0,J221),4)</f>
        <v>0</v>
      </c>
      <c r="N221" s="67">
        <f>ROUND(+L221*D221,4)</f>
        <v>0</v>
      </c>
      <c r="O221" s="67">
        <f>ROUND(IF(F221="rame",0,+I221*3%),4)</f>
        <v>0</v>
      </c>
      <c r="P221" s="67">
        <f>ROUND(IF(O221&lt;J221,O221,0),4)</f>
        <v>0</v>
      </c>
      <c r="Q221" s="67">
        <f>ROUND(IF(J221&gt;O221,0,J221),4)</f>
        <v>0</v>
      </c>
      <c r="R221" s="67">
        <f>ROUND(+P221*D221,4)</f>
        <v>0</v>
      </c>
      <c r="S221" s="67">
        <f>ROUND(IF(K221=0,0,M221*D221),4)</f>
        <v>0</v>
      </c>
      <c r="T221" s="67">
        <f>ROUND(+IF(K221=0,Q221*D221,0),4)</f>
        <v>0</v>
      </c>
      <c r="U221" s="67">
        <f>ROUND(+N221+R221+S221+T221,4)</f>
        <v>0</v>
      </c>
      <c r="V221" s="67">
        <f>ROUND(IF(P221=0,0,I221-H221-O221)+IF(L221=0,0,I221-H221-K221),4)</f>
        <v>0</v>
      </c>
      <c r="W221" s="67">
        <f>ROUND(+(V221*60%)*D221,4)</f>
        <v>0</v>
      </c>
      <c r="X221" s="148">
        <f>ROUND(+U221+W221,4)</f>
        <v>0</v>
      </c>
      <c r="Y221" s="68"/>
      <c r="Z221" s="148">
        <f>ROUND(IF(X221&gt;I221,X221,I221),4)</f>
        <v>0</v>
      </c>
    </row>
    <row r="222" spans="1:26" x14ac:dyDescent="0.2">
      <c r="A222" s="66"/>
      <c r="B222" s="66"/>
      <c r="C222" s="66"/>
      <c r="D222" s="144"/>
      <c r="E222" s="67"/>
      <c r="F222" s="67"/>
      <c r="G222" s="67"/>
      <c r="H222" s="67">
        <f>ROUND(+E222+G222,4)</f>
        <v>0</v>
      </c>
      <c r="I222" s="67"/>
      <c r="J222" s="67">
        <f>ROUND(+I222-H222,4)</f>
        <v>0</v>
      </c>
      <c r="K222" s="67">
        <f>ROUND(IF(F222="alluminio",0,I222*1.5%),4)</f>
        <v>0</v>
      </c>
      <c r="L222" s="67">
        <f>ROUND(IF(K222&lt;J222,K222,0),4)</f>
        <v>0</v>
      </c>
      <c r="M222" s="67">
        <f>ROUND(IF(J222&gt;K222,0,J222),4)</f>
        <v>0</v>
      </c>
      <c r="N222" s="67">
        <f>ROUND(+L222*D222,4)</f>
        <v>0</v>
      </c>
      <c r="O222" s="67">
        <f>ROUND(IF(F222="rame",0,+I222*3%),4)</f>
        <v>0</v>
      </c>
      <c r="P222" s="67">
        <f>ROUND(IF(O222&lt;J222,O222,0),4)</f>
        <v>0</v>
      </c>
      <c r="Q222" s="67">
        <f>ROUND(IF(J222&gt;O222,0,J222),4)</f>
        <v>0</v>
      </c>
      <c r="R222" s="67">
        <f>ROUND(+P222*D222,4)</f>
        <v>0</v>
      </c>
      <c r="S222" s="67">
        <f>ROUND(IF(K222=0,0,M222*D222),4)</f>
        <v>0</v>
      </c>
      <c r="T222" s="67">
        <f>ROUND(+IF(K222=0,Q222*D222,0),4)</f>
        <v>0</v>
      </c>
      <c r="U222" s="67">
        <f>ROUND(+N222+R222+S222+T222,4)</f>
        <v>0</v>
      </c>
      <c r="V222" s="67">
        <f>ROUND(IF(P222=0,0,I222-H222-O222)+IF(L222=0,0,I222-H222-K222),4)</f>
        <v>0</v>
      </c>
      <c r="W222" s="67">
        <f>ROUND(+(V222*60%)*D222,4)</f>
        <v>0</v>
      </c>
      <c r="X222" s="148">
        <f>ROUND(+U222+W222,4)</f>
        <v>0</v>
      </c>
      <c r="Y222" s="68"/>
      <c r="Z222" s="148">
        <f>ROUND(IF(X222&gt;I222,X222,I222),4)</f>
        <v>0</v>
      </c>
    </row>
    <row r="223" spans="1:26" x14ac:dyDescent="0.2">
      <c r="A223" s="66"/>
      <c r="B223" s="66"/>
      <c r="C223" s="66"/>
      <c r="D223" s="144"/>
      <c r="E223" s="67"/>
      <c r="F223" s="67"/>
      <c r="G223" s="67"/>
      <c r="H223" s="67">
        <f>ROUND(+E223+G223,4)</f>
        <v>0</v>
      </c>
      <c r="I223" s="67"/>
      <c r="J223" s="67">
        <f>ROUND(+I223-H223,4)</f>
        <v>0</v>
      </c>
      <c r="K223" s="67">
        <f>ROUND(IF(F223="alluminio",0,I223*1.5%),4)</f>
        <v>0</v>
      </c>
      <c r="L223" s="67">
        <f>ROUND(IF(K223&lt;J223,K223,0),4)</f>
        <v>0</v>
      </c>
      <c r="M223" s="67">
        <f>ROUND(IF(J223&gt;K223,0,J223),4)</f>
        <v>0</v>
      </c>
      <c r="N223" s="67">
        <f>ROUND(+L223*D223,4)</f>
        <v>0</v>
      </c>
      <c r="O223" s="67">
        <f>ROUND(IF(F223="rame",0,+I223*3%),4)</f>
        <v>0</v>
      </c>
      <c r="P223" s="67">
        <f>ROUND(IF(O223&lt;J223,O223,0),4)</f>
        <v>0</v>
      </c>
      <c r="Q223" s="67">
        <f>ROUND(IF(J223&gt;O223,0,J223),4)</f>
        <v>0</v>
      </c>
      <c r="R223" s="67">
        <f>ROUND(+P223*D223,4)</f>
        <v>0</v>
      </c>
      <c r="S223" s="67">
        <f>ROUND(IF(K223=0,0,M223*D223),4)</f>
        <v>0</v>
      </c>
      <c r="T223" s="67">
        <f>ROUND(+IF(K223=0,Q223*D223,0),4)</f>
        <v>0</v>
      </c>
      <c r="U223" s="67">
        <f>ROUND(+N223+R223+S223+T223,4)</f>
        <v>0</v>
      </c>
      <c r="V223" s="67">
        <f>ROUND(IF(P223=0,0,I223-H223-O223)+IF(L223=0,0,I223-H223-K223),4)</f>
        <v>0</v>
      </c>
      <c r="W223" s="67">
        <f>ROUND(+(V223*60%)*D223,4)</f>
        <v>0</v>
      </c>
      <c r="X223" s="148">
        <f>ROUND(+U223+W223,4)</f>
        <v>0</v>
      </c>
      <c r="Y223" s="68"/>
      <c r="Z223" s="148">
        <f>ROUND(IF(X223&gt;I223,X223,I223),4)</f>
        <v>0</v>
      </c>
    </row>
    <row r="224" spans="1:26" x14ac:dyDescent="0.2">
      <c r="A224" s="66"/>
      <c r="B224" s="66"/>
      <c r="C224" s="66"/>
      <c r="D224" s="144"/>
      <c r="E224" s="67"/>
      <c r="F224" s="67"/>
      <c r="G224" s="67"/>
      <c r="H224" s="67">
        <f>ROUND(+E224+G224,4)</f>
        <v>0</v>
      </c>
      <c r="I224" s="67"/>
      <c r="J224" s="67">
        <f>ROUND(+I224-H224,4)</f>
        <v>0</v>
      </c>
      <c r="K224" s="67">
        <f>ROUND(IF(F224="alluminio",0,I224*1.5%),4)</f>
        <v>0</v>
      </c>
      <c r="L224" s="67">
        <f>ROUND(IF(K224&lt;J224,K224,0),4)</f>
        <v>0</v>
      </c>
      <c r="M224" s="67">
        <f>ROUND(IF(J224&gt;K224,0,J224),4)</f>
        <v>0</v>
      </c>
      <c r="N224" s="67">
        <f>ROUND(+L224*D224,4)</f>
        <v>0</v>
      </c>
      <c r="O224" s="67">
        <f>ROUND(IF(F224="rame",0,+I224*3%),4)</f>
        <v>0</v>
      </c>
      <c r="P224" s="67">
        <f>ROUND(IF(O224&lt;J224,O224,0),4)</f>
        <v>0</v>
      </c>
      <c r="Q224" s="67">
        <f>ROUND(IF(J224&gt;O224,0,J224),4)</f>
        <v>0</v>
      </c>
      <c r="R224" s="67">
        <f>ROUND(+P224*D224,4)</f>
        <v>0</v>
      </c>
      <c r="S224" s="67">
        <f>ROUND(IF(K224=0,0,M224*D224),4)</f>
        <v>0</v>
      </c>
      <c r="T224" s="67">
        <f>ROUND(+IF(K224=0,Q224*D224,0),4)</f>
        <v>0</v>
      </c>
      <c r="U224" s="67">
        <f>ROUND(+N224+R224+S224+T224,4)</f>
        <v>0</v>
      </c>
      <c r="V224" s="67">
        <f>ROUND(IF(P224=0,0,I224-H224-O224)+IF(L224=0,0,I224-H224-K224),4)</f>
        <v>0</v>
      </c>
      <c r="W224" s="67">
        <f>ROUND(+(V224*60%)*D224,4)</f>
        <v>0</v>
      </c>
      <c r="X224" s="148">
        <f>ROUND(+U224+W224,4)</f>
        <v>0</v>
      </c>
      <c r="Y224" s="68"/>
      <c r="Z224" s="148">
        <f>ROUND(IF(X224&gt;I224,X224,I224),4)</f>
        <v>0</v>
      </c>
    </row>
    <row r="225" spans="1:26" x14ac:dyDescent="0.2">
      <c r="A225" s="66"/>
      <c r="B225" s="66"/>
      <c r="C225" s="66"/>
      <c r="D225" s="144"/>
      <c r="E225" s="67"/>
      <c r="F225" s="67"/>
      <c r="G225" s="67"/>
      <c r="H225" s="67">
        <f>ROUND(+E225+G225,4)</f>
        <v>0</v>
      </c>
      <c r="I225" s="67"/>
      <c r="J225" s="67">
        <f>ROUND(+I225-H225,4)</f>
        <v>0</v>
      </c>
      <c r="K225" s="67">
        <f>ROUND(IF(F225="alluminio",0,I225*1.5%),4)</f>
        <v>0</v>
      </c>
      <c r="L225" s="67">
        <f>ROUND(IF(K225&lt;J225,K225,0),4)</f>
        <v>0</v>
      </c>
      <c r="M225" s="67">
        <f>ROUND(IF(J225&gt;K225,0,J225),4)</f>
        <v>0</v>
      </c>
      <c r="N225" s="67">
        <f>ROUND(+L225*D225,4)</f>
        <v>0</v>
      </c>
      <c r="O225" s="67">
        <f>ROUND(IF(F225="rame",0,+I225*3%),4)</f>
        <v>0</v>
      </c>
      <c r="P225" s="67">
        <f>ROUND(IF(O225&lt;J225,O225,0),4)</f>
        <v>0</v>
      </c>
      <c r="Q225" s="67">
        <f>ROUND(IF(J225&gt;O225,0,J225),4)</f>
        <v>0</v>
      </c>
      <c r="R225" s="67">
        <f>ROUND(+P225*D225,4)</f>
        <v>0</v>
      </c>
      <c r="S225" s="67">
        <f>ROUND(IF(K225=0,0,M225*D225),4)</f>
        <v>0</v>
      </c>
      <c r="T225" s="67">
        <f>ROUND(+IF(K225=0,Q225*D225,0),4)</f>
        <v>0</v>
      </c>
      <c r="U225" s="67">
        <f>ROUND(+N225+R225+S225+T225,4)</f>
        <v>0</v>
      </c>
      <c r="V225" s="67">
        <f>ROUND(IF(P225=0,0,I225-H225-O225)+IF(L225=0,0,I225-H225-K225),4)</f>
        <v>0</v>
      </c>
      <c r="W225" s="67">
        <f>ROUND(+(V225*60%)*D225,4)</f>
        <v>0</v>
      </c>
      <c r="X225" s="148">
        <f>ROUND(+U225+W225,4)</f>
        <v>0</v>
      </c>
      <c r="Y225" s="68"/>
      <c r="Z225" s="148">
        <f>ROUND(IF(X225&gt;I225,X225,I225),4)</f>
        <v>0</v>
      </c>
    </row>
    <row r="226" spans="1:26" x14ac:dyDescent="0.2">
      <c r="A226" s="66"/>
      <c r="B226" s="66"/>
      <c r="C226" s="66"/>
      <c r="D226" s="144"/>
      <c r="E226" s="67"/>
      <c r="F226" s="67"/>
      <c r="G226" s="67"/>
      <c r="H226" s="67">
        <f>ROUND(+E226+G226,4)</f>
        <v>0</v>
      </c>
      <c r="I226" s="67"/>
      <c r="J226" s="67">
        <f>ROUND(+I226-H226,4)</f>
        <v>0</v>
      </c>
      <c r="K226" s="67">
        <f>ROUND(IF(F226="alluminio",0,I226*1.5%),4)</f>
        <v>0</v>
      </c>
      <c r="L226" s="67">
        <f>ROUND(IF(K226&lt;J226,K226,0),4)</f>
        <v>0</v>
      </c>
      <c r="M226" s="67">
        <f>ROUND(IF(J226&gt;K226,0,J226),4)</f>
        <v>0</v>
      </c>
      <c r="N226" s="67">
        <f>ROUND(+L226*D226,4)</f>
        <v>0</v>
      </c>
      <c r="O226" s="67">
        <f>ROUND(IF(F226="rame",0,+I226*3%),4)</f>
        <v>0</v>
      </c>
      <c r="P226" s="67">
        <f>ROUND(IF(O226&lt;J226,O226,0),4)</f>
        <v>0</v>
      </c>
      <c r="Q226" s="67">
        <f>ROUND(IF(J226&gt;O226,0,J226),4)</f>
        <v>0</v>
      </c>
      <c r="R226" s="67">
        <f>ROUND(+P226*D226,4)</f>
        <v>0</v>
      </c>
      <c r="S226" s="67">
        <f>ROUND(IF(K226=0,0,M226*D226),4)</f>
        <v>0</v>
      </c>
      <c r="T226" s="67">
        <f>ROUND(+IF(K226=0,Q226*D226,0),4)</f>
        <v>0</v>
      </c>
      <c r="U226" s="67">
        <f>ROUND(+N226+R226+S226+T226,4)</f>
        <v>0</v>
      </c>
      <c r="V226" s="67">
        <f>ROUND(IF(P226=0,0,I226-H226-O226)+IF(L226=0,0,I226-H226-K226),4)</f>
        <v>0</v>
      </c>
      <c r="W226" s="67">
        <f>ROUND(+(V226*60%)*D226,4)</f>
        <v>0</v>
      </c>
      <c r="X226" s="148">
        <f>ROUND(+U226+W226,4)</f>
        <v>0</v>
      </c>
      <c r="Y226" s="68"/>
      <c r="Z226" s="148">
        <f>ROUND(IF(X226&gt;I226,X226,I226),4)</f>
        <v>0</v>
      </c>
    </row>
    <row r="227" spans="1:26" x14ac:dyDescent="0.2">
      <c r="A227" s="66"/>
      <c r="B227" s="66"/>
      <c r="C227" s="66"/>
      <c r="D227" s="144"/>
      <c r="E227" s="67"/>
      <c r="F227" s="67"/>
      <c r="G227" s="67"/>
      <c r="H227" s="67">
        <f>ROUND(+E227+G227,4)</f>
        <v>0</v>
      </c>
      <c r="I227" s="67"/>
      <c r="J227" s="67">
        <f>ROUND(+I227-H227,4)</f>
        <v>0</v>
      </c>
      <c r="K227" s="67">
        <f>ROUND(IF(F227="alluminio",0,I227*1.5%),4)</f>
        <v>0</v>
      </c>
      <c r="L227" s="67">
        <f>ROUND(IF(K227&lt;J227,K227,0),4)</f>
        <v>0</v>
      </c>
      <c r="M227" s="67">
        <f>ROUND(IF(J227&gt;K227,0,J227),4)</f>
        <v>0</v>
      </c>
      <c r="N227" s="67">
        <f>ROUND(+L227*D227,4)</f>
        <v>0</v>
      </c>
      <c r="O227" s="67">
        <f>ROUND(IF(F227="rame",0,+I227*3%),4)</f>
        <v>0</v>
      </c>
      <c r="P227" s="67">
        <f>ROUND(IF(O227&lt;J227,O227,0),4)</f>
        <v>0</v>
      </c>
      <c r="Q227" s="67">
        <f>ROUND(IF(J227&gt;O227,0,J227),4)</f>
        <v>0</v>
      </c>
      <c r="R227" s="67">
        <f>ROUND(+P227*D227,4)</f>
        <v>0</v>
      </c>
      <c r="S227" s="67">
        <f>ROUND(IF(K227=0,0,M227*D227),4)</f>
        <v>0</v>
      </c>
      <c r="T227" s="67">
        <f>ROUND(+IF(K227=0,Q227*D227,0),4)</f>
        <v>0</v>
      </c>
      <c r="U227" s="67">
        <f>ROUND(+N227+R227+S227+T227,4)</f>
        <v>0</v>
      </c>
      <c r="V227" s="67">
        <f>ROUND(IF(P227=0,0,I227-H227-O227)+IF(L227=0,0,I227-H227-K227),4)</f>
        <v>0</v>
      </c>
      <c r="W227" s="67">
        <f>ROUND(+(V227*60%)*D227,4)</f>
        <v>0</v>
      </c>
      <c r="X227" s="148">
        <f>ROUND(+U227+W227,4)</f>
        <v>0</v>
      </c>
      <c r="Y227" s="68"/>
      <c r="Z227" s="148">
        <f>ROUND(IF(X227&gt;I227,X227,I227),4)</f>
        <v>0</v>
      </c>
    </row>
    <row r="228" spans="1:26" x14ac:dyDescent="0.2">
      <c r="A228" s="66"/>
      <c r="B228" s="66"/>
      <c r="C228" s="66"/>
      <c r="D228" s="144"/>
      <c r="E228" s="67"/>
      <c r="F228" s="67"/>
      <c r="G228" s="67"/>
      <c r="H228" s="67">
        <f>ROUND(+E228+G228,4)</f>
        <v>0</v>
      </c>
      <c r="I228" s="67"/>
      <c r="J228" s="67">
        <f>ROUND(+I228-H228,4)</f>
        <v>0</v>
      </c>
      <c r="K228" s="67">
        <f>ROUND(IF(F228="alluminio",0,I228*1.5%),4)</f>
        <v>0</v>
      </c>
      <c r="L228" s="67">
        <f>ROUND(IF(K228&lt;J228,K228,0),4)</f>
        <v>0</v>
      </c>
      <c r="M228" s="67">
        <f>ROUND(IF(J228&gt;K228,0,J228),4)</f>
        <v>0</v>
      </c>
      <c r="N228" s="67">
        <f>ROUND(+L228*D228,4)</f>
        <v>0</v>
      </c>
      <c r="O228" s="67">
        <f>ROUND(IF(F228="rame",0,+I228*3%),4)</f>
        <v>0</v>
      </c>
      <c r="P228" s="67">
        <f>ROUND(IF(O228&lt;J228,O228,0),4)</f>
        <v>0</v>
      </c>
      <c r="Q228" s="67">
        <f>ROUND(IF(J228&gt;O228,0,J228),4)</f>
        <v>0</v>
      </c>
      <c r="R228" s="67">
        <f>ROUND(+P228*D228,4)</f>
        <v>0</v>
      </c>
      <c r="S228" s="67">
        <f>ROUND(IF(K228=0,0,M228*D228),4)</f>
        <v>0</v>
      </c>
      <c r="T228" s="67">
        <f>ROUND(+IF(K228=0,Q228*D228,0),4)</f>
        <v>0</v>
      </c>
      <c r="U228" s="67">
        <f>ROUND(+N228+R228+S228+T228,4)</f>
        <v>0</v>
      </c>
      <c r="V228" s="67">
        <f>ROUND(IF(P228=0,0,I228-H228-O228)+IF(L228=0,0,I228-H228-K228),4)</f>
        <v>0</v>
      </c>
      <c r="W228" s="67">
        <f>ROUND(+(V228*60%)*D228,4)</f>
        <v>0</v>
      </c>
      <c r="X228" s="148">
        <f>ROUND(+U228+W228,4)</f>
        <v>0</v>
      </c>
      <c r="Y228" s="68"/>
      <c r="Z228" s="148">
        <f>ROUND(IF(X228&gt;I228,X228,I228),4)</f>
        <v>0</v>
      </c>
    </row>
    <row r="229" spans="1:26" x14ac:dyDescent="0.2">
      <c r="A229" s="66"/>
      <c r="B229" s="66"/>
      <c r="C229" s="66"/>
      <c r="D229" s="144"/>
      <c r="E229" s="67"/>
      <c r="F229" s="67"/>
      <c r="G229" s="67"/>
      <c r="H229" s="67">
        <f>ROUND(+E229+G229,4)</f>
        <v>0</v>
      </c>
      <c r="I229" s="67"/>
      <c r="J229" s="67">
        <f>ROUND(+I229-H229,4)</f>
        <v>0</v>
      </c>
      <c r="K229" s="67">
        <f>ROUND(IF(F229="alluminio",0,I229*1.5%),4)</f>
        <v>0</v>
      </c>
      <c r="L229" s="67">
        <f>ROUND(IF(K229&lt;J229,K229,0),4)</f>
        <v>0</v>
      </c>
      <c r="M229" s="67">
        <f>ROUND(IF(J229&gt;K229,0,J229),4)</f>
        <v>0</v>
      </c>
      <c r="N229" s="67">
        <f>ROUND(+L229*D229,4)</f>
        <v>0</v>
      </c>
      <c r="O229" s="67">
        <f>ROUND(IF(F229="rame",0,+I229*3%),4)</f>
        <v>0</v>
      </c>
      <c r="P229" s="67">
        <f>ROUND(IF(O229&lt;J229,O229,0),4)</f>
        <v>0</v>
      </c>
      <c r="Q229" s="67">
        <f>ROUND(IF(J229&gt;O229,0,J229),4)</f>
        <v>0</v>
      </c>
      <c r="R229" s="67">
        <f>ROUND(+P229*D229,4)</f>
        <v>0</v>
      </c>
      <c r="S229" s="67">
        <f>ROUND(IF(K229=0,0,M229*D229),4)</f>
        <v>0</v>
      </c>
      <c r="T229" s="67">
        <f>ROUND(+IF(K229=0,Q229*D229,0),4)</f>
        <v>0</v>
      </c>
      <c r="U229" s="67">
        <f>ROUND(+N229+R229+S229+T229,4)</f>
        <v>0</v>
      </c>
      <c r="V229" s="67">
        <f>ROUND(IF(P229=0,0,I229-H229-O229)+IF(L229=0,0,I229-H229-K229),4)</f>
        <v>0</v>
      </c>
      <c r="W229" s="67">
        <f>ROUND(+(V229*60%)*D229,4)</f>
        <v>0</v>
      </c>
      <c r="X229" s="148">
        <f>ROUND(+U229+W229,4)</f>
        <v>0</v>
      </c>
      <c r="Y229" s="68"/>
      <c r="Z229" s="148">
        <f>ROUND(IF(X229&gt;I229,X229,I229),4)</f>
        <v>0</v>
      </c>
    </row>
    <row r="230" spans="1:26" x14ac:dyDescent="0.2">
      <c r="A230" s="66"/>
      <c r="B230" s="66"/>
      <c r="C230" s="66"/>
      <c r="D230" s="144"/>
      <c r="E230" s="67"/>
      <c r="F230" s="67"/>
      <c r="G230" s="67"/>
      <c r="H230" s="67">
        <f>ROUND(+E230+G230,4)</f>
        <v>0</v>
      </c>
      <c r="I230" s="67"/>
      <c r="J230" s="67">
        <f>ROUND(+I230-H230,4)</f>
        <v>0</v>
      </c>
      <c r="K230" s="67">
        <f>ROUND(IF(F230="alluminio",0,I230*1.5%),4)</f>
        <v>0</v>
      </c>
      <c r="L230" s="67">
        <f>ROUND(IF(K230&lt;J230,K230,0),4)</f>
        <v>0</v>
      </c>
      <c r="M230" s="67">
        <f>ROUND(IF(J230&gt;K230,0,J230),4)</f>
        <v>0</v>
      </c>
      <c r="N230" s="67">
        <f>ROUND(+L230*D230,4)</f>
        <v>0</v>
      </c>
      <c r="O230" s="67">
        <f>ROUND(IF(F230="rame",0,+I230*3%),4)</f>
        <v>0</v>
      </c>
      <c r="P230" s="67">
        <f>ROUND(IF(O230&lt;J230,O230,0),4)</f>
        <v>0</v>
      </c>
      <c r="Q230" s="67">
        <f>ROUND(IF(J230&gt;O230,0,J230),4)</f>
        <v>0</v>
      </c>
      <c r="R230" s="67">
        <f>ROUND(+P230*D230,4)</f>
        <v>0</v>
      </c>
      <c r="S230" s="67">
        <f>ROUND(IF(K230=0,0,M230*D230),4)</f>
        <v>0</v>
      </c>
      <c r="T230" s="67">
        <f>ROUND(+IF(K230=0,Q230*D230,0),4)</f>
        <v>0</v>
      </c>
      <c r="U230" s="67">
        <f>ROUND(+N230+R230+S230+T230,4)</f>
        <v>0</v>
      </c>
      <c r="V230" s="67">
        <f>ROUND(IF(P230=0,0,I230-H230-O230)+IF(L230=0,0,I230-H230-K230),4)</f>
        <v>0</v>
      </c>
      <c r="W230" s="67">
        <f>ROUND(+(V230*60%)*D230,4)</f>
        <v>0</v>
      </c>
      <c r="X230" s="148">
        <f>ROUND(+U230+W230,4)</f>
        <v>0</v>
      </c>
      <c r="Y230" s="68"/>
      <c r="Z230" s="148">
        <f>ROUND(IF(X230&gt;I230,X230,I230),4)</f>
        <v>0</v>
      </c>
    </row>
    <row r="231" spans="1:26" x14ac:dyDescent="0.2">
      <c r="A231" s="66"/>
      <c r="B231" s="66"/>
      <c r="C231" s="66"/>
      <c r="D231" s="144"/>
      <c r="E231" s="67"/>
      <c r="F231" s="67"/>
      <c r="G231" s="67"/>
      <c r="H231" s="67">
        <f>ROUND(+E231+G231,4)</f>
        <v>0</v>
      </c>
      <c r="I231" s="67"/>
      <c r="J231" s="67">
        <f>ROUND(+I231-H231,4)</f>
        <v>0</v>
      </c>
      <c r="K231" s="67">
        <f>ROUND(IF(F231="alluminio",0,I231*1.5%),4)</f>
        <v>0</v>
      </c>
      <c r="L231" s="67">
        <f>ROUND(IF(K231&lt;J231,K231,0),4)</f>
        <v>0</v>
      </c>
      <c r="M231" s="67">
        <f>ROUND(IF(J231&gt;K231,0,J231),4)</f>
        <v>0</v>
      </c>
      <c r="N231" s="67">
        <f>ROUND(+L231*D231,4)</f>
        <v>0</v>
      </c>
      <c r="O231" s="67">
        <f>ROUND(IF(F231="rame",0,+I231*3%),4)</f>
        <v>0</v>
      </c>
      <c r="P231" s="67">
        <f>ROUND(IF(O231&lt;J231,O231,0),4)</f>
        <v>0</v>
      </c>
      <c r="Q231" s="67">
        <f>ROUND(IF(J231&gt;O231,0,J231),4)</f>
        <v>0</v>
      </c>
      <c r="R231" s="67">
        <f>ROUND(+P231*D231,4)</f>
        <v>0</v>
      </c>
      <c r="S231" s="67">
        <f>ROUND(IF(K231=0,0,M231*D231),4)</f>
        <v>0</v>
      </c>
      <c r="T231" s="67">
        <f>ROUND(+IF(K231=0,Q231*D231,0),4)</f>
        <v>0</v>
      </c>
      <c r="U231" s="67">
        <f>ROUND(+N231+R231+S231+T231,4)</f>
        <v>0</v>
      </c>
      <c r="V231" s="67">
        <f>ROUND(IF(P231=0,0,I231-H231-O231)+IF(L231=0,0,I231-H231-K231),4)</f>
        <v>0</v>
      </c>
      <c r="W231" s="67">
        <f>ROUND(+(V231*60%)*D231,4)</f>
        <v>0</v>
      </c>
      <c r="X231" s="148">
        <f>ROUND(+U231+W231,4)</f>
        <v>0</v>
      </c>
      <c r="Y231" s="68"/>
      <c r="Z231" s="148">
        <f>ROUND(IF(X231&gt;I231,X231,I231),4)</f>
        <v>0</v>
      </c>
    </row>
    <row r="232" spans="1:26" x14ac:dyDescent="0.2">
      <c r="A232" s="66"/>
      <c r="B232" s="66"/>
      <c r="C232" s="66"/>
      <c r="D232" s="144"/>
      <c r="E232" s="67"/>
      <c r="F232" s="67"/>
      <c r="G232" s="67"/>
      <c r="H232" s="67">
        <f>ROUND(+E232+G232,4)</f>
        <v>0</v>
      </c>
      <c r="I232" s="67"/>
      <c r="J232" s="67">
        <f>ROUND(+I232-H232,4)</f>
        <v>0</v>
      </c>
      <c r="K232" s="67">
        <f>ROUND(IF(F232="alluminio",0,I232*1.5%),4)</f>
        <v>0</v>
      </c>
      <c r="L232" s="67">
        <f>ROUND(IF(K232&lt;J232,K232,0),4)</f>
        <v>0</v>
      </c>
      <c r="M232" s="67">
        <f>ROUND(IF(J232&gt;K232,0,J232),4)</f>
        <v>0</v>
      </c>
      <c r="N232" s="67">
        <f>ROUND(+L232*D232,4)</f>
        <v>0</v>
      </c>
      <c r="O232" s="67">
        <f>ROUND(IF(F232="rame",0,+I232*3%),4)</f>
        <v>0</v>
      </c>
      <c r="P232" s="67">
        <f>ROUND(IF(O232&lt;J232,O232,0),4)</f>
        <v>0</v>
      </c>
      <c r="Q232" s="67">
        <f>ROUND(IF(J232&gt;O232,0,J232),4)</f>
        <v>0</v>
      </c>
      <c r="R232" s="67">
        <f>ROUND(+P232*D232,4)</f>
        <v>0</v>
      </c>
      <c r="S232" s="67">
        <f>ROUND(IF(K232=0,0,M232*D232),4)</f>
        <v>0</v>
      </c>
      <c r="T232" s="67">
        <f>ROUND(+IF(K232=0,Q232*D232,0),4)</f>
        <v>0</v>
      </c>
      <c r="U232" s="67">
        <f>ROUND(+N232+R232+S232+T232,4)</f>
        <v>0</v>
      </c>
      <c r="V232" s="67">
        <f>ROUND(IF(P232=0,0,I232-H232-O232)+IF(L232=0,0,I232-H232-K232),4)</f>
        <v>0</v>
      </c>
      <c r="W232" s="67">
        <f>ROUND(+(V232*60%)*D232,4)</f>
        <v>0</v>
      </c>
      <c r="X232" s="148">
        <f>ROUND(+U232+W232,4)</f>
        <v>0</v>
      </c>
      <c r="Y232" s="68"/>
      <c r="Z232" s="148">
        <f>ROUND(IF(X232&gt;I232,X232,I232),4)</f>
        <v>0</v>
      </c>
    </row>
    <row r="233" spans="1:26" x14ac:dyDescent="0.2">
      <c r="A233" s="66"/>
      <c r="B233" s="66"/>
      <c r="C233" s="66"/>
      <c r="D233" s="144"/>
      <c r="E233" s="67"/>
      <c r="F233" s="67"/>
      <c r="G233" s="67"/>
      <c r="H233" s="67">
        <f>ROUND(+E233+G233,4)</f>
        <v>0</v>
      </c>
      <c r="I233" s="67"/>
      <c r="J233" s="67">
        <f>ROUND(+I233-H233,4)</f>
        <v>0</v>
      </c>
      <c r="K233" s="67">
        <f>ROUND(IF(F233="alluminio",0,I233*1.5%),4)</f>
        <v>0</v>
      </c>
      <c r="L233" s="67">
        <f>ROUND(IF(K233&lt;J233,K233,0),4)</f>
        <v>0</v>
      </c>
      <c r="M233" s="67">
        <f>ROUND(IF(J233&gt;K233,0,J233),4)</f>
        <v>0</v>
      </c>
      <c r="N233" s="67">
        <f>ROUND(+L233*D233,4)</f>
        <v>0</v>
      </c>
      <c r="O233" s="67">
        <f>ROUND(IF(F233="rame",0,+I233*3%),4)</f>
        <v>0</v>
      </c>
      <c r="P233" s="67">
        <f>ROUND(IF(O233&lt;J233,O233,0),4)</f>
        <v>0</v>
      </c>
      <c r="Q233" s="67">
        <f>ROUND(IF(J233&gt;O233,0,J233),4)</f>
        <v>0</v>
      </c>
      <c r="R233" s="67">
        <f>ROUND(+P233*D233,4)</f>
        <v>0</v>
      </c>
      <c r="S233" s="67">
        <f>ROUND(IF(K233=0,0,M233*D233),4)</f>
        <v>0</v>
      </c>
      <c r="T233" s="67">
        <f>ROUND(+IF(K233=0,Q233*D233,0),4)</f>
        <v>0</v>
      </c>
      <c r="U233" s="67">
        <f>ROUND(+N233+R233+S233+T233,4)</f>
        <v>0</v>
      </c>
      <c r="V233" s="67">
        <f>ROUND(IF(P233=0,0,I233-H233-O233)+IF(L233=0,0,I233-H233-K233),4)</f>
        <v>0</v>
      </c>
      <c r="W233" s="67">
        <f>ROUND(+(V233*60%)*D233,4)</f>
        <v>0</v>
      </c>
      <c r="X233" s="148">
        <f>ROUND(+U233+W233,4)</f>
        <v>0</v>
      </c>
      <c r="Y233" s="68"/>
      <c r="Z233" s="148">
        <f>ROUND(IF(X233&gt;I233,X233,I233),4)</f>
        <v>0</v>
      </c>
    </row>
    <row r="234" spans="1:26" x14ac:dyDescent="0.2">
      <c r="A234" s="66"/>
      <c r="B234" s="66"/>
      <c r="C234" s="66"/>
      <c r="D234" s="144"/>
      <c r="E234" s="67"/>
      <c r="F234" s="67"/>
      <c r="G234" s="67"/>
      <c r="H234" s="67">
        <f>ROUND(+E234+G234,4)</f>
        <v>0</v>
      </c>
      <c r="I234" s="67"/>
      <c r="J234" s="67">
        <f>ROUND(+I234-H234,4)</f>
        <v>0</v>
      </c>
      <c r="K234" s="67">
        <f>ROUND(IF(F234="alluminio",0,I234*1.5%),4)</f>
        <v>0</v>
      </c>
      <c r="L234" s="67">
        <f>ROUND(IF(K234&lt;J234,K234,0),4)</f>
        <v>0</v>
      </c>
      <c r="M234" s="67">
        <f>ROUND(IF(J234&gt;K234,0,J234),4)</f>
        <v>0</v>
      </c>
      <c r="N234" s="67">
        <f>ROUND(+L234*D234,4)</f>
        <v>0</v>
      </c>
      <c r="O234" s="67">
        <f>ROUND(IF(F234="rame",0,+I234*3%),4)</f>
        <v>0</v>
      </c>
      <c r="P234" s="67">
        <f>ROUND(IF(O234&lt;J234,O234,0),4)</f>
        <v>0</v>
      </c>
      <c r="Q234" s="67">
        <f>ROUND(IF(J234&gt;O234,0,J234),4)</f>
        <v>0</v>
      </c>
      <c r="R234" s="67">
        <f>ROUND(+P234*D234,4)</f>
        <v>0</v>
      </c>
      <c r="S234" s="67">
        <f>ROUND(IF(K234=0,0,M234*D234),4)</f>
        <v>0</v>
      </c>
      <c r="T234" s="67">
        <f>ROUND(+IF(K234=0,Q234*D234,0),4)</f>
        <v>0</v>
      </c>
      <c r="U234" s="67">
        <f>ROUND(+N234+R234+S234+T234,4)</f>
        <v>0</v>
      </c>
      <c r="V234" s="67">
        <f>ROUND(IF(P234=0,0,I234-H234-O234)+IF(L234=0,0,I234-H234-K234),4)</f>
        <v>0</v>
      </c>
      <c r="W234" s="67">
        <f>ROUND(+(V234*60%)*D234,4)</f>
        <v>0</v>
      </c>
      <c r="X234" s="148">
        <f>ROUND(+U234+W234,4)</f>
        <v>0</v>
      </c>
      <c r="Y234" s="68"/>
      <c r="Z234" s="148">
        <f>ROUND(IF(X234&gt;I234,X234,I234),4)</f>
        <v>0</v>
      </c>
    </row>
    <row r="235" spans="1:26" x14ac:dyDescent="0.2">
      <c r="A235" s="66"/>
      <c r="B235" s="66"/>
      <c r="C235" s="66"/>
      <c r="D235" s="144"/>
      <c r="E235" s="67"/>
      <c r="F235" s="67"/>
      <c r="G235" s="67"/>
      <c r="H235" s="67">
        <f>ROUND(+E235+G235,4)</f>
        <v>0</v>
      </c>
      <c r="I235" s="67"/>
      <c r="J235" s="67">
        <f>ROUND(+I235-H235,4)</f>
        <v>0</v>
      </c>
      <c r="K235" s="67">
        <f>ROUND(IF(F235="alluminio",0,I235*1.5%),4)</f>
        <v>0</v>
      </c>
      <c r="L235" s="67">
        <f>ROUND(IF(K235&lt;J235,K235,0),4)</f>
        <v>0</v>
      </c>
      <c r="M235" s="67">
        <f>ROUND(IF(J235&gt;K235,0,J235),4)</f>
        <v>0</v>
      </c>
      <c r="N235" s="67">
        <f>ROUND(+L235*D235,4)</f>
        <v>0</v>
      </c>
      <c r="O235" s="67">
        <f>ROUND(IF(F235="rame",0,+I235*3%),4)</f>
        <v>0</v>
      </c>
      <c r="P235" s="67">
        <f>ROUND(IF(O235&lt;J235,O235,0),4)</f>
        <v>0</v>
      </c>
      <c r="Q235" s="67">
        <f>ROUND(IF(J235&gt;O235,0,J235),4)</f>
        <v>0</v>
      </c>
      <c r="R235" s="67">
        <f>ROUND(+P235*D235,4)</f>
        <v>0</v>
      </c>
      <c r="S235" s="67">
        <f>ROUND(IF(K235=0,0,M235*D235),4)</f>
        <v>0</v>
      </c>
      <c r="T235" s="67">
        <f>ROUND(+IF(K235=0,Q235*D235,0),4)</f>
        <v>0</v>
      </c>
      <c r="U235" s="67">
        <f>ROUND(+N235+R235+S235+T235,4)</f>
        <v>0</v>
      </c>
      <c r="V235" s="67">
        <f>ROUND(IF(P235=0,0,I235-H235-O235)+IF(L235=0,0,I235-H235-K235),4)</f>
        <v>0</v>
      </c>
      <c r="W235" s="67">
        <f>ROUND(+(V235*60%)*D235,4)</f>
        <v>0</v>
      </c>
      <c r="X235" s="148">
        <f>ROUND(+U235+W235,4)</f>
        <v>0</v>
      </c>
      <c r="Y235" s="68"/>
      <c r="Z235" s="148">
        <f>ROUND(IF(X235&gt;I235,X235,I235),4)</f>
        <v>0</v>
      </c>
    </row>
    <row r="236" spans="1:26" x14ac:dyDescent="0.2">
      <c r="A236" s="66"/>
      <c r="B236" s="66"/>
      <c r="C236" s="66"/>
      <c r="D236" s="144"/>
      <c r="E236" s="67"/>
      <c r="F236" s="67"/>
      <c r="G236" s="67"/>
      <c r="H236" s="67">
        <f>ROUND(+E236+G236,4)</f>
        <v>0</v>
      </c>
      <c r="I236" s="67"/>
      <c r="J236" s="67">
        <f>ROUND(+I236-H236,4)</f>
        <v>0</v>
      </c>
      <c r="K236" s="67">
        <f>ROUND(IF(F236="alluminio",0,I236*1.5%),4)</f>
        <v>0</v>
      </c>
      <c r="L236" s="67">
        <f>ROUND(IF(K236&lt;J236,K236,0),4)</f>
        <v>0</v>
      </c>
      <c r="M236" s="67">
        <f>ROUND(IF(J236&gt;K236,0,J236),4)</f>
        <v>0</v>
      </c>
      <c r="N236" s="67">
        <f>ROUND(+L236*D236,4)</f>
        <v>0</v>
      </c>
      <c r="O236" s="67">
        <f>ROUND(IF(F236="rame",0,+I236*3%),4)</f>
        <v>0</v>
      </c>
      <c r="P236" s="67">
        <f>ROUND(IF(O236&lt;J236,O236,0),4)</f>
        <v>0</v>
      </c>
      <c r="Q236" s="67">
        <f>ROUND(IF(J236&gt;O236,0,J236),4)</f>
        <v>0</v>
      </c>
      <c r="R236" s="67">
        <f>ROUND(+P236*D236,4)</f>
        <v>0</v>
      </c>
      <c r="S236" s="67">
        <f>ROUND(IF(K236=0,0,M236*D236),4)</f>
        <v>0</v>
      </c>
      <c r="T236" s="67">
        <f>ROUND(+IF(K236=0,Q236*D236,0),4)</f>
        <v>0</v>
      </c>
      <c r="U236" s="67">
        <f>ROUND(+N236+R236+S236+T236,4)</f>
        <v>0</v>
      </c>
      <c r="V236" s="67">
        <f>ROUND(IF(P236=0,0,I236-H236-O236)+IF(L236=0,0,I236-H236-K236),4)</f>
        <v>0</v>
      </c>
      <c r="W236" s="67">
        <f>ROUND(+(V236*60%)*D236,4)</f>
        <v>0</v>
      </c>
      <c r="X236" s="148">
        <f>ROUND(+U236+W236,4)</f>
        <v>0</v>
      </c>
      <c r="Y236" s="68"/>
      <c r="Z236" s="148">
        <f>ROUND(IF(X236&gt;I236,X236,I236),4)</f>
        <v>0</v>
      </c>
    </row>
    <row r="237" spans="1:26" x14ac:dyDescent="0.2">
      <c r="A237" s="66"/>
      <c r="B237" s="66"/>
      <c r="C237" s="66"/>
      <c r="D237" s="144"/>
      <c r="E237" s="67"/>
      <c r="F237" s="67"/>
      <c r="G237" s="67"/>
      <c r="H237" s="67">
        <f>ROUND(+E237+G237,4)</f>
        <v>0</v>
      </c>
      <c r="I237" s="67"/>
      <c r="J237" s="67">
        <f>ROUND(+I237-H237,4)</f>
        <v>0</v>
      </c>
      <c r="K237" s="67">
        <f>ROUND(IF(F237="alluminio",0,I237*1.5%),4)</f>
        <v>0</v>
      </c>
      <c r="L237" s="67">
        <f>ROUND(IF(K237&lt;J237,K237,0),4)</f>
        <v>0</v>
      </c>
      <c r="M237" s="67">
        <f>ROUND(IF(J237&gt;K237,0,J237),4)</f>
        <v>0</v>
      </c>
      <c r="N237" s="67">
        <f>ROUND(+L237*D237,4)</f>
        <v>0</v>
      </c>
      <c r="O237" s="67">
        <f>ROUND(IF(F237="rame",0,+I237*3%),4)</f>
        <v>0</v>
      </c>
      <c r="P237" s="67">
        <f>ROUND(IF(O237&lt;J237,O237,0),4)</f>
        <v>0</v>
      </c>
      <c r="Q237" s="67">
        <f>ROUND(IF(J237&gt;O237,0,J237),4)</f>
        <v>0</v>
      </c>
      <c r="R237" s="67">
        <f>ROUND(+P237*D237,4)</f>
        <v>0</v>
      </c>
      <c r="S237" s="67">
        <f>ROUND(IF(K237=0,0,M237*D237),4)</f>
        <v>0</v>
      </c>
      <c r="T237" s="67">
        <f>ROUND(+IF(K237=0,Q237*D237,0),4)</f>
        <v>0</v>
      </c>
      <c r="U237" s="67">
        <f>ROUND(+N237+R237+S237+T237,4)</f>
        <v>0</v>
      </c>
      <c r="V237" s="67">
        <f>ROUND(IF(P237=0,0,I237-H237-O237)+IF(L237=0,0,I237-H237-K237),4)</f>
        <v>0</v>
      </c>
      <c r="W237" s="67">
        <f>ROUND(+(V237*60%)*D237,4)</f>
        <v>0</v>
      </c>
      <c r="X237" s="148">
        <f>ROUND(+U237+W237,4)</f>
        <v>0</v>
      </c>
      <c r="Y237" s="68"/>
      <c r="Z237" s="148">
        <f>ROUND(IF(X237&gt;I237,X237,I237),4)</f>
        <v>0</v>
      </c>
    </row>
    <row r="238" spans="1:26" x14ac:dyDescent="0.2">
      <c r="A238" s="66"/>
      <c r="B238" s="66"/>
      <c r="C238" s="66"/>
      <c r="D238" s="144"/>
      <c r="E238" s="67"/>
      <c r="F238" s="67"/>
      <c r="G238" s="67"/>
      <c r="H238" s="67">
        <f>ROUND(+E238+G238,4)</f>
        <v>0</v>
      </c>
      <c r="I238" s="67"/>
      <c r="J238" s="67">
        <f>ROUND(+I238-H238,4)</f>
        <v>0</v>
      </c>
      <c r="K238" s="67">
        <f>ROUND(IF(F238="alluminio",0,I238*1.5%),4)</f>
        <v>0</v>
      </c>
      <c r="L238" s="67">
        <f>ROUND(IF(K238&lt;J238,K238,0),4)</f>
        <v>0</v>
      </c>
      <c r="M238" s="67">
        <f>ROUND(IF(J238&gt;K238,0,J238),4)</f>
        <v>0</v>
      </c>
      <c r="N238" s="67">
        <f>ROUND(+L238*D238,4)</f>
        <v>0</v>
      </c>
      <c r="O238" s="67">
        <f>ROUND(IF(F238="rame",0,+I238*3%),4)</f>
        <v>0</v>
      </c>
      <c r="P238" s="67">
        <f>ROUND(IF(O238&lt;J238,O238,0),4)</f>
        <v>0</v>
      </c>
      <c r="Q238" s="67">
        <f>ROUND(IF(J238&gt;O238,0,J238),4)</f>
        <v>0</v>
      </c>
      <c r="R238" s="67">
        <f>ROUND(+P238*D238,4)</f>
        <v>0</v>
      </c>
      <c r="S238" s="67">
        <f>ROUND(IF(K238=0,0,M238*D238),4)</f>
        <v>0</v>
      </c>
      <c r="T238" s="67">
        <f>ROUND(+IF(K238=0,Q238*D238,0),4)</f>
        <v>0</v>
      </c>
      <c r="U238" s="67">
        <f>ROUND(+N238+R238+S238+T238,4)</f>
        <v>0</v>
      </c>
      <c r="V238" s="67">
        <f>ROUND(IF(P238=0,0,I238-H238-O238)+IF(L238=0,0,I238-H238-K238),4)</f>
        <v>0</v>
      </c>
      <c r="W238" s="67">
        <f>ROUND(+(V238*60%)*D238,4)</f>
        <v>0</v>
      </c>
      <c r="X238" s="148">
        <f>ROUND(+U238+W238,4)</f>
        <v>0</v>
      </c>
      <c r="Y238" s="68"/>
      <c r="Z238" s="148">
        <f>ROUND(IF(X238&gt;I238,X238,I238),4)</f>
        <v>0</v>
      </c>
    </row>
    <row r="239" spans="1:26" x14ac:dyDescent="0.2">
      <c r="A239" s="66"/>
      <c r="B239" s="66"/>
      <c r="C239" s="66"/>
      <c r="D239" s="144"/>
      <c r="E239" s="67"/>
      <c r="F239" s="67"/>
      <c r="G239" s="67"/>
      <c r="H239" s="67">
        <f>ROUND(+E239+G239,4)</f>
        <v>0</v>
      </c>
      <c r="I239" s="67"/>
      <c r="J239" s="67">
        <f>ROUND(+I239-H239,4)</f>
        <v>0</v>
      </c>
      <c r="K239" s="67">
        <f>ROUND(IF(F239="alluminio",0,I239*1.5%),4)</f>
        <v>0</v>
      </c>
      <c r="L239" s="67">
        <f>ROUND(IF(K239&lt;J239,K239,0),4)</f>
        <v>0</v>
      </c>
      <c r="M239" s="67">
        <f>ROUND(IF(J239&gt;K239,0,J239),4)</f>
        <v>0</v>
      </c>
      <c r="N239" s="67">
        <f>ROUND(+L239*D239,4)</f>
        <v>0</v>
      </c>
      <c r="O239" s="67">
        <f>ROUND(IF(F239="rame",0,+I239*3%),4)</f>
        <v>0</v>
      </c>
      <c r="P239" s="67">
        <f>ROUND(IF(O239&lt;J239,O239,0),4)</f>
        <v>0</v>
      </c>
      <c r="Q239" s="67">
        <f>ROUND(IF(J239&gt;O239,0,J239),4)</f>
        <v>0</v>
      </c>
      <c r="R239" s="67">
        <f>ROUND(+P239*D239,4)</f>
        <v>0</v>
      </c>
      <c r="S239" s="67">
        <f>ROUND(IF(K239=0,0,M239*D239),4)</f>
        <v>0</v>
      </c>
      <c r="T239" s="67">
        <f>ROUND(+IF(K239=0,Q239*D239,0),4)</f>
        <v>0</v>
      </c>
      <c r="U239" s="67">
        <f>ROUND(+N239+R239+S239+T239,4)</f>
        <v>0</v>
      </c>
      <c r="V239" s="67">
        <f>ROUND(IF(P239=0,0,I239-H239-O239)+IF(L239=0,0,I239-H239-K239),4)</f>
        <v>0</v>
      </c>
      <c r="W239" s="67">
        <f>ROUND(+(V239*60%)*D239,4)</f>
        <v>0</v>
      </c>
      <c r="X239" s="148">
        <f>ROUND(+U239+W239,4)</f>
        <v>0</v>
      </c>
      <c r="Y239" s="68"/>
      <c r="Z239" s="148">
        <f>ROUND(IF(X239&gt;I239,X239,I239),4)</f>
        <v>0</v>
      </c>
    </row>
    <row r="240" spans="1:26" x14ac:dyDescent="0.2">
      <c r="A240" s="66"/>
      <c r="B240" s="66"/>
      <c r="C240" s="66"/>
      <c r="D240" s="144"/>
      <c r="E240" s="67"/>
      <c r="F240" s="67"/>
      <c r="G240" s="67"/>
      <c r="H240" s="67">
        <f>ROUND(+E240+G240,4)</f>
        <v>0</v>
      </c>
      <c r="I240" s="67"/>
      <c r="J240" s="67">
        <f>ROUND(+I240-H240,4)</f>
        <v>0</v>
      </c>
      <c r="K240" s="67">
        <f>ROUND(IF(F240="alluminio",0,I240*1.5%),4)</f>
        <v>0</v>
      </c>
      <c r="L240" s="67">
        <f>ROUND(IF(K240&lt;J240,K240,0),4)</f>
        <v>0</v>
      </c>
      <c r="M240" s="67">
        <f>ROUND(IF(J240&gt;K240,0,J240),4)</f>
        <v>0</v>
      </c>
      <c r="N240" s="67">
        <f>ROUND(+L240*D240,4)</f>
        <v>0</v>
      </c>
      <c r="O240" s="67">
        <f>ROUND(IF(F240="rame",0,+I240*3%),4)</f>
        <v>0</v>
      </c>
      <c r="P240" s="67">
        <f>ROUND(IF(O240&lt;J240,O240,0),4)</f>
        <v>0</v>
      </c>
      <c r="Q240" s="67">
        <f>ROUND(IF(J240&gt;O240,0,J240),4)</f>
        <v>0</v>
      </c>
      <c r="R240" s="67">
        <f>ROUND(+P240*D240,4)</f>
        <v>0</v>
      </c>
      <c r="S240" s="67">
        <f>ROUND(IF(K240=0,0,M240*D240),4)</f>
        <v>0</v>
      </c>
      <c r="T240" s="67">
        <f>ROUND(+IF(K240=0,Q240*D240,0),4)</f>
        <v>0</v>
      </c>
      <c r="U240" s="67">
        <f>ROUND(+N240+R240+S240+T240,4)</f>
        <v>0</v>
      </c>
      <c r="V240" s="67">
        <f>ROUND(IF(P240=0,0,I240-H240-O240)+IF(L240=0,0,I240-H240-K240),4)</f>
        <v>0</v>
      </c>
      <c r="W240" s="67">
        <f>ROUND(+(V240*60%)*D240,4)</f>
        <v>0</v>
      </c>
      <c r="X240" s="148">
        <f>ROUND(+U240+W240,4)</f>
        <v>0</v>
      </c>
      <c r="Y240" s="68"/>
      <c r="Z240" s="148">
        <f>ROUND(IF(X240&gt;I240,X240,I240),4)</f>
        <v>0</v>
      </c>
    </row>
    <row r="241" spans="1:26" x14ac:dyDescent="0.2">
      <c r="A241" s="66"/>
      <c r="B241" s="66"/>
      <c r="C241" s="66"/>
      <c r="D241" s="144"/>
      <c r="E241" s="67"/>
      <c r="F241" s="67"/>
      <c r="G241" s="67"/>
      <c r="H241" s="67">
        <f>ROUND(+E241+G241,4)</f>
        <v>0</v>
      </c>
      <c r="I241" s="67"/>
      <c r="J241" s="67">
        <f>ROUND(+I241-H241,4)</f>
        <v>0</v>
      </c>
      <c r="K241" s="67">
        <f>ROUND(IF(F241="alluminio",0,I241*1.5%),4)</f>
        <v>0</v>
      </c>
      <c r="L241" s="67">
        <f>ROUND(IF(K241&lt;J241,K241,0),4)</f>
        <v>0</v>
      </c>
      <c r="M241" s="67">
        <f>ROUND(IF(J241&gt;K241,0,J241),4)</f>
        <v>0</v>
      </c>
      <c r="N241" s="67">
        <f>ROUND(+L241*D241,4)</f>
        <v>0</v>
      </c>
      <c r="O241" s="67">
        <f>ROUND(IF(F241="rame",0,+I241*3%),4)</f>
        <v>0</v>
      </c>
      <c r="P241" s="67">
        <f>ROUND(IF(O241&lt;J241,O241,0),4)</f>
        <v>0</v>
      </c>
      <c r="Q241" s="67">
        <f>ROUND(IF(J241&gt;O241,0,J241),4)</f>
        <v>0</v>
      </c>
      <c r="R241" s="67">
        <f>ROUND(+P241*D241,4)</f>
        <v>0</v>
      </c>
      <c r="S241" s="67">
        <f>ROUND(IF(K241=0,0,M241*D241),4)</f>
        <v>0</v>
      </c>
      <c r="T241" s="67">
        <f>ROUND(+IF(K241=0,Q241*D241,0),4)</f>
        <v>0</v>
      </c>
      <c r="U241" s="67">
        <f>ROUND(+N241+R241+S241+T241,4)</f>
        <v>0</v>
      </c>
      <c r="V241" s="67">
        <f>ROUND(IF(P241=0,0,I241-H241-O241)+IF(L241=0,0,I241-H241-K241),4)</f>
        <v>0</v>
      </c>
      <c r="W241" s="67">
        <f>ROUND(+(V241*60%)*D241,4)</f>
        <v>0</v>
      </c>
      <c r="X241" s="148">
        <f>ROUND(+U241+W241,4)</f>
        <v>0</v>
      </c>
      <c r="Y241" s="68"/>
      <c r="Z241" s="148">
        <f>ROUND(IF(X241&gt;I241,X241,I241),4)</f>
        <v>0</v>
      </c>
    </row>
    <row r="242" spans="1:26" x14ac:dyDescent="0.2">
      <c r="A242" s="66"/>
      <c r="B242" s="66"/>
      <c r="C242" s="66"/>
      <c r="D242" s="144"/>
      <c r="E242" s="67"/>
      <c r="F242" s="67"/>
      <c r="G242" s="67"/>
      <c r="H242" s="67">
        <f>ROUND(+E242+G242,4)</f>
        <v>0</v>
      </c>
      <c r="I242" s="67"/>
      <c r="J242" s="67">
        <f>ROUND(+I242-H242,4)</f>
        <v>0</v>
      </c>
      <c r="K242" s="67">
        <f>ROUND(IF(F242="alluminio",0,I242*1.5%),4)</f>
        <v>0</v>
      </c>
      <c r="L242" s="67">
        <f>ROUND(IF(K242&lt;J242,K242,0),4)</f>
        <v>0</v>
      </c>
      <c r="M242" s="67">
        <f>ROUND(IF(J242&gt;K242,0,J242),4)</f>
        <v>0</v>
      </c>
      <c r="N242" s="67">
        <f>ROUND(+L242*D242,4)</f>
        <v>0</v>
      </c>
      <c r="O242" s="67">
        <f>ROUND(IF(F242="rame",0,+I242*3%),4)</f>
        <v>0</v>
      </c>
      <c r="P242" s="67">
        <f>ROUND(IF(O242&lt;J242,O242,0),4)</f>
        <v>0</v>
      </c>
      <c r="Q242" s="67">
        <f>ROUND(IF(J242&gt;O242,0,J242),4)</f>
        <v>0</v>
      </c>
      <c r="R242" s="67">
        <f>ROUND(+P242*D242,4)</f>
        <v>0</v>
      </c>
      <c r="S242" s="67">
        <f>ROUND(IF(K242=0,0,M242*D242),4)</f>
        <v>0</v>
      </c>
      <c r="T242" s="67">
        <f>ROUND(+IF(K242=0,Q242*D242,0),4)</f>
        <v>0</v>
      </c>
      <c r="U242" s="67">
        <f>ROUND(+N242+R242+S242+T242,4)</f>
        <v>0</v>
      </c>
      <c r="V242" s="67">
        <f>ROUND(IF(P242=0,0,I242-H242-O242)+IF(L242=0,0,I242-H242-K242),4)</f>
        <v>0</v>
      </c>
      <c r="W242" s="67">
        <f>ROUND(+(V242*60%)*D242,4)</f>
        <v>0</v>
      </c>
      <c r="X242" s="148">
        <f>ROUND(+U242+W242,4)</f>
        <v>0</v>
      </c>
      <c r="Y242" s="68"/>
      <c r="Z242" s="148">
        <f>ROUND(IF(X242&gt;I242,X242,I242),4)</f>
        <v>0</v>
      </c>
    </row>
    <row r="243" spans="1:26" x14ac:dyDescent="0.2">
      <c r="A243" s="66"/>
      <c r="B243" s="66"/>
      <c r="C243" s="66"/>
      <c r="D243" s="144"/>
      <c r="E243" s="67"/>
      <c r="F243" s="67"/>
      <c r="G243" s="67"/>
      <c r="H243" s="67">
        <f>ROUND(+E243+G243,4)</f>
        <v>0</v>
      </c>
      <c r="I243" s="67"/>
      <c r="J243" s="67">
        <f>ROUND(+I243-H243,4)</f>
        <v>0</v>
      </c>
      <c r="K243" s="67">
        <f>ROUND(IF(F243="alluminio",0,I243*1.5%),4)</f>
        <v>0</v>
      </c>
      <c r="L243" s="67">
        <f>ROUND(IF(K243&lt;J243,K243,0),4)</f>
        <v>0</v>
      </c>
      <c r="M243" s="67">
        <f>ROUND(IF(J243&gt;K243,0,J243),4)</f>
        <v>0</v>
      </c>
      <c r="N243" s="67">
        <f>ROUND(+L243*D243,4)</f>
        <v>0</v>
      </c>
      <c r="O243" s="67">
        <f>ROUND(IF(F243="rame",0,+I243*3%),4)</f>
        <v>0</v>
      </c>
      <c r="P243" s="67">
        <f>ROUND(IF(O243&lt;J243,O243,0),4)</f>
        <v>0</v>
      </c>
      <c r="Q243" s="67">
        <f>ROUND(IF(J243&gt;O243,0,J243),4)</f>
        <v>0</v>
      </c>
      <c r="R243" s="67">
        <f>ROUND(+P243*D243,4)</f>
        <v>0</v>
      </c>
      <c r="S243" s="67">
        <f>ROUND(IF(K243=0,0,M243*D243),4)</f>
        <v>0</v>
      </c>
      <c r="T243" s="67">
        <f>ROUND(+IF(K243=0,Q243*D243,0),4)</f>
        <v>0</v>
      </c>
      <c r="U243" s="67">
        <f>ROUND(+N243+R243+S243+T243,4)</f>
        <v>0</v>
      </c>
      <c r="V243" s="67">
        <f>ROUND(IF(P243=0,0,I243-H243-O243)+IF(L243=0,0,I243-H243-K243),4)</f>
        <v>0</v>
      </c>
      <c r="W243" s="67">
        <f>ROUND(+(V243*60%)*D243,4)</f>
        <v>0</v>
      </c>
      <c r="X243" s="148">
        <f>ROUND(+U243+W243,4)</f>
        <v>0</v>
      </c>
      <c r="Y243" s="68"/>
      <c r="Z243" s="148">
        <f>ROUND(IF(X243&gt;I243,X243,I243),4)</f>
        <v>0</v>
      </c>
    </row>
    <row r="244" spans="1:26" x14ac:dyDescent="0.2">
      <c r="A244" s="66"/>
      <c r="B244" s="66"/>
      <c r="C244" s="66"/>
      <c r="D244" s="144"/>
      <c r="E244" s="67"/>
      <c r="F244" s="67"/>
      <c r="G244" s="67"/>
      <c r="H244" s="67">
        <f>ROUND(+E244+G244,4)</f>
        <v>0</v>
      </c>
      <c r="I244" s="67"/>
      <c r="J244" s="67">
        <f>ROUND(+I244-H244,4)</f>
        <v>0</v>
      </c>
      <c r="K244" s="67">
        <f>ROUND(IF(F244="alluminio",0,I244*1.5%),4)</f>
        <v>0</v>
      </c>
      <c r="L244" s="67">
        <f>ROUND(IF(K244&lt;J244,K244,0),4)</f>
        <v>0</v>
      </c>
      <c r="M244" s="67">
        <f>ROUND(IF(J244&gt;K244,0,J244),4)</f>
        <v>0</v>
      </c>
      <c r="N244" s="67">
        <f>ROUND(+L244*D244,4)</f>
        <v>0</v>
      </c>
      <c r="O244" s="67">
        <f>ROUND(IF(F244="rame",0,+I244*3%),4)</f>
        <v>0</v>
      </c>
      <c r="P244" s="67">
        <f>ROUND(IF(O244&lt;J244,O244,0),4)</f>
        <v>0</v>
      </c>
      <c r="Q244" s="67">
        <f>ROUND(IF(J244&gt;O244,0,J244),4)</f>
        <v>0</v>
      </c>
      <c r="R244" s="67">
        <f>ROUND(+P244*D244,4)</f>
        <v>0</v>
      </c>
      <c r="S244" s="67">
        <f>ROUND(IF(K244=0,0,M244*D244),4)</f>
        <v>0</v>
      </c>
      <c r="T244" s="67">
        <f>ROUND(+IF(K244=0,Q244*D244,0),4)</f>
        <v>0</v>
      </c>
      <c r="U244" s="67">
        <f>ROUND(+N244+R244+S244+T244,4)</f>
        <v>0</v>
      </c>
      <c r="V244" s="67">
        <f>ROUND(IF(P244=0,0,I244-H244-O244)+IF(L244=0,0,I244-H244-K244),4)</f>
        <v>0</v>
      </c>
      <c r="W244" s="67">
        <f>ROUND(+(V244*60%)*D244,4)</f>
        <v>0</v>
      </c>
      <c r="X244" s="148">
        <f>ROUND(+U244+W244,4)</f>
        <v>0</v>
      </c>
      <c r="Y244" s="68"/>
      <c r="Z244" s="148">
        <f>ROUND(IF(X244&gt;I244,X244,I244),4)</f>
        <v>0</v>
      </c>
    </row>
    <row r="245" spans="1:26" x14ac:dyDescent="0.2">
      <c r="A245" s="66"/>
      <c r="B245" s="66"/>
      <c r="C245" s="66"/>
      <c r="D245" s="144"/>
      <c r="E245" s="67"/>
      <c r="F245" s="67"/>
      <c r="G245" s="67"/>
      <c r="H245" s="67">
        <f>ROUND(+E245+G245,4)</f>
        <v>0</v>
      </c>
      <c r="I245" s="67"/>
      <c r="J245" s="67">
        <f>ROUND(+I245-H245,4)</f>
        <v>0</v>
      </c>
      <c r="K245" s="67">
        <f>ROUND(IF(F245="alluminio",0,I245*1.5%),4)</f>
        <v>0</v>
      </c>
      <c r="L245" s="67">
        <f>ROUND(IF(K245&lt;J245,K245,0),4)</f>
        <v>0</v>
      </c>
      <c r="M245" s="67">
        <f>ROUND(IF(J245&gt;K245,0,J245),4)</f>
        <v>0</v>
      </c>
      <c r="N245" s="67">
        <f>ROUND(+L245*D245,4)</f>
        <v>0</v>
      </c>
      <c r="O245" s="67">
        <f>ROUND(IF(F245="rame",0,+I245*3%),4)</f>
        <v>0</v>
      </c>
      <c r="P245" s="67">
        <f>ROUND(IF(O245&lt;J245,O245,0),4)</f>
        <v>0</v>
      </c>
      <c r="Q245" s="67">
        <f>ROUND(IF(J245&gt;O245,0,J245),4)</f>
        <v>0</v>
      </c>
      <c r="R245" s="67">
        <f>ROUND(+P245*D245,4)</f>
        <v>0</v>
      </c>
      <c r="S245" s="67">
        <f>ROUND(IF(K245=0,0,M245*D245),4)</f>
        <v>0</v>
      </c>
      <c r="T245" s="67">
        <f>ROUND(+IF(K245=0,Q245*D245,0),4)</f>
        <v>0</v>
      </c>
      <c r="U245" s="67">
        <f>ROUND(+N245+R245+S245+T245,4)</f>
        <v>0</v>
      </c>
      <c r="V245" s="67">
        <f>ROUND(IF(P245=0,0,I245-H245-O245)+IF(L245=0,0,I245-H245-K245),4)</f>
        <v>0</v>
      </c>
      <c r="W245" s="67">
        <f>ROUND(+(V245*60%)*D245,4)</f>
        <v>0</v>
      </c>
      <c r="X245" s="148">
        <f>ROUND(+U245+W245,4)</f>
        <v>0</v>
      </c>
      <c r="Y245" s="68"/>
      <c r="Z245" s="148">
        <f>ROUND(IF(X245&gt;I245,X245,I245),4)</f>
        <v>0</v>
      </c>
    </row>
    <row r="246" spans="1:26" x14ac:dyDescent="0.2">
      <c r="A246" s="66"/>
      <c r="B246" s="66"/>
      <c r="C246" s="66"/>
      <c r="D246" s="144"/>
      <c r="E246" s="67"/>
      <c r="F246" s="67"/>
      <c r="G246" s="67"/>
      <c r="H246" s="67">
        <f>ROUND(+E246+G246,4)</f>
        <v>0</v>
      </c>
      <c r="I246" s="67"/>
      <c r="J246" s="67">
        <f>ROUND(+I246-H246,4)</f>
        <v>0</v>
      </c>
      <c r="K246" s="67">
        <f>ROUND(IF(F246="alluminio",0,I246*1.5%),4)</f>
        <v>0</v>
      </c>
      <c r="L246" s="67">
        <f>ROUND(IF(K246&lt;J246,K246,0),4)</f>
        <v>0</v>
      </c>
      <c r="M246" s="67">
        <f>ROUND(IF(J246&gt;K246,0,J246),4)</f>
        <v>0</v>
      </c>
      <c r="N246" s="67">
        <f>ROUND(+L246*D246,4)</f>
        <v>0</v>
      </c>
      <c r="O246" s="67">
        <f>ROUND(IF(F246="rame",0,+I246*3%),4)</f>
        <v>0</v>
      </c>
      <c r="P246" s="67">
        <f>ROUND(IF(O246&lt;J246,O246,0),4)</f>
        <v>0</v>
      </c>
      <c r="Q246" s="67">
        <f>ROUND(IF(J246&gt;O246,0,J246),4)</f>
        <v>0</v>
      </c>
      <c r="R246" s="67">
        <f>ROUND(+P246*D246,4)</f>
        <v>0</v>
      </c>
      <c r="S246" s="67">
        <f>ROUND(IF(K246=0,0,M246*D246),4)</f>
        <v>0</v>
      </c>
      <c r="T246" s="67">
        <f>ROUND(+IF(K246=0,Q246*D246,0),4)</f>
        <v>0</v>
      </c>
      <c r="U246" s="67">
        <f>ROUND(+N246+R246+S246+T246,4)</f>
        <v>0</v>
      </c>
      <c r="V246" s="67">
        <f>ROUND(IF(P246=0,0,I246-H246-O246)+IF(L246=0,0,I246-H246-K246),4)</f>
        <v>0</v>
      </c>
      <c r="W246" s="67">
        <f>ROUND(+(V246*60%)*D246,4)</f>
        <v>0</v>
      </c>
      <c r="X246" s="148">
        <f>ROUND(+U246+W246,4)</f>
        <v>0</v>
      </c>
      <c r="Y246" s="68"/>
      <c r="Z246" s="148">
        <f>ROUND(IF(X246&gt;I246,X246,I246),4)</f>
        <v>0</v>
      </c>
    </row>
    <row r="247" spans="1:26" x14ac:dyDescent="0.2">
      <c r="A247" s="66"/>
      <c r="B247" s="66"/>
      <c r="C247" s="66"/>
      <c r="D247" s="144"/>
      <c r="E247" s="67"/>
      <c r="F247" s="67"/>
      <c r="G247" s="67"/>
      <c r="H247" s="67">
        <f>ROUND(+E247+G247,4)</f>
        <v>0</v>
      </c>
      <c r="I247" s="67"/>
      <c r="J247" s="67">
        <f>ROUND(+I247-H247,4)</f>
        <v>0</v>
      </c>
      <c r="K247" s="67">
        <f>ROUND(IF(F247="alluminio",0,I247*1.5%),4)</f>
        <v>0</v>
      </c>
      <c r="L247" s="67">
        <f>ROUND(IF(K247&lt;J247,K247,0),4)</f>
        <v>0</v>
      </c>
      <c r="M247" s="67">
        <f>ROUND(IF(J247&gt;K247,0,J247),4)</f>
        <v>0</v>
      </c>
      <c r="N247" s="67">
        <f>ROUND(+L247*D247,4)</f>
        <v>0</v>
      </c>
      <c r="O247" s="67">
        <f>ROUND(IF(F247="rame",0,+I247*3%),4)</f>
        <v>0</v>
      </c>
      <c r="P247" s="67">
        <f>ROUND(IF(O247&lt;J247,O247,0),4)</f>
        <v>0</v>
      </c>
      <c r="Q247" s="67">
        <f>ROUND(IF(J247&gt;O247,0,J247),4)</f>
        <v>0</v>
      </c>
      <c r="R247" s="67">
        <f>ROUND(+P247*D247,4)</f>
        <v>0</v>
      </c>
      <c r="S247" s="67">
        <f>ROUND(IF(K247=0,0,M247*D247),4)</f>
        <v>0</v>
      </c>
      <c r="T247" s="67">
        <f>ROUND(+IF(K247=0,Q247*D247,0),4)</f>
        <v>0</v>
      </c>
      <c r="U247" s="67">
        <f>ROUND(+N247+R247+S247+T247,4)</f>
        <v>0</v>
      </c>
      <c r="V247" s="67">
        <f>ROUND(IF(P247=0,0,I247-H247-O247)+IF(L247=0,0,I247-H247-K247),4)</f>
        <v>0</v>
      </c>
      <c r="W247" s="67">
        <f>ROUND(+(V247*60%)*D247,4)</f>
        <v>0</v>
      </c>
      <c r="X247" s="148">
        <f>ROUND(+U247+W247,4)</f>
        <v>0</v>
      </c>
      <c r="Y247" s="68"/>
      <c r="Z247" s="148">
        <f>ROUND(IF(X247&gt;I247,X247,I247),4)</f>
        <v>0</v>
      </c>
    </row>
    <row r="248" spans="1:26" x14ac:dyDescent="0.2">
      <c r="A248" s="66"/>
      <c r="B248" s="66"/>
      <c r="C248" s="66"/>
      <c r="D248" s="144"/>
      <c r="E248" s="67"/>
      <c r="F248" s="67"/>
      <c r="G248" s="67"/>
      <c r="H248" s="67">
        <f>ROUND(+E248+G248,4)</f>
        <v>0</v>
      </c>
      <c r="I248" s="67"/>
      <c r="J248" s="67">
        <f>ROUND(+I248-H248,4)</f>
        <v>0</v>
      </c>
      <c r="K248" s="67">
        <f>ROUND(IF(F248="alluminio",0,I248*1.5%),4)</f>
        <v>0</v>
      </c>
      <c r="L248" s="67">
        <f>ROUND(IF(K248&lt;J248,K248,0),4)</f>
        <v>0</v>
      </c>
      <c r="M248" s="67">
        <f>ROUND(IF(J248&gt;K248,0,J248),4)</f>
        <v>0</v>
      </c>
      <c r="N248" s="67">
        <f>ROUND(+L248*D248,4)</f>
        <v>0</v>
      </c>
      <c r="O248" s="67">
        <f>ROUND(IF(F248="rame",0,+I248*3%),4)</f>
        <v>0</v>
      </c>
      <c r="P248" s="67">
        <f>ROUND(IF(O248&lt;J248,O248,0),4)</f>
        <v>0</v>
      </c>
      <c r="Q248" s="67">
        <f>ROUND(IF(J248&gt;O248,0,J248),4)</f>
        <v>0</v>
      </c>
      <c r="R248" s="67">
        <f>ROUND(+P248*D248,4)</f>
        <v>0</v>
      </c>
      <c r="S248" s="67">
        <f>ROUND(IF(K248=0,0,M248*D248),4)</f>
        <v>0</v>
      </c>
      <c r="T248" s="67">
        <f>ROUND(+IF(K248=0,Q248*D248,0),4)</f>
        <v>0</v>
      </c>
      <c r="U248" s="67">
        <f>ROUND(+N248+R248+S248+T248,4)</f>
        <v>0</v>
      </c>
      <c r="V248" s="67">
        <f>ROUND(IF(P248=0,0,I248-H248-O248)+IF(L248=0,0,I248-H248-K248),4)</f>
        <v>0</v>
      </c>
      <c r="W248" s="67">
        <f>ROUND(+(V248*60%)*D248,4)</f>
        <v>0</v>
      </c>
      <c r="X248" s="148">
        <f>ROUND(+U248+W248,4)</f>
        <v>0</v>
      </c>
      <c r="Y248" s="68"/>
      <c r="Z248" s="148">
        <f>ROUND(IF(X248&gt;I248,X248,I248),4)</f>
        <v>0</v>
      </c>
    </row>
    <row r="249" spans="1:26" x14ac:dyDescent="0.2">
      <c r="A249" s="66"/>
      <c r="B249" s="66"/>
      <c r="C249" s="66"/>
      <c r="D249" s="144"/>
      <c r="E249" s="67"/>
      <c r="F249" s="67"/>
      <c r="G249" s="67"/>
      <c r="H249" s="67">
        <f>ROUND(+E249+G249,4)</f>
        <v>0</v>
      </c>
      <c r="I249" s="67"/>
      <c r="J249" s="67">
        <f>ROUND(+I249-H249,4)</f>
        <v>0</v>
      </c>
      <c r="K249" s="67">
        <f>ROUND(IF(F249="alluminio",0,I249*1.5%),4)</f>
        <v>0</v>
      </c>
      <c r="L249" s="67">
        <f>ROUND(IF(K249&lt;J249,K249,0),4)</f>
        <v>0</v>
      </c>
      <c r="M249" s="67">
        <f>ROUND(IF(J249&gt;K249,0,J249),4)</f>
        <v>0</v>
      </c>
      <c r="N249" s="67">
        <f>ROUND(+L249*D249,4)</f>
        <v>0</v>
      </c>
      <c r="O249" s="67">
        <f>ROUND(IF(F249="rame",0,+I249*3%),4)</f>
        <v>0</v>
      </c>
      <c r="P249" s="67">
        <f>ROUND(IF(O249&lt;J249,O249,0),4)</f>
        <v>0</v>
      </c>
      <c r="Q249" s="67">
        <f>ROUND(IF(J249&gt;O249,0,J249),4)</f>
        <v>0</v>
      </c>
      <c r="R249" s="67">
        <f>ROUND(+P249*D249,4)</f>
        <v>0</v>
      </c>
      <c r="S249" s="67">
        <f>ROUND(IF(K249=0,0,M249*D249),4)</f>
        <v>0</v>
      </c>
      <c r="T249" s="67">
        <f>ROUND(+IF(K249=0,Q249*D249,0),4)</f>
        <v>0</v>
      </c>
      <c r="U249" s="67">
        <f>ROUND(+N249+R249+S249+T249,4)</f>
        <v>0</v>
      </c>
      <c r="V249" s="67">
        <f>ROUND(IF(P249=0,0,I249-H249-O249)+IF(L249=0,0,I249-H249-K249),4)</f>
        <v>0</v>
      </c>
      <c r="W249" s="67">
        <f>ROUND(+(V249*60%)*D249,4)</f>
        <v>0</v>
      </c>
      <c r="X249" s="148">
        <f>ROUND(+U249+W249,4)</f>
        <v>0</v>
      </c>
      <c r="Y249" s="68"/>
      <c r="Z249" s="148">
        <f>ROUND(IF(X249&gt;I249,X249,I249),4)</f>
        <v>0</v>
      </c>
    </row>
    <row r="250" spans="1:26" x14ac:dyDescent="0.2">
      <c r="A250" s="66"/>
      <c r="B250" s="66"/>
      <c r="C250" s="66"/>
      <c r="D250" s="144"/>
      <c r="E250" s="67"/>
      <c r="F250" s="67"/>
      <c r="G250" s="67"/>
      <c r="H250" s="67">
        <f>ROUND(+E250+G250,4)</f>
        <v>0</v>
      </c>
      <c r="I250" s="67"/>
      <c r="J250" s="67">
        <f>ROUND(+I250-H250,4)</f>
        <v>0</v>
      </c>
      <c r="K250" s="67">
        <f>ROUND(IF(F250="alluminio",0,I250*1.5%),4)</f>
        <v>0</v>
      </c>
      <c r="L250" s="67">
        <f>ROUND(IF(K250&lt;J250,K250,0),4)</f>
        <v>0</v>
      </c>
      <c r="M250" s="67">
        <f>ROUND(IF(J250&gt;K250,0,J250),4)</f>
        <v>0</v>
      </c>
      <c r="N250" s="67">
        <f>ROUND(+L250*D250,4)</f>
        <v>0</v>
      </c>
      <c r="O250" s="67">
        <f>ROUND(IF(F250="rame",0,+I250*3%),4)</f>
        <v>0</v>
      </c>
      <c r="P250" s="67">
        <f>ROUND(IF(O250&lt;J250,O250,0),4)</f>
        <v>0</v>
      </c>
      <c r="Q250" s="67">
        <f>ROUND(IF(J250&gt;O250,0,J250),4)</f>
        <v>0</v>
      </c>
      <c r="R250" s="67">
        <f>ROUND(+P250*D250,4)</f>
        <v>0</v>
      </c>
      <c r="S250" s="67">
        <f>ROUND(IF(K250=0,0,M250*D250),4)</f>
        <v>0</v>
      </c>
      <c r="T250" s="67">
        <f>ROUND(+IF(K250=0,Q250*D250,0),4)</f>
        <v>0</v>
      </c>
      <c r="U250" s="67">
        <f>ROUND(+N250+R250+S250+T250,4)</f>
        <v>0</v>
      </c>
      <c r="V250" s="67">
        <f>ROUND(IF(P250=0,0,I250-H250-O250)+IF(L250=0,0,I250-H250-K250),4)</f>
        <v>0</v>
      </c>
      <c r="W250" s="67">
        <f>ROUND(+(V250*60%)*D250,4)</f>
        <v>0</v>
      </c>
      <c r="X250" s="148">
        <f>ROUND(+U250+W250,4)</f>
        <v>0</v>
      </c>
      <c r="Y250" s="68"/>
      <c r="Z250" s="148">
        <f>ROUND(IF(X250&gt;I250,X250,I250),4)</f>
        <v>0</v>
      </c>
    </row>
    <row r="251" spans="1:26" x14ac:dyDescent="0.2">
      <c r="A251" s="66"/>
      <c r="B251" s="66"/>
      <c r="C251" s="66"/>
      <c r="D251" s="144"/>
      <c r="E251" s="67"/>
      <c r="F251" s="67"/>
      <c r="G251" s="67"/>
      <c r="H251" s="67">
        <f>ROUND(+E251+G251,4)</f>
        <v>0</v>
      </c>
      <c r="I251" s="67"/>
      <c r="J251" s="67">
        <f>ROUND(+I251-H251,4)</f>
        <v>0</v>
      </c>
      <c r="K251" s="67">
        <f>ROUND(IF(F251="alluminio",0,I251*1.5%),4)</f>
        <v>0</v>
      </c>
      <c r="L251" s="67">
        <f>ROUND(IF(K251&lt;J251,K251,0),4)</f>
        <v>0</v>
      </c>
      <c r="M251" s="67">
        <f>ROUND(IF(J251&gt;K251,0,J251),4)</f>
        <v>0</v>
      </c>
      <c r="N251" s="67">
        <f>ROUND(+L251*D251,4)</f>
        <v>0</v>
      </c>
      <c r="O251" s="67">
        <f>ROUND(IF(F251="rame",0,+I251*3%),4)</f>
        <v>0</v>
      </c>
      <c r="P251" s="67">
        <f>ROUND(IF(O251&lt;J251,O251,0),4)</f>
        <v>0</v>
      </c>
      <c r="Q251" s="67">
        <f>ROUND(IF(J251&gt;O251,0,J251),4)</f>
        <v>0</v>
      </c>
      <c r="R251" s="67">
        <f>ROUND(+P251*D251,4)</f>
        <v>0</v>
      </c>
      <c r="S251" s="67">
        <f>ROUND(IF(K251=0,0,M251*D251),4)</f>
        <v>0</v>
      </c>
      <c r="T251" s="67">
        <f>ROUND(+IF(K251=0,Q251*D251,0),4)</f>
        <v>0</v>
      </c>
      <c r="U251" s="67">
        <f>ROUND(+N251+R251+S251+T251,4)</f>
        <v>0</v>
      </c>
      <c r="V251" s="67">
        <f>ROUND(IF(P251=0,0,I251-H251-O251)+IF(L251=0,0,I251-H251-K251),4)</f>
        <v>0</v>
      </c>
      <c r="W251" s="67">
        <f>ROUND(+(V251*60%)*D251,4)</f>
        <v>0</v>
      </c>
      <c r="X251" s="148">
        <f>ROUND(+U251+W251,4)</f>
        <v>0</v>
      </c>
      <c r="Y251" s="68"/>
      <c r="Z251" s="148">
        <f>ROUND(IF(X251&gt;I251,X251,I251),4)</f>
        <v>0</v>
      </c>
    </row>
    <row r="252" spans="1:26" x14ac:dyDescent="0.2">
      <c r="A252" s="66"/>
      <c r="B252" s="66"/>
      <c r="C252" s="66"/>
      <c r="D252" s="144"/>
      <c r="E252" s="67"/>
      <c r="F252" s="67"/>
      <c r="G252" s="67"/>
      <c r="H252" s="67">
        <f>ROUND(+E252+G252,4)</f>
        <v>0</v>
      </c>
      <c r="I252" s="67"/>
      <c r="J252" s="67">
        <f>ROUND(+I252-H252,4)</f>
        <v>0</v>
      </c>
      <c r="K252" s="67">
        <f>ROUND(IF(F252="alluminio",0,I252*1.5%),4)</f>
        <v>0</v>
      </c>
      <c r="L252" s="67">
        <f>ROUND(IF(K252&lt;J252,K252,0),4)</f>
        <v>0</v>
      </c>
      <c r="M252" s="67">
        <f>ROUND(IF(J252&gt;K252,0,J252),4)</f>
        <v>0</v>
      </c>
      <c r="N252" s="67">
        <f>ROUND(+L252*D252,4)</f>
        <v>0</v>
      </c>
      <c r="O252" s="67">
        <f>ROUND(IF(F252="rame",0,+I252*3%),4)</f>
        <v>0</v>
      </c>
      <c r="P252" s="67">
        <f>ROUND(IF(O252&lt;J252,O252,0),4)</f>
        <v>0</v>
      </c>
      <c r="Q252" s="67">
        <f>ROUND(IF(J252&gt;O252,0,J252),4)</f>
        <v>0</v>
      </c>
      <c r="R252" s="67">
        <f>ROUND(+P252*D252,4)</f>
        <v>0</v>
      </c>
      <c r="S252" s="67">
        <f>ROUND(IF(K252=0,0,M252*D252),4)</f>
        <v>0</v>
      </c>
      <c r="T252" s="67">
        <f>ROUND(+IF(K252=0,Q252*D252,0),4)</f>
        <v>0</v>
      </c>
      <c r="U252" s="67">
        <f>ROUND(+N252+R252+S252+T252,4)</f>
        <v>0</v>
      </c>
      <c r="V252" s="67">
        <f>ROUND(IF(P252=0,0,I252-H252-O252)+IF(L252=0,0,I252-H252-K252),4)</f>
        <v>0</v>
      </c>
      <c r="W252" s="67">
        <f>ROUND(+(V252*60%)*D252,4)</f>
        <v>0</v>
      </c>
      <c r="X252" s="148">
        <f>ROUND(+U252+W252,4)</f>
        <v>0</v>
      </c>
      <c r="Y252" s="68"/>
      <c r="Z252" s="148">
        <f>ROUND(IF(X252&gt;I252,X252,I252),4)</f>
        <v>0</v>
      </c>
    </row>
    <row r="253" spans="1:26" x14ac:dyDescent="0.2">
      <c r="A253" s="66"/>
      <c r="B253" s="66"/>
      <c r="C253" s="66"/>
      <c r="D253" s="144"/>
      <c r="E253" s="67"/>
      <c r="F253" s="67"/>
      <c r="G253" s="67"/>
      <c r="H253" s="67">
        <f>ROUND(+E253+G253,4)</f>
        <v>0</v>
      </c>
      <c r="I253" s="67"/>
      <c r="J253" s="67">
        <f>ROUND(+I253-H253,4)</f>
        <v>0</v>
      </c>
      <c r="K253" s="67">
        <f>ROUND(IF(F253="alluminio",0,I253*1.5%),4)</f>
        <v>0</v>
      </c>
      <c r="L253" s="67">
        <f>ROUND(IF(K253&lt;J253,K253,0),4)</f>
        <v>0</v>
      </c>
      <c r="M253" s="67">
        <f>ROUND(IF(J253&gt;K253,0,J253),4)</f>
        <v>0</v>
      </c>
      <c r="N253" s="67">
        <f>ROUND(+L253*D253,4)</f>
        <v>0</v>
      </c>
      <c r="O253" s="67">
        <f>ROUND(IF(F253="rame",0,+I253*3%),4)</f>
        <v>0</v>
      </c>
      <c r="P253" s="67">
        <f>ROUND(IF(O253&lt;J253,O253,0),4)</f>
        <v>0</v>
      </c>
      <c r="Q253" s="67">
        <f>ROUND(IF(J253&gt;O253,0,J253),4)</f>
        <v>0</v>
      </c>
      <c r="R253" s="67">
        <f>ROUND(+P253*D253,4)</f>
        <v>0</v>
      </c>
      <c r="S253" s="67">
        <f>ROUND(IF(K253=0,0,M253*D253),4)</f>
        <v>0</v>
      </c>
      <c r="T253" s="67">
        <f>ROUND(+IF(K253=0,Q253*D253,0),4)</f>
        <v>0</v>
      </c>
      <c r="U253" s="67">
        <f>ROUND(+N253+R253+S253+T253,4)</f>
        <v>0</v>
      </c>
      <c r="V253" s="67">
        <f>ROUND(IF(P253=0,0,I253-H253-O253)+IF(L253=0,0,I253-H253-K253),4)</f>
        <v>0</v>
      </c>
      <c r="W253" s="67">
        <f>ROUND(+(V253*60%)*D253,4)</f>
        <v>0</v>
      </c>
      <c r="X253" s="148">
        <f>ROUND(+U253+W253,4)</f>
        <v>0</v>
      </c>
      <c r="Y253" s="68"/>
      <c r="Z253" s="148">
        <f>ROUND(IF(X253&gt;I253,X253,I253),4)</f>
        <v>0</v>
      </c>
    </row>
    <row r="254" spans="1:26" x14ac:dyDescent="0.2">
      <c r="A254" s="66"/>
      <c r="B254" s="66"/>
      <c r="C254" s="66"/>
      <c r="D254" s="144"/>
      <c r="E254" s="67"/>
      <c r="F254" s="67"/>
      <c r="G254" s="67"/>
      <c r="H254" s="67">
        <f>ROUND(+E254+G254,4)</f>
        <v>0</v>
      </c>
      <c r="I254" s="67"/>
      <c r="J254" s="67">
        <f>ROUND(+I254-H254,4)</f>
        <v>0</v>
      </c>
      <c r="K254" s="67">
        <f>ROUND(IF(F254="alluminio",0,I254*1.5%),4)</f>
        <v>0</v>
      </c>
      <c r="L254" s="67">
        <f>ROUND(IF(K254&lt;J254,K254,0),4)</f>
        <v>0</v>
      </c>
      <c r="M254" s="67">
        <f>ROUND(IF(J254&gt;K254,0,J254),4)</f>
        <v>0</v>
      </c>
      <c r="N254" s="67">
        <f>ROUND(+L254*D254,4)</f>
        <v>0</v>
      </c>
      <c r="O254" s="67">
        <f>ROUND(IF(F254="rame",0,+I254*3%),4)</f>
        <v>0</v>
      </c>
      <c r="P254" s="67">
        <f>ROUND(IF(O254&lt;J254,O254,0),4)</f>
        <v>0</v>
      </c>
      <c r="Q254" s="67">
        <f>ROUND(IF(J254&gt;O254,0,J254),4)</f>
        <v>0</v>
      </c>
      <c r="R254" s="67">
        <f>ROUND(+P254*D254,4)</f>
        <v>0</v>
      </c>
      <c r="S254" s="67">
        <f>ROUND(IF(K254=0,0,M254*D254),4)</f>
        <v>0</v>
      </c>
      <c r="T254" s="67">
        <f>ROUND(+IF(K254=0,Q254*D254,0),4)</f>
        <v>0</v>
      </c>
      <c r="U254" s="67">
        <f>ROUND(+N254+R254+S254+T254,4)</f>
        <v>0</v>
      </c>
      <c r="V254" s="67">
        <f>ROUND(IF(P254=0,0,I254-H254-O254)+IF(L254=0,0,I254-H254-K254),4)</f>
        <v>0</v>
      </c>
      <c r="W254" s="67">
        <f>ROUND(+(V254*60%)*D254,4)</f>
        <v>0</v>
      </c>
      <c r="X254" s="148">
        <f>ROUND(+U254+W254,4)</f>
        <v>0</v>
      </c>
      <c r="Y254" s="68"/>
      <c r="Z254" s="148">
        <f>ROUND(IF(X254&gt;I254,X254,I254),4)</f>
        <v>0</v>
      </c>
    </row>
    <row r="255" spans="1:26" x14ac:dyDescent="0.2">
      <c r="A255" s="66"/>
      <c r="B255" s="66"/>
      <c r="C255" s="66"/>
      <c r="D255" s="144"/>
      <c r="E255" s="67"/>
      <c r="F255" s="67"/>
      <c r="G255" s="67"/>
      <c r="H255" s="67">
        <f>ROUND(+E255+G255,4)</f>
        <v>0</v>
      </c>
      <c r="I255" s="67"/>
      <c r="J255" s="67">
        <f>ROUND(+I255-H255,4)</f>
        <v>0</v>
      </c>
      <c r="K255" s="67">
        <f>ROUND(IF(F255="alluminio",0,I255*1.5%),4)</f>
        <v>0</v>
      </c>
      <c r="L255" s="67">
        <f>ROUND(IF(K255&lt;J255,K255,0),4)</f>
        <v>0</v>
      </c>
      <c r="M255" s="67">
        <f>ROUND(IF(J255&gt;K255,0,J255),4)</f>
        <v>0</v>
      </c>
      <c r="N255" s="67">
        <f>ROUND(+L255*D255,4)</f>
        <v>0</v>
      </c>
      <c r="O255" s="67">
        <f>ROUND(IF(F255="rame",0,+I255*3%),4)</f>
        <v>0</v>
      </c>
      <c r="P255" s="67">
        <f>ROUND(IF(O255&lt;J255,O255,0),4)</f>
        <v>0</v>
      </c>
      <c r="Q255" s="67">
        <f>ROUND(IF(J255&gt;O255,0,J255),4)</f>
        <v>0</v>
      </c>
      <c r="R255" s="67">
        <f>ROUND(+P255*D255,4)</f>
        <v>0</v>
      </c>
      <c r="S255" s="67">
        <f>ROUND(IF(K255=0,0,M255*D255),4)</f>
        <v>0</v>
      </c>
      <c r="T255" s="67">
        <f>ROUND(+IF(K255=0,Q255*D255,0),4)</f>
        <v>0</v>
      </c>
      <c r="U255" s="67">
        <f>ROUND(+N255+R255+S255+T255,4)</f>
        <v>0</v>
      </c>
      <c r="V255" s="67">
        <f>ROUND(IF(P255=0,0,I255-H255-O255)+IF(L255=0,0,I255-H255-K255),4)</f>
        <v>0</v>
      </c>
      <c r="W255" s="67">
        <f>ROUND(+(V255*60%)*D255,4)</f>
        <v>0</v>
      </c>
      <c r="X255" s="148">
        <f>ROUND(+U255+W255,4)</f>
        <v>0</v>
      </c>
      <c r="Y255" s="68"/>
      <c r="Z255" s="148">
        <f>ROUND(IF(X255&gt;I255,X255,I255),4)</f>
        <v>0</v>
      </c>
    </row>
    <row r="256" spans="1:26" x14ac:dyDescent="0.2">
      <c r="A256" s="66"/>
      <c r="B256" s="66"/>
      <c r="C256" s="66"/>
      <c r="D256" s="144"/>
      <c r="E256" s="67"/>
      <c r="F256" s="67"/>
      <c r="G256" s="67"/>
      <c r="H256" s="67">
        <f>ROUND(+E256+G256,4)</f>
        <v>0</v>
      </c>
      <c r="I256" s="67"/>
      <c r="J256" s="67">
        <f>ROUND(+I256-H256,4)</f>
        <v>0</v>
      </c>
      <c r="K256" s="67">
        <f>ROUND(IF(F256="alluminio",0,I256*1.5%),4)</f>
        <v>0</v>
      </c>
      <c r="L256" s="67">
        <f>ROUND(IF(K256&lt;J256,K256,0),4)</f>
        <v>0</v>
      </c>
      <c r="M256" s="67">
        <f>ROUND(IF(J256&gt;K256,0,J256),4)</f>
        <v>0</v>
      </c>
      <c r="N256" s="67">
        <f>ROUND(+L256*D256,4)</f>
        <v>0</v>
      </c>
      <c r="O256" s="67">
        <f>ROUND(IF(F256="rame",0,+I256*3%),4)</f>
        <v>0</v>
      </c>
      <c r="P256" s="67">
        <f>ROUND(IF(O256&lt;J256,O256,0),4)</f>
        <v>0</v>
      </c>
      <c r="Q256" s="67">
        <f>ROUND(IF(J256&gt;O256,0,J256),4)</f>
        <v>0</v>
      </c>
      <c r="R256" s="67">
        <f>ROUND(+P256*D256,4)</f>
        <v>0</v>
      </c>
      <c r="S256" s="67">
        <f>ROUND(IF(K256=0,0,M256*D256),4)</f>
        <v>0</v>
      </c>
      <c r="T256" s="67">
        <f>ROUND(+IF(K256=0,Q256*D256,0),4)</f>
        <v>0</v>
      </c>
      <c r="U256" s="67">
        <f>ROUND(+N256+R256+S256+T256,4)</f>
        <v>0</v>
      </c>
      <c r="V256" s="67">
        <f>ROUND(IF(P256=0,0,I256-H256-O256)+IF(L256=0,0,I256-H256-K256),4)</f>
        <v>0</v>
      </c>
      <c r="W256" s="67">
        <f>ROUND(+(V256*60%)*D256,4)</f>
        <v>0</v>
      </c>
      <c r="X256" s="148">
        <f>ROUND(+U256+W256,4)</f>
        <v>0</v>
      </c>
      <c r="Y256" s="68"/>
      <c r="Z256" s="148">
        <f>ROUND(IF(X256&gt;I256,X256,I256),4)</f>
        <v>0</v>
      </c>
    </row>
    <row r="257" spans="1:26" x14ac:dyDescent="0.2">
      <c r="A257" s="66"/>
      <c r="B257" s="66"/>
      <c r="C257" s="66"/>
      <c r="D257" s="144"/>
      <c r="E257" s="67"/>
      <c r="F257" s="67"/>
      <c r="G257" s="67"/>
      <c r="H257" s="67">
        <f>ROUND(+E257+G257,4)</f>
        <v>0</v>
      </c>
      <c r="I257" s="67"/>
      <c r="J257" s="67">
        <f>ROUND(+I257-H257,4)</f>
        <v>0</v>
      </c>
      <c r="K257" s="67">
        <f>ROUND(IF(F257="alluminio",0,I257*1.5%),4)</f>
        <v>0</v>
      </c>
      <c r="L257" s="67">
        <f>ROUND(IF(K257&lt;J257,K257,0),4)</f>
        <v>0</v>
      </c>
      <c r="M257" s="67">
        <f>ROUND(IF(J257&gt;K257,0,J257),4)</f>
        <v>0</v>
      </c>
      <c r="N257" s="67">
        <f>ROUND(+L257*D257,4)</f>
        <v>0</v>
      </c>
      <c r="O257" s="67">
        <f>ROUND(IF(F257="rame",0,+I257*3%),4)</f>
        <v>0</v>
      </c>
      <c r="P257" s="67">
        <f>ROUND(IF(O257&lt;J257,O257,0),4)</f>
        <v>0</v>
      </c>
      <c r="Q257" s="67">
        <f>ROUND(IF(J257&gt;O257,0,J257),4)</f>
        <v>0</v>
      </c>
      <c r="R257" s="67">
        <f>ROUND(+P257*D257,4)</f>
        <v>0</v>
      </c>
      <c r="S257" s="67">
        <f>ROUND(IF(K257=0,0,M257*D257),4)</f>
        <v>0</v>
      </c>
      <c r="T257" s="67">
        <f>ROUND(+IF(K257=0,Q257*D257,0),4)</f>
        <v>0</v>
      </c>
      <c r="U257" s="67">
        <f>ROUND(+N257+R257+S257+T257,4)</f>
        <v>0</v>
      </c>
      <c r="V257" s="67">
        <f>ROUND(IF(P257=0,0,I257-H257-O257)+IF(L257=0,0,I257-H257-K257),4)</f>
        <v>0</v>
      </c>
      <c r="W257" s="67">
        <f>ROUND(+(V257*60%)*D257,4)</f>
        <v>0</v>
      </c>
      <c r="X257" s="148">
        <f>ROUND(+U257+W257,4)</f>
        <v>0</v>
      </c>
      <c r="Y257" s="68"/>
      <c r="Z257" s="148">
        <f>ROUND(IF(X257&gt;I257,X257,I257),4)</f>
        <v>0</v>
      </c>
    </row>
    <row r="258" spans="1:26" x14ac:dyDescent="0.2">
      <c r="A258" s="66"/>
      <c r="B258" s="66"/>
      <c r="C258" s="66"/>
      <c r="D258" s="144"/>
      <c r="E258" s="67"/>
      <c r="F258" s="67"/>
      <c r="G258" s="67"/>
      <c r="H258" s="67">
        <f>ROUND(+E258+G258,4)</f>
        <v>0</v>
      </c>
      <c r="I258" s="67"/>
      <c r="J258" s="67">
        <f>ROUND(+I258-H258,4)</f>
        <v>0</v>
      </c>
      <c r="K258" s="67">
        <f>ROUND(IF(F258="alluminio",0,I258*1.5%),4)</f>
        <v>0</v>
      </c>
      <c r="L258" s="67">
        <f>ROUND(IF(K258&lt;J258,K258,0),4)</f>
        <v>0</v>
      </c>
      <c r="M258" s="67">
        <f>ROUND(IF(J258&gt;K258,0,J258),4)</f>
        <v>0</v>
      </c>
      <c r="N258" s="67">
        <f>ROUND(+L258*D258,4)</f>
        <v>0</v>
      </c>
      <c r="O258" s="67">
        <f>ROUND(IF(F258="rame",0,+I258*3%),4)</f>
        <v>0</v>
      </c>
      <c r="P258" s="67">
        <f>ROUND(IF(O258&lt;J258,O258,0),4)</f>
        <v>0</v>
      </c>
      <c r="Q258" s="67">
        <f>ROUND(IF(J258&gt;O258,0,J258),4)</f>
        <v>0</v>
      </c>
      <c r="R258" s="67">
        <f>ROUND(+P258*D258,4)</f>
        <v>0</v>
      </c>
      <c r="S258" s="67">
        <f>ROUND(IF(K258=0,0,M258*D258),4)</f>
        <v>0</v>
      </c>
      <c r="T258" s="67">
        <f>ROUND(+IF(K258=0,Q258*D258,0),4)</f>
        <v>0</v>
      </c>
      <c r="U258" s="67">
        <f>ROUND(+N258+R258+S258+T258,4)</f>
        <v>0</v>
      </c>
      <c r="V258" s="67">
        <f>ROUND(IF(P258=0,0,I258-H258-O258)+IF(L258=0,0,I258-H258-K258),4)</f>
        <v>0</v>
      </c>
      <c r="W258" s="67">
        <f>ROUND(+(V258*60%)*D258,4)</f>
        <v>0</v>
      </c>
      <c r="X258" s="148">
        <f>ROUND(+U258+W258,4)</f>
        <v>0</v>
      </c>
      <c r="Y258" s="68"/>
      <c r="Z258" s="148">
        <f>ROUND(IF(X258&gt;I258,X258,I258),4)</f>
        <v>0</v>
      </c>
    </row>
    <row r="259" spans="1:26" x14ac:dyDescent="0.2">
      <c r="A259" s="66"/>
      <c r="B259" s="66"/>
      <c r="C259" s="66"/>
      <c r="D259" s="144"/>
      <c r="E259" s="67"/>
      <c r="F259" s="67"/>
      <c r="G259" s="67"/>
      <c r="H259" s="67">
        <f>ROUND(+E259+G259,4)</f>
        <v>0</v>
      </c>
      <c r="I259" s="67"/>
      <c r="J259" s="67">
        <f>ROUND(+I259-H259,4)</f>
        <v>0</v>
      </c>
      <c r="K259" s="67">
        <f>ROUND(IF(F259="alluminio",0,I259*1.5%),4)</f>
        <v>0</v>
      </c>
      <c r="L259" s="67">
        <f>ROUND(IF(K259&lt;J259,K259,0),4)</f>
        <v>0</v>
      </c>
      <c r="M259" s="67">
        <f>ROUND(IF(J259&gt;K259,0,J259),4)</f>
        <v>0</v>
      </c>
      <c r="N259" s="67">
        <f>ROUND(+L259*D259,4)</f>
        <v>0</v>
      </c>
      <c r="O259" s="67">
        <f>ROUND(IF(F259="rame",0,+I259*3%),4)</f>
        <v>0</v>
      </c>
      <c r="P259" s="67">
        <f>ROUND(IF(O259&lt;J259,O259,0),4)</f>
        <v>0</v>
      </c>
      <c r="Q259" s="67">
        <f>ROUND(IF(J259&gt;O259,0,J259),4)</f>
        <v>0</v>
      </c>
      <c r="R259" s="67">
        <f>ROUND(+P259*D259,4)</f>
        <v>0</v>
      </c>
      <c r="S259" s="67">
        <f>ROUND(IF(K259=0,0,M259*D259),4)</f>
        <v>0</v>
      </c>
      <c r="T259" s="67">
        <f>ROUND(+IF(K259=0,Q259*D259,0),4)</f>
        <v>0</v>
      </c>
      <c r="U259" s="67">
        <f>ROUND(+N259+R259+S259+T259,4)</f>
        <v>0</v>
      </c>
      <c r="V259" s="67">
        <f>ROUND(IF(P259=0,0,I259-H259-O259)+IF(L259=0,0,I259-H259-K259),4)</f>
        <v>0</v>
      </c>
      <c r="W259" s="67">
        <f>ROUND(+(V259*60%)*D259,4)</f>
        <v>0</v>
      </c>
      <c r="X259" s="148">
        <f>ROUND(+U259+W259,4)</f>
        <v>0</v>
      </c>
      <c r="Y259" s="68"/>
      <c r="Z259" s="148">
        <f>ROUND(IF(X259&gt;I259,X259,I259),4)</f>
        <v>0</v>
      </c>
    </row>
    <row r="260" spans="1:26" x14ac:dyDescent="0.2">
      <c r="A260" s="66"/>
      <c r="B260" s="66"/>
      <c r="C260" s="66"/>
      <c r="D260" s="144"/>
      <c r="E260" s="67"/>
      <c r="F260" s="67"/>
      <c r="G260" s="67"/>
      <c r="H260" s="67">
        <f>ROUND(+E260+G260,4)</f>
        <v>0</v>
      </c>
      <c r="I260" s="67"/>
      <c r="J260" s="67">
        <f>ROUND(+I260-H260,4)</f>
        <v>0</v>
      </c>
      <c r="K260" s="67">
        <f>ROUND(IF(F260="alluminio",0,I260*1.5%),4)</f>
        <v>0</v>
      </c>
      <c r="L260" s="67">
        <f>ROUND(IF(K260&lt;J260,K260,0),4)</f>
        <v>0</v>
      </c>
      <c r="M260" s="67">
        <f>ROUND(IF(J260&gt;K260,0,J260),4)</f>
        <v>0</v>
      </c>
      <c r="N260" s="67">
        <f>ROUND(+L260*D260,4)</f>
        <v>0</v>
      </c>
      <c r="O260" s="67">
        <f>ROUND(IF(F260="rame",0,+I260*3%),4)</f>
        <v>0</v>
      </c>
      <c r="P260" s="67">
        <f>ROUND(IF(O260&lt;J260,O260,0),4)</f>
        <v>0</v>
      </c>
      <c r="Q260" s="67">
        <f>ROUND(IF(J260&gt;O260,0,J260),4)</f>
        <v>0</v>
      </c>
      <c r="R260" s="67">
        <f>ROUND(+P260*D260,4)</f>
        <v>0</v>
      </c>
      <c r="S260" s="67">
        <f>ROUND(IF(K260=0,0,M260*D260),4)</f>
        <v>0</v>
      </c>
      <c r="T260" s="67">
        <f>ROUND(+IF(K260=0,Q260*D260,0),4)</f>
        <v>0</v>
      </c>
      <c r="U260" s="67">
        <f>ROUND(+N260+R260+S260+T260,4)</f>
        <v>0</v>
      </c>
      <c r="V260" s="67">
        <f>ROUND(IF(P260=0,0,I260-H260-O260)+IF(L260=0,0,I260-H260-K260),4)</f>
        <v>0</v>
      </c>
      <c r="W260" s="67">
        <f>ROUND(+(V260*60%)*D260,4)</f>
        <v>0</v>
      </c>
      <c r="X260" s="148">
        <f>ROUND(+U260+W260,4)</f>
        <v>0</v>
      </c>
      <c r="Y260" s="68"/>
      <c r="Z260" s="148">
        <f>ROUND(IF(X260&gt;I260,X260,I260),4)</f>
        <v>0</v>
      </c>
    </row>
    <row r="261" spans="1:26" x14ac:dyDescent="0.2">
      <c r="A261" s="66"/>
      <c r="B261" s="66"/>
      <c r="C261" s="66"/>
      <c r="D261" s="144"/>
      <c r="E261" s="67"/>
      <c r="F261" s="67"/>
      <c r="G261" s="67"/>
      <c r="H261" s="67">
        <f>ROUND(+E261+G261,4)</f>
        <v>0</v>
      </c>
      <c r="I261" s="67"/>
      <c r="J261" s="67">
        <f>ROUND(+I261-H261,4)</f>
        <v>0</v>
      </c>
      <c r="K261" s="67">
        <f>ROUND(IF(F261="alluminio",0,I261*1.5%),4)</f>
        <v>0</v>
      </c>
      <c r="L261" s="67">
        <f>ROUND(IF(K261&lt;J261,K261,0),4)</f>
        <v>0</v>
      </c>
      <c r="M261" s="67">
        <f>ROUND(IF(J261&gt;K261,0,J261),4)</f>
        <v>0</v>
      </c>
      <c r="N261" s="67">
        <f>ROUND(+L261*D261,4)</f>
        <v>0</v>
      </c>
      <c r="O261" s="67">
        <f>ROUND(IF(F261="rame",0,+I261*3%),4)</f>
        <v>0</v>
      </c>
      <c r="P261" s="67">
        <f>ROUND(IF(O261&lt;J261,O261,0),4)</f>
        <v>0</v>
      </c>
      <c r="Q261" s="67">
        <f>ROUND(IF(J261&gt;O261,0,J261),4)</f>
        <v>0</v>
      </c>
      <c r="R261" s="67">
        <f>ROUND(+P261*D261,4)</f>
        <v>0</v>
      </c>
      <c r="S261" s="67">
        <f>ROUND(IF(K261=0,0,M261*D261),4)</f>
        <v>0</v>
      </c>
      <c r="T261" s="67">
        <f>ROUND(+IF(K261=0,Q261*D261,0),4)</f>
        <v>0</v>
      </c>
      <c r="U261" s="67">
        <f>ROUND(+N261+R261+S261+T261,4)</f>
        <v>0</v>
      </c>
      <c r="V261" s="67">
        <f>ROUND(IF(P261=0,0,I261-H261-O261)+IF(L261=0,0,I261-H261-K261),4)</f>
        <v>0</v>
      </c>
      <c r="W261" s="67">
        <f>ROUND(+(V261*60%)*D261,4)</f>
        <v>0</v>
      </c>
      <c r="X261" s="148">
        <f>ROUND(+U261+W261,4)</f>
        <v>0</v>
      </c>
      <c r="Y261" s="68"/>
      <c r="Z261" s="148">
        <f>ROUND(IF(X261&gt;I261,X261,I261),4)</f>
        <v>0</v>
      </c>
    </row>
    <row r="262" spans="1:26" x14ac:dyDescent="0.2">
      <c r="A262" s="66"/>
      <c r="B262" s="66"/>
      <c r="C262" s="66"/>
      <c r="D262" s="144"/>
      <c r="E262" s="67"/>
      <c r="F262" s="67"/>
      <c r="G262" s="67"/>
      <c r="H262" s="67">
        <f>ROUND(+E262+G262,4)</f>
        <v>0</v>
      </c>
      <c r="I262" s="67"/>
      <c r="J262" s="67">
        <f>ROUND(+I262-H262,4)</f>
        <v>0</v>
      </c>
      <c r="K262" s="67">
        <f>ROUND(IF(F262="alluminio",0,I262*1.5%),4)</f>
        <v>0</v>
      </c>
      <c r="L262" s="67">
        <f>ROUND(IF(K262&lt;J262,K262,0),4)</f>
        <v>0</v>
      </c>
      <c r="M262" s="67">
        <f>ROUND(IF(J262&gt;K262,0,J262),4)</f>
        <v>0</v>
      </c>
      <c r="N262" s="67">
        <f>ROUND(+L262*D262,4)</f>
        <v>0</v>
      </c>
      <c r="O262" s="67">
        <f>ROUND(IF(F262="rame",0,+I262*3%),4)</f>
        <v>0</v>
      </c>
      <c r="P262" s="67">
        <f>ROUND(IF(O262&lt;J262,O262,0),4)</f>
        <v>0</v>
      </c>
      <c r="Q262" s="67">
        <f>ROUND(IF(J262&gt;O262,0,J262),4)</f>
        <v>0</v>
      </c>
      <c r="R262" s="67">
        <f>ROUND(+P262*D262,4)</f>
        <v>0</v>
      </c>
      <c r="S262" s="67">
        <f>ROUND(IF(K262=0,0,M262*D262),4)</f>
        <v>0</v>
      </c>
      <c r="T262" s="67">
        <f>ROUND(+IF(K262=0,Q262*D262,0),4)</f>
        <v>0</v>
      </c>
      <c r="U262" s="67">
        <f>ROUND(+N262+R262+S262+T262,4)</f>
        <v>0</v>
      </c>
      <c r="V262" s="67">
        <f>ROUND(IF(P262=0,0,I262-H262-O262)+IF(L262=0,0,I262-H262-K262),4)</f>
        <v>0</v>
      </c>
      <c r="W262" s="67">
        <f>ROUND(+(V262*60%)*D262,4)</f>
        <v>0</v>
      </c>
      <c r="X262" s="148">
        <f>ROUND(+U262+W262,4)</f>
        <v>0</v>
      </c>
      <c r="Y262" s="68"/>
      <c r="Z262" s="148">
        <f>ROUND(IF(X262&gt;I262,X262,I262),4)</f>
        <v>0</v>
      </c>
    </row>
    <row r="263" spans="1:26" x14ac:dyDescent="0.2">
      <c r="A263" s="66"/>
      <c r="B263" s="66"/>
      <c r="C263" s="66"/>
      <c r="D263" s="144"/>
      <c r="E263" s="67"/>
      <c r="F263" s="67"/>
      <c r="G263" s="67"/>
      <c r="H263" s="67">
        <f>ROUND(+E263+G263,4)</f>
        <v>0</v>
      </c>
      <c r="I263" s="67"/>
      <c r="J263" s="67">
        <f>ROUND(+I263-H263,4)</f>
        <v>0</v>
      </c>
      <c r="K263" s="67">
        <f>ROUND(IF(F263="alluminio",0,I263*1.5%),4)</f>
        <v>0</v>
      </c>
      <c r="L263" s="67">
        <f>ROUND(IF(K263&lt;J263,K263,0),4)</f>
        <v>0</v>
      </c>
      <c r="M263" s="67">
        <f>ROUND(IF(J263&gt;K263,0,J263),4)</f>
        <v>0</v>
      </c>
      <c r="N263" s="67">
        <f>ROUND(+L263*D263,4)</f>
        <v>0</v>
      </c>
      <c r="O263" s="67">
        <f>ROUND(IF(F263="rame",0,+I263*3%),4)</f>
        <v>0</v>
      </c>
      <c r="P263" s="67">
        <f>ROUND(IF(O263&lt;J263,O263,0),4)</f>
        <v>0</v>
      </c>
      <c r="Q263" s="67">
        <f>ROUND(IF(J263&gt;O263,0,J263),4)</f>
        <v>0</v>
      </c>
      <c r="R263" s="67">
        <f>ROUND(+P263*D263,4)</f>
        <v>0</v>
      </c>
      <c r="S263" s="67">
        <f>ROUND(IF(K263=0,0,M263*D263),4)</f>
        <v>0</v>
      </c>
      <c r="T263" s="67">
        <f>ROUND(+IF(K263=0,Q263*D263,0),4)</f>
        <v>0</v>
      </c>
      <c r="U263" s="67">
        <f>ROUND(+N263+R263+S263+T263,4)</f>
        <v>0</v>
      </c>
      <c r="V263" s="67">
        <f>ROUND(IF(P263=0,0,I263-H263-O263)+IF(L263=0,0,I263-H263-K263),4)</f>
        <v>0</v>
      </c>
      <c r="W263" s="67">
        <f>ROUND(+(V263*60%)*D263,4)</f>
        <v>0</v>
      </c>
      <c r="X263" s="148">
        <f>ROUND(+U263+W263,4)</f>
        <v>0</v>
      </c>
      <c r="Y263" s="68"/>
      <c r="Z263" s="148">
        <f>ROUND(IF(X263&gt;I263,X263,I263),4)</f>
        <v>0</v>
      </c>
    </row>
    <row r="264" spans="1:26" x14ac:dyDescent="0.2">
      <c r="A264" s="66"/>
      <c r="B264" s="66"/>
      <c r="C264" s="66"/>
      <c r="D264" s="144"/>
      <c r="E264" s="67"/>
      <c r="F264" s="67"/>
      <c r="G264" s="67"/>
      <c r="H264" s="67">
        <f>ROUND(+E264+G264,4)</f>
        <v>0</v>
      </c>
      <c r="I264" s="67"/>
      <c r="J264" s="67">
        <f>ROUND(+I264-H264,4)</f>
        <v>0</v>
      </c>
      <c r="K264" s="67">
        <f>ROUND(IF(F264="alluminio",0,I264*1.5%),4)</f>
        <v>0</v>
      </c>
      <c r="L264" s="67">
        <f>ROUND(IF(K264&lt;J264,K264,0),4)</f>
        <v>0</v>
      </c>
      <c r="M264" s="67">
        <f>ROUND(IF(J264&gt;K264,0,J264),4)</f>
        <v>0</v>
      </c>
      <c r="N264" s="67">
        <f>ROUND(+L264*D264,4)</f>
        <v>0</v>
      </c>
      <c r="O264" s="67">
        <f>ROUND(IF(F264="rame",0,+I264*3%),4)</f>
        <v>0</v>
      </c>
      <c r="P264" s="67">
        <f>ROUND(IF(O264&lt;J264,O264,0),4)</f>
        <v>0</v>
      </c>
      <c r="Q264" s="67">
        <f>ROUND(IF(J264&gt;O264,0,J264),4)</f>
        <v>0</v>
      </c>
      <c r="R264" s="67">
        <f>ROUND(+P264*D264,4)</f>
        <v>0</v>
      </c>
      <c r="S264" s="67">
        <f>ROUND(IF(K264=0,0,M264*D264),4)</f>
        <v>0</v>
      </c>
      <c r="T264" s="67">
        <f>ROUND(+IF(K264=0,Q264*D264,0),4)</f>
        <v>0</v>
      </c>
      <c r="U264" s="67">
        <f>ROUND(+N264+R264+S264+T264,4)</f>
        <v>0</v>
      </c>
      <c r="V264" s="67">
        <f>ROUND(IF(P264=0,0,I264-H264-O264)+IF(L264=0,0,I264-H264-K264),4)</f>
        <v>0</v>
      </c>
      <c r="W264" s="67">
        <f>ROUND(+(V264*60%)*D264,4)</f>
        <v>0</v>
      </c>
      <c r="X264" s="148">
        <f>ROUND(+U264+W264,4)</f>
        <v>0</v>
      </c>
      <c r="Y264" s="68"/>
      <c r="Z264" s="148">
        <f>ROUND(IF(X264&gt;I264,X264,I264),4)</f>
        <v>0</v>
      </c>
    </row>
    <row r="265" spans="1:26" x14ac:dyDescent="0.2">
      <c r="A265" s="66"/>
      <c r="B265" s="66"/>
      <c r="C265" s="66"/>
      <c r="D265" s="144"/>
      <c r="E265" s="67"/>
      <c r="F265" s="67"/>
      <c r="G265" s="67"/>
      <c r="H265" s="67">
        <f>ROUND(+E265+G265,4)</f>
        <v>0</v>
      </c>
      <c r="I265" s="67"/>
      <c r="J265" s="67">
        <f>ROUND(+I265-H265,4)</f>
        <v>0</v>
      </c>
      <c r="K265" s="67">
        <f>ROUND(IF(F265="alluminio",0,I265*1.5%),4)</f>
        <v>0</v>
      </c>
      <c r="L265" s="67">
        <f>ROUND(IF(K265&lt;J265,K265,0),4)</f>
        <v>0</v>
      </c>
      <c r="M265" s="67">
        <f>ROUND(IF(J265&gt;K265,0,J265),4)</f>
        <v>0</v>
      </c>
      <c r="N265" s="67">
        <f>ROUND(+L265*D265,4)</f>
        <v>0</v>
      </c>
      <c r="O265" s="67">
        <f>ROUND(IF(F265="rame",0,+I265*3%),4)</f>
        <v>0</v>
      </c>
      <c r="P265" s="67">
        <f>ROUND(IF(O265&lt;J265,O265,0),4)</f>
        <v>0</v>
      </c>
      <c r="Q265" s="67">
        <f>ROUND(IF(J265&gt;O265,0,J265),4)</f>
        <v>0</v>
      </c>
      <c r="R265" s="67">
        <f>ROUND(+P265*D265,4)</f>
        <v>0</v>
      </c>
      <c r="S265" s="67">
        <f>ROUND(IF(K265=0,0,M265*D265),4)</f>
        <v>0</v>
      </c>
      <c r="T265" s="67">
        <f>ROUND(+IF(K265=0,Q265*D265,0),4)</f>
        <v>0</v>
      </c>
      <c r="U265" s="67">
        <f>ROUND(+N265+R265+S265+T265,4)</f>
        <v>0</v>
      </c>
      <c r="V265" s="67">
        <f>ROUND(IF(P265=0,0,I265-H265-O265)+IF(L265=0,0,I265-H265-K265),4)</f>
        <v>0</v>
      </c>
      <c r="W265" s="67">
        <f>ROUND(+(V265*60%)*D265,4)</f>
        <v>0</v>
      </c>
      <c r="X265" s="148">
        <f>ROUND(+U265+W265,4)</f>
        <v>0</v>
      </c>
      <c r="Y265" s="68"/>
      <c r="Z265" s="148">
        <f>ROUND(IF(X265&gt;I265,X265,I265),4)</f>
        <v>0</v>
      </c>
    </row>
    <row r="266" spans="1:26" x14ac:dyDescent="0.2">
      <c r="A266" s="66"/>
      <c r="B266" s="66"/>
      <c r="C266" s="66"/>
      <c r="D266" s="144"/>
      <c r="E266" s="67"/>
      <c r="F266" s="67"/>
      <c r="G266" s="67"/>
      <c r="H266" s="67">
        <f>ROUND(+E266+G266,4)</f>
        <v>0</v>
      </c>
      <c r="I266" s="67"/>
      <c r="J266" s="67">
        <f>ROUND(+I266-H266,4)</f>
        <v>0</v>
      </c>
      <c r="K266" s="67">
        <f>ROUND(IF(F266="alluminio",0,I266*1.5%),4)</f>
        <v>0</v>
      </c>
      <c r="L266" s="67">
        <f>ROUND(IF(K266&lt;J266,K266,0),4)</f>
        <v>0</v>
      </c>
      <c r="M266" s="67">
        <f>ROUND(IF(J266&gt;K266,0,J266),4)</f>
        <v>0</v>
      </c>
      <c r="N266" s="67">
        <f>ROUND(+L266*D266,4)</f>
        <v>0</v>
      </c>
      <c r="O266" s="67">
        <f>ROUND(IF(F266="rame",0,+I266*3%),4)</f>
        <v>0</v>
      </c>
      <c r="P266" s="67">
        <f>ROUND(IF(O266&lt;J266,O266,0),4)</f>
        <v>0</v>
      </c>
      <c r="Q266" s="67">
        <f>ROUND(IF(J266&gt;O266,0,J266),4)</f>
        <v>0</v>
      </c>
      <c r="R266" s="67">
        <f>ROUND(+P266*D266,4)</f>
        <v>0</v>
      </c>
      <c r="S266" s="67">
        <f>ROUND(IF(K266=0,0,M266*D266),4)</f>
        <v>0</v>
      </c>
      <c r="T266" s="67">
        <f>ROUND(+IF(K266=0,Q266*D266,0),4)</f>
        <v>0</v>
      </c>
      <c r="U266" s="67">
        <f>ROUND(+N266+R266+S266+T266,4)</f>
        <v>0</v>
      </c>
      <c r="V266" s="67">
        <f>ROUND(IF(P266=0,0,I266-H266-O266)+IF(L266=0,0,I266-H266-K266),4)</f>
        <v>0</v>
      </c>
      <c r="W266" s="67">
        <f>ROUND(+(V266*60%)*D266,4)</f>
        <v>0</v>
      </c>
      <c r="X266" s="148">
        <f>ROUND(+U266+W266,4)</f>
        <v>0</v>
      </c>
      <c r="Y266" s="68"/>
      <c r="Z266" s="148">
        <f>ROUND(IF(X266&gt;I266,X266,I266),4)</f>
        <v>0</v>
      </c>
    </row>
    <row r="267" spans="1:26" x14ac:dyDescent="0.2">
      <c r="A267" s="66"/>
      <c r="B267" s="66"/>
      <c r="C267" s="66"/>
      <c r="D267" s="144"/>
      <c r="E267" s="67"/>
      <c r="F267" s="67"/>
      <c r="G267" s="67"/>
      <c r="H267" s="67">
        <f>ROUND(+E267+G267,4)</f>
        <v>0</v>
      </c>
      <c r="I267" s="67"/>
      <c r="J267" s="67">
        <f>ROUND(+I267-H267,4)</f>
        <v>0</v>
      </c>
      <c r="K267" s="67">
        <f>ROUND(IF(F267="alluminio",0,I267*1.5%),4)</f>
        <v>0</v>
      </c>
      <c r="L267" s="67">
        <f>ROUND(IF(K267&lt;J267,K267,0),4)</f>
        <v>0</v>
      </c>
      <c r="M267" s="67">
        <f>ROUND(IF(J267&gt;K267,0,J267),4)</f>
        <v>0</v>
      </c>
      <c r="N267" s="67">
        <f>ROUND(+L267*D267,4)</f>
        <v>0</v>
      </c>
      <c r="O267" s="67">
        <f>ROUND(IF(F267="rame",0,+I267*3%),4)</f>
        <v>0</v>
      </c>
      <c r="P267" s="67">
        <f>ROUND(IF(O267&lt;J267,O267,0),4)</f>
        <v>0</v>
      </c>
      <c r="Q267" s="67">
        <f>ROUND(IF(J267&gt;O267,0,J267),4)</f>
        <v>0</v>
      </c>
      <c r="R267" s="67">
        <f>ROUND(+P267*D267,4)</f>
        <v>0</v>
      </c>
      <c r="S267" s="67">
        <f>ROUND(IF(K267=0,0,M267*D267),4)</f>
        <v>0</v>
      </c>
      <c r="T267" s="67">
        <f>ROUND(+IF(K267=0,Q267*D267,0),4)</f>
        <v>0</v>
      </c>
      <c r="U267" s="67">
        <f>ROUND(+N267+R267+S267+T267,4)</f>
        <v>0</v>
      </c>
      <c r="V267" s="67">
        <f>ROUND(IF(P267=0,0,I267-H267-O267)+IF(L267=0,0,I267-H267-K267),4)</f>
        <v>0</v>
      </c>
      <c r="W267" s="67">
        <f>ROUND(+(V267*60%)*D267,4)</f>
        <v>0</v>
      </c>
      <c r="X267" s="148">
        <f>ROUND(+U267+W267,4)</f>
        <v>0</v>
      </c>
      <c r="Y267" s="68"/>
      <c r="Z267" s="148">
        <f>ROUND(IF(X267&gt;I267,X267,I267),4)</f>
        <v>0</v>
      </c>
    </row>
    <row r="268" spans="1:26" x14ac:dyDescent="0.2">
      <c r="A268" s="66"/>
      <c r="B268" s="66"/>
      <c r="C268" s="66"/>
      <c r="D268" s="144"/>
      <c r="E268" s="67"/>
      <c r="F268" s="67"/>
      <c r="G268" s="67"/>
      <c r="H268" s="67">
        <f>ROUND(+E268+G268,4)</f>
        <v>0</v>
      </c>
      <c r="I268" s="67"/>
      <c r="J268" s="67">
        <f>ROUND(+I268-H268,4)</f>
        <v>0</v>
      </c>
      <c r="K268" s="67">
        <f>ROUND(IF(F268="alluminio",0,I268*1.5%),4)</f>
        <v>0</v>
      </c>
      <c r="L268" s="67">
        <f>ROUND(IF(K268&lt;J268,K268,0),4)</f>
        <v>0</v>
      </c>
      <c r="M268" s="67">
        <f>ROUND(IF(J268&gt;K268,0,J268),4)</f>
        <v>0</v>
      </c>
      <c r="N268" s="67">
        <f>ROUND(+L268*D268,4)</f>
        <v>0</v>
      </c>
      <c r="O268" s="67">
        <f>ROUND(IF(F268="rame",0,+I268*3%),4)</f>
        <v>0</v>
      </c>
      <c r="P268" s="67">
        <f>ROUND(IF(O268&lt;J268,O268,0),4)</f>
        <v>0</v>
      </c>
      <c r="Q268" s="67">
        <f>ROUND(IF(J268&gt;O268,0,J268),4)</f>
        <v>0</v>
      </c>
      <c r="R268" s="67">
        <f>ROUND(+P268*D268,4)</f>
        <v>0</v>
      </c>
      <c r="S268" s="67">
        <f>ROUND(IF(K268=0,0,M268*D268),4)</f>
        <v>0</v>
      </c>
      <c r="T268" s="67">
        <f>ROUND(+IF(K268=0,Q268*D268,0),4)</f>
        <v>0</v>
      </c>
      <c r="U268" s="67">
        <f>ROUND(+N268+R268+S268+T268,4)</f>
        <v>0</v>
      </c>
      <c r="V268" s="67">
        <f>ROUND(IF(P268=0,0,I268-H268-O268)+IF(L268=0,0,I268-H268-K268),4)</f>
        <v>0</v>
      </c>
      <c r="W268" s="67">
        <f>ROUND(+(V268*60%)*D268,4)</f>
        <v>0</v>
      </c>
      <c r="X268" s="148">
        <f>ROUND(+U268+W268,4)</f>
        <v>0</v>
      </c>
      <c r="Y268" s="68"/>
      <c r="Z268" s="148">
        <f>ROUND(IF(X268&gt;I268,X268,I268),4)</f>
        <v>0</v>
      </c>
    </row>
    <row r="269" spans="1:26" x14ac:dyDescent="0.2">
      <c r="A269" s="66"/>
      <c r="B269" s="66"/>
      <c r="C269" s="66"/>
      <c r="D269" s="144"/>
      <c r="E269" s="67"/>
      <c r="F269" s="67"/>
      <c r="G269" s="67"/>
      <c r="H269" s="67">
        <f>ROUND(+E269+G269,4)</f>
        <v>0</v>
      </c>
      <c r="I269" s="67"/>
      <c r="J269" s="67">
        <f>ROUND(+I269-H269,4)</f>
        <v>0</v>
      </c>
      <c r="K269" s="67">
        <f>ROUND(IF(F269="alluminio",0,I269*1.5%),4)</f>
        <v>0</v>
      </c>
      <c r="L269" s="67">
        <f>ROUND(IF(K269&lt;J269,K269,0),4)</f>
        <v>0</v>
      </c>
      <c r="M269" s="67">
        <f>ROUND(IF(J269&gt;K269,0,J269),4)</f>
        <v>0</v>
      </c>
      <c r="N269" s="67">
        <f>ROUND(+L269*D269,4)</f>
        <v>0</v>
      </c>
      <c r="O269" s="67">
        <f>ROUND(IF(F269="rame",0,+I269*3%),4)</f>
        <v>0</v>
      </c>
      <c r="P269" s="67">
        <f>ROUND(IF(O269&lt;J269,O269,0),4)</f>
        <v>0</v>
      </c>
      <c r="Q269" s="67">
        <f>ROUND(IF(J269&gt;O269,0,J269),4)</f>
        <v>0</v>
      </c>
      <c r="R269" s="67">
        <f>ROUND(+P269*D269,4)</f>
        <v>0</v>
      </c>
      <c r="S269" s="67">
        <f>ROUND(IF(K269=0,0,M269*D269),4)</f>
        <v>0</v>
      </c>
      <c r="T269" s="67">
        <f>ROUND(+IF(K269=0,Q269*D269,0),4)</f>
        <v>0</v>
      </c>
      <c r="U269" s="67">
        <f>ROUND(+N269+R269+S269+T269,4)</f>
        <v>0</v>
      </c>
      <c r="V269" s="67">
        <f>ROUND(IF(P269=0,0,I269-H269-O269)+IF(L269=0,0,I269-H269-K269),4)</f>
        <v>0</v>
      </c>
      <c r="W269" s="67">
        <f>ROUND(+(V269*60%)*D269,4)</f>
        <v>0</v>
      </c>
      <c r="X269" s="148">
        <f>ROUND(+U269+W269,4)</f>
        <v>0</v>
      </c>
      <c r="Y269" s="68"/>
      <c r="Z269" s="148">
        <f>ROUND(IF(X269&gt;I269,X269,I269),4)</f>
        <v>0</v>
      </c>
    </row>
    <row r="270" spans="1:26" x14ac:dyDescent="0.2">
      <c r="A270" s="66"/>
      <c r="B270" s="66"/>
      <c r="C270" s="66"/>
      <c r="D270" s="144"/>
      <c r="E270" s="67"/>
      <c r="F270" s="67"/>
      <c r="G270" s="67"/>
      <c r="H270" s="67">
        <f>ROUND(+E270+G270,4)</f>
        <v>0</v>
      </c>
      <c r="I270" s="67"/>
      <c r="J270" s="67">
        <f>ROUND(+I270-H270,4)</f>
        <v>0</v>
      </c>
      <c r="K270" s="67">
        <f>ROUND(IF(F270="alluminio",0,I270*1.5%),4)</f>
        <v>0</v>
      </c>
      <c r="L270" s="67">
        <f>ROUND(IF(K270&lt;J270,K270,0),4)</f>
        <v>0</v>
      </c>
      <c r="M270" s="67">
        <f>ROUND(IF(J270&gt;K270,0,J270),4)</f>
        <v>0</v>
      </c>
      <c r="N270" s="67">
        <f>ROUND(+L270*D270,4)</f>
        <v>0</v>
      </c>
      <c r="O270" s="67">
        <f>ROUND(IF(F270="rame",0,+I270*3%),4)</f>
        <v>0</v>
      </c>
      <c r="P270" s="67">
        <f>ROUND(IF(O270&lt;J270,O270,0),4)</f>
        <v>0</v>
      </c>
      <c r="Q270" s="67">
        <f>ROUND(IF(J270&gt;O270,0,J270),4)</f>
        <v>0</v>
      </c>
      <c r="R270" s="67">
        <f>ROUND(+P270*D270,4)</f>
        <v>0</v>
      </c>
      <c r="S270" s="67">
        <f>ROUND(IF(K270=0,0,M270*D270),4)</f>
        <v>0</v>
      </c>
      <c r="T270" s="67">
        <f>ROUND(+IF(K270=0,Q270*D270,0),4)</f>
        <v>0</v>
      </c>
      <c r="U270" s="67">
        <f>ROUND(+N270+R270+S270+T270,4)</f>
        <v>0</v>
      </c>
      <c r="V270" s="67">
        <f>ROUND(IF(P270=0,0,I270-H270-O270)+IF(L270=0,0,I270-H270-K270),4)</f>
        <v>0</v>
      </c>
      <c r="W270" s="67">
        <f>ROUND(+(V270*60%)*D270,4)</f>
        <v>0</v>
      </c>
      <c r="X270" s="148">
        <f>ROUND(+U270+W270,4)</f>
        <v>0</v>
      </c>
      <c r="Y270" s="68"/>
      <c r="Z270" s="148">
        <f>ROUND(IF(X270&gt;I270,X270,I270),4)</f>
        <v>0</v>
      </c>
    </row>
    <row r="271" spans="1:26" x14ac:dyDescent="0.2">
      <c r="A271" s="66"/>
      <c r="B271" s="66"/>
      <c r="C271" s="66"/>
      <c r="D271" s="144"/>
      <c r="E271" s="67"/>
      <c r="F271" s="67"/>
      <c r="G271" s="67"/>
      <c r="H271" s="67">
        <f>ROUND(+E271+G271,4)</f>
        <v>0</v>
      </c>
      <c r="I271" s="67"/>
      <c r="J271" s="67">
        <f>ROUND(+I271-H271,4)</f>
        <v>0</v>
      </c>
      <c r="K271" s="67">
        <f>ROUND(IF(F271="alluminio",0,I271*1.5%),4)</f>
        <v>0</v>
      </c>
      <c r="L271" s="67">
        <f>ROUND(IF(K271&lt;J271,K271,0),4)</f>
        <v>0</v>
      </c>
      <c r="M271" s="67">
        <f>ROUND(IF(J271&gt;K271,0,J271),4)</f>
        <v>0</v>
      </c>
      <c r="N271" s="67">
        <f>ROUND(+L271*D271,4)</f>
        <v>0</v>
      </c>
      <c r="O271" s="67">
        <f>ROUND(IF(F271="rame",0,+I271*3%),4)</f>
        <v>0</v>
      </c>
      <c r="P271" s="67">
        <f>ROUND(IF(O271&lt;J271,O271,0),4)</f>
        <v>0</v>
      </c>
      <c r="Q271" s="67">
        <f>ROUND(IF(J271&gt;O271,0,J271),4)</f>
        <v>0</v>
      </c>
      <c r="R271" s="67">
        <f>ROUND(+P271*D271,4)</f>
        <v>0</v>
      </c>
      <c r="S271" s="67">
        <f>ROUND(IF(K271=0,0,M271*D271),4)</f>
        <v>0</v>
      </c>
      <c r="T271" s="67">
        <f>ROUND(+IF(K271=0,Q271*D271,0),4)</f>
        <v>0</v>
      </c>
      <c r="U271" s="67">
        <f>ROUND(+N271+R271+S271+T271,4)</f>
        <v>0</v>
      </c>
      <c r="V271" s="67">
        <f>ROUND(IF(P271=0,0,I271-H271-O271)+IF(L271=0,0,I271-H271-K271),4)</f>
        <v>0</v>
      </c>
      <c r="W271" s="67">
        <f>ROUND(+(V271*60%)*D271,4)</f>
        <v>0</v>
      </c>
      <c r="X271" s="148">
        <f>ROUND(+U271+W271,4)</f>
        <v>0</v>
      </c>
      <c r="Y271" s="68"/>
      <c r="Z271" s="148">
        <f>ROUND(IF(X271&gt;I271,X271,I271),4)</f>
        <v>0</v>
      </c>
    </row>
    <row r="272" spans="1:26" x14ac:dyDescent="0.2">
      <c r="A272" s="66"/>
      <c r="B272" s="66"/>
      <c r="C272" s="66"/>
      <c r="D272" s="144"/>
      <c r="E272" s="67"/>
      <c r="F272" s="67"/>
      <c r="G272" s="67"/>
      <c r="H272" s="67">
        <f>ROUND(+E272+G272,4)</f>
        <v>0</v>
      </c>
      <c r="I272" s="67"/>
      <c r="J272" s="67">
        <f>ROUND(+I272-H272,4)</f>
        <v>0</v>
      </c>
      <c r="K272" s="67">
        <f>ROUND(IF(F272="alluminio",0,I272*1.5%),4)</f>
        <v>0</v>
      </c>
      <c r="L272" s="67">
        <f>ROUND(IF(K272&lt;J272,K272,0),4)</f>
        <v>0</v>
      </c>
      <c r="M272" s="67">
        <f>ROUND(IF(J272&gt;K272,0,J272),4)</f>
        <v>0</v>
      </c>
      <c r="N272" s="67">
        <f>ROUND(+L272*D272,4)</f>
        <v>0</v>
      </c>
      <c r="O272" s="67">
        <f>ROUND(IF(F272="rame",0,+I272*3%),4)</f>
        <v>0</v>
      </c>
      <c r="P272" s="67">
        <f>ROUND(IF(O272&lt;J272,O272,0),4)</f>
        <v>0</v>
      </c>
      <c r="Q272" s="67">
        <f>ROUND(IF(J272&gt;O272,0,J272),4)</f>
        <v>0</v>
      </c>
      <c r="R272" s="67">
        <f>ROUND(+P272*D272,4)</f>
        <v>0</v>
      </c>
      <c r="S272" s="67">
        <f>ROUND(IF(K272=0,0,M272*D272),4)</f>
        <v>0</v>
      </c>
      <c r="T272" s="67">
        <f>ROUND(+IF(K272=0,Q272*D272,0),4)</f>
        <v>0</v>
      </c>
      <c r="U272" s="67">
        <f>ROUND(+N272+R272+S272+T272,4)</f>
        <v>0</v>
      </c>
      <c r="V272" s="67">
        <f>ROUND(IF(P272=0,0,I272-H272-O272)+IF(L272=0,0,I272-H272-K272),4)</f>
        <v>0</v>
      </c>
      <c r="W272" s="67">
        <f>ROUND(+(V272*60%)*D272,4)</f>
        <v>0</v>
      </c>
      <c r="X272" s="148">
        <f>ROUND(+U272+W272,4)</f>
        <v>0</v>
      </c>
      <c r="Y272" s="68"/>
      <c r="Z272" s="148">
        <f>ROUND(IF(X272&gt;I272,X272,I272),4)</f>
        <v>0</v>
      </c>
    </row>
    <row r="273" spans="1:26" x14ac:dyDescent="0.2">
      <c r="A273" s="66"/>
      <c r="B273" s="66"/>
      <c r="C273" s="66"/>
      <c r="D273" s="144"/>
      <c r="E273" s="67"/>
      <c r="F273" s="67"/>
      <c r="G273" s="67"/>
      <c r="H273" s="67">
        <f>ROUND(+E273+G273,4)</f>
        <v>0</v>
      </c>
      <c r="I273" s="67"/>
      <c r="J273" s="67">
        <f>ROUND(+I273-H273,4)</f>
        <v>0</v>
      </c>
      <c r="K273" s="67">
        <f>ROUND(IF(F273="alluminio",0,I273*1.5%),4)</f>
        <v>0</v>
      </c>
      <c r="L273" s="67">
        <f>ROUND(IF(K273&lt;J273,K273,0),4)</f>
        <v>0</v>
      </c>
      <c r="M273" s="67">
        <f>ROUND(IF(J273&gt;K273,0,J273),4)</f>
        <v>0</v>
      </c>
      <c r="N273" s="67">
        <f>ROUND(+L273*D273,4)</f>
        <v>0</v>
      </c>
      <c r="O273" s="67">
        <f>ROUND(IF(F273="rame",0,+I273*3%),4)</f>
        <v>0</v>
      </c>
      <c r="P273" s="67">
        <f>ROUND(IF(O273&lt;J273,O273,0),4)</f>
        <v>0</v>
      </c>
      <c r="Q273" s="67">
        <f>ROUND(IF(J273&gt;O273,0,J273),4)</f>
        <v>0</v>
      </c>
      <c r="R273" s="67">
        <f>ROUND(+P273*D273,4)</f>
        <v>0</v>
      </c>
      <c r="S273" s="67">
        <f>ROUND(IF(K273=0,0,M273*D273),4)</f>
        <v>0</v>
      </c>
      <c r="T273" s="67">
        <f>ROUND(+IF(K273=0,Q273*D273,0),4)</f>
        <v>0</v>
      </c>
      <c r="U273" s="67">
        <f>ROUND(+N273+R273+S273+T273,4)</f>
        <v>0</v>
      </c>
      <c r="V273" s="67">
        <f>ROUND(IF(P273=0,0,I273-H273-O273)+IF(L273=0,0,I273-H273-K273),4)</f>
        <v>0</v>
      </c>
      <c r="W273" s="67">
        <f>ROUND(+(V273*60%)*D273,4)</f>
        <v>0</v>
      </c>
      <c r="X273" s="148">
        <f>ROUND(+U273+W273,4)</f>
        <v>0</v>
      </c>
      <c r="Y273" s="68"/>
      <c r="Z273" s="148">
        <f>ROUND(IF(X273&gt;I273,X273,I273),4)</f>
        <v>0</v>
      </c>
    </row>
    <row r="274" spans="1:26" x14ac:dyDescent="0.2">
      <c r="A274" s="66"/>
      <c r="B274" s="66"/>
      <c r="C274" s="66"/>
      <c r="D274" s="144"/>
      <c r="E274" s="67"/>
      <c r="F274" s="67"/>
      <c r="G274" s="67"/>
      <c r="H274" s="67">
        <f>ROUND(+E274+G274,4)</f>
        <v>0</v>
      </c>
      <c r="I274" s="67"/>
      <c r="J274" s="67">
        <f>ROUND(+I274-H274,4)</f>
        <v>0</v>
      </c>
      <c r="K274" s="67">
        <f>ROUND(IF(F274="alluminio",0,I274*1.5%),4)</f>
        <v>0</v>
      </c>
      <c r="L274" s="67">
        <f>ROUND(IF(K274&lt;J274,K274,0),4)</f>
        <v>0</v>
      </c>
      <c r="M274" s="67">
        <f>ROUND(IF(J274&gt;K274,0,J274),4)</f>
        <v>0</v>
      </c>
      <c r="N274" s="67">
        <f>ROUND(+L274*D274,4)</f>
        <v>0</v>
      </c>
      <c r="O274" s="67">
        <f>ROUND(IF(F274="rame",0,+I274*3%),4)</f>
        <v>0</v>
      </c>
      <c r="P274" s="67">
        <f>ROUND(IF(O274&lt;J274,O274,0),4)</f>
        <v>0</v>
      </c>
      <c r="Q274" s="67">
        <f>ROUND(IF(J274&gt;O274,0,J274),4)</f>
        <v>0</v>
      </c>
      <c r="R274" s="67">
        <f>ROUND(+P274*D274,4)</f>
        <v>0</v>
      </c>
      <c r="S274" s="67">
        <f>ROUND(IF(K274=0,0,M274*D274),4)</f>
        <v>0</v>
      </c>
      <c r="T274" s="67">
        <f>ROUND(+IF(K274=0,Q274*D274,0),4)</f>
        <v>0</v>
      </c>
      <c r="U274" s="67">
        <f>ROUND(+N274+R274+S274+T274,4)</f>
        <v>0</v>
      </c>
      <c r="V274" s="67">
        <f>ROUND(IF(P274=0,0,I274-H274-O274)+IF(L274=0,0,I274-H274-K274),4)</f>
        <v>0</v>
      </c>
      <c r="W274" s="67">
        <f>ROUND(+(V274*60%)*D274,4)</f>
        <v>0</v>
      </c>
      <c r="X274" s="148">
        <f>ROUND(+U274+W274,4)</f>
        <v>0</v>
      </c>
      <c r="Y274" s="68"/>
      <c r="Z274" s="148">
        <f>ROUND(IF(X274&gt;I274,X274,I274),4)</f>
        <v>0</v>
      </c>
    </row>
    <row r="275" spans="1:26" x14ac:dyDescent="0.2">
      <c r="A275" s="66"/>
      <c r="B275" s="66"/>
      <c r="C275" s="66"/>
      <c r="D275" s="144"/>
      <c r="E275" s="67"/>
      <c r="F275" s="67"/>
      <c r="G275" s="67"/>
      <c r="H275" s="67">
        <f>ROUND(+E275+G275,4)</f>
        <v>0</v>
      </c>
      <c r="I275" s="67"/>
      <c r="J275" s="67">
        <f>ROUND(+I275-H275,4)</f>
        <v>0</v>
      </c>
      <c r="K275" s="67">
        <f>ROUND(IF(F275="alluminio",0,I275*1.5%),4)</f>
        <v>0</v>
      </c>
      <c r="L275" s="67">
        <f>ROUND(IF(K275&lt;J275,K275,0),4)</f>
        <v>0</v>
      </c>
      <c r="M275" s="67">
        <f>ROUND(IF(J275&gt;K275,0,J275),4)</f>
        <v>0</v>
      </c>
      <c r="N275" s="67">
        <f>ROUND(+L275*D275,4)</f>
        <v>0</v>
      </c>
      <c r="O275" s="67">
        <f>ROUND(IF(F275="rame",0,+I275*3%),4)</f>
        <v>0</v>
      </c>
      <c r="P275" s="67">
        <f>ROUND(IF(O275&lt;J275,O275,0),4)</f>
        <v>0</v>
      </c>
      <c r="Q275" s="67">
        <f>ROUND(IF(J275&gt;O275,0,J275),4)</f>
        <v>0</v>
      </c>
      <c r="R275" s="67">
        <f>ROUND(+P275*D275,4)</f>
        <v>0</v>
      </c>
      <c r="S275" s="67">
        <f>ROUND(IF(K275=0,0,M275*D275),4)</f>
        <v>0</v>
      </c>
      <c r="T275" s="67">
        <f>ROUND(+IF(K275=0,Q275*D275,0),4)</f>
        <v>0</v>
      </c>
      <c r="U275" s="67">
        <f>ROUND(+N275+R275+S275+T275,4)</f>
        <v>0</v>
      </c>
      <c r="V275" s="67">
        <f>ROUND(IF(P275=0,0,I275-H275-O275)+IF(L275=0,0,I275-H275-K275),4)</f>
        <v>0</v>
      </c>
      <c r="W275" s="67">
        <f>ROUND(+(V275*60%)*D275,4)</f>
        <v>0</v>
      </c>
      <c r="X275" s="148">
        <f>ROUND(+U275+W275,4)</f>
        <v>0</v>
      </c>
      <c r="Y275" s="68"/>
      <c r="Z275" s="148">
        <f>ROUND(IF(X275&gt;I275,X275,I275),4)</f>
        <v>0</v>
      </c>
    </row>
    <row r="276" spans="1:26" x14ac:dyDescent="0.2">
      <c r="A276" s="66"/>
      <c r="B276" s="66"/>
      <c r="C276" s="66"/>
      <c r="D276" s="144"/>
      <c r="E276" s="67"/>
      <c r="F276" s="67"/>
      <c r="G276" s="67"/>
      <c r="H276" s="67">
        <f>ROUND(+E276+G276,4)</f>
        <v>0</v>
      </c>
      <c r="I276" s="67"/>
      <c r="J276" s="67">
        <f>ROUND(+I276-H276,4)</f>
        <v>0</v>
      </c>
      <c r="K276" s="67">
        <f>ROUND(IF(F276="alluminio",0,I276*1.5%),4)</f>
        <v>0</v>
      </c>
      <c r="L276" s="67">
        <f>ROUND(IF(K276&lt;J276,K276,0),4)</f>
        <v>0</v>
      </c>
      <c r="M276" s="67">
        <f>ROUND(IF(J276&gt;K276,0,J276),4)</f>
        <v>0</v>
      </c>
      <c r="N276" s="67">
        <f>ROUND(+L276*D276,4)</f>
        <v>0</v>
      </c>
      <c r="O276" s="67">
        <f>ROUND(IF(F276="rame",0,+I276*3%),4)</f>
        <v>0</v>
      </c>
      <c r="P276" s="67">
        <f>ROUND(IF(O276&lt;J276,O276,0),4)</f>
        <v>0</v>
      </c>
      <c r="Q276" s="67">
        <f>ROUND(IF(J276&gt;O276,0,J276),4)</f>
        <v>0</v>
      </c>
      <c r="R276" s="67">
        <f>ROUND(+P276*D276,4)</f>
        <v>0</v>
      </c>
      <c r="S276" s="67">
        <f>ROUND(IF(K276=0,0,M276*D276),4)</f>
        <v>0</v>
      </c>
      <c r="T276" s="67">
        <f>ROUND(+IF(K276=0,Q276*D276,0),4)</f>
        <v>0</v>
      </c>
      <c r="U276" s="67">
        <f>ROUND(+N276+R276+S276+T276,4)</f>
        <v>0</v>
      </c>
      <c r="V276" s="67">
        <f>ROUND(IF(P276=0,0,I276-H276-O276)+IF(L276=0,0,I276-H276-K276),4)</f>
        <v>0</v>
      </c>
      <c r="W276" s="67">
        <f>ROUND(+(V276*60%)*D276,4)</f>
        <v>0</v>
      </c>
      <c r="X276" s="148">
        <f>ROUND(+U276+W276,4)</f>
        <v>0</v>
      </c>
      <c r="Y276" s="68"/>
      <c r="Z276" s="148">
        <f>ROUND(IF(X276&gt;I276,X276,I276),4)</f>
        <v>0</v>
      </c>
    </row>
    <row r="277" spans="1:26" x14ac:dyDescent="0.2">
      <c r="A277" s="66"/>
      <c r="B277" s="66"/>
      <c r="C277" s="66"/>
      <c r="D277" s="144"/>
      <c r="E277" s="67"/>
      <c r="F277" s="67"/>
      <c r="G277" s="67"/>
      <c r="H277" s="67">
        <f>ROUND(+E277+G277,4)</f>
        <v>0</v>
      </c>
      <c r="I277" s="67"/>
      <c r="J277" s="67">
        <f>ROUND(+I277-H277,4)</f>
        <v>0</v>
      </c>
      <c r="K277" s="67">
        <f>ROUND(IF(F277="alluminio",0,I277*1.5%),4)</f>
        <v>0</v>
      </c>
      <c r="L277" s="67">
        <f>ROUND(IF(K277&lt;J277,K277,0),4)</f>
        <v>0</v>
      </c>
      <c r="M277" s="67">
        <f>ROUND(IF(J277&gt;K277,0,J277),4)</f>
        <v>0</v>
      </c>
      <c r="N277" s="67">
        <f>ROUND(+L277*D277,4)</f>
        <v>0</v>
      </c>
      <c r="O277" s="67">
        <f>ROUND(IF(F277="rame",0,+I277*3%),4)</f>
        <v>0</v>
      </c>
      <c r="P277" s="67">
        <f>ROUND(IF(O277&lt;J277,O277,0),4)</f>
        <v>0</v>
      </c>
      <c r="Q277" s="67">
        <f>ROUND(IF(J277&gt;O277,0,J277),4)</f>
        <v>0</v>
      </c>
      <c r="R277" s="67">
        <f>ROUND(+P277*D277,4)</f>
        <v>0</v>
      </c>
      <c r="S277" s="67">
        <f>ROUND(IF(K277=0,0,M277*D277),4)</f>
        <v>0</v>
      </c>
      <c r="T277" s="67">
        <f>ROUND(+IF(K277=0,Q277*D277,0),4)</f>
        <v>0</v>
      </c>
      <c r="U277" s="67">
        <f>ROUND(+N277+R277+S277+T277,4)</f>
        <v>0</v>
      </c>
      <c r="V277" s="67">
        <f>ROUND(IF(P277=0,0,I277-H277-O277)+IF(L277=0,0,I277-H277-K277),4)</f>
        <v>0</v>
      </c>
      <c r="W277" s="67">
        <f>ROUND(+(V277*60%)*D277,4)</f>
        <v>0</v>
      </c>
      <c r="X277" s="148">
        <f>ROUND(+U277+W277,4)</f>
        <v>0</v>
      </c>
      <c r="Y277" s="68"/>
      <c r="Z277" s="148">
        <f>ROUND(IF(X277&gt;I277,X277,I277),4)</f>
        <v>0</v>
      </c>
    </row>
    <row r="278" spans="1:26" x14ac:dyDescent="0.2">
      <c r="A278" s="66"/>
      <c r="B278" s="66"/>
      <c r="C278" s="66"/>
      <c r="D278" s="144"/>
      <c r="E278" s="67"/>
      <c r="F278" s="67"/>
      <c r="G278" s="67"/>
      <c r="H278" s="67">
        <f>ROUND(+E278+G278,4)</f>
        <v>0</v>
      </c>
      <c r="I278" s="67"/>
      <c r="J278" s="67">
        <f>ROUND(+I278-H278,4)</f>
        <v>0</v>
      </c>
      <c r="K278" s="67">
        <f>ROUND(IF(F278="alluminio",0,I278*1.5%),4)</f>
        <v>0</v>
      </c>
      <c r="L278" s="67">
        <f>ROUND(IF(K278&lt;J278,K278,0),4)</f>
        <v>0</v>
      </c>
      <c r="M278" s="67">
        <f>ROUND(IF(J278&gt;K278,0,J278),4)</f>
        <v>0</v>
      </c>
      <c r="N278" s="67">
        <f>ROUND(+L278*D278,4)</f>
        <v>0</v>
      </c>
      <c r="O278" s="67">
        <f>ROUND(IF(F278="rame",0,+I278*3%),4)</f>
        <v>0</v>
      </c>
      <c r="P278" s="67">
        <f>ROUND(IF(O278&lt;J278,O278,0),4)</f>
        <v>0</v>
      </c>
      <c r="Q278" s="67">
        <f>ROUND(IF(J278&gt;O278,0,J278),4)</f>
        <v>0</v>
      </c>
      <c r="R278" s="67">
        <f>ROUND(+P278*D278,4)</f>
        <v>0</v>
      </c>
      <c r="S278" s="67">
        <f>ROUND(IF(K278=0,0,M278*D278),4)</f>
        <v>0</v>
      </c>
      <c r="T278" s="67">
        <f>ROUND(+IF(K278=0,Q278*D278,0),4)</f>
        <v>0</v>
      </c>
      <c r="U278" s="67">
        <f>ROUND(+N278+R278+S278+T278,4)</f>
        <v>0</v>
      </c>
      <c r="V278" s="67">
        <f>ROUND(IF(P278=0,0,I278-H278-O278)+IF(L278=0,0,I278-H278-K278),4)</f>
        <v>0</v>
      </c>
      <c r="W278" s="67">
        <f>ROUND(+(V278*60%)*D278,4)</f>
        <v>0</v>
      </c>
      <c r="X278" s="148">
        <f>ROUND(+U278+W278,4)</f>
        <v>0</v>
      </c>
      <c r="Y278" s="68"/>
      <c r="Z278" s="148">
        <f>ROUND(IF(X278&gt;I278,X278,I278),4)</f>
        <v>0</v>
      </c>
    </row>
    <row r="279" spans="1:26" x14ac:dyDescent="0.2">
      <c r="A279" s="66"/>
      <c r="B279" s="66"/>
      <c r="C279" s="66"/>
      <c r="D279" s="144"/>
      <c r="E279" s="67"/>
      <c r="F279" s="67"/>
      <c r="G279" s="67"/>
      <c r="H279" s="67">
        <f>ROUND(+E279+G279,4)</f>
        <v>0</v>
      </c>
      <c r="I279" s="67"/>
      <c r="J279" s="67">
        <f>ROUND(+I279-H279,4)</f>
        <v>0</v>
      </c>
      <c r="K279" s="67">
        <f>ROUND(IF(F279="alluminio",0,I279*1.5%),4)</f>
        <v>0</v>
      </c>
      <c r="L279" s="67">
        <f>ROUND(IF(K279&lt;J279,K279,0),4)</f>
        <v>0</v>
      </c>
      <c r="M279" s="67">
        <f>ROUND(IF(J279&gt;K279,0,J279),4)</f>
        <v>0</v>
      </c>
      <c r="N279" s="67">
        <f>ROUND(+L279*D279,4)</f>
        <v>0</v>
      </c>
      <c r="O279" s="67">
        <f>ROUND(IF(F279="rame",0,+I279*3%),4)</f>
        <v>0</v>
      </c>
      <c r="P279" s="67">
        <f>ROUND(IF(O279&lt;J279,O279,0),4)</f>
        <v>0</v>
      </c>
      <c r="Q279" s="67">
        <f>ROUND(IF(J279&gt;O279,0,J279),4)</f>
        <v>0</v>
      </c>
      <c r="R279" s="67">
        <f>ROUND(+P279*D279,4)</f>
        <v>0</v>
      </c>
      <c r="S279" s="67">
        <f>ROUND(IF(K279=0,0,M279*D279),4)</f>
        <v>0</v>
      </c>
      <c r="T279" s="67">
        <f>ROUND(+IF(K279=0,Q279*D279,0),4)</f>
        <v>0</v>
      </c>
      <c r="U279" s="67">
        <f>ROUND(+N279+R279+S279+T279,4)</f>
        <v>0</v>
      </c>
      <c r="V279" s="67">
        <f>ROUND(IF(P279=0,0,I279-H279-O279)+IF(L279=0,0,I279-H279-K279),4)</f>
        <v>0</v>
      </c>
      <c r="W279" s="67">
        <f>ROUND(+(V279*60%)*D279,4)</f>
        <v>0</v>
      </c>
      <c r="X279" s="148">
        <f>ROUND(+U279+W279,4)</f>
        <v>0</v>
      </c>
      <c r="Y279" s="68"/>
      <c r="Z279" s="148">
        <f>ROUND(IF(X279&gt;I279,X279,I279),4)</f>
        <v>0</v>
      </c>
    </row>
    <row r="280" spans="1:26" x14ac:dyDescent="0.2">
      <c r="A280" s="66"/>
      <c r="B280" s="66"/>
      <c r="C280" s="66"/>
      <c r="D280" s="144"/>
      <c r="E280" s="67"/>
      <c r="F280" s="67"/>
      <c r="G280" s="67"/>
      <c r="H280" s="67">
        <f>ROUND(+E280+G280,4)</f>
        <v>0</v>
      </c>
      <c r="I280" s="67"/>
      <c r="J280" s="67">
        <f>ROUND(+I280-H280,4)</f>
        <v>0</v>
      </c>
      <c r="K280" s="67">
        <f>ROUND(IF(F280="alluminio",0,I280*1.5%),4)</f>
        <v>0</v>
      </c>
      <c r="L280" s="67">
        <f>ROUND(IF(K280&lt;J280,K280,0),4)</f>
        <v>0</v>
      </c>
      <c r="M280" s="67">
        <f>ROUND(IF(J280&gt;K280,0,J280),4)</f>
        <v>0</v>
      </c>
      <c r="N280" s="67">
        <f>ROUND(+L280*D280,4)</f>
        <v>0</v>
      </c>
      <c r="O280" s="67">
        <f>ROUND(IF(F280="rame",0,+I280*3%),4)</f>
        <v>0</v>
      </c>
      <c r="P280" s="67">
        <f>ROUND(IF(O280&lt;J280,O280,0),4)</f>
        <v>0</v>
      </c>
      <c r="Q280" s="67">
        <f>ROUND(IF(J280&gt;O280,0,J280),4)</f>
        <v>0</v>
      </c>
      <c r="R280" s="67">
        <f>ROUND(+P280*D280,4)</f>
        <v>0</v>
      </c>
      <c r="S280" s="67">
        <f>ROUND(IF(K280=0,0,M280*D280),4)</f>
        <v>0</v>
      </c>
      <c r="T280" s="67">
        <f>ROUND(+IF(K280=0,Q280*D280,0),4)</f>
        <v>0</v>
      </c>
      <c r="U280" s="67">
        <f>ROUND(+N280+R280+S280+T280,4)</f>
        <v>0</v>
      </c>
      <c r="V280" s="67">
        <f>ROUND(IF(P280=0,0,I280-H280-O280)+IF(L280=0,0,I280-H280-K280),4)</f>
        <v>0</v>
      </c>
      <c r="W280" s="67">
        <f>ROUND(+(V280*60%)*D280,4)</f>
        <v>0</v>
      </c>
      <c r="X280" s="148">
        <f>ROUND(+U280+W280,4)</f>
        <v>0</v>
      </c>
      <c r="Y280" s="68"/>
      <c r="Z280" s="148">
        <f>ROUND(IF(X280&gt;I280,X280,I280),4)</f>
        <v>0</v>
      </c>
    </row>
    <row r="281" spans="1:26" x14ac:dyDescent="0.2">
      <c r="A281" s="66"/>
      <c r="B281" s="66"/>
      <c r="C281" s="66"/>
      <c r="D281" s="144"/>
      <c r="E281" s="67"/>
      <c r="F281" s="67"/>
      <c r="G281" s="67"/>
      <c r="H281" s="67">
        <f>ROUND(+E281+G281,4)</f>
        <v>0</v>
      </c>
      <c r="I281" s="67"/>
      <c r="J281" s="67">
        <f>ROUND(+I281-H281,4)</f>
        <v>0</v>
      </c>
      <c r="K281" s="67">
        <f>ROUND(IF(F281="alluminio",0,I281*1.5%),4)</f>
        <v>0</v>
      </c>
      <c r="L281" s="67">
        <f>ROUND(IF(K281&lt;J281,K281,0),4)</f>
        <v>0</v>
      </c>
      <c r="M281" s="67">
        <f>ROUND(IF(J281&gt;K281,0,J281),4)</f>
        <v>0</v>
      </c>
      <c r="N281" s="67">
        <f>ROUND(+L281*D281,4)</f>
        <v>0</v>
      </c>
      <c r="O281" s="67">
        <f>ROUND(IF(F281="rame",0,+I281*3%),4)</f>
        <v>0</v>
      </c>
      <c r="P281" s="67">
        <f>ROUND(IF(O281&lt;J281,O281,0),4)</f>
        <v>0</v>
      </c>
      <c r="Q281" s="67">
        <f>ROUND(IF(J281&gt;O281,0,J281),4)</f>
        <v>0</v>
      </c>
      <c r="R281" s="67">
        <f>ROUND(+P281*D281,4)</f>
        <v>0</v>
      </c>
      <c r="S281" s="67">
        <f>ROUND(IF(K281=0,0,M281*D281),4)</f>
        <v>0</v>
      </c>
      <c r="T281" s="67">
        <f>ROUND(+IF(K281=0,Q281*D281,0),4)</f>
        <v>0</v>
      </c>
      <c r="U281" s="67">
        <f>ROUND(+N281+R281+S281+T281,4)</f>
        <v>0</v>
      </c>
      <c r="V281" s="67">
        <f>ROUND(IF(P281=0,0,I281-H281-O281)+IF(L281=0,0,I281-H281-K281),4)</f>
        <v>0</v>
      </c>
      <c r="W281" s="67">
        <f>ROUND(+(V281*60%)*D281,4)</f>
        <v>0</v>
      </c>
      <c r="X281" s="148">
        <f>ROUND(+U281+W281,4)</f>
        <v>0</v>
      </c>
      <c r="Y281" s="68"/>
      <c r="Z281" s="148">
        <f>ROUND(IF(X281&gt;I281,X281,I281),4)</f>
        <v>0</v>
      </c>
    </row>
    <row r="282" spans="1:26" x14ac:dyDescent="0.2">
      <c r="A282" s="66"/>
      <c r="B282" s="66"/>
      <c r="C282" s="66"/>
      <c r="D282" s="144"/>
      <c r="E282" s="67"/>
      <c r="F282" s="67"/>
      <c r="G282" s="67"/>
      <c r="H282" s="67">
        <f>ROUND(+E282+G282,4)</f>
        <v>0</v>
      </c>
      <c r="I282" s="67"/>
      <c r="J282" s="67">
        <f>ROUND(+I282-H282,4)</f>
        <v>0</v>
      </c>
      <c r="K282" s="67">
        <f>ROUND(IF(F282="alluminio",0,I282*1.5%),4)</f>
        <v>0</v>
      </c>
      <c r="L282" s="67">
        <f>ROUND(IF(K282&lt;J282,K282,0),4)</f>
        <v>0</v>
      </c>
      <c r="M282" s="67">
        <f>ROUND(IF(J282&gt;K282,0,J282),4)</f>
        <v>0</v>
      </c>
      <c r="N282" s="67">
        <f>ROUND(+L282*D282,4)</f>
        <v>0</v>
      </c>
      <c r="O282" s="67">
        <f>ROUND(IF(F282="rame",0,+I282*3%),4)</f>
        <v>0</v>
      </c>
      <c r="P282" s="67">
        <f>ROUND(IF(O282&lt;J282,O282,0),4)</f>
        <v>0</v>
      </c>
      <c r="Q282" s="67">
        <f>ROUND(IF(J282&gt;O282,0,J282),4)</f>
        <v>0</v>
      </c>
      <c r="R282" s="67">
        <f>ROUND(+P282*D282,4)</f>
        <v>0</v>
      </c>
      <c r="S282" s="67">
        <f>ROUND(IF(K282=0,0,M282*D282),4)</f>
        <v>0</v>
      </c>
      <c r="T282" s="67">
        <f>ROUND(+IF(K282=0,Q282*D282,0),4)</f>
        <v>0</v>
      </c>
      <c r="U282" s="67">
        <f>ROUND(+N282+R282+S282+T282,4)</f>
        <v>0</v>
      </c>
      <c r="V282" s="67">
        <f>ROUND(IF(P282=0,0,I282-H282-O282)+IF(L282=0,0,I282-H282-K282),4)</f>
        <v>0</v>
      </c>
      <c r="W282" s="67">
        <f>ROUND(+(V282*60%)*D282,4)</f>
        <v>0</v>
      </c>
      <c r="X282" s="148">
        <f>ROUND(+U282+W282,4)</f>
        <v>0</v>
      </c>
      <c r="Y282" s="68"/>
      <c r="Z282" s="148">
        <f>ROUND(IF(X282&gt;I282,X282,I282),4)</f>
        <v>0</v>
      </c>
    </row>
    <row r="283" spans="1:26" x14ac:dyDescent="0.2">
      <c r="A283" s="66"/>
      <c r="B283" s="66"/>
      <c r="C283" s="66"/>
      <c r="D283" s="144"/>
      <c r="E283" s="67"/>
      <c r="F283" s="67"/>
      <c r="G283" s="67"/>
      <c r="H283" s="67">
        <f>ROUND(+E283+G283,4)</f>
        <v>0</v>
      </c>
      <c r="I283" s="67"/>
      <c r="J283" s="67">
        <f>ROUND(+I283-H283,4)</f>
        <v>0</v>
      </c>
      <c r="K283" s="67">
        <f>ROUND(IF(F283="alluminio",0,I283*1.5%),4)</f>
        <v>0</v>
      </c>
      <c r="L283" s="67">
        <f>ROUND(IF(K283&lt;J283,K283,0),4)</f>
        <v>0</v>
      </c>
      <c r="M283" s="67">
        <f>ROUND(IF(J283&gt;K283,0,J283),4)</f>
        <v>0</v>
      </c>
      <c r="N283" s="67">
        <f>ROUND(+L283*D283,4)</f>
        <v>0</v>
      </c>
      <c r="O283" s="67">
        <f>ROUND(IF(F283="rame",0,+I283*3%),4)</f>
        <v>0</v>
      </c>
      <c r="P283" s="67">
        <f>ROUND(IF(O283&lt;J283,O283,0),4)</f>
        <v>0</v>
      </c>
      <c r="Q283" s="67">
        <f>ROUND(IF(J283&gt;O283,0,J283),4)</f>
        <v>0</v>
      </c>
      <c r="R283" s="67">
        <f>ROUND(+P283*D283,4)</f>
        <v>0</v>
      </c>
      <c r="S283" s="67">
        <f>ROUND(IF(K283=0,0,M283*D283),4)</f>
        <v>0</v>
      </c>
      <c r="T283" s="67">
        <f>ROUND(+IF(K283=0,Q283*D283,0),4)</f>
        <v>0</v>
      </c>
      <c r="U283" s="67">
        <f>ROUND(+N283+R283+S283+T283,4)</f>
        <v>0</v>
      </c>
      <c r="V283" s="67">
        <f>ROUND(IF(P283=0,0,I283-H283-O283)+IF(L283=0,0,I283-H283-K283),4)</f>
        <v>0</v>
      </c>
      <c r="W283" s="67">
        <f>ROUND(+(V283*60%)*D283,4)</f>
        <v>0</v>
      </c>
      <c r="X283" s="148">
        <f>ROUND(+U283+W283,4)</f>
        <v>0</v>
      </c>
      <c r="Y283" s="68"/>
      <c r="Z283" s="148">
        <f>ROUND(IF(X283&gt;I283,X283,I283),4)</f>
        <v>0</v>
      </c>
    </row>
    <row r="284" spans="1:26" x14ac:dyDescent="0.2">
      <c r="A284" s="66"/>
      <c r="B284" s="66"/>
      <c r="C284" s="66"/>
      <c r="D284" s="144"/>
      <c r="E284" s="67"/>
      <c r="F284" s="67"/>
      <c r="G284" s="67"/>
      <c r="H284" s="67">
        <f>ROUND(+E284+G284,4)</f>
        <v>0</v>
      </c>
      <c r="I284" s="67"/>
      <c r="J284" s="67">
        <f>ROUND(+I284-H284,4)</f>
        <v>0</v>
      </c>
      <c r="K284" s="67">
        <f>ROUND(IF(F284="alluminio",0,I284*1.5%),4)</f>
        <v>0</v>
      </c>
      <c r="L284" s="67">
        <f>ROUND(IF(K284&lt;J284,K284,0),4)</f>
        <v>0</v>
      </c>
      <c r="M284" s="67">
        <f>ROUND(IF(J284&gt;K284,0,J284),4)</f>
        <v>0</v>
      </c>
      <c r="N284" s="67">
        <f>ROUND(+L284*D284,4)</f>
        <v>0</v>
      </c>
      <c r="O284" s="67">
        <f>ROUND(IF(F284="rame",0,+I284*3%),4)</f>
        <v>0</v>
      </c>
      <c r="P284" s="67">
        <f>ROUND(IF(O284&lt;J284,O284,0),4)</f>
        <v>0</v>
      </c>
      <c r="Q284" s="67">
        <f>ROUND(IF(J284&gt;O284,0,J284),4)</f>
        <v>0</v>
      </c>
      <c r="R284" s="67">
        <f>ROUND(+P284*D284,4)</f>
        <v>0</v>
      </c>
      <c r="S284" s="67">
        <f>ROUND(IF(K284=0,0,M284*D284),4)</f>
        <v>0</v>
      </c>
      <c r="T284" s="67">
        <f>ROUND(+IF(K284=0,Q284*D284,0),4)</f>
        <v>0</v>
      </c>
      <c r="U284" s="67">
        <f>ROUND(+N284+R284+S284+T284,4)</f>
        <v>0</v>
      </c>
      <c r="V284" s="67">
        <f>ROUND(IF(P284=0,0,I284-H284-O284)+IF(L284=0,0,I284-H284-K284),4)</f>
        <v>0</v>
      </c>
      <c r="W284" s="67">
        <f>ROUND(+(V284*60%)*D284,4)</f>
        <v>0</v>
      </c>
      <c r="X284" s="148">
        <f>ROUND(+U284+W284,4)</f>
        <v>0</v>
      </c>
      <c r="Y284" s="68"/>
      <c r="Z284" s="148">
        <f>ROUND(IF(X284&gt;I284,X284,I284),4)</f>
        <v>0</v>
      </c>
    </row>
    <row r="285" spans="1:26" x14ac:dyDescent="0.2">
      <c r="A285" s="66"/>
      <c r="B285" s="66"/>
      <c r="C285" s="66"/>
      <c r="D285" s="144"/>
      <c r="E285" s="67"/>
      <c r="F285" s="67"/>
      <c r="G285" s="67"/>
      <c r="H285" s="67">
        <f>ROUND(+E285+G285,4)</f>
        <v>0</v>
      </c>
      <c r="I285" s="67"/>
      <c r="J285" s="67">
        <f>ROUND(+I285-H285,4)</f>
        <v>0</v>
      </c>
      <c r="K285" s="67">
        <f>ROUND(IF(F285="alluminio",0,I285*1.5%),4)</f>
        <v>0</v>
      </c>
      <c r="L285" s="67">
        <f>ROUND(IF(K285&lt;J285,K285,0),4)</f>
        <v>0</v>
      </c>
      <c r="M285" s="67">
        <f>ROUND(IF(J285&gt;K285,0,J285),4)</f>
        <v>0</v>
      </c>
      <c r="N285" s="67">
        <f>ROUND(+L285*D285,4)</f>
        <v>0</v>
      </c>
      <c r="O285" s="67">
        <f>ROUND(IF(F285="rame",0,+I285*3%),4)</f>
        <v>0</v>
      </c>
      <c r="P285" s="67">
        <f>ROUND(IF(O285&lt;J285,O285,0),4)</f>
        <v>0</v>
      </c>
      <c r="Q285" s="67">
        <f>ROUND(IF(J285&gt;O285,0,J285),4)</f>
        <v>0</v>
      </c>
      <c r="R285" s="67">
        <f>ROUND(+P285*D285,4)</f>
        <v>0</v>
      </c>
      <c r="S285" s="67">
        <f>ROUND(IF(K285=0,0,M285*D285),4)</f>
        <v>0</v>
      </c>
      <c r="T285" s="67">
        <f>ROUND(+IF(K285=0,Q285*D285,0),4)</f>
        <v>0</v>
      </c>
      <c r="U285" s="67">
        <f>ROUND(+N285+R285+S285+T285,4)</f>
        <v>0</v>
      </c>
      <c r="V285" s="67">
        <f>ROUND(IF(P285=0,0,I285-H285-O285)+IF(L285=0,0,I285-H285-K285),4)</f>
        <v>0</v>
      </c>
      <c r="W285" s="67">
        <f>ROUND(+(V285*60%)*D285,4)</f>
        <v>0</v>
      </c>
      <c r="X285" s="148">
        <f>ROUND(+U285+W285,4)</f>
        <v>0</v>
      </c>
      <c r="Y285" s="68"/>
      <c r="Z285" s="148">
        <f>ROUND(IF(X285&gt;I285,X285,I285),4)</f>
        <v>0</v>
      </c>
    </row>
    <row r="286" spans="1:26" x14ac:dyDescent="0.2">
      <c r="A286" s="66"/>
      <c r="B286" s="66"/>
      <c r="C286" s="66"/>
      <c r="D286" s="144"/>
      <c r="E286" s="67"/>
      <c r="F286" s="67"/>
      <c r="G286" s="67"/>
      <c r="H286" s="67">
        <f>ROUND(+E286+G286,4)</f>
        <v>0</v>
      </c>
      <c r="I286" s="67"/>
      <c r="J286" s="67">
        <f>ROUND(+I286-H286,4)</f>
        <v>0</v>
      </c>
      <c r="K286" s="67">
        <f>ROUND(IF(F286="alluminio",0,I286*1.5%),4)</f>
        <v>0</v>
      </c>
      <c r="L286" s="67">
        <f>ROUND(IF(K286&lt;J286,K286,0),4)</f>
        <v>0</v>
      </c>
      <c r="M286" s="67">
        <f>ROUND(IF(J286&gt;K286,0,J286),4)</f>
        <v>0</v>
      </c>
      <c r="N286" s="67">
        <f>ROUND(+L286*D286,4)</f>
        <v>0</v>
      </c>
      <c r="O286" s="67">
        <f>ROUND(IF(F286="rame",0,+I286*3%),4)</f>
        <v>0</v>
      </c>
      <c r="P286" s="67">
        <f>ROUND(IF(O286&lt;J286,O286,0),4)</f>
        <v>0</v>
      </c>
      <c r="Q286" s="67">
        <f>ROUND(IF(J286&gt;O286,0,J286),4)</f>
        <v>0</v>
      </c>
      <c r="R286" s="67">
        <f>ROUND(+P286*D286,4)</f>
        <v>0</v>
      </c>
      <c r="S286" s="67">
        <f>ROUND(IF(K286=0,0,M286*D286),4)</f>
        <v>0</v>
      </c>
      <c r="T286" s="67">
        <f>ROUND(+IF(K286=0,Q286*D286,0),4)</f>
        <v>0</v>
      </c>
      <c r="U286" s="67">
        <f>ROUND(+N286+R286+S286+T286,4)</f>
        <v>0</v>
      </c>
      <c r="V286" s="67">
        <f>ROUND(IF(P286=0,0,I286-H286-O286)+IF(L286=0,0,I286-H286-K286),4)</f>
        <v>0</v>
      </c>
      <c r="W286" s="67">
        <f>ROUND(+(V286*60%)*D286,4)</f>
        <v>0</v>
      </c>
      <c r="X286" s="148">
        <f>ROUND(+U286+W286,4)</f>
        <v>0</v>
      </c>
      <c r="Y286" s="68"/>
      <c r="Z286" s="148">
        <f>ROUND(IF(X286&gt;I286,X286,I286),4)</f>
        <v>0</v>
      </c>
    </row>
    <row r="287" spans="1:26" x14ac:dyDescent="0.2">
      <c r="A287" s="66"/>
      <c r="B287" s="66"/>
      <c r="C287" s="66"/>
      <c r="D287" s="144"/>
      <c r="E287" s="67"/>
      <c r="F287" s="67"/>
      <c r="G287" s="67"/>
      <c r="H287" s="67">
        <f>ROUND(+E287+G287,4)</f>
        <v>0</v>
      </c>
      <c r="I287" s="67"/>
      <c r="J287" s="67">
        <f>ROUND(+I287-H287,4)</f>
        <v>0</v>
      </c>
      <c r="K287" s="67">
        <f>ROUND(IF(F287="alluminio",0,I287*1.5%),4)</f>
        <v>0</v>
      </c>
      <c r="L287" s="67">
        <f>ROUND(IF(K287&lt;J287,K287,0),4)</f>
        <v>0</v>
      </c>
      <c r="M287" s="67">
        <f>ROUND(IF(J287&gt;K287,0,J287),4)</f>
        <v>0</v>
      </c>
      <c r="N287" s="67">
        <f>ROUND(+L287*D287,4)</f>
        <v>0</v>
      </c>
      <c r="O287" s="67">
        <f>ROUND(IF(F287="rame",0,+I287*3%),4)</f>
        <v>0</v>
      </c>
      <c r="P287" s="67">
        <f>ROUND(IF(O287&lt;J287,O287,0),4)</f>
        <v>0</v>
      </c>
      <c r="Q287" s="67">
        <f>ROUND(IF(J287&gt;O287,0,J287),4)</f>
        <v>0</v>
      </c>
      <c r="R287" s="67">
        <f>ROUND(+P287*D287,4)</f>
        <v>0</v>
      </c>
      <c r="S287" s="67">
        <f>ROUND(IF(K287=0,0,M287*D287),4)</f>
        <v>0</v>
      </c>
      <c r="T287" s="67">
        <f>ROUND(+IF(K287=0,Q287*D287,0),4)</f>
        <v>0</v>
      </c>
      <c r="U287" s="67">
        <f>ROUND(+N287+R287+S287+T287,4)</f>
        <v>0</v>
      </c>
      <c r="V287" s="67">
        <f>ROUND(IF(P287=0,0,I287-H287-O287)+IF(L287=0,0,I287-H287-K287),4)</f>
        <v>0</v>
      </c>
      <c r="W287" s="67">
        <f>ROUND(+(V287*60%)*D287,4)</f>
        <v>0</v>
      </c>
      <c r="X287" s="148">
        <f>ROUND(+U287+W287,4)</f>
        <v>0</v>
      </c>
      <c r="Y287" s="68"/>
      <c r="Z287" s="148">
        <f>ROUND(IF(X287&gt;I287,X287,I287),4)</f>
        <v>0</v>
      </c>
    </row>
    <row r="288" spans="1:26" x14ac:dyDescent="0.2">
      <c r="A288" s="66"/>
      <c r="B288" s="66"/>
      <c r="C288" s="66"/>
      <c r="D288" s="144"/>
      <c r="E288" s="67"/>
      <c r="F288" s="67"/>
      <c r="G288" s="67"/>
      <c r="H288" s="67">
        <f>ROUND(+E288+G288,4)</f>
        <v>0</v>
      </c>
      <c r="I288" s="67"/>
      <c r="J288" s="67">
        <f>ROUND(+I288-H288,4)</f>
        <v>0</v>
      </c>
      <c r="K288" s="67">
        <f>ROUND(IF(F288="alluminio",0,I288*1.5%),4)</f>
        <v>0</v>
      </c>
      <c r="L288" s="67">
        <f>ROUND(IF(K288&lt;J288,K288,0),4)</f>
        <v>0</v>
      </c>
      <c r="M288" s="67">
        <f>ROUND(IF(J288&gt;K288,0,J288),4)</f>
        <v>0</v>
      </c>
      <c r="N288" s="67">
        <f>ROUND(+L288*D288,4)</f>
        <v>0</v>
      </c>
      <c r="O288" s="67">
        <f>ROUND(IF(F288="rame",0,+I288*3%),4)</f>
        <v>0</v>
      </c>
      <c r="P288" s="67">
        <f>ROUND(IF(O288&lt;J288,O288,0),4)</f>
        <v>0</v>
      </c>
      <c r="Q288" s="67">
        <f>ROUND(IF(J288&gt;O288,0,J288),4)</f>
        <v>0</v>
      </c>
      <c r="R288" s="67">
        <f>ROUND(+P288*D288,4)</f>
        <v>0</v>
      </c>
      <c r="S288" s="67">
        <f>ROUND(IF(K288=0,0,M288*D288),4)</f>
        <v>0</v>
      </c>
      <c r="T288" s="67">
        <f>ROUND(+IF(K288=0,Q288*D288,0),4)</f>
        <v>0</v>
      </c>
      <c r="U288" s="67">
        <f>ROUND(+N288+R288+S288+T288,4)</f>
        <v>0</v>
      </c>
      <c r="V288" s="67">
        <f>ROUND(IF(P288=0,0,I288-H288-O288)+IF(L288=0,0,I288-H288-K288),4)</f>
        <v>0</v>
      </c>
      <c r="W288" s="67">
        <f>ROUND(+(V288*60%)*D288,4)</f>
        <v>0</v>
      </c>
      <c r="X288" s="148">
        <f>ROUND(+U288+W288,4)</f>
        <v>0</v>
      </c>
      <c r="Y288" s="68"/>
      <c r="Z288" s="148">
        <f>ROUND(IF(X288&gt;I288,X288,I288),4)</f>
        <v>0</v>
      </c>
    </row>
    <row r="289" spans="1:26" x14ac:dyDescent="0.2">
      <c r="A289" s="66"/>
      <c r="B289" s="66"/>
      <c r="C289" s="66"/>
      <c r="D289" s="144"/>
      <c r="E289" s="67"/>
      <c r="F289" s="67"/>
      <c r="G289" s="67"/>
      <c r="H289" s="67">
        <f>ROUND(+E289+G289,4)</f>
        <v>0</v>
      </c>
      <c r="I289" s="67"/>
      <c r="J289" s="67">
        <f>ROUND(+I289-H289,4)</f>
        <v>0</v>
      </c>
      <c r="K289" s="67">
        <f>ROUND(IF(F289="alluminio",0,I289*1.5%),4)</f>
        <v>0</v>
      </c>
      <c r="L289" s="67">
        <f>ROUND(IF(K289&lt;J289,K289,0),4)</f>
        <v>0</v>
      </c>
      <c r="M289" s="67">
        <f>ROUND(IF(J289&gt;K289,0,J289),4)</f>
        <v>0</v>
      </c>
      <c r="N289" s="67">
        <f>ROUND(+L289*D289,4)</f>
        <v>0</v>
      </c>
      <c r="O289" s="67">
        <f>ROUND(IF(F289="rame",0,+I289*3%),4)</f>
        <v>0</v>
      </c>
      <c r="P289" s="67">
        <f>ROUND(IF(O289&lt;J289,O289,0),4)</f>
        <v>0</v>
      </c>
      <c r="Q289" s="67">
        <f>ROUND(IF(J289&gt;O289,0,J289),4)</f>
        <v>0</v>
      </c>
      <c r="R289" s="67">
        <f>ROUND(+P289*D289,4)</f>
        <v>0</v>
      </c>
      <c r="S289" s="67">
        <f>ROUND(IF(K289=0,0,M289*D289),4)</f>
        <v>0</v>
      </c>
      <c r="T289" s="67">
        <f>ROUND(+IF(K289=0,Q289*D289,0),4)</f>
        <v>0</v>
      </c>
      <c r="U289" s="67">
        <f>ROUND(+N289+R289+S289+T289,4)</f>
        <v>0</v>
      </c>
      <c r="V289" s="67">
        <f>ROUND(IF(P289=0,0,I289-H289-O289)+IF(L289=0,0,I289-H289-K289),4)</f>
        <v>0</v>
      </c>
      <c r="W289" s="67">
        <f>ROUND(+(V289*60%)*D289,4)</f>
        <v>0</v>
      </c>
      <c r="X289" s="148">
        <f>ROUND(+U289+W289,4)</f>
        <v>0</v>
      </c>
      <c r="Y289" s="68"/>
      <c r="Z289" s="148">
        <f>ROUND(IF(X289&gt;I289,X289,I289),4)</f>
        <v>0</v>
      </c>
    </row>
    <row r="290" spans="1:26" x14ac:dyDescent="0.2">
      <c r="A290" s="66"/>
      <c r="B290" s="66"/>
      <c r="C290" s="66"/>
      <c r="D290" s="144"/>
      <c r="E290" s="67"/>
      <c r="F290" s="67"/>
      <c r="G290" s="67"/>
      <c r="H290" s="67">
        <f>ROUND(+E290+G290,4)</f>
        <v>0</v>
      </c>
      <c r="I290" s="67"/>
      <c r="J290" s="67">
        <f>ROUND(+I290-H290,4)</f>
        <v>0</v>
      </c>
      <c r="K290" s="67">
        <f>ROUND(IF(F290="alluminio",0,I290*1.5%),4)</f>
        <v>0</v>
      </c>
      <c r="L290" s="67">
        <f>ROUND(IF(K290&lt;J290,K290,0),4)</f>
        <v>0</v>
      </c>
      <c r="M290" s="67">
        <f>ROUND(IF(J290&gt;K290,0,J290),4)</f>
        <v>0</v>
      </c>
      <c r="N290" s="67">
        <f>ROUND(+L290*D290,4)</f>
        <v>0</v>
      </c>
      <c r="O290" s="67">
        <f>ROUND(IF(F290="rame",0,+I290*3%),4)</f>
        <v>0</v>
      </c>
      <c r="P290" s="67">
        <f>ROUND(IF(O290&lt;J290,O290,0),4)</f>
        <v>0</v>
      </c>
      <c r="Q290" s="67">
        <f>ROUND(IF(J290&gt;O290,0,J290),4)</f>
        <v>0</v>
      </c>
      <c r="R290" s="67">
        <f>ROUND(+P290*D290,4)</f>
        <v>0</v>
      </c>
      <c r="S290" s="67">
        <f>ROUND(IF(K290=0,0,M290*D290),4)</f>
        <v>0</v>
      </c>
      <c r="T290" s="67">
        <f>ROUND(+IF(K290=0,Q290*D290,0),4)</f>
        <v>0</v>
      </c>
      <c r="U290" s="67">
        <f>ROUND(+N290+R290+S290+T290,4)</f>
        <v>0</v>
      </c>
      <c r="V290" s="67">
        <f>ROUND(IF(P290=0,0,I290-H290-O290)+IF(L290=0,0,I290-H290-K290),4)</f>
        <v>0</v>
      </c>
      <c r="W290" s="67">
        <f>ROUND(+(V290*60%)*D290,4)</f>
        <v>0</v>
      </c>
      <c r="X290" s="148">
        <f>ROUND(+U290+W290,4)</f>
        <v>0</v>
      </c>
      <c r="Y290" s="68"/>
      <c r="Z290" s="148">
        <f>ROUND(IF(X290&gt;I290,X290,I290),4)</f>
        <v>0</v>
      </c>
    </row>
    <row r="291" spans="1:26" x14ac:dyDescent="0.2">
      <c r="A291" s="66"/>
      <c r="B291" s="66"/>
      <c r="C291" s="66"/>
      <c r="D291" s="144"/>
      <c r="E291" s="67"/>
      <c r="F291" s="67"/>
      <c r="G291" s="67"/>
      <c r="H291" s="67">
        <f>ROUND(+E291+G291,4)</f>
        <v>0</v>
      </c>
      <c r="I291" s="67"/>
      <c r="J291" s="67">
        <f>ROUND(+I291-H291,4)</f>
        <v>0</v>
      </c>
      <c r="K291" s="67">
        <f>ROUND(IF(F291="alluminio",0,I291*1.5%),4)</f>
        <v>0</v>
      </c>
      <c r="L291" s="67">
        <f>ROUND(IF(K291&lt;J291,K291,0),4)</f>
        <v>0</v>
      </c>
      <c r="M291" s="67">
        <f>ROUND(IF(J291&gt;K291,0,J291),4)</f>
        <v>0</v>
      </c>
      <c r="N291" s="67">
        <f>ROUND(+L291*D291,4)</f>
        <v>0</v>
      </c>
      <c r="O291" s="67">
        <f>ROUND(IF(F291="rame",0,+I291*3%),4)</f>
        <v>0</v>
      </c>
      <c r="P291" s="67">
        <f>ROUND(IF(O291&lt;J291,O291,0),4)</f>
        <v>0</v>
      </c>
      <c r="Q291" s="67">
        <f>ROUND(IF(J291&gt;O291,0,J291),4)</f>
        <v>0</v>
      </c>
      <c r="R291" s="67">
        <f>ROUND(+P291*D291,4)</f>
        <v>0</v>
      </c>
      <c r="S291" s="67">
        <f>ROUND(IF(K291=0,0,M291*D291),4)</f>
        <v>0</v>
      </c>
      <c r="T291" s="67">
        <f>ROUND(+IF(K291=0,Q291*D291,0),4)</f>
        <v>0</v>
      </c>
      <c r="U291" s="67">
        <f>ROUND(+N291+R291+S291+T291,4)</f>
        <v>0</v>
      </c>
      <c r="V291" s="67">
        <f>ROUND(IF(P291=0,0,I291-H291-O291)+IF(L291=0,0,I291-H291-K291),4)</f>
        <v>0</v>
      </c>
      <c r="W291" s="67">
        <f>ROUND(+(V291*60%)*D291,4)</f>
        <v>0</v>
      </c>
      <c r="X291" s="148">
        <f>ROUND(+U291+W291,4)</f>
        <v>0</v>
      </c>
      <c r="Y291" s="68"/>
      <c r="Z291" s="148">
        <f>ROUND(IF(X291&gt;I291,X291,I291),4)</f>
        <v>0</v>
      </c>
    </row>
    <row r="292" spans="1:26" x14ac:dyDescent="0.2">
      <c r="A292" s="66"/>
      <c r="B292" s="66"/>
      <c r="C292" s="66"/>
      <c r="D292" s="144"/>
      <c r="E292" s="67"/>
      <c r="F292" s="67"/>
      <c r="G292" s="67"/>
      <c r="H292" s="67">
        <f>ROUND(+E292+G292,4)</f>
        <v>0</v>
      </c>
      <c r="I292" s="67"/>
      <c r="J292" s="67">
        <f>ROUND(+I292-H292,4)</f>
        <v>0</v>
      </c>
      <c r="K292" s="67">
        <f>ROUND(IF(F292="alluminio",0,I292*1.5%),4)</f>
        <v>0</v>
      </c>
      <c r="L292" s="67">
        <f>ROUND(IF(K292&lt;J292,K292,0),4)</f>
        <v>0</v>
      </c>
      <c r="M292" s="67">
        <f>ROUND(IF(J292&gt;K292,0,J292),4)</f>
        <v>0</v>
      </c>
      <c r="N292" s="67">
        <f>ROUND(+L292*D292,4)</f>
        <v>0</v>
      </c>
      <c r="O292" s="67">
        <f>ROUND(IF(F292="rame",0,+I292*3%),4)</f>
        <v>0</v>
      </c>
      <c r="P292" s="67">
        <f>ROUND(IF(O292&lt;J292,O292,0),4)</f>
        <v>0</v>
      </c>
      <c r="Q292" s="67">
        <f>ROUND(IF(J292&gt;O292,0,J292),4)</f>
        <v>0</v>
      </c>
      <c r="R292" s="67">
        <f>ROUND(+P292*D292,4)</f>
        <v>0</v>
      </c>
      <c r="S292" s="67">
        <f>ROUND(IF(K292=0,0,M292*D292),4)</f>
        <v>0</v>
      </c>
      <c r="T292" s="67">
        <f>ROUND(+IF(K292=0,Q292*D292,0),4)</f>
        <v>0</v>
      </c>
      <c r="U292" s="67">
        <f>ROUND(+N292+R292+S292+T292,4)</f>
        <v>0</v>
      </c>
      <c r="V292" s="67">
        <f>ROUND(IF(P292=0,0,I292-H292-O292)+IF(L292=0,0,I292-H292-K292),4)</f>
        <v>0</v>
      </c>
      <c r="W292" s="67">
        <f>ROUND(+(V292*60%)*D292,4)</f>
        <v>0</v>
      </c>
      <c r="X292" s="148">
        <f>ROUND(+U292+W292,4)</f>
        <v>0</v>
      </c>
      <c r="Y292" s="68"/>
      <c r="Z292" s="148">
        <f>ROUND(IF(X292&gt;I292,X292,I292),4)</f>
        <v>0</v>
      </c>
    </row>
    <row r="293" spans="1:26" x14ac:dyDescent="0.2">
      <c r="A293" s="66"/>
      <c r="B293" s="66"/>
      <c r="C293" s="66"/>
      <c r="D293" s="144"/>
      <c r="E293" s="67"/>
      <c r="F293" s="67"/>
      <c r="G293" s="67"/>
      <c r="H293" s="67">
        <f>ROUND(+E293+G293,4)</f>
        <v>0</v>
      </c>
      <c r="I293" s="67"/>
      <c r="J293" s="67">
        <f>ROUND(+I293-H293,4)</f>
        <v>0</v>
      </c>
      <c r="K293" s="67">
        <f>ROUND(IF(F293="alluminio",0,I293*1.5%),4)</f>
        <v>0</v>
      </c>
      <c r="L293" s="67">
        <f>ROUND(IF(K293&lt;J293,K293,0),4)</f>
        <v>0</v>
      </c>
      <c r="M293" s="67">
        <f>ROUND(IF(J293&gt;K293,0,J293),4)</f>
        <v>0</v>
      </c>
      <c r="N293" s="67">
        <f>ROUND(+L293*D293,4)</f>
        <v>0</v>
      </c>
      <c r="O293" s="67">
        <f>ROUND(IF(F293="rame",0,+I293*3%),4)</f>
        <v>0</v>
      </c>
      <c r="P293" s="67">
        <f>ROUND(IF(O293&lt;J293,O293,0),4)</f>
        <v>0</v>
      </c>
      <c r="Q293" s="67">
        <f>ROUND(IF(J293&gt;O293,0,J293),4)</f>
        <v>0</v>
      </c>
      <c r="R293" s="67">
        <f>ROUND(+P293*D293,4)</f>
        <v>0</v>
      </c>
      <c r="S293" s="67">
        <f>ROUND(IF(K293=0,0,M293*D293),4)</f>
        <v>0</v>
      </c>
      <c r="T293" s="67">
        <f>ROUND(+IF(K293=0,Q293*D293,0),4)</f>
        <v>0</v>
      </c>
      <c r="U293" s="67">
        <f>ROUND(+N293+R293+S293+T293,4)</f>
        <v>0</v>
      </c>
      <c r="V293" s="67">
        <f>ROUND(IF(P293=0,0,I293-H293-O293)+IF(L293=0,0,I293-H293-K293),4)</f>
        <v>0</v>
      </c>
      <c r="W293" s="67">
        <f>ROUND(+(V293*60%)*D293,4)</f>
        <v>0</v>
      </c>
      <c r="X293" s="148">
        <f>ROUND(+U293+W293,4)</f>
        <v>0</v>
      </c>
      <c r="Y293" s="68"/>
      <c r="Z293" s="148">
        <f>ROUND(IF(X293&gt;I293,X293,I293),4)</f>
        <v>0</v>
      </c>
    </row>
    <row r="294" spans="1:26" x14ac:dyDescent="0.2">
      <c r="A294" s="66"/>
      <c r="B294" s="66"/>
      <c r="C294" s="66"/>
      <c r="D294" s="144"/>
      <c r="E294" s="67"/>
      <c r="F294" s="67"/>
      <c r="G294" s="67"/>
      <c r="H294" s="67">
        <f>ROUND(+E294+G294,4)</f>
        <v>0</v>
      </c>
      <c r="I294" s="67"/>
      <c r="J294" s="67">
        <f>ROUND(+I294-H294,4)</f>
        <v>0</v>
      </c>
      <c r="K294" s="67">
        <f>ROUND(IF(F294="alluminio",0,I294*1.5%),4)</f>
        <v>0</v>
      </c>
      <c r="L294" s="67">
        <f>ROUND(IF(K294&lt;J294,K294,0),4)</f>
        <v>0</v>
      </c>
      <c r="M294" s="67">
        <f>ROUND(IF(J294&gt;K294,0,J294),4)</f>
        <v>0</v>
      </c>
      <c r="N294" s="67">
        <f>ROUND(+L294*D294,4)</f>
        <v>0</v>
      </c>
      <c r="O294" s="67">
        <f>ROUND(IF(F294="rame",0,+I294*3%),4)</f>
        <v>0</v>
      </c>
      <c r="P294" s="67">
        <f>ROUND(IF(O294&lt;J294,O294,0),4)</f>
        <v>0</v>
      </c>
      <c r="Q294" s="67">
        <f>ROUND(IF(J294&gt;O294,0,J294),4)</f>
        <v>0</v>
      </c>
      <c r="R294" s="67">
        <f>ROUND(+P294*D294,4)</f>
        <v>0</v>
      </c>
      <c r="S294" s="67">
        <f>ROUND(IF(K294=0,0,M294*D294),4)</f>
        <v>0</v>
      </c>
      <c r="T294" s="67">
        <f>ROUND(+IF(K294=0,Q294*D294,0),4)</f>
        <v>0</v>
      </c>
      <c r="U294" s="67">
        <f>ROUND(+N294+R294+S294+T294,4)</f>
        <v>0</v>
      </c>
      <c r="V294" s="67">
        <f>ROUND(IF(P294=0,0,I294-H294-O294)+IF(L294=0,0,I294-H294-K294),4)</f>
        <v>0</v>
      </c>
      <c r="W294" s="67">
        <f>ROUND(+(V294*60%)*D294,4)</f>
        <v>0</v>
      </c>
      <c r="X294" s="148">
        <f>ROUND(+U294+W294,4)</f>
        <v>0</v>
      </c>
      <c r="Y294" s="68"/>
      <c r="Z294" s="148">
        <f>ROUND(IF(X294&gt;I294,X294,I294),4)</f>
        <v>0</v>
      </c>
    </row>
    <row r="295" spans="1:26" x14ac:dyDescent="0.2">
      <c r="A295" s="66"/>
      <c r="B295" s="66"/>
      <c r="C295" s="66"/>
      <c r="D295" s="144"/>
      <c r="E295" s="67"/>
      <c r="F295" s="67"/>
      <c r="G295" s="67"/>
      <c r="H295" s="67">
        <f>ROUND(+E295+G295,4)</f>
        <v>0</v>
      </c>
      <c r="I295" s="67"/>
      <c r="J295" s="67">
        <f>ROUND(+I295-H295,4)</f>
        <v>0</v>
      </c>
      <c r="K295" s="67">
        <f>ROUND(IF(F295="alluminio",0,I295*1.5%),4)</f>
        <v>0</v>
      </c>
      <c r="L295" s="67">
        <f>ROUND(IF(K295&lt;J295,K295,0),4)</f>
        <v>0</v>
      </c>
      <c r="M295" s="67">
        <f>ROUND(IF(J295&gt;K295,0,J295),4)</f>
        <v>0</v>
      </c>
      <c r="N295" s="67">
        <f>ROUND(+L295*D295,4)</f>
        <v>0</v>
      </c>
      <c r="O295" s="67">
        <f>ROUND(IF(F295="rame",0,+I295*3%),4)</f>
        <v>0</v>
      </c>
      <c r="P295" s="67">
        <f>ROUND(IF(O295&lt;J295,O295,0),4)</f>
        <v>0</v>
      </c>
      <c r="Q295" s="67">
        <f>ROUND(IF(J295&gt;O295,0,J295),4)</f>
        <v>0</v>
      </c>
      <c r="R295" s="67">
        <f>ROUND(+P295*D295,4)</f>
        <v>0</v>
      </c>
      <c r="S295" s="67">
        <f>ROUND(IF(K295=0,0,M295*D295),4)</f>
        <v>0</v>
      </c>
      <c r="T295" s="67">
        <f>ROUND(+IF(K295=0,Q295*D295,0),4)</f>
        <v>0</v>
      </c>
      <c r="U295" s="67">
        <f>ROUND(+N295+R295+S295+T295,4)</f>
        <v>0</v>
      </c>
      <c r="V295" s="67">
        <f>ROUND(IF(P295=0,0,I295-H295-O295)+IF(L295=0,0,I295-H295-K295),4)</f>
        <v>0</v>
      </c>
      <c r="W295" s="67">
        <f>ROUND(+(V295*60%)*D295,4)</f>
        <v>0</v>
      </c>
      <c r="X295" s="148">
        <f>ROUND(+U295+W295,4)</f>
        <v>0</v>
      </c>
      <c r="Y295" s="68"/>
      <c r="Z295" s="148">
        <f>ROUND(IF(X295&gt;I295,X295,I295),4)</f>
        <v>0</v>
      </c>
    </row>
    <row r="296" spans="1:26" x14ac:dyDescent="0.2">
      <c r="A296" s="66"/>
      <c r="B296" s="66"/>
      <c r="C296" s="66"/>
      <c r="D296" s="144"/>
      <c r="E296" s="67"/>
      <c r="F296" s="67"/>
      <c r="G296" s="67"/>
      <c r="H296" s="67">
        <f>ROUND(+E296+G296,4)</f>
        <v>0</v>
      </c>
      <c r="I296" s="67"/>
      <c r="J296" s="67">
        <f>ROUND(+I296-H296,4)</f>
        <v>0</v>
      </c>
      <c r="K296" s="67">
        <f>ROUND(IF(F296="alluminio",0,I296*1.5%),4)</f>
        <v>0</v>
      </c>
      <c r="L296" s="67">
        <f>ROUND(IF(K296&lt;J296,K296,0),4)</f>
        <v>0</v>
      </c>
      <c r="M296" s="67">
        <f>ROUND(IF(J296&gt;K296,0,J296),4)</f>
        <v>0</v>
      </c>
      <c r="N296" s="67">
        <f>ROUND(+L296*D296,4)</f>
        <v>0</v>
      </c>
      <c r="O296" s="67">
        <f>ROUND(IF(F296="rame",0,+I296*3%),4)</f>
        <v>0</v>
      </c>
      <c r="P296" s="67">
        <f>ROUND(IF(O296&lt;J296,O296,0),4)</f>
        <v>0</v>
      </c>
      <c r="Q296" s="67">
        <f>ROUND(IF(J296&gt;O296,0,J296),4)</f>
        <v>0</v>
      </c>
      <c r="R296" s="67">
        <f>ROUND(+P296*D296,4)</f>
        <v>0</v>
      </c>
      <c r="S296" s="67">
        <f>ROUND(IF(K296=0,0,M296*D296),4)</f>
        <v>0</v>
      </c>
      <c r="T296" s="67">
        <f>ROUND(+IF(K296=0,Q296*D296,0),4)</f>
        <v>0</v>
      </c>
      <c r="U296" s="67">
        <f>ROUND(+N296+R296+S296+T296,4)</f>
        <v>0</v>
      </c>
      <c r="V296" s="67">
        <f>ROUND(IF(P296=0,0,I296-H296-O296)+IF(L296=0,0,I296-H296-K296),4)</f>
        <v>0</v>
      </c>
      <c r="W296" s="67">
        <f>ROUND(+(V296*60%)*D296,4)</f>
        <v>0</v>
      </c>
      <c r="X296" s="148">
        <f>ROUND(+U296+W296,4)</f>
        <v>0</v>
      </c>
      <c r="Y296" s="68"/>
      <c r="Z296" s="148">
        <f>ROUND(IF(X296&gt;I296,X296,I296),4)</f>
        <v>0</v>
      </c>
    </row>
    <row r="297" spans="1:26" x14ac:dyDescent="0.2">
      <c r="A297" s="66"/>
      <c r="B297" s="66"/>
      <c r="C297" s="66"/>
      <c r="D297" s="144"/>
      <c r="E297" s="67"/>
      <c r="F297" s="67"/>
      <c r="G297" s="67"/>
      <c r="H297" s="67">
        <f>ROUND(+E297+G297,4)</f>
        <v>0</v>
      </c>
      <c r="I297" s="67"/>
      <c r="J297" s="67">
        <f>ROUND(+I297-H297,4)</f>
        <v>0</v>
      </c>
      <c r="K297" s="67">
        <f>ROUND(IF(F297="alluminio",0,I297*1.5%),4)</f>
        <v>0</v>
      </c>
      <c r="L297" s="67">
        <f>ROUND(IF(K297&lt;J297,K297,0),4)</f>
        <v>0</v>
      </c>
      <c r="M297" s="67">
        <f>ROUND(IF(J297&gt;K297,0,J297),4)</f>
        <v>0</v>
      </c>
      <c r="N297" s="67">
        <f>ROUND(+L297*D297,4)</f>
        <v>0</v>
      </c>
      <c r="O297" s="67">
        <f>ROUND(IF(F297="rame",0,+I297*3%),4)</f>
        <v>0</v>
      </c>
      <c r="P297" s="67">
        <f>ROUND(IF(O297&lt;J297,O297,0),4)</f>
        <v>0</v>
      </c>
      <c r="Q297" s="67">
        <f>ROUND(IF(J297&gt;O297,0,J297),4)</f>
        <v>0</v>
      </c>
      <c r="R297" s="67">
        <f>ROUND(+P297*D297,4)</f>
        <v>0</v>
      </c>
      <c r="S297" s="67">
        <f>ROUND(IF(K297=0,0,M297*D297),4)</f>
        <v>0</v>
      </c>
      <c r="T297" s="67">
        <f>ROUND(+IF(K297=0,Q297*D297,0),4)</f>
        <v>0</v>
      </c>
      <c r="U297" s="67">
        <f>ROUND(+N297+R297+S297+T297,4)</f>
        <v>0</v>
      </c>
      <c r="V297" s="67">
        <f>ROUND(IF(P297=0,0,I297-H297-O297)+IF(L297=0,0,I297-H297-K297),4)</f>
        <v>0</v>
      </c>
      <c r="W297" s="67">
        <f>ROUND(+(V297*60%)*D297,4)</f>
        <v>0</v>
      </c>
      <c r="X297" s="148">
        <f>ROUND(+U297+W297,4)</f>
        <v>0</v>
      </c>
      <c r="Y297" s="68"/>
      <c r="Z297" s="148">
        <f>ROUND(IF(X297&gt;I297,X297,I297),4)</f>
        <v>0</v>
      </c>
    </row>
    <row r="298" spans="1:26" x14ac:dyDescent="0.2">
      <c r="A298" s="66"/>
      <c r="B298" s="66"/>
      <c r="C298" s="66"/>
      <c r="D298" s="144"/>
      <c r="E298" s="67"/>
      <c r="F298" s="67"/>
      <c r="G298" s="67"/>
      <c r="H298" s="67">
        <f>ROUND(+E298+G298,4)</f>
        <v>0</v>
      </c>
      <c r="I298" s="67"/>
      <c r="J298" s="67">
        <f>ROUND(+I298-H298,4)</f>
        <v>0</v>
      </c>
      <c r="K298" s="67">
        <f>ROUND(IF(F298="alluminio",0,I298*1.5%),4)</f>
        <v>0</v>
      </c>
      <c r="L298" s="67">
        <f>ROUND(IF(K298&lt;J298,K298,0),4)</f>
        <v>0</v>
      </c>
      <c r="M298" s="67">
        <f>ROUND(IF(J298&gt;K298,0,J298),4)</f>
        <v>0</v>
      </c>
      <c r="N298" s="67">
        <f>ROUND(+L298*D298,4)</f>
        <v>0</v>
      </c>
      <c r="O298" s="67">
        <f>ROUND(IF(F298="rame",0,+I298*3%),4)</f>
        <v>0</v>
      </c>
      <c r="P298" s="67">
        <f>ROUND(IF(O298&lt;J298,O298,0),4)</f>
        <v>0</v>
      </c>
      <c r="Q298" s="67">
        <f>ROUND(IF(J298&gt;O298,0,J298),4)</f>
        <v>0</v>
      </c>
      <c r="R298" s="67">
        <f>ROUND(+P298*D298,4)</f>
        <v>0</v>
      </c>
      <c r="S298" s="67">
        <f>ROUND(IF(K298=0,0,M298*D298),4)</f>
        <v>0</v>
      </c>
      <c r="T298" s="67">
        <f>ROUND(+IF(K298=0,Q298*D298,0),4)</f>
        <v>0</v>
      </c>
      <c r="U298" s="67">
        <f>ROUND(+N298+R298+S298+T298,4)</f>
        <v>0</v>
      </c>
      <c r="V298" s="67">
        <f>ROUND(IF(P298=0,0,I298-H298-O298)+IF(L298=0,0,I298-H298-K298),4)</f>
        <v>0</v>
      </c>
      <c r="W298" s="67">
        <f>ROUND(+(V298*60%)*D298,4)</f>
        <v>0</v>
      </c>
      <c r="X298" s="148">
        <f>ROUND(+U298+W298,4)</f>
        <v>0</v>
      </c>
      <c r="Y298" s="68"/>
      <c r="Z298" s="148">
        <f>ROUND(IF(X298&gt;I298,X298,I298),4)</f>
        <v>0</v>
      </c>
    </row>
    <row r="299" spans="1:26" x14ac:dyDescent="0.2">
      <c r="A299" s="66"/>
      <c r="B299" s="66"/>
      <c r="C299" s="66"/>
      <c r="D299" s="144"/>
      <c r="E299" s="67"/>
      <c r="F299" s="67"/>
      <c r="G299" s="67"/>
      <c r="H299" s="67">
        <f>ROUND(+E299+G299,4)</f>
        <v>0</v>
      </c>
      <c r="I299" s="67"/>
      <c r="J299" s="67">
        <f>ROUND(+I299-H299,4)</f>
        <v>0</v>
      </c>
      <c r="K299" s="67">
        <f>ROUND(IF(F299="alluminio",0,I299*1.5%),4)</f>
        <v>0</v>
      </c>
      <c r="L299" s="67">
        <f>ROUND(IF(K299&lt;J299,K299,0),4)</f>
        <v>0</v>
      </c>
      <c r="M299" s="67">
        <f>ROUND(IF(J299&gt;K299,0,J299),4)</f>
        <v>0</v>
      </c>
      <c r="N299" s="67">
        <f>ROUND(+L299*D299,4)</f>
        <v>0</v>
      </c>
      <c r="O299" s="67">
        <f>ROUND(IF(F299="rame",0,+I299*3%),4)</f>
        <v>0</v>
      </c>
      <c r="P299" s="67">
        <f>ROUND(IF(O299&lt;J299,O299,0),4)</f>
        <v>0</v>
      </c>
      <c r="Q299" s="67">
        <f>ROUND(IF(J299&gt;O299,0,J299),4)</f>
        <v>0</v>
      </c>
      <c r="R299" s="67">
        <f>ROUND(+P299*D299,4)</f>
        <v>0</v>
      </c>
      <c r="S299" s="67">
        <f>ROUND(IF(K299=0,0,M299*D299),4)</f>
        <v>0</v>
      </c>
      <c r="T299" s="67">
        <f>ROUND(+IF(K299=0,Q299*D299,0),4)</f>
        <v>0</v>
      </c>
      <c r="U299" s="67">
        <f>ROUND(+N299+R299+S299+T299,4)</f>
        <v>0</v>
      </c>
      <c r="V299" s="67">
        <f>ROUND(IF(P299=0,0,I299-H299-O299)+IF(L299=0,0,I299-H299-K299),4)</f>
        <v>0</v>
      </c>
      <c r="W299" s="67">
        <f>ROUND(+(V299*60%)*D299,4)</f>
        <v>0</v>
      </c>
      <c r="X299" s="148">
        <f>ROUND(+U299+W299,4)</f>
        <v>0</v>
      </c>
      <c r="Y299" s="68"/>
      <c r="Z299" s="148">
        <f>ROUND(IF(X299&gt;I299,X299,I299),4)</f>
        <v>0</v>
      </c>
    </row>
    <row r="300" spans="1:26" x14ac:dyDescent="0.2">
      <c r="A300" s="66"/>
      <c r="B300" s="66"/>
      <c r="C300" s="66"/>
      <c r="D300" s="144"/>
      <c r="E300" s="67"/>
      <c r="F300" s="67"/>
      <c r="G300" s="67"/>
      <c r="H300" s="67">
        <f>ROUND(+E300+G300,4)</f>
        <v>0</v>
      </c>
      <c r="I300" s="67"/>
      <c r="J300" s="67">
        <f>ROUND(+I300-H300,4)</f>
        <v>0</v>
      </c>
      <c r="K300" s="67">
        <f>ROUND(IF(F300="alluminio",0,I300*1.5%),4)</f>
        <v>0</v>
      </c>
      <c r="L300" s="67">
        <f>ROUND(IF(K300&lt;J300,K300,0),4)</f>
        <v>0</v>
      </c>
      <c r="M300" s="67">
        <f>ROUND(IF(J300&gt;K300,0,J300),4)</f>
        <v>0</v>
      </c>
      <c r="N300" s="67">
        <f>ROUND(+L300*D300,4)</f>
        <v>0</v>
      </c>
      <c r="O300" s="67">
        <f>ROUND(IF(F300="rame",0,+I300*3%),4)</f>
        <v>0</v>
      </c>
      <c r="P300" s="67">
        <f>ROUND(IF(O300&lt;J300,O300,0),4)</f>
        <v>0</v>
      </c>
      <c r="Q300" s="67">
        <f>ROUND(IF(J300&gt;O300,0,J300),4)</f>
        <v>0</v>
      </c>
      <c r="R300" s="67">
        <f>ROUND(+P300*D300,4)</f>
        <v>0</v>
      </c>
      <c r="S300" s="67">
        <f>ROUND(IF(K300=0,0,M300*D300),4)</f>
        <v>0</v>
      </c>
      <c r="T300" s="67">
        <f>ROUND(+IF(K300=0,Q300*D300,0),4)</f>
        <v>0</v>
      </c>
      <c r="U300" s="67">
        <f>ROUND(+N300+R300+S300+T300,4)</f>
        <v>0</v>
      </c>
      <c r="V300" s="67">
        <f>ROUND(IF(P300=0,0,I300-H300-O300)+IF(L300=0,0,I300-H300-K300),4)</f>
        <v>0</v>
      </c>
      <c r="W300" s="67">
        <f>ROUND(+(V300*60%)*D300,4)</f>
        <v>0</v>
      </c>
      <c r="X300" s="148">
        <f>ROUND(+U300+W300,4)</f>
        <v>0</v>
      </c>
      <c r="Y300" s="68"/>
      <c r="Z300" s="148">
        <f>ROUND(IF(X300&gt;I300,X300,I300),4)</f>
        <v>0</v>
      </c>
    </row>
    <row r="301" spans="1:26" x14ac:dyDescent="0.2">
      <c r="A301" s="66"/>
      <c r="B301" s="66"/>
      <c r="C301" s="66"/>
      <c r="D301" s="144"/>
      <c r="E301" s="67"/>
      <c r="F301" s="67"/>
      <c r="G301" s="67"/>
      <c r="H301" s="67">
        <f>ROUND(+E301+G301,4)</f>
        <v>0</v>
      </c>
      <c r="I301" s="67"/>
      <c r="J301" s="67">
        <f>ROUND(+I301-H301,4)</f>
        <v>0</v>
      </c>
      <c r="K301" s="67">
        <f>ROUND(IF(F301="alluminio",0,I301*1.5%),4)</f>
        <v>0</v>
      </c>
      <c r="L301" s="67">
        <f>ROUND(IF(K301&lt;J301,K301,0),4)</f>
        <v>0</v>
      </c>
      <c r="M301" s="67">
        <f>ROUND(IF(J301&gt;K301,0,J301),4)</f>
        <v>0</v>
      </c>
      <c r="N301" s="67">
        <f>ROUND(+L301*D301,4)</f>
        <v>0</v>
      </c>
      <c r="O301" s="67">
        <f>ROUND(IF(F301="rame",0,+I301*3%),4)</f>
        <v>0</v>
      </c>
      <c r="P301" s="67">
        <f>ROUND(IF(O301&lt;J301,O301,0),4)</f>
        <v>0</v>
      </c>
      <c r="Q301" s="67">
        <f>ROUND(IF(J301&gt;O301,0,J301),4)</f>
        <v>0</v>
      </c>
      <c r="R301" s="67">
        <f>ROUND(+P301*D301,4)</f>
        <v>0</v>
      </c>
      <c r="S301" s="67">
        <f>ROUND(IF(K301=0,0,M301*D301),4)</f>
        <v>0</v>
      </c>
      <c r="T301" s="67">
        <f>ROUND(+IF(K301=0,Q301*D301,0),4)</f>
        <v>0</v>
      </c>
      <c r="U301" s="67">
        <f>ROUND(+N301+R301+S301+T301,4)</f>
        <v>0</v>
      </c>
      <c r="V301" s="67">
        <f>ROUND(IF(P301=0,0,I301-H301-O301)+IF(L301=0,0,I301-H301-K301),4)</f>
        <v>0</v>
      </c>
      <c r="W301" s="67">
        <f>ROUND(+(V301*60%)*D301,4)</f>
        <v>0</v>
      </c>
      <c r="X301" s="148">
        <f>ROUND(+U301+W301,4)</f>
        <v>0</v>
      </c>
      <c r="Y301" s="68"/>
      <c r="Z301" s="148">
        <f>ROUND(IF(X301&gt;I301,X301,I301),4)</f>
        <v>0</v>
      </c>
    </row>
    <row r="302" spans="1:26" x14ac:dyDescent="0.2">
      <c r="A302" s="66"/>
      <c r="B302" s="66"/>
      <c r="C302" s="66"/>
      <c r="D302" s="144"/>
      <c r="E302" s="67"/>
      <c r="F302" s="67"/>
      <c r="G302" s="67"/>
      <c r="H302" s="67">
        <f>ROUND(+E302+G302,4)</f>
        <v>0</v>
      </c>
      <c r="I302" s="67"/>
      <c r="J302" s="67">
        <f>ROUND(+I302-H302,4)</f>
        <v>0</v>
      </c>
      <c r="K302" s="67">
        <f>ROUND(IF(F302="alluminio",0,I302*1.5%),4)</f>
        <v>0</v>
      </c>
      <c r="L302" s="67">
        <f>ROUND(IF(K302&lt;J302,K302,0),4)</f>
        <v>0</v>
      </c>
      <c r="M302" s="67">
        <f>ROUND(IF(J302&gt;K302,0,J302),4)</f>
        <v>0</v>
      </c>
      <c r="N302" s="67">
        <f>ROUND(+L302*D302,4)</f>
        <v>0</v>
      </c>
      <c r="O302" s="67">
        <f>ROUND(IF(F302="rame",0,+I302*3%),4)</f>
        <v>0</v>
      </c>
      <c r="P302" s="67">
        <f>ROUND(IF(O302&lt;J302,O302,0),4)</f>
        <v>0</v>
      </c>
      <c r="Q302" s="67">
        <f>ROUND(IF(J302&gt;O302,0,J302),4)</f>
        <v>0</v>
      </c>
      <c r="R302" s="67">
        <f>ROUND(+P302*D302,4)</f>
        <v>0</v>
      </c>
      <c r="S302" s="67">
        <f>ROUND(IF(K302=0,0,M302*D302),4)</f>
        <v>0</v>
      </c>
      <c r="T302" s="67">
        <f>ROUND(+IF(K302=0,Q302*D302,0),4)</f>
        <v>0</v>
      </c>
      <c r="U302" s="67">
        <f>ROUND(+N302+R302+S302+T302,4)</f>
        <v>0</v>
      </c>
      <c r="V302" s="67">
        <f>ROUND(IF(P302=0,0,I302-H302-O302)+IF(L302=0,0,I302-H302-K302),4)</f>
        <v>0</v>
      </c>
      <c r="W302" s="67">
        <f>ROUND(+(V302*60%)*D302,4)</f>
        <v>0</v>
      </c>
      <c r="X302" s="148">
        <f>ROUND(+U302+W302,4)</f>
        <v>0</v>
      </c>
      <c r="Y302" s="68"/>
      <c r="Z302" s="148">
        <f>ROUND(IF(X302&gt;I302,X302,I302),4)</f>
        <v>0</v>
      </c>
    </row>
    <row r="303" spans="1:26" x14ac:dyDescent="0.2">
      <c r="A303" s="66"/>
      <c r="B303" s="66"/>
      <c r="C303" s="66"/>
      <c r="D303" s="144"/>
      <c r="E303" s="67"/>
      <c r="F303" s="67"/>
      <c r="G303" s="67"/>
      <c r="H303" s="67">
        <f>ROUND(+E303+G303,4)</f>
        <v>0</v>
      </c>
      <c r="I303" s="67"/>
      <c r="J303" s="67">
        <f>ROUND(+I303-H303,4)</f>
        <v>0</v>
      </c>
      <c r="K303" s="67">
        <f>ROUND(IF(F303="alluminio",0,I303*1.5%),4)</f>
        <v>0</v>
      </c>
      <c r="L303" s="67">
        <f>ROUND(IF(K303&lt;J303,K303,0),4)</f>
        <v>0</v>
      </c>
      <c r="M303" s="67">
        <f>ROUND(IF(J303&gt;K303,0,J303),4)</f>
        <v>0</v>
      </c>
      <c r="N303" s="67">
        <f>ROUND(+L303*D303,4)</f>
        <v>0</v>
      </c>
      <c r="O303" s="67">
        <f>ROUND(IF(F303="rame",0,+I303*3%),4)</f>
        <v>0</v>
      </c>
      <c r="P303" s="67">
        <f>ROUND(IF(O303&lt;J303,O303,0),4)</f>
        <v>0</v>
      </c>
      <c r="Q303" s="67">
        <f>ROUND(IF(J303&gt;O303,0,J303),4)</f>
        <v>0</v>
      </c>
      <c r="R303" s="67">
        <f>ROUND(+P303*D303,4)</f>
        <v>0</v>
      </c>
      <c r="S303" s="67">
        <f>ROUND(IF(K303=0,0,M303*D303),4)</f>
        <v>0</v>
      </c>
      <c r="T303" s="67">
        <f>ROUND(+IF(K303=0,Q303*D303,0),4)</f>
        <v>0</v>
      </c>
      <c r="U303" s="67">
        <f>ROUND(+N303+R303+S303+T303,4)</f>
        <v>0</v>
      </c>
      <c r="V303" s="67">
        <f>ROUND(IF(P303=0,0,I303-H303-O303)+IF(L303=0,0,I303-H303-K303),4)</f>
        <v>0</v>
      </c>
      <c r="W303" s="67">
        <f>ROUND(+(V303*60%)*D303,4)</f>
        <v>0</v>
      </c>
      <c r="X303" s="148">
        <f>ROUND(+U303+W303,4)</f>
        <v>0</v>
      </c>
      <c r="Y303" s="68"/>
      <c r="Z303" s="148">
        <f>ROUND(IF(X303&gt;I303,X303,I303),4)</f>
        <v>0</v>
      </c>
    </row>
    <row r="304" spans="1:26" x14ac:dyDescent="0.2">
      <c r="A304" s="66"/>
      <c r="B304" s="66"/>
      <c r="C304" s="66"/>
      <c r="D304" s="144"/>
      <c r="E304" s="67"/>
      <c r="F304" s="67"/>
      <c r="G304" s="67"/>
      <c r="H304" s="67">
        <f>ROUND(+E304+G304,4)</f>
        <v>0</v>
      </c>
      <c r="I304" s="67"/>
      <c r="J304" s="67">
        <f>ROUND(+I304-H304,4)</f>
        <v>0</v>
      </c>
      <c r="K304" s="67">
        <f>ROUND(IF(F304="alluminio",0,I304*1.5%),4)</f>
        <v>0</v>
      </c>
      <c r="L304" s="67">
        <f>ROUND(IF(K304&lt;J304,K304,0),4)</f>
        <v>0</v>
      </c>
      <c r="M304" s="67">
        <f>ROUND(IF(J304&gt;K304,0,J304),4)</f>
        <v>0</v>
      </c>
      <c r="N304" s="67">
        <f>ROUND(+L304*D304,4)</f>
        <v>0</v>
      </c>
      <c r="O304" s="67">
        <f>ROUND(IF(F304="rame",0,+I304*3%),4)</f>
        <v>0</v>
      </c>
      <c r="P304" s="67">
        <f>ROUND(IF(O304&lt;J304,O304,0),4)</f>
        <v>0</v>
      </c>
      <c r="Q304" s="67">
        <f>ROUND(IF(J304&gt;O304,0,J304),4)</f>
        <v>0</v>
      </c>
      <c r="R304" s="67">
        <f>ROUND(+P304*D304,4)</f>
        <v>0</v>
      </c>
      <c r="S304" s="67">
        <f>ROUND(IF(K304=0,0,M304*D304),4)</f>
        <v>0</v>
      </c>
      <c r="T304" s="67">
        <f>ROUND(+IF(K304=0,Q304*D304,0),4)</f>
        <v>0</v>
      </c>
      <c r="U304" s="67">
        <f>ROUND(+N304+R304+S304+T304,4)</f>
        <v>0</v>
      </c>
      <c r="V304" s="67">
        <f>ROUND(IF(P304=0,0,I304-H304-O304)+IF(L304=0,0,I304-H304-K304),4)</f>
        <v>0</v>
      </c>
      <c r="W304" s="67">
        <f>ROUND(+(V304*60%)*D304,4)</f>
        <v>0</v>
      </c>
      <c r="X304" s="148">
        <f>ROUND(+U304+W304,4)</f>
        <v>0</v>
      </c>
      <c r="Y304" s="68"/>
      <c r="Z304" s="148">
        <f>ROUND(IF(X304&gt;I304,X304,I304),4)</f>
        <v>0</v>
      </c>
    </row>
    <row r="305" spans="1:26" x14ac:dyDescent="0.2">
      <c r="A305" s="66"/>
      <c r="B305" s="66"/>
      <c r="C305" s="66"/>
      <c r="D305" s="144"/>
      <c r="E305" s="67"/>
      <c r="F305" s="67"/>
      <c r="G305" s="67"/>
      <c r="H305" s="67">
        <f>ROUND(+E305+G305,4)</f>
        <v>0</v>
      </c>
      <c r="I305" s="67"/>
      <c r="J305" s="67">
        <f>ROUND(+I305-H305,4)</f>
        <v>0</v>
      </c>
      <c r="K305" s="67">
        <f>ROUND(IF(F305="alluminio",0,I305*1.5%),4)</f>
        <v>0</v>
      </c>
      <c r="L305" s="67">
        <f>ROUND(IF(K305&lt;J305,K305,0),4)</f>
        <v>0</v>
      </c>
      <c r="M305" s="67">
        <f>ROUND(IF(J305&gt;K305,0,J305),4)</f>
        <v>0</v>
      </c>
      <c r="N305" s="67">
        <f>ROUND(+L305*D305,4)</f>
        <v>0</v>
      </c>
      <c r="O305" s="67">
        <f>ROUND(IF(F305="rame",0,+I305*3%),4)</f>
        <v>0</v>
      </c>
      <c r="P305" s="67">
        <f>ROUND(IF(O305&lt;J305,O305,0),4)</f>
        <v>0</v>
      </c>
      <c r="Q305" s="67">
        <f>ROUND(IF(J305&gt;O305,0,J305),4)</f>
        <v>0</v>
      </c>
      <c r="R305" s="67">
        <f>ROUND(+P305*D305,4)</f>
        <v>0</v>
      </c>
      <c r="S305" s="67">
        <f>ROUND(IF(K305=0,0,M305*D305),4)</f>
        <v>0</v>
      </c>
      <c r="T305" s="67">
        <f>ROUND(+IF(K305=0,Q305*D305,0),4)</f>
        <v>0</v>
      </c>
      <c r="U305" s="67">
        <f>ROUND(+N305+R305+S305+T305,4)</f>
        <v>0</v>
      </c>
      <c r="V305" s="67">
        <f>ROUND(IF(P305=0,0,I305-H305-O305)+IF(L305=0,0,I305-H305-K305),4)</f>
        <v>0</v>
      </c>
      <c r="W305" s="67">
        <f>ROUND(+(V305*60%)*D305,4)</f>
        <v>0</v>
      </c>
      <c r="X305" s="148">
        <f>ROUND(+U305+W305,4)</f>
        <v>0</v>
      </c>
      <c r="Y305" s="68"/>
      <c r="Z305" s="148">
        <f>ROUND(IF(X305&gt;I305,X305,I305),4)</f>
        <v>0</v>
      </c>
    </row>
    <row r="306" spans="1:26" x14ac:dyDescent="0.2">
      <c r="A306" s="66"/>
      <c r="B306" s="66"/>
      <c r="C306" s="66"/>
      <c r="D306" s="144"/>
      <c r="E306" s="67"/>
      <c r="F306" s="67"/>
      <c r="G306" s="67"/>
      <c r="H306" s="67">
        <f>ROUND(+E306+G306,4)</f>
        <v>0</v>
      </c>
      <c r="I306" s="67"/>
      <c r="J306" s="67">
        <f>ROUND(+I306-H306,4)</f>
        <v>0</v>
      </c>
      <c r="K306" s="67">
        <f>ROUND(IF(F306="alluminio",0,I306*1.5%),4)</f>
        <v>0</v>
      </c>
      <c r="L306" s="67">
        <f>ROUND(IF(K306&lt;J306,K306,0),4)</f>
        <v>0</v>
      </c>
      <c r="M306" s="67">
        <f>ROUND(IF(J306&gt;K306,0,J306),4)</f>
        <v>0</v>
      </c>
      <c r="N306" s="67">
        <f>ROUND(+L306*D306,4)</f>
        <v>0</v>
      </c>
      <c r="O306" s="67">
        <f>ROUND(IF(F306="rame",0,+I306*3%),4)</f>
        <v>0</v>
      </c>
      <c r="P306" s="67">
        <f>ROUND(IF(O306&lt;J306,O306,0),4)</f>
        <v>0</v>
      </c>
      <c r="Q306" s="67">
        <f>ROUND(IF(J306&gt;O306,0,J306),4)</f>
        <v>0</v>
      </c>
      <c r="R306" s="67">
        <f>ROUND(+P306*D306,4)</f>
        <v>0</v>
      </c>
      <c r="S306" s="67">
        <f>ROUND(IF(K306=0,0,M306*D306),4)</f>
        <v>0</v>
      </c>
      <c r="T306" s="67">
        <f>ROUND(+IF(K306=0,Q306*D306,0),4)</f>
        <v>0</v>
      </c>
      <c r="U306" s="67">
        <f>ROUND(+N306+R306+S306+T306,4)</f>
        <v>0</v>
      </c>
      <c r="V306" s="67">
        <f>ROUND(IF(P306=0,0,I306-H306-O306)+IF(L306=0,0,I306-H306-K306),4)</f>
        <v>0</v>
      </c>
      <c r="W306" s="67">
        <f>ROUND(+(V306*60%)*D306,4)</f>
        <v>0</v>
      </c>
      <c r="X306" s="148">
        <f>ROUND(+U306+W306,4)</f>
        <v>0</v>
      </c>
      <c r="Y306" s="68"/>
      <c r="Z306" s="148">
        <f>ROUND(IF(X306&gt;I306,X306,I306),4)</f>
        <v>0</v>
      </c>
    </row>
    <row r="307" spans="1:26" x14ac:dyDescent="0.2">
      <c r="A307" s="66"/>
      <c r="B307" s="66"/>
      <c r="C307" s="66"/>
      <c r="D307" s="144"/>
      <c r="E307" s="67"/>
      <c r="F307" s="67"/>
      <c r="G307" s="67"/>
      <c r="H307" s="67">
        <f>ROUND(+E307+G307,4)</f>
        <v>0</v>
      </c>
      <c r="I307" s="67"/>
      <c r="J307" s="67">
        <f>ROUND(+I307-H307,4)</f>
        <v>0</v>
      </c>
      <c r="K307" s="67">
        <f>ROUND(IF(F307="alluminio",0,I307*1.5%),4)</f>
        <v>0</v>
      </c>
      <c r="L307" s="67">
        <f>ROUND(IF(K307&lt;J307,K307,0),4)</f>
        <v>0</v>
      </c>
      <c r="M307" s="67">
        <f>ROUND(IF(J307&gt;K307,0,J307),4)</f>
        <v>0</v>
      </c>
      <c r="N307" s="67">
        <f>ROUND(+L307*D307,4)</f>
        <v>0</v>
      </c>
      <c r="O307" s="67">
        <f>ROUND(IF(F307="rame",0,+I307*3%),4)</f>
        <v>0</v>
      </c>
      <c r="P307" s="67">
        <f>ROUND(IF(O307&lt;J307,O307,0),4)</f>
        <v>0</v>
      </c>
      <c r="Q307" s="67">
        <f>ROUND(IF(J307&gt;O307,0,J307),4)</f>
        <v>0</v>
      </c>
      <c r="R307" s="67">
        <f>ROUND(+P307*D307,4)</f>
        <v>0</v>
      </c>
      <c r="S307" s="67">
        <f>ROUND(IF(K307=0,0,M307*D307),4)</f>
        <v>0</v>
      </c>
      <c r="T307" s="67">
        <f>ROUND(+IF(K307=0,Q307*D307,0),4)</f>
        <v>0</v>
      </c>
      <c r="U307" s="67">
        <f>ROUND(+N307+R307+S307+T307,4)</f>
        <v>0</v>
      </c>
      <c r="V307" s="67">
        <f>ROUND(IF(P307=0,0,I307-H307-O307)+IF(L307=0,0,I307-H307-K307),4)</f>
        <v>0</v>
      </c>
      <c r="W307" s="67">
        <f>ROUND(+(V307*60%)*D307,4)</f>
        <v>0</v>
      </c>
      <c r="X307" s="148">
        <f>ROUND(+U307+W307,4)</f>
        <v>0</v>
      </c>
      <c r="Y307" s="68"/>
      <c r="Z307" s="148">
        <f>ROUND(IF(X307&gt;I307,X307,I307),4)</f>
        <v>0</v>
      </c>
    </row>
    <row r="308" spans="1:26" x14ac:dyDescent="0.2">
      <c r="A308" s="66"/>
      <c r="B308" s="66"/>
      <c r="C308" s="66"/>
      <c r="D308" s="144"/>
      <c r="E308" s="67"/>
      <c r="F308" s="67"/>
      <c r="G308" s="67"/>
      <c r="H308" s="67">
        <f>ROUND(+E308+G308,4)</f>
        <v>0</v>
      </c>
      <c r="I308" s="67"/>
      <c r="J308" s="67">
        <f>ROUND(+I308-H308,4)</f>
        <v>0</v>
      </c>
      <c r="K308" s="67">
        <f>ROUND(IF(F308="alluminio",0,I308*1.5%),4)</f>
        <v>0</v>
      </c>
      <c r="L308" s="67">
        <f>ROUND(IF(K308&lt;J308,K308,0),4)</f>
        <v>0</v>
      </c>
      <c r="M308" s="67">
        <f>ROUND(IF(J308&gt;K308,0,J308),4)</f>
        <v>0</v>
      </c>
      <c r="N308" s="67">
        <f>ROUND(+L308*D308,4)</f>
        <v>0</v>
      </c>
      <c r="O308" s="67">
        <f>ROUND(IF(F308="rame",0,+I308*3%),4)</f>
        <v>0</v>
      </c>
      <c r="P308" s="67">
        <f>ROUND(IF(O308&lt;J308,O308,0),4)</f>
        <v>0</v>
      </c>
      <c r="Q308" s="67">
        <f>ROUND(IF(J308&gt;O308,0,J308),4)</f>
        <v>0</v>
      </c>
      <c r="R308" s="67">
        <f>ROUND(+P308*D308,4)</f>
        <v>0</v>
      </c>
      <c r="S308" s="67">
        <f>ROUND(IF(K308=0,0,M308*D308),4)</f>
        <v>0</v>
      </c>
      <c r="T308" s="67">
        <f>ROUND(+IF(K308=0,Q308*D308,0),4)</f>
        <v>0</v>
      </c>
      <c r="U308" s="67">
        <f>ROUND(+N308+R308+S308+T308,4)</f>
        <v>0</v>
      </c>
      <c r="V308" s="67">
        <f>ROUND(IF(P308=0,0,I308-H308-O308)+IF(L308=0,0,I308-H308-K308),4)</f>
        <v>0</v>
      </c>
      <c r="W308" s="67">
        <f>ROUND(+(V308*60%)*D308,4)</f>
        <v>0</v>
      </c>
      <c r="X308" s="148">
        <f>ROUND(+U308+W308,4)</f>
        <v>0</v>
      </c>
      <c r="Y308" s="68"/>
      <c r="Z308" s="148">
        <f>ROUND(IF(X308&gt;I308,X308,I308),4)</f>
        <v>0</v>
      </c>
    </row>
    <row r="309" spans="1:26" x14ac:dyDescent="0.2">
      <c r="A309" s="66"/>
      <c r="B309" s="66"/>
      <c r="C309" s="66"/>
      <c r="D309" s="144"/>
      <c r="E309" s="67"/>
      <c r="F309" s="67"/>
      <c r="G309" s="67"/>
      <c r="H309" s="67">
        <f>ROUND(+E309+G309,4)</f>
        <v>0</v>
      </c>
      <c r="I309" s="67"/>
      <c r="J309" s="67">
        <f>ROUND(+I309-H309,4)</f>
        <v>0</v>
      </c>
      <c r="K309" s="67">
        <f>ROUND(IF(F309="alluminio",0,I309*1.5%),4)</f>
        <v>0</v>
      </c>
      <c r="L309" s="67">
        <f>ROUND(IF(K309&lt;J309,K309,0),4)</f>
        <v>0</v>
      </c>
      <c r="M309" s="67">
        <f>ROUND(IF(J309&gt;K309,0,J309),4)</f>
        <v>0</v>
      </c>
      <c r="N309" s="67">
        <f>ROUND(+L309*D309,4)</f>
        <v>0</v>
      </c>
      <c r="O309" s="67">
        <f>ROUND(IF(F309="rame",0,+I309*3%),4)</f>
        <v>0</v>
      </c>
      <c r="P309" s="67">
        <f>ROUND(IF(O309&lt;J309,O309,0),4)</f>
        <v>0</v>
      </c>
      <c r="Q309" s="67">
        <f>ROUND(IF(J309&gt;O309,0,J309),4)</f>
        <v>0</v>
      </c>
      <c r="R309" s="67">
        <f>ROUND(+P309*D309,4)</f>
        <v>0</v>
      </c>
      <c r="S309" s="67">
        <f>ROUND(IF(K309=0,0,M309*D309),4)</f>
        <v>0</v>
      </c>
      <c r="T309" s="67">
        <f>ROUND(+IF(K309=0,Q309*D309,0),4)</f>
        <v>0</v>
      </c>
      <c r="U309" s="67">
        <f>ROUND(+N309+R309+S309+T309,4)</f>
        <v>0</v>
      </c>
      <c r="V309" s="67">
        <f>ROUND(IF(P309=0,0,I309-H309-O309)+IF(L309=0,0,I309-H309-K309),4)</f>
        <v>0</v>
      </c>
      <c r="W309" s="67">
        <f>ROUND(+(V309*60%)*D309,4)</f>
        <v>0</v>
      </c>
      <c r="X309" s="148">
        <f>ROUND(+U309+W309,4)</f>
        <v>0</v>
      </c>
      <c r="Y309" s="68"/>
      <c r="Z309" s="148">
        <f>ROUND(IF(X309&gt;I309,X309,I309),4)</f>
        <v>0</v>
      </c>
    </row>
    <row r="310" spans="1:26" x14ac:dyDescent="0.2">
      <c r="A310" s="66"/>
      <c r="B310" s="66"/>
      <c r="C310" s="66"/>
      <c r="D310" s="144"/>
      <c r="E310" s="67"/>
      <c r="F310" s="67"/>
      <c r="G310" s="67"/>
      <c r="H310" s="67">
        <f>ROUND(+E310+G310,4)</f>
        <v>0</v>
      </c>
      <c r="I310" s="67"/>
      <c r="J310" s="67">
        <f>ROUND(+I310-H310,4)</f>
        <v>0</v>
      </c>
      <c r="K310" s="67">
        <f>ROUND(IF(F310="alluminio",0,I310*1.5%),4)</f>
        <v>0</v>
      </c>
      <c r="L310" s="67">
        <f>ROUND(IF(K310&lt;J310,K310,0),4)</f>
        <v>0</v>
      </c>
      <c r="M310" s="67">
        <f>ROUND(IF(J310&gt;K310,0,J310),4)</f>
        <v>0</v>
      </c>
      <c r="N310" s="67">
        <f>ROUND(+L310*D310,4)</f>
        <v>0</v>
      </c>
      <c r="O310" s="67">
        <f>ROUND(IF(F310="rame",0,+I310*3%),4)</f>
        <v>0</v>
      </c>
      <c r="P310" s="67">
        <f>ROUND(IF(O310&lt;J310,O310,0),4)</f>
        <v>0</v>
      </c>
      <c r="Q310" s="67">
        <f>ROUND(IF(J310&gt;O310,0,J310),4)</f>
        <v>0</v>
      </c>
      <c r="R310" s="67">
        <f>ROUND(+P310*D310,4)</f>
        <v>0</v>
      </c>
      <c r="S310" s="67">
        <f>ROUND(IF(K310=0,0,M310*D310),4)</f>
        <v>0</v>
      </c>
      <c r="T310" s="67">
        <f>ROUND(+IF(K310=0,Q310*D310,0),4)</f>
        <v>0</v>
      </c>
      <c r="U310" s="67">
        <f>ROUND(+N310+R310+S310+T310,4)</f>
        <v>0</v>
      </c>
      <c r="V310" s="67">
        <f>ROUND(IF(P310=0,0,I310-H310-O310)+IF(L310=0,0,I310-H310-K310),4)</f>
        <v>0</v>
      </c>
      <c r="W310" s="67">
        <f>ROUND(+(V310*60%)*D310,4)</f>
        <v>0</v>
      </c>
      <c r="X310" s="148">
        <f>ROUND(+U310+W310,4)</f>
        <v>0</v>
      </c>
      <c r="Y310" s="68"/>
      <c r="Z310" s="148">
        <f>ROUND(IF(X310&gt;I310,X310,I310),4)</f>
        <v>0</v>
      </c>
    </row>
    <row r="311" spans="1:26" x14ac:dyDescent="0.2">
      <c r="A311" s="66"/>
      <c r="B311" s="66"/>
      <c r="C311" s="66"/>
      <c r="D311" s="144"/>
      <c r="E311" s="67"/>
      <c r="F311" s="67"/>
      <c r="G311" s="67"/>
      <c r="H311" s="67">
        <f>ROUND(+E311+G311,4)</f>
        <v>0</v>
      </c>
      <c r="I311" s="67"/>
      <c r="J311" s="67">
        <f>ROUND(+I311-H311,4)</f>
        <v>0</v>
      </c>
      <c r="K311" s="67">
        <f>ROUND(IF(F311="alluminio",0,I311*1.5%),4)</f>
        <v>0</v>
      </c>
      <c r="L311" s="67">
        <f>ROUND(IF(K311&lt;J311,K311,0),4)</f>
        <v>0</v>
      </c>
      <c r="M311" s="67">
        <f>ROUND(IF(J311&gt;K311,0,J311),4)</f>
        <v>0</v>
      </c>
      <c r="N311" s="67">
        <f>ROUND(+L311*D311,4)</f>
        <v>0</v>
      </c>
      <c r="O311" s="67">
        <f>ROUND(IF(F311="rame",0,+I311*3%),4)</f>
        <v>0</v>
      </c>
      <c r="P311" s="67">
        <f>ROUND(IF(O311&lt;J311,O311,0),4)</f>
        <v>0</v>
      </c>
      <c r="Q311" s="67">
        <f>ROUND(IF(J311&gt;O311,0,J311),4)</f>
        <v>0</v>
      </c>
      <c r="R311" s="67">
        <f>ROUND(+P311*D311,4)</f>
        <v>0</v>
      </c>
      <c r="S311" s="67">
        <f>ROUND(IF(K311=0,0,M311*D311),4)</f>
        <v>0</v>
      </c>
      <c r="T311" s="67">
        <f>ROUND(+IF(K311=0,Q311*D311,0),4)</f>
        <v>0</v>
      </c>
      <c r="U311" s="67">
        <f>ROUND(+N311+R311+S311+T311,4)</f>
        <v>0</v>
      </c>
      <c r="V311" s="67">
        <f>ROUND(IF(P311=0,0,I311-H311-O311)+IF(L311=0,0,I311-H311-K311),4)</f>
        <v>0</v>
      </c>
      <c r="W311" s="67">
        <f>ROUND(+(V311*60%)*D311,4)</f>
        <v>0</v>
      </c>
      <c r="X311" s="148">
        <f>ROUND(+U311+W311,4)</f>
        <v>0</v>
      </c>
      <c r="Y311" s="68"/>
      <c r="Z311" s="148">
        <f>ROUND(IF(X311&gt;I311,X311,I311),4)</f>
        <v>0</v>
      </c>
    </row>
    <row r="312" spans="1:26" x14ac:dyDescent="0.2">
      <c r="A312" s="66"/>
      <c r="B312" s="66"/>
      <c r="C312" s="66"/>
      <c r="D312" s="144"/>
      <c r="E312" s="67"/>
      <c r="F312" s="67"/>
      <c r="G312" s="67"/>
      <c r="H312" s="67">
        <f>ROUND(+E312+G312,4)</f>
        <v>0</v>
      </c>
      <c r="I312" s="67"/>
      <c r="J312" s="67">
        <f>ROUND(+I312-H312,4)</f>
        <v>0</v>
      </c>
      <c r="K312" s="67">
        <f>ROUND(IF(F312="alluminio",0,I312*1.5%),4)</f>
        <v>0</v>
      </c>
      <c r="L312" s="67">
        <f>ROUND(IF(K312&lt;J312,K312,0),4)</f>
        <v>0</v>
      </c>
      <c r="M312" s="67">
        <f>ROUND(IF(J312&gt;K312,0,J312),4)</f>
        <v>0</v>
      </c>
      <c r="N312" s="67">
        <f>ROUND(+L312*D312,4)</f>
        <v>0</v>
      </c>
      <c r="O312" s="67">
        <f>ROUND(IF(F312="rame",0,+I312*3%),4)</f>
        <v>0</v>
      </c>
      <c r="P312" s="67">
        <f>ROUND(IF(O312&lt;J312,O312,0),4)</f>
        <v>0</v>
      </c>
      <c r="Q312" s="67">
        <f>ROUND(IF(J312&gt;O312,0,J312),4)</f>
        <v>0</v>
      </c>
      <c r="R312" s="67">
        <f>ROUND(+P312*D312,4)</f>
        <v>0</v>
      </c>
      <c r="S312" s="67">
        <f>ROUND(IF(K312=0,0,M312*D312),4)</f>
        <v>0</v>
      </c>
      <c r="T312" s="67">
        <f>ROUND(+IF(K312=0,Q312*D312,0),4)</f>
        <v>0</v>
      </c>
      <c r="U312" s="67">
        <f>ROUND(+N312+R312+S312+T312,4)</f>
        <v>0</v>
      </c>
      <c r="V312" s="67">
        <f>ROUND(IF(P312=0,0,I312-H312-O312)+IF(L312=0,0,I312-H312-K312),4)</f>
        <v>0</v>
      </c>
      <c r="W312" s="67">
        <f>ROUND(+(V312*60%)*D312,4)</f>
        <v>0</v>
      </c>
      <c r="X312" s="148">
        <f>ROUND(+U312+W312,4)</f>
        <v>0</v>
      </c>
      <c r="Y312" s="68"/>
      <c r="Z312" s="148">
        <f>ROUND(IF(X312&gt;I312,X312,I312),4)</f>
        <v>0</v>
      </c>
    </row>
    <row r="313" spans="1:26" x14ac:dyDescent="0.2">
      <c r="A313" s="66"/>
      <c r="B313" s="66"/>
      <c r="C313" s="66"/>
      <c r="D313" s="144"/>
      <c r="E313" s="67"/>
      <c r="F313" s="67"/>
      <c r="G313" s="67"/>
      <c r="H313" s="67">
        <f>ROUND(+E313+G313,4)</f>
        <v>0</v>
      </c>
      <c r="I313" s="67"/>
      <c r="J313" s="67">
        <f>ROUND(+I313-H313,4)</f>
        <v>0</v>
      </c>
      <c r="K313" s="67">
        <f>ROUND(IF(F313="alluminio",0,I313*1.5%),4)</f>
        <v>0</v>
      </c>
      <c r="L313" s="67">
        <f>ROUND(IF(K313&lt;J313,K313,0),4)</f>
        <v>0</v>
      </c>
      <c r="M313" s="67">
        <f>ROUND(IF(J313&gt;K313,0,J313),4)</f>
        <v>0</v>
      </c>
      <c r="N313" s="67">
        <f>ROUND(+L313*D313,4)</f>
        <v>0</v>
      </c>
      <c r="O313" s="67">
        <f>ROUND(IF(F313="rame",0,+I313*3%),4)</f>
        <v>0</v>
      </c>
      <c r="P313" s="67">
        <f>ROUND(IF(O313&lt;J313,O313,0),4)</f>
        <v>0</v>
      </c>
      <c r="Q313" s="67">
        <f>ROUND(IF(J313&gt;O313,0,J313),4)</f>
        <v>0</v>
      </c>
      <c r="R313" s="67">
        <f>ROUND(+P313*D313,4)</f>
        <v>0</v>
      </c>
      <c r="S313" s="67">
        <f>ROUND(IF(K313=0,0,M313*D313),4)</f>
        <v>0</v>
      </c>
      <c r="T313" s="67">
        <f>ROUND(+IF(K313=0,Q313*D313,0),4)</f>
        <v>0</v>
      </c>
      <c r="U313" s="67">
        <f>ROUND(+N313+R313+S313+T313,4)</f>
        <v>0</v>
      </c>
      <c r="V313" s="67">
        <f>ROUND(IF(P313=0,0,I313-H313-O313)+IF(L313=0,0,I313-H313-K313),4)</f>
        <v>0</v>
      </c>
      <c r="W313" s="67">
        <f>ROUND(+(V313*60%)*D313,4)</f>
        <v>0</v>
      </c>
      <c r="X313" s="148">
        <f>ROUND(+U313+W313,4)</f>
        <v>0</v>
      </c>
      <c r="Y313" s="68"/>
      <c r="Z313" s="148">
        <f>ROUND(IF(X313&gt;I313,X313,I313),4)</f>
        <v>0</v>
      </c>
    </row>
    <row r="314" spans="1:26" x14ac:dyDescent="0.2">
      <c r="A314" s="66"/>
      <c r="B314" s="66"/>
      <c r="C314" s="66"/>
      <c r="D314" s="144"/>
      <c r="E314" s="67"/>
      <c r="F314" s="67"/>
      <c r="G314" s="67"/>
      <c r="H314" s="67">
        <f>ROUND(+E314+G314,4)</f>
        <v>0</v>
      </c>
      <c r="I314" s="67"/>
      <c r="J314" s="67">
        <f>ROUND(+I314-H314,4)</f>
        <v>0</v>
      </c>
      <c r="K314" s="67">
        <f>ROUND(IF(F314="alluminio",0,I314*1.5%),4)</f>
        <v>0</v>
      </c>
      <c r="L314" s="67">
        <f>ROUND(IF(K314&lt;J314,K314,0),4)</f>
        <v>0</v>
      </c>
      <c r="M314" s="67">
        <f>ROUND(IF(J314&gt;K314,0,J314),4)</f>
        <v>0</v>
      </c>
      <c r="N314" s="67">
        <f>ROUND(+L314*D314,4)</f>
        <v>0</v>
      </c>
      <c r="O314" s="67">
        <f>ROUND(IF(F314="rame",0,+I314*3%),4)</f>
        <v>0</v>
      </c>
      <c r="P314" s="67">
        <f>ROUND(IF(O314&lt;J314,O314,0),4)</f>
        <v>0</v>
      </c>
      <c r="Q314" s="67">
        <f>ROUND(IF(J314&gt;O314,0,J314),4)</f>
        <v>0</v>
      </c>
      <c r="R314" s="67">
        <f>ROUND(+P314*D314,4)</f>
        <v>0</v>
      </c>
      <c r="S314" s="67">
        <f>ROUND(IF(K314=0,0,M314*D314),4)</f>
        <v>0</v>
      </c>
      <c r="T314" s="67">
        <f>ROUND(+IF(K314=0,Q314*D314,0),4)</f>
        <v>0</v>
      </c>
      <c r="U314" s="67">
        <f>ROUND(+N314+R314+S314+T314,4)</f>
        <v>0</v>
      </c>
      <c r="V314" s="67">
        <f>ROUND(IF(P314=0,0,I314-H314-O314)+IF(L314=0,0,I314-H314-K314),4)</f>
        <v>0</v>
      </c>
      <c r="W314" s="67">
        <f>ROUND(+(V314*60%)*D314,4)</f>
        <v>0</v>
      </c>
      <c r="X314" s="148">
        <f>ROUND(+U314+W314,4)</f>
        <v>0</v>
      </c>
      <c r="Y314" s="68"/>
      <c r="Z314" s="148">
        <f>ROUND(IF(X314&gt;I314,X314,I314),4)</f>
        <v>0</v>
      </c>
    </row>
    <row r="315" spans="1:26" x14ac:dyDescent="0.2">
      <c r="A315" s="66"/>
      <c r="B315" s="66"/>
      <c r="C315" s="66"/>
      <c r="D315" s="144"/>
      <c r="E315" s="67"/>
      <c r="F315" s="67"/>
      <c r="G315" s="67"/>
      <c r="H315" s="67">
        <f>ROUND(+E315+G315,4)</f>
        <v>0</v>
      </c>
      <c r="I315" s="67"/>
      <c r="J315" s="67">
        <f>ROUND(+I315-H315,4)</f>
        <v>0</v>
      </c>
      <c r="K315" s="67">
        <f>ROUND(IF(F315="alluminio",0,I315*1.5%),4)</f>
        <v>0</v>
      </c>
      <c r="L315" s="67">
        <f>ROUND(IF(K315&lt;J315,K315,0),4)</f>
        <v>0</v>
      </c>
      <c r="M315" s="67">
        <f>ROUND(IF(J315&gt;K315,0,J315),4)</f>
        <v>0</v>
      </c>
      <c r="N315" s="67">
        <f>ROUND(+L315*D315,4)</f>
        <v>0</v>
      </c>
      <c r="O315" s="67">
        <f>ROUND(IF(F315="rame",0,+I315*3%),4)</f>
        <v>0</v>
      </c>
      <c r="P315" s="67">
        <f>ROUND(IF(O315&lt;J315,O315,0),4)</f>
        <v>0</v>
      </c>
      <c r="Q315" s="67">
        <f>ROUND(IF(J315&gt;O315,0,J315),4)</f>
        <v>0</v>
      </c>
      <c r="R315" s="67">
        <f>ROUND(+P315*D315,4)</f>
        <v>0</v>
      </c>
      <c r="S315" s="67">
        <f>ROUND(IF(K315=0,0,M315*D315),4)</f>
        <v>0</v>
      </c>
      <c r="T315" s="67">
        <f>ROUND(+IF(K315=0,Q315*D315,0),4)</f>
        <v>0</v>
      </c>
      <c r="U315" s="67">
        <f>ROUND(+N315+R315+S315+T315,4)</f>
        <v>0</v>
      </c>
      <c r="V315" s="67">
        <f>ROUND(IF(P315=0,0,I315-H315-O315)+IF(L315=0,0,I315-H315-K315),4)</f>
        <v>0</v>
      </c>
      <c r="W315" s="67">
        <f>ROUND(+(V315*60%)*D315,4)</f>
        <v>0</v>
      </c>
      <c r="X315" s="148">
        <f>ROUND(+U315+W315,4)</f>
        <v>0</v>
      </c>
      <c r="Y315" s="68"/>
      <c r="Z315" s="148">
        <f>ROUND(IF(X315&gt;I315,X315,I315),4)</f>
        <v>0</v>
      </c>
    </row>
    <row r="316" spans="1:26" x14ac:dyDescent="0.2">
      <c r="A316" s="66"/>
      <c r="B316" s="66"/>
      <c r="C316" s="66"/>
      <c r="D316" s="144"/>
      <c r="E316" s="67"/>
      <c r="F316" s="67"/>
      <c r="G316" s="67"/>
      <c r="H316" s="67">
        <f>ROUND(+E316+G316,4)</f>
        <v>0</v>
      </c>
      <c r="I316" s="67"/>
      <c r="J316" s="67">
        <f>ROUND(+I316-H316,4)</f>
        <v>0</v>
      </c>
      <c r="K316" s="67">
        <f>ROUND(IF(F316="alluminio",0,I316*1.5%),4)</f>
        <v>0</v>
      </c>
      <c r="L316" s="67">
        <f>ROUND(IF(K316&lt;J316,K316,0),4)</f>
        <v>0</v>
      </c>
      <c r="M316" s="67">
        <f>ROUND(IF(J316&gt;K316,0,J316),4)</f>
        <v>0</v>
      </c>
      <c r="N316" s="67">
        <f>ROUND(+L316*D316,4)</f>
        <v>0</v>
      </c>
      <c r="O316" s="67">
        <f>ROUND(IF(F316="rame",0,+I316*3%),4)</f>
        <v>0</v>
      </c>
      <c r="P316" s="67">
        <f>ROUND(IF(O316&lt;J316,O316,0),4)</f>
        <v>0</v>
      </c>
      <c r="Q316" s="67">
        <f>ROUND(IF(J316&gt;O316,0,J316),4)</f>
        <v>0</v>
      </c>
      <c r="R316" s="67">
        <f>ROUND(+P316*D316,4)</f>
        <v>0</v>
      </c>
      <c r="S316" s="67">
        <f>ROUND(IF(K316=0,0,M316*D316),4)</f>
        <v>0</v>
      </c>
      <c r="T316" s="67">
        <f>ROUND(+IF(K316=0,Q316*D316,0),4)</f>
        <v>0</v>
      </c>
      <c r="U316" s="67">
        <f>ROUND(+N316+R316+S316+T316,4)</f>
        <v>0</v>
      </c>
      <c r="V316" s="67">
        <f>ROUND(IF(P316=0,0,I316-H316-O316)+IF(L316=0,0,I316-H316-K316),4)</f>
        <v>0</v>
      </c>
      <c r="W316" s="67">
        <f>ROUND(+(V316*60%)*D316,4)</f>
        <v>0</v>
      </c>
      <c r="X316" s="148">
        <f>ROUND(+U316+W316,4)</f>
        <v>0</v>
      </c>
      <c r="Y316" s="68"/>
      <c r="Z316" s="148">
        <f>ROUND(IF(X316&gt;I316,X316,I316),4)</f>
        <v>0</v>
      </c>
    </row>
    <row r="317" spans="1:26" x14ac:dyDescent="0.2">
      <c r="A317" s="66"/>
      <c r="B317" s="66"/>
      <c r="C317" s="66"/>
      <c r="D317" s="144"/>
      <c r="E317" s="67"/>
      <c r="F317" s="67"/>
      <c r="G317" s="67"/>
      <c r="H317" s="67">
        <f>ROUND(+E317+G317,4)</f>
        <v>0</v>
      </c>
      <c r="I317" s="67"/>
      <c r="J317" s="67">
        <f>ROUND(+I317-H317,4)</f>
        <v>0</v>
      </c>
      <c r="K317" s="67">
        <f>ROUND(IF(F317="alluminio",0,I317*1.5%),4)</f>
        <v>0</v>
      </c>
      <c r="L317" s="67">
        <f>ROUND(IF(K317&lt;J317,K317,0),4)</f>
        <v>0</v>
      </c>
      <c r="M317" s="67">
        <f>ROUND(IF(J317&gt;K317,0,J317),4)</f>
        <v>0</v>
      </c>
      <c r="N317" s="67">
        <f>ROUND(+L317*D317,4)</f>
        <v>0</v>
      </c>
      <c r="O317" s="67">
        <f>ROUND(IF(F317="rame",0,+I317*3%),4)</f>
        <v>0</v>
      </c>
      <c r="P317" s="67">
        <f>ROUND(IF(O317&lt;J317,O317,0),4)</f>
        <v>0</v>
      </c>
      <c r="Q317" s="67">
        <f>ROUND(IF(J317&gt;O317,0,J317),4)</f>
        <v>0</v>
      </c>
      <c r="R317" s="67">
        <f>ROUND(+P317*D317,4)</f>
        <v>0</v>
      </c>
      <c r="S317" s="67">
        <f>ROUND(IF(K317=0,0,M317*D317),4)</f>
        <v>0</v>
      </c>
      <c r="T317" s="67">
        <f>ROUND(+IF(K317=0,Q317*D317,0),4)</f>
        <v>0</v>
      </c>
      <c r="U317" s="67">
        <f>ROUND(+N317+R317+S317+T317,4)</f>
        <v>0</v>
      </c>
      <c r="V317" s="67">
        <f>ROUND(IF(P317=0,0,I317-H317-O317)+IF(L317=0,0,I317-H317-K317),4)</f>
        <v>0</v>
      </c>
      <c r="W317" s="67">
        <f>ROUND(+(V317*60%)*D317,4)</f>
        <v>0</v>
      </c>
      <c r="X317" s="148">
        <f>ROUND(+U317+W317,4)</f>
        <v>0</v>
      </c>
      <c r="Y317" s="68"/>
      <c r="Z317" s="148">
        <f>ROUND(IF(X317&gt;I317,X317,I317),4)</f>
        <v>0</v>
      </c>
    </row>
    <row r="318" spans="1:26" x14ac:dyDescent="0.2">
      <c r="A318" s="66"/>
      <c r="B318" s="66"/>
      <c r="C318" s="66"/>
      <c r="D318" s="144"/>
      <c r="E318" s="67"/>
      <c r="F318" s="67"/>
      <c r="G318" s="67"/>
      <c r="H318" s="67">
        <f>ROUND(+E318+G318,4)</f>
        <v>0</v>
      </c>
      <c r="I318" s="67"/>
      <c r="J318" s="67">
        <f>ROUND(+I318-H318,4)</f>
        <v>0</v>
      </c>
      <c r="K318" s="67">
        <f>ROUND(IF(F318="alluminio",0,I318*1.5%),4)</f>
        <v>0</v>
      </c>
      <c r="L318" s="67">
        <f>ROUND(IF(K318&lt;J318,K318,0),4)</f>
        <v>0</v>
      </c>
      <c r="M318" s="67">
        <f>ROUND(IF(J318&gt;K318,0,J318),4)</f>
        <v>0</v>
      </c>
      <c r="N318" s="67">
        <f>ROUND(+L318*D318,4)</f>
        <v>0</v>
      </c>
      <c r="O318" s="67">
        <f>ROUND(IF(F318="rame",0,+I318*3%),4)</f>
        <v>0</v>
      </c>
      <c r="P318" s="67">
        <f>ROUND(IF(O318&lt;J318,O318,0),4)</f>
        <v>0</v>
      </c>
      <c r="Q318" s="67">
        <f>ROUND(IF(J318&gt;O318,0,J318),4)</f>
        <v>0</v>
      </c>
      <c r="R318" s="67">
        <f>ROUND(+P318*D318,4)</f>
        <v>0</v>
      </c>
      <c r="S318" s="67">
        <f>ROUND(IF(K318=0,0,M318*D318),4)</f>
        <v>0</v>
      </c>
      <c r="T318" s="67">
        <f>ROUND(+IF(K318=0,Q318*D318,0),4)</f>
        <v>0</v>
      </c>
      <c r="U318" s="67">
        <f>ROUND(+N318+R318+S318+T318,4)</f>
        <v>0</v>
      </c>
      <c r="V318" s="67">
        <f>ROUND(IF(P318=0,0,I318-H318-O318)+IF(L318=0,0,I318-H318-K318),4)</f>
        <v>0</v>
      </c>
      <c r="W318" s="67">
        <f>ROUND(+(V318*60%)*D318,4)</f>
        <v>0</v>
      </c>
      <c r="X318" s="148">
        <f>ROUND(+U318+W318,4)</f>
        <v>0</v>
      </c>
      <c r="Y318" s="68"/>
      <c r="Z318" s="148">
        <f>ROUND(IF(X318&gt;I318,X318,I318),4)</f>
        <v>0</v>
      </c>
    </row>
    <row r="319" spans="1:26" x14ac:dyDescent="0.2">
      <c r="A319" s="66"/>
      <c r="B319" s="66"/>
      <c r="C319" s="66"/>
      <c r="D319" s="144"/>
      <c r="E319" s="67"/>
      <c r="F319" s="67"/>
      <c r="G319" s="67"/>
      <c r="H319" s="67">
        <f>ROUND(+E319+G319,4)</f>
        <v>0</v>
      </c>
      <c r="I319" s="67"/>
      <c r="J319" s="67">
        <f>ROUND(+I319-H319,4)</f>
        <v>0</v>
      </c>
      <c r="K319" s="67">
        <f>ROUND(IF(F319="alluminio",0,I319*1.5%),4)</f>
        <v>0</v>
      </c>
      <c r="L319" s="67">
        <f>ROUND(IF(K319&lt;J319,K319,0),4)</f>
        <v>0</v>
      </c>
      <c r="M319" s="67">
        <f>ROUND(IF(J319&gt;K319,0,J319),4)</f>
        <v>0</v>
      </c>
      <c r="N319" s="67">
        <f>ROUND(+L319*D319,4)</f>
        <v>0</v>
      </c>
      <c r="O319" s="67">
        <f>ROUND(IF(F319="rame",0,+I319*3%),4)</f>
        <v>0</v>
      </c>
      <c r="P319" s="67">
        <f>ROUND(IF(O319&lt;J319,O319,0),4)</f>
        <v>0</v>
      </c>
      <c r="Q319" s="67">
        <f>ROUND(IF(J319&gt;O319,0,J319),4)</f>
        <v>0</v>
      </c>
      <c r="R319" s="67">
        <f>ROUND(+P319*D319,4)</f>
        <v>0</v>
      </c>
      <c r="S319" s="67">
        <f>ROUND(IF(K319=0,0,M319*D319),4)</f>
        <v>0</v>
      </c>
      <c r="T319" s="67">
        <f>ROUND(+IF(K319=0,Q319*D319,0),4)</f>
        <v>0</v>
      </c>
      <c r="U319" s="67">
        <f>ROUND(+N319+R319+S319+T319,4)</f>
        <v>0</v>
      </c>
      <c r="V319" s="67">
        <f>ROUND(IF(P319=0,0,I319-H319-O319)+IF(L319=0,0,I319-H319-K319),4)</f>
        <v>0</v>
      </c>
      <c r="W319" s="67">
        <f>ROUND(+(V319*60%)*D319,4)</f>
        <v>0</v>
      </c>
      <c r="X319" s="148">
        <f>ROUND(+U319+W319,4)</f>
        <v>0</v>
      </c>
      <c r="Y319" s="68"/>
      <c r="Z319" s="148">
        <f>ROUND(IF(X319&gt;I319,X319,I319),4)</f>
        <v>0</v>
      </c>
    </row>
    <row r="320" spans="1:26" x14ac:dyDescent="0.2">
      <c r="A320" s="66"/>
      <c r="B320" s="66"/>
      <c r="C320" s="66"/>
      <c r="D320" s="144"/>
      <c r="E320" s="67"/>
      <c r="F320" s="67"/>
      <c r="G320" s="67"/>
      <c r="H320" s="67">
        <f>ROUND(+E320+G320,4)</f>
        <v>0</v>
      </c>
      <c r="I320" s="67"/>
      <c r="J320" s="67">
        <f>ROUND(+I320-H320,4)</f>
        <v>0</v>
      </c>
      <c r="K320" s="67">
        <f>ROUND(IF(F320="alluminio",0,I320*1.5%),4)</f>
        <v>0</v>
      </c>
      <c r="L320" s="67">
        <f>ROUND(IF(K320&lt;J320,K320,0),4)</f>
        <v>0</v>
      </c>
      <c r="M320" s="67">
        <f>ROUND(IF(J320&gt;K320,0,J320),4)</f>
        <v>0</v>
      </c>
      <c r="N320" s="67">
        <f>ROUND(+L320*D320,4)</f>
        <v>0</v>
      </c>
      <c r="O320" s="67">
        <f>ROUND(IF(F320="rame",0,+I320*3%),4)</f>
        <v>0</v>
      </c>
      <c r="P320" s="67">
        <f>ROUND(IF(O320&lt;J320,O320,0),4)</f>
        <v>0</v>
      </c>
      <c r="Q320" s="67">
        <f>ROUND(IF(J320&gt;O320,0,J320),4)</f>
        <v>0</v>
      </c>
      <c r="R320" s="67">
        <f>ROUND(+P320*D320,4)</f>
        <v>0</v>
      </c>
      <c r="S320" s="67">
        <f>ROUND(IF(K320=0,0,M320*D320),4)</f>
        <v>0</v>
      </c>
      <c r="T320" s="67">
        <f>ROUND(+IF(K320=0,Q320*D320,0),4)</f>
        <v>0</v>
      </c>
      <c r="U320" s="67">
        <f>ROUND(+N320+R320+S320+T320,4)</f>
        <v>0</v>
      </c>
      <c r="V320" s="67">
        <f>ROUND(IF(P320=0,0,I320-H320-O320)+IF(L320=0,0,I320-H320-K320),4)</f>
        <v>0</v>
      </c>
      <c r="W320" s="67">
        <f>ROUND(+(V320*60%)*D320,4)</f>
        <v>0</v>
      </c>
      <c r="X320" s="148">
        <f>ROUND(+U320+W320,4)</f>
        <v>0</v>
      </c>
      <c r="Y320" s="68"/>
      <c r="Z320" s="148">
        <f>ROUND(IF(X320&gt;I320,X320,I320),4)</f>
        <v>0</v>
      </c>
    </row>
    <row r="321" spans="1:26" x14ac:dyDescent="0.2">
      <c r="A321" s="66"/>
      <c r="B321" s="66"/>
      <c r="C321" s="66"/>
      <c r="D321" s="144"/>
      <c r="E321" s="67"/>
      <c r="F321" s="67"/>
      <c r="G321" s="67"/>
      <c r="H321" s="67">
        <f>ROUND(+E321+G321,4)</f>
        <v>0</v>
      </c>
      <c r="I321" s="67"/>
      <c r="J321" s="67">
        <f>ROUND(+I321-H321,4)</f>
        <v>0</v>
      </c>
      <c r="K321" s="67">
        <f>ROUND(IF(F321="alluminio",0,I321*1.5%),4)</f>
        <v>0</v>
      </c>
      <c r="L321" s="67">
        <f>ROUND(IF(K321&lt;J321,K321,0),4)</f>
        <v>0</v>
      </c>
      <c r="M321" s="67">
        <f>ROUND(IF(J321&gt;K321,0,J321),4)</f>
        <v>0</v>
      </c>
      <c r="N321" s="67">
        <f>ROUND(+L321*D321,4)</f>
        <v>0</v>
      </c>
      <c r="O321" s="67">
        <f>ROUND(IF(F321="rame",0,+I321*3%),4)</f>
        <v>0</v>
      </c>
      <c r="P321" s="67">
        <f>ROUND(IF(O321&lt;J321,O321,0),4)</f>
        <v>0</v>
      </c>
      <c r="Q321" s="67">
        <f>ROUND(IF(J321&gt;O321,0,J321),4)</f>
        <v>0</v>
      </c>
      <c r="R321" s="67">
        <f>ROUND(+P321*D321,4)</f>
        <v>0</v>
      </c>
      <c r="S321" s="67">
        <f>ROUND(IF(K321=0,0,M321*D321),4)</f>
        <v>0</v>
      </c>
      <c r="T321" s="67">
        <f>ROUND(+IF(K321=0,Q321*D321,0),4)</f>
        <v>0</v>
      </c>
      <c r="U321" s="67">
        <f>ROUND(+N321+R321+S321+T321,4)</f>
        <v>0</v>
      </c>
      <c r="V321" s="67">
        <f>ROUND(IF(P321=0,0,I321-H321-O321)+IF(L321=0,0,I321-H321-K321),4)</f>
        <v>0</v>
      </c>
      <c r="W321" s="67">
        <f>ROUND(+(V321*60%)*D321,4)</f>
        <v>0</v>
      </c>
      <c r="X321" s="148">
        <f>ROUND(+U321+W321,4)</f>
        <v>0</v>
      </c>
      <c r="Y321" s="68"/>
      <c r="Z321" s="148">
        <f>ROUND(IF(X321&gt;I321,X321,I321),4)</f>
        <v>0</v>
      </c>
    </row>
    <row r="322" spans="1:26" x14ac:dyDescent="0.2">
      <c r="A322" s="66"/>
      <c r="B322" s="66"/>
      <c r="C322" s="66"/>
      <c r="D322" s="144"/>
      <c r="E322" s="67"/>
      <c r="F322" s="67"/>
      <c r="G322" s="67"/>
      <c r="H322" s="67">
        <f>ROUND(+E322+G322,4)</f>
        <v>0</v>
      </c>
      <c r="I322" s="67"/>
      <c r="J322" s="67">
        <f>ROUND(+I322-H322,4)</f>
        <v>0</v>
      </c>
      <c r="K322" s="67">
        <f>ROUND(IF(F322="alluminio",0,I322*1.5%),4)</f>
        <v>0</v>
      </c>
      <c r="L322" s="67">
        <f>ROUND(IF(K322&lt;J322,K322,0),4)</f>
        <v>0</v>
      </c>
      <c r="M322" s="67">
        <f>ROUND(IF(J322&gt;K322,0,J322),4)</f>
        <v>0</v>
      </c>
      <c r="N322" s="67">
        <f>ROUND(+L322*D322,4)</f>
        <v>0</v>
      </c>
      <c r="O322" s="67">
        <f>ROUND(IF(F322="rame",0,+I322*3%),4)</f>
        <v>0</v>
      </c>
      <c r="P322" s="67">
        <f>ROUND(IF(O322&lt;J322,O322,0),4)</f>
        <v>0</v>
      </c>
      <c r="Q322" s="67">
        <f>ROUND(IF(J322&gt;O322,0,J322),4)</f>
        <v>0</v>
      </c>
      <c r="R322" s="67">
        <f>ROUND(+P322*D322,4)</f>
        <v>0</v>
      </c>
      <c r="S322" s="67">
        <f>ROUND(IF(K322=0,0,M322*D322),4)</f>
        <v>0</v>
      </c>
      <c r="T322" s="67">
        <f>ROUND(+IF(K322=0,Q322*D322,0),4)</f>
        <v>0</v>
      </c>
      <c r="U322" s="67">
        <f>ROUND(+N322+R322+S322+T322,4)</f>
        <v>0</v>
      </c>
      <c r="V322" s="67">
        <f>ROUND(IF(P322=0,0,I322-H322-O322)+IF(L322=0,0,I322-H322-K322),4)</f>
        <v>0</v>
      </c>
      <c r="W322" s="67">
        <f>ROUND(+(V322*60%)*D322,4)</f>
        <v>0</v>
      </c>
      <c r="X322" s="148">
        <f>ROUND(+U322+W322,4)</f>
        <v>0</v>
      </c>
      <c r="Y322" s="68"/>
      <c r="Z322" s="148">
        <f>ROUND(IF(X322&gt;I322,X322,I322),4)</f>
        <v>0</v>
      </c>
    </row>
    <row r="323" spans="1:26" x14ac:dyDescent="0.2">
      <c r="A323" s="66"/>
      <c r="B323" s="66"/>
      <c r="C323" s="66"/>
      <c r="D323" s="144"/>
      <c r="E323" s="67"/>
      <c r="F323" s="67"/>
      <c r="G323" s="67"/>
      <c r="H323" s="67">
        <f>ROUND(+E323+G323,4)</f>
        <v>0</v>
      </c>
      <c r="I323" s="67"/>
      <c r="J323" s="67">
        <f>ROUND(+I323-H323,4)</f>
        <v>0</v>
      </c>
      <c r="K323" s="67">
        <f>ROUND(IF(F323="alluminio",0,I323*1.5%),4)</f>
        <v>0</v>
      </c>
      <c r="L323" s="67">
        <f>ROUND(IF(K323&lt;J323,K323,0),4)</f>
        <v>0</v>
      </c>
      <c r="M323" s="67">
        <f>ROUND(IF(J323&gt;K323,0,J323),4)</f>
        <v>0</v>
      </c>
      <c r="N323" s="67">
        <f>ROUND(+L323*D323,4)</f>
        <v>0</v>
      </c>
      <c r="O323" s="67">
        <f>ROUND(IF(F323="rame",0,+I323*3%),4)</f>
        <v>0</v>
      </c>
      <c r="P323" s="67">
        <f>ROUND(IF(O323&lt;J323,O323,0),4)</f>
        <v>0</v>
      </c>
      <c r="Q323" s="67">
        <f>ROUND(IF(J323&gt;O323,0,J323),4)</f>
        <v>0</v>
      </c>
      <c r="R323" s="67">
        <f>ROUND(+P323*D323,4)</f>
        <v>0</v>
      </c>
      <c r="S323" s="67">
        <f>ROUND(IF(K323=0,0,M323*D323),4)</f>
        <v>0</v>
      </c>
      <c r="T323" s="67">
        <f>ROUND(+IF(K323=0,Q323*D323,0),4)</f>
        <v>0</v>
      </c>
      <c r="U323" s="67">
        <f>ROUND(+N323+R323+S323+T323,4)</f>
        <v>0</v>
      </c>
      <c r="V323" s="67">
        <f>ROUND(IF(P323=0,0,I323-H323-O323)+IF(L323=0,0,I323-H323-K323),4)</f>
        <v>0</v>
      </c>
      <c r="W323" s="67">
        <f>ROUND(+(V323*60%)*D323,4)</f>
        <v>0</v>
      </c>
      <c r="X323" s="148">
        <f>ROUND(+U323+W323,4)</f>
        <v>0</v>
      </c>
      <c r="Y323" s="68"/>
      <c r="Z323" s="148">
        <f>ROUND(IF(X323&gt;I323,X323,I323),4)</f>
        <v>0</v>
      </c>
    </row>
    <row r="324" spans="1:26" x14ac:dyDescent="0.2">
      <c r="A324" s="66"/>
      <c r="B324" s="66"/>
      <c r="C324" s="66"/>
      <c r="D324" s="144"/>
      <c r="E324" s="67"/>
      <c r="F324" s="67"/>
      <c r="G324" s="67"/>
      <c r="H324" s="67">
        <f>ROUND(+E324+G324,4)</f>
        <v>0</v>
      </c>
      <c r="I324" s="67"/>
      <c r="J324" s="67">
        <f>ROUND(+I324-H324,4)</f>
        <v>0</v>
      </c>
      <c r="K324" s="67">
        <f>ROUND(IF(F324="alluminio",0,I324*1.5%),4)</f>
        <v>0</v>
      </c>
      <c r="L324" s="67">
        <f>ROUND(IF(K324&lt;J324,K324,0),4)</f>
        <v>0</v>
      </c>
      <c r="M324" s="67">
        <f>ROUND(IF(J324&gt;K324,0,J324),4)</f>
        <v>0</v>
      </c>
      <c r="N324" s="67">
        <f>ROUND(+L324*D324,4)</f>
        <v>0</v>
      </c>
      <c r="O324" s="67">
        <f>ROUND(IF(F324="rame",0,+I324*3%),4)</f>
        <v>0</v>
      </c>
      <c r="P324" s="67">
        <f>ROUND(IF(O324&lt;J324,O324,0),4)</f>
        <v>0</v>
      </c>
      <c r="Q324" s="67">
        <f>ROUND(IF(J324&gt;O324,0,J324),4)</f>
        <v>0</v>
      </c>
      <c r="R324" s="67">
        <f>ROUND(+P324*D324,4)</f>
        <v>0</v>
      </c>
      <c r="S324" s="67">
        <f>ROUND(IF(K324=0,0,M324*D324),4)</f>
        <v>0</v>
      </c>
      <c r="T324" s="67">
        <f>ROUND(+IF(K324=0,Q324*D324,0),4)</f>
        <v>0</v>
      </c>
      <c r="U324" s="67">
        <f>ROUND(+N324+R324+S324+T324,4)</f>
        <v>0</v>
      </c>
      <c r="V324" s="67">
        <f>ROUND(IF(P324=0,0,I324-H324-O324)+IF(L324=0,0,I324-H324-K324),4)</f>
        <v>0</v>
      </c>
      <c r="W324" s="67">
        <f>ROUND(+(V324*60%)*D324,4)</f>
        <v>0</v>
      </c>
      <c r="X324" s="148">
        <f>ROUND(+U324+W324,4)</f>
        <v>0</v>
      </c>
      <c r="Y324" s="68"/>
      <c r="Z324" s="148">
        <f>ROUND(IF(X324&gt;I324,X324,I324),4)</f>
        <v>0</v>
      </c>
    </row>
    <row r="325" spans="1:26" x14ac:dyDescent="0.2">
      <c r="A325" s="66"/>
      <c r="B325" s="66"/>
      <c r="C325" s="66"/>
      <c r="D325" s="144"/>
      <c r="E325" s="67"/>
      <c r="F325" s="67"/>
      <c r="G325" s="67"/>
      <c r="H325" s="67">
        <f>ROUND(+E325+G325,4)</f>
        <v>0</v>
      </c>
      <c r="I325" s="67"/>
      <c r="J325" s="67">
        <f>ROUND(+I325-H325,4)</f>
        <v>0</v>
      </c>
      <c r="K325" s="67">
        <f>ROUND(IF(F325="alluminio",0,I325*1.5%),4)</f>
        <v>0</v>
      </c>
      <c r="L325" s="67">
        <f>ROUND(IF(K325&lt;J325,K325,0),4)</f>
        <v>0</v>
      </c>
      <c r="M325" s="67">
        <f>ROUND(IF(J325&gt;K325,0,J325),4)</f>
        <v>0</v>
      </c>
      <c r="N325" s="67">
        <f>ROUND(+L325*D325,4)</f>
        <v>0</v>
      </c>
      <c r="O325" s="67">
        <f>ROUND(IF(F325="rame",0,+I325*3%),4)</f>
        <v>0</v>
      </c>
      <c r="P325" s="67">
        <f>ROUND(IF(O325&lt;J325,O325,0),4)</f>
        <v>0</v>
      </c>
      <c r="Q325" s="67">
        <f>ROUND(IF(J325&gt;O325,0,J325),4)</f>
        <v>0</v>
      </c>
      <c r="R325" s="67">
        <f>ROUND(+P325*D325,4)</f>
        <v>0</v>
      </c>
      <c r="S325" s="67">
        <f>ROUND(IF(K325=0,0,M325*D325),4)</f>
        <v>0</v>
      </c>
      <c r="T325" s="67">
        <f>ROUND(+IF(K325=0,Q325*D325,0),4)</f>
        <v>0</v>
      </c>
      <c r="U325" s="67">
        <f>ROUND(+N325+R325+S325+T325,4)</f>
        <v>0</v>
      </c>
      <c r="V325" s="67">
        <f>ROUND(IF(P325=0,0,I325-H325-O325)+IF(L325=0,0,I325-H325-K325),4)</f>
        <v>0</v>
      </c>
      <c r="W325" s="67">
        <f>ROUND(+(V325*60%)*D325,4)</f>
        <v>0</v>
      </c>
      <c r="X325" s="148">
        <f>ROUND(+U325+W325,4)</f>
        <v>0</v>
      </c>
      <c r="Y325" s="68"/>
      <c r="Z325" s="148">
        <f>ROUND(IF(X325&gt;I325,X325,I325),4)</f>
        <v>0</v>
      </c>
    </row>
    <row r="326" spans="1:26" x14ac:dyDescent="0.2">
      <c r="A326" s="66"/>
      <c r="B326" s="66"/>
      <c r="C326" s="66"/>
      <c r="D326" s="144"/>
      <c r="E326" s="67"/>
      <c r="F326" s="67"/>
      <c r="G326" s="67"/>
      <c r="H326" s="67">
        <f>ROUND(+E326+G326,4)</f>
        <v>0</v>
      </c>
      <c r="I326" s="67"/>
      <c r="J326" s="67">
        <f>ROUND(+I326-H326,4)</f>
        <v>0</v>
      </c>
      <c r="K326" s="67">
        <f>ROUND(IF(F326="alluminio",0,I326*1.5%),4)</f>
        <v>0</v>
      </c>
      <c r="L326" s="67">
        <f>ROUND(IF(K326&lt;J326,K326,0),4)</f>
        <v>0</v>
      </c>
      <c r="M326" s="67">
        <f>ROUND(IF(J326&gt;K326,0,J326),4)</f>
        <v>0</v>
      </c>
      <c r="N326" s="67">
        <f>ROUND(+L326*D326,4)</f>
        <v>0</v>
      </c>
      <c r="O326" s="67">
        <f>ROUND(IF(F326="rame",0,+I326*3%),4)</f>
        <v>0</v>
      </c>
      <c r="P326" s="67">
        <f>ROUND(IF(O326&lt;J326,O326,0),4)</f>
        <v>0</v>
      </c>
      <c r="Q326" s="67">
        <f>ROUND(IF(J326&gt;O326,0,J326),4)</f>
        <v>0</v>
      </c>
      <c r="R326" s="67">
        <f>ROUND(+P326*D326,4)</f>
        <v>0</v>
      </c>
      <c r="S326" s="67">
        <f>ROUND(IF(K326=0,0,M326*D326),4)</f>
        <v>0</v>
      </c>
      <c r="T326" s="67">
        <f>ROUND(+IF(K326=0,Q326*D326,0),4)</f>
        <v>0</v>
      </c>
      <c r="U326" s="67">
        <f>ROUND(+N326+R326+S326+T326,4)</f>
        <v>0</v>
      </c>
      <c r="V326" s="67">
        <f>ROUND(IF(P326=0,0,I326-H326-O326)+IF(L326=0,0,I326-H326-K326),4)</f>
        <v>0</v>
      </c>
      <c r="W326" s="67">
        <f>ROUND(+(V326*60%)*D326,4)</f>
        <v>0</v>
      </c>
      <c r="X326" s="148">
        <f>ROUND(+U326+W326,4)</f>
        <v>0</v>
      </c>
      <c r="Y326" s="68"/>
      <c r="Z326" s="148">
        <f>ROUND(IF(X326&gt;I326,X326,I326),4)</f>
        <v>0</v>
      </c>
    </row>
    <row r="327" spans="1:26" x14ac:dyDescent="0.2">
      <c r="A327" s="66"/>
      <c r="B327" s="66"/>
      <c r="C327" s="66"/>
      <c r="D327" s="144"/>
      <c r="E327" s="67"/>
      <c r="F327" s="67"/>
      <c r="G327" s="67"/>
      <c r="H327" s="67">
        <f>ROUND(+E327+G327,4)</f>
        <v>0</v>
      </c>
      <c r="I327" s="67"/>
      <c r="J327" s="67">
        <f>ROUND(+I327-H327,4)</f>
        <v>0</v>
      </c>
      <c r="K327" s="67">
        <f>ROUND(IF(F327="alluminio",0,I327*1.5%),4)</f>
        <v>0</v>
      </c>
      <c r="L327" s="67">
        <f>ROUND(IF(K327&lt;J327,K327,0),4)</f>
        <v>0</v>
      </c>
      <c r="M327" s="67">
        <f>ROUND(IF(J327&gt;K327,0,J327),4)</f>
        <v>0</v>
      </c>
      <c r="N327" s="67">
        <f>ROUND(+L327*D327,4)</f>
        <v>0</v>
      </c>
      <c r="O327" s="67">
        <f>ROUND(IF(F327="rame",0,+I327*3%),4)</f>
        <v>0</v>
      </c>
      <c r="P327" s="67">
        <f>ROUND(IF(O327&lt;J327,O327,0),4)</f>
        <v>0</v>
      </c>
      <c r="Q327" s="67">
        <f>ROUND(IF(J327&gt;O327,0,J327),4)</f>
        <v>0</v>
      </c>
      <c r="R327" s="67">
        <f>ROUND(+P327*D327,4)</f>
        <v>0</v>
      </c>
      <c r="S327" s="67">
        <f>ROUND(IF(K327=0,0,M327*D327),4)</f>
        <v>0</v>
      </c>
      <c r="T327" s="67">
        <f>ROUND(+IF(K327=0,Q327*D327,0),4)</f>
        <v>0</v>
      </c>
      <c r="U327" s="67">
        <f>ROUND(+N327+R327+S327+T327,4)</f>
        <v>0</v>
      </c>
      <c r="V327" s="67">
        <f>ROUND(IF(P327=0,0,I327-H327-O327)+IF(L327=0,0,I327-H327-K327),4)</f>
        <v>0</v>
      </c>
      <c r="W327" s="67">
        <f>ROUND(+(V327*60%)*D327,4)</f>
        <v>0</v>
      </c>
      <c r="X327" s="148">
        <f>ROUND(+U327+W327,4)</f>
        <v>0</v>
      </c>
      <c r="Y327" s="68"/>
      <c r="Z327" s="148">
        <f>ROUND(IF(X327&gt;I327,X327,I327),4)</f>
        <v>0</v>
      </c>
    </row>
    <row r="328" spans="1:26" x14ac:dyDescent="0.2">
      <c r="A328" s="66"/>
      <c r="B328" s="66"/>
      <c r="C328" s="66"/>
      <c r="D328" s="144"/>
      <c r="E328" s="67"/>
      <c r="F328" s="67"/>
      <c r="G328" s="67"/>
      <c r="H328" s="67">
        <f>ROUND(+E328+G328,4)</f>
        <v>0</v>
      </c>
      <c r="I328" s="67"/>
      <c r="J328" s="67">
        <f>ROUND(+I328-H328,4)</f>
        <v>0</v>
      </c>
      <c r="K328" s="67">
        <f>ROUND(IF(F328="alluminio",0,I328*1.5%),4)</f>
        <v>0</v>
      </c>
      <c r="L328" s="67">
        <f>ROUND(IF(K328&lt;J328,K328,0),4)</f>
        <v>0</v>
      </c>
      <c r="M328" s="67">
        <f>ROUND(IF(J328&gt;K328,0,J328),4)</f>
        <v>0</v>
      </c>
      <c r="N328" s="67">
        <f>ROUND(+L328*D328,4)</f>
        <v>0</v>
      </c>
      <c r="O328" s="67">
        <f>ROUND(IF(F328="rame",0,+I328*3%),4)</f>
        <v>0</v>
      </c>
      <c r="P328" s="67">
        <f>ROUND(IF(O328&lt;J328,O328,0),4)</f>
        <v>0</v>
      </c>
      <c r="Q328" s="67">
        <f>ROUND(IF(J328&gt;O328,0,J328),4)</f>
        <v>0</v>
      </c>
      <c r="R328" s="67">
        <f>ROUND(+P328*D328,4)</f>
        <v>0</v>
      </c>
      <c r="S328" s="67">
        <f>ROUND(IF(K328=0,0,M328*D328),4)</f>
        <v>0</v>
      </c>
      <c r="T328" s="67">
        <f>ROUND(+IF(K328=0,Q328*D328,0),4)</f>
        <v>0</v>
      </c>
      <c r="U328" s="67">
        <f>ROUND(+N328+R328+S328+T328,4)</f>
        <v>0</v>
      </c>
      <c r="V328" s="67">
        <f>ROUND(IF(P328=0,0,I328-H328-O328)+IF(L328=0,0,I328-H328-K328),4)</f>
        <v>0</v>
      </c>
      <c r="W328" s="67">
        <f>ROUND(+(V328*60%)*D328,4)</f>
        <v>0</v>
      </c>
      <c r="X328" s="148">
        <f>ROUND(+U328+W328,4)</f>
        <v>0</v>
      </c>
      <c r="Y328" s="68"/>
      <c r="Z328" s="148">
        <f>ROUND(IF(X328&gt;I328,X328,I328),4)</f>
        <v>0</v>
      </c>
    </row>
    <row r="329" spans="1:26" x14ac:dyDescent="0.2">
      <c r="A329" s="66"/>
      <c r="B329" s="66"/>
      <c r="C329" s="66"/>
      <c r="D329" s="144"/>
      <c r="E329" s="67"/>
      <c r="F329" s="67"/>
      <c r="G329" s="67"/>
      <c r="H329" s="67">
        <f>ROUND(+E329+G329,4)</f>
        <v>0</v>
      </c>
      <c r="I329" s="67"/>
      <c r="J329" s="67">
        <f>ROUND(+I329-H329,4)</f>
        <v>0</v>
      </c>
      <c r="K329" s="67">
        <f>ROUND(IF(F329="alluminio",0,I329*1.5%),4)</f>
        <v>0</v>
      </c>
      <c r="L329" s="67">
        <f>ROUND(IF(K329&lt;J329,K329,0),4)</f>
        <v>0</v>
      </c>
      <c r="M329" s="67">
        <f>ROUND(IF(J329&gt;K329,0,J329),4)</f>
        <v>0</v>
      </c>
      <c r="N329" s="67">
        <f>ROUND(+L329*D329,4)</f>
        <v>0</v>
      </c>
      <c r="O329" s="67">
        <f>ROUND(IF(F329="rame",0,+I329*3%),4)</f>
        <v>0</v>
      </c>
      <c r="P329" s="67">
        <f>ROUND(IF(O329&lt;J329,O329,0),4)</f>
        <v>0</v>
      </c>
      <c r="Q329" s="67">
        <f>ROUND(IF(J329&gt;O329,0,J329),4)</f>
        <v>0</v>
      </c>
      <c r="R329" s="67">
        <f>ROUND(+P329*D329,4)</f>
        <v>0</v>
      </c>
      <c r="S329" s="67">
        <f>ROUND(IF(K329=0,0,M329*D329),4)</f>
        <v>0</v>
      </c>
      <c r="T329" s="67">
        <f>ROUND(+IF(K329=0,Q329*D329,0),4)</f>
        <v>0</v>
      </c>
      <c r="U329" s="67">
        <f>ROUND(+N329+R329+S329+T329,4)</f>
        <v>0</v>
      </c>
      <c r="V329" s="67">
        <f>ROUND(IF(P329=0,0,I329-H329-O329)+IF(L329=0,0,I329-H329-K329),4)</f>
        <v>0</v>
      </c>
      <c r="W329" s="67">
        <f>ROUND(+(V329*60%)*D329,4)</f>
        <v>0</v>
      </c>
      <c r="X329" s="148">
        <f>ROUND(+U329+W329,4)</f>
        <v>0</v>
      </c>
      <c r="Y329" s="68"/>
      <c r="Z329" s="148">
        <f>ROUND(IF(X329&gt;I329,X329,I329),4)</f>
        <v>0</v>
      </c>
    </row>
    <row r="330" spans="1:26" x14ac:dyDescent="0.2">
      <c r="A330" s="66"/>
      <c r="B330" s="66"/>
      <c r="C330" s="66"/>
      <c r="D330" s="144"/>
      <c r="E330" s="67"/>
      <c r="F330" s="67"/>
      <c r="G330" s="67"/>
      <c r="H330" s="67">
        <f>ROUND(+E330+G330,4)</f>
        <v>0</v>
      </c>
      <c r="I330" s="67"/>
      <c r="J330" s="67">
        <f>ROUND(+I330-H330,4)</f>
        <v>0</v>
      </c>
      <c r="K330" s="67">
        <f>ROUND(IF(F330="alluminio",0,I330*1.5%),4)</f>
        <v>0</v>
      </c>
      <c r="L330" s="67">
        <f>ROUND(IF(K330&lt;J330,K330,0),4)</f>
        <v>0</v>
      </c>
      <c r="M330" s="67">
        <f>ROUND(IF(J330&gt;K330,0,J330),4)</f>
        <v>0</v>
      </c>
      <c r="N330" s="67">
        <f>ROUND(+L330*D330,4)</f>
        <v>0</v>
      </c>
      <c r="O330" s="67">
        <f>ROUND(IF(F330="rame",0,+I330*3%),4)</f>
        <v>0</v>
      </c>
      <c r="P330" s="67">
        <f>ROUND(IF(O330&lt;J330,O330,0),4)</f>
        <v>0</v>
      </c>
      <c r="Q330" s="67">
        <f>ROUND(IF(J330&gt;O330,0,J330),4)</f>
        <v>0</v>
      </c>
      <c r="R330" s="67">
        <f>ROUND(+P330*D330,4)</f>
        <v>0</v>
      </c>
      <c r="S330" s="67">
        <f>ROUND(IF(K330=0,0,M330*D330),4)</f>
        <v>0</v>
      </c>
      <c r="T330" s="67">
        <f>ROUND(+IF(K330=0,Q330*D330,0),4)</f>
        <v>0</v>
      </c>
      <c r="U330" s="67">
        <f>ROUND(+N330+R330+S330+T330,4)</f>
        <v>0</v>
      </c>
      <c r="V330" s="67">
        <f>ROUND(IF(P330=0,0,I330-H330-O330)+IF(L330=0,0,I330-H330-K330),4)</f>
        <v>0</v>
      </c>
      <c r="W330" s="67">
        <f>ROUND(+(V330*60%)*D330,4)</f>
        <v>0</v>
      </c>
      <c r="X330" s="148">
        <f>ROUND(+U330+W330,4)</f>
        <v>0</v>
      </c>
      <c r="Y330" s="68"/>
      <c r="Z330" s="148">
        <f>ROUND(IF(X330&gt;I330,X330,I330),4)</f>
        <v>0</v>
      </c>
    </row>
    <row r="331" spans="1:26" x14ac:dyDescent="0.2">
      <c r="A331" s="66"/>
      <c r="B331" s="66"/>
      <c r="C331" s="66"/>
      <c r="D331" s="144"/>
      <c r="E331" s="67"/>
      <c r="F331" s="67"/>
      <c r="G331" s="67"/>
      <c r="H331" s="67">
        <f>ROUND(+E331+G331,4)</f>
        <v>0</v>
      </c>
      <c r="I331" s="67"/>
      <c r="J331" s="67">
        <f>ROUND(+I331-H331,4)</f>
        <v>0</v>
      </c>
      <c r="K331" s="67">
        <f>ROUND(IF(F331="alluminio",0,I331*1.5%),4)</f>
        <v>0</v>
      </c>
      <c r="L331" s="67">
        <f>ROUND(IF(K331&lt;J331,K331,0),4)</f>
        <v>0</v>
      </c>
      <c r="M331" s="67">
        <f>ROUND(IF(J331&gt;K331,0,J331),4)</f>
        <v>0</v>
      </c>
      <c r="N331" s="67">
        <f>ROUND(+L331*D331,4)</f>
        <v>0</v>
      </c>
      <c r="O331" s="67">
        <f>ROUND(IF(F331="rame",0,+I331*3%),4)</f>
        <v>0</v>
      </c>
      <c r="P331" s="67">
        <f>ROUND(IF(O331&lt;J331,O331,0),4)</f>
        <v>0</v>
      </c>
      <c r="Q331" s="67">
        <f>ROUND(IF(J331&gt;O331,0,J331),4)</f>
        <v>0</v>
      </c>
      <c r="R331" s="67">
        <f>ROUND(+P331*D331,4)</f>
        <v>0</v>
      </c>
      <c r="S331" s="67">
        <f>ROUND(IF(K331=0,0,M331*D331),4)</f>
        <v>0</v>
      </c>
      <c r="T331" s="67">
        <f>ROUND(+IF(K331=0,Q331*D331,0),4)</f>
        <v>0</v>
      </c>
      <c r="U331" s="67">
        <f>ROUND(+N331+R331+S331+T331,4)</f>
        <v>0</v>
      </c>
      <c r="V331" s="67">
        <f>ROUND(IF(P331=0,0,I331-H331-O331)+IF(L331=0,0,I331-H331-K331),4)</f>
        <v>0</v>
      </c>
      <c r="W331" s="67">
        <f>ROUND(+(V331*60%)*D331,4)</f>
        <v>0</v>
      </c>
      <c r="X331" s="148">
        <f>ROUND(+U331+W331,4)</f>
        <v>0</v>
      </c>
      <c r="Y331" s="68"/>
      <c r="Z331" s="148">
        <f>ROUND(IF(X331&gt;I331,X331,I331),4)</f>
        <v>0</v>
      </c>
    </row>
    <row r="332" spans="1:26" x14ac:dyDescent="0.2">
      <c r="A332" s="66"/>
      <c r="B332" s="66"/>
      <c r="C332" s="66"/>
      <c r="D332" s="144"/>
      <c r="E332" s="67"/>
      <c r="F332" s="67"/>
      <c r="G332" s="67"/>
      <c r="H332" s="67">
        <f>ROUND(+E332+G332,4)</f>
        <v>0</v>
      </c>
      <c r="I332" s="67"/>
      <c r="J332" s="67">
        <f>ROUND(+I332-H332,4)</f>
        <v>0</v>
      </c>
      <c r="K332" s="67">
        <f>ROUND(IF(F332="alluminio",0,I332*1.5%),4)</f>
        <v>0</v>
      </c>
      <c r="L332" s="67">
        <f>ROUND(IF(K332&lt;J332,K332,0),4)</f>
        <v>0</v>
      </c>
      <c r="M332" s="67">
        <f>ROUND(IF(J332&gt;K332,0,J332),4)</f>
        <v>0</v>
      </c>
      <c r="N332" s="67">
        <f>ROUND(+L332*D332,4)</f>
        <v>0</v>
      </c>
      <c r="O332" s="67">
        <f>ROUND(IF(F332="rame",0,+I332*3%),4)</f>
        <v>0</v>
      </c>
      <c r="P332" s="67">
        <f>ROUND(IF(O332&lt;J332,O332,0),4)</f>
        <v>0</v>
      </c>
      <c r="Q332" s="67">
        <f>ROUND(IF(J332&gt;O332,0,J332),4)</f>
        <v>0</v>
      </c>
      <c r="R332" s="67">
        <f>ROUND(+P332*D332,4)</f>
        <v>0</v>
      </c>
      <c r="S332" s="67">
        <f>ROUND(IF(K332=0,0,M332*D332),4)</f>
        <v>0</v>
      </c>
      <c r="T332" s="67">
        <f>ROUND(+IF(K332=0,Q332*D332,0),4)</f>
        <v>0</v>
      </c>
      <c r="U332" s="67">
        <f>ROUND(+N332+R332+S332+T332,4)</f>
        <v>0</v>
      </c>
      <c r="V332" s="67">
        <f>ROUND(IF(P332=0,0,I332-H332-O332)+IF(L332=0,0,I332-H332-K332),4)</f>
        <v>0</v>
      </c>
      <c r="W332" s="67">
        <f>ROUND(+(V332*60%)*D332,4)</f>
        <v>0</v>
      </c>
      <c r="X332" s="148">
        <f>ROUND(+U332+W332,4)</f>
        <v>0</v>
      </c>
      <c r="Y332" s="68"/>
      <c r="Z332" s="148">
        <f>ROUND(IF(X332&gt;I332,X332,I332),4)</f>
        <v>0</v>
      </c>
    </row>
    <row r="333" spans="1:26" x14ac:dyDescent="0.2">
      <c r="A333" s="66"/>
      <c r="B333" s="66"/>
      <c r="C333" s="66"/>
      <c r="D333" s="144"/>
      <c r="E333" s="67"/>
      <c r="F333" s="67"/>
      <c r="G333" s="67"/>
      <c r="H333" s="67">
        <f>ROUND(+E333+G333,4)</f>
        <v>0</v>
      </c>
      <c r="I333" s="67"/>
      <c r="J333" s="67">
        <f>ROUND(+I333-H333,4)</f>
        <v>0</v>
      </c>
      <c r="K333" s="67">
        <f>ROUND(IF(F333="alluminio",0,I333*1.5%),4)</f>
        <v>0</v>
      </c>
      <c r="L333" s="67">
        <f>ROUND(IF(K333&lt;J333,K333,0),4)</f>
        <v>0</v>
      </c>
      <c r="M333" s="67">
        <f>ROUND(IF(J333&gt;K333,0,J333),4)</f>
        <v>0</v>
      </c>
      <c r="N333" s="67">
        <f>ROUND(+L333*D333,4)</f>
        <v>0</v>
      </c>
      <c r="O333" s="67">
        <f>ROUND(IF(F333="rame",0,+I333*3%),4)</f>
        <v>0</v>
      </c>
      <c r="P333" s="67">
        <f>ROUND(IF(O333&lt;J333,O333,0),4)</f>
        <v>0</v>
      </c>
      <c r="Q333" s="67">
        <f>ROUND(IF(J333&gt;O333,0,J333),4)</f>
        <v>0</v>
      </c>
      <c r="R333" s="67">
        <f>ROUND(+P333*D333,4)</f>
        <v>0</v>
      </c>
      <c r="S333" s="67">
        <f>ROUND(IF(K333=0,0,M333*D333),4)</f>
        <v>0</v>
      </c>
      <c r="T333" s="67">
        <f>ROUND(+IF(K333=0,Q333*D333,0),4)</f>
        <v>0</v>
      </c>
      <c r="U333" s="67">
        <f>ROUND(+N333+R333+S333+T333,4)</f>
        <v>0</v>
      </c>
      <c r="V333" s="67">
        <f>ROUND(IF(P333=0,0,I333-H333-O333)+IF(L333=0,0,I333-H333-K333),4)</f>
        <v>0</v>
      </c>
      <c r="W333" s="67">
        <f>ROUND(+(V333*60%)*D333,4)</f>
        <v>0</v>
      </c>
      <c r="X333" s="148">
        <f>ROUND(+U333+W333,4)</f>
        <v>0</v>
      </c>
      <c r="Y333" s="68"/>
      <c r="Z333" s="148">
        <f>ROUND(IF(X333&gt;I333,X333,I333),4)</f>
        <v>0</v>
      </c>
    </row>
    <row r="334" spans="1:26" x14ac:dyDescent="0.2">
      <c r="A334" s="66"/>
      <c r="B334" s="66"/>
      <c r="C334" s="66"/>
      <c r="D334" s="144"/>
      <c r="E334" s="67"/>
      <c r="F334" s="67"/>
      <c r="G334" s="67"/>
      <c r="H334" s="67">
        <f>ROUND(+E334+G334,4)</f>
        <v>0</v>
      </c>
      <c r="I334" s="67"/>
      <c r="J334" s="67">
        <f>ROUND(+I334-H334,4)</f>
        <v>0</v>
      </c>
      <c r="K334" s="67">
        <f>ROUND(IF(F334="alluminio",0,I334*1.5%),4)</f>
        <v>0</v>
      </c>
      <c r="L334" s="67">
        <f>ROUND(IF(K334&lt;J334,K334,0),4)</f>
        <v>0</v>
      </c>
      <c r="M334" s="67">
        <f>ROUND(IF(J334&gt;K334,0,J334),4)</f>
        <v>0</v>
      </c>
      <c r="N334" s="67">
        <f>ROUND(+L334*D334,4)</f>
        <v>0</v>
      </c>
      <c r="O334" s="67">
        <f>ROUND(IF(F334="rame",0,+I334*3%),4)</f>
        <v>0</v>
      </c>
      <c r="P334" s="67">
        <f>ROUND(IF(O334&lt;J334,O334,0),4)</f>
        <v>0</v>
      </c>
      <c r="Q334" s="67">
        <f>ROUND(IF(J334&gt;O334,0,J334),4)</f>
        <v>0</v>
      </c>
      <c r="R334" s="67">
        <f>ROUND(+P334*D334,4)</f>
        <v>0</v>
      </c>
      <c r="S334" s="67">
        <f>ROUND(IF(K334=0,0,M334*D334),4)</f>
        <v>0</v>
      </c>
      <c r="T334" s="67">
        <f>ROUND(+IF(K334=0,Q334*D334,0),4)</f>
        <v>0</v>
      </c>
      <c r="U334" s="67">
        <f>ROUND(+N334+R334+S334+T334,4)</f>
        <v>0</v>
      </c>
      <c r="V334" s="67">
        <f>ROUND(IF(P334=0,0,I334-H334-O334)+IF(L334=0,0,I334-H334-K334),4)</f>
        <v>0</v>
      </c>
      <c r="W334" s="67">
        <f>ROUND(+(V334*60%)*D334,4)</f>
        <v>0</v>
      </c>
      <c r="X334" s="148">
        <f>ROUND(+U334+W334,4)</f>
        <v>0</v>
      </c>
      <c r="Y334" s="68"/>
      <c r="Z334" s="148">
        <f>ROUND(IF(X334&gt;I334,X334,I334),4)</f>
        <v>0</v>
      </c>
    </row>
    <row r="335" spans="1:26" x14ac:dyDescent="0.2">
      <c r="A335" s="66"/>
      <c r="B335" s="66"/>
      <c r="C335" s="66"/>
      <c r="D335" s="144"/>
      <c r="E335" s="67"/>
      <c r="F335" s="67"/>
      <c r="G335" s="67"/>
      <c r="H335" s="67">
        <f>ROUND(+E335+G335,4)</f>
        <v>0</v>
      </c>
      <c r="I335" s="67"/>
      <c r="J335" s="67">
        <f>ROUND(+I335-H335,4)</f>
        <v>0</v>
      </c>
      <c r="K335" s="67">
        <f>ROUND(IF(F335="alluminio",0,I335*1.5%),4)</f>
        <v>0</v>
      </c>
      <c r="L335" s="67">
        <f>ROUND(IF(K335&lt;J335,K335,0),4)</f>
        <v>0</v>
      </c>
      <c r="M335" s="67">
        <f>ROUND(IF(J335&gt;K335,0,J335),4)</f>
        <v>0</v>
      </c>
      <c r="N335" s="67">
        <f>ROUND(+L335*D335,4)</f>
        <v>0</v>
      </c>
      <c r="O335" s="67">
        <f>ROUND(IF(F335="rame",0,+I335*3%),4)</f>
        <v>0</v>
      </c>
      <c r="P335" s="67">
        <f>ROUND(IF(O335&lt;J335,O335,0),4)</f>
        <v>0</v>
      </c>
      <c r="Q335" s="67">
        <f>ROUND(IF(J335&gt;O335,0,J335),4)</f>
        <v>0</v>
      </c>
      <c r="R335" s="67">
        <f>ROUND(+P335*D335,4)</f>
        <v>0</v>
      </c>
      <c r="S335" s="67">
        <f>ROUND(IF(K335=0,0,M335*D335),4)</f>
        <v>0</v>
      </c>
      <c r="T335" s="67">
        <f>ROUND(+IF(K335=0,Q335*D335,0),4)</f>
        <v>0</v>
      </c>
      <c r="U335" s="67">
        <f>ROUND(+N335+R335+S335+T335,4)</f>
        <v>0</v>
      </c>
      <c r="V335" s="67">
        <f>ROUND(IF(P335=0,0,I335-H335-O335)+IF(L335=0,0,I335-H335-K335),4)</f>
        <v>0</v>
      </c>
      <c r="W335" s="67">
        <f>ROUND(+(V335*60%)*D335,4)</f>
        <v>0</v>
      </c>
      <c r="X335" s="148">
        <f>ROUND(+U335+W335,4)</f>
        <v>0</v>
      </c>
      <c r="Y335" s="68"/>
      <c r="Z335" s="148">
        <f>ROUND(IF(X335&gt;I335,X335,I335),4)</f>
        <v>0</v>
      </c>
    </row>
    <row r="336" spans="1:26" x14ac:dyDescent="0.2">
      <c r="A336" s="66"/>
      <c r="B336" s="66"/>
      <c r="C336" s="66"/>
      <c r="D336" s="144"/>
      <c r="E336" s="67"/>
      <c r="F336" s="67"/>
      <c r="G336" s="67"/>
      <c r="H336" s="67">
        <f>ROUND(+E336+G336,4)</f>
        <v>0</v>
      </c>
      <c r="I336" s="67"/>
      <c r="J336" s="67">
        <f>ROUND(+I336-H336,4)</f>
        <v>0</v>
      </c>
      <c r="K336" s="67">
        <f>ROUND(IF(F336="alluminio",0,I336*1.5%),4)</f>
        <v>0</v>
      </c>
      <c r="L336" s="67">
        <f>ROUND(IF(K336&lt;J336,K336,0),4)</f>
        <v>0</v>
      </c>
      <c r="M336" s="67">
        <f>ROUND(IF(J336&gt;K336,0,J336),4)</f>
        <v>0</v>
      </c>
      <c r="N336" s="67">
        <f>ROUND(+L336*D336,4)</f>
        <v>0</v>
      </c>
      <c r="O336" s="67">
        <f>ROUND(IF(F336="rame",0,+I336*3%),4)</f>
        <v>0</v>
      </c>
      <c r="P336" s="67">
        <f>ROUND(IF(O336&lt;J336,O336,0),4)</f>
        <v>0</v>
      </c>
      <c r="Q336" s="67">
        <f>ROUND(IF(J336&gt;O336,0,J336),4)</f>
        <v>0</v>
      </c>
      <c r="R336" s="67">
        <f>ROUND(+P336*D336,4)</f>
        <v>0</v>
      </c>
      <c r="S336" s="67">
        <f>ROUND(IF(K336=0,0,M336*D336),4)</f>
        <v>0</v>
      </c>
      <c r="T336" s="67">
        <f>ROUND(+IF(K336=0,Q336*D336,0),4)</f>
        <v>0</v>
      </c>
      <c r="U336" s="67">
        <f>ROUND(+N336+R336+S336+T336,4)</f>
        <v>0</v>
      </c>
      <c r="V336" s="67">
        <f>ROUND(IF(P336=0,0,I336-H336-O336)+IF(L336=0,0,I336-H336-K336),4)</f>
        <v>0</v>
      </c>
      <c r="W336" s="67">
        <f>ROUND(+(V336*60%)*D336,4)</f>
        <v>0</v>
      </c>
      <c r="X336" s="148">
        <f>ROUND(+U336+W336,4)</f>
        <v>0</v>
      </c>
      <c r="Y336" s="68"/>
      <c r="Z336" s="148">
        <f>ROUND(IF(X336&gt;I336,X336,I336),4)</f>
        <v>0</v>
      </c>
    </row>
    <row r="337" spans="1:26" x14ac:dyDescent="0.2">
      <c r="A337" s="66"/>
      <c r="B337" s="66"/>
      <c r="C337" s="66"/>
      <c r="D337" s="144"/>
      <c r="E337" s="67"/>
      <c r="F337" s="67"/>
      <c r="G337" s="67"/>
      <c r="H337" s="67">
        <f>ROUND(+E337+G337,4)</f>
        <v>0</v>
      </c>
      <c r="I337" s="67"/>
      <c r="J337" s="67">
        <f>ROUND(+I337-H337,4)</f>
        <v>0</v>
      </c>
      <c r="K337" s="67">
        <f>ROUND(IF(F337="alluminio",0,I337*1.5%),4)</f>
        <v>0</v>
      </c>
      <c r="L337" s="67">
        <f>ROUND(IF(K337&lt;J337,K337,0),4)</f>
        <v>0</v>
      </c>
      <c r="M337" s="67">
        <f>ROUND(IF(J337&gt;K337,0,J337),4)</f>
        <v>0</v>
      </c>
      <c r="N337" s="67">
        <f>ROUND(+L337*D337,4)</f>
        <v>0</v>
      </c>
      <c r="O337" s="67">
        <f>ROUND(IF(F337="rame",0,+I337*3%),4)</f>
        <v>0</v>
      </c>
      <c r="P337" s="67">
        <f>ROUND(IF(O337&lt;J337,O337,0),4)</f>
        <v>0</v>
      </c>
      <c r="Q337" s="67">
        <f>ROUND(IF(J337&gt;O337,0,J337),4)</f>
        <v>0</v>
      </c>
      <c r="R337" s="67">
        <f>ROUND(+P337*D337,4)</f>
        <v>0</v>
      </c>
      <c r="S337" s="67">
        <f>ROUND(IF(K337=0,0,M337*D337),4)</f>
        <v>0</v>
      </c>
      <c r="T337" s="67">
        <f>ROUND(+IF(K337=0,Q337*D337,0),4)</f>
        <v>0</v>
      </c>
      <c r="U337" s="67">
        <f>ROUND(+N337+R337+S337+T337,4)</f>
        <v>0</v>
      </c>
      <c r="V337" s="67">
        <f>ROUND(IF(P337=0,0,I337-H337-O337)+IF(L337=0,0,I337-H337-K337),4)</f>
        <v>0</v>
      </c>
      <c r="W337" s="67">
        <f>ROUND(+(V337*60%)*D337,4)</f>
        <v>0</v>
      </c>
      <c r="X337" s="148">
        <f>ROUND(+U337+W337,4)</f>
        <v>0</v>
      </c>
      <c r="Y337" s="68"/>
      <c r="Z337" s="148">
        <f>ROUND(IF(X337&gt;I337,X337,I337),4)</f>
        <v>0</v>
      </c>
    </row>
    <row r="338" spans="1:26" x14ac:dyDescent="0.2">
      <c r="A338" s="66"/>
      <c r="B338" s="66"/>
      <c r="C338" s="66"/>
      <c r="D338" s="144"/>
      <c r="E338" s="67"/>
      <c r="F338" s="67"/>
      <c r="G338" s="67"/>
      <c r="H338" s="67">
        <f>ROUND(+E338+G338,4)</f>
        <v>0</v>
      </c>
      <c r="I338" s="67"/>
      <c r="J338" s="67">
        <f>ROUND(+I338-H338,4)</f>
        <v>0</v>
      </c>
      <c r="K338" s="67">
        <f>ROUND(IF(F338="alluminio",0,I338*1.5%),4)</f>
        <v>0</v>
      </c>
      <c r="L338" s="67">
        <f>ROUND(IF(K338&lt;J338,K338,0),4)</f>
        <v>0</v>
      </c>
      <c r="M338" s="67">
        <f>ROUND(IF(J338&gt;K338,0,J338),4)</f>
        <v>0</v>
      </c>
      <c r="N338" s="67">
        <f>ROUND(+L338*D338,4)</f>
        <v>0</v>
      </c>
      <c r="O338" s="67">
        <f>ROUND(IF(F338="rame",0,+I338*3%),4)</f>
        <v>0</v>
      </c>
      <c r="P338" s="67">
        <f>ROUND(IF(O338&lt;J338,O338,0),4)</f>
        <v>0</v>
      </c>
      <c r="Q338" s="67">
        <f>ROUND(IF(J338&gt;O338,0,J338),4)</f>
        <v>0</v>
      </c>
      <c r="R338" s="67">
        <f>ROUND(+P338*D338,4)</f>
        <v>0</v>
      </c>
      <c r="S338" s="67">
        <f>ROUND(IF(K338=0,0,M338*D338),4)</f>
        <v>0</v>
      </c>
      <c r="T338" s="67">
        <f>ROUND(+IF(K338=0,Q338*D338,0),4)</f>
        <v>0</v>
      </c>
      <c r="U338" s="67">
        <f>ROUND(+N338+R338+S338+T338,4)</f>
        <v>0</v>
      </c>
      <c r="V338" s="67">
        <f>ROUND(IF(P338=0,0,I338-H338-O338)+IF(L338=0,0,I338-H338-K338),4)</f>
        <v>0</v>
      </c>
      <c r="W338" s="67">
        <f>ROUND(+(V338*60%)*D338,4)</f>
        <v>0</v>
      </c>
      <c r="X338" s="148">
        <f>ROUND(+U338+W338,4)</f>
        <v>0</v>
      </c>
      <c r="Y338" s="68"/>
      <c r="Z338" s="148">
        <f>ROUND(IF(X338&gt;I338,X338,I338),4)</f>
        <v>0</v>
      </c>
    </row>
    <row r="339" spans="1:26" x14ac:dyDescent="0.2">
      <c r="A339" s="66"/>
      <c r="B339" s="66"/>
      <c r="C339" s="66"/>
      <c r="D339" s="144"/>
      <c r="E339" s="67"/>
      <c r="F339" s="67"/>
      <c r="G339" s="67"/>
      <c r="H339" s="67">
        <f>ROUND(+E339+G339,4)</f>
        <v>0</v>
      </c>
      <c r="I339" s="67"/>
      <c r="J339" s="67">
        <f>ROUND(+I339-H339,4)</f>
        <v>0</v>
      </c>
      <c r="K339" s="67">
        <f>ROUND(IF(F339="alluminio",0,I339*1.5%),4)</f>
        <v>0</v>
      </c>
      <c r="L339" s="67">
        <f>ROUND(IF(K339&lt;J339,K339,0),4)</f>
        <v>0</v>
      </c>
      <c r="M339" s="67">
        <f>ROUND(IF(J339&gt;K339,0,J339),4)</f>
        <v>0</v>
      </c>
      <c r="N339" s="67">
        <f>ROUND(+L339*D339,4)</f>
        <v>0</v>
      </c>
      <c r="O339" s="67">
        <f>ROUND(IF(F339="rame",0,+I339*3%),4)</f>
        <v>0</v>
      </c>
      <c r="P339" s="67">
        <f>ROUND(IF(O339&lt;J339,O339,0),4)</f>
        <v>0</v>
      </c>
      <c r="Q339" s="67">
        <f>ROUND(IF(J339&gt;O339,0,J339),4)</f>
        <v>0</v>
      </c>
      <c r="R339" s="67">
        <f>ROUND(+P339*D339,4)</f>
        <v>0</v>
      </c>
      <c r="S339" s="67">
        <f>ROUND(IF(K339=0,0,M339*D339),4)</f>
        <v>0</v>
      </c>
      <c r="T339" s="67">
        <f>ROUND(+IF(K339=0,Q339*D339,0),4)</f>
        <v>0</v>
      </c>
      <c r="U339" s="67">
        <f>ROUND(+N339+R339+S339+T339,4)</f>
        <v>0</v>
      </c>
      <c r="V339" s="67">
        <f>ROUND(IF(P339=0,0,I339-H339-O339)+IF(L339=0,0,I339-H339-K339),4)</f>
        <v>0</v>
      </c>
      <c r="W339" s="67">
        <f>ROUND(+(V339*60%)*D339,4)</f>
        <v>0</v>
      </c>
      <c r="X339" s="148">
        <f>ROUND(+U339+W339,4)</f>
        <v>0</v>
      </c>
      <c r="Y339" s="68"/>
      <c r="Z339" s="148">
        <f>ROUND(IF(X339&gt;I339,X339,I339),4)</f>
        <v>0</v>
      </c>
    </row>
    <row r="340" spans="1:26" x14ac:dyDescent="0.2">
      <c r="A340" s="66"/>
      <c r="B340" s="66"/>
      <c r="C340" s="66"/>
      <c r="D340" s="144"/>
      <c r="E340" s="67"/>
      <c r="F340" s="67"/>
      <c r="G340" s="67"/>
      <c r="H340" s="67">
        <f>ROUND(+E340+G340,4)</f>
        <v>0</v>
      </c>
      <c r="I340" s="67"/>
      <c r="J340" s="67">
        <f>ROUND(+I340-H340,4)</f>
        <v>0</v>
      </c>
      <c r="K340" s="67">
        <f>ROUND(IF(F340="alluminio",0,I340*1.5%),4)</f>
        <v>0</v>
      </c>
      <c r="L340" s="67">
        <f>ROUND(IF(K340&lt;J340,K340,0),4)</f>
        <v>0</v>
      </c>
      <c r="M340" s="67">
        <f>ROUND(IF(J340&gt;K340,0,J340),4)</f>
        <v>0</v>
      </c>
      <c r="N340" s="67">
        <f>ROUND(+L340*D340,4)</f>
        <v>0</v>
      </c>
      <c r="O340" s="67">
        <f>ROUND(IF(F340="rame",0,+I340*3%),4)</f>
        <v>0</v>
      </c>
      <c r="P340" s="67">
        <f>ROUND(IF(O340&lt;J340,O340,0),4)</f>
        <v>0</v>
      </c>
      <c r="Q340" s="67">
        <f>ROUND(IF(J340&gt;O340,0,J340),4)</f>
        <v>0</v>
      </c>
      <c r="R340" s="67">
        <f>ROUND(+P340*D340,4)</f>
        <v>0</v>
      </c>
      <c r="S340" s="67">
        <f>ROUND(IF(K340=0,0,M340*D340),4)</f>
        <v>0</v>
      </c>
      <c r="T340" s="67">
        <f>ROUND(+IF(K340=0,Q340*D340,0),4)</f>
        <v>0</v>
      </c>
      <c r="U340" s="67">
        <f>ROUND(+N340+R340+S340+T340,4)</f>
        <v>0</v>
      </c>
      <c r="V340" s="67">
        <f>ROUND(IF(P340=0,0,I340-H340-O340)+IF(L340=0,0,I340-H340-K340),4)</f>
        <v>0</v>
      </c>
      <c r="W340" s="67">
        <f>ROUND(+(V340*60%)*D340,4)</f>
        <v>0</v>
      </c>
      <c r="X340" s="148">
        <f>ROUND(+U340+W340,4)</f>
        <v>0</v>
      </c>
      <c r="Y340" s="68"/>
      <c r="Z340" s="148">
        <f>ROUND(IF(X340&gt;I340,X340,I340),4)</f>
        <v>0</v>
      </c>
    </row>
    <row r="341" spans="1:26" x14ac:dyDescent="0.2">
      <c r="A341" s="66"/>
      <c r="B341" s="66"/>
      <c r="C341" s="66"/>
      <c r="D341" s="144"/>
      <c r="E341" s="67"/>
      <c r="F341" s="67"/>
      <c r="G341" s="67"/>
      <c r="H341" s="67">
        <f>ROUND(+E341+G341,4)</f>
        <v>0</v>
      </c>
      <c r="I341" s="67"/>
      <c r="J341" s="67">
        <f>ROUND(+I341-H341,4)</f>
        <v>0</v>
      </c>
      <c r="K341" s="67">
        <f>ROUND(IF(F341="alluminio",0,I341*1.5%),4)</f>
        <v>0</v>
      </c>
      <c r="L341" s="67">
        <f>ROUND(IF(K341&lt;J341,K341,0),4)</f>
        <v>0</v>
      </c>
      <c r="M341" s="67">
        <f>ROUND(IF(J341&gt;K341,0,J341),4)</f>
        <v>0</v>
      </c>
      <c r="N341" s="67">
        <f>ROUND(+L341*D341,4)</f>
        <v>0</v>
      </c>
      <c r="O341" s="67">
        <f>ROUND(IF(F341="rame",0,+I341*3%),4)</f>
        <v>0</v>
      </c>
      <c r="P341" s="67">
        <f>ROUND(IF(O341&lt;J341,O341,0),4)</f>
        <v>0</v>
      </c>
      <c r="Q341" s="67">
        <f>ROUND(IF(J341&gt;O341,0,J341),4)</f>
        <v>0</v>
      </c>
      <c r="R341" s="67">
        <f>ROUND(+P341*D341,4)</f>
        <v>0</v>
      </c>
      <c r="S341" s="67">
        <f>ROUND(IF(K341=0,0,M341*D341),4)</f>
        <v>0</v>
      </c>
      <c r="T341" s="67">
        <f>ROUND(+IF(K341=0,Q341*D341,0),4)</f>
        <v>0</v>
      </c>
      <c r="U341" s="67">
        <f>ROUND(+N341+R341+S341+T341,4)</f>
        <v>0</v>
      </c>
      <c r="V341" s="67">
        <f>ROUND(IF(P341=0,0,I341-H341-O341)+IF(L341=0,0,I341-H341-K341),4)</f>
        <v>0</v>
      </c>
      <c r="W341" s="67">
        <f>ROUND(+(V341*60%)*D341,4)</f>
        <v>0</v>
      </c>
      <c r="X341" s="148">
        <f>ROUND(+U341+W341,4)</f>
        <v>0</v>
      </c>
      <c r="Y341" s="68"/>
      <c r="Z341" s="148">
        <f>ROUND(IF(X341&gt;I341,X341,I341),4)</f>
        <v>0</v>
      </c>
    </row>
    <row r="342" spans="1:26" x14ac:dyDescent="0.2">
      <c r="A342" s="66"/>
      <c r="B342" s="66"/>
      <c r="C342" s="66"/>
      <c r="D342" s="144"/>
      <c r="E342" s="67"/>
      <c r="F342" s="67"/>
      <c r="G342" s="67"/>
      <c r="H342" s="67">
        <f>ROUND(+E342+G342,4)</f>
        <v>0</v>
      </c>
      <c r="I342" s="67"/>
      <c r="J342" s="67">
        <f>ROUND(+I342-H342,4)</f>
        <v>0</v>
      </c>
      <c r="K342" s="67">
        <f>ROUND(IF(F342="alluminio",0,I342*1.5%),4)</f>
        <v>0</v>
      </c>
      <c r="L342" s="67">
        <f>ROUND(IF(K342&lt;J342,K342,0),4)</f>
        <v>0</v>
      </c>
      <c r="M342" s="67">
        <f>ROUND(IF(J342&gt;K342,0,J342),4)</f>
        <v>0</v>
      </c>
      <c r="N342" s="67">
        <f>ROUND(+L342*D342,4)</f>
        <v>0</v>
      </c>
      <c r="O342" s="67">
        <f>ROUND(IF(F342="rame",0,+I342*3%),4)</f>
        <v>0</v>
      </c>
      <c r="P342" s="67">
        <f>ROUND(IF(O342&lt;J342,O342,0),4)</f>
        <v>0</v>
      </c>
      <c r="Q342" s="67">
        <f>ROUND(IF(J342&gt;O342,0,J342),4)</f>
        <v>0</v>
      </c>
      <c r="R342" s="67">
        <f>ROUND(+P342*D342,4)</f>
        <v>0</v>
      </c>
      <c r="S342" s="67">
        <f>ROUND(IF(K342=0,0,M342*D342),4)</f>
        <v>0</v>
      </c>
      <c r="T342" s="67">
        <f>ROUND(+IF(K342=0,Q342*D342,0),4)</f>
        <v>0</v>
      </c>
      <c r="U342" s="67">
        <f>ROUND(+N342+R342+S342+T342,4)</f>
        <v>0</v>
      </c>
      <c r="V342" s="67">
        <f>ROUND(IF(P342=0,0,I342-H342-O342)+IF(L342=0,0,I342-H342-K342),4)</f>
        <v>0</v>
      </c>
      <c r="W342" s="67">
        <f>ROUND(+(V342*60%)*D342,4)</f>
        <v>0</v>
      </c>
      <c r="X342" s="148">
        <f>ROUND(+U342+W342,4)</f>
        <v>0</v>
      </c>
      <c r="Y342" s="68"/>
      <c r="Z342" s="148">
        <f>ROUND(IF(X342&gt;I342,X342,I342),4)</f>
        <v>0</v>
      </c>
    </row>
    <row r="343" spans="1:26" x14ac:dyDescent="0.2">
      <c r="A343" s="66"/>
      <c r="B343" s="66"/>
      <c r="C343" s="66"/>
      <c r="D343" s="144"/>
      <c r="E343" s="67"/>
      <c r="F343" s="67"/>
      <c r="G343" s="67"/>
      <c r="H343" s="67">
        <f>ROUND(+E343+G343,4)</f>
        <v>0</v>
      </c>
      <c r="I343" s="67"/>
      <c r="J343" s="67">
        <f>ROUND(+I343-H343,4)</f>
        <v>0</v>
      </c>
      <c r="K343" s="67">
        <f>ROUND(IF(F343="alluminio",0,I343*1.5%),4)</f>
        <v>0</v>
      </c>
      <c r="L343" s="67">
        <f>ROUND(IF(K343&lt;J343,K343,0),4)</f>
        <v>0</v>
      </c>
      <c r="M343" s="67">
        <f>ROUND(IF(J343&gt;K343,0,J343),4)</f>
        <v>0</v>
      </c>
      <c r="N343" s="67">
        <f>ROUND(+L343*D343,4)</f>
        <v>0</v>
      </c>
      <c r="O343" s="67">
        <f>ROUND(IF(F343="rame",0,+I343*3%),4)</f>
        <v>0</v>
      </c>
      <c r="P343" s="67">
        <f>ROUND(IF(O343&lt;J343,O343,0),4)</f>
        <v>0</v>
      </c>
      <c r="Q343" s="67">
        <f>ROUND(IF(J343&gt;O343,0,J343),4)</f>
        <v>0</v>
      </c>
      <c r="R343" s="67">
        <f>ROUND(+P343*D343,4)</f>
        <v>0</v>
      </c>
      <c r="S343" s="67">
        <f>ROUND(IF(K343=0,0,M343*D343),4)</f>
        <v>0</v>
      </c>
      <c r="T343" s="67">
        <f>ROUND(+IF(K343=0,Q343*D343,0),4)</f>
        <v>0</v>
      </c>
      <c r="U343" s="67">
        <f>ROUND(+N343+R343+S343+T343,4)</f>
        <v>0</v>
      </c>
      <c r="V343" s="67">
        <f>ROUND(IF(P343=0,0,I343-H343-O343)+IF(L343=0,0,I343-H343-K343),4)</f>
        <v>0</v>
      </c>
      <c r="W343" s="67">
        <f>ROUND(+(V343*60%)*D343,4)</f>
        <v>0</v>
      </c>
      <c r="X343" s="148">
        <f>ROUND(+U343+W343,4)</f>
        <v>0</v>
      </c>
      <c r="Y343" s="68"/>
      <c r="Z343" s="148">
        <f>ROUND(IF(X343&gt;I343,X343,I343),4)</f>
        <v>0</v>
      </c>
    </row>
    <row r="344" spans="1:26" x14ac:dyDescent="0.2">
      <c r="A344" s="66"/>
      <c r="B344" s="66"/>
      <c r="C344" s="66"/>
      <c r="D344" s="144"/>
      <c r="E344" s="67"/>
      <c r="F344" s="67"/>
      <c r="G344" s="67"/>
      <c r="H344" s="67">
        <f>ROUND(+E344+G344,4)</f>
        <v>0</v>
      </c>
      <c r="I344" s="67"/>
      <c r="J344" s="67">
        <f>ROUND(+I344-H344,4)</f>
        <v>0</v>
      </c>
      <c r="K344" s="67">
        <f>ROUND(IF(F344="alluminio",0,I344*1.5%),4)</f>
        <v>0</v>
      </c>
      <c r="L344" s="67">
        <f>ROUND(IF(K344&lt;J344,K344,0),4)</f>
        <v>0</v>
      </c>
      <c r="M344" s="67">
        <f>ROUND(IF(J344&gt;K344,0,J344),4)</f>
        <v>0</v>
      </c>
      <c r="N344" s="67">
        <f>ROUND(+L344*D344,4)</f>
        <v>0</v>
      </c>
      <c r="O344" s="67">
        <f>ROUND(IF(F344="rame",0,+I344*3%),4)</f>
        <v>0</v>
      </c>
      <c r="P344" s="67">
        <f>ROUND(IF(O344&lt;J344,O344,0),4)</f>
        <v>0</v>
      </c>
      <c r="Q344" s="67">
        <f>ROUND(IF(J344&gt;O344,0,J344),4)</f>
        <v>0</v>
      </c>
      <c r="R344" s="67">
        <f>ROUND(+P344*D344,4)</f>
        <v>0</v>
      </c>
      <c r="S344" s="67">
        <f>ROUND(IF(K344=0,0,M344*D344),4)</f>
        <v>0</v>
      </c>
      <c r="T344" s="67">
        <f>ROUND(+IF(K344=0,Q344*D344,0),4)</f>
        <v>0</v>
      </c>
      <c r="U344" s="67">
        <f>ROUND(+N344+R344+S344+T344,4)</f>
        <v>0</v>
      </c>
      <c r="V344" s="67">
        <f>ROUND(IF(P344=0,0,I344-H344-O344)+IF(L344=0,0,I344-H344-K344),4)</f>
        <v>0</v>
      </c>
      <c r="W344" s="67">
        <f>ROUND(+(V344*60%)*D344,4)</f>
        <v>0</v>
      </c>
      <c r="X344" s="148">
        <f>ROUND(+U344+W344,4)</f>
        <v>0</v>
      </c>
      <c r="Y344" s="68"/>
      <c r="Z344" s="148">
        <f>ROUND(IF(X344&gt;I344,X344,I344),4)</f>
        <v>0</v>
      </c>
    </row>
    <row r="345" spans="1:26" x14ac:dyDescent="0.2">
      <c r="A345" s="66"/>
      <c r="B345" s="66"/>
      <c r="C345" s="66"/>
      <c r="D345" s="144"/>
      <c r="E345" s="67"/>
      <c r="F345" s="67"/>
      <c r="G345" s="67"/>
      <c r="H345" s="67">
        <f>ROUND(+E345+G345,4)</f>
        <v>0</v>
      </c>
      <c r="I345" s="67"/>
      <c r="J345" s="67">
        <f>ROUND(+I345-H345,4)</f>
        <v>0</v>
      </c>
      <c r="K345" s="67">
        <f>ROUND(IF(F345="alluminio",0,I345*1.5%),4)</f>
        <v>0</v>
      </c>
      <c r="L345" s="67">
        <f>ROUND(IF(K345&lt;J345,K345,0),4)</f>
        <v>0</v>
      </c>
      <c r="M345" s="67">
        <f>ROUND(IF(J345&gt;K345,0,J345),4)</f>
        <v>0</v>
      </c>
      <c r="N345" s="67">
        <f>ROUND(+L345*D345,4)</f>
        <v>0</v>
      </c>
      <c r="O345" s="67">
        <f>ROUND(IF(F345="rame",0,+I345*3%),4)</f>
        <v>0</v>
      </c>
      <c r="P345" s="67">
        <f>ROUND(IF(O345&lt;J345,O345,0),4)</f>
        <v>0</v>
      </c>
      <c r="Q345" s="67">
        <f>ROUND(IF(J345&gt;O345,0,J345),4)</f>
        <v>0</v>
      </c>
      <c r="R345" s="67">
        <f>ROUND(+P345*D345,4)</f>
        <v>0</v>
      </c>
      <c r="S345" s="67">
        <f>ROUND(IF(K345=0,0,M345*D345),4)</f>
        <v>0</v>
      </c>
      <c r="T345" s="67">
        <f>ROUND(+IF(K345=0,Q345*D345,0),4)</f>
        <v>0</v>
      </c>
      <c r="U345" s="67">
        <f>ROUND(+N345+R345+S345+T345,4)</f>
        <v>0</v>
      </c>
      <c r="V345" s="67">
        <f>ROUND(IF(P345=0,0,I345-H345-O345)+IF(L345=0,0,I345-H345-K345),4)</f>
        <v>0</v>
      </c>
      <c r="W345" s="67">
        <f>ROUND(+(V345*60%)*D345,4)</f>
        <v>0</v>
      </c>
      <c r="X345" s="148">
        <f>ROUND(+U345+W345,4)</f>
        <v>0</v>
      </c>
      <c r="Y345" s="68"/>
      <c r="Z345" s="148">
        <f>ROUND(IF(X345&gt;I345,X345,I345),4)</f>
        <v>0</v>
      </c>
    </row>
    <row r="346" spans="1:26" x14ac:dyDescent="0.2">
      <c r="A346" s="66"/>
      <c r="B346" s="66"/>
      <c r="C346" s="66"/>
      <c r="D346" s="144"/>
      <c r="E346" s="67"/>
      <c r="F346" s="67"/>
      <c r="G346" s="67"/>
      <c r="H346" s="67">
        <f>ROUND(+E346+G346,4)</f>
        <v>0</v>
      </c>
      <c r="I346" s="67"/>
      <c r="J346" s="67">
        <f>ROUND(+I346-H346,4)</f>
        <v>0</v>
      </c>
      <c r="K346" s="67">
        <f>ROUND(IF(F346="alluminio",0,I346*1.5%),4)</f>
        <v>0</v>
      </c>
      <c r="L346" s="67">
        <f>ROUND(IF(K346&lt;J346,K346,0),4)</f>
        <v>0</v>
      </c>
      <c r="M346" s="67">
        <f>ROUND(IF(J346&gt;K346,0,J346),4)</f>
        <v>0</v>
      </c>
      <c r="N346" s="67">
        <f>ROUND(+L346*D346,4)</f>
        <v>0</v>
      </c>
      <c r="O346" s="67">
        <f>ROUND(IF(F346="rame",0,+I346*3%),4)</f>
        <v>0</v>
      </c>
      <c r="P346" s="67">
        <f>ROUND(IF(O346&lt;J346,O346,0),4)</f>
        <v>0</v>
      </c>
      <c r="Q346" s="67">
        <f>ROUND(IF(J346&gt;O346,0,J346),4)</f>
        <v>0</v>
      </c>
      <c r="R346" s="67">
        <f>ROUND(+P346*D346,4)</f>
        <v>0</v>
      </c>
      <c r="S346" s="67">
        <f>ROUND(IF(K346=0,0,M346*D346),4)</f>
        <v>0</v>
      </c>
      <c r="T346" s="67">
        <f>ROUND(+IF(K346=0,Q346*D346,0),4)</f>
        <v>0</v>
      </c>
      <c r="U346" s="67">
        <f>ROUND(+N346+R346+S346+T346,4)</f>
        <v>0</v>
      </c>
      <c r="V346" s="67">
        <f>ROUND(IF(P346=0,0,I346-H346-O346)+IF(L346=0,0,I346-H346-K346),4)</f>
        <v>0</v>
      </c>
      <c r="W346" s="67">
        <f>ROUND(+(V346*60%)*D346,4)</f>
        <v>0</v>
      </c>
      <c r="X346" s="148">
        <f>ROUND(+U346+W346,4)</f>
        <v>0</v>
      </c>
      <c r="Y346" s="68"/>
      <c r="Z346" s="148">
        <f>ROUND(IF(X346&gt;I346,X346,I346),4)</f>
        <v>0</v>
      </c>
    </row>
    <row r="347" spans="1:26" x14ac:dyDescent="0.2">
      <c r="A347" s="66"/>
      <c r="B347" s="66"/>
      <c r="C347" s="66"/>
      <c r="D347" s="144"/>
      <c r="E347" s="67"/>
      <c r="F347" s="67"/>
      <c r="G347" s="67"/>
      <c r="H347" s="67">
        <f>ROUND(+E347+G347,4)</f>
        <v>0</v>
      </c>
      <c r="I347" s="67"/>
      <c r="J347" s="67">
        <f>ROUND(+I347-H347,4)</f>
        <v>0</v>
      </c>
      <c r="K347" s="67">
        <f>ROUND(IF(F347="alluminio",0,I347*1.5%),4)</f>
        <v>0</v>
      </c>
      <c r="L347" s="67">
        <f>ROUND(IF(K347&lt;J347,K347,0),4)</f>
        <v>0</v>
      </c>
      <c r="M347" s="67">
        <f>ROUND(IF(J347&gt;K347,0,J347),4)</f>
        <v>0</v>
      </c>
      <c r="N347" s="67">
        <f>ROUND(+L347*D347,4)</f>
        <v>0</v>
      </c>
      <c r="O347" s="67">
        <f>ROUND(IF(F347="rame",0,+I347*3%),4)</f>
        <v>0</v>
      </c>
      <c r="P347" s="67">
        <f>ROUND(IF(O347&lt;J347,O347,0),4)</f>
        <v>0</v>
      </c>
      <c r="Q347" s="67">
        <f>ROUND(IF(J347&gt;O347,0,J347),4)</f>
        <v>0</v>
      </c>
      <c r="R347" s="67">
        <f>ROUND(+P347*D347,4)</f>
        <v>0</v>
      </c>
      <c r="S347" s="67">
        <f>ROUND(IF(K347=0,0,M347*D347),4)</f>
        <v>0</v>
      </c>
      <c r="T347" s="67">
        <f>ROUND(+IF(K347=0,Q347*D347,0),4)</f>
        <v>0</v>
      </c>
      <c r="U347" s="67">
        <f>ROUND(+N347+R347+S347+T347,4)</f>
        <v>0</v>
      </c>
      <c r="V347" s="67">
        <f>ROUND(IF(P347=0,0,I347-H347-O347)+IF(L347=0,0,I347-H347-K347),4)</f>
        <v>0</v>
      </c>
      <c r="W347" s="67">
        <f>ROUND(+(V347*60%)*D347,4)</f>
        <v>0</v>
      </c>
      <c r="X347" s="148">
        <f>ROUND(+U347+W347,4)</f>
        <v>0</v>
      </c>
      <c r="Y347" s="68"/>
      <c r="Z347" s="148">
        <f>ROUND(IF(X347&gt;I347,X347,I347),4)</f>
        <v>0</v>
      </c>
    </row>
    <row r="348" spans="1:26" x14ac:dyDescent="0.2">
      <c r="A348" s="66"/>
      <c r="B348" s="66"/>
      <c r="C348" s="66"/>
      <c r="D348" s="144"/>
      <c r="E348" s="67"/>
      <c r="F348" s="67"/>
      <c r="G348" s="67"/>
      <c r="H348" s="67">
        <f>ROUND(+E348+G348,4)</f>
        <v>0</v>
      </c>
      <c r="I348" s="67"/>
      <c r="J348" s="67">
        <f>ROUND(+I348-H348,4)</f>
        <v>0</v>
      </c>
      <c r="K348" s="67">
        <f>ROUND(IF(F348="alluminio",0,I348*1.5%),4)</f>
        <v>0</v>
      </c>
      <c r="L348" s="67">
        <f>ROUND(IF(K348&lt;J348,K348,0),4)</f>
        <v>0</v>
      </c>
      <c r="M348" s="67">
        <f>ROUND(IF(J348&gt;K348,0,J348),4)</f>
        <v>0</v>
      </c>
      <c r="N348" s="67">
        <f>ROUND(+L348*D348,4)</f>
        <v>0</v>
      </c>
      <c r="O348" s="67">
        <f>ROUND(IF(F348="rame",0,+I348*3%),4)</f>
        <v>0</v>
      </c>
      <c r="P348" s="67">
        <f>ROUND(IF(O348&lt;J348,O348,0),4)</f>
        <v>0</v>
      </c>
      <c r="Q348" s="67">
        <f>ROUND(IF(J348&gt;O348,0,J348),4)</f>
        <v>0</v>
      </c>
      <c r="R348" s="67">
        <f>ROUND(+P348*D348,4)</f>
        <v>0</v>
      </c>
      <c r="S348" s="67">
        <f>ROUND(IF(K348=0,0,M348*D348),4)</f>
        <v>0</v>
      </c>
      <c r="T348" s="67">
        <f>ROUND(+IF(K348=0,Q348*D348,0),4)</f>
        <v>0</v>
      </c>
      <c r="U348" s="67">
        <f>ROUND(+N348+R348+S348+T348,4)</f>
        <v>0</v>
      </c>
      <c r="V348" s="67">
        <f>ROUND(IF(P348=0,0,I348-H348-O348)+IF(L348=0,0,I348-H348-K348),4)</f>
        <v>0</v>
      </c>
      <c r="W348" s="67">
        <f>ROUND(+(V348*60%)*D348,4)</f>
        <v>0</v>
      </c>
      <c r="X348" s="148">
        <f>ROUND(+U348+W348,4)</f>
        <v>0</v>
      </c>
      <c r="Y348" s="68"/>
      <c r="Z348" s="148">
        <f>ROUND(IF(X348&gt;I348,X348,I348),4)</f>
        <v>0</v>
      </c>
    </row>
    <row r="349" spans="1:26" x14ac:dyDescent="0.2">
      <c r="A349" s="66"/>
      <c r="B349" s="66"/>
      <c r="C349" s="66"/>
      <c r="D349" s="144"/>
      <c r="E349" s="67"/>
      <c r="F349" s="67"/>
      <c r="G349" s="67"/>
      <c r="H349" s="67">
        <f>ROUND(+E349+G349,4)</f>
        <v>0</v>
      </c>
      <c r="I349" s="67"/>
      <c r="J349" s="67">
        <f>ROUND(+I349-H349,4)</f>
        <v>0</v>
      </c>
      <c r="K349" s="67">
        <f>ROUND(IF(F349="alluminio",0,I349*1.5%),4)</f>
        <v>0</v>
      </c>
      <c r="L349" s="67">
        <f>ROUND(IF(K349&lt;J349,K349,0),4)</f>
        <v>0</v>
      </c>
      <c r="M349" s="67">
        <f>ROUND(IF(J349&gt;K349,0,J349),4)</f>
        <v>0</v>
      </c>
      <c r="N349" s="67">
        <f>ROUND(+L349*D349,4)</f>
        <v>0</v>
      </c>
      <c r="O349" s="67">
        <f>ROUND(IF(F349="rame",0,+I349*3%),4)</f>
        <v>0</v>
      </c>
      <c r="P349" s="67">
        <f>ROUND(IF(O349&lt;J349,O349,0),4)</f>
        <v>0</v>
      </c>
      <c r="Q349" s="67">
        <f>ROUND(IF(J349&gt;O349,0,J349),4)</f>
        <v>0</v>
      </c>
      <c r="R349" s="67">
        <f>ROUND(+P349*D349,4)</f>
        <v>0</v>
      </c>
      <c r="S349" s="67">
        <f>ROUND(IF(K349=0,0,M349*D349),4)</f>
        <v>0</v>
      </c>
      <c r="T349" s="67">
        <f>ROUND(+IF(K349=0,Q349*D349,0),4)</f>
        <v>0</v>
      </c>
      <c r="U349" s="67">
        <f>ROUND(+N349+R349+S349+T349,4)</f>
        <v>0</v>
      </c>
      <c r="V349" s="67">
        <f>ROUND(IF(P349=0,0,I349-H349-O349)+IF(L349=0,0,I349-H349-K349),4)</f>
        <v>0</v>
      </c>
      <c r="W349" s="67">
        <f>ROUND(+(V349*60%)*D349,4)</f>
        <v>0</v>
      </c>
      <c r="X349" s="148">
        <f>ROUND(+U349+W349,4)</f>
        <v>0</v>
      </c>
      <c r="Y349" s="68"/>
      <c r="Z349" s="148">
        <f>ROUND(IF(X349&gt;I349,X349,I349),4)</f>
        <v>0</v>
      </c>
    </row>
    <row r="350" spans="1:26" x14ac:dyDescent="0.2">
      <c r="A350" s="66"/>
      <c r="B350" s="66"/>
      <c r="C350" s="66"/>
      <c r="D350" s="144"/>
      <c r="E350" s="67"/>
      <c r="F350" s="67"/>
      <c r="G350" s="67"/>
      <c r="H350" s="67">
        <f>ROUND(+E350+G350,4)</f>
        <v>0</v>
      </c>
      <c r="I350" s="67"/>
      <c r="J350" s="67">
        <f>ROUND(+I350-H350,4)</f>
        <v>0</v>
      </c>
      <c r="K350" s="67">
        <f>ROUND(IF(F350="alluminio",0,I350*1.5%),4)</f>
        <v>0</v>
      </c>
      <c r="L350" s="67">
        <f>ROUND(IF(K350&lt;J350,K350,0),4)</f>
        <v>0</v>
      </c>
      <c r="M350" s="67">
        <f>ROUND(IF(J350&gt;K350,0,J350),4)</f>
        <v>0</v>
      </c>
      <c r="N350" s="67">
        <f>ROUND(+L350*D350,4)</f>
        <v>0</v>
      </c>
      <c r="O350" s="67">
        <f>ROUND(IF(F350="rame",0,+I350*3%),4)</f>
        <v>0</v>
      </c>
      <c r="P350" s="67">
        <f>ROUND(IF(O350&lt;J350,O350,0),4)</f>
        <v>0</v>
      </c>
      <c r="Q350" s="67">
        <f>ROUND(IF(J350&gt;O350,0,J350),4)</f>
        <v>0</v>
      </c>
      <c r="R350" s="67">
        <f>ROUND(+P350*D350,4)</f>
        <v>0</v>
      </c>
      <c r="S350" s="67">
        <f>ROUND(IF(K350=0,0,M350*D350),4)</f>
        <v>0</v>
      </c>
      <c r="T350" s="67">
        <f>ROUND(+IF(K350=0,Q350*D350,0),4)</f>
        <v>0</v>
      </c>
      <c r="U350" s="67">
        <f>ROUND(+N350+R350+S350+T350,4)</f>
        <v>0</v>
      </c>
      <c r="V350" s="67">
        <f>ROUND(IF(P350=0,0,I350-H350-O350)+IF(L350=0,0,I350-H350-K350),4)</f>
        <v>0</v>
      </c>
      <c r="W350" s="67">
        <f>ROUND(+(V350*60%)*D350,4)</f>
        <v>0</v>
      </c>
      <c r="X350" s="148">
        <f>ROUND(+U350+W350,4)</f>
        <v>0</v>
      </c>
      <c r="Y350" s="68"/>
      <c r="Z350" s="148">
        <f>ROUND(IF(X350&gt;I350,X350,I350),4)</f>
        <v>0</v>
      </c>
    </row>
    <row r="351" spans="1:26" x14ac:dyDescent="0.2">
      <c r="A351" s="66"/>
      <c r="B351" s="66"/>
      <c r="C351" s="66"/>
      <c r="D351" s="144"/>
      <c r="E351" s="67"/>
      <c r="F351" s="67"/>
      <c r="G351" s="67"/>
      <c r="H351" s="67">
        <f>ROUND(+E351+G351,4)</f>
        <v>0</v>
      </c>
      <c r="I351" s="67"/>
      <c r="J351" s="67">
        <f>ROUND(+I351-H351,4)</f>
        <v>0</v>
      </c>
      <c r="K351" s="67">
        <f>ROUND(IF(F351="alluminio",0,I351*1.5%),4)</f>
        <v>0</v>
      </c>
      <c r="L351" s="67">
        <f>ROUND(IF(K351&lt;J351,K351,0),4)</f>
        <v>0</v>
      </c>
      <c r="M351" s="67">
        <f>ROUND(IF(J351&gt;K351,0,J351),4)</f>
        <v>0</v>
      </c>
      <c r="N351" s="67">
        <f>ROUND(+L351*D351,4)</f>
        <v>0</v>
      </c>
      <c r="O351" s="67">
        <f>ROUND(IF(F351="rame",0,+I351*3%),4)</f>
        <v>0</v>
      </c>
      <c r="P351" s="67">
        <f>ROUND(IF(O351&lt;J351,O351,0),4)</f>
        <v>0</v>
      </c>
      <c r="Q351" s="67">
        <f>ROUND(IF(J351&gt;O351,0,J351),4)</f>
        <v>0</v>
      </c>
      <c r="R351" s="67">
        <f>ROUND(+P351*D351,4)</f>
        <v>0</v>
      </c>
      <c r="S351" s="67">
        <f>ROUND(IF(K351=0,0,M351*D351),4)</f>
        <v>0</v>
      </c>
      <c r="T351" s="67">
        <f>ROUND(+IF(K351=0,Q351*D351,0),4)</f>
        <v>0</v>
      </c>
      <c r="U351" s="67">
        <f>ROUND(+N351+R351+S351+T351,4)</f>
        <v>0</v>
      </c>
      <c r="V351" s="67">
        <f>ROUND(IF(P351=0,0,I351-H351-O351)+IF(L351=0,0,I351-H351-K351),4)</f>
        <v>0</v>
      </c>
      <c r="W351" s="67">
        <f>ROUND(+(V351*60%)*D351,4)</f>
        <v>0</v>
      </c>
      <c r="X351" s="148">
        <f>ROUND(+U351+W351,4)</f>
        <v>0</v>
      </c>
      <c r="Y351" s="68"/>
      <c r="Z351" s="148">
        <f>ROUND(IF(X351&gt;I351,X351,I351),4)</f>
        <v>0</v>
      </c>
    </row>
    <row r="352" spans="1:26" x14ac:dyDescent="0.2">
      <c r="A352" s="66"/>
      <c r="B352" s="66"/>
      <c r="C352" s="66"/>
      <c r="D352" s="144"/>
      <c r="E352" s="67"/>
      <c r="F352" s="67"/>
      <c r="G352" s="67"/>
      <c r="H352" s="67">
        <f>ROUND(+E352+G352,4)</f>
        <v>0</v>
      </c>
      <c r="I352" s="67"/>
      <c r="J352" s="67">
        <f>ROUND(+I352-H352,4)</f>
        <v>0</v>
      </c>
      <c r="K352" s="67">
        <f>ROUND(IF(F352="alluminio",0,I352*1.5%),4)</f>
        <v>0</v>
      </c>
      <c r="L352" s="67">
        <f>ROUND(IF(K352&lt;J352,K352,0),4)</f>
        <v>0</v>
      </c>
      <c r="M352" s="67">
        <f>ROUND(IF(J352&gt;K352,0,J352),4)</f>
        <v>0</v>
      </c>
      <c r="N352" s="67">
        <f>ROUND(+L352*D352,4)</f>
        <v>0</v>
      </c>
      <c r="O352" s="67">
        <f>ROUND(IF(F352="rame",0,+I352*3%),4)</f>
        <v>0</v>
      </c>
      <c r="P352" s="67">
        <f>ROUND(IF(O352&lt;J352,O352,0),4)</f>
        <v>0</v>
      </c>
      <c r="Q352" s="67">
        <f>ROUND(IF(J352&gt;O352,0,J352),4)</f>
        <v>0</v>
      </c>
      <c r="R352" s="67">
        <f>ROUND(+P352*D352,4)</f>
        <v>0</v>
      </c>
      <c r="S352" s="67">
        <f>ROUND(IF(K352=0,0,M352*D352),4)</f>
        <v>0</v>
      </c>
      <c r="T352" s="67">
        <f>ROUND(+IF(K352=0,Q352*D352,0),4)</f>
        <v>0</v>
      </c>
      <c r="U352" s="67">
        <f>ROUND(+N352+R352+S352+T352,4)</f>
        <v>0</v>
      </c>
      <c r="V352" s="67">
        <f>ROUND(IF(P352=0,0,I352-H352-O352)+IF(L352=0,0,I352-H352-K352),4)</f>
        <v>0</v>
      </c>
      <c r="W352" s="67">
        <f>ROUND(+(V352*60%)*D352,4)</f>
        <v>0</v>
      </c>
      <c r="X352" s="148">
        <f>ROUND(+U352+W352,4)</f>
        <v>0</v>
      </c>
      <c r="Y352" s="68"/>
      <c r="Z352" s="148">
        <f>ROUND(IF(X352&gt;I352,X352,I352),4)</f>
        <v>0</v>
      </c>
    </row>
    <row r="353" spans="1:26" x14ac:dyDescent="0.2">
      <c r="A353" s="66"/>
      <c r="B353" s="66"/>
      <c r="C353" s="66"/>
      <c r="D353" s="144"/>
      <c r="E353" s="67"/>
      <c r="F353" s="67"/>
      <c r="G353" s="67"/>
      <c r="H353" s="67">
        <f>ROUND(+E353+G353,4)</f>
        <v>0</v>
      </c>
      <c r="I353" s="67"/>
      <c r="J353" s="67">
        <f>ROUND(+I353-H353,4)</f>
        <v>0</v>
      </c>
      <c r="K353" s="67">
        <f>ROUND(IF(F353="alluminio",0,I353*1.5%),4)</f>
        <v>0</v>
      </c>
      <c r="L353" s="67">
        <f>ROUND(IF(K353&lt;J353,K353,0),4)</f>
        <v>0</v>
      </c>
      <c r="M353" s="67">
        <f>ROUND(IF(J353&gt;K353,0,J353),4)</f>
        <v>0</v>
      </c>
      <c r="N353" s="67">
        <f>ROUND(+L353*D353,4)</f>
        <v>0</v>
      </c>
      <c r="O353" s="67">
        <f>ROUND(IF(F353="rame",0,+I353*3%),4)</f>
        <v>0</v>
      </c>
      <c r="P353" s="67">
        <f>ROUND(IF(O353&lt;J353,O353,0),4)</f>
        <v>0</v>
      </c>
      <c r="Q353" s="67">
        <f>ROUND(IF(J353&gt;O353,0,J353),4)</f>
        <v>0</v>
      </c>
      <c r="R353" s="67">
        <f>ROUND(+P353*D353,4)</f>
        <v>0</v>
      </c>
      <c r="S353" s="67">
        <f>ROUND(IF(K353=0,0,M353*D353),4)</f>
        <v>0</v>
      </c>
      <c r="T353" s="67">
        <f>ROUND(+IF(K353=0,Q353*D353,0),4)</f>
        <v>0</v>
      </c>
      <c r="U353" s="67">
        <f>ROUND(+N353+R353+S353+T353,4)</f>
        <v>0</v>
      </c>
      <c r="V353" s="67">
        <f>ROUND(IF(P353=0,0,I353-H353-O353)+IF(L353=0,0,I353-H353-K353),4)</f>
        <v>0</v>
      </c>
      <c r="W353" s="67">
        <f>ROUND(+(V353*60%)*D353,4)</f>
        <v>0</v>
      </c>
      <c r="X353" s="148">
        <f>ROUND(+U353+W353,4)</f>
        <v>0</v>
      </c>
      <c r="Y353" s="68"/>
      <c r="Z353" s="148">
        <f>ROUND(IF(X353&gt;I353,X353,I353),4)</f>
        <v>0</v>
      </c>
    </row>
    <row r="354" spans="1:26" x14ac:dyDescent="0.2">
      <c r="A354" s="66"/>
      <c r="B354" s="66"/>
      <c r="C354" s="66"/>
      <c r="D354" s="144"/>
      <c r="E354" s="67"/>
      <c r="F354" s="67"/>
      <c r="G354" s="67"/>
      <c r="H354" s="67">
        <f>ROUND(+E354+G354,4)</f>
        <v>0</v>
      </c>
      <c r="I354" s="67"/>
      <c r="J354" s="67">
        <f>ROUND(+I354-H354,4)</f>
        <v>0</v>
      </c>
      <c r="K354" s="67">
        <f>ROUND(IF(F354="alluminio",0,I354*1.5%),4)</f>
        <v>0</v>
      </c>
      <c r="L354" s="67">
        <f>ROUND(IF(K354&lt;J354,K354,0),4)</f>
        <v>0</v>
      </c>
      <c r="M354" s="67">
        <f>ROUND(IF(J354&gt;K354,0,J354),4)</f>
        <v>0</v>
      </c>
      <c r="N354" s="67">
        <f>ROUND(+L354*D354,4)</f>
        <v>0</v>
      </c>
      <c r="O354" s="67">
        <f>ROUND(IF(F354="rame",0,+I354*3%),4)</f>
        <v>0</v>
      </c>
      <c r="P354" s="67">
        <f>ROUND(IF(O354&lt;J354,O354,0),4)</f>
        <v>0</v>
      </c>
      <c r="Q354" s="67">
        <f>ROUND(IF(J354&gt;O354,0,J354),4)</f>
        <v>0</v>
      </c>
      <c r="R354" s="67">
        <f>ROUND(+P354*D354,4)</f>
        <v>0</v>
      </c>
      <c r="S354" s="67">
        <f>ROUND(IF(K354=0,0,M354*D354),4)</f>
        <v>0</v>
      </c>
      <c r="T354" s="67">
        <f>ROUND(+IF(K354=0,Q354*D354,0),4)</f>
        <v>0</v>
      </c>
      <c r="U354" s="67">
        <f>ROUND(+N354+R354+S354+T354,4)</f>
        <v>0</v>
      </c>
      <c r="V354" s="67">
        <f>ROUND(IF(P354=0,0,I354-H354-O354)+IF(L354=0,0,I354-H354-K354),4)</f>
        <v>0</v>
      </c>
      <c r="W354" s="67">
        <f>ROUND(+(V354*60%)*D354,4)</f>
        <v>0</v>
      </c>
      <c r="X354" s="148">
        <f>ROUND(+U354+W354,4)</f>
        <v>0</v>
      </c>
      <c r="Y354" s="68"/>
      <c r="Z354" s="148">
        <f>ROUND(IF(X354&gt;I354,X354,I354),4)</f>
        <v>0</v>
      </c>
    </row>
    <row r="355" spans="1:26" x14ac:dyDescent="0.2">
      <c r="A355" s="66"/>
      <c r="B355" s="66"/>
      <c r="C355" s="66"/>
      <c r="D355" s="144"/>
      <c r="E355" s="67"/>
      <c r="F355" s="67"/>
      <c r="G355" s="67"/>
      <c r="H355" s="67">
        <f>ROUND(+E355+G355,4)</f>
        <v>0</v>
      </c>
      <c r="I355" s="67"/>
      <c r="J355" s="67">
        <f>ROUND(+I355-H355,4)</f>
        <v>0</v>
      </c>
      <c r="K355" s="67">
        <f>ROUND(IF(F355="alluminio",0,I355*1.5%),4)</f>
        <v>0</v>
      </c>
      <c r="L355" s="67">
        <f>ROUND(IF(K355&lt;J355,K355,0),4)</f>
        <v>0</v>
      </c>
      <c r="M355" s="67">
        <f>ROUND(IF(J355&gt;K355,0,J355),4)</f>
        <v>0</v>
      </c>
      <c r="N355" s="67">
        <f>ROUND(+L355*D355,4)</f>
        <v>0</v>
      </c>
      <c r="O355" s="67">
        <f>ROUND(IF(F355="rame",0,+I355*3%),4)</f>
        <v>0</v>
      </c>
      <c r="P355" s="67">
        <f>ROUND(IF(O355&lt;J355,O355,0),4)</f>
        <v>0</v>
      </c>
      <c r="Q355" s="67">
        <f>ROUND(IF(J355&gt;O355,0,J355),4)</f>
        <v>0</v>
      </c>
      <c r="R355" s="67">
        <f>ROUND(+P355*D355,4)</f>
        <v>0</v>
      </c>
      <c r="S355" s="67">
        <f>ROUND(IF(K355=0,0,M355*D355),4)</f>
        <v>0</v>
      </c>
      <c r="T355" s="67">
        <f>ROUND(+IF(K355=0,Q355*D355,0),4)</f>
        <v>0</v>
      </c>
      <c r="U355" s="67">
        <f>ROUND(+N355+R355+S355+T355,4)</f>
        <v>0</v>
      </c>
      <c r="V355" s="67">
        <f>ROUND(IF(P355=0,0,I355-H355-O355)+IF(L355=0,0,I355-H355-K355),4)</f>
        <v>0</v>
      </c>
      <c r="W355" s="67">
        <f>ROUND(+(V355*60%)*D355,4)</f>
        <v>0</v>
      </c>
      <c r="X355" s="148">
        <f>ROUND(+U355+W355,4)</f>
        <v>0</v>
      </c>
      <c r="Y355" s="68"/>
      <c r="Z355" s="148">
        <f>ROUND(IF(X355&gt;I355,X355,I355),4)</f>
        <v>0</v>
      </c>
    </row>
    <row r="356" spans="1:26" x14ac:dyDescent="0.2">
      <c r="A356" s="66"/>
      <c r="B356" s="66"/>
      <c r="C356" s="66"/>
      <c r="D356" s="144"/>
      <c r="E356" s="67"/>
      <c r="F356" s="67"/>
      <c r="G356" s="67"/>
      <c r="H356" s="67">
        <f>ROUND(+E356+G356,4)</f>
        <v>0</v>
      </c>
      <c r="I356" s="67"/>
      <c r="J356" s="67">
        <f>ROUND(+I356-H356,4)</f>
        <v>0</v>
      </c>
      <c r="K356" s="67">
        <f>ROUND(IF(F356="alluminio",0,I356*1.5%),4)</f>
        <v>0</v>
      </c>
      <c r="L356" s="67">
        <f>ROUND(IF(K356&lt;J356,K356,0),4)</f>
        <v>0</v>
      </c>
      <c r="M356" s="67">
        <f>ROUND(IF(J356&gt;K356,0,J356),4)</f>
        <v>0</v>
      </c>
      <c r="N356" s="67">
        <f>ROUND(+L356*D356,4)</f>
        <v>0</v>
      </c>
      <c r="O356" s="67">
        <f>ROUND(IF(F356="rame",0,+I356*3%),4)</f>
        <v>0</v>
      </c>
      <c r="P356" s="67">
        <f>ROUND(IF(O356&lt;J356,O356,0),4)</f>
        <v>0</v>
      </c>
      <c r="Q356" s="67">
        <f>ROUND(IF(J356&gt;O356,0,J356),4)</f>
        <v>0</v>
      </c>
      <c r="R356" s="67">
        <f>ROUND(+P356*D356,4)</f>
        <v>0</v>
      </c>
      <c r="S356" s="67">
        <f>ROUND(IF(K356=0,0,M356*D356),4)</f>
        <v>0</v>
      </c>
      <c r="T356" s="67">
        <f>ROUND(+IF(K356=0,Q356*D356,0),4)</f>
        <v>0</v>
      </c>
      <c r="U356" s="67">
        <f>ROUND(+N356+R356+S356+T356,4)</f>
        <v>0</v>
      </c>
      <c r="V356" s="67">
        <f>ROUND(IF(P356=0,0,I356-H356-O356)+IF(L356=0,0,I356-H356-K356),4)</f>
        <v>0</v>
      </c>
      <c r="W356" s="67">
        <f>ROUND(+(V356*60%)*D356,4)</f>
        <v>0</v>
      </c>
      <c r="X356" s="148">
        <f>ROUND(+U356+W356,4)</f>
        <v>0</v>
      </c>
      <c r="Y356" s="68"/>
      <c r="Z356" s="148">
        <f>ROUND(IF(X356&gt;I356,X356,I356),4)</f>
        <v>0</v>
      </c>
    </row>
    <row r="357" spans="1:26" x14ac:dyDescent="0.2">
      <c r="A357" s="66"/>
      <c r="B357" s="66"/>
      <c r="C357" s="66"/>
      <c r="D357" s="144"/>
      <c r="E357" s="67"/>
      <c r="F357" s="67"/>
      <c r="G357" s="67"/>
      <c r="H357" s="67">
        <f>ROUND(+E357+G357,4)</f>
        <v>0</v>
      </c>
      <c r="I357" s="67"/>
      <c r="J357" s="67">
        <f>ROUND(+I357-H357,4)</f>
        <v>0</v>
      </c>
      <c r="K357" s="67">
        <f>ROUND(IF(F357="alluminio",0,I357*1.5%),4)</f>
        <v>0</v>
      </c>
      <c r="L357" s="67">
        <f>ROUND(IF(K357&lt;J357,K357,0),4)</f>
        <v>0</v>
      </c>
      <c r="M357" s="67">
        <f>ROUND(IF(J357&gt;K357,0,J357),4)</f>
        <v>0</v>
      </c>
      <c r="N357" s="67">
        <f>ROUND(+L357*D357,4)</f>
        <v>0</v>
      </c>
      <c r="O357" s="67">
        <f>ROUND(IF(F357="rame",0,+I357*3%),4)</f>
        <v>0</v>
      </c>
      <c r="P357" s="67">
        <f>ROUND(IF(O357&lt;J357,O357,0),4)</f>
        <v>0</v>
      </c>
      <c r="Q357" s="67">
        <f>ROUND(IF(J357&gt;O357,0,J357),4)</f>
        <v>0</v>
      </c>
      <c r="R357" s="67">
        <f>ROUND(+P357*D357,4)</f>
        <v>0</v>
      </c>
      <c r="S357" s="67">
        <f>ROUND(IF(K357=0,0,M357*D357),4)</f>
        <v>0</v>
      </c>
      <c r="T357" s="67">
        <f>ROUND(+IF(K357=0,Q357*D357,0),4)</f>
        <v>0</v>
      </c>
      <c r="U357" s="67">
        <f>ROUND(+N357+R357+S357+T357,4)</f>
        <v>0</v>
      </c>
      <c r="V357" s="67">
        <f>ROUND(IF(P357=0,0,I357-H357-O357)+IF(L357=0,0,I357-H357-K357),4)</f>
        <v>0</v>
      </c>
      <c r="W357" s="67">
        <f>ROUND(+(V357*60%)*D357,4)</f>
        <v>0</v>
      </c>
      <c r="X357" s="148">
        <f>ROUND(+U357+W357,4)</f>
        <v>0</v>
      </c>
      <c r="Y357" s="68"/>
      <c r="Z357" s="148">
        <f>ROUND(IF(X357&gt;I357,X357,I357),4)</f>
        <v>0</v>
      </c>
    </row>
    <row r="358" spans="1:26" x14ac:dyDescent="0.2">
      <c r="A358" s="66"/>
      <c r="B358" s="66"/>
      <c r="C358" s="66"/>
      <c r="D358" s="144"/>
      <c r="E358" s="67"/>
      <c r="F358" s="67"/>
      <c r="G358" s="67"/>
      <c r="H358" s="67">
        <f>ROUND(+E358+G358,4)</f>
        <v>0</v>
      </c>
      <c r="I358" s="67"/>
      <c r="J358" s="67">
        <f>ROUND(+I358-H358,4)</f>
        <v>0</v>
      </c>
      <c r="K358" s="67">
        <f>ROUND(IF(F358="alluminio",0,I358*1.5%),4)</f>
        <v>0</v>
      </c>
      <c r="L358" s="67">
        <f>ROUND(IF(K358&lt;J358,K358,0),4)</f>
        <v>0</v>
      </c>
      <c r="M358" s="67">
        <f>ROUND(IF(J358&gt;K358,0,J358),4)</f>
        <v>0</v>
      </c>
      <c r="N358" s="67">
        <f>ROUND(+L358*D358,4)</f>
        <v>0</v>
      </c>
      <c r="O358" s="67">
        <f>ROUND(IF(F358="rame",0,+I358*3%),4)</f>
        <v>0</v>
      </c>
      <c r="P358" s="67">
        <f>ROUND(IF(O358&lt;J358,O358,0),4)</f>
        <v>0</v>
      </c>
      <c r="Q358" s="67">
        <f>ROUND(IF(J358&gt;O358,0,J358),4)</f>
        <v>0</v>
      </c>
      <c r="R358" s="67">
        <f>ROUND(+P358*D358,4)</f>
        <v>0</v>
      </c>
      <c r="S358" s="67">
        <f>ROUND(IF(K358=0,0,M358*D358),4)</f>
        <v>0</v>
      </c>
      <c r="T358" s="67">
        <f>ROUND(+IF(K358=0,Q358*D358,0),4)</f>
        <v>0</v>
      </c>
      <c r="U358" s="67">
        <f>ROUND(+N358+R358+S358+T358,4)</f>
        <v>0</v>
      </c>
      <c r="V358" s="67">
        <f>ROUND(IF(P358=0,0,I358-H358-O358)+IF(L358=0,0,I358-H358-K358),4)</f>
        <v>0</v>
      </c>
      <c r="W358" s="67">
        <f>ROUND(+(V358*60%)*D358,4)</f>
        <v>0</v>
      </c>
      <c r="X358" s="148">
        <f>ROUND(+U358+W358,4)</f>
        <v>0</v>
      </c>
      <c r="Y358" s="68"/>
      <c r="Z358" s="148">
        <f>ROUND(IF(X358&gt;I358,X358,I358),4)</f>
        <v>0</v>
      </c>
    </row>
    <row r="359" spans="1:26" x14ac:dyDescent="0.2">
      <c r="A359" s="66"/>
      <c r="B359" s="66"/>
      <c r="C359" s="66"/>
      <c r="D359" s="144"/>
      <c r="E359" s="67"/>
      <c r="F359" s="67"/>
      <c r="G359" s="67"/>
      <c r="H359" s="67">
        <f>ROUND(+E359+G359,4)</f>
        <v>0</v>
      </c>
      <c r="I359" s="67"/>
      <c r="J359" s="67">
        <f>ROUND(+I359-H359,4)</f>
        <v>0</v>
      </c>
      <c r="K359" s="67">
        <f>ROUND(IF(F359="alluminio",0,I359*1.5%),4)</f>
        <v>0</v>
      </c>
      <c r="L359" s="67">
        <f>ROUND(IF(K359&lt;J359,K359,0),4)</f>
        <v>0</v>
      </c>
      <c r="M359" s="67">
        <f>ROUND(IF(J359&gt;K359,0,J359),4)</f>
        <v>0</v>
      </c>
      <c r="N359" s="67">
        <f>ROUND(+L359*D359,4)</f>
        <v>0</v>
      </c>
      <c r="O359" s="67">
        <f>ROUND(IF(F359="rame",0,+I359*3%),4)</f>
        <v>0</v>
      </c>
      <c r="P359" s="67">
        <f>ROUND(IF(O359&lt;J359,O359,0),4)</f>
        <v>0</v>
      </c>
      <c r="Q359" s="67">
        <f>ROUND(IF(J359&gt;O359,0,J359),4)</f>
        <v>0</v>
      </c>
      <c r="R359" s="67">
        <f>ROUND(+P359*D359,4)</f>
        <v>0</v>
      </c>
      <c r="S359" s="67">
        <f>ROUND(IF(K359=0,0,M359*D359),4)</f>
        <v>0</v>
      </c>
      <c r="T359" s="67">
        <f>ROUND(+IF(K359=0,Q359*D359,0),4)</f>
        <v>0</v>
      </c>
      <c r="U359" s="67">
        <f>ROUND(+N359+R359+S359+T359,4)</f>
        <v>0</v>
      </c>
      <c r="V359" s="67">
        <f>ROUND(IF(P359=0,0,I359-H359-O359)+IF(L359=0,0,I359-H359-K359),4)</f>
        <v>0</v>
      </c>
      <c r="W359" s="67">
        <f>ROUND(+(V359*60%)*D359,4)</f>
        <v>0</v>
      </c>
      <c r="X359" s="148">
        <f>ROUND(+U359+W359,4)</f>
        <v>0</v>
      </c>
      <c r="Y359" s="68"/>
      <c r="Z359" s="148">
        <f>ROUND(IF(X359&gt;I359,X359,I359),4)</f>
        <v>0</v>
      </c>
    </row>
    <row r="360" spans="1:26" x14ac:dyDescent="0.2">
      <c r="A360" s="66"/>
      <c r="B360" s="66"/>
      <c r="C360" s="66"/>
      <c r="D360" s="144"/>
      <c r="E360" s="67"/>
      <c r="F360" s="67"/>
      <c r="G360" s="67"/>
      <c r="H360" s="67">
        <f>ROUND(+E360+G360,4)</f>
        <v>0</v>
      </c>
      <c r="I360" s="67"/>
      <c r="J360" s="67">
        <f>ROUND(+I360-H360,4)</f>
        <v>0</v>
      </c>
      <c r="K360" s="67">
        <f>ROUND(IF(F360="alluminio",0,I360*1.5%),4)</f>
        <v>0</v>
      </c>
      <c r="L360" s="67">
        <f>ROUND(IF(K360&lt;J360,K360,0),4)</f>
        <v>0</v>
      </c>
      <c r="M360" s="67">
        <f>ROUND(IF(J360&gt;K360,0,J360),4)</f>
        <v>0</v>
      </c>
      <c r="N360" s="67">
        <f>ROUND(+L360*D360,4)</f>
        <v>0</v>
      </c>
      <c r="O360" s="67">
        <f>ROUND(IF(F360="rame",0,+I360*3%),4)</f>
        <v>0</v>
      </c>
      <c r="P360" s="67">
        <f>ROUND(IF(O360&lt;J360,O360,0),4)</f>
        <v>0</v>
      </c>
      <c r="Q360" s="67">
        <f>ROUND(IF(J360&gt;O360,0,J360),4)</f>
        <v>0</v>
      </c>
      <c r="R360" s="67">
        <f>ROUND(+P360*D360,4)</f>
        <v>0</v>
      </c>
      <c r="S360" s="67">
        <f>ROUND(IF(K360=0,0,M360*D360),4)</f>
        <v>0</v>
      </c>
      <c r="T360" s="67">
        <f>ROUND(+IF(K360=0,Q360*D360,0),4)</f>
        <v>0</v>
      </c>
      <c r="U360" s="67">
        <f>ROUND(+N360+R360+S360+T360,4)</f>
        <v>0</v>
      </c>
      <c r="V360" s="67">
        <f>ROUND(IF(P360=0,0,I360-H360-O360)+IF(L360=0,0,I360-H360-K360),4)</f>
        <v>0</v>
      </c>
      <c r="W360" s="67">
        <f>ROUND(+(V360*60%)*D360,4)</f>
        <v>0</v>
      </c>
      <c r="X360" s="148">
        <f>ROUND(+U360+W360,4)</f>
        <v>0</v>
      </c>
      <c r="Y360" s="68"/>
      <c r="Z360" s="148">
        <f>ROUND(IF(X360&gt;I360,X360,I360),4)</f>
        <v>0</v>
      </c>
    </row>
    <row r="361" spans="1:26" x14ac:dyDescent="0.2">
      <c r="A361" s="66"/>
      <c r="B361" s="66"/>
      <c r="C361" s="66"/>
      <c r="D361" s="144"/>
      <c r="E361" s="67"/>
      <c r="F361" s="67"/>
      <c r="G361" s="67"/>
      <c r="H361" s="67">
        <f>ROUND(+E361+G361,4)</f>
        <v>0</v>
      </c>
      <c r="I361" s="67"/>
      <c r="J361" s="67">
        <f>ROUND(+I361-H361,4)</f>
        <v>0</v>
      </c>
      <c r="K361" s="67">
        <f>ROUND(IF(F361="alluminio",0,I361*1.5%),4)</f>
        <v>0</v>
      </c>
      <c r="L361" s="67">
        <f>ROUND(IF(K361&lt;J361,K361,0),4)</f>
        <v>0</v>
      </c>
      <c r="M361" s="67">
        <f>ROUND(IF(J361&gt;K361,0,J361),4)</f>
        <v>0</v>
      </c>
      <c r="N361" s="67">
        <f>ROUND(+L361*D361,4)</f>
        <v>0</v>
      </c>
      <c r="O361" s="67">
        <f>ROUND(IF(F361="rame",0,+I361*3%),4)</f>
        <v>0</v>
      </c>
      <c r="P361" s="67">
        <f>ROUND(IF(O361&lt;J361,O361,0),4)</f>
        <v>0</v>
      </c>
      <c r="Q361" s="67">
        <f>ROUND(IF(J361&gt;O361,0,J361),4)</f>
        <v>0</v>
      </c>
      <c r="R361" s="67">
        <f>ROUND(+P361*D361,4)</f>
        <v>0</v>
      </c>
      <c r="S361" s="67">
        <f>ROUND(IF(K361=0,0,M361*D361),4)</f>
        <v>0</v>
      </c>
      <c r="T361" s="67">
        <f>ROUND(+IF(K361=0,Q361*D361,0),4)</f>
        <v>0</v>
      </c>
      <c r="U361" s="67">
        <f>ROUND(+N361+R361+S361+T361,4)</f>
        <v>0</v>
      </c>
      <c r="V361" s="67">
        <f>ROUND(IF(P361=0,0,I361-H361-O361)+IF(L361=0,0,I361-H361-K361),4)</f>
        <v>0</v>
      </c>
      <c r="W361" s="67">
        <f>ROUND(+(V361*60%)*D361,4)</f>
        <v>0</v>
      </c>
      <c r="X361" s="148">
        <f>ROUND(+U361+W361,4)</f>
        <v>0</v>
      </c>
      <c r="Y361" s="68"/>
      <c r="Z361" s="148">
        <f>ROUND(IF(X361&gt;I361,X361,I361),4)</f>
        <v>0</v>
      </c>
    </row>
    <row r="362" spans="1:26" x14ac:dyDescent="0.2">
      <c r="A362" s="66"/>
      <c r="B362" s="66"/>
      <c r="C362" s="66"/>
      <c r="D362" s="144"/>
      <c r="E362" s="67"/>
      <c r="F362" s="67"/>
      <c r="G362" s="67"/>
      <c r="H362" s="67">
        <f>ROUND(+E362+G362,4)</f>
        <v>0</v>
      </c>
      <c r="I362" s="67"/>
      <c r="J362" s="67">
        <f>ROUND(+I362-H362,4)</f>
        <v>0</v>
      </c>
      <c r="K362" s="67">
        <f>ROUND(IF(F362="alluminio",0,I362*1.5%),4)</f>
        <v>0</v>
      </c>
      <c r="L362" s="67">
        <f>ROUND(IF(K362&lt;J362,K362,0),4)</f>
        <v>0</v>
      </c>
      <c r="M362" s="67">
        <f>ROUND(IF(J362&gt;K362,0,J362),4)</f>
        <v>0</v>
      </c>
      <c r="N362" s="67">
        <f>ROUND(+L362*D362,4)</f>
        <v>0</v>
      </c>
      <c r="O362" s="67">
        <f>ROUND(IF(F362="rame",0,+I362*3%),4)</f>
        <v>0</v>
      </c>
      <c r="P362" s="67">
        <f>ROUND(IF(O362&lt;J362,O362,0),4)</f>
        <v>0</v>
      </c>
      <c r="Q362" s="67">
        <f>ROUND(IF(J362&gt;O362,0,J362),4)</f>
        <v>0</v>
      </c>
      <c r="R362" s="67">
        <f>ROUND(+P362*D362,4)</f>
        <v>0</v>
      </c>
      <c r="S362" s="67">
        <f>ROUND(IF(K362=0,0,M362*D362),4)</f>
        <v>0</v>
      </c>
      <c r="T362" s="67">
        <f>ROUND(+IF(K362=0,Q362*D362,0),4)</f>
        <v>0</v>
      </c>
      <c r="U362" s="67">
        <f>ROUND(+N362+R362+S362+T362,4)</f>
        <v>0</v>
      </c>
      <c r="V362" s="67">
        <f>ROUND(IF(P362=0,0,I362-H362-O362)+IF(L362=0,0,I362-H362-K362),4)</f>
        <v>0</v>
      </c>
      <c r="W362" s="67">
        <f>ROUND(+(V362*60%)*D362,4)</f>
        <v>0</v>
      </c>
      <c r="X362" s="148">
        <f>ROUND(+U362+W362,4)</f>
        <v>0</v>
      </c>
      <c r="Y362" s="68"/>
      <c r="Z362" s="148">
        <f>ROUND(IF(X362&gt;I362,X362,I362),4)</f>
        <v>0</v>
      </c>
    </row>
    <row r="363" spans="1:26" x14ac:dyDescent="0.2">
      <c r="A363" s="66"/>
      <c r="B363" s="66"/>
      <c r="C363" s="66"/>
      <c r="D363" s="144"/>
      <c r="E363" s="67"/>
      <c r="F363" s="67"/>
      <c r="G363" s="67"/>
      <c r="H363" s="67">
        <f>ROUND(+E363+G363,4)</f>
        <v>0</v>
      </c>
      <c r="I363" s="67"/>
      <c r="J363" s="67">
        <f>ROUND(+I363-H363,4)</f>
        <v>0</v>
      </c>
      <c r="K363" s="67">
        <f>ROUND(IF(F363="alluminio",0,I363*1.5%),4)</f>
        <v>0</v>
      </c>
      <c r="L363" s="67">
        <f>ROUND(IF(K363&lt;J363,K363,0),4)</f>
        <v>0</v>
      </c>
      <c r="M363" s="67">
        <f>ROUND(IF(J363&gt;K363,0,J363),4)</f>
        <v>0</v>
      </c>
      <c r="N363" s="67">
        <f>ROUND(+L363*D363,4)</f>
        <v>0</v>
      </c>
      <c r="O363" s="67">
        <f>ROUND(IF(F363="rame",0,+I363*3%),4)</f>
        <v>0</v>
      </c>
      <c r="P363" s="67">
        <f>ROUND(IF(O363&lt;J363,O363,0),4)</f>
        <v>0</v>
      </c>
      <c r="Q363" s="67">
        <f>ROUND(IF(J363&gt;O363,0,J363),4)</f>
        <v>0</v>
      </c>
      <c r="R363" s="67">
        <f>ROUND(+P363*D363,4)</f>
        <v>0</v>
      </c>
      <c r="S363" s="67">
        <f>ROUND(IF(K363=0,0,M363*D363),4)</f>
        <v>0</v>
      </c>
      <c r="T363" s="67">
        <f>ROUND(+IF(K363=0,Q363*D363,0),4)</f>
        <v>0</v>
      </c>
      <c r="U363" s="67">
        <f>ROUND(+N363+R363+S363+T363,4)</f>
        <v>0</v>
      </c>
      <c r="V363" s="67">
        <f>ROUND(IF(P363=0,0,I363-H363-O363)+IF(L363=0,0,I363-H363-K363),4)</f>
        <v>0</v>
      </c>
      <c r="W363" s="67">
        <f>ROUND(+(V363*60%)*D363,4)</f>
        <v>0</v>
      </c>
      <c r="X363" s="148">
        <f>ROUND(+U363+W363,4)</f>
        <v>0</v>
      </c>
      <c r="Y363" s="68"/>
      <c r="Z363" s="148">
        <f>ROUND(IF(X363&gt;I363,X363,I363),4)</f>
        <v>0</v>
      </c>
    </row>
    <row r="364" spans="1:26" x14ac:dyDescent="0.2">
      <c r="A364" s="66"/>
      <c r="B364" s="66"/>
      <c r="C364" s="66"/>
      <c r="D364" s="144"/>
      <c r="E364" s="67"/>
      <c r="F364" s="67"/>
      <c r="G364" s="67"/>
      <c r="H364" s="67">
        <f>ROUND(+E364+G364,4)</f>
        <v>0</v>
      </c>
      <c r="I364" s="67"/>
      <c r="J364" s="67">
        <f>ROUND(+I364-H364,4)</f>
        <v>0</v>
      </c>
      <c r="K364" s="67">
        <f>ROUND(IF(F364="alluminio",0,I364*1.5%),4)</f>
        <v>0</v>
      </c>
      <c r="L364" s="67">
        <f>ROUND(IF(K364&lt;J364,K364,0),4)</f>
        <v>0</v>
      </c>
      <c r="M364" s="67">
        <f>ROUND(IF(J364&gt;K364,0,J364),4)</f>
        <v>0</v>
      </c>
      <c r="N364" s="67">
        <f>ROUND(+L364*D364,4)</f>
        <v>0</v>
      </c>
      <c r="O364" s="67">
        <f>ROUND(IF(F364="rame",0,+I364*3%),4)</f>
        <v>0</v>
      </c>
      <c r="P364" s="67">
        <f>ROUND(IF(O364&lt;J364,O364,0),4)</f>
        <v>0</v>
      </c>
      <c r="Q364" s="67">
        <f>ROUND(IF(J364&gt;O364,0,J364),4)</f>
        <v>0</v>
      </c>
      <c r="R364" s="67">
        <f>ROUND(+P364*D364,4)</f>
        <v>0</v>
      </c>
      <c r="S364" s="67">
        <f>ROUND(IF(K364=0,0,M364*D364),4)</f>
        <v>0</v>
      </c>
      <c r="T364" s="67">
        <f>ROUND(+IF(K364=0,Q364*D364,0),4)</f>
        <v>0</v>
      </c>
      <c r="U364" s="67">
        <f>ROUND(+N364+R364+S364+T364,4)</f>
        <v>0</v>
      </c>
      <c r="V364" s="67">
        <f>ROUND(IF(P364=0,0,I364-H364-O364)+IF(L364=0,0,I364-H364-K364),4)</f>
        <v>0</v>
      </c>
      <c r="W364" s="67">
        <f>ROUND(+(V364*60%)*D364,4)</f>
        <v>0</v>
      </c>
      <c r="X364" s="148">
        <f>ROUND(+U364+W364,4)</f>
        <v>0</v>
      </c>
      <c r="Y364" s="68"/>
      <c r="Z364" s="148">
        <f>ROUND(IF(X364&gt;I364,X364,I364),4)</f>
        <v>0</v>
      </c>
    </row>
    <row r="365" spans="1:26" x14ac:dyDescent="0.2">
      <c r="A365" s="66"/>
      <c r="B365" s="66"/>
      <c r="C365" s="66"/>
      <c r="D365" s="144"/>
      <c r="E365" s="67"/>
      <c r="F365" s="67"/>
      <c r="G365" s="67"/>
      <c r="H365" s="67">
        <f>ROUND(+E365+G365,4)</f>
        <v>0</v>
      </c>
      <c r="I365" s="67"/>
      <c r="J365" s="67">
        <f>ROUND(+I365-H365,4)</f>
        <v>0</v>
      </c>
      <c r="K365" s="67">
        <f>ROUND(IF(F365="alluminio",0,I365*1.5%),4)</f>
        <v>0</v>
      </c>
      <c r="L365" s="67">
        <f>ROUND(IF(K365&lt;J365,K365,0),4)</f>
        <v>0</v>
      </c>
      <c r="M365" s="67">
        <f>ROUND(IF(J365&gt;K365,0,J365),4)</f>
        <v>0</v>
      </c>
      <c r="N365" s="67">
        <f>ROUND(+L365*D365,4)</f>
        <v>0</v>
      </c>
      <c r="O365" s="67">
        <f>ROUND(IF(F365="rame",0,+I365*3%),4)</f>
        <v>0</v>
      </c>
      <c r="P365" s="67">
        <f>ROUND(IF(O365&lt;J365,O365,0),4)</f>
        <v>0</v>
      </c>
      <c r="Q365" s="67">
        <f>ROUND(IF(J365&gt;O365,0,J365),4)</f>
        <v>0</v>
      </c>
      <c r="R365" s="67">
        <f>ROUND(+P365*D365,4)</f>
        <v>0</v>
      </c>
      <c r="S365" s="67">
        <f>ROUND(IF(K365=0,0,M365*D365),4)</f>
        <v>0</v>
      </c>
      <c r="T365" s="67">
        <f>ROUND(+IF(K365=0,Q365*D365,0),4)</f>
        <v>0</v>
      </c>
      <c r="U365" s="67">
        <f>ROUND(+N365+R365+S365+T365,4)</f>
        <v>0</v>
      </c>
      <c r="V365" s="67">
        <f>ROUND(IF(P365=0,0,I365-H365-O365)+IF(L365=0,0,I365-H365-K365),4)</f>
        <v>0</v>
      </c>
      <c r="W365" s="67">
        <f>ROUND(+(V365*60%)*D365,4)</f>
        <v>0</v>
      </c>
      <c r="X365" s="148">
        <f>ROUND(+U365+W365,4)</f>
        <v>0</v>
      </c>
      <c r="Y365" s="68"/>
      <c r="Z365" s="148">
        <f>ROUND(IF(X365&gt;I365,X365,I365),4)</f>
        <v>0</v>
      </c>
    </row>
    <row r="366" spans="1:26" x14ac:dyDescent="0.2">
      <c r="A366" s="66"/>
      <c r="B366" s="66"/>
      <c r="C366" s="66"/>
      <c r="D366" s="144"/>
      <c r="E366" s="67"/>
      <c r="F366" s="67"/>
      <c r="G366" s="67"/>
      <c r="H366" s="67">
        <f>ROUND(+E366+G366,4)</f>
        <v>0</v>
      </c>
      <c r="I366" s="67"/>
      <c r="J366" s="67">
        <f>ROUND(+I366-H366,4)</f>
        <v>0</v>
      </c>
      <c r="K366" s="67">
        <f>ROUND(IF(F366="alluminio",0,I366*1.5%),4)</f>
        <v>0</v>
      </c>
      <c r="L366" s="67">
        <f>ROUND(IF(K366&lt;J366,K366,0),4)</f>
        <v>0</v>
      </c>
      <c r="M366" s="67">
        <f>ROUND(IF(J366&gt;K366,0,J366),4)</f>
        <v>0</v>
      </c>
      <c r="N366" s="67">
        <f>ROUND(+L366*D366,4)</f>
        <v>0</v>
      </c>
      <c r="O366" s="67">
        <f>ROUND(IF(F366="rame",0,+I366*3%),4)</f>
        <v>0</v>
      </c>
      <c r="P366" s="67">
        <f>ROUND(IF(O366&lt;J366,O366,0),4)</f>
        <v>0</v>
      </c>
      <c r="Q366" s="67">
        <f>ROUND(IF(J366&gt;O366,0,J366),4)</f>
        <v>0</v>
      </c>
      <c r="R366" s="67">
        <f>ROUND(+P366*D366,4)</f>
        <v>0</v>
      </c>
      <c r="S366" s="67">
        <f>ROUND(IF(K366=0,0,M366*D366),4)</f>
        <v>0</v>
      </c>
      <c r="T366" s="67">
        <f>ROUND(+IF(K366=0,Q366*D366,0),4)</f>
        <v>0</v>
      </c>
      <c r="U366" s="67">
        <f>ROUND(+N366+R366+S366+T366,4)</f>
        <v>0</v>
      </c>
      <c r="V366" s="67">
        <f>ROUND(IF(P366=0,0,I366-H366-O366)+IF(L366=0,0,I366-H366-K366),4)</f>
        <v>0</v>
      </c>
      <c r="W366" s="67">
        <f>ROUND(+(V366*60%)*D366,4)</f>
        <v>0</v>
      </c>
      <c r="X366" s="148">
        <f>ROUND(+U366+W366,4)</f>
        <v>0</v>
      </c>
      <c r="Y366" s="68"/>
      <c r="Z366" s="148">
        <f>ROUND(IF(X366&gt;I366,X366,I366),4)</f>
        <v>0</v>
      </c>
    </row>
    <row r="367" spans="1:26" x14ac:dyDescent="0.2">
      <c r="A367" s="66"/>
      <c r="B367" s="66"/>
      <c r="C367" s="66"/>
      <c r="D367" s="144"/>
      <c r="E367" s="67"/>
      <c r="F367" s="67"/>
      <c r="G367" s="67"/>
      <c r="H367" s="67">
        <f>ROUND(+E367+G367,4)</f>
        <v>0</v>
      </c>
      <c r="I367" s="67"/>
      <c r="J367" s="67">
        <f>ROUND(+I367-H367,4)</f>
        <v>0</v>
      </c>
      <c r="K367" s="67">
        <f>ROUND(IF(F367="alluminio",0,I367*1.5%),4)</f>
        <v>0</v>
      </c>
      <c r="L367" s="67">
        <f>ROUND(IF(K367&lt;J367,K367,0),4)</f>
        <v>0</v>
      </c>
      <c r="M367" s="67">
        <f>ROUND(IF(J367&gt;K367,0,J367),4)</f>
        <v>0</v>
      </c>
      <c r="N367" s="67">
        <f>ROUND(+L367*D367,4)</f>
        <v>0</v>
      </c>
      <c r="O367" s="67">
        <f>ROUND(IF(F367="rame",0,+I367*3%),4)</f>
        <v>0</v>
      </c>
      <c r="P367" s="67">
        <f>ROUND(IF(O367&lt;J367,O367,0),4)</f>
        <v>0</v>
      </c>
      <c r="Q367" s="67">
        <f>ROUND(IF(J367&gt;O367,0,J367),4)</f>
        <v>0</v>
      </c>
      <c r="R367" s="67">
        <f>ROUND(+P367*D367,4)</f>
        <v>0</v>
      </c>
      <c r="S367" s="67">
        <f>ROUND(IF(K367=0,0,M367*D367),4)</f>
        <v>0</v>
      </c>
      <c r="T367" s="67">
        <f>ROUND(+IF(K367=0,Q367*D367,0),4)</f>
        <v>0</v>
      </c>
      <c r="U367" s="67">
        <f>ROUND(+N367+R367+S367+T367,4)</f>
        <v>0</v>
      </c>
      <c r="V367" s="67">
        <f>ROUND(IF(P367=0,0,I367-H367-O367)+IF(L367=0,0,I367-H367-K367),4)</f>
        <v>0</v>
      </c>
      <c r="W367" s="67">
        <f>ROUND(+(V367*60%)*D367,4)</f>
        <v>0</v>
      </c>
      <c r="X367" s="148">
        <f>ROUND(+U367+W367,4)</f>
        <v>0</v>
      </c>
      <c r="Y367" s="68"/>
      <c r="Z367" s="148">
        <f>ROUND(IF(X367&gt;I367,X367,I367),4)</f>
        <v>0</v>
      </c>
    </row>
    <row r="368" spans="1:26" x14ac:dyDescent="0.2">
      <c r="A368" s="66"/>
      <c r="B368" s="66"/>
      <c r="C368" s="66"/>
      <c r="D368" s="144"/>
      <c r="E368" s="67"/>
      <c r="F368" s="67"/>
      <c r="G368" s="67"/>
      <c r="H368" s="67">
        <f>ROUND(+E368+G368,4)</f>
        <v>0</v>
      </c>
      <c r="I368" s="67"/>
      <c r="J368" s="67">
        <f>ROUND(+I368-H368,4)</f>
        <v>0</v>
      </c>
      <c r="K368" s="67">
        <f>ROUND(IF(F368="alluminio",0,I368*1.5%),4)</f>
        <v>0</v>
      </c>
      <c r="L368" s="67">
        <f>ROUND(IF(K368&lt;J368,K368,0),4)</f>
        <v>0</v>
      </c>
      <c r="M368" s="67">
        <f>ROUND(IF(J368&gt;K368,0,J368),4)</f>
        <v>0</v>
      </c>
      <c r="N368" s="67">
        <f>ROUND(+L368*D368,4)</f>
        <v>0</v>
      </c>
      <c r="O368" s="67">
        <f>ROUND(IF(F368="rame",0,+I368*3%),4)</f>
        <v>0</v>
      </c>
      <c r="P368" s="67">
        <f>ROUND(IF(O368&lt;J368,O368,0),4)</f>
        <v>0</v>
      </c>
      <c r="Q368" s="67">
        <f>ROUND(IF(J368&gt;O368,0,J368),4)</f>
        <v>0</v>
      </c>
      <c r="R368" s="67">
        <f>ROUND(+P368*D368,4)</f>
        <v>0</v>
      </c>
      <c r="S368" s="67">
        <f>ROUND(IF(K368=0,0,M368*D368),4)</f>
        <v>0</v>
      </c>
      <c r="T368" s="67">
        <f>ROUND(+IF(K368=0,Q368*D368,0),4)</f>
        <v>0</v>
      </c>
      <c r="U368" s="67">
        <f>ROUND(+N368+R368+S368+T368,4)</f>
        <v>0</v>
      </c>
      <c r="V368" s="67">
        <f>ROUND(IF(P368=0,0,I368-H368-O368)+IF(L368=0,0,I368-H368-K368),4)</f>
        <v>0</v>
      </c>
      <c r="W368" s="67">
        <f>ROUND(+(V368*60%)*D368,4)</f>
        <v>0</v>
      </c>
      <c r="X368" s="148">
        <f>ROUND(+U368+W368,4)</f>
        <v>0</v>
      </c>
      <c r="Y368" s="68"/>
      <c r="Z368" s="148">
        <f>ROUND(IF(X368&gt;I368,X368,I368),4)</f>
        <v>0</v>
      </c>
    </row>
    <row r="369" spans="1:26" x14ac:dyDescent="0.2">
      <c r="A369" s="66"/>
      <c r="B369" s="66"/>
      <c r="C369" s="66"/>
      <c r="D369" s="144"/>
      <c r="E369" s="67"/>
      <c r="F369" s="67"/>
      <c r="G369" s="67"/>
      <c r="H369" s="67">
        <f>ROUND(+E369+G369,4)</f>
        <v>0</v>
      </c>
      <c r="I369" s="67"/>
      <c r="J369" s="67">
        <f>ROUND(+I369-H369,4)</f>
        <v>0</v>
      </c>
      <c r="K369" s="67">
        <f>ROUND(IF(F369="alluminio",0,I369*1.5%),4)</f>
        <v>0</v>
      </c>
      <c r="L369" s="67">
        <f>ROUND(IF(K369&lt;J369,K369,0),4)</f>
        <v>0</v>
      </c>
      <c r="M369" s="67">
        <f>ROUND(IF(J369&gt;K369,0,J369),4)</f>
        <v>0</v>
      </c>
      <c r="N369" s="67">
        <f>ROUND(+L369*D369,4)</f>
        <v>0</v>
      </c>
      <c r="O369" s="67">
        <f>ROUND(IF(F369="rame",0,+I369*3%),4)</f>
        <v>0</v>
      </c>
      <c r="P369" s="67">
        <f>ROUND(IF(O369&lt;J369,O369,0),4)</f>
        <v>0</v>
      </c>
      <c r="Q369" s="67">
        <f>ROUND(IF(J369&gt;O369,0,J369),4)</f>
        <v>0</v>
      </c>
      <c r="R369" s="67">
        <f>ROUND(+P369*D369,4)</f>
        <v>0</v>
      </c>
      <c r="S369" s="67">
        <f>ROUND(IF(K369=0,0,M369*D369),4)</f>
        <v>0</v>
      </c>
      <c r="T369" s="67">
        <f>ROUND(+IF(K369=0,Q369*D369,0),4)</f>
        <v>0</v>
      </c>
      <c r="U369" s="67">
        <f>ROUND(+N369+R369+S369+T369,4)</f>
        <v>0</v>
      </c>
      <c r="V369" s="67">
        <f>ROUND(IF(P369=0,0,I369-H369-O369)+IF(L369=0,0,I369-H369-K369),4)</f>
        <v>0</v>
      </c>
      <c r="W369" s="67">
        <f>ROUND(+(V369*60%)*D369,4)</f>
        <v>0</v>
      </c>
      <c r="X369" s="148">
        <f>ROUND(+U369+W369,4)</f>
        <v>0</v>
      </c>
      <c r="Y369" s="68"/>
      <c r="Z369" s="148">
        <f>ROUND(IF(X369&gt;I369,X369,I369),4)</f>
        <v>0</v>
      </c>
    </row>
    <row r="370" spans="1:26" x14ac:dyDescent="0.2">
      <c r="A370" s="66"/>
      <c r="B370" s="66"/>
      <c r="C370" s="66"/>
      <c r="D370" s="144"/>
      <c r="E370" s="67"/>
      <c r="F370" s="67"/>
      <c r="G370" s="67"/>
      <c r="H370" s="67">
        <f>ROUND(+E370+G370,4)</f>
        <v>0</v>
      </c>
      <c r="I370" s="67"/>
      <c r="J370" s="67">
        <f>ROUND(+I370-H370,4)</f>
        <v>0</v>
      </c>
      <c r="K370" s="67">
        <f>ROUND(IF(F370="alluminio",0,I370*1.5%),4)</f>
        <v>0</v>
      </c>
      <c r="L370" s="67">
        <f>ROUND(IF(K370&lt;J370,K370,0),4)</f>
        <v>0</v>
      </c>
      <c r="M370" s="67">
        <f>ROUND(IF(J370&gt;K370,0,J370),4)</f>
        <v>0</v>
      </c>
      <c r="N370" s="67">
        <f>ROUND(+L370*D370,4)</f>
        <v>0</v>
      </c>
      <c r="O370" s="67">
        <f>ROUND(IF(F370="rame",0,+I370*3%),4)</f>
        <v>0</v>
      </c>
      <c r="P370" s="67">
        <f>ROUND(IF(O370&lt;J370,O370,0),4)</f>
        <v>0</v>
      </c>
      <c r="Q370" s="67">
        <f>ROUND(IF(J370&gt;O370,0,J370),4)</f>
        <v>0</v>
      </c>
      <c r="R370" s="67">
        <f>ROUND(+P370*D370,4)</f>
        <v>0</v>
      </c>
      <c r="S370" s="67">
        <f>ROUND(IF(K370=0,0,M370*D370),4)</f>
        <v>0</v>
      </c>
      <c r="T370" s="67">
        <f>ROUND(+IF(K370=0,Q370*D370,0),4)</f>
        <v>0</v>
      </c>
      <c r="U370" s="67">
        <f>ROUND(+N370+R370+S370+T370,4)</f>
        <v>0</v>
      </c>
      <c r="V370" s="67">
        <f>ROUND(IF(P370=0,0,I370-H370-O370)+IF(L370=0,0,I370-H370-K370),4)</f>
        <v>0</v>
      </c>
      <c r="W370" s="67">
        <f>ROUND(+(V370*60%)*D370,4)</f>
        <v>0</v>
      </c>
      <c r="X370" s="148">
        <f>ROUND(+U370+W370,4)</f>
        <v>0</v>
      </c>
      <c r="Y370" s="68"/>
      <c r="Z370" s="148">
        <f>ROUND(IF(X370&gt;I370,X370,I370),4)</f>
        <v>0</v>
      </c>
    </row>
    <row r="371" spans="1:26" x14ac:dyDescent="0.2">
      <c r="A371" s="66"/>
      <c r="B371" s="66"/>
      <c r="C371" s="66"/>
      <c r="D371" s="144"/>
      <c r="E371" s="67"/>
      <c r="F371" s="67"/>
      <c r="G371" s="67"/>
      <c r="H371" s="67">
        <f>ROUND(+E371+G371,4)</f>
        <v>0</v>
      </c>
      <c r="I371" s="67"/>
      <c r="J371" s="67">
        <f>ROUND(+I371-H371,4)</f>
        <v>0</v>
      </c>
      <c r="K371" s="67">
        <f>ROUND(IF(F371="alluminio",0,I371*1.5%),4)</f>
        <v>0</v>
      </c>
      <c r="L371" s="67">
        <f>ROUND(IF(K371&lt;J371,K371,0),4)</f>
        <v>0</v>
      </c>
      <c r="M371" s="67">
        <f>ROUND(IF(J371&gt;K371,0,J371),4)</f>
        <v>0</v>
      </c>
      <c r="N371" s="67">
        <f>ROUND(+L371*D371,4)</f>
        <v>0</v>
      </c>
      <c r="O371" s="67">
        <f>ROUND(IF(F371="rame",0,+I371*3%),4)</f>
        <v>0</v>
      </c>
      <c r="P371" s="67">
        <f>ROUND(IF(O371&lt;J371,O371,0),4)</f>
        <v>0</v>
      </c>
      <c r="Q371" s="67">
        <f>ROUND(IF(J371&gt;O371,0,J371),4)</f>
        <v>0</v>
      </c>
      <c r="R371" s="67">
        <f>ROUND(+P371*D371,4)</f>
        <v>0</v>
      </c>
      <c r="S371" s="67">
        <f>ROUND(IF(K371=0,0,M371*D371),4)</f>
        <v>0</v>
      </c>
      <c r="T371" s="67">
        <f>ROUND(+IF(K371=0,Q371*D371,0),4)</f>
        <v>0</v>
      </c>
      <c r="U371" s="67">
        <f>ROUND(+N371+R371+S371+T371,4)</f>
        <v>0</v>
      </c>
      <c r="V371" s="67">
        <f>ROUND(IF(P371=0,0,I371-H371-O371)+IF(L371=0,0,I371-H371-K371),4)</f>
        <v>0</v>
      </c>
      <c r="W371" s="67">
        <f>ROUND(+(V371*60%)*D371,4)</f>
        <v>0</v>
      </c>
      <c r="X371" s="148">
        <f>ROUND(+U371+W371,4)</f>
        <v>0</v>
      </c>
      <c r="Y371" s="68"/>
      <c r="Z371" s="148">
        <f>ROUND(IF(X371&gt;I371,X371,I371),4)</f>
        <v>0</v>
      </c>
    </row>
    <row r="372" spans="1:26" x14ac:dyDescent="0.2">
      <c r="A372" s="66"/>
      <c r="B372" s="66"/>
      <c r="C372" s="66"/>
      <c r="D372" s="144"/>
      <c r="E372" s="67"/>
      <c r="F372" s="67"/>
      <c r="G372" s="67"/>
      <c r="H372" s="67">
        <f>ROUND(+E372+G372,4)</f>
        <v>0</v>
      </c>
      <c r="I372" s="67"/>
      <c r="J372" s="67">
        <f>ROUND(+I372-H372,4)</f>
        <v>0</v>
      </c>
      <c r="K372" s="67">
        <f>ROUND(IF(F372="alluminio",0,I372*1.5%),4)</f>
        <v>0</v>
      </c>
      <c r="L372" s="67">
        <f>ROUND(IF(K372&lt;J372,K372,0),4)</f>
        <v>0</v>
      </c>
      <c r="M372" s="67">
        <f>ROUND(IF(J372&gt;K372,0,J372),4)</f>
        <v>0</v>
      </c>
      <c r="N372" s="67">
        <f>ROUND(+L372*D372,4)</f>
        <v>0</v>
      </c>
      <c r="O372" s="67">
        <f>ROUND(IF(F372="rame",0,+I372*3%),4)</f>
        <v>0</v>
      </c>
      <c r="P372" s="67">
        <f>ROUND(IF(O372&lt;J372,O372,0),4)</f>
        <v>0</v>
      </c>
      <c r="Q372" s="67">
        <f>ROUND(IF(J372&gt;O372,0,J372),4)</f>
        <v>0</v>
      </c>
      <c r="R372" s="67">
        <f>ROUND(+P372*D372,4)</f>
        <v>0</v>
      </c>
      <c r="S372" s="67">
        <f>ROUND(IF(K372=0,0,M372*D372),4)</f>
        <v>0</v>
      </c>
      <c r="T372" s="67">
        <f>ROUND(+IF(K372=0,Q372*D372,0),4)</f>
        <v>0</v>
      </c>
      <c r="U372" s="67">
        <f>ROUND(+N372+R372+S372+T372,4)</f>
        <v>0</v>
      </c>
      <c r="V372" s="67">
        <f>ROUND(IF(P372=0,0,I372-H372-O372)+IF(L372=0,0,I372-H372-K372),4)</f>
        <v>0</v>
      </c>
      <c r="W372" s="67">
        <f>ROUND(+(V372*60%)*D372,4)</f>
        <v>0</v>
      </c>
      <c r="X372" s="148">
        <f>ROUND(+U372+W372,4)</f>
        <v>0</v>
      </c>
      <c r="Y372" s="68"/>
      <c r="Z372" s="148">
        <f>ROUND(IF(X372&gt;I372,X372,I372),4)</f>
        <v>0</v>
      </c>
    </row>
    <row r="373" spans="1:26" x14ac:dyDescent="0.2">
      <c r="A373" s="66"/>
      <c r="B373" s="66"/>
      <c r="C373" s="66"/>
      <c r="D373" s="144"/>
      <c r="E373" s="67"/>
      <c r="F373" s="67"/>
      <c r="G373" s="67"/>
      <c r="H373" s="67">
        <f>ROUND(+E373+G373,4)</f>
        <v>0</v>
      </c>
      <c r="I373" s="67"/>
      <c r="J373" s="67">
        <f>ROUND(+I373-H373,4)</f>
        <v>0</v>
      </c>
      <c r="K373" s="67">
        <f>ROUND(IF(F373="alluminio",0,I373*1.5%),4)</f>
        <v>0</v>
      </c>
      <c r="L373" s="67">
        <f>ROUND(IF(K373&lt;J373,K373,0),4)</f>
        <v>0</v>
      </c>
      <c r="M373" s="67">
        <f>ROUND(IF(J373&gt;K373,0,J373),4)</f>
        <v>0</v>
      </c>
      <c r="N373" s="67">
        <f>ROUND(+L373*D373,4)</f>
        <v>0</v>
      </c>
      <c r="O373" s="67">
        <f>ROUND(IF(F373="rame",0,+I373*3%),4)</f>
        <v>0</v>
      </c>
      <c r="P373" s="67">
        <f>ROUND(IF(O373&lt;J373,O373,0),4)</f>
        <v>0</v>
      </c>
      <c r="Q373" s="67">
        <f>ROUND(IF(J373&gt;O373,0,J373),4)</f>
        <v>0</v>
      </c>
      <c r="R373" s="67">
        <f>ROUND(+P373*D373,4)</f>
        <v>0</v>
      </c>
      <c r="S373" s="67">
        <f>ROUND(IF(K373=0,0,M373*D373),4)</f>
        <v>0</v>
      </c>
      <c r="T373" s="67">
        <f>ROUND(+IF(K373=0,Q373*D373,0),4)</f>
        <v>0</v>
      </c>
      <c r="U373" s="67">
        <f>ROUND(+N373+R373+S373+T373,4)</f>
        <v>0</v>
      </c>
      <c r="V373" s="67">
        <f>ROUND(IF(P373=0,0,I373-H373-O373)+IF(L373=0,0,I373-H373-K373),4)</f>
        <v>0</v>
      </c>
      <c r="W373" s="67">
        <f>ROUND(+(V373*60%)*D373,4)</f>
        <v>0</v>
      </c>
      <c r="X373" s="148">
        <f>ROUND(+U373+W373,4)</f>
        <v>0</v>
      </c>
      <c r="Y373" s="68"/>
      <c r="Z373" s="148">
        <f>ROUND(IF(X373&gt;I373,X373,I373),4)</f>
        <v>0</v>
      </c>
    </row>
    <row r="374" spans="1:26" x14ac:dyDescent="0.2">
      <c r="A374" s="66"/>
      <c r="B374" s="66"/>
      <c r="C374" s="66"/>
      <c r="D374" s="144"/>
      <c r="E374" s="67"/>
      <c r="F374" s="67"/>
      <c r="G374" s="67"/>
      <c r="H374" s="67">
        <f>ROUND(+E374+G374,4)</f>
        <v>0</v>
      </c>
      <c r="I374" s="67"/>
      <c r="J374" s="67">
        <f>ROUND(+I374-H374,4)</f>
        <v>0</v>
      </c>
      <c r="K374" s="67">
        <f>ROUND(IF(F374="alluminio",0,I374*1.5%),4)</f>
        <v>0</v>
      </c>
      <c r="L374" s="67">
        <f>ROUND(IF(K374&lt;J374,K374,0),4)</f>
        <v>0</v>
      </c>
      <c r="M374" s="67">
        <f>ROUND(IF(J374&gt;K374,0,J374),4)</f>
        <v>0</v>
      </c>
      <c r="N374" s="67">
        <f>ROUND(+L374*D374,4)</f>
        <v>0</v>
      </c>
      <c r="O374" s="67">
        <f>ROUND(IF(F374="rame",0,+I374*3%),4)</f>
        <v>0</v>
      </c>
      <c r="P374" s="67">
        <f>ROUND(IF(O374&lt;J374,O374,0),4)</f>
        <v>0</v>
      </c>
      <c r="Q374" s="67">
        <f>ROUND(IF(J374&gt;O374,0,J374),4)</f>
        <v>0</v>
      </c>
      <c r="R374" s="67">
        <f>ROUND(+P374*D374,4)</f>
        <v>0</v>
      </c>
      <c r="S374" s="67">
        <f>ROUND(IF(K374=0,0,M374*D374),4)</f>
        <v>0</v>
      </c>
      <c r="T374" s="67">
        <f>ROUND(+IF(K374=0,Q374*D374,0),4)</f>
        <v>0</v>
      </c>
      <c r="U374" s="67">
        <f>ROUND(+N374+R374+S374+T374,4)</f>
        <v>0</v>
      </c>
      <c r="V374" s="67">
        <f>ROUND(IF(P374=0,0,I374-H374-O374)+IF(L374=0,0,I374-H374-K374),4)</f>
        <v>0</v>
      </c>
      <c r="W374" s="67">
        <f>ROUND(+(V374*60%)*D374,4)</f>
        <v>0</v>
      </c>
      <c r="X374" s="148">
        <f>ROUND(+U374+W374,4)</f>
        <v>0</v>
      </c>
      <c r="Y374" s="68"/>
      <c r="Z374" s="148">
        <f>ROUND(IF(X374&gt;I374,X374,I374),4)</f>
        <v>0</v>
      </c>
    </row>
    <row r="375" spans="1:26" x14ac:dyDescent="0.2">
      <c r="A375" s="66"/>
      <c r="B375" s="66"/>
      <c r="C375" s="66"/>
      <c r="D375" s="144"/>
      <c r="E375" s="67"/>
      <c r="F375" s="67"/>
      <c r="G375" s="67"/>
      <c r="H375" s="67">
        <f>ROUND(+E375+G375,4)</f>
        <v>0</v>
      </c>
      <c r="I375" s="67"/>
      <c r="J375" s="67">
        <f>ROUND(+I375-H375,4)</f>
        <v>0</v>
      </c>
      <c r="K375" s="67">
        <f>ROUND(IF(F375="alluminio",0,I375*1.5%),4)</f>
        <v>0</v>
      </c>
      <c r="L375" s="67">
        <f>ROUND(IF(K375&lt;J375,K375,0),4)</f>
        <v>0</v>
      </c>
      <c r="M375" s="67">
        <f>ROUND(IF(J375&gt;K375,0,J375),4)</f>
        <v>0</v>
      </c>
      <c r="N375" s="67">
        <f>ROUND(+L375*D375,4)</f>
        <v>0</v>
      </c>
      <c r="O375" s="67">
        <f>ROUND(IF(F375="rame",0,+I375*3%),4)</f>
        <v>0</v>
      </c>
      <c r="P375" s="67">
        <f>ROUND(IF(O375&lt;J375,O375,0),4)</f>
        <v>0</v>
      </c>
      <c r="Q375" s="67">
        <f>ROUND(IF(J375&gt;O375,0,J375),4)</f>
        <v>0</v>
      </c>
      <c r="R375" s="67">
        <f>ROUND(+P375*D375,4)</f>
        <v>0</v>
      </c>
      <c r="S375" s="67">
        <f>ROUND(IF(K375=0,0,M375*D375),4)</f>
        <v>0</v>
      </c>
      <c r="T375" s="67">
        <f>ROUND(+IF(K375=0,Q375*D375,0),4)</f>
        <v>0</v>
      </c>
      <c r="U375" s="67">
        <f>ROUND(+N375+R375+S375+T375,4)</f>
        <v>0</v>
      </c>
      <c r="V375" s="67">
        <f>ROUND(IF(P375=0,0,I375-H375-O375)+IF(L375=0,0,I375-H375-K375),4)</f>
        <v>0</v>
      </c>
      <c r="W375" s="67">
        <f>ROUND(+(V375*60%)*D375,4)</f>
        <v>0</v>
      </c>
      <c r="X375" s="148">
        <f>ROUND(+U375+W375,4)</f>
        <v>0</v>
      </c>
      <c r="Y375" s="68"/>
      <c r="Z375" s="148">
        <f>ROUND(IF(X375&gt;I375,X375,I375),4)</f>
        <v>0</v>
      </c>
    </row>
    <row r="376" spans="1:26" x14ac:dyDescent="0.2">
      <c r="A376" s="66"/>
      <c r="B376" s="66"/>
      <c r="C376" s="66"/>
      <c r="D376" s="144"/>
      <c r="E376" s="67"/>
      <c r="F376" s="67"/>
      <c r="G376" s="67"/>
      <c r="H376" s="67">
        <f>ROUND(+E376+G376,4)</f>
        <v>0</v>
      </c>
      <c r="I376" s="67"/>
      <c r="J376" s="67">
        <f>ROUND(+I376-H376,4)</f>
        <v>0</v>
      </c>
      <c r="K376" s="67">
        <f>ROUND(IF(F376="alluminio",0,I376*1.5%),4)</f>
        <v>0</v>
      </c>
      <c r="L376" s="67">
        <f>ROUND(IF(K376&lt;J376,K376,0),4)</f>
        <v>0</v>
      </c>
      <c r="M376" s="67">
        <f>ROUND(IF(J376&gt;K376,0,J376),4)</f>
        <v>0</v>
      </c>
      <c r="N376" s="67">
        <f>ROUND(+L376*D376,4)</f>
        <v>0</v>
      </c>
      <c r="O376" s="67">
        <f>ROUND(IF(F376="rame",0,+I376*3%),4)</f>
        <v>0</v>
      </c>
      <c r="P376" s="67">
        <f>ROUND(IF(O376&lt;J376,O376,0),4)</f>
        <v>0</v>
      </c>
      <c r="Q376" s="67">
        <f>ROUND(IF(J376&gt;O376,0,J376),4)</f>
        <v>0</v>
      </c>
      <c r="R376" s="67">
        <f>ROUND(+P376*D376,4)</f>
        <v>0</v>
      </c>
      <c r="S376" s="67">
        <f>ROUND(IF(K376=0,0,M376*D376),4)</f>
        <v>0</v>
      </c>
      <c r="T376" s="67">
        <f>ROUND(+IF(K376=0,Q376*D376,0),4)</f>
        <v>0</v>
      </c>
      <c r="U376" s="67">
        <f>ROUND(+N376+R376+S376+T376,4)</f>
        <v>0</v>
      </c>
      <c r="V376" s="67">
        <f>ROUND(IF(P376=0,0,I376-H376-O376)+IF(L376=0,0,I376-H376-K376),4)</f>
        <v>0</v>
      </c>
      <c r="W376" s="67">
        <f>ROUND(+(V376*60%)*D376,4)</f>
        <v>0</v>
      </c>
      <c r="X376" s="148">
        <f>ROUND(+U376+W376,4)</f>
        <v>0</v>
      </c>
      <c r="Y376" s="68"/>
      <c r="Z376" s="148">
        <f>ROUND(IF(X376&gt;I376,X376,I376),4)</f>
        <v>0</v>
      </c>
    </row>
    <row r="377" spans="1:26" x14ac:dyDescent="0.2">
      <c r="A377" s="66"/>
      <c r="B377" s="66"/>
      <c r="C377" s="66"/>
      <c r="D377" s="144"/>
      <c r="E377" s="67"/>
      <c r="F377" s="67"/>
      <c r="G377" s="67"/>
      <c r="H377" s="67">
        <f>ROUND(+E377+G377,4)</f>
        <v>0</v>
      </c>
      <c r="I377" s="67"/>
      <c r="J377" s="67">
        <f>ROUND(+I377-H377,4)</f>
        <v>0</v>
      </c>
      <c r="K377" s="67">
        <f>ROUND(IF(F377="alluminio",0,I377*1.5%),4)</f>
        <v>0</v>
      </c>
      <c r="L377" s="67">
        <f>ROUND(IF(K377&lt;J377,K377,0),4)</f>
        <v>0</v>
      </c>
      <c r="M377" s="67">
        <f>ROUND(IF(J377&gt;K377,0,J377),4)</f>
        <v>0</v>
      </c>
      <c r="N377" s="67">
        <f>ROUND(+L377*D377,4)</f>
        <v>0</v>
      </c>
      <c r="O377" s="67">
        <f>ROUND(IF(F377="rame",0,+I377*3%),4)</f>
        <v>0</v>
      </c>
      <c r="P377" s="67">
        <f>ROUND(IF(O377&lt;J377,O377,0),4)</f>
        <v>0</v>
      </c>
      <c r="Q377" s="67">
        <f>ROUND(IF(J377&gt;O377,0,J377),4)</f>
        <v>0</v>
      </c>
      <c r="R377" s="67">
        <f>ROUND(+P377*D377,4)</f>
        <v>0</v>
      </c>
      <c r="S377" s="67">
        <f>ROUND(IF(K377=0,0,M377*D377),4)</f>
        <v>0</v>
      </c>
      <c r="T377" s="67">
        <f>ROUND(+IF(K377=0,Q377*D377,0),4)</f>
        <v>0</v>
      </c>
      <c r="U377" s="67">
        <f>ROUND(+N377+R377+S377+T377,4)</f>
        <v>0</v>
      </c>
      <c r="V377" s="67">
        <f>ROUND(IF(P377=0,0,I377-H377-O377)+IF(L377=0,0,I377-H377-K377),4)</f>
        <v>0</v>
      </c>
      <c r="W377" s="67">
        <f>ROUND(+(V377*60%)*D377,4)</f>
        <v>0</v>
      </c>
      <c r="X377" s="148">
        <f>ROUND(+U377+W377,4)</f>
        <v>0</v>
      </c>
      <c r="Y377" s="68"/>
      <c r="Z377" s="148">
        <f>ROUND(IF(X377&gt;I377,X377,I377),4)</f>
        <v>0</v>
      </c>
    </row>
    <row r="378" spans="1:26" x14ac:dyDescent="0.2">
      <c r="A378" s="66"/>
      <c r="B378" s="66"/>
      <c r="C378" s="66"/>
      <c r="D378" s="144"/>
      <c r="E378" s="67"/>
      <c r="F378" s="67"/>
      <c r="G378" s="67"/>
      <c r="H378" s="67">
        <f>ROUND(+E378+G378,4)</f>
        <v>0</v>
      </c>
      <c r="I378" s="67"/>
      <c r="J378" s="67">
        <f>ROUND(+I378-H378,4)</f>
        <v>0</v>
      </c>
      <c r="K378" s="67">
        <f>ROUND(IF(F378="alluminio",0,I378*1.5%),4)</f>
        <v>0</v>
      </c>
      <c r="L378" s="67">
        <f>ROUND(IF(K378&lt;J378,K378,0),4)</f>
        <v>0</v>
      </c>
      <c r="M378" s="67">
        <f>ROUND(IF(J378&gt;K378,0,J378),4)</f>
        <v>0</v>
      </c>
      <c r="N378" s="67">
        <f>ROUND(+L378*D378,4)</f>
        <v>0</v>
      </c>
      <c r="O378" s="67">
        <f>ROUND(IF(F378="rame",0,+I378*3%),4)</f>
        <v>0</v>
      </c>
      <c r="P378" s="67">
        <f>ROUND(IF(O378&lt;J378,O378,0),4)</f>
        <v>0</v>
      </c>
      <c r="Q378" s="67">
        <f>ROUND(IF(J378&gt;O378,0,J378),4)</f>
        <v>0</v>
      </c>
      <c r="R378" s="67">
        <f>ROUND(+P378*D378,4)</f>
        <v>0</v>
      </c>
      <c r="S378" s="67">
        <f>ROUND(IF(K378=0,0,M378*D378),4)</f>
        <v>0</v>
      </c>
      <c r="T378" s="67">
        <f>ROUND(+IF(K378=0,Q378*D378,0),4)</f>
        <v>0</v>
      </c>
      <c r="U378" s="67">
        <f>ROUND(+N378+R378+S378+T378,4)</f>
        <v>0</v>
      </c>
      <c r="V378" s="67">
        <f>ROUND(IF(P378=0,0,I378-H378-O378)+IF(L378=0,0,I378-H378-K378),4)</f>
        <v>0</v>
      </c>
      <c r="W378" s="67">
        <f>ROUND(+(V378*60%)*D378,4)</f>
        <v>0</v>
      </c>
      <c r="X378" s="148">
        <f>ROUND(+U378+W378,4)</f>
        <v>0</v>
      </c>
      <c r="Y378" s="68"/>
      <c r="Z378" s="148">
        <f>ROUND(IF(X378&gt;I378,X378,I378),4)</f>
        <v>0</v>
      </c>
    </row>
    <row r="379" spans="1:26" x14ac:dyDescent="0.2">
      <c r="A379" s="66"/>
      <c r="B379" s="66"/>
      <c r="C379" s="66"/>
      <c r="D379" s="144"/>
      <c r="E379" s="67"/>
      <c r="F379" s="67"/>
      <c r="G379" s="67"/>
      <c r="H379" s="67">
        <f>ROUND(+E379+G379,4)</f>
        <v>0</v>
      </c>
      <c r="I379" s="67"/>
      <c r="J379" s="67">
        <f>ROUND(+I379-H379,4)</f>
        <v>0</v>
      </c>
      <c r="K379" s="67">
        <f>ROUND(IF(F379="alluminio",0,I379*1.5%),4)</f>
        <v>0</v>
      </c>
      <c r="L379" s="67">
        <f>ROUND(IF(K379&lt;J379,K379,0),4)</f>
        <v>0</v>
      </c>
      <c r="M379" s="67">
        <f>ROUND(IF(J379&gt;K379,0,J379),4)</f>
        <v>0</v>
      </c>
      <c r="N379" s="67">
        <f>ROUND(+L379*D379,4)</f>
        <v>0</v>
      </c>
      <c r="O379" s="67">
        <f>ROUND(IF(F379="rame",0,+I379*3%),4)</f>
        <v>0</v>
      </c>
      <c r="P379" s="67">
        <f>ROUND(IF(O379&lt;J379,O379,0),4)</f>
        <v>0</v>
      </c>
      <c r="Q379" s="67">
        <f>ROUND(IF(J379&gt;O379,0,J379),4)</f>
        <v>0</v>
      </c>
      <c r="R379" s="67">
        <f>ROUND(+P379*D379,4)</f>
        <v>0</v>
      </c>
      <c r="S379" s="67">
        <f>ROUND(IF(K379=0,0,M379*D379),4)</f>
        <v>0</v>
      </c>
      <c r="T379" s="67">
        <f>ROUND(+IF(K379=0,Q379*D379,0),4)</f>
        <v>0</v>
      </c>
      <c r="U379" s="67">
        <f>ROUND(+N379+R379+S379+T379,4)</f>
        <v>0</v>
      </c>
      <c r="V379" s="67">
        <f>ROUND(IF(P379=0,0,I379-H379-O379)+IF(L379=0,0,I379-H379-K379),4)</f>
        <v>0</v>
      </c>
      <c r="W379" s="67">
        <f>ROUND(+(V379*60%)*D379,4)</f>
        <v>0</v>
      </c>
      <c r="X379" s="148">
        <f>ROUND(+U379+W379,4)</f>
        <v>0</v>
      </c>
      <c r="Y379" s="68"/>
      <c r="Z379" s="148">
        <f>ROUND(IF(X379&gt;I379,X379,I379),4)</f>
        <v>0</v>
      </c>
    </row>
    <row r="380" spans="1:26" x14ac:dyDescent="0.2">
      <c r="A380" s="66"/>
      <c r="B380" s="66"/>
      <c r="C380" s="66"/>
      <c r="D380" s="144"/>
      <c r="E380" s="67"/>
      <c r="F380" s="67"/>
      <c r="G380" s="67"/>
      <c r="H380" s="67">
        <f>ROUND(+E380+G380,4)</f>
        <v>0</v>
      </c>
      <c r="I380" s="67"/>
      <c r="J380" s="67">
        <f>ROUND(+I380-H380,4)</f>
        <v>0</v>
      </c>
      <c r="K380" s="67">
        <f>ROUND(IF(F380="alluminio",0,I380*1.5%),4)</f>
        <v>0</v>
      </c>
      <c r="L380" s="67">
        <f>ROUND(IF(K380&lt;J380,K380,0),4)</f>
        <v>0</v>
      </c>
      <c r="M380" s="67">
        <f>ROUND(IF(J380&gt;K380,0,J380),4)</f>
        <v>0</v>
      </c>
      <c r="N380" s="67">
        <f>ROUND(+L380*D380,4)</f>
        <v>0</v>
      </c>
      <c r="O380" s="67">
        <f>ROUND(IF(F380="rame",0,+I380*3%),4)</f>
        <v>0</v>
      </c>
      <c r="P380" s="67">
        <f>ROUND(IF(O380&lt;J380,O380,0),4)</f>
        <v>0</v>
      </c>
      <c r="Q380" s="67">
        <f>ROUND(IF(J380&gt;O380,0,J380),4)</f>
        <v>0</v>
      </c>
      <c r="R380" s="67">
        <f>ROUND(+P380*D380,4)</f>
        <v>0</v>
      </c>
      <c r="S380" s="67">
        <f>ROUND(IF(K380=0,0,M380*D380),4)</f>
        <v>0</v>
      </c>
      <c r="T380" s="67">
        <f>ROUND(+IF(K380=0,Q380*D380,0),4)</f>
        <v>0</v>
      </c>
      <c r="U380" s="67">
        <f>ROUND(+N380+R380+S380+T380,4)</f>
        <v>0</v>
      </c>
      <c r="V380" s="67">
        <f>ROUND(IF(P380=0,0,I380-H380-O380)+IF(L380=0,0,I380-H380-K380),4)</f>
        <v>0</v>
      </c>
      <c r="W380" s="67">
        <f>ROUND(+(V380*60%)*D380,4)</f>
        <v>0</v>
      </c>
      <c r="X380" s="148">
        <f>ROUND(+U380+W380,4)</f>
        <v>0</v>
      </c>
      <c r="Y380" s="68"/>
      <c r="Z380" s="148">
        <f>ROUND(IF(X380&gt;I380,X380,I380),4)</f>
        <v>0</v>
      </c>
    </row>
    <row r="381" spans="1:26" x14ac:dyDescent="0.2">
      <c r="A381" s="66"/>
      <c r="B381" s="66"/>
      <c r="C381" s="66"/>
      <c r="D381" s="144"/>
      <c r="E381" s="67"/>
      <c r="F381" s="67"/>
      <c r="G381" s="67"/>
      <c r="H381" s="67">
        <f>ROUND(+E381+G381,4)</f>
        <v>0</v>
      </c>
      <c r="I381" s="67"/>
      <c r="J381" s="67">
        <f>ROUND(+I381-H381,4)</f>
        <v>0</v>
      </c>
      <c r="K381" s="67">
        <f>ROUND(IF(F381="alluminio",0,I381*1.5%),4)</f>
        <v>0</v>
      </c>
      <c r="L381" s="67">
        <f>ROUND(IF(K381&lt;J381,K381,0),4)</f>
        <v>0</v>
      </c>
      <c r="M381" s="67">
        <f>ROUND(IF(J381&gt;K381,0,J381),4)</f>
        <v>0</v>
      </c>
      <c r="N381" s="67">
        <f>ROUND(+L381*D381,4)</f>
        <v>0</v>
      </c>
      <c r="O381" s="67">
        <f>ROUND(IF(F381="rame",0,+I381*3%),4)</f>
        <v>0</v>
      </c>
      <c r="P381" s="67">
        <f>ROUND(IF(O381&lt;J381,O381,0),4)</f>
        <v>0</v>
      </c>
      <c r="Q381" s="67">
        <f>ROUND(IF(J381&gt;O381,0,J381),4)</f>
        <v>0</v>
      </c>
      <c r="R381" s="67">
        <f>ROUND(+P381*D381,4)</f>
        <v>0</v>
      </c>
      <c r="S381" s="67">
        <f>ROUND(IF(K381=0,0,M381*D381),4)</f>
        <v>0</v>
      </c>
      <c r="T381" s="67">
        <f>ROUND(+IF(K381=0,Q381*D381,0),4)</f>
        <v>0</v>
      </c>
      <c r="U381" s="67">
        <f>ROUND(+N381+R381+S381+T381,4)</f>
        <v>0</v>
      </c>
      <c r="V381" s="67">
        <f>ROUND(IF(P381=0,0,I381-H381-O381)+IF(L381=0,0,I381-H381-K381),4)</f>
        <v>0</v>
      </c>
      <c r="W381" s="67">
        <f>ROUND(+(V381*60%)*D381,4)</f>
        <v>0</v>
      </c>
      <c r="X381" s="148">
        <f>ROUND(+U381+W381,4)</f>
        <v>0</v>
      </c>
      <c r="Y381" s="68"/>
      <c r="Z381" s="148">
        <f>ROUND(IF(X381&gt;I381,X381,I381),4)</f>
        <v>0</v>
      </c>
    </row>
    <row r="382" spans="1:26" x14ac:dyDescent="0.2">
      <c r="A382" s="66"/>
      <c r="B382" s="66"/>
      <c r="C382" s="66"/>
      <c r="D382" s="144"/>
      <c r="E382" s="67"/>
      <c r="F382" s="67"/>
      <c r="G382" s="67"/>
      <c r="H382" s="67">
        <f>ROUND(+E382+G382,4)</f>
        <v>0</v>
      </c>
      <c r="I382" s="67"/>
      <c r="J382" s="67">
        <f>ROUND(+I382-H382,4)</f>
        <v>0</v>
      </c>
      <c r="K382" s="67">
        <f>ROUND(IF(F382="alluminio",0,I382*1.5%),4)</f>
        <v>0</v>
      </c>
      <c r="L382" s="67">
        <f>ROUND(IF(K382&lt;J382,K382,0),4)</f>
        <v>0</v>
      </c>
      <c r="M382" s="67">
        <f>ROUND(IF(J382&gt;K382,0,J382),4)</f>
        <v>0</v>
      </c>
      <c r="N382" s="67">
        <f>ROUND(+L382*D382,4)</f>
        <v>0</v>
      </c>
      <c r="O382" s="67">
        <f>ROUND(IF(F382="rame",0,+I382*3%),4)</f>
        <v>0</v>
      </c>
      <c r="P382" s="67">
        <f>ROUND(IF(O382&lt;J382,O382,0),4)</f>
        <v>0</v>
      </c>
      <c r="Q382" s="67">
        <f>ROUND(IF(J382&gt;O382,0,J382),4)</f>
        <v>0</v>
      </c>
      <c r="R382" s="67">
        <f>ROUND(+P382*D382,4)</f>
        <v>0</v>
      </c>
      <c r="S382" s="67">
        <f>ROUND(IF(K382=0,0,M382*D382),4)</f>
        <v>0</v>
      </c>
      <c r="T382" s="67">
        <f>ROUND(+IF(K382=0,Q382*D382,0),4)</f>
        <v>0</v>
      </c>
      <c r="U382" s="67">
        <f>ROUND(+N382+R382+S382+T382,4)</f>
        <v>0</v>
      </c>
      <c r="V382" s="67">
        <f>ROUND(IF(P382=0,0,I382-H382-O382)+IF(L382=0,0,I382-H382-K382),4)</f>
        <v>0</v>
      </c>
      <c r="W382" s="67">
        <f>ROUND(+(V382*60%)*D382,4)</f>
        <v>0</v>
      </c>
      <c r="X382" s="148">
        <f>ROUND(+U382+W382,4)</f>
        <v>0</v>
      </c>
      <c r="Y382" s="68"/>
      <c r="Z382" s="148">
        <f>ROUND(IF(X382&gt;I382,X382,I382),4)</f>
        <v>0</v>
      </c>
    </row>
    <row r="383" spans="1:26" x14ac:dyDescent="0.2">
      <c r="A383" s="66"/>
      <c r="B383" s="66"/>
      <c r="C383" s="66"/>
      <c r="D383" s="144"/>
      <c r="E383" s="67"/>
      <c r="F383" s="67"/>
      <c r="G383" s="67"/>
      <c r="H383" s="67">
        <f>ROUND(+E383+G383,4)</f>
        <v>0</v>
      </c>
      <c r="I383" s="67"/>
      <c r="J383" s="67">
        <f>ROUND(+I383-H383,4)</f>
        <v>0</v>
      </c>
      <c r="K383" s="67">
        <f>ROUND(IF(F383="alluminio",0,I383*1.5%),4)</f>
        <v>0</v>
      </c>
      <c r="L383" s="67">
        <f>ROUND(IF(K383&lt;J383,K383,0),4)</f>
        <v>0</v>
      </c>
      <c r="M383" s="67">
        <f>ROUND(IF(J383&gt;K383,0,J383),4)</f>
        <v>0</v>
      </c>
      <c r="N383" s="67">
        <f>ROUND(+L383*D383,4)</f>
        <v>0</v>
      </c>
      <c r="O383" s="67">
        <f>ROUND(IF(F383="rame",0,+I383*3%),4)</f>
        <v>0</v>
      </c>
      <c r="P383" s="67">
        <f>ROUND(IF(O383&lt;J383,O383,0),4)</f>
        <v>0</v>
      </c>
      <c r="Q383" s="67">
        <f>ROUND(IF(J383&gt;O383,0,J383),4)</f>
        <v>0</v>
      </c>
      <c r="R383" s="67">
        <f>ROUND(+P383*D383,4)</f>
        <v>0</v>
      </c>
      <c r="S383" s="67">
        <f>ROUND(IF(K383=0,0,M383*D383),4)</f>
        <v>0</v>
      </c>
      <c r="T383" s="67">
        <f>ROUND(+IF(K383=0,Q383*D383,0),4)</f>
        <v>0</v>
      </c>
      <c r="U383" s="67">
        <f>ROUND(+N383+R383+S383+T383,4)</f>
        <v>0</v>
      </c>
      <c r="V383" s="67">
        <f>ROUND(IF(P383=0,0,I383-H383-O383)+IF(L383=0,0,I383-H383-K383),4)</f>
        <v>0</v>
      </c>
      <c r="W383" s="67">
        <f>ROUND(+(V383*60%)*D383,4)</f>
        <v>0</v>
      </c>
      <c r="X383" s="148">
        <f>ROUND(+U383+W383,4)</f>
        <v>0</v>
      </c>
      <c r="Y383" s="68"/>
      <c r="Z383" s="148">
        <f>ROUND(IF(X383&gt;I383,X383,I383),4)</f>
        <v>0</v>
      </c>
    </row>
    <row r="384" spans="1:26" x14ac:dyDescent="0.2">
      <c r="A384" s="66"/>
      <c r="B384" s="66"/>
      <c r="C384" s="66"/>
      <c r="D384" s="144"/>
      <c r="E384" s="67"/>
      <c r="F384" s="67"/>
      <c r="G384" s="67"/>
      <c r="H384" s="67">
        <f>ROUND(+E384+G384,4)</f>
        <v>0</v>
      </c>
      <c r="I384" s="67"/>
      <c r="J384" s="67">
        <f>ROUND(+I384-H384,4)</f>
        <v>0</v>
      </c>
      <c r="K384" s="67">
        <f>ROUND(IF(F384="alluminio",0,I384*1.5%),4)</f>
        <v>0</v>
      </c>
      <c r="L384" s="67">
        <f>ROUND(IF(K384&lt;J384,K384,0),4)</f>
        <v>0</v>
      </c>
      <c r="M384" s="67">
        <f>ROUND(IF(J384&gt;K384,0,J384),4)</f>
        <v>0</v>
      </c>
      <c r="N384" s="67">
        <f>ROUND(+L384*D384,4)</f>
        <v>0</v>
      </c>
      <c r="O384" s="67">
        <f>ROUND(IF(F384="rame",0,+I384*3%),4)</f>
        <v>0</v>
      </c>
      <c r="P384" s="67">
        <f>ROUND(IF(O384&lt;J384,O384,0),4)</f>
        <v>0</v>
      </c>
      <c r="Q384" s="67">
        <f>ROUND(IF(J384&gt;O384,0,J384),4)</f>
        <v>0</v>
      </c>
      <c r="R384" s="67">
        <f>ROUND(+P384*D384,4)</f>
        <v>0</v>
      </c>
      <c r="S384" s="67">
        <f>ROUND(IF(K384=0,0,M384*D384),4)</f>
        <v>0</v>
      </c>
      <c r="T384" s="67">
        <f>ROUND(+IF(K384=0,Q384*D384,0),4)</f>
        <v>0</v>
      </c>
      <c r="U384" s="67">
        <f>ROUND(+N384+R384+S384+T384,4)</f>
        <v>0</v>
      </c>
      <c r="V384" s="67">
        <f>ROUND(IF(P384=0,0,I384-H384-O384)+IF(L384=0,0,I384-H384-K384),4)</f>
        <v>0</v>
      </c>
      <c r="W384" s="67">
        <f>ROUND(+(V384*60%)*D384,4)</f>
        <v>0</v>
      </c>
      <c r="X384" s="148">
        <f>ROUND(+U384+W384,4)</f>
        <v>0</v>
      </c>
      <c r="Y384" s="68"/>
      <c r="Z384" s="148">
        <f>ROUND(IF(X384&gt;I384,X384,I384),4)</f>
        <v>0</v>
      </c>
    </row>
    <row r="385" spans="1:26" x14ac:dyDescent="0.2">
      <c r="A385" s="66"/>
      <c r="B385" s="66"/>
      <c r="C385" s="66"/>
      <c r="D385" s="144"/>
      <c r="E385" s="67"/>
      <c r="F385" s="67"/>
      <c r="G385" s="67"/>
      <c r="H385" s="67">
        <f>ROUND(+E385+G385,4)</f>
        <v>0</v>
      </c>
      <c r="I385" s="67"/>
      <c r="J385" s="67">
        <f>ROUND(+I385-H385,4)</f>
        <v>0</v>
      </c>
      <c r="K385" s="67">
        <f>ROUND(IF(F385="alluminio",0,I385*1.5%),4)</f>
        <v>0</v>
      </c>
      <c r="L385" s="67">
        <f>ROUND(IF(K385&lt;J385,K385,0),4)</f>
        <v>0</v>
      </c>
      <c r="M385" s="67">
        <f>ROUND(IF(J385&gt;K385,0,J385),4)</f>
        <v>0</v>
      </c>
      <c r="N385" s="67">
        <f>ROUND(+L385*D385,4)</f>
        <v>0</v>
      </c>
      <c r="O385" s="67">
        <f>ROUND(IF(F385="rame",0,+I385*3%),4)</f>
        <v>0</v>
      </c>
      <c r="P385" s="67">
        <f>ROUND(IF(O385&lt;J385,O385,0),4)</f>
        <v>0</v>
      </c>
      <c r="Q385" s="67">
        <f>ROUND(IF(J385&gt;O385,0,J385),4)</f>
        <v>0</v>
      </c>
      <c r="R385" s="67">
        <f>ROUND(+P385*D385,4)</f>
        <v>0</v>
      </c>
      <c r="S385" s="67">
        <f>ROUND(IF(K385=0,0,M385*D385),4)</f>
        <v>0</v>
      </c>
      <c r="T385" s="67">
        <f>ROUND(+IF(K385=0,Q385*D385,0),4)</f>
        <v>0</v>
      </c>
      <c r="U385" s="67">
        <f>ROUND(+N385+R385+S385+T385,4)</f>
        <v>0</v>
      </c>
      <c r="V385" s="67">
        <f>ROUND(IF(P385=0,0,I385-H385-O385)+IF(L385=0,0,I385-H385-K385),4)</f>
        <v>0</v>
      </c>
      <c r="W385" s="67">
        <f>ROUND(+(V385*60%)*D385,4)</f>
        <v>0</v>
      </c>
      <c r="X385" s="148">
        <f>ROUND(+U385+W385,4)</f>
        <v>0</v>
      </c>
      <c r="Y385" s="68"/>
      <c r="Z385" s="148">
        <f>ROUND(IF(X385&gt;I385,X385,I385),4)</f>
        <v>0</v>
      </c>
    </row>
    <row r="386" spans="1:26" x14ac:dyDescent="0.2">
      <c r="A386" s="66"/>
      <c r="B386" s="66"/>
      <c r="C386" s="66"/>
      <c r="D386" s="144"/>
      <c r="E386" s="67"/>
      <c r="F386" s="67"/>
      <c r="G386" s="67"/>
      <c r="H386" s="67">
        <f>ROUND(+E386+G386,4)</f>
        <v>0</v>
      </c>
      <c r="I386" s="67"/>
      <c r="J386" s="67">
        <f>ROUND(+I386-H386,4)</f>
        <v>0</v>
      </c>
      <c r="K386" s="67">
        <f>ROUND(IF(F386="alluminio",0,I386*1.5%),4)</f>
        <v>0</v>
      </c>
      <c r="L386" s="67">
        <f>ROUND(IF(K386&lt;J386,K386,0),4)</f>
        <v>0</v>
      </c>
      <c r="M386" s="67">
        <f>ROUND(IF(J386&gt;K386,0,J386),4)</f>
        <v>0</v>
      </c>
      <c r="N386" s="67">
        <f>ROUND(+L386*D386,4)</f>
        <v>0</v>
      </c>
      <c r="O386" s="67">
        <f>ROUND(IF(F386="rame",0,+I386*3%),4)</f>
        <v>0</v>
      </c>
      <c r="P386" s="67">
        <f>ROUND(IF(O386&lt;J386,O386,0),4)</f>
        <v>0</v>
      </c>
      <c r="Q386" s="67">
        <f>ROUND(IF(J386&gt;O386,0,J386),4)</f>
        <v>0</v>
      </c>
      <c r="R386" s="67">
        <f>ROUND(+P386*D386,4)</f>
        <v>0</v>
      </c>
      <c r="S386" s="67">
        <f>ROUND(IF(K386=0,0,M386*D386),4)</f>
        <v>0</v>
      </c>
      <c r="T386" s="67">
        <f>ROUND(+IF(K386=0,Q386*D386,0),4)</f>
        <v>0</v>
      </c>
      <c r="U386" s="67">
        <f>ROUND(+N386+R386+S386+T386,4)</f>
        <v>0</v>
      </c>
      <c r="V386" s="67">
        <f>ROUND(IF(P386=0,0,I386-H386-O386)+IF(L386=0,0,I386-H386-K386),4)</f>
        <v>0</v>
      </c>
      <c r="W386" s="67">
        <f>ROUND(+(V386*60%)*D386,4)</f>
        <v>0</v>
      </c>
      <c r="X386" s="148">
        <f>ROUND(+U386+W386,4)</f>
        <v>0</v>
      </c>
      <c r="Y386" s="68"/>
      <c r="Z386" s="148">
        <f>ROUND(IF(X386&gt;I386,X386,I386),4)</f>
        <v>0</v>
      </c>
    </row>
    <row r="387" spans="1:26" x14ac:dyDescent="0.2">
      <c r="A387" s="66"/>
      <c r="B387" s="66"/>
      <c r="C387" s="66"/>
      <c r="D387" s="144"/>
      <c r="E387" s="67"/>
      <c r="F387" s="67"/>
      <c r="G387" s="67"/>
      <c r="H387" s="67">
        <f>ROUND(+E387+G387,4)</f>
        <v>0</v>
      </c>
      <c r="I387" s="67"/>
      <c r="J387" s="67">
        <f>ROUND(+I387-H387,4)</f>
        <v>0</v>
      </c>
      <c r="K387" s="67">
        <f>ROUND(IF(F387="alluminio",0,I387*1.5%),4)</f>
        <v>0</v>
      </c>
      <c r="L387" s="67">
        <f>ROUND(IF(K387&lt;J387,K387,0),4)</f>
        <v>0</v>
      </c>
      <c r="M387" s="67">
        <f>ROUND(IF(J387&gt;K387,0,J387),4)</f>
        <v>0</v>
      </c>
      <c r="N387" s="67">
        <f>ROUND(+L387*D387,4)</f>
        <v>0</v>
      </c>
      <c r="O387" s="67">
        <f>ROUND(IF(F387="rame",0,+I387*3%),4)</f>
        <v>0</v>
      </c>
      <c r="P387" s="67">
        <f>ROUND(IF(O387&lt;J387,O387,0),4)</f>
        <v>0</v>
      </c>
      <c r="Q387" s="67">
        <f>ROUND(IF(J387&gt;O387,0,J387),4)</f>
        <v>0</v>
      </c>
      <c r="R387" s="67">
        <f>ROUND(+P387*D387,4)</f>
        <v>0</v>
      </c>
      <c r="S387" s="67">
        <f>ROUND(IF(K387=0,0,M387*D387),4)</f>
        <v>0</v>
      </c>
      <c r="T387" s="67">
        <f>ROUND(+IF(K387=0,Q387*D387,0),4)</f>
        <v>0</v>
      </c>
      <c r="U387" s="67">
        <f>ROUND(+N387+R387+S387+T387,4)</f>
        <v>0</v>
      </c>
      <c r="V387" s="67">
        <f>ROUND(IF(P387=0,0,I387-H387-O387)+IF(L387=0,0,I387-H387-K387),4)</f>
        <v>0</v>
      </c>
      <c r="W387" s="67">
        <f>ROUND(+(V387*60%)*D387,4)</f>
        <v>0</v>
      </c>
      <c r="X387" s="148">
        <f>ROUND(+U387+W387,4)</f>
        <v>0</v>
      </c>
      <c r="Y387" s="68"/>
      <c r="Z387" s="148">
        <f>ROUND(IF(X387&gt;I387,X387,I387),4)</f>
        <v>0</v>
      </c>
    </row>
    <row r="388" spans="1:26" x14ac:dyDescent="0.2">
      <c r="A388" s="66"/>
      <c r="B388" s="66"/>
      <c r="C388" s="66"/>
      <c r="D388" s="144"/>
      <c r="E388" s="67"/>
      <c r="F388" s="67"/>
      <c r="G388" s="67"/>
      <c r="H388" s="67">
        <f>ROUND(+E388+G388,4)</f>
        <v>0</v>
      </c>
      <c r="I388" s="67"/>
      <c r="J388" s="67">
        <f>ROUND(+I388-H388,4)</f>
        <v>0</v>
      </c>
      <c r="K388" s="67">
        <f>ROUND(IF(F388="alluminio",0,I388*1.5%),4)</f>
        <v>0</v>
      </c>
      <c r="L388" s="67">
        <f>ROUND(IF(K388&lt;J388,K388,0),4)</f>
        <v>0</v>
      </c>
      <c r="M388" s="67">
        <f>ROUND(IF(J388&gt;K388,0,J388),4)</f>
        <v>0</v>
      </c>
      <c r="N388" s="67">
        <f>ROUND(+L388*D388,4)</f>
        <v>0</v>
      </c>
      <c r="O388" s="67">
        <f>ROUND(IF(F388="rame",0,+I388*3%),4)</f>
        <v>0</v>
      </c>
      <c r="P388" s="67">
        <f>ROUND(IF(O388&lt;J388,O388,0),4)</f>
        <v>0</v>
      </c>
      <c r="Q388" s="67">
        <f>ROUND(IF(J388&gt;O388,0,J388),4)</f>
        <v>0</v>
      </c>
      <c r="R388" s="67">
        <f>ROUND(+P388*D388,4)</f>
        <v>0</v>
      </c>
      <c r="S388" s="67">
        <f>ROUND(IF(K388=0,0,M388*D388),4)</f>
        <v>0</v>
      </c>
      <c r="T388" s="67">
        <f>ROUND(+IF(K388=0,Q388*D388,0),4)</f>
        <v>0</v>
      </c>
      <c r="U388" s="67">
        <f>ROUND(+N388+R388+S388+T388,4)</f>
        <v>0</v>
      </c>
      <c r="V388" s="67">
        <f>ROUND(IF(P388=0,0,I388-H388-O388)+IF(L388=0,0,I388-H388-K388),4)</f>
        <v>0</v>
      </c>
      <c r="W388" s="67">
        <f>ROUND(+(V388*60%)*D388,4)</f>
        <v>0</v>
      </c>
      <c r="X388" s="148">
        <f>ROUND(+U388+W388,4)</f>
        <v>0</v>
      </c>
      <c r="Y388" s="68"/>
      <c r="Z388" s="148">
        <f>ROUND(IF(X388&gt;I388,X388,I388),4)</f>
        <v>0</v>
      </c>
    </row>
    <row r="389" spans="1:26" x14ac:dyDescent="0.2">
      <c r="A389" s="66"/>
      <c r="B389" s="66"/>
      <c r="C389" s="66"/>
      <c r="D389" s="144"/>
      <c r="E389" s="67"/>
      <c r="F389" s="67"/>
      <c r="G389" s="67"/>
      <c r="H389" s="67">
        <f>ROUND(+E389+G389,4)</f>
        <v>0</v>
      </c>
      <c r="I389" s="67"/>
      <c r="J389" s="67">
        <f>ROUND(+I389-H389,4)</f>
        <v>0</v>
      </c>
      <c r="K389" s="67">
        <f>ROUND(IF(F389="alluminio",0,I389*1.5%),4)</f>
        <v>0</v>
      </c>
      <c r="L389" s="67">
        <f>ROUND(IF(K389&lt;J389,K389,0),4)</f>
        <v>0</v>
      </c>
      <c r="M389" s="67">
        <f>ROUND(IF(J389&gt;K389,0,J389),4)</f>
        <v>0</v>
      </c>
      <c r="N389" s="67">
        <f>ROUND(+L389*D389,4)</f>
        <v>0</v>
      </c>
      <c r="O389" s="67">
        <f>ROUND(IF(F389="rame",0,+I389*3%),4)</f>
        <v>0</v>
      </c>
      <c r="P389" s="67">
        <f>ROUND(IF(O389&lt;J389,O389,0),4)</f>
        <v>0</v>
      </c>
      <c r="Q389" s="67">
        <f>ROUND(IF(J389&gt;O389,0,J389),4)</f>
        <v>0</v>
      </c>
      <c r="R389" s="67">
        <f>ROUND(+P389*D389,4)</f>
        <v>0</v>
      </c>
      <c r="S389" s="67">
        <f>ROUND(IF(K389=0,0,M389*D389),4)</f>
        <v>0</v>
      </c>
      <c r="T389" s="67">
        <f>ROUND(+IF(K389=0,Q389*D389,0),4)</f>
        <v>0</v>
      </c>
      <c r="U389" s="67">
        <f>ROUND(+N389+R389+S389+T389,4)</f>
        <v>0</v>
      </c>
      <c r="V389" s="67">
        <f>ROUND(IF(P389=0,0,I389-H389-O389)+IF(L389=0,0,I389-H389-K389),4)</f>
        <v>0</v>
      </c>
      <c r="W389" s="67">
        <f>ROUND(+(V389*60%)*D389,4)</f>
        <v>0</v>
      </c>
      <c r="X389" s="148">
        <f>ROUND(+U389+W389,4)</f>
        <v>0</v>
      </c>
      <c r="Y389" s="68"/>
      <c r="Z389" s="148">
        <f>ROUND(IF(X389&gt;I389,X389,I389),4)</f>
        <v>0</v>
      </c>
    </row>
    <row r="390" spans="1:26" x14ac:dyDescent="0.2">
      <c r="A390" s="66"/>
      <c r="B390" s="66"/>
      <c r="C390" s="66"/>
      <c r="D390" s="144"/>
      <c r="E390" s="67"/>
      <c r="F390" s="67"/>
      <c r="G390" s="67"/>
      <c r="H390" s="67">
        <f>ROUND(+E390+G390,4)</f>
        <v>0</v>
      </c>
      <c r="I390" s="67"/>
      <c r="J390" s="67">
        <f>ROUND(+I390-H390,4)</f>
        <v>0</v>
      </c>
      <c r="K390" s="67">
        <f>ROUND(IF(F390="alluminio",0,I390*1.5%),4)</f>
        <v>0</v>
      </c>
      <c r="L390" s="67">
        <f>ROUND(IF(K390&lt;J390,K390,0),4)</f>
        <v>0</v>
      </c>
      <c r="M390" s="67">
        <f>ROUND(IF(J390&gt;K390,0,J390),4)</f>
        <v>0</v>
      </c>
      <c r="N390" s="67">
        <f>ROUND(+L390*D390,4)</f>
        <v>0</v>
      </c>
      <c r="O390" s="67">
        <f>ROUND(IF(F390="rame",0,+I390*3%),4)</f>
        <v>0</v>
      </c>
      <c r="P390" s="67">
        <f>ROUND(IF(O390&lt;J390,O390,0),4)</f>
        <v>0</v>
      </c>
      <c r="Q390" s="67">
        <f>ROUND(IF(J390&gt;O390,0,J390),4)</f>
        <v>0</v>
      </c>
      <c r="R390" s="67">
        <f>ROUND(+P390*D390,4)</f>
        <v>0</v>
      </c>
      <c r="S390" s="67">
        <f>ROUND(IF(K390=0,0,M390*D390),4)</f>
        <v>0</v>
      </c>
      <c r="T390" s="67">
        <f>ROUND(+IF(K390=0,Q390*D390,0),4)</f>
        <v>0</v>
      </c>
      <c r="U390" s="67">
        <f>ROUND(+N390+R390+S390+T390,4)</f>
        <v>0</v>
      </c>
      <c r="V390" s="67">
        <f>ROUND(IF(P390=0,0,I390-H390-O390)+IF(L390=0,0,I390-H390-K390),4)</f>
        <v>0</v>
      </c>
      <c r="W390" s="67">
        <f>ROUND(+(V390*60%)*D390,4)</f>
        <v>0</v>
      </c>
      <c r="X390" s="148">
        <f>ROUND(+U390+W390,4)</f>
        <v>0</v>
      </c>
      <c r="Y390" s="68"/>
      <c r="Z390" s="148">
        <f>ROUND(IF(X390&gt;I390,X390,I390),4)</f>
        <v>0</v>
      </c>
    </row>
    <row r="391" spans="1:26" x14ac:dyDescent="0.2">
      <c r="A391" s="66"/>
      <c r="B391" s="66"/>
      <c r="C391" s="66"/>
      <c r="D391" s="144"/>
      <c r="E391" s="67"/>
      <c r="F391" s="67"/>
      <c r="G391" s="67"/>
      <c r="H391" s="67">
        <f>ROUND(+E391+G391,4)</f>
        <v>0</v>
      </c>
      <c r="I391" s="67"/>
      <c r="J391" s="67">
        <f>ROUND(+I391-H391,4)</f>
        <v>0</v>
      </c>
      <c r="K391" s="67">
        <f>ROUND(IF(F391="alluminio",0,I391*1.5%),4)</f>
        <v>0</v>
      </c>
      <c r="L391" s="67">
        <f>ROUND(IF(K391&lt;J391,K391,0),4)</f>
        <v>0</v>
      </c>
      <c r="M391" s="67">
        <f>ROUND(IF(J391&gt;K391,0,J391),4)</f>
        <v>0</v>
      </c>
      <c r="N391" s="67">
        <f>ROUND(+L391*D391,4)</f>
        <v>0</v>
      </c>
      <c r="O391" s="67">
        <f>ROUND(IF(F391="rame",0,+I391*3%),4)</f>
        <v>0</v>
      </c>
      <c r="P391" s="67">
        <f>ROUND(IF(O391&lt;J391,O391,0),4)</f>
        <v>0</v>
      </c>
      <c r="Q391" s="67">
        <f>ROUND(IF(J391&gt;O391,0,J391),4)</f>
        <v>0</v>
      </c>
      <c r="R391" s="67">
        <f>ROUND(+P391*D391,4)</f>
        <v>0</v>
      </c>
      <c r="S391" s="67">
        <f>ROUND(IF(K391=0,0,M391*D391),4)</f>
        <v>0</v>
      </c>
      <c r="T391" s="67">
        <f>ROUND(+IF(K391=0,Q391*D391,0),4)</f>
        <v>0</v>
      </c>
      <c r="U391" s="67">
        <f>ROUND(+N391+R391+S391+T391,4)</f>
        <v>0</v>
      </c>
      <c r="V391" s="67">
        <f>ROUND(IF(P391=0,0,I391-H391-O391)+IF(L391=0,0,I391-H391-K391),4)</f>
        <v>0</v>
      </c>
      <c r="W391" s="67">
        <f>ROUND(+(V391*60%)*D391,4)</f>
        <v>0</v>
      </c>
      <c r="X391" s="148">
        <f>ROUND(+U391+W391,4)</f>
        <v>0</v>
      </c>
      <c r="Y391" s="68"/>
      <c r="Z391" s="148">
        <f>ROUND(IF(X391&gt;I391,X391,I391),4)</f>
        <v>0</v>
      </c>
    </row>
    <row r="392" spans="1:26" x14ac:dyDescent="0.2">
      <c r="A392" s="66"/>
      <c r="B392" s="66"/>
      <c r="C392" s="66"/>
      <c r="D392" s="144"/>
      <c r="E392" s="67"/>
      <c r="F392" s="67"/>
      <c r="G392" s="67"/>
      <c r="H392" s="67">
        <f>ROUND(+E392+G392,4)</f>
        <v>0</v>
      </c>
      <c r="I392" s="67"/>
      <c r="J392" s="67">
        <f>ROUND(+I392-H392,4)</f>
        <v>0</v>
      </c>
      <c r="K392" s="67">
        <f>ROUND(IF(F392="alluminio",0,I392*1.5%),4)</f>
        <v>0</v>
      </c>
      <c r="L392" s="67">
        <f>ROUND(IF(K392&lt;J392,K392,0),4)</f>
        <v>0</v>
      </c>
      <c r="M392" s="67">
        <f>ROUND(IF(J392&gt;K392,0,J392),4)</f>
        <v>0</v>
      </c>
      <c r="N392" s="67">
        <f>ROUND(+L392*D392,4)</f>
        <v>0</v>
      </c>
      <c r="O392" s="67">
        <f>ROUND(IF(F392="rame",0,+I392*3%),4)</f>
        <v>0</v>
      </c>
      <c r="P392" s="67">
        <f>ROUND(IF(O392&lt;J392,O392,0),4)</f>
        <v>0</v>
      </c>
      <c r="Q392" s="67">
        <f>ROUND(IF(J392&gt;O392,0,J392),4)</f>
        <v>0</v>
      </c>
      <c r="R392" s="67">
        <f>ROUND(+P392*D392,4)</f>
        <v>0</v>
      </c>
      <c r="S392" s="67">
        <f>ROUND(IF(K392=0,0,M392*D392),4)</f>
        <v>0</v>
      </c>
      <c r="T392" s="67">
        <f>ROUND(+IF(K392=0,Q392*D392,0),4)</f>
        <v>0</v>
      </c>
      <c r="U392" s="67">
        <f>ROUND(+N392+R392+S392+T392,4)</f>
        <v>0</v>
      </c>
      <c r="V392" s="67">
        <f>ROUND(IF(P392=0,0,I392-H392-O392)+IF(L392=0,0,I392-H392-K392),4)</f>
        <v>0</v>
      </c>
      <c r="W392" s="67">
        <f>ROUND(+(V392*60%)*D392,4)</f>
        <v>0</v>
      </c>
      <c r="X392" s="148">
        <f>ROUND(+U392+W392,4)</f>
        <v>0</v>
      </c>
      <c r="Y392" s="68"/>
      <c r="Z392" s="148">
        <f>ROUND(IF(X392&gt;I392,X392,I392),4)</f>
        <v>0</v>
      </c>
    </row>
    <row r="393" spans="1:26" x14ac:dyDescent="0.2">
      <c r="A393" s="66"/>
      <c r="B393" s="66"/>
      <c r="C393" s="66"/>
      <c r="D393" s="144"/>
      <c r="E393" s="67"/>
      <c r="F393" s="67"/>
      <c r="G393" s="67"/>
      <c r="H393" s="67">
        <f>ROUND(+E393+G393,4)</f>
        <v>0</v>
      </c>
      <c r="I393" s="67"/>
      <c r="J393" s="67">
        <f>ROUND(+I393-H393,4)</f>
        <v>0</v>
      </c>
      <c r="K393" s="67">
        <f>ROUND(IF(F393="alluminio",0,I393*1.5%),4)</f>
        <v>0</v>
      </c>
      <c r="L393" s="67">
        <f>ROUND(IF(K393&lt;J393,K393,0),4)</f>
        <v>0</v>
      </c>
      <c r="M393" s="67">
        <f>ROUND(IF(J393&gt;K393,0,J393),4)</f>
        <v>0</v>
      </c>
      <c r="N393" s="67">
        <f>ROUND(+L393*D393,4)</f>
        <v>0</v>
      </c>
      <c r="O393" s="67">
        <f>ROUND(IF(F393="rame",0,+I393*3%),4)</f>
        <v>0</v>
      </c>
      <c r="P393" s="67">
        <f>ROUND(IF(O393&lt;J393,O393,0),4)</f>
        <v>0</v>
      </c>
      <c r="Q393" s="67">
        <f>ROUND(IF(J393&gt;O393,0,J393),4)</f>
        <v>0</v>
      </c>
      <c r="R393" s="67">
        <f>ROUND(+P393*D393,4)</f>
        <v>0</v>
      </c>
      <c r="S393" s="67">
        <f>ROUND(IF(K393=0,0,M393*D393),4)</f>
        <v>0</v>
      </c>
      <c r="T393" s="67">
        <f>ROUND(+IF(K393=0,Q393*D393,0),4)</f>
        <v>0</v>
      </c>
      <c r="U393" s="67">
        <f>ROUND(+N393+R393+S393+T393,4)</f>
        <v>0</v>
      </c>
      <c r="V393" s="67">
        <f>ROUND(IF(P393=0,0,I393-H393-O393)+IF(L393=0,0,I393-H393-K393),4)</f>
        <v>0</v>
      </c>
      <c r="W393" s="67">
        <f>ROUND(+(V393*60%)*D393,4)</f>
        <v>0</v>
      </c>
      <c r="X393" s="148">
        <f>ROUND(+U393+W393,4)</f>
        <v>0</v>
      </c>
      <c r="Y393" s="68"/>
      <c r="Z393" s="148">
        <f>ROUND(IF(X393&gt;I393,X393,I393),4)</f>
        <v>0</v>
      </c>
    </row>
    <row r="394" spans="1:26" x14ac:dyDescent="0.2">
      <c r="A394" s="66"/>
      <c r="B394" s="66"/>
      <c r="C394" s="66"/>
      <c r="D394" s="144"/>
      <c r="E394" s="67"/>
      <c r="F394" s="67"/>
      <c r="G394" s="67"/>
      <c r="H394" s="67">
        <f>ROUND(+E394+G394,4)</f>
        <v>0</v>
      </c>
      <c r="I394" s="67"/>
      <c r="J394" s="67">
        <f>ROUND(+I394-H394,4)</f>
        <v>0</v>
      </c>
      <c r="K394" s="67">
        <f>ROUND(IF(F394="alluminio",0,I394*1.5%),4)</f>
        <v>0</v>
      </c>
      <c r="L394" s="67">
        <f>ROUND(IF(K394&lt;J394,K394,0),4)</f>
        <v>0</v>
      </c>
      <c r="M394" s="67">
        <f>ROUND(IF(J394&gt;K394,0,J394),4)</f>
        <v>0</v>
      </c>
      <c r="N394" s="67">
        <f>ROUND(+L394*D394,4)</f>
        <v>0</v>
      </c>
      <c r="O394" s="67">
        <f>ROUND(IF(F394="rame",0,+I394*3%),4)</f>
        <v>0</v>
      </c>
      <c r="P394" s="67">
        <f>ROUND(IF(O394&lt;J394,O394,0),4)</f>
        <v>0</v>
      </c>
      <c r="Q394" s="67">
        <f>ROUND(IF(J394&gt;O394,0,J394),4)</f>
        <v>0</v>
      </c>
      <c r="R394" s="67">
        <f>ROUND(+P394*D394,4)</f>
        <v>0</v>
      </c>
      <c r="S394" s="67">
        <f>ROUND(IF(K394=0,0,M394*D394),4)</f>
        <v>0</v>
      </c>
      <c r="T394" s="67">
        <f>ROUND(+IF(K394=0,Q394*D394,0),4)</f>
        <v>0</v>
      </c>
      <c r="U394" s="67">
        <f>ROUND(+N394+R394+S394+T394,4)</f>
        <v>0</v>
      </c>
      <c r="V394" s="67">
        <f>ROUND(IF(P394=0,0,I394-H394-O394)+IF(L394=0,0,I394-H394-K394),4)</f>
        <v>0</v>
      </c>
      <c r="W394" s="67">
        <f>ROUND(+(V394*60%)*D394,4)</f>
        <v>0</v>
      </c>
      <c r="X394" s="148">
        <f>ROUND(+U394+W394,4)</f>
        <v>0</v>
      </c>
      <c r="Y394" s="68"/>
      <c r="Z394" s="148">
        <f>ROUND(IF(X394&gt;I394,X394,I394),4)</f>
        <v>0</v>
      </c>
    </row>
    <row r="395" spans="1:26" x14ac:dyDescent="0.2">
      <c r="A395" s="66"/>
      <c r="B395" s="66"/>
      <c r="C395" s="66"/>
      <c r="D395" s="144"/>
      <c r="E395" s="67"/>
      <c r="F395" s="67"/>
      <c r="G395" s="67"/>
      <c r="H395" s="67">
        <f>ROUND(+E395+G395,4)</f>
        <v>0</v>
      </c>
      <c r="I395" s="67"/>
      <c r="J395" s="67">
        <f>ROUND(+I395-H395,4)</f>
        <v>0</v>
      </c>
      <c r="K395" s="67">
        <f>ROUND(IF(F395="alluminio",0,I395*1.5%),4)</f>
        <v>0</v>
      </c>
      <c r="L395" s="67">
        <f>ROUND(IF(K395&lt;J395,K395,0),4)</f>
        <v>0</v>
      </c>
      <c r="M395" s="67">
        <f>ROUND(IF(J395&gt;K395,0,J395),4)</f>
        <v>0</v>
      </c>
      <c r="N395" s="67">
        <f>ROUND(+L395*D395,4)</f>
        <v>0</v>
      </c>
      <c r="O395" s="67">
        <f>ROUND(IF(F395="rame",0,+I395*3%),4)</f>
        <v>0</v>
      </c>
      <c r="P395" s="67">
        <f>ROUND(IF(O395&lt;J395,O395,0),4)</f>
        <v>0</v>
      </c>
      <c r="Q395" s="67">
        <f>ROUND(IF(J395&gt;O395,0,J395),4)</f>
        <v>0</v>
      </c>
      <c r="R395" s="67">
        <f>ROUND(+P395*D395,4)</f>
        <v>0</v>
      </c>
      <c r="S395" s="67">
        <f>ROUND(IF(K395=0,0,M395*D395),4)</f>
        <v>0</v>
      </c>
      <c r="T395" s="67">
        <f>ROUND(+IF(K395=0,Q395*D395,0),4)</f>
        <v>0</v>
      </c>
      <c r="U395" s="67">
        <f>ROUND(+N395+R395+S395+T395,4)</f>
        <v>0</v>
      </c>
      <c r="V395" s="67">
        <f>ROUND(IF(P395=0,0,I395-H395-O395)+IF(L395=0,0,I395-H395-K395),4)</f>
        <v>0</v>
      </c>
      <c r="W395" s="67">
        <f>ROUND(+(V395*60%)*D395,4)</f>
        <v>0</v>
      </c>
      <c r="X395" s="148">
        <f>ROUND(+U395+W395,4)</f>
        <v>0</v>
      </c>
      <c r="Y395" s="68"/>
      <c r="Z395" s="148">
        <f>ROUND(IF(X395&gt;I395,X395,I395),4)</f>
        <v>0</v>
      </c>
    </row>
    <row r="396" spans="1:26" x14ac:dyDescent="0.2">
      <c r="A396" s="66"/>
      <c r="B396" s="66"/>
      <c r="C396" s="66"/>
      <c r="D396" s="144"/>
      <c r="E396" s="67"/>
      <c r="F396" s="67"/>
      <c r="G396" s="67"/>
      <c r="H396" s="67">
        <f>ROUND(+E396+G396,4)</f>
        <v>0</v>
      </c>
      <c r="I396" s="67"/>
      <c r="J396" s="67">
        <f>ROUND(+I396-H396,4)</f>
        <v>0</v>
      </c>
      <c r="K396" s="67">
        <f>ROUND(IF(F396="alluminio",0,I396*1.5%),4)</f>
        <v>0</v>
      </c>
      <c r="L396" s="67">
        <f>ROUND(IF(K396&lt;J396,K396,0),4)</f>
        <v>0</v>
      </c>
      <c r="M396" s="67">
        <f>ROUND(IF(J396&gt;K396,0,J396),4)</f>
        <v>0</v>
      </c>
      <c r="N396" s="67">
        <f>ROUND(+L396*D396,4)</f>
        <v>0</v>
      </c>
      <c r="O396" s="67">
        <f>ROUND(IF(F396="rame",0,+I396*3%),4)</f>
        <v>0</v>
      </c>
      <c r="P396" s="67">
        <f>ROUND(IF(O396&lt;J396,O396,0),4)</f>
        <v>0</v>
      </c>
      <c r="Q396" s="67">
        <f>ROUND(IF(J396&gt;O396,0,J396),4)</f>
        <v>0</v>
      </c>
      <c r="R396" s="67">
        <f>ROUND(+P396*D396,4)</f>
        <v>0</v>
      </c>
      <c r="S396" s="67">
        <f>ROUND(IF(K396=0,0,M396*D396),4)</f>
        <v>0</v>
      </c>
      <c r="T396" s="67">
        <f>ROUND(+IF(K396=0,Q396*D396,0),4)</f>
        <v>0</v>
      </c>
      <c r="U396" s="67">
        <f>ROUND(+N396+R396+S396+T396,4)</f>
        <v>0</v>
      </c>
      <c r="V396" s="67">
        <f>ROUND(IF(P396=0,0,I396-H396-O396)+IF(L396=0,0,I396-H396-K396),4)</f>
        <v>0</v>
      </c>
      <c r="W396" s="67">
        <f>ROUND(+(V396*60%)*D396,4)</f>
        <v>0</v>
      </c>
      <c r="X396" s="148">
        <f>ROUND(+U396+W396,4)</f>
        <v>0</v>
      </c>
      <c r="Y396" s="68"/>
      <c r="Z396" s="148">
        <f>ROUND(IF(X396&gt;I396,X396,I396),4)</f>
        <v>0</v>
      </c>
    </row>
    <row r="397" spans="1:26" x14ac:dyDescent="0.2">
      <c r="A397" s="66"/>
      <c r="B397" s="66"/>
      <c r="C397" s="66"/>
      <c r="D397" s="144"/>
      <c r="E397" s="67"/>
      <c r="F397" s="67"/>
      <c r="G397" s="67"/>
      <c r="H397" s="67">
        <f>ROUND(+E397+G397,4)</f>
        <v>0</v>
      </c>
      <c r="I397" s="67"/>
      <c r="J397" s="67">
        <f>ROUND(+I397-H397,4)</f>
        <v>0</v>
      </c>
      <c r="K397" s="67">
        <f>ROUND(IF(F397="alluminio",0,I397*1.5%),4)</f>
        <v>0</v>
      </c>
      <c r="L397" s="67">
        <f>ROUND(IF(K397&lt;J397,K397,0),4)</f>
        <v>0</v>
      </c>
      <c r="M397" s="67">
        <f>ROUND(IF(J397&gt;K397,0,J397),4)</f>
        <v>0</v>
      </c>
      <c r="N397" s="67">
        <f>ROUND(+L397*D397,4)</f>
        <v>0</v>
      </c>
      <c r="O397" s="67">
        <f>ROUND(IF(F397="rame",0,+I397*3%),4)</f>
        <v>0</v>
      </c>
      <c r="P397" s="67">
        <f>ROUND(IF(O397&lt;J397,O397,0),4)</f>
        <v>0</v>
      </c>
      <c r="Q397" s="67">
        <f>ROUND(IF(J397&gt;O397,0,J397),4)</f>
        <v>0</v>
      </c>
      <c r="R397" s="67">
        <f>ROUND(+P397*D397,4)</f>
        <v>0</v>
      </c>
      <c r="S397" s="67">
        <f>ROUND(IF(K397=0,0,M397*D397),4)</f>
        <v>0</v>
      </c>
      <c r="T397" s="67">
        <f>ROUND(+IF(K397=0,Q397*D397,0),4)</f>
        <v>0</v>
      </c>
      <c r="U397" s="67">
        <f>ROUND(+N397+R397+S397+T397,4)</f>
        <v>0</v>
      </c>
      <c r="V397" s="67">
        <f>ROUND(IF(P397=0,0,I397-H397-O397)+IF(L397=0,0,I397-H397-K397),4)</f>
        <v>0</v>
      </c>
      <c r="W397" s="67">
        <f>ROUND(+(V397*60%)*D397,4)</f>
        <v>0</v>
      </c>
      <c r="X397" s="148">
        <f>ROUND(+U397+W397,4)</f>
        <v>0</v>
      </c>
      <c r="Y397" s="68"/>
      <c r="Z397" s="148">
        <f>ROUND(IF(X397&gt;I397,X397,I397),4)</f>
        <v>0</v>
      </c>
    </row>
    <row r="398" spans="1:26" x14ac:dyDescent="0.2">
      <c r="A398" s="66"/>
      <c r="B398" s="66"/>
      <c r="C398" s="66"/>
      <c r="D398" s="144"/>
      <c r="E398" s="67"/>
      <c r="F398" s="67"/>
      <c r="G398" s="67"/>
      <c r="H398" s="67">
        <f>ROUND(+E398+G398,4)</f>
        <v>0</v>
      </c>
      <c r="I398" s="67"/>
      <c r="J398" s="67">
        <f>ROUND(+I398-H398,4)</f>
        <v>0</v>
      </c>
      <c r="K398" s="67">
        <f>ROUND(IF(F398="alluminio",0,I398*1.5%),4)</f>
        <v>0</v>
      </c>
      <c r="L398" s="67">
        <f>ROUND(IF(K398&lt;J398,K398,0),4)</f>
        <v>0</v>
      </c>
      <c r="M398" s="67">
        <f>ROUND(IF(J398&gt;K398,0,J398),4)</f>
        <v>0</v>
      </c>
      <c r="N398" s="67">
        <f>ROUND(+L398*D398,4)</f>
        <v>0</v>
      </c>
      <c r="O398" s="67">
        <f>ROUND(IF(F398="rame",0,+I398*3%),4)</f>
        <v>0</v>
      </c>
      <c r="P398" s="67">
        <f>ROUND(IF(O398&lt;J398,O398,0),4)</f>
        <v>0</v>
      </c>
      <c r="Q398" s="67">
        <f>ROUND(IF(J398&gt;O398,0,J398),4)</f>
        <v>0</v>
      </c>
      <c r="R398" s="67">
        <f>ROUND(+P398*D398,4)</f>
        <v>0</v>
      </c>
      <c r="S398" s="67">
        <f>ROUND(IF(K398=0,0,M398*D398),4)</f>
        <v>0</v>
      </c>
      <c r="T398" s="67">
        <f>ROUND(+IF(K398=0,Q398*D398,0),4)</f>
        <v>0</v>
      </c>
      <c r="U398" s="67">
        <f>ROUND(+N398+R398+S398+T398,4)</f>
        <v>0</v>
      </c>
      <c r="V398" s="67">
        <f>ROUND(IF(P398=0,0,I398-H398-O398)+IF(L398=0,0,I398-H398-K398),4)</f>
        <v>0</v>
      </c>
      <c r="W398" s="67">
        <f>ROUND(+(V398*60%)*D398,4)</f>
        <v>0</v>
      </c>
      <c r="X398" s="148">
        <f>ROUND(+U398+W398,4)</f>
        <v>0</v>
      </c>
      <c r="Y398" s="68"/>
      <c r="Z398" s="148">
        <f>ROUND(IF(X398&gt;I398,X398,I398),4)</f>
        <v>0</v>
      </c>
    </row>
    <row r="399" spans="1:26" x14ac:dyDescent="0.2">
      <c r="A399" s="66"/>
      <c r="B399" s="66"/>
      <c r="C399" s="66"/>
      <c r="D399" s="144"/>
      <c r="E399" s="67"/>
      <c r="F399" s="67"/>
      <c r="G399" s="67"/>
      <c r="H399" s="67">
        <f>ROUND(+E399+G399,4)</f>
        <v>0</v>
      </c>
      <c r="I399" s="67"/>
      <c r="J399" s="67">
        <f>ROUND(+I399-H399,4)</f>
        <v>0</v>
      </c>
      <c r="K399" s="67">
        <f>ROUND(IF(F399="alluminio",0,I399*1.5%),4)</f>
        <v>0</v>
      </c>
      <c r="L399" s="67">
        <f>ROUND(IF(K399&lt;J399,K399,0),4)</f>
        <v>0</v>
      </c>
      <c r="M399" s="67">
        <f>ROUND(IF(J399&gt;K399,0,J399),4)</f>
        <v>0</v>
      </c>
      <c r="N399" s="67">
        <f>ROUND(+L399*D399,4)</f>
        <v>0</v>
      </c>
      <c r="O399" s="67">
        <f>ROUND(IF(F399="rame",0,+I399*3%),4)</f>
        <v>0</v>
      </c>
      <c r="P399" s="67">
        <f>ROUND(IF(O399&lt;J399,O399,0),4)</f>
        <v>0</v>
      </c>
      <c r="Q399" s="67">
        <f>ROUND(IF(J399&gt;O399,0,J399),4)</f>
        <v>0</v>
      </c>
      <c r="R399" s="67">
        <f>ROUND(+P399*D399,4)</f>
        <v>0</v>
      </c>
      <c r="S399" s="67">
        <f>ROUND(IF(K399=0,0,M399*D399),4)</f>
        <v>0</v>
      </c>
      <c r="T399" s="67">
        <f>ROUND(+IF(K399=0,Q399*D399,0),4)</f>
        <v>0</v>
      </c>
      <c r="U399" s="67">
        <f>ROUND(+N399+R399+S399+T399,4)</f>
        <v>0</v>
      </c>
      <c r="V399" s="67">
        <f>ROUND(IF(P399=0,0,I399-H399-O399)+IF(L399=0,0,I399-H399-K399),4)</f>
        <v>0</v>
      </c>
      <c r="W399" s="67">
        <f>ROUND(+(V399*60%)*D399,4)</f>
        <v>0</v>
      </c>
      <c r="X399" s="148">
        <f>ROUND(+U399+W399,4)</f>
        <v>0</v>
      </c>
      <c r="Y399" s="68"/>
      <c r="Z399" s="148">
        <f>ROUND(IF(X399&gt;I399,X399,I399),4)</f>
        <v>0</v>
      </c>
    </row>
    <row r="400" spans="1:26" x14ac:dyDescent="0.2">
      <c r="A400" s="66"/>
      <c r="B400" s="66"/>
      <c r="C400" s="66"/>
      <c r="D400" s="144"/>
      <c r="E400" s="67"/>
      <c r="F400" s="67"/>
      <c r="G400" s="67"/>
      <c r="H400" s="67">
        <f>ROUND(+E400+G400,4)</f>
        <v>0</v>
      </c>
      <c r="I400" s="67"/>
      <c r="J400" s="67">
        <f>ROUND(+I400-H400,4)</f>
        <v>0</v>
      </c>
      <c r="K400" s="67">
        <f>ROUND(IF(F400="alluminio",0,I400*1.5%),4)</f>
        <v>0</v>
      </c>
      <c r="L400" s="67">
        <f>ROUND(IF(K400&lt;J400,K400,0),4)</f>
        <v>0</v>
      </c>
      <c r="M400" s="67">
        <f>ROUND(IF(J400&gt;K400,0,J400),4)</f>
        <v>0</v>
      </c>
      <c r="N400" s="67">
        <f>ROUND(+L400*D400,4)</f>
        <v>0</v>
      </c>
      <c r="O400" s="67">
        <f>ROUND(IF(F400="rame",0,+I400*3%),4)</f>
        <v>0</v>
      </c>
      <c r="P400" s="67">
        <f>ROUND(IF(O400&lt;J400,O400,0),4)</f>
        <v>0</v>
      </c>
      <c r="Q400" s="67">
        <f>ROUND(IF(J400&gt;O400,0,J400),4)</f>
        <v>0</v>
      </c>
      <c r="R400" s="67">
        <f>ROUND(+P400*D400,4)</f>
        <v>0</v>
      </c>
      <c r="S400" s="67">
        <f>ROUND(IF(K400=0,0,M400*D400),4)</f>
        <v>0</v>
      </c>
      <c r="T400" s="67">
        <f>ROUND(+IF(K400=0,Q400*D400,0),4)</f>
        <v>0</v>
      </c>
      <c r="U400" s="67">
        <f>ROUND(+N400+R400+S400+T400,4)</f>
        <v>0</v>
      </c>
      <c r="V400" s="67">
        <f>ROUND(IF(P400=0,0,I400-H400-O400)+IF(L400=0,0,I400-H400-K400),4)</f>
        <v>0</v>
      </c>
      <c r="W400" s="67">
        <f>ROUND(+(V400*60%)*D400,4)</f>
        <v>0</v>
      </c>
      <c r="X400" s="148">
        <f>ROUND(+U400+W400,4)</f>
        <v>0</v>
      </c>
      <c r="Y400" s="68"/>
      <c r="Z400" s="148">
        <f>ROUND(IF(X400&gt;I400,X400,I400),4)</f>
        <v>0</v>
      </c>
    </row>
    <row r="401" spans="1:26" x14ac:dyDescent="0.2">
      <c r="A401" s="66"/>
      <c r="B401" s="66"/>
      <c r="C401" s="66"/>
      <c r="D401" s="144"/>
      <c r="E401" s="67"/>
      <c r="F401" s="67"/>
      <c r="G401" s="67"/>
      <c r="H401" s="67">
        <f>ROUND(+E401+G401,4)</f>
        <v>0</v>
      </c>
      <c r="I401" s="67"/>
      <c r="J401" s="67">
        <f>ROUND(+I401-H401,4)</f>
        <v>0</v>
      </c>
      <c r="K401" s="67">
        <f>ROUND(IF(F401="alluminio",0,I401*1.5%),4)</f>
        <v>0</v>
      </c>
      <c r="L401" s="67">
        <f>ROUND(IF(K401&lt;J401,K401,0),4)</f>
        <v>0</v>
      </c>
      <c r="M401" s="67">
        <f>ROUND(IF(J401&gt;K401,0,J401),4)</f>
        <v>0</v>
      </c>
      <c r="N401" s="67">
        <f>ROUND(+L401*D401,4)</f>
        <v>0</v>
      </c>
      <c r="O401" s="67">
        <f>ROUND(IF(F401="rame",0,+I401*3%),4)</f>
        <v>0</v>
      </c>
      <c r="P401" s="67">
        <f>ROUND(IF(O401&lt;J401,O401,0),4)</f>
        <v>0</v>
      </c>
      <c r="Q401" s="67">
        <f>ROUND(IF(J401&gt;O401,0,J401),4)</f>
        <v>0</v>
      </c>
      <c r="R401" s="67">
        <f>ROUND(+P401*D401,4)</f>
        <v>0</v>
      </c>
      <c r="S401" s="67">
        <f>ROUND(IF(K401=0,0,M401*D401),4)</f>
        <v>0</v>
      </c>
      <c r="T401" s="67">
        <f>ROUND(+IF(K401=0,Q401*D401,0),4)</f>
        <v>0</v>
      </c>
      <c r="U401" s="67">
        <f>ROUND(+N401+R401+S401+T401,4)</f>
        <v>0</v>
      </c>
      <c r="V401" s="67">
        <f>ROUND(IF(P401=0,0,I401-H401-O401)+IF(L401=0,0,I401-H401-K401),4)</f>
        <v>0</v>
      </c>
      <c r="W401" s="67">
        <f>ROUND(+(V401*60%)*D401,4)</f>
        <v>0</v>
      </c>
      <c r="X401" s="148">
        <f>ROUND(+U401+W401,4)</f>
        <v>0</v>
      </c>
      <c r="Y401" s="68"/>
      <c r="Z401" s="148">
        <f>ROUND(IF(X401&gt;I401,X401,I401),4)</f>
        <v>0</v>
      </c>
    </row>
    <row r="402" spans="1:26" x14ac:dyDescent="0.2">
      <c r="A402" s="66"/>
      <c r="B402" s="66"/>
      <c r="C402" s="66"/>
      <c r="D402" s="144"/>
      <c r="E402" s="67"/>
      <c r="F402" s="67"/>
      <c r="G402" s="67"/>
      <c r="H402" s="67">
        <f>ROUND(+E402+G402,4)</f>
        <v>0</v>
      </c>
      <c r="I402" s="67"/>
      <c r="J402" s="67">
        <f>ROUND(+I402-H402,4)</f>
        <v>0</v>
      </c>
      <c r="K402" s="67">
        <f>ROUND(IF(F402="alluminio",0,I402*1.5%),4)</f>
        <v>0</v>
      </c>
      <c r="L402" s="67">
        <f>ROUND(IF(K402&lt;J402,K402,0),4)</f>
        <v>0</v>
      </c>
      <c r="M402" s="67">
        <f>ROUND(IF(J402&gt;K402,0,J402),4)</f>
        <v>0</v>
      </c>
      <c r="N402" s="67">
        <f>ROUND(+L402*D402,4)</f>
        <v>0</v>
      </c>
      <c r="O402" s="67">
        <f>ROUND(IF(F402="rame",0,+I402*3%),4)</f>
        <v>0</v>
      </c>
      <c r="P402" s="67">
        <f>ROUND(IF(O402&lt;J402,O402,0),4)</f>
        <v>0</v>
      </c>
      <c r="Q402" s="67">
        <f>ROUND(IF(J402&gt;O402,0,J402),4)</f>
        <v>0</v>
      </c>
      <c r="R402" s="67">
        <f>ROUND(+P402*D402,4)</f>
        <v>0</v>
      </c>
      <c r="S402" s="67">
        <f>ROUND(IF(K402=0,0,M402*D402),4)</f>
        <v>0</v>
      </c>
      <c r="T402" s="67">
        <f>ROUND(+IF(K402=0,Q402*D402,0),4)</f>
        <v>0</v>
      </c>
      <c r="U402" s="67">
        <f>ROUND(+N402+R402+S402+T402,4)</f>
        <v>0</v>
      </c>
      <c r="V402" s="67">
        <f>ROUND(IF(P402=0,0,I402-H402-O402)+IF(L402=0,0,I402-H402-K402),4)</f>
        <v>0</v>
      </c>
      <c r="W402" s="67">
        <f>ROUND(+(V402*60%)*D402,4)</f>
        <v>0</v>
      </c>
      <c r="X402" s="148">
        <f>ROUND(+U402+W402,4)</f>
        <v>0</v>
      </c>
      <c r="Y402" s="68"/>
      <c r="Z402" s="148">
        <f>ROUND(IF(X402&gt;I402,X402,I402),4)</f>
        <v>0</v>
      </c>
    </row>
    <row r="403" spans="1:26" x14ac:dyDescent="0.2">
      <c r="A403" s="66"/>
      <c r="B403" s="66"/>
      <c r="C403" s="66"/>
      <c r="D403" s="144"/>
      <c r="E403" s="67"/>
      <c r="F403" s="67"/>
      <c r="G403" s="67"/>
      <c r="H403" s="67">
        <f>ROUND(+E403+G403,4)</f>
        <v>0</v>
      </c>
      <c r="I403" s="67"/>
      <c r="J403" s="67">
        <f>ROUND(+I403-H403,4)</f>
        <v>0</v>
      </c>
      <c r="K403" s="67">
        <f>ROUND(IF(F403="alluminio",0,I403*1.5%),4)</f>
        <v>0</v>
      </c>
      <c r="L403" s="67">
        <f>ROUND(IF(K403&lt;J403,K403,0),4)</f>
        <v>0</v>
      </c>
      <c r="M403" s="67">
        <f>ROUND(IF(J403&gt;K403,0,J403),4)</f>
        <v>0</v>
      </c>
      <c r="N403" s="67">
        <f>ROUND(+L403*D403,4)</f>
        <v>0</v>
      </c>
      <c r="O403" s="67">
        <f>ROUND(IF(F403="rame",0,+I403*3%),4)</f>
        <v>0</v>
      </c>
      <c r="P403" s="67">
        <f>ROUND(IF(O403&lt;J403,O403,0),4)</f>
        <v>0</v>
      </c>
      <c r="Q403" s="67">
        <f>ROUND(IF(J403&gt;O403,0,J403),4)</f>
        <v>0</v>
      </c>
      <c r="R403" s="67">
        <f>ROUND(+P403*D403,4)</f>
        <v>0</v>
      </c>
      <c r="S403" s="67">
        <f>ROUND(IF(K403=0,0,M403*D403),4)</f>
        <v>0</v>
      </c>
      <c r="T403" s="67">
        <f>ROUND(+IF(K403=0,Q403*D403,0),4)</f>
        <v>0</v>
      </c>
      <c r="U403" s="67">
        <f>ROUND(+N403+R403+S403+T403,4)</f>
        <v>0</v>
      </c>
      <c r="V403" s="67">
        <f>ROUND(IF(P403=0,0,I403-H403-O403)+IF(L403=0,0,I403-H403-K403),4)</f>
        <v>0</v>
      </c>
      <c r="W403" s="67">
        <f>ROUND(+(V403*60%)*D403,4)</f>
        <v>0</v>
      </c>
      <c r="X403" s="148">
        <f>ROUND(+U403+W403,4)</f>
        <v>0</v>
      </c>
      <c r="Y403" s="68"/>
      <c r="Z403" s="148">
        <f>ROUND(IF(X403&gt;I403,X403,I403),4)</f>
        <v>0</v>
      </c>
    </row>
    <row r="404" spans="1:26" x14ac:dyDescent="0.2">
      <c r="A404" s="66"/>
      <c r="B404" s="66"/>
      <c r="C404" s="66"/>
      <c r="D404" s="144"/>
      <c r="E404" s="67"/>
      <c r="F404" s="67"/>
      <c r="G404" s="67"/>
      <c r="H404" s="67">
        <f>ROUND(+E404+G404,4)</f>
        <v>0</v>
      </c>
      <c r="I404" s="67"/>
      <c r="J404" s="67">
        <f>ROUND(+I404-H404,4)</f>
        <v>0</v>
      </c>
      <c r="K404" s="67">
        <f>ROUND(IF(F404="alluminio",0,I404*1.5%),4)</f>
        <v>0</v>
      </c>
      <c r="L404" s="67">
        <f>ROUND(IF(K404&lt;J404,K404,0),4)</f>
        <v>0</v>
      </c>
      <c r="M404" s="67">
        <f>ROUND(IF(J404&gt;K404,0,J404),4)</f>
        <v>0</v>
      </c>
      <c r="N404" s="67">
        <f>ROUND(+L404*D404,4)</f>
        <v>0</v>
      </c>
      <c r="O404" s="67">
        <f>ROUND(IF(F404="rame",0,+I404*3%),4)</f>
        <v>0</v>
      </c>
      <c r="P404" s="67">
        <f>ROUND(IF(O404&lt;J404,O404,0),4)</f>
        <v>0</v>
      </c>
      <c r="Q404" s="67">
        <f>ROUND(IF(J404&gt;O404,0,J404),4)</f>
        <v>0</v>
      </c>
      <c r="R404" s="67">
        <f>ROUND(+P404*D404,4)</f>
        <v>0</v>
      </c>
      <c r="S404" s="67">
        <f>ROUND(IF(K404=0,0,M404*D404),4)</f>
        <v>0</v>
      </c>
      <c r="T404" s="67">
        <f>ROUND(+IF(K404=0,Q404*D404,0),4)</f>
        <v>0</v>
      </c>
      <c r="U404" s="67">
        <f>ROUND(+N404+R404+S404+T404,4)</f>
        <v>0</v>
      </c>
      <c r="V404" s="67">
        <f>ROUND(IF(P404=0,0,I404-H404-O404)+IF(L404=0,0,I404-H404-K404),4)</f>
        <v>0</v>
      </c>
      <c r="W404" s="67">
        <f>ROUND(+(V404*60%)*D404,4)</f>
        <v>0</v>
      </c>
      <c r="X404" s="148">
        <f>ROUND(+U404+W404,4)</f>
        <v>0</v>
      </c>
      <c r="Y404" s="68"/>
      <c r="Z404" s="148">
        <f>ROUND(IF(X404&gt;I404,X404,I404),4)</f>
        <v>0</v>
      </c>
    </row>
    <row r="405" spans="1:26" x14ac:dyDescent="0.2">
      <c r="A405" s="66"/>
      <c r="B405" s="66"/>
      <c r="C405" s="66"/>
      <c r="D405" s="144"/>
      <c r="E405" s="67"/>
      <c r="F405" s="67"/>
      <c r="G405" s="67"/>
      <c r="H405" s="67">
        <f>ROUND(+E405+G405,4)</f>
        <v>0</v>
      </c>
      <c r="I405" s="67"/>
      <c r="J405" s="67">
        <f>ROUND(+I405-H405,4)</f>
        <v>0</v>
      </c>
      <c r="K405" s="67">
        <f>ROUND(IF(F405="alluminio",0,I405*1.5%),4)</f>
        <v>0</v>
      </c>
      <c r="L405" s="67">
        <f>ROUND(IF(K405&lt;J405,K405,0),4)</f>
        <v>0</v>
      </c>
      <c r="M405" s="67">
        <f>ROUND(IF(J405&gt;K405,0,J405),4)</f>
        <v>0</v>
      </c>
      <c r="N405" s="67">
        <f>ROUND(+L405*D405,4)</f>
        <v>0</v>
      </c>
      <c r="O405" s="67">
        <f>ROUND(IF(F405="rame",0,+I405*3%),4)</f>
        <v>0</v>
      </c>
      <c r="P405" s="67">
        <f>ROUND(IF(O405&lt;J405,O405,0),4)</f>
        <v>0</v>
      </c>
      <c r="Q405" s="67">
        <f>ROUND(IF(J405&gt;O405,0,J405),4)</f>
        <v>0</v>
      </c>
      <c r="R405" s="67">
        <f>ROUND(+P405*D405,4)</f>
        <v>0</v>
      </c>
      <c r="S405" s="67">
        <f>ROUND(IF(K405=0,0,M405*D405),4)</f>
        <v>0</v>
      </c>
      <c r="T405" s="67">
        <f>ROUND(+IF(K405=0,Q405*D405,0),4)</f>
        <v>0</v>
      </c>
      <c r="U405" s="67">
        <f>ROUND(+N405+R405+S405+T405,4)</f>
        <v>0</v>
      </c>
      <c r="V405" s="67">
        <f>ROUND(IF(P405=0,0,I405-H405-O405)+IF(L405=0,0,I405-H405-K405),4)</f>
        <v>0</v>
      </c>
      <c r="W405" s="67">
        <f>ROUND(+(V405*60%)*D405,4)</f>
        <v>0</v>
      </c>
      <c r="X405" s="148">
        <f>ROUND(+U405+W405,4)</f>
        <v>0</v>
      </c>
      <c r="Y405" s="68"/>
      <c r="Z405" s="148">
        <f>ROUND(IF(X405&gt;I405,X405,I405),4)</f>
        <v>0</v>
      </c>
    </row>
    <row r="406" spans="1:26" x14ac:dyDescent="0.2">
      <c r="A406" s="66"/>
      <c r="B406" s="66"/>
      <c r="C406" s="66"/>
      <c r="D406" s="144"/>
      <c r="E406" s="67"/>
      <c r="F406" s="67"/>
      <c r="G406" s="67"/>
      <c r="H406" s="67">
        <f>ROUND(+E406+G406,4)</f>
        <v>0</v>
      </c>
      <c r="I406" s="67"/>
      <c r="J406" s="67">
        <f>ROUND(+I406-H406,4)</f>
        <v>0</v>
      </c>
      <c r="K406" s="67">
        <f>ROUND(IF(F406="alluminio",0,I406*1.5%),4)</f>
        <v>0</v>
      </c>
      <c r="L406" s="67">
        <f>ROUND(IF(K406&lt;J406,K406,0),4)</f>
        <v>0</v>
      </c>
      <c r="M406" s="67">
        <f>ROUND(IF(J406&gt;K406,0,J406),4)</f>
        <v>0</v>
      </c>
      <c r="N406" s="67">
        <f>ROUND(+L406*D406,4)</f>
        <v>0</v>
      </c>
      <c r="O406" s="67">
        <f>ROUND(IF(F406="rame",0,+I406*3%),4)</f>
        <v>0</v>
      </c>
      <c r="P406" s="67">
        <f>ROUND(IF(O406&lt;J406,O406,0),4)</f>
        <v>0</v>
      </c>
      <c r="Q406" s="67">
        <f>ROUND(IF(J406&gt;O406,0,J406),4)</f>
        <v>0</v>
      </c>
      <c r="R406" s="67">
        <f>ROUND(+P406*D406,4)</f>
        <v>0</v>
      </c>
      <c r="S406" s="67">
        <f>ROUND(IF(K406=0,0,M406*D406),4)</f>
        <v>0</v>
      </c>
      <c r="T406" s="67">
        <f>ROUND(+IF(K406=0,Q406*D406,0),4)</f>
        <v>0</v>
      </c>
      <c r="U406" s="67">
        <f>ROUND(+N406+R406+S406+T406,4)</f>
        <v>0</v>
      </c>
      <c r="V406" s="67">
        <f>ROUND(IF(P406=0,0,I406-H406-O406)+IF(L406=0,0,I406-H406-K406),4)</f>
        <v>0</v>
      </c>
      <c r="W406" s="67">
        <f>ROUND(+(V406*60%)*D406,4)</f>
        <v>0</v>
      </c>
      <c r="X406" s="148">
        <f>ROUND(+U406+W406,4)</f>
        <v>0</v>
      </c>
      <c r="Y406" s="68"/>
      <c r="Z406" s="148">
        <f>ROUND(IF(X406&gt;I406,X406,I406),4)</f>
        <v>0</v>
      </c>
    </row>
    <row r="407" spans="1:26" x14ac:dyDescent="0.2">
      <c r="A407" s="66"/>
      <c r="B407" s="66"/>
      <c r="C407" s="66"/>
      <c r="D407" s="144"/>
      <c r="E407" s="67"/>
      <c r="F407" s="67"/>
      <c r="G407" s="67"/>
      <c r="H407" s="67">
        <f>ROUND(+E407+G407,4)</f>
        <v>0</v>
      </c>
      <c r="I407" s="67"/>
      <c r="J407" s="67">
        <f>ROUND(+I407-H407,4)</f>
        <v>0</v>
      </c>
      <c r="K407" s="67">
        <f>ROUND(IF(F407="alluminio",0,I407*1.5%),4)</f>
        <v>0</v>
      </c>
      <c r="L407" s="67">
        <f>ROUND(IF(K407&lt;J407,K407,0),4)</f>
        <v>0</v>
      </c>
      <c r="M407" s="67">
        <f>ROUND(IF(J407&gt;K407,0,J407),4)</f>
        <v>0</v>
      </c>
      <c r="N407" s="67">
        <f>ROUND(+L407*D407,4)</f>
        <v>0</v>
      </c>
      <c r="O407" s="67">
        <f>ROUND(IF(F407="rame",0,+I407*3%),4)</f>
        <v>0</v>
      </c>
      <c r="P407" s="67">
        <f>ROUND(IF(O407&lt;J407,O407,0),4)</f>
        <v>0</v>
      </c>
      <c r="Q407" s="67">
        <f>ROUND(IF(J407&gt;O407,0,J407),4)</f>
        <v>0</v>
      </c>
      <c r="R407" s="67">
        <f>ROUND(+P407*D407,4)</f>
        <v>0</v>
      </c>
      <c r="S407" s="67">
        <f>ROUND(IF(K407=0,0,M407*D407),4)</f>
        <v>0</v>
      </c>
      <c r="T407" s="67">
        <f>ROUND(+IF(K407=0,Q407*D407,0),4)</f>
        <v>0</v>
      </c>
      <c r="U407" s="67">
        <f>ROUND(+N407+R407+S407+T407,4)</f>
        <v>0</v>
      </c>
      <c r="V407" s="67">
        <f>ROUND(IF(P407=0,0,I407-H407-O407)+IF(L407=0,0,I407-H407-K407),4)</f>
        <v>0</v>
      </c>
      <c r="W407" s="67">
        <f>ROUND(+(V407*60%)*D407,4)</f>
        <v>0</v>
      </c>
      <c r="X407" s="148">
        <f>ROUND(+U407+W407,4)</f>
        <v>0</v>
      </c>
      <c r="Y407" s="68"/>
      <c r="Z407" s="148">
        <f>ROUND(IF(X407&gt;I407,X407,I407),4)</f>
        <v>0</v>
      </c>
    </row>
    <row r="408" spans="1:26" x14ac:dyDescent="0.2">
      <c r="A408" s="66"/>
      <c r="B408" s="66"/>
      <c r="C408" s="66"/>
      <c r="D408" s="144"/>
      <c r="E408" s="67"/>
      <c r="F408" s="67"/>
      <c r="G408" s="67"/>
      <c r="H408" s="67">
        <f>ROUND(+E408+G408,4)</f>
        <v>0</v>
      </c>
      <c r="I408" s="67"/>
      <c r="J408" s="67">
        <f>ROUND(+I408-H408,4)</f>
        <v>0</v>
      </c>
      <c r="K408" s="67">
        <f>ROUND(IF(F408="alluminio",0,I408*1.5%),4)</f>
        <v>0</v>
      </c>
      <c r="L408" s="67">
        <f>ROUND(IF(K408&lt;J408,K408,0),4)</f>
        <v>0</v>
      </c>
      <c r="M408" s="67">
        <f>ROUND(IF(J408&gt;K408,0,J408),4)</f>
        <v>0</v>
      </c>
      <c r="N408" s="67">
        <f>ROUND(+L408*D408,4)</f>
        <v>0</v>
      </c>
      <c r="O408" s="67">
        <f>ROUND(IF(F408="rame",0,+I408*3%),4)</f>
        <v>0</v>
      </c>
      <c r="P408" s="67">
        <f>ROUND(IF(O408&lt;J408,O408,0),4)</f>
        <v>0</v>
      </c>
      <c r="Q408" s="67">
        <f>ROUND(IF(J408&gt;O408,0,J408),4)</f>
        <v>0</v>
      </c>
      <c r="R408" s="67">
        <f>ROUND(+P408*D408,4)</f>
        <v>0</v>
      </c>
      <c r="S408" s="67">
        <f>ROUND(IF(K408=0,0,M408*D408),4)</f>
        <v>0</v>
      </c>
      <c r="T408" s="67">
        <f>ROUND(+IF(K408=0,Q408*D408,0),4)</f>
        <v>0</v>
      </c>
      <c r="U408" s="67">
        <f>ROUND(+N408+R408+S408+T408,4)</f>
        <v>0</v>
      </c>
      <c r="V408" s="67">
        <f>ROUND(IF(P408=0,0,I408-H408-O408)+IF(L408=0,0,I408-H408-K408),4)</f>
        <v>0</v>
      </c>
      <c r="W408" s="67">
        <f>ROUND(+(V408*60%)*D408,4)</f>
        <v>0</v>
      </c>
      <c r="X408" s="148">
        <f>ROUND(+U408+W408,4)</f>
        <v>0</v>
      </c>
      <c r="Y408" s="68"/>
      <c r="Z408" s="148">
        <f>ROUND(IF(X408&gt;I408,X408,I408),4)</f>
        <v>0</v>
      </c>
    </row>
    <row r="409" spans="1:26" x14ac:dyDescent="0.2">
      <c r="A409" s="66"/>
      <c r="B409" s="66"/>
      <c r="C409" s="66"/>
      <c r="D409" s="144"/>
      <c r="E409" s="67"/>
      <c r="F409" s="67"/>
      <c r="G409" s="67"/>
      <c r="H409" s="67">
        <f>ROUND(+E409+G409,4)</f>
        <v>0</v>
      </c>
      <c r="I409" s="67"/>
      <c r="J409" s="67">
        <f>ROUND(+I409-H409,4)</f>
        <v>0</v>
      </c>
      <c r="K409" s="67">
        <f>ROUND(IF(F409="alluminio",0,I409*1.5%),4)</f>
        <v>0</v>
      </c>
      <c r="L409" s="67">
        <f>ROUND(IF(K409&lt;J409,K409,0),4)</f>
        <v>0</v>
      </c>
      <c r="M409" s="67">
        <f>ROUND(IF(J409&gt;K409,0,J409),4)</f>
        <v>0</v>
      </c>
      <c r="N409" s="67">
        <f>ROUND(+L409*D409,4)</f>
        <v>0</v>
      </c>
      <c r="O409" s="67">
        <f>ROUND(IF(F409="rame",0,+I409*3%),4)</f>
        <v>0</v>
      </c>
      <c r="P409" s="67">
        <f>ROUND(IF(O409&lt;J409,O409,0),4)</f>
        <v>0</v>
      </c>
      <c r="Q409" s="67">
        <f>ROUND(IF(J409&gt;O409,0,J409),4)</f>
        <v>0</v>
      </c>
      <c r="R409" s="67">
        <f>ROUND(+P409*D409,4)</f>
        <v>0</v>
      </c>
      <c r="S409" s="67">
        <f>ROUND(IF(K409=0,0,M409*D409),4)</f>
        <v>0</v>
      </c>
      <c r="T409" s="67">
        <f>ROUND(+IF(K409=0,Q409*D409,0),4)</f>
        <v>0</v>
      </c>
      <c r="U409" s="67">
        <f>ROUND(+N409+R409+S409+T409,4)</f>
        <v>0</v>
      </c>
      <c r="V409" s="67">
        <f>ROUND(IF(P409=0,0,I409-H409-O409)+IF(L409=0,0,I409-H409-K409),4)</f>
        <v>0</v>
      </c>
      <c r="W409" s="67">
        <f>ROUND(+(V409*60%)*D409,4)</f>
        <v>0</v>
      </c>
      <c r="X409" s="148">
        <f>ROUND(+U409+W409,4)</f>
        <v>0</v>
      </c>
      <c r="Y409" s="68"/>
      <c r="Z409" s="148">
        <f>ROUND(IF(X409&gt;I409,X409,I409),4)</f>
        <v>0</v>
      </c>
    </row>
    <row r="410" spans="1:26" x14ac:dyDescent="0.2">
      <c r="A410" s="66"/>
      <c r="B410" s="66"/>
      <c r="C410" s="66"/>
      <c r="D410" s="144"/>
      <c r="E410" s="67"/>
      <c r="F410" s="67"/>
      <c r="G410" s="67"/>
      <c r="H410" s="67">
        <f>ROUND(+E410+G410,4)</f>
        <v>0</v>
      </c>
      <c r="I410" s="67"/>
      <c r="J410" s="67">
        <f>ROUND(+I410-H410,4)</f>
        <v>0</v>
      </c>
      <c r="K410" s="67">
        <f>ROUND(IF(F410="alluminio",0,I410*1.5%),4)</f>
        <v>0</v>
      </c>
      <c r="L410" s="67">
        <f>ROUND(IF(K410&lt;J410,K410,0),4)</f>
        <v>0</v>
      </c>
      <c r="M410" s="67">
        <f>ROUND(IF(J410&gt;K410,0,J410),4)</f>
        <v>0</v>
      </c>
      <c r="N410" s="67">
        <f>ROUND(+L410*D410,4)</f>
        <v>0</v>
      </c>
      <c r="O410" s="67">
        <f>ROUND(IF(F410="rame",0,+I410*3%),4)</f>
        <v>0</v>
      </c>
      <c r="P410" s="67">
        <f>ROUND(IF(O410&lt;J410,O410,0),4)</f>
        <v>0</v>
      </c>
      <c r="Q410" s="67">
        <f>ROUND(IF(J410&gt;O410,0,J410),4)</f>
        <v>0</v>
      </c>
      <c r="R410" s="67">
        <f>ROUND(+P410*D410,4)</f>
        <v>0</v>
      </c>
      <c r="S410" s="67">
        <f>ROUND(IF(K410=0,0,M410*D410),4)</f>
        <v>0</v>
      </c>
      <c r="T410" s="67">
        <f>ROUND(+IF(K410=0,Q410*D410,0),4)</f>
        <v>0</v>
      </c>
      <c r="U410" s="67">
        <f>ROUND(+N410+R410+S410+T410,4)</f>
        <v>0</v>
      </c>
      <c r="V410" s="67">
        <f>ROUND(IF(P410=0,0,I410-H410-O410)+IF(L410=0,0,I410-H410-K410),4)</f>
        <v>0</v>
      </c>
      <c r="W410" s="67">
        <f>ROUND(+(V410*60%)*D410,4)</f>
        <v>0</v>
      </c>
      <c r="X410" s="148">
        <f>ROUND(+U410+W410,4)</f>
        <v>0</v>
      </c>
      <c r="Y410" s="68"/>
      <c r="Z410" s="148">
        <f>ROUND(IF(X410&gt;I410,X410,I410),4)</f>
        <v>0</v>
      </c>
    </row>
    <row r="411" spans="1:26" x14ac:dyDescent="0.2">
      <c r="A411" s="66"/>
      <c r="B411" s="66"/>
      <c r="C411" s="66"/>
      <c r="D411" s="144"/>
      <c r="E411" s="67"/>
      <c r="F411" s="67"/>
      <c r="G411" s="67"/>
      <c r="H411" s="67">
        <f>ROUND(+E411+G411,4)</f>
        <v>0</v>
      </c>
      <c r="I411" s="67"/>
      <c r="J411" s="67">
        <f>ROUND(+I411-H411,4)</f>
        <v>0</v>
      </c>
      <c r="K411" s="67">
        <f>ROUND(IF(F411="alluminio",0,I411*1.5%),4)</f>
        <v>0</v>
      </c>
      <c r="L411" s="67">
        <f>ROUND(IF(K411&lt;J411,K411,0),4)</f>
        <v>0</v>
      </c>
      <c r="M411" s="67">
        <f>ROUND(IF(J411&gt;K411,0,J411),4)</f>
        <v>0</v>
      </c>
      <c r="N411" s="67">
        <f>ROUND(+L411*D411,4)</f>
        <v>0</v>
      </c>
      <c r="O411" s="67">
        <f>ROUND(IF(F411="rame",0,+I411*3%),4)</f>
        <v>0</v>
      </c>
      <c r="P411" s="67">
        <f>ROUND(IF(O411&lt;J411,O411,0),4)</f>
        <v>0</v>
      </c>
      <c r="Q411" s="67">
        <f>ROUND(IF(J411&gt;O411,0,J411),4)</f>
        <v>0</v>
      </c>
      <c r="R411" s="67">
        <f>ROUND(+P411*D411,4)</f>
        <v>0</v>
      </c>
      <c r="S411" s="67">
        <f>ROUND(IF(K411=0,0,M411*D411),4)</f>
        <v>0</v>
      </c>
      <c r="T411" s="67">
        <f>ROUND(+IF(K411=0,Q411*D411,0),4)</f>
        <v>0</v>
      </c>
      <c r="U411" s="67">
        <f>ROUND(+N411+R411+S411+T411,4)</f>
        <v>0</v>
      </c>
      <c r="V411" s="67">
        <f>ROUND(IF(P411=0,0,I411-H411-O411)+IF(L411=0,0,I411-H411-K411),4)</f>
        <v>0</v>
      </c>
      <c r="W411" s="67">
        <f>ROUND(+(V411*60%)*D411,4)</f>
        <v>0</v>
      </c>
      <c r="X411" s="148">
        <f>ROUND(+U411+W411,4)</f>
        <v>0</v>
      </c>
      <c r="Y411" s="68"/>
      <c r="Z411" s="148">
        <f>ROUND(IF(X411&gt;I411,X411,I411),4)</f>
        <v>0</v>
      </c>
    </row>
    <row r="412" spans="1:26" x14ac:dyDescent="0.2">
      <c r="A412" s="66"/>
      <c r="B412" s="66"/>
      <c r="C412" s="66"/>
      <c r="D412" s="144"/>
      <c r="E412" s="67"/>
      <c r="F412" s="67"/>
      <c r="G412" s="67"/>
      <c r="H412" s="67">
        <f>ROUND(+E412+G412,4)</f>
        <v>0</v>
      </c>
      <c r="I412" s="67"/>
      <c r="J412" s="67">
        <f>ROUND(+I412-H412,4)</f>
        <v>0</v>
      </c>
      <c r="K412" s="67">
        <f>ROUND(IF(F412="alluminio",0,I412*1.5%),4)</f>
        <v>0</v>
      </c>
      <c r="L412" s="67">
        <f>ROUND(IF(K412&lt;J412,K412,0),4)</f>
        <v>0</v>
      </c>
      <c r="M412" s="67">
        <f>ROUND(IF(J412&gt;K412,0,J412),4)</f>
        <v>0</v>
      </c>
      <c r="N412" s="67">
        <f>ROUND(+L412*D412,4)</f>
        <v>0</v>
      </c>
      <c r="O412" s="67">
        <f>ROUND(IF(F412="rame",0,+I412*3%),4)</f>
        <v>0</v>
      </c>
      <c r="P412" s="67">
        <f>ROUND(IF(O412&lt;J412,O412,0),4)</f>
        <v>0</v>
      </c>
      <c r="Q412" s="67">
        <f>ROUND(IF(J412&gt;O412,0,J412),4)</f>
        <v>0</v>
      </c>
      <c r="R412" s="67">
        <f>ROUND(+P412*D412,4)</f>
        <v>0</v>
      </c>
      <c r="S412" s="67">
        <f>ROUND(IF(K412=0,0,M412*D412),4)</f>
        <v>0</v>
      </c>
      <c r="T412" s="67">
        <f>ROUND(+IF(K412=0,Q412*D412,0),4)</f>
        <v>0</v>
      </c>
      <c r="U412" s="67">
        <f>ROUND(+N412+R412+S412+T412,4)</f>
        <v>0</v>
      </c>
      <c r="V412" s="67">
        <f>ROUND(IF(P412=0,0,I412-H412-O412)+IF(L412=0,0,I412-H412-K412),4)</f>
        <v>0</v>
      </c>
      <c r="W412" s="67">
        <f>ROUND(+(V412*60%)*D412,4)</f>
        <v>0</v>
      </c>
      <c r="X412" s="148">
        <f>ROUND(+U412+W412,4)</f>
        <v>0</v>
      </c>
      <c r="Y412" s="68"/>
      <c r="Z412" s="148">
        <f>ROUND(IF(X412&gt;I412,X412,I412),4)</f>
        <v>0</v>
      </c>
    </row>
    <row r="413" spans="1:26" x14ac:dyDescent="0.2">
      <c r="A413" s="66"/>
      <c r="B413" s="66"/>
      <c r="C413" s="66"/>
      <c r="D413" s="144"/>
      <c r="E413" s="67"/>
      <c r="F413" s="67"/>
      <c r="G413" s="67"/>
      <c r="H413" s="67">
        <f>ROUND(+E413+G413,4)</f>
        <v>0</v>
      </c>
      <c r="I413" s="67"/>
      <c r="J413" s="67">
        <f>ROUND(+I413-H413,4)</f>
        <v>0</v>
      </c>
      <c r="K413" s="67">
        <f>ROUND(IF(F413="alluminio",0,I413*1.5%),4)</f>
        <v>0</v>
      </c>
      <c r="L413" s="67">
        <f>ROUND(IF(K413&lt;J413,K413,0),4)</f>
        <v>0</v>
      </c>
      <c r="M413" s="67">
        <f>ROUND(IF(J413&gt;K413,0,J413),4)</f>
        <v>0</v>
      </c>
      <c r="N413" s="67">
        <f>ROUND(+L413*D413,4)</f>
        <v>0</v>
      </c>
      <c r="O413" s="67">
        <f>ROUND(IF(F413="rame",0,+I413*3%),4)</f>
        <v>0</v>
      </c>
      <c r="P413" s="67">
        <f>ROUND(IF(O413&lt;J413,O413,0),4)</f>
        <v>0</v>
      </c>
      <c r="Q413" s="67">
        <f>ROUND(IF(J413&gt;O413,0,J413),4)</f>
        <v>0</v>
      </c>
      <c r="R413" s="67">
        <f>ROUND(+P413*D413,4)</f>
        <v>0</v>
      </c>
      <c r="S413" s="67">
        <f>ROUND(IF(K413=0,0,M413*D413),4)</f>
        <v>0</v>
      </c>
      <c r="T413" s="67">
        <f>ROUND(+IF(K413=0,Q413*D413,0),4)</f>
        <v>0</v>
      </c>
      <c r="U413" s="67">
        <f>ROUND(+N413+R413+S413+T413,4)</f>
        <v>0</v>
      </c>
      <c r="V413" s="67">
        <f>ROUND(IF(P413=0,0,I413-H413-O413)+IF(L413=0,0,I413-H413-K413),4)</f>
        <v>0</v>
      </c>
      <c r="W413" s="67">
        <f>ROUND(+(V413*60%)*D413,4)</f>
        <v>0</v>
      </c>
      <c r="X413" s="148">
        <f>ROUND(+U413+W413,4)</f>
        <v>0</v>
      </c>
      <c r="Y413" s="68"/>
      <c r="Z413" s="148">
        <f>ROUND(IF(X413&gt;I413,X413,I413),4)</f>
        <v>0</v>
      </c>
    </row>
    <row r="414" spans="1:26" x14ac:dyDescent="0.2">
      <c r="A414" s="66"/>
      <c r="B414" s="66"/>
      <c r="C414" s="66"/>
      <c r="D414" s="144"/>
      <c r="E414" s="67"/>
      <c r="F414" s="67"/>
      <c r="G414" s="67"/>
      <c r="H414" s="67">
        <f>ROUND(+E414+G414,4)</f>
        <v>0</v>
      </c>
      <c r="I414" s="67"/>
      <c r="J414" s="67">
        <f>ROUND(+I414-H414,4)</f>
        <v>0</v>
      </c>
      <c r="K414" s="67">
        <f>ROUND(IF(F414="alluminio",0,I414*1.5%),4)</f>
        <v>0</v>
      </c>
      <c r="L414" s="67">
        <f>ROUND(IF(K414&lt;J414,K414,0),4)</f>
        <v>0</v>
      </c>
      <c r="M414" s="67">
        <f>ROUND(IF(J414&gt;K414,0,J414),4)</f>
        <v>0</v>
      </c>
      <c r="N414" s="67">
        <f>ROUND(+L414*D414,4)</f>
        <v>0</v>
      </c>
      <c r="O414" s="67">
        <f>ROUND(IF(F414="rame",0,+I414*3%),4)</f>
        <v>0</v>
      </c>
      <c r="P414" s="67">
        <f>ROUND(IF(O414&lt;J414,O414,0),4)</f>
        <v>0</v>
      </c>
      <c r="Q414" s="67">
        <f>ROUND(IF(J414&gt;O414,0,J414),4)</f>
        <v>0</v>
      </c>
      <c r="R414" s="67">
        <f>ROUND(+P414*D414,4)</f>
        <v>0</v>
      </c>
      <c r="S414" s="67">
        <f>ROUND(IF(K414=0,0,M414*D414),4)</f>
        <v>0</v>
      </c>
      <c r="T414" s="67">
        <f>ROUND(+IF(K414=0,Q414*D414,0),4)</f>
        <v>0</v>
      </c>
      <c r="U414" s="67">
        <f>ROUND(+N414+R414+S414+T414,4)</f>
        <v>0</v>
      </c>
      <c r="V414" s="67">
        <f>ROUND(IF(P414=0,0,I414-H414-O414)+IF(L414=0,0,I414-H414-K414),4)</f>
        <v>0</v>
      </c>
      <c r="W414" s="67">
        <f>ROUND(+(V414*60%)*D414,4)</f>
        <v>0</v>
      </c>
      <c r="X414" s="148">
        <f>ROUND(+U414+W414,4)</f>
        <v>0</v>
      </c>
      <c r="Y414" s="68"/>
      <c r="Z414" s="148">
        <f>ROUND(IF(X414&gt;I414,X414,I414),4)</f>
        <v>0</v>
      </c>
    </row>
    <row r="415" spans="1:26" x14ac:dyDescent="0.2">
      <c r="A415" s="66"/>
      <c r="B415" s="66"/>
      <c r="C415" s="66"/>
      <c r="D415" s="144"/>
      <c r="E415" s="67"/>
      <c r="F415" s="67"/>
      <c r="G415" s="67"/>
      <c r="H415" s="67">
        <f>ROUND(+E415+G415,4)</f>
        <v>0</v>
      </c>
      <c r="I415" s="67"/>
      <c r="J415" s="67">
        <f>ROUND(+I415-H415,4)</f>
        <v>0</v>
      </c>
      <c r="K415" s="67">
        <f>ROUND(IF(F415="alluminio",0,I415*1.5%),4)</f>
        <v>0</v>
      </c>
      <c r="L415" s="67">
        <f>ROUND(IF(K415&lt;J415,K415,0),4)</f>
        <v>0</v>
      </c>
      <c r="M415" s="67">
        <f>ROUND(IF(J415&gt;K415,0,J415),4)</f>
        <v>0</v>
      </c>
      <c r="N415" s="67">
        <f>ROUND(+L415*D415,4)</f>
        <v>0</v>
      </c>
      <c r="O415" s="67">
        <f>ROUND(IF(F415="rame",0,+I415*3%),4)</f>
        <v>0</v>
      </c>
      <c r="P415" s="67">
        <f>ROUND(IF(O415&lt;J415,O415,0),4)</f>
        <v>0</v>
      </c>
      <c r="Q415" s="67">
        <f>ROUND(IF(J415&gt;O415,0,J415),4)</f>
        <v>0</v>
      </c>
      <c r="R415" s="67">
        <f>ROUND(+P415*D415,4)</f>
        <v>0</v>
      </c>
      <c r="S415" s="67">
        <f>ROUND(IF(K415=0,0,M415*D415),4)</f>
        <v>0</v>
      </c>
      <c r="T415" s="67">
        <f>ROUND(+IF(K415=0,Q415*D415,0),4)</f>
        <v>0</v>
      </c>
      <c r="U415" s="67">
        <f>ROUND(+N415+R415+S415+T415,4)</f>
        <v>0</v>
      </c>
      <c r="V415" s="67">
        <f>ROUND(IF(P415=0,0,I415-H415-O415)+IF(L415=0,0,I415-H415-K415),4)</f>
        <v>0</v>
      </c>
      <c r="W415" s="67">
        <f>ROUND(+(V415*60%)*D415,4)</f>
        <v>0</v>
      </c>
      <c r="X415" s="148">
        <f>ROUND(+U415+W415,4)</f>
        <v>0</v>
      </c>
      <c r="Y415" s="68"/>
      <c r="Z415" s="148">
        <f>ROUND(IF(X415&gt;I415,X415,I415),4)</f>
        <v>0</v>
      </c>
    </row>
    <row r="416" spans="1:26" x14ac:dyDescent="0.2">
      <c r="A416" s="66"/>
      <c r="B416" s="66"/>
      <c r="C416" s="66"/>
      <c r="D416" s="144"/>
      <c r="E416" s="67"/>
      <c r="F416" s="67"/>
      <c r="G416" s="67"/>
      <c r="H416" s="67">
        <f>ROUND(+E416+G416,4)</f>
        <v>0</v>
      </c>
      <c r="I416" s="67"/>
      <c r="J416" s="67">
        <f>ROUND(+I416-H416,4)</f>
        <v>0</v>
      </c>
      <c r="K416" s="67">
        <f>ROUND(IF(F416="alluminio",0,I416*1.5%),4)</f>
        <v>0</v>
      </c>
      <c r="L416" s="67">
        <f>ROUND(IF(K416&lt;J416,K416,0),4)</f>
        <v>0</v>
      </c>
      <c r="M416" s="67">
        <f>ROUND(IF(J416&gt;K416,0,J416),4)</f>
        <v>0</v>
      </c>
      <c r="N416" s="67">
        <f>ROUND(+L416*D416,4)</f>
        <v>0</v>
      </c>
      <c r="O416" s="67">
        <f>ROUND(IF(F416="rame",0,+I416*3%),4)</f>
        <v>0</v>
      </c>
      <c r="P416" s="67">
        <f>ROUND(IF(O416&lt;J416,O416,0),4)</f>
        <v>0</v>
      </c>
      <c r="Q416" s="67">
        <f>ROUND(IF(J416&gt;O416,0,J416),4)</f>
        <v>0</v>
      </c>
      <c r="R416" s="67">
        <f>ROUND(+P416*D416,4)</f>
        <v>0</v>
      </c>
      <c r="S416" s="67">
        <f>ROUND(IF(K416=0,0,M416*D416),4)</f>
        <v>0</v>
      </c>
      <c r="T416" s="67">
        <f>ROUND(+IF(K416=0,Q416*D416,0),4)</f>
        <v>0</v>
      </c>
      <c r="U416" s="67">
        <f>ROUND(+N416+R416+S416+T416,4)</f>
        <v>0</v>
      </c>
      <c r="V416" s="67">
        <f>ROUND(IF(P416=0,0,I416-H416-O416)+IF(L416=0,0,I416-H416-K416),4)</f>
        <v>0</v>
      </c>
      <c r="W416" s="67">
        <f>ROUND(+(V416*60%)*D416,4)</f>
        <v>0</v>
      </c>
      <c r="X416" s="148">
        <f>ROUND(+U416+W416,4)</f>
        <v>0</v>
      </c>
      <c r="Y416" s="68"/>
      <c r="Z416" s="148">
        <f>ROUND(IF(X416&gt;I416,X416,I416),4)</f>
        <v>0</v>
      </c>
    </row>
    <row r="417" spans="1:26" x14ac:dyDescent="0.2">
      <c r="A417" s="66"/>
      <c r="B417" s="66"/>
      <c r="C417" s="66"/>
      <c r="D417" s="144"/>
      <c r="E417" s="67"/>
      <c r="F417" s="67"/>
      <c r="G417" s="67"/>
      <c r="H417" s="67">
        <f>ROUND(+E417+G417,4)</f>
        <v>0</v>
      </c>
      <c r="I417" s="67"/>
      <c r="J417" s="67">
        <f>ROUND(+I417-H417,4)</f>
        <v>0</v>
      </c>
      <c r="K417" s="67">
        <f>ROUND(IF(F417="alluminio",0,I417*1.5%),4)</f>
        <v>0</v>
      </c>
      <c r="L417" s="67">
        <f>ROUND(IF(K417&lt;J417,K417,0),4)</f>
        <v>0</v>
      </c>
      <c r="M417" s="67">
        <f>ROUND(IF(J417&gt;K417,0,J417),4)</f>
        <v>0</v>
      </c>
      <c r="N417" s="67">
        <f>ROUND(+L417*D417,4)</f>
        <v>0</v>
      </c>
      <c r="O417" s="67">
        <f>ROUND(IF(F417="rame",0,+I417*3%),4)</f>
        <v>0</v>
      </c>
      <c r="P417" s="67">
        <f>ROUND(IF(O417&lt;J417,O417,0),4)</f>
        <v>0</v>
      </c>
      <c r="Q417" s="67">
        <f>ROUND(IF(J417&gt;O417,0,J417),4)</f>
        <v>0</v>
      </c>
      <c r="R417" s="67">
        <f>ROUND(+P417*D417,4)</f>
        <v>0</v>
      </c>
      <c r="S417" s="67">
        <f>ROUND(IF(K417=0,0,M417*D417),4)</f>
        <v>0</v>
      </c>
      <c r="T417" s="67">
        <f>ROUND(+IF(K417=0,Q417*D417,0),4)</f>
        <v>0</v>
      </c>
      <c r="U417" s="67">
        <f>ROUND(+N417+R417+S417+T417,4)</f>
        <v>0</v>
      </c>
      <c r="V417" s="67">
        <f>ROUND(IF(P417=0,0,I417-H417-O417)+IF(L417=0,0,I417-H417-K417),4)</f>
        <v>0</v>
      </c>
      <c r="W417" s="67">
        <f>ROUND(+(V417*60%)*D417,4)</f>
        <v>0</v>
      </c>
      <c r="X417" s="148">
        <f>ROUND(+U417+W417,4)</f>
        <v>0</v>
      </c>
      <c r="Y417" s="68"/>
      <c r="Z417" s="148">
        <f>ROUND(IF(X417&gt;I417,X417,I417),4)</f>
        <v>0</v>
      </c>
    </row>
    <row r="418" spans="1:26" x14ac:dyDescent="0.2">
      <c r="A418" s="66"/>
      <c r="B418" s="66"/>
      <c r="C418" s="66"/>
      <c r="D418" s="144"/>
      <c r="E418" s="67"/>
      <c r="F418" s="67"/>
      <c r="G418" s="67"/>
      <c r="H418" s="67">
        <f>ROUND(+E418+G418,4)</f>
        <v>0</v>
      </c>
      <c r="I418" s="67"/>
      <c r="J418" s="67">
        <f>ROUND(+I418-H418,4)</f>
        <v>0</v>
      </c>
      <c r="K418" s="67">
        <f>ROUND(IF(F418="alluminio",0,I418*1.5%),4)</f>
        <v>0</v>
      </c>
      <c r="L418" s="67">
        <f>ROUND(IF(K418&lt;J418,K418,0),4)</f>
        <v>0</v>
      </c>
      <c r="M418" s="67">
        <f>ROUND(IF(J418&gt;K418,0,J418),4)</f>
        <v>0</v>
      </c>
      <c r="N418" s="67">
        <f>ROUND(+L418*D418,4)</f>
        <v>0</v>
      </c>
      <c r="O418" s="67">
        <f>ROUND(IF(F418="rame",0,+I418*3%),4)</f>
        <v>0</v>
      </c>
      <c r="P418" s="67">
        <f>ROUND(IF(O418&lt;J418,O418,0),4)</f>
        <v>0</v>
      </c>
      <c r="Q418" s="67">
        <f>ROUND(IF(J418&gt;O418,0,J418),4)</f>
        <v>0</v>
      </c>
      <c r="R418" s="67">
        <f>ROUND(+P418*D418,4)</f>
        <v>0</v>
      </c>
      <c r="S418" s="67">
        <f>ROUND(IF(K418=0,0,M418*D418),4)</f>
        <v>0</v>
      </c>
      <c r="T418" s="67">
        <f>ROUND(+IF(K418=0,Q418*D418,0),4)</f>
        <v>0</v>
      </c>
      <c r="U418" s="67">
        <f>ROUND(+N418+R418+S418+T418,4)</f>
        <v>0</v>
      </c>
      <c r="V418" s="67">
        <f>ROUND(IF(P418=0,0,I418-H418-O418)+IF(L418=0,0,I418-H418-K418),4)</f>
        <v>0</v>
      </c>
      <c r="W418" s="67">
        <f>ROUND(+(V418*60%)*D418,4)</f>
        <v>0</v>
      </c>
      <c r="X418" s="148">
        <f>ROUND(+U418+W418,4)</f>
        <v>0</v>
      </c>
      <c r="Y418" s="68"/>
      <c r="Z418" s="148">
        <f>ROUND(IF(X418&gt;I418,X418,I418),4)</f>
        <v>0</v>
      </c>
    </row>
    <row r="419" spans="1:26" x14ac:dyDescent="0.2">
      <c r="A419" s="66"/>
      <c r="B419" s="66"/>
      <c r="C419" s="66"/>
      <c r="D419" s="144"/>
      <c r="E419" s="67"/>
      <c r="F419" s="67"/>
      <c r="G419" s="67"/>
      <c r="H419" s="67">
        <f>ROUND(+E419+G419,4)</f>
        <v>0</v>
      </c>
      <c r="I419" s="67"/>
      <c r="J419" s="67">
        <f>ROUND(+I419-H419,4)</f>
        <v>0</v>
      </c>
      <c r="K419" s="67">
        <f>ROUND(IF(F419="alluminio",0,I419*1.5%),4)</f>
        <v>0</v>
      </c>
      <c r="L419" s="67">
        <f>ROUND(IF(K419&lt;J419,K419,0),4)</f>
        <v>0</v>
      </c>
      <c r="M419" s="67">
        <f>ROUND(IF(J419&gt;K419,0,J419),4)</f>
        <v>0</v>
      </c>
      <c r="N419" s="67">
        <f>ROUND(+L419*D419,4)</f>
        <v>0</v>
      </c>
      <c r="O419" s="67">
        <f>ROUND(IF(F419="rame",0,+I419*3%),4)</f>
        <v>0</v>
      </c>
      <c r="P419" s="67">
        <f>ROUND(IF(O419&lt;J419,O419,0),4)</f>
        <v>0</v>
      </c>
      <c r="Q419" s="67">
        <f>ROUND(IF(J419&gt;O419,0,J419),4)</f>
        <v>0</v>
      </c>
      <c r="R419" s="67">
        <f>ROUND(+P419*D419,4)</f>
        <v>0</v>
      </c>
      <c r="S419" s="67">
        <f>ROUND(IF(K419=0,0,M419*D419),4)</f>
        <v>0</v>
      </c>
      <c r="T419" s="67">
        <f>ROUND(+IF(K419=0,Q419*D419,0),4)</f>
        <v>0</v>
      </c>
      <c r="U419" s="67">
        <f>ROUND(+N419+R419+S419+T419,4)</f>
        <v>0</v>
      </c>
      <c r="V419" s="67">
        <f>ROUND(IF(P419=0,0,I419-H419-O419)+IF(L419=0,0,I419-H419-K419),4)</f>
        <v>0</v>
      </c>
      <c r="W419" s="67">
        <f>ROUND(+(V419*60%)*D419,4)</f>
        <v>0</v>
      </c>
      <c r="X419" s="148">
        <f>ROUND(+U419+W419,4)</f>
        <v>0</v>
      </c>
      <c r="Y419" s="68"/>
      <c r="Z419" s="148">
        <f>ROUND(IF(X419&gt;I419,X419,I419),4)</f>
        <v>0</v>
      </c>
    </row>
    <row r="420" spans="1:26" x14ac:dyDescent="0.2">
      <c r="A420" s="66"/>
      <c r="B420" s="66"/>
      <c r="C420" s="66"/>
      <c r="D420" s="144"/>
      <c r="E420" s="67"/>
      <c r="F420" s="67"/>
      <c r="G420" s="67"/>
      <c r="H420" s="67">
        <f>ROUND(+E420+G420,4)</f>
        <v>0</v>
      </c>
      <c r="I420" s="67"/>
      <c r="J420" s="67">
        <f>ROUND(+I420-H420,4)</f>
        <v>0</v>
      </c>
      <c r="K420" s="67">
        <f>ROUND(IF(F420="alluminio",0,I420*1.5%),4)</f>
        <v>0</v>
      </c>
      <c r="L420" s="67">
        <f>ROUND(IF(K420&lt;J420,K420,0),4)</f>
        <v>0</v>
      </c>
      <c r="M420" s="67">
        <f>ROUND(IF(J420&gt;K420,0,J420),4)</f>
        <v>0</v>
      </c>
      <c r="N420" s="67">
        <f>ROUND(+L420*D420,4)</f>
        <v>0</v>
      </c>
      <c r="O420" s="67">
        <f>ROUND(IF(F420="rame",0,+I420*3%),4)</f>
        <v>0</v>
      </c>
      <c r="P420" s="67">
        <f>ROUND(IF(O420&lt;J420,O420,0),4)</f>
        <v>0</v>
      </c>
      <c r="Q420" s="67">
        <f>ROUND(IF(J420&gt;O420,0,J420),4)</f>
        <v>0</v>
      </c>
      <c r="R420" s="67">
        <f>ROUND(+P420*D420,4)</f>
        <v>0</v>
      </c>
      <c r="S420" s="67">
        <f>ROUND(IF(K420=0,0,M420*D420),4)</f>
        <v>0</v>
      </c>
      <c r="T420" s="67">
        <f>ROUND(+IF(K420=0,Q420*D420,0),4)</f>
        <v>0</v>
      </c>
      <c r="U420" s="67">
        <f>ROUND(+N420+R420+S420+T420,4)</f>
        <v>0</v>
      </c>
      <c r="V420" s="67">
        <f>ROUND(IF(P420=0,0,I420-H420-O420)+IF(L420=0,0,I420-H420-K420),4)</f>
        <v>0</v>
      </c>
      <c r="W420" s="67">
        <f>ROUND(+(V420*60%)*D420,4)</f>
        <v>0</v>
      </c>
      <c r="X420" s="148">
        <f>ROUND(+U420+W420,4)</f>
        <v>0</v>
      </c>
      <c r="Y420" s="68"/>
      <c r="Z420" s="148">
        <f>ROUND(IF(X420&gt;I420,X420,I420),4)</f>
        <v>0</v>
      </c>
    </row>
    <row r="421" spans="1:26" x14ac:dyDescent="0.2">
      <c r="A421" s="66"/>
      <c r="B421" s="66"/>
      <c r="C421" s="66"/>
      <c r="D421" s="144"/>
      <c r="E421" s="67"/>
      <c r="F421" s="67"/>
      <c r="G421" s="67"/>
      <c r="H421" s="67">
        <f>ROUND(+E421+G421,4)</f>
        <v>0</v>
      </c>
      <c r="I421" s="67"/>
      <c r="J421" s="67">
        <f>ROUND(+I421-H421,4)</f>
        <v>0</v>
      </c>
      <c r="K421" s="67">
        <f>ROUND(IF(F421="alluminio",0,I421*1.5%),4)</f>
        <v>0</v>
      </c>
      <c r="L421" s="67">
        <f>ROUND(IF(K421&lt;J421,K421,0),4)</f>
        <v>0</v>
      </c>
      <c r="M421" s="67">
        <f>ROUND(IF(J421&gt;K421,0,J421),4)</f>
        <v>0</v>
      </c>
      <c r="N421" s="67">
        <f>ROUND(+L421*D421,4)</f>
        <v>0</v>
      </c>
      <c r="O421" s="67">
        <f>ROUND(IF(F421="rame",0,+I421*3%),4)</f>
        <v>0</v>
      </c>
      <c r="P421" s="67">
        <f>ROUND(IF(O421&lt;J421,O421,0),4)</f>
        <v>0</v>
      </c>
      <c r="Q421" s="67">
        <f>ROUND(IF(J421&gt;O421,0,J421),4)</f>
        <v>0</v>
      </c>
      <c r="R421" s="67">
        <f>ROUND(+P421*D421,4)</f>
        <v>0</v>
      </c>
      <c r="S421" s="67">
        <f>ROUND(IF(K421=0,0,M421*D421),4)</f>
        <v>0</v>
      </c>
      <c r="T421" s="67">
        <f>ROUND(+IF(K421=0,Q421*D421,0),4)</f>
        <v>0</v>
      </c>
      <c r="U421" s="67">
        <f>ROUND(+N421+R421+S421+T421,4)</f>
        <v>0</v>
      </c>
      <c r="V421" s="67">
        <f>ROUND(IF(P421=0,0,I421-H421-O421)+IF(L421=0,0,I421-H421-K421),4)</f>
        <v>0</v>
      </c>
      <c r="W421" s="67">
        <f>ROUND(+(V421*60%)*D421,4)</f>
        <v>0</v>
      </c>
      <c r="X421" s="148">
        <f>ROUND(+U421+W421,4)</f>
        <v>0</v>
      </c>
      <c r="Y421" s="68"/>
      <c r="Z421" s="148">
        <f>ROUND(IF(X421&gt;I421,X421,I421),4)</f>
        <v>0</v>
      </c>
    </row>
    <row r="422" spans="1:26" x14ac:dyDescent="0.2">
      <c r="A422" s="66"/>
      <c r="B422" s="66"/>
      <c r="C422" s="66"/>
      <c r="D422" s="144"/>
      <c r="E422" s="67"/>
      <c r="F422" s="67"/>
      <c r="G422" s="67"/>
      <c r="H422" s="67">
        <f>ROUND(+E422+G422,4)</f>
        <v>0</v>
      </c>
      <c r="I422" s="67"/>
      <c r="J422" s="67">
        <f>ROUND(+I422-H422,4)</f>
        <v>0</v>
      </c>
      <c r="K422" s="67">
        <f>ROUND(IF(F422="alluminio",0,I422*1.5%),4)</f>
        <v>0</v>
      </c>
      <c r="L422" s="67">
        <f>ROUND(IF(K422&lt;J422,K422,0),4)</f>
        <v>0</v>
      </c>
      <c r="M422" s="67">
        <f>ROUND(IF(J422&gt;K422,0,J422),4)</f>
        <v>0</v>
      </c>
      <c r="N422" s="67">
        <f>ROUND(+L422*D422,4)</f>
        <v>0</v>
      </c>
      <c r="O422" s="67">
        <f>ROUND(IF(F422="rame",0,+I422*3%),4)</f>
        <v>0</v>
      </c>
      <c r="P422" s="67">
        <f>ROUND(IF(O422&lt;J422,O422,0),4)</f>
        <v>0</v>
      </c>
      <c r="Q422" s="67">
        <f>ROUND(IF(J422&gt;O422,0,J422),4)</f>
        <v>0</v>
      </c>
      <c r="R422" s="67">
        <f>ROUND(+P422*D422,4)</f>
        <v>0</v>
      </c>
      <c r="S422" s="67">
        <f>ROUND(IF(K422=0,0,M422*D422),4)</f>
        <v>0</v>
      </c>
      <c r="T422" s="67">
        <f>ROUND(+IF(K422=0,Q422*D422,0),4)</f>
        <v>0</v>
      </c>
      <c r="U422" s="67">
        <f>ROUND(+N422+R422+S422+T422,4)</f>
        <v>0</v>
      </c>
      <c r="V422" s="67">
        <f>ROUND(IF(P422=0,0,I422-H422-O422)+IF(L422=0,0,I422-H422-K422),4)</f>
        <v>0</v>
      </c>
      <c r="W422" s="67">
        <f>ROUND(+(V422*60%)*D422,4)</f>
        <v>0</v>
      </c>
      <c r="X422" s="148">
        <f>ROUND(+U422+W422,4)</f>
        <v>0</v>
      </c>
      <c r="Y422" s="68"/>
      <c r="Z422" s="148">
        <f>ROUND(IF(X422&gt;I422,X422,I422),4)</f>
        <v>0</v>
      </c>
    </row>
    <row r="423" spans="1:26" x14ac:dyDescent="0.2">
      <c r="A423" s="66"/>
      <c r="B423" s="66"/>
      <c r="C423" s="66"/>
      <c r="D423" s="144"/>
      <c r="E423" s="67"/>
      <c r="F423" s="67"/>
      <c r="G423" s="67"/>
      <c r="H423" s="67">
        <f>ROUND(+E423+G423,4)</f>
        <v>0</v>
      </c>
      <c r="I423" s="67"/>
      <c r="J423" s="67">
        <f>ROUND(+I423-H423,4)</f>
        <v>0</v>
      </c>
      <c r="K423" s="67">
        <f>ROUND(IF(F423="alluminio",0,I423*1.5%),4)</f>
        <v>0</v>
      </c>
      <c r="L423" s="67">
        <f>ROUND(IF(K423&lt;J423,K423,0),4)</f>
        <v>0</v>
      </c>
      <c r="M423" s="67">
        <f>ROUND(IF(J423&gt;K423,0,J423),4)</f>
        <v>0</v>
      </c>
      <c r="N423" s="67">
        <f>ROUND(+L423*D423,4)</f>
        <v>0</v>
      </c>
      <c r="O423" s="67">
        <f>ROUND(IF(F423="rame",0,+I423*3%),4)</f>
        <v>0</v>
      </c>
      <c r="P423" s="67">
        <f>ROUND(IF(O423&lt;J423,O423,0),4)</f>
        <v>0</v>
      </c>
      <c r="Q423" s="67">
        <f>ROUND(IF(J423&gt;O423,0,J423),4)</f>
        <v>0</v>
      </c>
      <c r="R423" s="67">
        <f>ROUND(+P423*D423,4)</f>
        <v>0</v>
      </c>
      <c r="S423" s="67">
        <f>ROUND(IF(K423=0,0,M423*D423),4)</f>
        <v>0</v>
      </c>
      <c r="T423" s="67">
        <f>ROUND(+IF(K423=0,Q423*D423,0),4)</f>
        <v>0</v>
      </c>
      <c r="U423" s="67">
        <f>ROUND(+N423+R423+S423+T423,4)</f>
        <v>0</v>
      </c>
      <c r="V423" s="67">
        <f>ROUND(IF(P423=0,0,I423-H423-O423)+IF(L423=0,0,I423-H423-K423),4)</f>
        <v>0</v>
      </c>
      <c r="W423" s="67">
        <f>ROUND(+(V423*60%)*D423,4)</f>
        <v>0</v>
      </c>
      <c r="X423" s="148">
        <f>ROUND(+U423+W423,4)</f>
        <v>0</v>
      </c>
      <c r="Y423" s="68"/>
      <c r="Z423" s="148">
        <f>ROUND(IF(X423&gt;I423,X423,I423),4)</f>
        <v>0</v>
      </c>
    </row>
    <row r="424" spans="1:26" x14ac:dyDescent="0.2">
      <c r="A424" s="66"/>
      <c r="B424" s="66"/>
      <c r="C424" s="66"/>
      <c r="D424" s="144"/>
      <c r="E424" s="67"/>
      <c r="F424" s="67"/>
      <c r="G424" s="67"/>
      <c r="H424" s="67">
        <f>ROUND(+E424+G424,4)</f>
        <v>0</v>
      </c>
      <c r="I424" s="67"/>
      <c r="J424" s="67">
        <f>ROUND(+I424-H424,4)</f>
        <v>0</v>
      </c>
      <c r="K424" s="67">
        <f>ROUND(IF(F424="alluminio",0,I424*1.5%),4)</f>
        <v>0</v>
      </c>
      <c r="L424" s="67">
        <f>ROUND(IF(K424&lt;J424,K424,0),4)</f>
        <v>0</v>
      </c>
      <c r="M424" s="67">
        <f>ROUND(IF(J424&gt;K424,0,J424),4)</f>
        <v>0</v>
      </c>
      <c r="N424" s="67">
        <f>ROUND(+L424*D424,4)</f>
        <v>0</v>
      </c>
      <c r="O424" s="67">
        <f>ROUND(IF(F424="rame",0,+I424*3%),4)</f>
        <v>0</v>
      </c>
      <c r="P424" s="67">
        <f>ROUND(IF(O424&lt;J424,O424,0),4)</f>
        <v>0</v>
      </c>
      <c r="Q424" s="67">
        <f>ROUND(IF(J424&gt;O424,0,J424),4)</f>
        <v>0</v>
      </c>
      <c r="R424" s="67">
        <f>ROUND(+P424*D424,4)</f>
        <v>0</v>
      </c>
      <c r="S424" s="67">
        <f>ROUND(IF(K424=0,0,M424*D424),4)</f>
        <v>0</v>
      </c>
      <c r="T424" s="67">
        <f>ROUND(+IF(K424=0,Q424*D424,0),4)</f>
        <v>0</v>
      </c>
      <c r="U424" s="67">
        <f>ROUND(+N424+R424+S424+T424,4)</f>
        <v>0</v>
      </c>
      <c r="V424" s="67">
        <f>ROUND(IF(P424=0,0,I424-H424-O424)+IF(L424=0,0,I424-H424-K424),4)</f>
        <v>0</v>
      </c>
      <c r="W424" s="67">
        <f>ROUND(+(V424*60%)*D424,4)</f>
        <v>0</v>
      </c>
      <c r="X424" s="148">
        <f>ROUND(+U424+W424,4)</f>
        <v>0</v>
      </c>
      <c r="Y424" s="68"/>
      <c r="Z424" s="148">
        <f>ROUND(IF(X424&gt;I424,X424,I424),4)</f>
        <v>0</v>
      </c>
    </row>
    <row r="425" spans="1:26" x14ac:dyDescent="0.2">
      <c r="A425" s="66"/>
      <c r="B425" s="66"/>
      <c r="C425" s="66"/>
      <c r="D425" s="144"/>
      <c r="E425" s="67"/>
      <c r="F425" s="67"/>
      <c r="G425" s="67"/>
      <c r="H425" s="67">
        <f>ROUND(+E425+G425,4)</f>
        <v>0</v>
      </c>
      <c r="I425" s="67"/>
      <c r="J425" s="67">
        <f>ROUND(+I425-H425,4)</f>
        <v>0</v>
      </c>
      <c r="K425" s="67">
        <f>ROUND(IF(F425="alluminio",0,I425*1.5%),4)</f>
        <v>0</v>
      </c>
      <c r="L425" s="67">
        <f>ROUND(IF(K425&lt;J425,K425,0),4)</f>
        <v>0</v>
      </c>
      <c r="M425" s="67">
        <f>ROUND(IF(J425&gt;K425,0,J425),4)</f>
        <v>0</v>
      </c>
      <c r="N425" s="67">
        <f>ROUND(+L425*D425,4)</f>
        <v>0</v>
      </c>
      <c r="O425" s="67">
        <f>ROUND(IF(F425="rame",0,+I425*3%),4)</f>
        <v>0</v>
      </c>
      <c r="P425" s="67">
        <f>ROUND(IF(O425&lt;J425,O425,0),4)</f>
        <v>0</v>
      </c>
      <c r="Q425" s="67">
        <f>ROUND(IF(J425&gt;O425,0,J425),4)</f>
        <v>0</v>
      </c>
      <c r="R425" s="67">
        <f>ROUND(+P425*D425,4)</f>
        <v>0</v>
      </c>
      <c r="S425" s="67">
        <f>ROUND(IF(K425=0,0,M425*D425),4)</f>
        <v>0</v>
      </c>
      <c r="T425" s="67">
        <f>ROUND(+IF(K425=0,Q425*D425,0),4)</f>
        <v>0</v>
      </c>
      <c r="U425" s="67">
        <f>ROUND(+N425+R425+S425+T425,4)</f>
        <v>0</v>
      </c>
      <c r="V425" s="67">
        <f>ROUND(IF(P425=0,0,I425-H425-O425)+IF(L425=0,0,I425-H425-K425),4)</f>
        <v>0</v>
      </c>
      <c r="W425" s="67">
        <f>ROUND(+(V425*60%)*D425,4)</f>
        <v>0</v>
      </c>
      <c r="X425" s="148">
        <f>ROUND(+U425+W425,4)</f>
        <v>0</v>
      </c>
      <c r="Y425" s="68"/>
      <c r="Z425" s="148">
        <f>ROUND(IF(X425&gt;I425,X425,I425),4)</f>
        <v>0</v>
      </c>
    </row>
    <row r="426" spans="1:26" x14ac:dyDescent="0.2">
      <c r="A426" s="66"/>
      <c r="B426" s="66"/>
      <c r="C426" s="66"/>
      <c r="D426" s="144"/>
      <c r="E426" s="67"/>
      <c r="F426" s="67"/>
      <c r="G426" s="67"/>
      <c r="H426" s="67">
        <f>ROUND(+E426+G426,4)</f>
        <v>0</v>
      </c>
      <c r="I426" s="67"/>
      <c r="J426" s="67">
        <f>ROUND(+I426-H426,4)</f>
        <v>0</v>
      </c>
      <c r="K426" s="67">
        <f>ROUND(IF(F426="alluminio",0,I426*1.5%),4)</f>
        <v>0</v>
      </c>
      <c r="L426" s="67">
        <f>ROUND(IF(K426&lt;J426,K426,0),4)</f>
        <v>0</v>
      </c>
      <c r="M426" s="67">
        <f>ROUND(IF(J426&gt;K426,0,J426),4)</f>
        <v>0</v>
      </c>
      <c r="N426" s="67">
        <f>ROUND(+L426*D426,4)</f>
        <v>0</v>
      </c>
      <c r="O426" s="67">
        <f>ROUND(IF(F426="rame",0,+I426*3%),4)</f>
        <v>0</v>
      </c>
      <c r="P426" s="67">
        <f>ROUND(IF(O426&lt;J426,O426,0),4)</f>
        <v>0</v>
      </c>
      <c r="Q426" s="67">
        <f>ROUND(IF(J426&gt;O426,0,J426),4)</f>
        <v>0</v>
      </c>
      <c r="R426" s="67">
        <f>ROUND(+P426*D426,4)</f>
        <v>0</v>
      </c>
      <c r="S426" s="67">
        <f>ROUND(IF(K426=0,0,M426*D426),4)</f>
        <v>0</v>
      </c>
      <c r="T426" s="67">
        <f>ROUND(+IF(K426=0,Q426*D426,0),4)</f>
        <v>0</v>
      </c>
      <c r="U426" s="67">
        <f>ROUND(+N426+R426+S426+T426,4)</f>
        <v>0</v>
      </c>
      <c r="V426" s="67">
        <f>ROUND(IF(P426=0,0,I426-H426-O426)+IF(L426=0,0,I426-H426-K426),4)</f>
        <v>0</v>
      </c>
      <c r="W426" s="67">
        <f>ROUND(+(V426*60%)*D426,4)</f>
        <v>0</v>
      </c>
      <c r="X426" s="148">
        <f>ROUND(+U426+W426,4)</f>
        <v>0</v>
      </c>
      <c r="Y426" s="68"/>
      <c r="Z426" s="148">
        <f>ROUND(IF(X426&gt;I426,X426,I426),4)</f>
        <v>0</v>
      </c>
    </row>
    <row r="427" spans="1:26" x14ac:dyDescent="0.2">
      <c r="A427" s="66"/>
      <c r="B427" s="66"/>
      <c r="C427" s="66"/>
      <c r="D427" s="144"/>
      <c r="E427" s="67"/>
      <c r="F427" s="67"/>
      <c r="G427" s="67"/>
      <c r="H427" s="67">
        <f>ROUND(+E427+G427,4)</f>
        <v>0</v>
      </c>
      <c r="I427" s="67"/>
      <c r="J427" s="67">
        <f>ROUND(+I427-H427,4)</f>
        <v>0</v>
      </c>
      <c r="K427" s="67">
        <f>ROUND(IF(F427="alluminio",0,I427*1.5%),4)</f>
        <v>0</v>
      </c>
      <c r="L427" s="67">
        <f>ROUND(IF(K427&lt;J427,K427,0),4)</f>
        <v>0</v>
      </c>
      <c r="M427" s="67">
        <f>ROUND(IF(J427&gt;K427,0,J427),4)</f>
        <v>0</v>
      </c>
      <c r="N427" s="67">
        <f>ROUND(+L427*D427,4)</f>
        <v>0</v>
      </c>
      <c r="O427" s="67">
        <f>ROUND(IF(F427="rame",0,+I427*3%),4)</f>
        <v>0</v>
      </c>
      <c r="P427" s="67">
        <f>ROUND(IF(O427&lt;J427,O427,0),4)</f>
        <v>0</v>
      </c>
      <c r="Q427" s="67">
        <f>ROUND(IF(J427&gt;O427,0,J427),4)</f>
        <v>0</v>
      </c>
      <c r="R427" s="67">
        <f>ROUND(+P427*D427,4)</f>
        <v>0</v>
      </c>
      <c r="S427" s="67">
        <f>ROUND(IF(K427=0,0,M427*D427),4)</f>
        <v>0</v>
      </c>
      <c r="T427" s="67">
        <f>ROUND(+IF(K427=0,Q427*D427,0),4)</f>
        <v>0</v>
      </c>
      <c r="U427" s="67">
        <f>ROUND(+N427+R427+S427+T427,4)</f>
        <v>0</v>
      </c>
      <c r="V427" s="67">
        <f>ROUND(IF(P427=0,0,I427-H427-O427)+IF(L427=0,0,I427-H427-K427),4)</f>
        <v>0</v>
      </c>
      <c r="W427" s="67">
        <f>ROUND(+(V427*60%)*D427,4)</f>
        <v>0</v>
      </c>
      <c r="X427" s="148">
        <f>ROUND(+U427+W427,4)</f>
        <v>0</v>
      </c>
      <c r="Y427" s="68"/>
      <c r="Z427" s="148">
        <f>ROUND(IF(X427&gt;I427,X427,I427),4)</f>
        <v>0</v>
      </c>
    </row>
    <row r="428" spans="1:26" x14ac:dyDescent="0.2">
      <c r="A428" s="66"/>
      <c r="B428" s="66"/>
      <c r="C428" s="66"/>
      <c r="D428" s="144"/>
      <c r="E428" s="67"/>
      <c r="F428" s="67"/>
      <c r="G428" s="67"/>
      <c r="H428" s="67">
        <f>ROUND(+E428+G428,4)</f>
        <v>0</v>
      </c>
      <c r="I428" s="67"/>
      <c r="J428" s="67">
        <f>ROUND(+I428-H428,4)</f>
        <v>0</v>
      </c>
      <c r="K428" s="67">
        <f>ROUND(IF(F428="alluminio",0,I428*1.5%),4)</f>
        <v>0</v>
      </c>
      <c r="L428" s="67">
        <f>ROUND(IF(K428&lt;J428,K428,0),4)</f>
        <v>0</v>
      </c>
      <c r="M428" s="67">
        <f>ROUND(IF(J428&gt;K428,0,J428),4)</f>
        <v>0</v>
      </c>
      <c r="N428" s="67">
        <f>ROUND(+L428*D428,4)</f>
        <v>0</v>
      </c>
      <c r="O428" s="67">
        <f>ROUND(IF(F428="rame",0,+I428*3%),4)</f>
        <v>0</v>
      </c>
      <c r="P428" s="67">
        <f>ROUND(IF(O428&lt;J428,O428,0),4)</f>
        <v>0</v>
      </c>
      <c r="Q428" s="67">
        <f>ROUND(IF(J428&gt;O428,0,J428),4)</f>
        <v>0</v>
      </c>
      <c r="R428" s="67">
        <f>ROUND(+P428*D428,4)</f>
        <v>0</v>
      </c>
      <c r="S428" s="67">
        <f>ROUND(IF(K428=0,0,M428*D428),4)</f>
        <v>0</v>
      </c>
      <c r="T428" s="67">
        <f>ROUND(+IF(K428=0,Q428*D428,0),4)</f>
        <v>0</v>
      </c>
      <c r="U428" s="67">
        <f>ROUND(+N428+R428+S428+T428,4)</f>
        <v>0</v>
      </c>
      <c r="V428" s="67">
        <f>ROUND(IF(P428=0,0,I428-H428-O428)+IF(L428=0,0,I428-H428-K428),4)</f>
        <v>0</v>
      </c>
      <c r="W428" s="67">
        <f>ROUND(+(V428*60%)*D428,4)</f>
        <v>0</v>
      </c>
      <c r="X428" s="148">
        <f>ROUND(+U428+W428,4)</f>
        <v>0</v>
      </c>
      <c r="Y428" s="68"/>
      <c r="Z428" s="148">
        <f>ROUND(IF(X428&gt;I428,X428,I428),4)</f>
        <v>0</v>
      </c>
    </row>
    <row r="429" spans="1:26" x14ac:dyDescent="0.2">
      <c r="A429" s="66"/>
      <c r="B429" s="66"/>
      <c r="C429" s="66"/>
      <c r="D429" s="144"/>
      <c r="E429" s="67"/>
      <c r="F429" s="67"/>
      <c r="G429" s="67"/>
      <c r="H429" s="67">
        <f>ROUND(+E429+G429,4)</f>
        <v>0</v>
      </c>
      <c r="I429" s="67"/>
      <c r="J429" s="67">
        <f>ROUND(+I429-H429,4)</f>
        <v>0</v>
      </c>
      <c r="K429" s="67">
        <f>ROUND(IF(F429="alluminio",0,I429*1.5%),4)</f>
        <v>0</v>
      </c>
      <c r="L429" s="67">
        <f>ROUND(IF(K429&lt;J429,K429,0),4)</f>
        <v>0</v>
      </c>
      <c r="M429" s="67">
        <f>ROUND(IF(J429&gt;K429,0,J429),4)</f>
        <v>0</v>
      </c>
      <c r="N429" s="67">
        <f>ROUND(+L429*D429,4)</f>
        <v>0</v>
      </c>
      <c r="O429" s="67">
        <f>ROUND(IF(F429="rame",0,+I429*3%),4)</f>
        <v>0</v>
      </c>
      <c r="P429" s="67">
        <f>ROUND(IF(O429&lt;J429,O429,0),4)</f>
        <v>0</v>
      </c>
      <c r="Q429" s="67">
        <f>ROUND(IF(J429&gt;O429,0,J429),4)</f>
        <v>0</v>
      </c>
      <c r="R429" s="67">
        <f>ROUND(+P429*D429,4)</f>
        <v>0</v>
      </c>
      <c r="S429" s="67">
        <f>ROUND(IF(K429=0,0,M429*D429),4)</f>
        <v>0</v>
      </c>
      <c r="T429" s="67">
        <f>ROUND(+IF(K429=0,Q429*D429,0),4)</f>
        <v>0</v>
      </c>
      <c r="U429" s="67">
        <f>ROUND(+N429+R429+S429+T429,4)</f>
        <v>0</v>
      </c>
      <c r="V429" s="67">
        <f>ROUND(IF(P429=0,0,I429-H429-O429)+IF(L429=0,0,I429-H429-K429),4)</f>
        <v>0</v>
      </c>
      <c r="W429" s="67">
        <f>ROUND(+(V429*60%)*D429,4)</f>
        <v>0</v>
      </c>
      <c r="X429" s="148">
        <f>ROUND(+U429+W429,4)</f>
        <v>0</v>
      </c>
      <c r="Y429" s="68"/>
      <c r="Z429" s="148">
        <f>ROUND(IF(X429&gt;I429,X429,I429),4)</f>
        <v>0</v>
      </c>
    </row>
    <row r="430" spans="1:26" x14ac:dyDescent="0.2">
      <c r="A430" s="66"/>
      <c r="B430" s="66"/>
      <c r="C430" s="66"/>
      <c r="D430" s="144"/>
      <c r="E430" s="67"/>
      <c r="F430" s="67"/>
      <c r="G430" s="67"/>
      <c r="H430" s="67">
        <f>ROUND(+E430+G430,4)</f>
        <v>0</v>
      </c>
      <c r="I430" s="67"/>
      <c r="J430" s="67">
        <f>ROUND(+I430-H430,4)</f>
        <v>0</v>
      </c>
      <c r="K430" s="67">
        <f>ROUND(IF(F430="alluminio",0,I430*1.5%),4)</f>
        <v>0</v>
      </c>
      <c r="L430" s="67">
        <f>ROUND(IF(K430&lt;J430,K430,0),4)</f>
        <v>0</v>
      </c>
      <c r="M430" s="67">
        <f>ROUND(IF(J430&gt;K430,0,J430),4)</f>
        <v>0</v>
      </c>
      <c r="N430" s="67">
        <f>ROUND(+L430*D430,4)</f>
        <v>0</v>
      </c>
      <c r="O430" s="67">
        <f>ROUND(IF(F430="rame",0,+I430*3%),4)</f>
        <v>0</v>
      </c>
      <c r="P430" s="67">
        <f>ROUND(IF(O430&lt;J430,O430,0),4)</f>
        <v>0</v>
      </c>
      <c r="Q430" s="67">
        <f>ROUND(IF(J430&gt;O430,0,J430),4)</f>
        <v>0</v>
      </c>
      <c r="R430" s="67">
        <f>ROUND(+P430*D430,4)</f>
        <v>0</v>
      </c>
      <c r="S430" s="67">
        <f>ROUND(IF(K430=0,0,M430*D430),4)</f>
        <v>0</v>
      </c>
      <c r="T430" s="67">
        <f>ROUND(+IF(K430=0,Q430*D430,0),4)</f>
        <v>0</v>
      </c>
      <c r="U430" s="67">
        <f>ROUND(+N430+R430+S430+T430,4)</f>
        <v>0</v>
      </c>
      <c r="V430" s="67">
        <f>ROUND(IF(P430=0,0,I430-H430-O430)+IF(L430=0,0,I430-H430-K430),4)</f>
        <v>0</v>
      </c>
      <c r="W430" s="67">
        <f>ROUND(+(V430*60%)*D430,4)</f>
        <v>0</v>
      </c>
      <c r="X430" s="148">
        <f>ROUND(+U430+W430,4)</f>
        <v>0</v>
      </c>
      <c r="Y430" s="68"/>
      <c r="Z430" s="148">
        <f>ROUND(IF(X430&gt;I430,X430,I430),4)</f>
        <v>0</v>
      </c>
    </row>
    <row r="431" spans="1:26" x14ac:dyDescent="0.2">
      <c r="A431" s="66"/>
      <c r="B431" s="66"/>
      <c r="C431" s="66"/>
      <c r="D431" s="144"/>
      <c r="E431" s="67"/>
      <c r="F431" s="67"/>
      <c r="G431" s="67"/>
      <c r="H431" s="67">
        <f>ROUND(+E431+G431,4)</f>
        <v>0</v>
      </c>
      <c r="I431" s="67"/>
      <c r="J431" s="67">
        <f>ROUND(+I431-H431,4)</f>
        <v>0</v>
      </c>
      <c r="K431" s="67">
        <f>ROUND(IF(F431="alluminio",0,I431*1.5%),4)</f>
        <v>0</v>
      </c>
      <c r="L431" s="67">
        <f>ROUND(IF(K431&lt;J431,K431,0),4)</f>
        <v>0</v>
      </c>
      <c r="M431" s="67">
        <f>ROUND(IF(J431&gt;K431,0,J431),4)</f>
        <v>0</v>
      </c>
      <c r="N431" s="67">
        <f>ROUND(+L431*D431,4)</f>
        <v>0</v>
      </c>
      <c r="O431" s="67">
        <f>ROUND(IF(F431="rame",0,+I431*3%),4)</f>
        <v>0</v>
      </c>
      <c r="P431" s="67">
        <f>ROUND(IF(O431&lt;J431,O431,0),4)</f>
        <v>0</v>
      </c>
      <c r="Q431" s="67">
        <f>ROUND(IF(J431&gt;O431,0,J431),4)</f>
        <v>0</v>
      </c>
      <c r="R431" s="67">
        <f>ROUND(+P431*D431,4)</f>
        <v>0</v>
      </c>
      <c r="S431" s="67">
        <f>ROUND(IF(K431=0,0,M431*D431),4)</f>
        <v>0</v>
      </c>
      <c r="T431" s="67">
        <f>ROUND(+IF(K431=0,Q431*D431,0),4)</f>
        <v>0</v>
      </c>
      <c r="U431" s="67">
        <f>ROUND(+N431+R431+S431+T431,4)</f>
        <v>0</v>
      </c>
      <c r="V431" s="67">
        <f>ROUND(IF(P431=0,0,I431-H431-O431)+IF(L431=0,0,I431-H431-K431),4)</f>
        <v>0</v>
      </c>
      <c r="W431" s="67">
        <f>ROUND(+(V431*60%)*D431,4)</f>
        <v>0</v>
      </c>
      <c r="X431" s="148">
        <f>ROUND(+U431+W431,4)</f>
        <v>0</v>
      </c>
      <c r="Y431" s="68"/>
      <c r="Z431" s="148">
        <f>ROUND(IF(X431&gt;I431,X431,I431),4)</f>
        <v>0</v>
      </c>
    </row>
    <row r="432" spans="1:26" x14ac:dyDescent="0.2">
      <c r="A432" s="66"/>
      <c r="B432" s="66"/>
      <c r="C432" s="66"/>
      <c r="D432" s="144"/>
      <c r="E432" s="67"/>
      <c r="F432" s="67"/>
      <c r="G432" s="67"/>
      <c r="H432" s="67">
        <f>ROUND(+E432+G432,4)</f>
        <v>0</v>
      </c>
      <c r="I432" s="67"/>
      <c r="J432" s="67">
        <f>ROUND(+I432-H432,4)</f>
        <v>0</v>
      </c>
      <c r="K432" s="67">
        <f>ROUND(IF(F432="alluminio",0,I432*1.5%),4)</f>
        <v>0</v>
      </c>
      <c r="L432" s="67">
        <f>ROUND(IF(K432&lt;J432,K432,0),4)</f>
        <v>0</v>
      </c>
      <c r="M432" s="67">
        <f>ROUND(IF(J432&gt;K432,0,J432),4)</f>
        <v>0</v>
      </c>
      <c r="N432" s="67">
        <f>ROUND(+L432*D432,4)</f>
        <v>0</v>
      </c>
      <c r="O432" s="67">
        <f>ROUND(IF(F432="rame",0,+I432*3%),4)</f>
        <v>0</v>
      </c>
      <c r="P432" s="67">
        <f>ROUND(IF(O432&lt;J432,O432,0),4)</f>
        <v>0</v>
      </c>
      <c r="Q432" s="67">
        <f>ROUND(IF(J432&gt;O432,0,J432),4)</f>
        <v>0</v>
      </c>
      <c r="R432" s="67">
        <f>ROUND(+P432*D432,4)</f>
        <v>0</v>
      </c>
      <c r="S432" s="67">
        <f>ROUND(IF(K432=0,0,M432*D432),4)</f>
        <v>0</v>
      </c>
      <c r="T432" s="67">
        <f>ROUND(+IF(K432=0,Q432*D432,0),4)</f>
        <v>0</v>
      </c>
      <c r="U432" s="67">
        <f>ROUND(+N432+R432+S432+T432,4)</f>
        <v>0</v>
      </c>
      <c r="V432" s="67">
        <f>ROUND(IF(P432=0,0,I432-H432-O432)+IF(L432=0,0,I432-H432-K432),4)</f>
        <v>0</v>
      </c>
      <c r="W432" s="67">
        <f>ROUND(+(V432*60%)*D432,4)</f>
        <v>0</v>
      </c>
      <c r="X432" s="148">
        <f>ROUND(+U432+W432,4)</f>
        <v>0</v>
      </c>
      <c r="Y432" s="68"/>
      <c r="Z432" s="148">
        <f>ROUND(IF(X432&gt;I432,X432,I432),4)</f>
        <v>0</v>
      </c>
    </row>
    <row r="433" spans="1:26" x14ac:dyDescent="0.2">
      <c r="A433" s="66"/>
      <c r="B433" s="66"/>
      <c r="C433" s="66"/>
      <c r="D433" s="144"/>
      <c r="E433" s="67"/>
      <c r="F433" s="67"/>
      <c r="G433" s="67"/>
      <c r="H433" s="67">
        <f>ROUND(+E433+G433,4)</f>
        <v>0</v>
      </c>
      <c r="I433" s="67"/>
      <c r="J433" s="67">
        <f>ROUND(+I433-H433,4)</f>
        <v>0</v>
      </c>
      <c r="K433" s="67">
        <f>ROUND(IF(F433="alluminio",0,I433*1.5%),4)</f>
        <v>0</v>
      </c>
      <c r="L433" s="67">
        <f>ROUND(IF(K433&lt;J433,K433,0),4)</f>
        <v>0</v>
      </c>
      <c r="M433" s="67">
        <f>ROUND(IF(J433&gt;K433,0,J433),4)</f>
        <v>0</v>
      </c>
      <c r="N433" s="67">
        <f>ROUND(+L433*D433,4)</f>
        <v>0</v>
      </c>
      <c r="O433" s="67">
        <f>ROUND(IF(F433="rame",0,+I433*3%),4)</f>
        <v>0</v>
      </c>
      <c r="P433" s="67">
        <f>ROUND(IF(O433&lt;J433,O433,0),4)</f>
        <v>0</v>
      </c>
      <c r="Q433" s="67">
        <f>ROUND(IF(J433&gt;O433,0,J433),4)</f>
        <v>0</v>
      </c>
      <c r="R433" s="67">
        <f>ROUND(+P433*D433,4)</f>
        <v>0</v>
      </c>
      <c r="S433" s="67">
        <f>ROUND(IF(K433=0,0,M433*D433),4)</f>
        <v>0</v>
      </c>
      <c r="T433" s="67">
        <f>ROUND(+IF(K433=0,Q433*D433,0),4)</f>
        <v>0</v>
      </c>
      <c r="U433" s="67">
        <f>ROUND(+N433+R433+S433+T433,4)</f>
        <v>0</v>
      </c>
      <c r="V433" s="67">
        <f>ROUND(IF(P433=0,0,I433-H433-O433)+IF(L433=0,0,I433-H433-K433),4)</f>
        <v>0</v>
      </c>
      <c r="W433" s="67">
        <f>ROUND(+(V433*60%)*D433,4)</f>
        <v>0</v>
      </c>
      <c r="X433" s="148">
        <f>ROUND(+U433+W433,4)</f>
        <v>0</v>
      </c>
      <c r="Y433" s="68"/>
      <c r="Z433" s="148">
        <f>ROUND(IF(X433&gt;I433,X433,I433),4)</f>
        <v>0</v>
      </c>
    </row>
    <row r="434" spans="1:26" x14ac:dyDescent="0.2">
      <c r="A434" s="66"/>
      <c r="B434" s="66"/>
      <c r="C434" s="66"/>
      <c r="D434" s="144"/>
      <c r="E434" s="67"/>
      <c r="F434" s="67"/>
      <c r="G434" s="67"/>
      <c r="H434" s="67">
        <f>ROUND(+E434+G434,4)</f>
        <v>0</v>
      </c>
      <c r="I434" s="67"/>
      <c r="J434" s="67">
        <f>ROUND(+I434-H434,4)</f>
        <v>0</v>
      </c>
      <c r="K434" s="67">
        <f>ROUND(IF(F434="alluminio",0,I434*1.5%),4)</f>
        <v>0</v>
      </c>
      <c r="L434" s="67">
        <f>ROUND(IF(K434&lt;J434,K434,0),4)</f>
        <v>0</v>
      </c>
      <c r="M434" s="67">
        <f>ROUND(IF(J434&gt;K434,0,J434),4)</f>
        <v>0</v>
      </c>
      <c r="N434" s="67">
        <f>ROUND(+L434*D434,4)</f>
        <v>0</v>
      </c>
      <c r="O434" s="67">
        <f>ROUND(IF(F434="rame",0,+I434*3%),4)</f>
        <v>0</v>
      </c>
      <c r="P434" s="67">
        <f>ROUND(IF(O434&lt;J434,O434,0),4)</f>
        <v>0</v>
      </c>
      <c r="Q434" s="67">
        <f>ROUND(IF(J434&gt;O434,0,J434),4)</f>
        <v>0</v>
      </c>
      <c r="R434" s="67">
        <f>ROUND(+P434*D434,4)</f>
        <v>0</v>
      </c>
      <c r="S434" s="67">
        <f>ROUND(IF(K434=0,0,M434*D434),4)</f>
        <v>0</v>
      </c>
      <c r="T434" s="67">
        <f>ROUND(+IF(K434=0,Q434*D434,0),4)</f>
        <v>0</v>
      </c>
      <c r="U434" s="67">
        <f>ROUND(+N434+R434+S434+T434,4)</f>
        <v>0</v>
      </c>
      <c r="V434" s="67">
        <f>ROUND(IF(P434=0,0,I434-H434-O434)+IF(L434=0,0,I434-H434-K434),4)</f>
        <v>0</v>
      </c>
      <c r="W434" s="67">
        <f>ROUND(+(V434*60%)*D434,4)</f>
        <v>0</v>
      </c>
      <c r="X434" s="148">
        <f>ROUND(+U434+W434,4)</f>
        <v>0</v>
      </c>
      <c r="Y434" s="68"/>
      <c r="Z434" s="148">
        <f>ROUND(IF(X434&gt;I434,X434,I434),4)</f>
        <v>0</v>
      </c>
    </row>
    <row r="435" spans="1:26" x14ac:dyDescent="0.2">
      <c r="A435" s="66"/>
      <c r="B435" s="66"/>
      <c r="C435" s="66"/>
      <c r="D435" s="144"/>
      <c r="E435" s="67"/>
      <c r="F435" s="67"/>
      <c r="G435" s="67"/>
      <c r="H435" s="67">
        <f>ROUND(+E435+G435,4)</f>
        <v>0</v>
      </c>
      <c r="I435" s="67"/>
      <c r="J435" s="67">
        <f>ROUND(+I435-H435,4)</f>
        <v>0</v>
      </c>
      <c r="K435" s="67">
        <f>ROUND(IF(F435="alluminio",0,I435*1.5%),4)</f>
        <v>0</v>
      </c>
      <c r="L435" s="67">
        <f>ROUND(IF(K435&lt;J435,K435,0),4)</f>
        <v>0</v>
      </c>
      <c r="M435" s="67">
        <f>ROUND(IF(J435&gt;K435,0,J435),4)</f>
        <v>0</v>
      </c>
      <c r="N435" s="67">
        <f>ROUND(+L435*D435,4)</f>
        <v>0</v>
      </c>
      <c r="O435" s="67">
        <f>ROUND(IF(F435="rame",0,+I435*3%),4)</f>
        <v>0</v>
      </c>
      <c r="P435" s="67">
        <f>ROUND(IF(O435&lt;J435,O435,0),4)</f>
        <v>0</v>
      </c>
      <c r="Q435" s="67">
        <f>ROUND(IF(J435&gt;O435,0,J435),4)</f>
        <v>0</v>
      </c>
      <c r="R435" s="67">
        <f>ROUND(+P435*D435,4)</f>
        <v>0</v>
      </c>
      <c r="S435" s="67">
        <f>ROUND(IF(K435=0,0,M435*D435),4)</f>
        <v>0</v>
      </c>
      <c r="T435" s="67">
        <f>ROUND(+IF(K435=0,Q435*D435,0),4)</f>
        <v>0</v>
      </c>
      <c r="U435" s="67">
        <f>ROUND(+N435+R435+S435+T435,4)</f>
        <v>0</v>
      </c>
      <c r="V435" s="67">
        <f>ROUND(IF(P435=0,0,I435-H435-O435)+IF(L435=0,0,I435-H435-K435),4)</f>
        <v>0</v>
      </c>
      <c r="W435" s="67">
        <f>ROUND(+(V435*60%)*D435,4)</f>
        <v>0</v>
      </c>
      <c r="X435" s="148">
        <f>ROUND(+U435+W435,4)</f>
        <v>0</v>
      </c>
      <c r="Y435" s="68"/>
      <c r="Z435" s="148">
        <f>ROUND(IF(X435&gt;I435,X435,I435),4)</f>
        <v>0</v>
      </c>
    </row>
    <row r="436" spans="1:26" x14ac:dyDescent="0.2">
      <c r="A436" s="66"/>
      <c r="B436" s="66"/>
      <c r="C436" s="66"/>
      <c r="D436" s="144"/>
      <c r="E436" s="67"/>
      <c r="F436" s="67"/>
      <c r="G436" s="67"/>
      <c r="H436" s="67">
        <f>ROUND(+E436+G436,4)</f>
        <v>0</v>
      </c>
      <c r="I436" s="67"/>
      <c r="J436" s="67">
        <f>ROUND(+I436-H436,4)</f>
        <v>0</v>
      </c>
      <c r="K436" s="67">
        <f>ROUND(IF(F436="alluminio",0,I436*1.5%),4)</f>
        <v>0</v>
      </c>
      <c r="L436" s="67">
        <f>ROUND(IF(K436&lt;J436,K436,0),4)</f>
        <v>0</v>
      </c>
      <c r="M436" s="67">
        <f>ROUND(IF(J436&gt;K436,0,J436),4)</f>
        <v>0</v>
      </c>
      <c r="N436" s="67">
        <f>ROUND(+L436*D436,4)</f>
        <v>0</v>
      </c>
      <c r="O436" s="67">
        <f>ROUND(IF(F436="rame",0,+I436*3%),4)</f>
        <v>0</v>
      </c>
      <c r="P436" s="67">
        <f>ROUND(IF(O436&lt;J436,O436,0),4)</f>
        <v>0</v>
      </c>
      <c r="Q436" s="67">
        <f>ROUND(IF(J436&gt;O436,0,J436),4)</f>
        <v>0</v>
      </c>
      <c r="R436" s="67">
        <f>ROUND(+P436*D436,4)</f>
        <v>0</v>
      </c>
      <c r="S436" s="67">
        <f>ROUND(IF(K436=0,0,M436*D436),4)</f>
        <v>0</v>
      </c>
      <c r="T436" s="67">
        <f>ROUND(+IF(K436=0,Q436*D436,0),4)</f>
        <v>0</v>
      </c>
      <c r="U436" s="67">
        <f>ROUND(+N436+R436+S436+T436,4)</f>
        <v>0</v>
      </c>
      <c r="V436" s="67">
        <f>ROUND(IF(P436=0,0,I436-H436-O436)+IF(L436=0,0,I436-H436-K436),4)</f>
        <v>0</v>
      </c>
      <c r="W436" s="67">
        <f>ROUND(+(V436*60%)*D436,4)</f>
        <v>0</v>
      </c>
      <c r="X436" s="148">
        <f>ROUND(+U436+W436,4)</f>
        <v>0</v>
      </c>
      <c r="Y436" s="68"/>
      <c r="Z436" s="148">
        <f>ROUND(IF(X436&gt;I436,X436,I436),4)</f>
        <v>0</v>
      </c>
    </row>
    <row r="437" spans="1:26" x14ac:dyDescent="0.2">
      <c r="A437" s="66"/>
      <c r="B437" s="66"/>
      <c r="C437" s="66"/>
      <c r="D437" s="144"/>
      <c r="E437" s="67"/>
      <c r="F437" s="67"/>
      <c r="G437" s="67"/>
      <c r="H437" s="67">
        <f>ROUND(+E437+G437,4)</f>
        <v>0</v>
      </c>
      <c r="I437" s="67"/>
      <c r="J437" s="67">
        <f>ROUND(+I437-H437,4)</f>
        <v>0</v>
      </c>
      <c r="K437" s="67">
        <f>ROUND(IF(F437="alluminio",0,I437*1.5%),4)</f>
        <v>0</v>
      </c>
      <c r="L437" s="67">
        <f>ROUND(IF(K437&lt;J437,K437,0),4)</f>
        <v>0</v>
      </c>
      <c r="M437" s="67">
        <f>ROUND(IF(J437&gt;K437,0,J437),4)</f>
        <v>0</v>
      </c>
      <c r="N437" s="67">
        <f>ROUND(+L437*D437,4)</f>
        <v>0</v>
      </c>
      <c r="O437" s="67">
        <f>ROUND(IF(F437="rame",0,+I437*3%),4)</f>
        <v>0</v>
      </c>
      <c r="P437" s="67">
        <f>ROUND(IF(O437&lt;J437,O437,0),4)</f>
        <v>0</v>
      </c>
      <c r="Q437" s="67">
        <f>ROUND(IF(J437&gt;O437,0,J437),4)</f>
        <v>0</v>
      </c>
      <c r="R437" s="67">
        <f>ROUND(+P437*D437,4)</f>
        <v>0</v>
      </c>
      <c r="S437" s="67">
        <f>ROUND(IF(K437=0,0,M437*D437),4)</f>
        <v>0</v>
      </c>
      <c r="T437" s="67">
        <f>ROUND(+IF(K437=0,Q437*D437,0),4)</f>
        <v>0</v>
      </c>
      <c r="U437" s="67">
        <f>ROUND(+N437+R437+S437+T437,4)</f>
        <v>0</v>
      </c>
      <c r="V437" s="67">
        <f>ROUND(IF(P437=0,0,I437-H437-O437)+IF(L437=0,0,I437-H437-K437),4)</f>
        <v>0</v>
      </c>
      <c r="W437" s="67">
        <f>ROUND(+(V437*60%)*D437,4)</f>
        <v>0</v>
      </c>
      <c r="X437" s="148">
        <f>ROUND(+U437+W437,4)</f>
        <v>0</v>
      </c>
      <c r="Y437" s="68"/>
      <c r="Z437" s="148">
        <f>ROUND(IF(X437&gt;I437,X437,I437),4)</f>
        <v>0</v>
      </c>
    </row>
    <row r="438" spans="1:26" x14ac:dyDescent="0.2">
      <c r="A438" s="66"/>
      <c r="B438" s="66"/>
      <c r="C438" s="66"/>
      <c r="D438" s="144"/>
      <c r="E438" s="67"/>
      <c r="F438" s="67"/>
      <c r="G438" s="67"/>
      <c r="H438" s="67">
        <f>ROUND(+E438+G438,4)</f>
        <v>0</v>
      </c>
      <c r="I438" s="67"/>
      <c r="J438" s="67">
        <f>ROUND(+I438-H438,4)</f>
        <v>0</v>
      </c>
      <c r="K438" s="67">
        <f>ROUND(IF(F438="alluminio",0,I438*1.5%),4)</f>
        <v>0</v>
      </c>
      <c r="L438" s="67">
        <f>ROUND(IF(K438&lt;J438,K438,0),4)</f>
        <v>0</v>
      </c>
      <c r="M438" s="67">
        <f>ROUND(IF(J438&gt;K438,0,J438),4)</f>
        <v>0</v>
      </c>
      <c r="N438" s="67">
        <f>ROUND(+L438*D438,4)</f>
        <v>0</v>
      </c>
      <c r="O438" s="67">
        <f>ROUND(IF(F438="rame",0,+I438*3%),4)</f>
        <v>0</v>
      </c>
      <c r="P438" s="67">
        <f>ROUND(IF(O438&lt;J438,O438,0),4)</f>
        <v>0</v>
      </c>
      <c r="Q438" s="67">
        <f>ROUND(IF(J438&gt;O438,0,J438),4)</f>
        <v>0</v>
      </c>
      <c r="R438" s="67">
        <f>ROUND(+P438*D438,4)</f>
        <v>0</v>
      </c>
      <c r="S438" s="67">
        <f>ROUND(IF(K438=0,0,M438*D438),4)</f>
        <v>0</v>
      </c>
      <c r="T438" s="67">
        <f>ROUND(+IF(K438=0,Q438*D438,0),4)</f>
        <v>0</v>
      </c>
      <c r="U438" s="67">
        <f>ROUND(+N438+R438+S438+T438,4)</f>
        <v>0</v>
      </c>
      <c r="V438" s="67">
        <f>ROUND(IF(P438=0,0,I438-H438-O438)+IF(L438=0,0,I438-H438-K438),4)</f>
        <v>0</v>
      </c>
      <c r="W438" s="67">
        <f>ROUND(+(V438*60%)*D438,4)</f>
        <v>0</v>
      </c>
      <c r="X438" s="148">
        <f>ROUND(+U438+W438,4)</f>
        <v>0</v>
      </c>
      <c r="Y438" s="68"/>
      <c r="Z438" s="148">
        <f>ROUND(IF(X438&gt;I438,X438,I438),4)</f>
        <v>0</v>
      </c>
    </row>
    <row r="439" spans="1:26" x14ac:dyDescent="0.2">
      <c r="A439" s="66"/>
      <c r="B439" s="66"/>
      <c r="C439" s="66"/>
      <c r="D439" s="144"/>
      <c r="E439" s="67"/>
      <c r="F439" s="67"/>
      <c r="G439" s="67"/>
      <c r="H439" s="67">
        <f>ROUND(+E439+G439,4)</f>
        <v>0</v>
      </c>
      <c r="I439" s="67"/>
      <c r="J439" s="67">
        <f>ROUND(+I439-H439,4)</f>
        <v>0</v>
      </c>
      <c r="K439" s="67">
        <f>ROUND(IF(F439="alluminio",0,I439*1.5%),4)</f>
        <v>0</v>
      </c>
      <c r="L439" s="67">
        <f>ROUND(IF(K439&lt;J439,K439,0),4)</f>
        <v>0</v>
      </c>
      <c r="M439" s="67">
        <f>ROUND(IF(J439&gt;K439,0,J439),4)</f>
        <v>0</v>
      </c>
      <c r="N439" s="67">
        <f>ROUND(+L439*D439,4)</f>
        <v>0</v>
      </c>
      <c r="O439" s="67">
        <f>ROUND(IF(F439="rame",0,+I439*3%),4)</f>
        <v>0</v>
      </c>
      <c r="P439" s="67">
        <f>ROUND(IF(O439&lt;J439,O439,0),4)</f>
        <v>0</v>
      </c>
      <c r="Q439" s="67">
        <f>ROUND(IF(J439&gt;O439,0,J439),4)</f>
        <v>0</v>
      </c>
      <c r="R439" s="67">
        <f>ROUND(+P439*D439,4)</f>
        <v>0</v>
      </c>
      <c r="S439" s="67">
        <f>ROUND(IF(K439=0,0,M439*D439),4)</f>
        <v>0</v>
      </c>
      <c r="T439" s="67">
        <f>ROUND(+IF(K439=0,Q439*D439,0),4)</f>
        <v>0</v>
      </c>
      <c r="U439" s="67">
        <f>ROUND(+N439+R439+S439+T439,4)</f>
        <v>0</v>
      </c>
      <c r="V439" s="67">
        <f>ROUND(IF(P439=0,0,I439-H439-O439)+IF(L439=0,0,I439-H439-K439),4)</f>
        <v>0</v>
      </c>
      <c r="W439" s="67">
        <f>ROUND(+(V439*60%)*D439,4)</f>
        <v>0</v>
      </c>
      <c r="X439" s="148">
        <f>ROUND(+U439+W439,4)</f>
        <v>0</v>
      </c>
      <c r="Y439" s="68"/>
      <c r="Z439" s="148">
        <f>ROUND(IF(X439&gt;I439,X439,I439),4)</f>
        <v>0</v>
      </c>
    </row>
    <row r="440" spans="1:26" x14ac:dyDescent="0.2">
      <c r="A440" s="66"/>
      <c r="B440" s="66"/>
      <c r="C440" s="66"/>
      <c r="D440" s="144"/>
      <c r="E440" s="67"/>
      <c r="F440" s="67"/>
      <c r="G440" s="67"/>
      <c r="H440" s="67">
        <f>ROUND(+E440+G440,4)</f>
        <v>0</v>
      </c>
      <c r="I440" s="67"/>
      <c r="J440" s="67">
        <f>ROUND(+I440-H440,4)</f>
        <v>0</v>
      </c>
      <c r="K440" s="67">
        <f>ROUND(IF(F440="alluminio",0,I440*1.5%),4)</f>
        <v>0</v>
      </c>
      <c r="L440" s="67">
        <f>ROUND(IF(K440&lt;J440,K440,0),4)</f>
        <v>0</v>
      </c>
      <c r="M440" s="67">
        <f>ROUND(IF(J440&gt;K440,0,J440),4)</f>
        <v>0</v>
      </c>
      <c r="N440" s="67">
        <f>ROUND(+L440*D440,4)</f>
        <v>0</v>
      </c>
      <c r="O440" s="67">
        <f>ROUND(IF(F440="rame",0,+I440*3%),4)</f>
        <v>0</v>
      </c>
      <c r="P440" s="67">
        <f>ROUND(IF(O440&lt;J440,O440,0),4)</f>
        <v>0</v>
      </c>
      <c r="Q440" s="67">
        <f>ROUND(IF(J440&gt;O440,0,J440),4)</f>
        <v>0</v>
      </c>
      <c r="R440" s="67">
        <f>ROUND(+P440*D440,4)</f>
        <v>0</v>
      </c>
      <c r="S440" s="67">
        <f>ROUND(IF(K440=0,0,M440*D440),4)</f>
        <v>0</v>
      </c>
      <c r="T440" s="67">
        <f>ROUND(+IF(K440=0,Q440*D440,0),4)</f>
        <v>0</v>
      </c>
      <c r="U440" s="67">
        <f>ROUND(+N440+R440+S440+T440,4)</f>
        <v>0</v>
      </c>
      <c r="V440" s="67">
        <f>ROUND(IF(P440=0,0,I440-H440-O440)+IF(L440=0,0,I440-H440-K440),4)</f>
        <v>0</v>
      </c>
      <c r="W440" s="67">
        <f>ROUND(+(V440*60%)*D440,4)</f>
        <v>0</v>
      </c>
      <c r="X440" s="148">
        <f>ROUND(+U440+W440,4)</f>
        <v>0</v>
      </c>
      <c r="Y440" s="68"/>
      <c r="Z440" s="148">
        <f>ROUND(IF(X440&gt;I440,X440,I440),4)</f>
        <v>0</v>
      </c>
    </row>
    <row r="441" spans="1:26" x14ac:dyDescent="0.2">
      <c r="A441" s="66"/>
      <c r="B441" s="66"/>
      <c r="C441" s="66"/>
      <c r="D441" s="144"/>
      <c r="E441" s="67"/>
      <c r="F441" s="67"/>
      <c r="G441" s="67"/>
      <c r="H441" s="67">
        <f>ROUND(+E441+G441,4)</f>
        <v>0</v>
      </c>
      <c r="I441" s="67"/>
      <c r="J441" s="67">
        <f>ROUND(+I441-H441,4)</f>
        <v>0</v>
      </c>
      <c r="K441" s="67">
        <f>ROUND(IF(F441="alluminio",0,I441*1.5%),4)</f>
        <v>0</v>
      </c>
      <c r="L441" s="67">
        <f>ROUND(IF(K441&lt;J441,K441,0),4)</f>
        <v>0</v>
      </c>
      <c r="M441" s="67">
        <f>ROUND(IF(J441&gt;K441,0,J441),4)</f>
        <v>0</v>
      </c>
      <c r="N441" s="67">
        <f>ROUND(+L441*D441,4)</f>
        <v>0</v>
      </c>
      <c r="O441" s="67">
        <f>ROUND(IF(F441="rame",0,+I441*3%),4)</f>
        <v>0</v>
      </c>
      <c r="P441" s="67">
        <f>ROUND(IF(O441&lt;J441,O441,0),4)</f>
        <v>0</v>
      </c>
      <c r="Q441" s="67">
        <f>ROUND(IF(J441&gt;O441,0,J441),4)</f>
        <v>0</v>
      </c>
      <c r="R441" s="67">
        <f>ROUND(+P441*D441,4)</f>
        <v>0</v>
      </c>
      <c r="S441" s="67">
        <f>ROUND(IF(K441=0,0,M441*D441),4)</f>
        <v>0</v>
      </c>
      <c r="T441" s="67">
        <f>ROUND(+IF(K441=0,Q441*D441,0),4)</f>
        <v>0</v>
      </c>
      <c r="U441" s="67">
        <f>ROUND(+N441+R441+S441+T441,4)</f>
        <v>0</v>
      </c>
      <c r="V441" s="67">
        <f>ROUND(IF(P441=0,0,I441-H441-O441)+IF(L441=0,0,I441-H441-K441),4)</f>
        <v>0</v>
      </c>
      <c r="W441" s="67">
        <f>ROUND(+(V441*60%)*D441,4)</f>
        <v>0</v>
      </c>
      <c r="X441" s="148">
        <f>ROUND(+U441+W441,4)</f>
        <v>0</v>
      </c>
      <c r="Y441" s="68"/>
      <c r="Z441" s="148">
        <f>ROUND(IF(X441&gt;I441,X441,I441),4)</f>
        <v>0</v>
      </c>
    </row>
    <row r="442" spans="1:26" x14ac:dyDescent="0.2">
      <c r="A442" s="66"/>
      <c r="B442" s="66"/>
      <c r="C442" s="66"/>
      <c r="D442" s="144"/>
      <c r="E442" s="67"/>
      <c r="F442" s="67"/>
      <c r="G442" s="67"/>
      <c r="H442" s="67">
        <f>ROUND(+E442+G442,4)</f>
        <v>0</v>
      </c>
      <c r="I442" s="67"/>
      <c r="J442" s="67">
        <f>ROUND(+I442-H442,4)</f>
        <v>0</v>
      </c>
      <c r="K442" s="67">
        <f>ROUND(IF(F442="alluminio",0,I442*1.5%),4)</f>
        <v>0</v>
      </c>
      <c r="L442" s="67">
        <f>ROUND(IF(K442&lt;J442,K442,0),4)</f>
        <v>0</v>
      </c>
      <c r="M442" s="67">
        <f>ROUND(IF(J442&gt;K442,0,J442),4)</f>
        <v>0</v>
      </c>
      <c r="N442" s="67">
        <f>ROUND(+L442*D442,4)</f>
        <v>0</v>
      </c>
      <c r="O442" s="67">
        <f>ROUND(IF(F442="rame",0,+I442*3%),4)</f>
        <v>0</v>
      </c>
      <c r="P442" s="67">
        <f>ROUND(IF(O442&lt;J442,O442,0),4)</f>
        <v>0</v>
      </c>
      <c r="Q442" s="67">
        <f>ROUND(IF(J442&gt;O442,0,J442),4)</f>
        <v>0</v>
      </c>
      <c r="R442" s="67">
        <f>ROUND(+P442*D442,4)</f>
        <v>0</v>
      </c>
      <c r="S442" s="67">
        <f>ROUND(IF(K442=0,0,M442*D442),4)</f>
        <v>0</v>
      </c>
      <c r="T442" s="67">
        <f>ROUND(+IF(K442=0,Q442*D442,0),4)</f>
        <v>0</v>
      </c>
      <c r="U442" s="67">
        <f>ROUND(+N442+R442+S442+T442,4)</f>
        <v>0</v>
      </c>
      <c r="V442" s="67">
        <f>ROUND(IF(P442=0,0,I442-H442-O442)+IF(L442=0,0,I442-H442-K442),4)</f>
        <v>0</v>
      </c>
      <c r="W442" s="67">
        <f>ROUND(+(V442*60%)*D442,4)</f>
        <v>0</v>
      </c>
      <c r="X442" s="148">
        <f>ROUND(+U442+W442,4)</f>
        <v>0</v>
      </c>
      <c r="Y442" s="68"/>
      <c r="Z442" s="148">
        <f>ROUND(IF(X442&gt;I442,X442,I442),4)</f>
        <v>0</v>
      </c>
    </row>
    <row r="443" spans="1:26" x14ac:dyDescent="0.2">
      <c r="A443" s="66"/>
      <c r="B443" s="66"/>
      <c r="C443" s="66"/>
      <c r="D443" s="144"/>
      <c r="E443" s="67"/>
      <c r="F443" s="67"/>
      <c r="G443" s="67"/>
      <c r="H443" s="67">
        <f>ROUND(+E443+G443,4)</f>
        <v>0</v>
      </c>
      <c r="I443" s="67"/>
      <c r="J443" s="67">
        <f>ROUND(+I443-H443,4)</f>
        <v>0</v>
      </c>
      <c r="K443" s="67">
        <f>ROUND(IF(F443="alluminio",0,I443*1.5%),4)</f>
        <v>0</v>
      </c>
      <c r="L443" s="67">
        <f>ROUND(IF(K443&lt;J443,K443,0),4)</f>
        <v>0</v>
      </c>
      <c r="M443" s="67">
        <f>ROUND(IF(J443&gt;K443,0,J443),4)</f>
        <v>0</v>
      </c>
      <c r="N443" s="67">
        <f>ROUND(+L443*D443,4)</f>
        <v>0</v>
      </c>
      <c r="O443" s="67">
        <f>ROUND(IF(F443="rame",0,+I443*3%),4)</f>
        <v>0</v>
      </c>
      <c r="P443" s="67">
        <f>ROUND(IF(O443&lt;J443,O443,0),4)</f>
        <v>0</v>
      </c>
      <c r="Q443" s="67">
        <f>ROUND(IF(J443&gt;O443,0,J443),4)</f>
        <v>0</v>
      </c>
      <c r="R443" s="67">
        <f>ROUND(+P443*D443,4)</f>
        <v>0</v>
      </c>
      <c r="S443" s="67">
        <f>ROUND(IF(K443=0,0,M443*D443),4)</f>
        <v>0</v>
      </c>
      <c r="T443" s="67">
        <f>ROUND(+IF(K443=0,Q443*D443,0),4)</f>
        <v>0</v>
      </c>
      <c r="U443" s="67">
        <f>ROUND(+N443+R443+S443+T443,4)</f>
        <v>0</v>
      </c>
      <c r="V443" s="67">
        <f>ROUND(IF(P443=0,0,I443-H443-O443)+IF(L443=0,0,I443-H443-K443),4)</f>
        <v>0</v>
      </c>
      <c r="W443" s="67">
        <f>ROUND(+(V443*60%)*D443,4)</f>
        <v>0</v>
      </c>
      <c r="X443" s="148">
        <f>ROUND(+U443+W443,4)</f>
        <v>0</v>
      </c>
      <c r="Y443" s="68"/>
      <c r="Z443" s="148">
        <f>ROUND(IF(X443&gt;I443,X443,I443),4)</f>
        <v>0</v>
      </c>
    </row>
    <row r="444" spans="1:26" x14ac:dyDescent="0.2">
      <c r="A444" s="66"/>
      <c r="B444" s="66"/>
      <c r="C444" s="66"/>
      <c r="D444" s="144"/>
      <c r="E444" s="67"/>
      <c r="F444" s="67"/>
      <c r="G444" s="67"/>
      <c r="H444" s="67">
        <f>ROUND(+E444+G444,4)</f>
        <v>0</v>
      </c>
      <c r="I444" s="67"/>
      <c r="J444" s="67">
        <f>ROUND(+I444-H444,4)</f>
        <v>0</v>
      </c>
      <c r="K444" s="67">
        <f>ROUND(IF(F444="alluminio",0,I444*1.5%),4)</f>
        <v>0</v>
      </c>
      <c r="L444" s="67">
        <f>ROUND(IF(K444&lt;J444,K444,0),4)</f>
        <v>0</v>
      </c>
      <c r="M444" s="67">
        <f>ROUND(IF(J444&gt;K444,0,J444),4)</f>
        <v>0</v>
      </c>
      <c r="N444" s="67">
        <f>ROUND(+L444*D444,4)</f>
        <v>0</v>
      </c>
      <c r="O444" s="67">
        <f>ROUND(IF(F444="rame",0,+I444*3%),4)</f>
        <v>0</v>
      </c>
      <c r="P444" s="67">
        <f>ROUND(IF(O444&lt;J444,O444,0),4)</f>
        <v>0</v>
      </c>
      <c r="Q444" s="67">
        <f>ROUND(IF(J444&gt;O444,0,J444),4)</f>
        <v>0</v>
      </c>
      <c r="R444" s="67">
        <f>ROUND(+P444*D444,4)</f>
        <v>0</v>
      </c>
      <c r="S444" s="67">
        <f>ROUND(IF(K444=0,0,M444*D444),4)</f>
        <v>0</v>
      </c>
      <c r="T444" s="67">
        <f>ROUND(+IF(K444=0,Q444*D444,0),4)</f>
        <v>0</v>
      </c>
      <c r="U444" s="67">
        <f>ROUND(+N444+R444+S444+T444,4)</f>
        <v>0</v>
      </c>
      <c r="V444" s="67">
        <f>ROUND(IF(P444=0,0,I444-H444-O444)+IF(L444=0,0,I444-H444-K444),4)</f>
        <v>0</v>
      </c>
      <c r="W444" s="67">
        <f>ROUND(+(V444*60%)*D444,4)</f>
        <v>0</v>
      </c>
      <c r="X444" s="148">
        <f>ROUND(+U444+W444,4)</f>
        <v>0</v>
      </c>
      <c r="Y444" s="68"/>
      <c r="Z444" s="148">
        <f>ROUND(IF(X444&gt;I444,X444,I444),4)</f>
        <v>0</v>
      </c>
    </row>
    <row r="445" spans="1:26" x14ac:dyDescent="0.2">
      <c r="A445" s="66"/>
      <c r="B445" s="66"/>
      <c r="C445" s="66"/>
      <c r="D445" s="144"/>
      <c r="E445" s="67"/>
      <c r="F445" s="67"/>
      <c r="G445" s="67"/>
      <c r="H445" s="67">
        <f>ROUND(+E445+G445,4)</f>
        <v>0</v>
      </c>
      <c r="I445" s="67"/>
      <c r="J445" s="67">
        <f>ROUND(+I445-H445,4)</f>
        <v>0</v>
      </c>
      <c r="K445" s="67">
        <f>ROUND(IF(F445="alluminio",0,I445*1.5%),4)</f>
        <v>0</v>
      </c>
      <c r="L445" s="67">
        <f>ROUND(IF(K445&lt;J445,K445,0),4)</f>
        <v>0</v>
      </c>
      <c r="M445" s="67">
        <f>ROUND(IF(J445&gt;K445,0,J445),4)</f>
        <v>0</v>
      </c>
      <c r="N445" s="67">
        <f>ROUND(+L445*D445,4)</f>
        <v>0</v>
      </c>
      <c r="O445" s="67">
        <f>ROUND(IF(F445="rame",0,+I445*3%),4)</f>
        <v>0</v>
      </c>
      <c r="P445" s="67">
        <f>ROUND(IF(O445&lt;J445,O445,0),4)</f>
        <v>0</v>
      </c>
      <c r="Q445" s="67">
        <f>ROUND(IF(J445&gt;O445,0,J445),4)</f>
        <v>0</v>
      </c>
      <c r="R445" s="67">
        <f>ROUND(+P445*D445,4)</f>
        <v>0</v>
      </c>
      <c r="S445" s="67">
        <f>ROUND(IF(K445=0,0,M445*D445),4)</f>
        <v>0</v>
      </c>
      <c r="T445" s="67">
        <f>ROUND(+IF(K445=0,Q445*D445,0),4)</f>
        <v>0</v>
      </c>
      <c r="U445" s="67">
        <f>ROUND(+N445+R445+S445+T445,4)</f>
        <v>0</v>
      </c>
      <c r="V445" s="67">
        <f>ROUND(IF(P445=0,0,I445-H445-O445)+IF(L445=0,0,I445-H445-K445),4)</f>
        <v>0</v>
      </c>
      <c r="W445" s="67">
        <f>ROUND(+(V445*60%)*D445,4)</f>
        <v>0</v>
      </c>
      <c r="X445" s="148">
        <f>ROUND(+U445+W445,4)</f>
        <v>0</v>
      </c>
      <c r="Y445" s="68"/>
      <c r="Z445" s="148">
        <f>ROUND(IF(X445&gt;I445,X445,I445),4)</f>
        <v>0</v>
      </c>
    </row>
    <row r="446" spans="1:26" x14ac:dyDescent="0.2">
      <c r="A446" s="66"/>
      <c r="B446" s="66"/>
      <c r="C446" s="66"/>
      <c r="D446" s="144"/>
      <c r="E446" s="67"/>
      <c r="F446" s="67"/>
      <c r="G446" s="67"/>
      <c r="H446" s="67">
        <f>ROUND(+E446+G446,4)</f>
        <v>0</v>
      </c>
      <c r="I446" s="67"/>
      <c r="J446" s="67">
        <f>ROUND(+I446-H446,4)</f>
        <v>0</v>
      </c>
      <c r="K446" s="67">
        <f>ROUND(IF(F446="alluminio",0,I446*1.5%),4)</f>
        <v>0</v>
      </c>
      <c r="L446" s="67">
        <f>ROUND(IF(K446&lt;J446,K446,0),4)</f>
        <v>0</v>
      </c>
      <c r="M446" s="67">
        <f>ROUND(IF(J446&gt;K446,0,J446),4)</f>
        <v>0</v>
      </c>
      <c r="N446" s="67">
        <f>ROUND(+L446*D446,4)</f>
        <v>0</v>
      </c>
      <c r="O446" s="67">
        <f>ROUND(IF(F446="rame",0,+I446*3%),4)</f>
        <v>0</v>
      </c>
      <c r="P446" s="67">
        <f>ROUND(IF(O446&lt;J446,O446,0),4)</f>
        <v>0</v>
      </c>
      <c r="Q446" s="67">
        <f>ROUND(IF(J446&gt;O446,0,J446),4)</f>
        <v>0</v>
      </c>
      <c r="R446" s="67">
        <f>ROUND(+P446*D446,4)</f>
        <v>0</v>
      </c>
      <c r="S446" s="67">
        <f>ROUND(IF(K446=0,0,M446*D446),4)</f>
        <v>0</v>
      </c>
      <c r="T446" s="67">
        <f>ROUND(+IF(K446=0,Q446*D446,0),4)</f>
        <v>0</v>
      </c>
      <c r="U446" s="67">
        <f>ROUND(+N446+R446+S446+T446,4)</f>
        <v>0</v>
      </c>
      <c r="V446" s="67">
        <f>ROUND(IF(P446=0,0,I446-H446-O446)+IF(L446=0,0,I446-H446-K446),4)</f>
        <v>0</v>
      </c>
      <c r="W446" s="67">
        <f>ROUND(+(V446*60%)*D446,4)</f>
        <v>0</v>
      </c>
      <c r="X446" s="148">
        <f>ROUND(+U446+W446,4)</f>
        <v>0</v>
      </c>
      <c r="Y446" s="68"/>
      <c r="Z446" s="148">
        <f>ROUND(IF(X446&gt;I446,X446,I446),4)</f>
        <v>0</v>
      </c>
    </row>
    <row r="447" spans="1:26" x14ac:dyDescent="0.2">
      <c r="A447" s="66"/>
      <c r="B447" s="66"/>
      <c r="C447" s="66"/>
      <c r="D447" s="144"/>
      <c r="E447" s="67"/>
      <c r="F447" s="67"/>
      <c r="G447" s="67"/>
      <c r="H447" s="67">
        <f>ROUND(+E447+G447,4)</f>
        <v>0</v>
      </c>
      <c r="I447" s="67"/>
      <c r="J447" s="67">
        <f>ROUND(+I447-H447,4)</f>
        <v>0</v>
      </c>
      <c r="K447" s="67">
        <f>ROUND(IF(F447="alluminio",0,I447*1.5%),4)</f>
        <v>0</v>
      </c>
      <c r="L447" s="67">
        <f>ROUND(IF(K447&lt;J447,K447,0),4)</f>
        <v>0</v>
      </c>
      <c r="M447" s="67">
        <f>ROUND(IF(J447&gt;K447,0,J447),4)</f>
        <v>0</v>
      </c>
      <c r="N447" s="67">
        <f>ROUND(+L447*D447,4)</f>
        <v>0</v>
      </c>
      <c r="O447" s="67">
        <f>ROUND(IF(F447="rame",0,+I447*3%),4)</f>
        <v>0</v>
      </c>
      <c r="P447" s="67">
        <f>ROUND(IF(O447&lt;J447,O447,0),4)</f>
        <v>0</v>
      </c>
      <c r="Q447" s="67">
        <f>ROUND(IF(J447&gt;O447,0,J447),4)</f>
        <v>0</v>
      </c>
      <c r="R447" s="67">
        <f>ROUND(+P447*D447,4)</f>
        <v>0</v>
      </c>
      <c r="S447" s="67">
        <f>ROUND(IF(K447=0,0,M447*D447),4)</f>
        <v>0</v>
      </c>
      <c r="T447" s="67">
        <f>ROUND(+IF(K447=0,Q447*D447,0),4)</f>
        <v>0</v>
      </c>
      <c r="U447" s="67">
        <f>ROUND(+N447+R447+S447+T447,4)</f>
        <v>0</v>
      </c>
      <c r="V447" s="67">
        <f>ROUND(IF(P447=0,0,I447-H447-O447)+IF(L447=0,0,I447-H447-K447),4)</f>
        <v>0</v>
      </c>
      <c r="W447" s="67">
        <f>ROUND(+(V447*60%)*D447,4)</f>
        <v>0</v>
      </c>
      <c r="X447" s="148">
        <f>ROUND(+U447+W447,4)</f>
        <v>0</v>
      </c>
      <c r="Y447" s="68"/>
      <c r="Z447" s="148">
        <f>ROUND(IF(X447&gt;I447,X447,I447),4)</f>
        <v>0</v>
      </c>
    </row>
    <row r="448" spans="1:26" x14ac:dyDescent="0.2">
      <c r="A448" s="66"/>
      <c r="B448" s="66"/>
      <c r="C448" s="66"/>
      <c r="D448" s="144"/>
      <c r="E448" s="67"/>
      <c r="F448" s="67"/>
      <c r="G448" s="67"/>
      <c r="H448" s="67">
        <f>ROUND(+E448+G448,4)</f>
        <v>0</v>
      </c>
      <c r="I448" s="67"/>
      <c r="J448" s="67">
        <f>ROUND(+I448-H448,4)</f>
        <v>0</v>
      </c>
      <c r="K448" s="67">
        <f>ROUND(IF(F448="alluminio",0,I448*1.5%),4)</f>
        <v>0</v>
      </c>
      <c r="L448" s="67">
        <f>ROUND(IF(K448&lt;J448,K448,0),4)</f>
        <v>0</v>
      </c>
      <c r="M448" s="67">
        <f>ROUND(IF(J448&gt;K448,0,J448),4)</f>
        <v>0</v>
      </c>
      <c r="N448" s="67">
        <f>ROUND(+L448*D448,4)</f>
        <v>0</v>
      </c>
      <c r="O448" s="67">
        <f>ROUND(IF(F448="rame",0,+I448*3%),4)</f>
        <v>0</v>
      </c>
      <c r="P448" s="67">
        <f>ROUND(IF(O448&lt;J448,O448,0),4)</f>
        <v>0</v>
      </c>
      <c r="Q448" s="67">
        <f>ROUND(IF(J448&gt;O448,0,J448),4)</f>
        <v>0</v>
      </c>
      <c r="R448" s="67">
        <f>ROUND(+P448*D448,4)</f>
        <v>0</v>
      </c>
      <c r="S448" s="67">
        <f>ROUND(IF(K448=0,0,M448*D448),4)</f>
        <v>0</v>
      </c>
      <c r="T448" s="67">
        <f>ROUND(+IF(K448=0,Q448*D448,0),4)</f>
        <v>0</v>
      </c>
      <c r="U448" s="67">
        <f>ROUND(+N448+R448+S448+T448,4)</f>
        <v>0</v>
      </c>
      <c r="V448" s="67">
        <f>ROUND(IF(P448=0,0,I448-H448-O448)+IF(L448=0,0,I448-H448-K448),4)</f>
        <v>0</v>
      </c>
      <c r="W448" s="67">
        <f>ROUND(+(V448*60%)*D448,4)</f>
        <v>0</v>
      </c>
      <c r="X448" s="148">
        <f>ROUND(+U448+W448,4)</f>
        <v>0</v>
      </c>
      <c r="Y448" s="68"/>
      <c r="Z448" s="148">
        <f>ROUND(IF(X448&gt;I448,X448,I448),4)</f>
        <v>0</v>
      </c>
    </row>
    <row r="449" spans="1:26" x14ac:dyDescent="0.2">
      <c r="A449" s="66"/>
      <c r="B449" s="66"/>
      <c r="C449" s="66"/>
      <c r="D449" s="144"/>
      <c r="E449" s="67"/>
      <c r="F449" s="67"/>
      <c r="G449" s="67"/>
      <c r="H449" s="67">
        <f>ROUND(+E449+G449,4)</f>
        <v>0</v>
      </c>
      <c r="I449" s="67"/>
      <c r="J449" s="67">
        <f>ROUND(+I449-H449,4)</f>
        <v>0</v>
      </c>
      <c r="K449" s="67">
        <f>ROUND(IF(F449="alluminio",0,I449*1.5%),4)</f>
        <v>0</v>
      </c>
      <c r="L449" s="67">
        <f>ROUND(IF(K449&lt;J449,K449,0),4)</f>
        <v>0</v>
      </c>
      <c r="M449" s="67">
        <f>ROUND(IF(J449&gt;K449,0,J449),4)</f>
        <v>0</v>
      </c>
      <c r="N449" s="67">
        <f>ROUND(+L449*D449,4)</f>
        <v>0</v>
      </c>
      <c r="O449" s="67">
        <f>ROUND(IF(F449="rame",0,+I449*3%),4)</f>
        <v>0</v>
      </c>
      <c r="P449" s="67">
        <f>ROUND(IF(O449&lt;J449,O449,0),4)</f>
        <v>0</v>
      </c>
      <c r="Q449" s="67">
        <f>ROUND(IF(J449&gt;O449,0,J449),4)</f>
        <v>0</v>
      </c>
      <c r="R449" s="67">
        <f>ROUND(+P449*D449,4)</f>
        <v>0</v>
      </c>
      <c r="S449" s="67">
        <f>ROUND(IF(K449=0,0,M449*D449),4)</f>
        <v>0</v>
      </c>
      <c r="T449" s="67">
        <f>ROUND(+IF(K449=0,Q449*D449,0),4)</f>
        <v>0</v>
      </c>
      <c r="U449" s="67">
        <f>ROUND(+N449+R449+S449+T449,4)</f>
        <v>0</v>
      </c>
      <c r="V449" s="67">
        <f>ROUND(IF(P449=0,0,I449-H449-O449)+IF(L449=0,0,I449-H449-K449),4)</f>
        <v>0</v>
      </c>
      <c r="W449" s="67">
        <f>ROUND(+(V449*60%)*D449,4)</f>
        <v>0</v>
      </c>
      <c r="X449" s="148">
        <f>ROUND(+U449+W449,4)</f>
        <v>0</v>
      </c>
      <c r="Y449" s="68"/>
      <c r="Z449" s="148">
        <f>ROUND(IF(X449&gt;I449,X449,I449),4)</f>
        <v>0</v>
      </c>
    </row>
    <row r="450" spans="1:26" x14ac:dyDescent="0.2">
      <c r="A450" s="66"/>
      <c r="B450" s="66"/>
      <c r="C450" s="66"/>
      <c r="D450" s="144"/>
      <c r="E450" s="67"/>
      <c r="F450" s="67"/>
      <c r="G450" s="67"/>
      <c r="H450" s="67">
        <f>ROUND(+E450+G450,4)</f>
        <v>0</v>
      </c>
      <c r="I450" s="67"/>
      <c r="J450" s="67">
        <f>ROUND(+I450-H450,4)</f>
        <v>0</v>
      </c>
      <c r="K450" s="67">
        <f>ROUND(IF(F450="alluminio",0,I450*1.5%),4)</f>
        <v>0</v>
      </c>
      <c r="L450" s="67">
        <f>ROUND(IF(K450&lt;J450,K450,0),4)</f>
        <v>0</v>
      </c>
      <c r="M450" s="67">
        <f>ROUND(IF(J450&gt;K450,0,J450),4)</f>
        <v>0</v>
      </c>
      <c r="N450" s="67">
        <f>ROUND(+L450*D450,4)</f>
        <v>0</v>
      </c>
      <c r="O450" s="67">
        <f>ROUND(IF(F450="rame",0,+I450*3%),4)</f>
        <v>0</v>
      </c>
      <c r="P450" s="67">
        <f>ROUND(IF(O450&lt;J450,O450,0),4)</f>
        <v>0</v>
      </c>
      <c r="Q450" s="67">
        <f>ROUND(IF(J450&gt;O450,0,J450),4)</f>
        <v>0</v>
      </c>
      <c r="R450" s="67">
        <f>ROUND(+P450*D450,4)</f>
        <v>0</v>
      </c>
      <c r="S450" s="67">
        <f>ROUND(IF(K450=0,0,M450*D450),4)</f>
        <v>0</v>
      </c>
      <c r="T450" s="67">
        <f>ROUND(+IF(K450=0,Q450*D450,0),4)</f>
        <v>0</v>
      </c>
      <c r="U450" s="67">
        <f>ROUND(+N450+R450+S450+T450,4)</f>
        <v>0</v>
      </c>
      <c r="V450" s="67">
        <f>ROUND(IF(P450=0,0,I450-H450-O450)+IF(L450=0,0,I450-H450-K450),4)</f>
        <v>0</v>
      </c>
      <c r="W450" s="67">
        <f>ROUND(+(V450*60%)*D450,4)</f>
        <v>0</v>
      </c>
      <c r="X450" s="148">
        <f>ROUND(+U450+W450,4)</f>
        <v>0</v>
      </c>
      <c r="Y450" s="68"/>
      <c r="Z450" s="148">
        <f>ROUND(IF(X450&gt;I450,X450,I450),4)</f>
        <v>0</v>
      </c>
    </row>
    <row r="451" spans="1:26" x14ac:dyDescent="0.2">
      <c r="A451" s="66"/>
      <c r="B451" s="66"/>
      <c r="C451" s="66"/>
      <c r="D451" s="144"/>
      <c r="E451" s="67"/>
      <c r="F451" s="67"/>
      <c r="G451" s="67"/>
      <c r="H451" s="67">
        <f>ROUND(+E451+G451,4)</f>
        <v>0</v>
      </c>
      <c r="I451" s="67"/>
      <c r="J451" s="67">
        <f>ROUND(+I451-H451,4)</f>
        <v>0</v>
      </c>
      <c r="K451" s="67">
        <f>ROUND(IF(F451="alluminio",0,I451*1.5%),4)</f>
        <v>0</v>
      </c>
      <c r="L451" s="67">
        <f>ROUND(IF(K451&lt;J451,K451,0),4)</f>
        <v>0</v>
      </c>
      <c r="M451" s="67">
        <f>ROUND(IF(J451&gt;K451,0,J451),4)</f>
        <v>0</v>
      </c>
      <c r="N451" s="67">
        <f>ROUND(+L451*D451,4)</f>
        <v>0</v>
      </c>
      <c r="O451" s="67">
        <f>ROUND(IF(F451="rame",0,+I451*3%),4)</f>
        <v>0</v>
      </c>
      <c r="P451" s="67">
        <f>ROUND(IF(O451&lt;J451,O451,0),4)</f>
        <v>0</v>
      </c>
      <c r="Q451" s="67">
        <f>ROUND(IF(J451&gt;O451,0,J451),4)</f>
        <v>0</v>
      </c>
      <c r="R451" s="67">
        <f>ROUND(+P451*D451,4)</f>
        <v>0</v>
      </c>
      <c r="S451" s="67">
        <f>ROUND(IF(K451=0,0,M451*D451),4)</f>
        <v>0</v>
      </c>
      <c r="T451" s="67">
        <f>ROUND(+IF(K451=0,Q451*D451,0),4)</f>
        <v>0</v>
      </c>
      <c r="U451" s="67">
        <f>ROUND(+N451+R451+S451+T451,4)</f>
        <v>0</v>
      </c>
      <c r="V451" s="67">
        <f>ROUND(IF(P451=0,0,I451-H451-O451)+IF(L451=0,0,I451-H451-K451),4)</f>
        <v>0</v>
      </c>
      <c r="W451" s="67">
        <f>ROUND(+(V451*60%)*D451,4)</f>
        <v>0</v>
      </c>
      <c r="X451" s="148">
        <f>ROUND(+U451+W451,4)</f>
        <v>0</v>
      </c>
      <c r="Y451" s="68"/>
      <c r="Z451" s="148">
        <f>ROUND(IF(X451&gt;I451,X451,I451),4)</f>
        <v>0</v>
      </c>
    </row>
    <row r="452" spans="1:26" x14ac:dyDescent="0.2">
      <c r="A452" s="66"/>
      <c r="B452" s="66"/>
      <c r="C452" s="66"/>
      <c r="D452" s="144"/>
      <c r="E452" s="67"/>
      <c r="F452" s="67"/>
      <c r="G452" s="67"/>
      <c r="H452" s="67">
        <f>ROUND(+E452+G452,4)</f>
        <v>0</v>
      </c>
      <c r="I452" s="67"/>
      <c r="J452" s="67">
        <f>ROUND(+I452-H452,4)</f>
        <v>0</v>
      </c>
      <c r="K452" s="67">
        <f>ROUND(IF(F452="alluminio",0,I452*1.5%),4)</f>
        <v>0</v>
      </c>
      <c r="L452" s="67">
        <f>ROUND(IF(K452&lt;J452,K452,0),4)</f>
        <v>0</v>
      </c>
      <c r="M452" s="67">
        <f>ROUND(IF(J452&gt;K452,0,J452),4)</f>
        <v>0</v>
      </c>
      <c r="N452" s="67">
        <f>ROUND(+L452*D452,4)</f>
        <v>0</v>
      </c>
      <c r="O452" s="67">
        <f>ROUND(IF(F452="rame",0,+I452*3%),4)</f>
        <v>0</v>
      </c>
      <c r="P452" s="67">
        <f>ROUND(IF(O452&lt;J452,O452,0),4)</f>
        <v>0</v>
      </c>
      <c r="Q452" s="67">
        <f>ROUND(IF(J452&gt;O452,0,J452),4)</f>
        <v>0</v>
      </c>
      <c r="R452" s="67">
        <f>ROUND(+P452*D452,4)</f>
        <v>0</v>
      </c>
      <c r="S452" s="67">
        <f>ROUND(IF(K452=0,0,M452*D452),4)</f>
        <v>0</v>
      </c>
      <c r="T452" s="67">
        <f>ROUND(+IF(K452=0,Q452*D452,0),4)</f>
        <v>0</v>
      </c>
      <c r="U452" s="67">
        <f>ROUND(+N452+R452+S452+T452,4)</f>
        <v>0</v>
      </c>
      <c r="V452" s="67">
        <f>ROUND(IF(P452=0,0,I452-H452-O452)+IF(L452=0,0,I452-H452-K452),4)</f>
        <v>0</v>
      </c>
      <c r="W452" s="67">
        <f>ROUND(+(V452*60%)*D452,4)</f>
        <v>0</v>
      </c>
      <c r="X452" s="148">
        <f>ROUND(+U452+W452,4)</f>
        <v>0</v>
      </c>
      <c r="Y452" s="68"/>
      <c r="Z452" s="148">
        <f>ROUND(IF(X452&gt;I452,X452,I452),4)</f>
        <v>0</v>
      </c>
    </row>
    <row r="453" spans="1:26" x14ac:dyDescent="0.2">
      <c r="A453" s="66"/>
      <c r="B453" s="66"/>
      <c r="C453" s="66"/>
      <c r="D453" s="144"/>
      <c r="E453" s="67"/>
      <c r="F453" s="67"/>
      <c r="G453" s="67"/>
      <c r="H453" s="67">
        <f>ROUND(+E453+G453,4)</f>
        <v>0</v>
      </c>
      <c r="I453" s="67"/>
      <c r="J453" s="67">
        <f>ROUND(+I453-H453,4)</f>
        <v>0</v>
      </c>
      <c r="K453" s="67">
        <f>ROUND(IF(F453="alluminio",0,I453*1.5%),4)</f>
        <v>0</v>
      </c>
      <c r="L453" s="67">
        <f>ROUND(IF(K453&lt;J453,K453,0),4)</f>
        <v>0</v>
      </c>
      <c r="M453" s="67">
        <f>ROUND(IF(J453&gt;K453,0,J453),4)</f>
        <v>0</v>
      </c>
      <c r="N453" s="67">
        <f>ROUND(+L453*D453,4)</f>
        <v>0</v>
      </c>
      <c r="O453" s="67">
        <f>ROUND(IF(F453="rame",0,+I453*3%),4)</f>
        <v>0</v>
      </c>
      <c r="P453" s="67">
        <f>ROUND(IF(O453&lt;J453,O453,0),4)</f>
        <v>0</v>
      </c>
      <c r="Q453" s="67">
        <f>ROUND(IF(J453&gt;O453,0,J453),4)</f>
        <v>0</v>
      </c>
      <c r="R453" s="67">
        <f>ROUND(+P453*D453,4)</f>
        <v>0</v>
      </c>
      <c r="S453" s="67">
        <f>ROUND(IF(K453=0,0,M453*D453),4)</f>
        <v>0</v>
      </c>
      <c r="T453" s="67">
        <f>ROUND(+IF(K453=0,Q453*D453,0),4)</f>
        <v>0</v>
      </c>
      <c r="U453" s="67">
        <f>ROUND(+N453+R453+S453+T453,4)</f>
        <v>0</v>
      </c>
      <c r="V453" s="67">
        <f>ROUND(IF(P453=0,0,I453-H453-O453)+IF(L453=0,0,I453-H453-K453),4)</f>
        <v>0</v>
      </c>
      <c r="W453" s="67">
        <f>ROUND(+(V453*60%)*D453,4)</f>
        <v>0</v>
      </c>
      <c r="X453" s="148">
        <f>ROUND(+U453+W453,4)</f>
        <v>0</v>
      </c>
      <c r="Y453" s="68"/>
      <c r="Z453" s="148">
        <f>ROUND(IF(X453&gt;I453,X453,I453),4)</f>
        <v>0</v>
      </c>
    </row>
    <row r="454" spans="1:26" x14ac:dyDescent="0.2">
      <c r="A454" s="66"/>
      <c r="B454" s="66"/>
      <c r="C454" s="66"/>
      <c r="D454" s="144"/>
      <c r="E454" s="67"/>
      <c r="F454" s="67"/>
      <c r="G454" s="67"/>
      <c r="H454" s="67">
        <f>ROUND(+E454+G454,4)</f>
        <v>0</v>
      </c>
      <c r="I454" s="67"/>
      <c r="J454" s="67">
        <f>ROUND(+I454-H454,4)</f>
        <v>0</v>
      </c>
      <c r="K454" s="67">
        <f>ROUND(IF(F454="alluminio",0,I454*1.5%),4)</f>
        <v>0</v>
      </c>
      <c r="L454" s="67">
        <f>ROUND(IF(K454&lt;J454,K454,0),4)</f>
        <v>0</v>
      </c>
      <c r="M454" s="67">
        <f>ROUND(IF(J454&gt;K454,0,J454),4)</f>
        <v>0</v>
      </c>
      <c r="N454" s="67">
        <f>ROUND(+L454*D454,4)</f>
        <v>0</v>
      </c>
      <c r="O454" s="67">
        <f>ROUND(IF(F454="rame",0,+I454*3%),4)</f>
        <v>0</v>
      </c>
      <c r="P454" s="67">
        <f>ROUND(IF(O454&lt;J454,O454,0),4)</f>
        <v>0</v>
      </c>
      <c r="Q454" s="67">
        <f>ROUND(IF(J454&gt;O454,0,J454),4)</f>
        <v>0</v>
      </c>
      <c r="R454" s="67">
        <f>ROUND(+P454*D454,4)</f>
        <v>0</v>
      </c>
      <c r="S454" s="67">
        <f>ROUND(IF(K454=0,0,M454*D454),4)</f>
        <v>0</v>
      </c>
      <c r="T454" s="67">
        <f>ROUND(+IF(K454=0,Q454*D454,0),4)</f>
        <v>0</v>
      </c>
      <c r="U454" s="67">
        <f>ROUND(+N454+R454+S454+T454,4)</f>
        <v>0</v>
      </c>
      <c r="V454" s="67">
        <f>ROUND(IF(P454=0,0,I454-H454-O454)+IF(L454=0,0,I454-H454-K454),4)</f>
        <v>0</v>
      </c>
      <c r="W454" s="67">
        <f>ROUND(+(V454*60%)*D454,4)</f>
        <v>0</v>
      </c>
      <c r="X454" s="148">
        <f>ROUND(+U454+W454,4)</f>
        <v>0</v>
      </c>
      <c r="Y454" s="68"/>
      <c r="Z454" s="148">
        <f>ROUND(IF(X454&gt;I454,X454,I454),4)</f>
        <v>0</v>
      </c>
    </row>
    <row r="455" spans="1:26" x14ac:dyDescent="0.2">
      <c r="A455" s="66"/>
      <c r="B455" s="66"/>
      <c r="C455" s="66"/>
      <c r="D455" s="144"/>
      <c r="E455" s="67"/>
      <c r="F455" s="67"/>
      <c r="G455" s="67"/>
      <c r="H455" s="67">
        <f>ROUND(+E455+G455,4)</f>
        <v>0</v>
      </c>
      <c r="I455" s="67"/>
      <c r="J455" s="67">
        <f>ROUND(+I455-H455,4)</f>
        <v>0</v>
      </c>
      <c r="K455" s="67">
        <f>ROUND(IF(F455="alluminio",0,I455*1.5%),4)</f>
        <v>0</v>
      </c>
      <c r="L455" s="67">
        <f>ROUND(IF(K455&lt;J455,K455,0),4)</f>
        <v>0</v>
      </c>
      <c r="M455" s="67">
        <f>ROUND(IF(J455&gt;K455,0,J455),4)</f>
        <v>0</v>
      </c>
      <c r="N455" s="67">
        <f>ROUND(+L455*D455,4)</f>
        <v>0</v>
      </c>
      <c r="O455" s="67">
        <f>ROUND(IF(F455="rame",0,+I455*3%),4)</f>
        <v>0</v>
      </c>
      <c r="P455" s="67">
        <f>ROUND(IF(O455&lt;J455,O455,0),4)</f>
        <v>0</v>
      </c>
      <c r="Q455" s="67">
        <f>ROUND(IF(J455&gt;O455,0,J455),4)</f>
        <v>0</v>
      </c>
      <c r="R455" s="67">
        <f>ROUND(+P455*D455,4)</f>
        <v>0</v>
      </c>
      <c r="S455" s="67">
        <f>ROUND(IF(K455=0,0,M455*D455),4)</f>
        <v>0</v>
      </c>
      <c r="T455" s="67">
        <f>ROUND(+IF(K455=0,Q455*D455,0),4)</f>
        <v>0</v>
      </c>
      <c r="U455" s="67">
        <f>ROUND(+N455+R455+S455+T455,4)</f>
        <v>0</v>
      </c>
      <c r="V455" s="67">
        <f>ROUND(IF(P455=0,0,I455-H455-O455)+IF(L455=0,0,I455-H455-K455),4)</f>
        <v>0</v>
      </c>
      <c r="W455" s="67">
        <f>ROUND(+(V455*60%)*D455,4)</f>
        <v>0</v>
      </c>
      <c r="X455" s="148">
        <f>ROUND(+U455+W455,4)</f>
        <v>0</v>
      </c>
      <c r="Y455" s="68"/>
      <c r="Z455" s="148">
        <f>ROUND(IF(X455&gt;I455,X455,I455),4)</f>
        <v>0</v>
      </c>
    </row>
    <row r="456" spans="1:26" x14ac:dyDescent="0.2">
      <c r="A456" s="66"/>
      <c r="B456" s="66"/>
      <c r="C456" s="66"/>
      <c r="D456" s="144"/>
      <c r="E456" s="67"/>
      <c r="F456" s="67"/>
      <c r="G456" s="67"/>
      <c r="H456" s="67">
        <f>ROUND(+E456+G456,4)</f>
        <v>0</v>
      </c>
      <c r="I456" s="67"/>
      <c r="J456" s="67">
        <f>ROUND(+I456-H456,4)</f>
        <v>0</v>
      </c>
      <c r="K456" s="67">
        <f>ROUND(IF(F456="alluminio",0,I456*1.5%),4)</f>
        <v>0</v>
      </c>
      <c r="L456" s="67">
        <f>ROUND(IF(K456&lt;J456,K456,0),4)</f>
        <v>0</v>
      </c>
      <c r="M456" s="67">
        <f>ROUND(IF(J456&gt;K456,0,J456),4)</f>
        <v>0</v>
      </c>
      <c r="N456" s="67">
        <f>ROUND(+L456*D456,4)</f>
        <v>0</v>
      </c>
      <c r="O456" s="67">
        <f>ROUND(IF(F456="rame",0,+I456*3%),4)</f>
        <v>0</v>
      </c>
      <c r="P456" s="67">
        <f>ROUND(IF(O456&lt;J456,O456,0),4)</f>
        <v>0</v>
      </c>
      <c r="Q456" s="67">
        <f>ROUND(IF(J456&gt;O456,0,J456),4)</f>
        <v>0</v>
      </c>
      <c r="R456" s="67">
        <f>ROUND(+P456*D456,4)</f>
        <v>0</v>
      </c>
      <c r="S456" s="67">
        <f>ROUND(IF(K456=0,0,M456*D456),4)</f>
        <v>0</v>
      </c>
      <c r="T456" s="67">
        <f>ROUND(+IF(K456=0,Q456*D456,0),4)</f>
        <v>0</v>
      </c>
      <c r="U456" s="67">
        <f>ROUND(+N456+R456+S456+T456,4)</f>
        <v>0</v>
      </c>
      <c r="V456" s="67">
        <f>ROUND(IF(P456=0,0,I456-H456-O456)+IF(L456=0,0,I456-H456-K456),4)</f>
        <v>0</v>
      </c>
      <c r="W456" s="67">
        <f>ROUND(+(V456*60%)*D456,4)</f>
        <v>0</v>
      </c>
      <c r="X456" s="148">
        <f>ROUND(+U456+W456,4)</f>
        <v>0</v>
      </c>
      <c r="Y456" s="68"/>
      <c r="Z456" s="148">
        <f>ROUND(IF(X456&gt;I456,X456,I456),4)</f>
        <v>0</v>
      </c>
    </row>
    <row r="457" spans="1:26" x14ac:dyDescent="0.2">
      <c r="A457" s="66"/>
      <c r="B457" s="66"/>
      <c r="C457" s="66"/>
      <c r="D457" s="144"/>
      <c r="E457" s="67"/>
      <c r="F457" s="67"/>
      <c r="G457" s="67"/>
      <c r="H457" s="67">
        <f>ROUND(+E457+G457,4)</f>
        <v>0</v>
      </c>
      <c r="I457" s="67"/>
      <c r="J457" s="67">
        <f>ROUND(+I457-H457,4)</f>
        <v>0</v>
      </c>
      <c r="K457" s="67">
        <f>ROUND(IF(F457="alluminio",0,I457*1.5%),4)</f>
        <v>0</v>
      </c>
      <c r="L457" s="67">
        <f>ROUND(IF(K457&lt;J457,K457,0),4)</f>
        <v>0</v>
      </c>
      <c r="M457" s="67">
        <f>ROUND(IF(J457&gt;K457,0,J457),4)</f>
        <v>0</v>
      </c>
      <c r="N457" s="67">
        <f>ROUND(+L457*D457,4)</f>
        <v>0</v>
      </c>
      <c r="O457" s="67">
        <f>ROUND(IF(F457="rame",0,+I457*3%),4)</f>
        <v>0</v>
      </c>
      <c r="P457" s="67">
        <f>ROUND(IF(O457&lt;J457,O457,0),4)</f>
        <v>0</v>
      </c>
      <c r="Q457" s="67">
        <f>ROUND(IF(J457&gt;O457,0,J457),4)</f>
        <v>0</v>
      </c>
      <c r="R457" s="67">
        <f>ROUND(+P457*D457,4)</f>
        <v>0</v>
      </c>
      <c r="S457" s="67">
        <f>ROUND(IF(K457=0,0,M457*D457),4)</f>
        <v>0</v>
      </c>
      <c r="T457" s="67">
        <f>ROUND(+IF(K457=0,Q457*D457,0),4)</f>
        <v>0</v>
      </c>
      <c r="U457" s="67">
        <f>ROUND(+N457+R457+S457+T457,4)</f>
        <v>0</v>
      </c>
      <c r="V457" s="67">
        <f>ROUND(IF(P457=0,0,I457-H457-O457)+IF(L457=0,0,I457-H457-K457),4)</f>
        <v>0</v>
      </c>
      <c r="W457" s="67">
        <f>ROUND(+(V457*60%)*D457,4)</f>
        <v>0</v>
      </c>
      <c r="X457" s="148">
        <f>ROUND(+U457+W457,4)</f>
        <v>0</v>
      </c>
      <c r="Y457" s="68"/>
      <c r="Z457" s="148">
        <f>ROUND(IF(X457&gt;I457,X457,I457),4)</f>
        <v>0</v>
      </c>
    </row>
    <row r="458" spans="1:26" x14ac:dyDescent="0.2">
      <c r="A458" s="66"/>
      <c r="B458" s="66"/>
      <c r="C458" s="66"/>
      <c r="D458" s="144"/>
      <c r="E458" s="67"/>
      <c r="F458" s="67"/>
      <c r="G458" s="67"/>
      <c r="H458" s="67">
        <f>ROUND(+E458+G458,4)</f>
        <v>0</v>
      </c>
      <c r="I458" s="67"/>
      <c r="J458" s="67">
        <f>ROUND(+I458-H458,4)</f>
        <v>0</v>
      </c>
      <c r="K458" s="67">
        <f>ROUND(IF(F458="alluminio",0,I458*1.5%),4)</f>
        <v>0</v>
      </c>
      <c r="L458" s="67">
        <f>ROUND(IF(K458&lt;J458,K458,0),4)</f>
        <v>0</v>
      </c>
      <c r="M458" s="67">
        <f>ROUND(IF(J458&gt;K458,0,J458),4)</f>
        <v>0</v>
      </c>
      <c r="N458" s="67">
        <f>ROUND(+L458*D458,4)</f>
        <v>0</v>
      </c>
      <c r="O458" s="67">
        <f>ROUND(IF(F458="rame",0,+I458*3%),4)</f>
        <v>0</v>
      </c>
      <c r="P458" s="67">
        <f>ROUND(IF(O458&lt;J458,O458,0),4)</f>
        <v>0</v>
      </c>
      <c r="Q458" s="67">
        <f>ROUND(IF(J458&gt;O458,0,J458),4)</f>
        <v>0</v>
      </c>
      <c r="R458" s="67">
        <f>ROUND(+P458*D458,4)</f>
        <v>0</v>
      </c>
      <c r="S458" s="67">
        <f>ROUND(IF(K458=0,0,M458*D458),4)</f>
        <v>0</v>
      </c>
      <c r="T458" s="67">
        <f>ROUND(+IF(K458=0,Q458*D458,0),4)</f>
        <v>0</v>
      </c>
      <c r="U458" s="67">
        <f>ROUND(+N458+R458+S458+T458,4)</f>
        <v>0</v>
      </c>
      <c r="V458" s="67">
        <f>ROUND(IF(P458=0,0,I458-H458-O458)+IF(L458=0,0,I458-H458-K458),4)</f>
        <v>0</v>
      </c>
      <c r="W458" s="67">
        <f>ROUND(+(V458*60%)*D458,4)</f>
        <v>0</v>
      </c>
      <c r="X458" s="148">
        <f>ROUND(+U458+W458,4)</f>
        <v>0</v>
      </c>
      <c r="Y458" s="68"/>
      <c r="Z458" s="148">
        <f>ROUND(IF(X458&gt;I458,X458,I458),4)</f>
        <v>0</v>
      </c>
    </row>
    <row r="459" spans="1:26" x14ac:dyDescent="0.2">
      <c r="A459" s="66"/>
      <c r="B459" s="66"/>
      <c r="C459" s="66"/>
      <c r="D459" s="144"/>
      <c r="E459" s="67"/>
      <c r="F459" s="67"/>
      <c r="G459" s="67"/>
      <c r="H459" s="67">
        <f>ROUND(+E459+G459,4)</f>
        <v>0</v>
      </c>
      <c r="I459" s="67"/>
      <c r="J459" s="67">
        <f>ROUND(+I459-H459,4)</f>
        <v>0</v>
      </c>
      <c r="K459" s="67">
        <f>ROUND(IF(F459="alluminio",0,I459*1.5%),4)</f>
        <v>0</v>
      </c>
      <c r="L459" s="67">
        <f>ROUND(IF(K459&lt;J459,K459,0),4)</f>
        <v>0</v>
      </c>
      <c r="M459" s="67">
        <f>ROUND(IF(J459&gt;K459,0,J459),4)</f>
        <v>0</v>
      </c>
      <c r="N459" s="67">
        <f>ROUND(+L459*D459,4)</f>
        <v>0</v>
      </c>
      <c r="O459" s="67">
        <f>ROUND(IF(F459="rame",0,+I459*3%),4)</f>
        <v>0</v>
      </c>
      <c r="P459" s="67">
        <f>ROUND(IF(O459&lt;J459,O459,0),4)</f>
        <v>0</v>
      </c>
      <c r="Q459" s="67">
        <f>ROUND(IF(J459&gt;O459,0,J459),4)</f>
        <v>0</v>
      </c>
      <c r="R459" s="67">
        <f>ROUND(+P459*D459,4)</f>
        <v>0</v>
      </c>
      <c r="S459" s="67">
        <f>ROUND(IF(K459=0,0,M459*D459),4)</f>
        <v>0</v>
      </c>
      <c r="T459" s="67">
        <f>ROUND(+IF(K459=0,Q459*D459,0),4)</f>
        <v>0</v>
      </c>
      <c r="U459" s="67">
        <f>ROUND(+N459+R459+S459+T459,4)</f>
        <v>0</v>
      </c>
      <c r="V459" s="67">
        <f>ROUND(IF(P459=0,0,I459-H459-O459)+IF(L459=0,0,I459-H459-K459),4)</f>
        <v>0</v>
      </c>
      <c r="W459" s="67">
        <f>ROUND(+(V459*60%)*D459,4)</f>
        <v>0</v>
      </c>
      <c r="X459" s="148">
        <f>ROUND(+U459+W459,4)</f>
        <v>0</v>
      </c>
      <c r="Y459" s="68"/>
      <c r="Z459" s="148">
        <f>ROUND(IF(X459&gt;I459,X459,I459),4)</f>
        <v>0</v>
      </c>
    </row>
    <row r="460" spans="1:26" x14ac:dyDescent="0.2">
      <c r="A460" s="66"/>
      <c r="B460" s="66"/>
      <c r="C460" s="66"/>
      <c r="D460" s="144"/>
      <c r="E460" s="67"/>
      <c r="F460" s="67"/>
      <c r="G460" s="67"/>
      <c r="H460" s="67">
        <f>ROUND(+E460+G460,4)</f>
        <v>0</v>
      </c>
      <c r="I460" s="67"/>
      <c r="J460" s="67">
        <f>ROUND(+I460-H460,4)</f>
        <v>0</v>
      </c>
      <c r="K460" s="67">
        <f>ROUND(IF(F460="alluminio",0,I460*1.5%),4)</f>
        <v>0</v>
      </c>
      <c r="L460" s="67">
        <f>ROUND(IF(K460&lt;J460,K460,0),4)</f>
        <v>0</v>
      </c>
      <c r="M460" s="67">
        <f>ROUND(IF(J460&gt;K460,0,J460),4)</f>
        <v>0</v>
      </c>
      <c r="N460" s="67">
        <f>ROUND(+L460*D460,4)</f>
        <v>0</v>
      </c>
      <c r="O460" s="67">
        <f>ROUND(IF(F460="rame",0,+I460*3%),4)</f>
        <v>0</v>
      </c>
      <c r="P460" s="67">
        <f>ROUND(IF(O460&lt;J460,O460,0),4)</f>
        <v>0</v>
      </c>
      <c r="Q460" s="67">
        <f>ROUND(IF(J460&gt;O460,0,J460),4)</f>
        <v>0</v>
      </c>
      <c r="R460" s="67">
        <f>ROUND(+P460*D460,4)</f>
        <v>0</v>
      </c>
      <c r="S460" s="67">
        <f>ROUND(IF(K460=0,0,M460*D460),4)</f>
        <v>0</v>
      </c>
      <c r="T460" s="67">
        <f>ROUND(+IF(K460=0,Q460*D460,0),4)</f>
        <v>0</v>
      </c>
      <c r="U460" s="67">
        <f>ROUND(+N460+R460+S460+T460,4)</f>
        <v>0</v>
      </c>
      <c r="V460" s="67">
        <f>ROUND(IF(P460=0,0,I460-H460-O460)+IF(L460=0,0,I460-H460-K460),4)</f>
        <v>0</v>
      </c>
      <c r="W460" s="67">
        <f>ROUND(+(V460*60%)*D460,4)</f>
        <v>0</v>
      </c>
      <c r="X460" s="148">
        <f>ROUND(+U460+W460,4)</f>
        <v>0</v>
      </c>
      <c r="Y460" s="68"/>
      <c r="Z460" s="148">
        <f>ROUND(IF(X460&gt;I460,X460,I460),4)</f>
        <v>0</v>
      </c>
    </row>
    <row r="461" spans="1:26" x14ac:dyDescent="0.2">
      <c r="A461" s="66"/>
      <c r="B461" s="66"/>
      <c r="C461" s="66"/>
      <c r="D461" s="144"/>
      <c r="E461" s="67"/>
      <c r="F461" s="67"/>
      <c r="G461" s="67"/>
      <c r="H461" s="67">
        <f>ROUND(+E461+G461,4)</f>
        <v>0</v>
      </c>
      <c r="I461" s="67"/>
      <c r="J461" s="67">
        <f>ROUND(+I461-H461,4)</f>
        <v>0</v>
      </c>
      <c r="K461" s="67">
        <f>ROUND(IF(F461="alluminio",0,I461*1.5%),4)</f>
        <v>0</v>
      </c>
      <c r="L461" s="67">
        <f>ROUND(IF(K461&lt;J461,K461,0),4)</f>
        <v>0</v>
      </c>
      <c r="M461" s="67">
        <f>ROUND(IF(J461&gt;K461,0,J461),4)</f>
        <v>0</v>
      </c>
      <c r="N461" s="67">
        <f>ROUND(+L461*D461,4)</f>
        <v>0</v>
      </c>
      <c r="O461" s="67">
        <f>ROUND(IF(F461="rame",0,+I461*3%),4)</f>
        <v>0</v>
      </c>
      <c r="P461" s="67">
        <f>ROUND(IF(O461&lt;J461,O461,0),4)</f>
        <v>0</v>
      </c>
      <c r="Q461" s="67">
        <f>ROUND(IF(J461&gt;O461,0,J461),4)</f>
        <v>0</v>
      </c>
      <c r="R461" s="67">
        <f>ROUND(+P461*D461,4)</f>
        <v>0</v>
      </c>
      <c r="S461" s="67">
        <f>ROUND(IF(K461=0,0,M461*D461),4)</f>
        <v>0</v>
      </c>
      <c r="T461" s="67">
        <f>ROUND(+IF(K461=0,Q461*D461,0),4)</f>
        <v>0</v>
      </c>
      <c r="U461" s="67">
        <f>ROUND(+N461+R461+S461+T461,4)</f>
        <v>0</v>
      </c>
      <c r="V461" s="67">
        <f>ROUND(IF(P461=0,0,I461-H461-O461)+IF(L461=0,0,I461-H461-K461),4)</f>
        <v>0</v>
      </c>
      <c r="W461" s="67">
        <f>ROUND(+(V461*60%)*D461,4)</f>
        <v>0</v>
      </c>
      <c r="X461" s="148">
        <f>ROUND(+U461+W461,4)</f>
        <v>0</v>
      </c>
      <c r="Y461" s="68"/>
      <c r="Z461" s="148">
        <f>ROUND(IF(X461&gt;I461,X461,I461),4)</f>
        <v>0</v>
      </c>
    </row>
    <row r="462" spans="1:26" x14ac:dyDescent="0.2">
      <c r="A462" s="66"/>
      <c r="B462" s="66"/>
      <c r="C462" s="66"/>
      <c r="D462" s="144"/>
      <c r="E462" s="67"/>
      <c r="F462" s="67"/>
      <c r="G462" s="67"/>
      <c r="H462" s="67">
        <f>ROUND(+E462+G462,4)</f>
        <v>0</v>
      </c>
      <c r="I462" s="67"/>
      <c r="J462" s="67">
        <f>ROUND(+I462-H462,4)</f>
        <v>0</v>
      </c>
      <c r="K462" s="67">
        <f>ROUND(IF(F462="alluminio",0,I462*1.5%),4)</f>
        <v>0</v>
      </c>
      <c r="L462" s="67">
        <f>ROUND(IF(K462&lt;J462,K462,0),4)</f>
        <v>0</v>
      </c>
      <c r="M462" s="67">
        <f>ROUND(IF(J462&gt;K462,0,J462),4)</f>
        <v>0</v>
      </c>
      <c r="N462" s="67">
        <f>ROUND(+L462*D462,4)</f>
        <v>0</v>
      </c>
      <c r="O462" s="67">
        <f>ROUND(IF(F462="rame",0,+I462*3%),4)</f>
        <v>0</v>
      </c>
      <c r="P462" s="67">
        <f>ROUND(IF(O462&lt;J462,O462,0),4)</f>
        <v>0</v>
      </c>
      <c r="Q462" s="67">
        <f>ROUND(IF(J462&gt;O462,0,J462),4)</f>
        <v>0</v>
      </c>
      <c r="R462" s="67">
        <f>ROUND(+P462*D462,4)</f>
        <v>0</v>
      </c>
      <c r="S462" s="67">
        <f>ROUND(IF(K462=0,0,M462*D462),4)</f>
        <v>0</v>
      </c>
      <c r="T462" s="67">
        <f>ROUND(+IF(K462=0,Q462*D462,0),4)</f>
        <v>0</v>
      </c>
      <c r="U462" s="67">
        <f>ROUND(+N462+R462+S462+T462,4)</f>
        <v>0</v>
      </c>
      <c r="V462" s="67">
        <f>ROUND(IF(P462=0,0,I462-H462-O462)+IF(L462=0,0,I462-H462-K462),4)</f>
        <v>0</v>
      </c>
      <c r="W462" s="67">
        <f>ROUND(+(V462*60%)*D462,4)</f>
        <v>0</v>
      </c>
      <c r="X462" s="148">
        <f>ROUND(+U462+W462,4)</f>
        <v>0</v>
      </c>
      <c r="Y462" s="68"/>
      <c r="Z462" s="148">
        <f>ROUND(IF(X462&gt;I462,X462,I462),4)</f>
        <v>0</v>
      </c>
    </row>
    <row r="463" spans="1:26" x14ac:dyDescent="0.2">
      <c r="A463" s="66"/>
      <c r="B463" s="66"/>
      <c r="C463" s="66"/>
      <c r="D463" s="144"/>
      <c r="E463" s="67"/>
      <c r="F463" s="67"/>
      <c r="G463" s="67"/>
      <c r="H463" s="67">
        <f>ROUND(+E463+G463,4)</f>
        <v>0</v>
      </c>
      <c r="I463" s="67"/>
      <c r="J463" s="67">
        <f>ROUND(+I463-H463,4)</f>
        <v>0</v>
      </c>
      <c r="K463" s="67">
        <f>ROUND(IF(F463="alluminio",0,I463*1.5%),4)</f>
        <v>0</v>
      </c>
      <c r="L463" s="67">
        <f>ROUND(IF(K463&lt;J463,K463,0),4)</f>
        <v>0</v>
      </c>
      <c r="M463" s="67">
        <f>ROUND(IF(J463&gt;K463,0,J463),4)</f>
        <v>0</v>
      </c>
      <c r="N463" s="67">
        <f>ROUND(+L463*D463,4)</f>
        <v>0</v>
      </c>
      <c r="O463" s="67">
        <f>ROUND(IF(F463="rame",0,+I463*3%),4)</f>
        <v>0</v>
      </c>
      <c r="P463" s="67">
        <f>ROUND(IF(O463&lt;J463,O463,0),4)</f>
        <v>0</v>
      </c>
      <c r="Q463" s="67">
        <f>ROUND(IF(J463&gt;O463,0,J463),4)</f>
        <v>0</v>
      </c>
      <c r="R463" s="67">
        <f>ROUND(+P463*D463,4)</f>
        <v>0</v>
      </c>
      <c r="S463" s="67">
        <f>ROUND(IF(K463=0,0,M463*D463),4)</f>
        <v>0</v>
      </c>
      <c r="T463" s="67">
        <f>ROUND(+IF(K463=0,Q463*D463,0),4)</f>
        <v>0</v>
      </c>
      <c r="U463" s="67">
        <f>ROUND(+N463+R463+S463+T463,4)</f>
        <v>0</v>
      </c>
      <c r="V463" s="67">
        <f>ROUND(IF(P463=0,0,I463-H463-O463)+IF(L463=0,0,I463-H463-K463),4)</f>
        <v>0</v>
      </c>
      <c r="W463" s="67">
        <f>ROUND(+(V463*60%)*D463,4)</f>
        <v>0</v>
      </c>
      <c r="X463" s="148">
        <f>ROUND(+U463+W463,4)</f>
        <v>0</v>
      </c>
      <c r="Y463" s="68"/>
      <c r="Z463" s="148">
        <f>ROUND(IF(X463&gt;I463,X463,I463),4)</f>
        <v>0</v>
      </c>
    </row>
    <row r="464" spans="1:26" x14ac:dyDescent="0.2">
      <c r="A464" s="66"/>
      <c r="B464" s="66"/>
      <c r="C464" s="66"/>
      <c r="D464" s="144"/>
      <c r="E464" s="67"/>
      <c r="F464" s="67"/>
      <c r="G464" s="67"/>
      <c r="H464" s="67">
        <f>ROUND(+E464+G464,4)</f>
        <v>0</v>
      </c>
      <c r="I464" s="67"/>
      <c r="J464" s="67">
        <f>ROUND(+I464-H464,4)</f>
        <v>0</v>
      </c>
      <c r="K464" s="67">
        <f>ROUND(IF(F464="alluminio",0,I464*1.5%),4)</f>
        <v>0</v>
      </c>
      <c r="L464" s="67">
        <f>ROUND(IF(K464&lt;J464,K464,0),4)</f>
        <v>0</v>
      </c>
      <c r="M464" s="67">
        <f>ROUND(IF(J464&gt;K464,0,J464),4)</f>
        <v>0</v>
      </c>
      <c r="N464" s="67">
        <f>ROUND(+L464*D464,4)</f>
        <v>0</v>
      </c>
      <c r="O464" s="67">
        <f>ROUND(IF(F464="rame",0,+I464*3%),4)</f>
        <v>0</v>
      </c>
      <c r="P464" s="67">
        <f>ROUND(IF(O464&lt;J464,O464,0),4)</f>
        <v>0</v>
      </c>
      <c r="Q464" s="67">
        <f>ROUND(IF(J464&gt;O464,0,J464),4)</f>
        <v>0</v>
      </c>
      <c r="R464" s="67">
        <f>ROUND(+P464*D464,4)</f>
        <v>0</v>
      </c>
      <c r="S464" s="67">
        <f>ROUND(IF(K464=0,0,M464*D464),4)</f>
        <v>0</v>
      </c>
      <c r="T464" s="67">
        <f>ROUND(+IF(K464=0,Q464*D464,0),4)</f>
        <v>0</v>
      </c>
      <c r="U464" s="67">
        <f>ROUND(+N464+R464+S464+T464,4)</f>
        <v>0</v>
      </c>
      <c r="V464" s="67">
        <f>ROUND(IF(P464=0,0,I464-H464-O464)+IF(L464=0,0,I464-H464-K464),4)</f>
        <v>0</v>
      </c>
      <c r="W464" s="67">
        <f>ROUND(+(V464*60%)*D464,4)</f>
        <v>0</v>
      </c>
      <c r="X464" s="148">
        <f>ROUND(+U464+W464,4)</f>
        <v>0</v>
      </c>
      <c r="Y464" s="68"/>
      <c r="Z464" s="148">
        <f>ROUND(IF(X464&gt;I464,X464,I464),4)</f>
        <v>0</v>
      </c>
    </row>
    <row r="465" spans="1:26" x14ac:dyDescent="0.2">
      <c r="A465" s="66"/>
      <c r="B465" s="66"/>
      <c r="C465" s="66"/>
      <c r="D465" s="144"/>
      <c r="E465" s="67"/>
      <c r="F465" s="67"/>
      <c r="G465" s="67"/>
      <c r="H465" s="67">
        <f>ROUND(+E465+G465,4)</f>
        <v>0</v>
      </c>
      <c r="I465" s="67"/>
      <c r="J465" s="67">
        <f>ROUND(+I465-H465,4)</f>
        <v>0</v>
      </c>
      <c r="K465" s="67">
        <f>ROUND(IF(F465="alluminio",0,I465*1.5%),4)</f>
        <v>0</v>
      </c>
      <c r="L465" s="67">
        <f>ROUND(IF(K465&lt;J465,K465,0),4)</f>
        <v>0</v>
      </c>
      <c r="M465" s="67">
        <f>ROUND(IF(J465&gt;K465,0,J465),4)</f>
        <v>0</v>
      </c>
      <c r="N465" s="67">
        <f>ROUND(+L465*D465,4)</f>
        <v>0</v>
      </c>
      <c r="O465" s="67">
        <f>ROUND(IF(F465="rame",0,+I465*3%),4)</f>
        <v>0</v>
      </c>
      <c r="P465" s="67">
        <f>ROUND(IF(O465&lt;J465,O465,0),4)</f>
        <v>0</v>
      </c>
      <c r="Q465" s="67">
        <f>ROUND(IF(J465&gt;O465,0,J465),4)</f>
        <v>0</v>
      </c>
      <c r="R465" s="67">
        <f>ROUND(+P465*D465,4)</f>
        <v>0</v>
      </c>
      <c r="S465" s="67">
        <f>ROUND(IF(K465=0,0,M465*D465),4)</f>
        <v>0</v>
      </c>
      <c r="T465" s="67">
        <f>ROUND(+IF(K465=0,Q465*D465,0),4)</f>
        <v>0</v>
      </c>
      <c r="U465" s="67">
        <f>ROUND(+N465+R465+S465+T465,4)</f>
        <v>0</v>
      </c>
      <c r="V465" s="67">
        <f>ROUND(IF(P465=0,0,I465-H465-O465)+IF(L465=0,0,I465-H465-K465),4)</f>
        <v>0</v>
      </c>
      <c r="W465" s="67">
        <f>ROUND(+(V465*60%)*D465,4)</f>
        <v>0</v>
      </c>
      <c r="X465" s="148">
        <f>ROUND(+U465+W465,4)</f>
        <v>0</v>
      </c>
      <c r="Y465" s="68"/>
      <c r="Z465" s="148">
        <f>ROUND(IF(X465&gt;I465,X465,I465),4)</f>
        <v>0</v>
      </c>
    </row>
    <row r="466" spans="1:26" x14ac:dyDescent="0.2">
      <c r="A466" s="66"/>
      <c r="B466" s="66"/>
      <c r="C466" s="66"/>
      <c r="D466" s="144"/>
      <c r="E466" s="67"/>
      <c r="F466" s="67"/>
      <c r="G466" s="67"/>
      <c r="H466" s="67">
        <f>ROUND(+E466+G466,4)</f>
        <v>0</v>
      </c>
      <c r="I466" s="67"/>
      <c r="J466" s="67">
        <f>ROUND(+I466-H466,4)</f>
        <v>0</v>
      </c>
      <c r="K466" s="67">
        <f>ROUND(IF(F466="alluminio",0,I466*1.5%),4)</f>
        <v>0</v>
      </c>
      <c r="L466" s="67">
        <f>ROUND(IF(K466&lt;J466,K466,0),4)</f>
        <v>0</v>
      </c>
      <c r="M466" s="67">
        <f>ROUND(IF(J466&gt;K466,0,J466),4)</f>
        <v>0</v>
      </c>
      <c r="N466" s="67">
        <f>ROUND(+L466*D466,4)</f>
        <v>0</v>
      </c>
      <c r="O466" s="67">
        <f>ROUND(IF(F466="rame",0,+I466*3%),4)</f>
        <v>0</v>
      </c>
      <c r="P466" s="67">
        <f>ROUND(IF(O466&lt;J466,O466,0),4)</f>
        <v>0</v>
      </c>
      <c r="Q466" s="67">
        <f>ROUND(IF(J466&gt;O466,0,J466),4)</f>
        <v>0</v>
      </c>
      <c r="R466" s="67">
        <f>ROUND(+P466*D466,4)</f>
        <v>0</v>
      </c>
      <c r="S466" s="67">
        <f>ROUND(IF(K466=0,0,M466*D466),4)</f>
        <v>0</v>
      </c>
      <c r="T466" s="67">
        <f>ROUND(+IF(K466=0,Q466*D466,0),4)</f>
        <v>0</v>
      </c>
      <c r="U466" s="67">
        <f>ROUND(+N466+R466+S466+T466,4)</f>
        <v>0</v>
      </c>
      <c r="V466" s="67">
        <f>ROUND(IF(P466=0,0,I466-H466-O466)+IF(L466=0,0,I466-H466-K466),4)</f>
        <v>0</v>
      </c>
      <c r="W466" s="67">
        <f>ROUND(+(V466*60%)*D466,4)</f>
        <v>0</v>
      </c>
      <c r="X466" s="148">
        <f>ROUND(+U466+W466,4)</f>
        <v>0</v>
      </c>
      <c r="Y466" s="68"/>
      <c r="Z466" s="148">
        <f>ROUND(IF(X466&gt;I466,X466,I466),4)</f>
        <v>0</v>
      </c>
    </row>
    <row r="467" spans="1:26" x14ac:dyDescent="0.2">
      <c r="A467" s="66"/>
      <c r="B467" s="66"/>
      <c r="C467" s="66"/>
      <c r="D467" s="144"/>
      <c r="E467" s="67"/>
      <c r="F467" s="67"/>
      <c r="G467" s="67"/>
      <c r="H467" s="67">
        <f>ROUND(+E467+G467,4)</f>
        <v>0</v>
      </c>
      <c r="I467" s="67"/>
      <c r="J467" s="67">
        <f>ROUND(+I467-H467,4)</f>
        <v>0</v>
      </c>
      <c r="K467" s="67">
        <f>ROUND(IF(F467="alluminio",0,I467*1.5%),4)</f>
        <v>0</v>
      </c>
      <c r="L467" s="67">
        <f>ROUND(IF(K467&lt;J467,K467,0),4)</f>
        <v>0</v>
      </c>
      <c r="M467" s="67">
        <f>ROUND(IF(J467&gt;K467,0,J467),4)</f>
        <v>0</v>
      </c>
      <c r="N467" s="67">
        <f>ROUND(+L467*D467,4)</f>
        <v>0</v>
      </c>
      <c r="O467" s="67">
        <f>ROUND(IF(F467="rame",0,+I467*3%),4)</f>
        <v>0</v>
      </c>
      <c r="P467" s="67">
        <f>ROUND(IF(O467&lt;J467,O467,0),4)</f>
        <v>0</v>
      </c>
      <c r="Q467" s="67">
        <f>ROUND(IF(J467&gt;O467,0,J467),4)</f>
        <v>0</v>
      </c>
      <c r="R467" s="67">
        <f>ROUND(+P467*D467,4)</f>
        <v>0</v>
      </c>
      <c r="S467" s="67">
        <f>ROUND(IF(K467=0,0,M467*D467),4)</f>
        <v>0</v>
      </c>
      <c r="T467" s="67">
        <f>ROUND(+IF(K467=0,Q467*D467,0),4)</f>
        <v>0</v>
      </c>
      <c r="U467" s="67">
        <f>ROUND(+N467+R467+S467+T467,4)</f>
        <v>0</v>
      </c>
      <c r="V467" s="67">
        <f>ROUND(IF(P467=0,0,I467-H467-O467)+IF(L467=0,0,I467-H467-K467),4)</f>
        <v>0</v>
      </c>
      <c r="W467" s="67">
        <f>ROUND(+(V467*60%)*D467,4)</f>
        <v>0</v>
      </c>
      <c r="X467" s="148">
        <f>ROUND(+U467+W467,4)</f>
        <v>0</v>
      </c>
      <c r="Y467" s="68"/>
      <c r="Z467" s="148">
        <f>ROUND(IF(X467&gt;I467,X467,I467),4)</f>
        <v>0</v>
      </c>
    </row>
    <row r="468" spans="1:26" x14ac:dyDescent="0.2">
      <c r="A468" s="66"/>
      <c r="B468" s="66"/>
      <c r="C468" s="66"/>
      <c r="D468" s="144"/>
      <c r="E468" s="67"/>
      <c r="F468" s="67"/>
      <c r="G468" s="67"/>
      <c r="H468" s="67">
        <f>ROUND(+E468+G468,4)</f>
        <v>0</v>
      </c>
      <c r="I468" s="67"/>
      <c r="J468" s="67">
        <f>ROUND(+I468-H468,4)</f>
        <v>0</v>
      </c>
      <c r="K468" s="67">
        <f>ROUND(IF(F468="alluminio",0,I468*1.5%),4)</f>
        <v>0</v>
      </c>
      <c r="L468" s="67">
        <f>ROUND(IF(K468&lt;J468,K468,0),4)</f>
        <v>0</v>
      </c>
      <c r="M468" s="67">
        <f>ROUND(IF(J468&gt;K468,0,J468),4)</f>
        <v>0</v>
      </c>
      <c r="N468" s="67">
        <f>ROUND(+L468*D468,4)</f>
        <v>0</v>
      </c>
      <c r="O468" s="67">
        <f>ROUND(IF(F468="rame",0,+I468*3%),4)</f>
        <v>0</v>
      </c>
      <c r="P468" s="67">
        <f>ROUND(IF(O468&lt;J468,O468,0),4)</f>
        <v>0</v>
      </c>
      <c r="Q468" s="67">
        <f>ROUND(IF(J468&gt;O468,0,J468),4)</f>
        <v>0</v>
      </c>
      <c r="R468" s="67">
        <f>ROUND(+P468*D468,4)</f>
        <v>0</v>
      </c>
      <c r="S468" s="67">
        <f>ROUND(IF(K468=0,0,M468*D468),4)</f>
        <v>0</v>
      </c>
      <c r="T468" s="67">
        <f>ROUND(+IF(K468=0,Q468*D468,0),4)</f>
        <v>0</v>
      </c>
      <c r="U468" s="67">
        <f>ROUND(+N468+R468+S468+T468,4)</f>
        <v>0</v>
      </c>
      <c r="V468" s="67">
        <f>ROUND(IF(P468=0,0,I468-H468-O468)+IF(L468=0,0,I468-H468-K468),4)</f>
        <v>0</v>
      </c>
      <c r="W468" s="67">
        <f>ROUND(+(V468*60%)*D468,4)</f>
        <v>0</v>
      </c>
      <c r="X468" s="148">
        <f>ROUND(+U468+W468,4)</f>
        <v>0</v>
      </c>
      <c r="Y468" s="68"/>
      <c r="Z468" s="148">
        <f>ROUND(IF(X468&gt;I468,X468,I468),4)</f>
        <v>0</v>
      </c>
    </row>
    <row r="469" spans="1:26" x14ac:dyDescent="0.2">
      <c r="A469" s="66"/>
      <c r="B469" s="66"/>
      <c r="C469" s="66"/>
      <c r="D469" s="144"/>
      <c r="E469" s="67"/>
      <c r="F469" s="67"/>
      <c r="G469" s="67"/>
      <c r="H469" s="67">
        <f>ROUND(+E469+G469,4)</f>
        <v>0</v>
      </c>
      <c r="I469" s="67"/>
      <c r="J469" s="67">
        <f>ROUND(+I469-H469,4)</f>
        <v>0</v>
      </c>
      <c r="K469" s="67">
        <f>ROUND(IF(F469="alluminio",0,I469*1.5%),4)</f>
        <v>0</v>
      </c>
      <c r="L469" s="67">
        <f>ROUND(IF(K469&lt;J469,K469,0),4)</f>
        <v>0</v>
      </c>
      <c r="M469" s="67">
        <f>ROUND(IF(J469&gt;K469,0,J469),4)</f>
        <v>0</v>
      </c>
      <c r="N469" s="67">
        <f>ROUND(+L469*D469,4)</f>
        <v>0</v>
      </c>
      <c r="O469" s="67">
        <f>ROUND(IF(F469="rame",0,+I469*3%),4)</f>
        <v>0</v>
      </c>
      <c r="P469" s="67">
        <f>ROUND(IF(O469&lt;J469,O469,0),4)</f>
        <v>0</v>
      </c>
      <c r="Q469" s="67">
        <f>ROUND(IF(J469&gt;O469,0,J469),4)</f>
        <v>0</v>
      </c>
      <c r="R469" s="67">
        <f>ROUND(+P469*D469,4)</f>
        <v>0</v>
      </c>
      <c r="S469" s="67">
        <f>ROUND(IF(K469=0,0,M469*D469),4)</f>
        <v>0</v>
      </c>
      <c r="T469" s="67">
        <f>ROUND(+IF(K469=0,Q469*D469,0),4)</f>
        <v>0</v>
      </c>
      <c r="U469" s="67">
        <f>ROUND(+N469+R469+S469+T469,4)</f>
        <v>0</v>
      </c>
      <c r="V469" s="67">
        <f>ROUND(IF(P469=0,0,I469-H469-O469)+IF(L469=0,0,I469-H469-K469),4)</f>
        <v>0</v>
      </c>
      <c r="W469" s="67">
        <f>ROUND(+(V469*60%)*D469,4)</f>
        <v>0</v>
      </c>
      <c r="X469" s="148">
        <f>ROUND(+U469+W469,4)</f>
        <v>0</v>
      </c>
      <c r="Y469" s="68"/>
      <c r="Z469" s="148">
        <f>ROUND(IF(X469&gt;I469,X469,I469),4)</f>
        <v>0</v>
      </c>
    </row>
    <row r="470" spans="1:26" x14ac:dyDescent="0.2">
      <c r="A470" s="66"/>
      <c r="B470" s="66"/>
      <c r="C470" s="66"/>
      <c r="D470" s="144"/>
      <c r="E470" s="67"/>
      <c r="F470" s="67"/>
      <c r="G470" s="67"/>
      <c r="H470" s="67">
        <f>ROUND(+E470+G470,4)</f>
        <v>0</v>
      </c>
      <c r="I470" s="67"/>
      <c r="J470" s="67">
        <f>ROUND(+I470-H470,4)</f>
        <v>0</v>
      </c>
      <c r="K470" s="67">
        <f>ROUND(IF(F470="alluminio",0,I470*1.5%),4)</f>
        <v>0</v>
      </c>
      <c r="L470" s="67">
        <f>ROUND(IF(K470&lt;J470,K470,0),4)</f>
        <v>0</v>
      </c>
      <c r="M470" s="67">
        <f>ROUND(IF(J470&gt;K470,0,J470),4)</f>
        <v>0</v>
      </c>
      <c r="N470" s="67">
        <f>ROUND(+L470*D470,4)</f>
        <v>0</v>
      </c>
      <c r="O470" s="67">
        <f>ROUND(IF(F470="rame",0,+I470*3%),4)</f>
        <v>0</v>
      </c>
      <c r="P470" s="67">
        <f>ROUND(IF(O470&lt;J470,O470,0),4)</f>
        <v>0</v>
      </c>
      <c r="Q470" s="67">
        <f>ROUND(IF(J470&gt;O470,0,J470),4)</f>
        <v>0</v>
      </c>
      <c r="R470" s="67">
        <f>ROUND(+P470*D470,4)</f>
        <v>0</v>
      </c>
      <c r="S470" s="67">
        <f>ROUND(IF(K470=0,0,M470*D470),4)</f>
        <v>0</v>
      </c>
      <c r="T470" s="67">
        <f>ROUND(+IF(K470=0,Q470*D470,0),4)</f>
        <v>0</v>
      </c>
      <c r="U470" s="67">
        <f>ROUND(+N470+R470+S470+T470,4)</f>
        <v>0</v>
      </c>
      <c r="V470" s="67">
        <f>ROUND(IF(P470=0,0,I470-H470-O470)+IF(L470=0,0,I470-H470-K470),4)</f>
        <v>0</v>
      </c>
      <c r="W470" s="67">
        <f>ROUND(+(V470*60%)*D470,4)</f>
        <v>0</v>
      </c>
      <c r="X470" s="148">
        <f>ROUND(+U470+W470,4)</f>
        <v>0</v>
      </c>
      <c r="Y470" s="68"/>
      <c r="Z470" s="148">
        <f>ROUND(IF(X470&gt;I470,X470,I470),4)</f>
        <v>0</v>
      </c>
    </row>
    <row r="471" spans="1:26" x14ac:dyDescent="0.2">
      <c r="A471" s="66"/>
      <c r="B471" s="66"/>
      <c r="C471" s="66"/>
      <c r="D471" s="144"/>
      <c r="E471" s="67"/>
      <c r="F471" s="67"/>
      <c r="G471" s="67"/>
      <c r="H471" s="67">
        <f>ROUND(+E471+G471,4)</f>
        <v>0</v>
      </c>
      <c r="I471" s="67"/>
      <c r="J471" s="67">
        <f>ROUND(+I471-H471,4)</f>
        <v>0</v>
      </c>
      <c r="K471" s="67">
        <f>ROUND(IF(F471="alluminio",0,I471*1.5%),4)</f>
        <v>0</v>
      </c>
      <c r="L471" s="67">
        <f>ROUND(IF(K471&lt;J471,K471,0),4)</f>
        <v>0</v>
      </c>
      <c r="M471" s="67">
        <f>ROUND(IF(J471&gt;K471,0,J471),4)</f>
        <v>0</v>
      </c>
      <c r="N471" s="67">
        <f>ROUND(+L471*D471,4)</f>
        <v>0</v>
      </c>
      <c r="O471" s="67">
        <f>ROUND(IF(F471="rame",0,+I471*3%),4)</f>
        <v>0</v>
      </c>
      <c r="P471" s="67">
        <f>ROUND(IF(O471&lt;J471,O471,0),4)</f>
        <v>0</v>
      </c>
      <c r="Q471" s="67">
        <f>ROUND(IF(J471&gt;O471,0,J471),4)</f>
        <v>0</v>
      </c>
      <c r="R471" s="67">
        <f>ROUND(+P471*D471,4)</f>
        <v>0</v>
      </c>
      <c r="S471" s="67">
        <f>ROUND(IF(K471=0,0,M471*D471),4)</f>
        <v>0</v>
      </c>
      <c r="T471" s="67">
        <f>ROUND(+IF(K471=0,Q471*D471,0),4)</f>
        <v>0</v>
      </c>
      <c r="U471" s="67">
        <f>ROUND(+N471+R471+S471+T471,4)</f>
        <v>0</v>
      </c>
      <c r="V471" s="67">
        <f>ROUND(IF(P471=0,0,I471-H471-O471)+IF(L471=0,0,I471-H471-K471),4)</f>
        <v>0</v>
      </c>
      <c r="W471" s="67">
        <f>ROUND(+(V471*60%)*D471,4)</f>
        <v>0</v>
      </c>
      <c r="X471" s="148">
        <f>ROUND(+U471+W471,4)</f>
        <v>0</v>
      </c>
      <c r="Y471" s="68"/>
      <c r="Z471" s="148">
        <f>ROUND(IF(X471&gt;I471,X471,I471),4)</f>
        <v>0</v>
      </c>
    </row>
    <row r="472" spans="1:26" x14ac:dyDescent="0.2">
      <c r="A472" s="66"/>
      <c r="B472" s="66"/>
      <c r="C472" s="66"/>
      <c r="D472" s="144"/>
      <c r="E472" s="67"/>
      <c r="F472" s="67"/>
      <c r="G472" s="67"/>
      <c r="H472" s="67">
        <f>ROUND(+E472+G472,4)</f>
        <v>0</v>
      </c>
      <c r="I472" s="67"/>
      <c r="J472" s="67">
        <f>ROUND(+I472-H472,4)</f>
        <v>0</v>
      </c>
      <c r="K472" s="67">
        <f>ROUND(IF(F472="alluminio",0,I472*1.5%),4)</f>
        <v>0</v>
      </c>
      <c r="L472" s="67">
        <f>ROUND(IF(K472&lt;J472,K472,0),4)</f>
        <v>0</v>
      </c>
      <c r="M472" s="67">
        <f>ROUND(IF(J472&gt;K472,0,J472),4)</f>
        <v>0</v>
      </c>
      <c r="N472" s="67">
        <f>ROUND(+L472*D472,4)</f>
        <v>0</v>
      </c>
      <c r="O472" s="67">
        <f>ROUND(IF(F472="rame",0,+I472*3%),4)</f>
        <v>0</v>
      </c>
      <c r="P472" s="67">
        <f>ROUND(IF(O472&lt;J472,O472,0),4)</f>
        <v>0</v>
      </c>
      <c r="Q472" s="67">
        <f>ROUND(IF(J472&gt;O472,0,J472),4)</f>
        <v>0</v>
      </c>
      <c r="R472" s="67">
        <f>ROUND(+P472*D472,4)</f>
        <v>0</v>
      </c>
      <c r="S472" s="67">
        <f>ROUND(IF(K472=0,0,M472*D472),4)</f>
        <v>0</v>
      </c>
      <c r="T472" s="67">
        <f>ROUND(+IF(K472=0,Q472*D472,0),4)</f>
        <v>0</v>
      </c>
      <c r="U472" s="67">
        <f>ROUND(+N472+R472+S472+T472,4)</f>
        <v>0</v>
      </c>
      <c r="V472" s="67">
        <f>ROUND(IF(P472=0,0,I472-H472-O472)+IF(L472=0,0,I472-H472-K472),4)</f>
        <v>0</v>
      </c>
      <c r="W472" s="67">
        <f>ROUND(+(V472*60%)*D472,4)</f>
        <v>0</v>
      </c>
      <c r="X472" s="148">
        <f>ROUND(+U472+W472,4)</f>
        <v>0</v>
      </c>
      <c r="Y472" s="68"/>
      <c r="Z472" s="148">
        <f>ROUND(IF(X472&gt;I472,X472,I472),4)</f>
        <v>0</v>
      </c>
    </row>
    <row r="473" spans="1:26" x14ac:dyDescent="0.2">
      <c r="A473" s="66"/>
      <c r="B473" s="66"/>
      <c r="C473" s="66"/>
      <c r="D473" s="144"/>
      <c r="E473" s="67"/>
      <c r="F473" s="67"/>
      <c r="G473" s="67"/>
      <c r="H473" s="67">
        <f>ROUND(+E473+G473,4)</f>
        <v>0</v>
      </c>
      <c r="I473" s="67"/>
      <c r="J473" s="67">
        <f>ROUND(+I473-H473,4)</f>
        <v>0</v>
      </c>
      <c r="K473" s="67">
        <f>ROUND(IF(F473="alluminio",0,I473*1.5%),4)</f>
        <v>0</v>
      </c>
      <c r="L473" s="67">
        <f>ROUND(IF(K473&lt;J473,K473,0),4)</f>
        <v>0</v>
      </c>
      <c r="M473" s="67">
        <f>ROUND(IF(J473&gt;K473,0,J473),4)</f>
        <v>0</v>
      </c>
      <c r="N473" s="67">
        <f>ROUND(+L473*D473,4)</f>
        <v>0</v>
      </c>
      <c r="O473" s="67">
        <f>ROUND(IF(F473="rame",0,+I473*3%),4)</f>
        <v>0</v>
      </c>
      <c r="P473" s="67">
        <f>ROUND(IF(O473&lt;J473,O473,0),4)</f>
        <v>0</v>
      </c>
      <c r="Q473" s="67">
        <f>ROUND(IF(J473&gt;O473,0,J473),4)</f>
        <v>0</v>
      </c>
      <c r="R473" s="67">
        <f>ROUND(+P473*D473,4)</f>
        <v>0</v>
      </c>
      <c r="S473" s="67">
        <f>ROUND(IF(K473=0,0,M473*D473),4)</f>
        <v>0</v>
      </c>
      <c r="T473" s="67">
        <f>ROUND(+IF(K473=0,Q473*D473,0),4)</f>
        <v>0</v>
      </c>
      <c r="U473" s="67">
        <f>ROUND(+N473+R473+S473+T473,4)</f>
        <v>0</v>
      </c>
      <c r="V473" s="67">
        <f>ROUND(IF(P473=0,0,I473-H473-O473)+IF(L473=0,0,I473-H473-K473),4)</f>
        <v>0</v>
      </c>
      <c r="W473" s="67">
        <f>ROUND(+(V473*60%)*D473,4)</f>
        <v>0</v>
      </c>
      <c r="X473" s="148">
        <f>ROUND(+U473+W473,4)</f>
        <v>0</v>
      </c>
      <c r="Y473" s="68"/>
      <c r="Z473" s="148">
        <f>ROUND(IF(X473&gt;I473,X473,I473),4)</f>
        <v>0</v>
      </c>
    </row>
    <row r="474" spans="1:26" x14ac:dyDescent="0.2">
      <c r="A474" s="66"/>
      <c r="B474" s="66"/>
      <c r="C474" s="66"/>
      <c r="D474" s="144"/>
      <c r="E474" s="67"/>
      <c r="F474" s="67"/>
      <c r="G474" s="67"/>
      <c r="H474" s="67">
        <f>ROUND(+E474+G474,4)</f>
        <v>0</v>
      </c>
      <c r="I474" s="67"/>
      <c r="J474" s="67">
        <f>ROUND(+I474-H474,4)</f>
        <v>0</v>
      </c>
      <c r="K474" s="67">
        <f>ROUND(IF(F474="alluminio",0,I474*1.5%),4)</f>
        <v>0</v>
      </c>
      <c r="L474" s="67">
        <f>ROUND(IF(K474&lt;J474,K474,0),4)</f>
        <v>0</v>
      </c>
      <c r="M474" s="67">
        <f>ROUND(IF(J474&gt;K474,0,J474),4)</f>
        <v>0</v>
      </c>
      <c r="N474" s="67">
        <f>ROUND(+L474*D474,4)</f>
        <v>0</v>
      </c>
      <c r="O474" s="67">
        <f>ROUND(IF(F474="rame",0,+I474*3%),4)</f>
        <v>0</v>
      </c>
      <c r="P474" s="67">
        <f>ROUND(IF(O474&lt;J474,O474,0),4)</f>
        <v>0</v>
      </c>
      <c r="Q474" s="67">
        <f>ROUND(IF(J474&gt;O474,0,J474),4)</f>
        <v>0</v>
      </c>
      <c r="R474" s="67">
        <f>ROUND(+P474*D474,4)</f>
        <v>0</v>
      </c>
      <c r="S474" s="67">
        <f>ROUND(IF(K474=0,0,M474*D474),4)</f>
        <v>0</v>
      </c>
      <c r="T474" s="67">
        <f>ROUND(+IF(K474=0,Q474*D474,0),4)</f>
        <v>0</v>
      </c>
      <c r="U474" s="67">
        <f>ROUND(+N474+R474+S474+T474,4)</f>
        <v>0</v>
      </c>
      <c r="V474" s="67">
        <f>ROUND(IF(P474=0,0,I474-H474-O474)+IF(L474=0,0,I474-H474-K474),4)</f>
        <v>0</v>
      </c>
      <c r="W474" s="67">
        <f>ROUND(+(V474*60%)*D474,4)</f>
        <v>0</v>
      </c>
      <c r="X474" s="148">
        <f>ROUND(+U474+W474,4)</f>
        <v>0</v>
      </c>
      <c r="Y474" s="68"/>
      <c r="Z474" s="148">
        <f>ROUND(IF(X474&gt;I474,X474,I474),4)</f>
        <v>0</v>
      </c>
    </row>
    <row r="475" spans="1:26" x14ac:dyDescent="0.2">
      <c r="A475" s="66"/>
      <c r="B475" s="66"/>
      <c r="C475" s="66"/>
      <c r="D475" s="144"/>
      <c r="E475" s="67"/>
      <c r="F475" s="67"/>
      <c r="G475" s="67"/>
      <c r="H475" s="67">
        <f>ROUND(+E475+G475,4)</f>
        <v>0</v>
      </c>
      <c r="I475" s="67"/>
      <c r="J475" s="67">
        <f>ROUND(+I475-H475,4)</f>
        <v>0</v>
      </c>
      <c r="K475" s="67">
        <f>ROUND(IF(F475="alluminio",0,I475*1.5%),4)</f>
        <v>0</v>
      </c>
      <c r="L475" s="67">
        <f>ROUND(IF(K475&lt;J475,K475,0),4)</f>
        <v>0</v>
      </c>
      <c r="M475" s="67">
        <f>ROUND(IF(J475&gt;K475,0,J475),4)</f>
        <v>0</v>
      </c>
      <c r="N475" s="67">
        <f>ROUND(+L475*D475,4)</f>
        <v>0</v>
      </c>
      <c r="O475" s="67">
        <f>ROUND(IF(F475="rame",0,+I475*3%),4)</f>
        <v>0</v>
      </c>
      <c r="P475" s="67">
        <f>ROUND(IF(O475&lt;J475,O475,0),4)</f>
        <v>0</v>
      </c>
      <c r="Q475" s="67">
        <f>ROUND(IF(J475&gt;O475,0,J475),4)</f>
        <v>0</v>
      </c>
      <c r="R475" s="67">
        <f>ROUND(+P475*D475,4)</f>
        <v>0</v>
      </c>
      <c r="S475" s="67">
        <f>ROUND(IF(K475=0,0,M475*D475),4)</f>
        <v>0</v>
      </c>
      <c r="T475" s="67">
        <f>ROUND(+IF(K475=0,Q475*D475,0),4)</f>
        <v>0</v>
      </c>
      <c r="U475" s="67">
        <f>ROUND(+N475+R475+S475+T475,4)</f>
        <v>0</v>
      </c>
      <c r="V475" s="67">
        <f>ROUND(IF(P475=0,0,I475-H475-O475)+IF(L475=0,0,I475-H475-K475),4)</f>
        <v>0</v>
      </c>
      <c r="W475" s="67">
        <f>ROUND(+(V475*60%)*D475,4)</f>
        <v>0</v>
      </c>
      <c r="X475" s="148">
        <f>ROUND(+U475+W475,4)</f>
        <v>0</v>
      </c>
      <c r="Y475" s="68"/>
      <c r="Z475" s="148">
        <f>ROUND(IF(X475&gt;I475,X475,I475),4)</f>
        <v>0</v>
      </c>
    </row>
    <row r="476" spans="1:26" x14ac:dyDescent="0.2">
      <c r="A476" s="66"/>
      <c r="B476" s="66"/>
      <c r="C476" s="66"/>
      <c r="D476" s="144"/>
      <c r="E476" s="67"/>
      <c r="F476" s="67"/>
      <c r="G476" s="67"/>
      <c r="H476" s="67">
        <f>ROUND(+E476+G476,4)</f>
        <v>0</v>
      </c>
      <c r="I476" s="67"/>
      <c r="J476" s="67">
        <f>ROUND(+I476-H476,4)</f>
        <v>0</v>
      </c>
      <c r="K476" s="67">
        <f>ROUND(IF(F476="alluminio",0,I476*1.5%),4)</f>
        <v>0</v>
      </c>
      <c r="L476" s="67">
        <f>ROUND(IF(K476&lt;J476,K476,0),4)</f>
        <v>0</v>
      </c>
      <c r="M476" s="67">
        <f>ROUND(IF(J476&gt;K476,0,J476),4)</f>
        <v>0</v>
      </c>
      <c r="N476" s="67">
        <f>ROUND(+L476*D476,4)</f>
        <v>0</v>
      </c>
      <c r="O476" s="67">
        <f>ROUND(IF(F476="rame",0,+I476*3%),4)</f>
        <v>0</v>
      </c>
      <c r="P476" s="67">
        <f>ROUND(IF(O476&lt;J476,O476,0),4)</f>
        <v>0</v>
      </c>
      <c r="Q476" s="67">
        <f>ROUND(IF(J476&gt;O476,0,J476),4)</f>
        <v>0</v>
      </c>
      <c r="R476" s="67">
        <f>ROUND(+P476*D476,4)</f>
        <v>0</v>
      </c>
      <c r="S476" s="67">
        <f>ROUND(IF(K476=0,0,M476*D476),4)</f>
        <v>0</v>
      </c>
      <c r="T476" s="67">
        <f>ROUND(+IF(K476=0,Q476*D476,0),4)</f>
        <v>0</v>
      </c>
      <c r="U476" s="67">
        <f>ROUND(+N476+R476+S476+T476,4)</f>
        <v>0</v>
      </c>
      <c r="V476" s="67">
        <f>ROUND(IF(P476=0,0,I476-H476-O476)+IF(L476=0,0,I476-H476-K476),4)</f>
        <v>0</v>
      </c>
      <c r="W476" s="67">
        <f>ROUND(+(V476*60%)*D476,4)</f>
        <v>0</v>
      </c>
      <c r="X476" s="148">
        <f>ROUND(+U476+W476,4)</f>
        <v>0</v>
      </c>
      <c r="Y476" s="68"/>
      <c r="Z476" s="148">
        <f>ROUND(IF(X476&gt;I476,X476,I476),4)</f>
        <v>0</v>
      </c>
    </row>
    <row r="477" spans="1:26" x14ac:dyDescent="0.2">
      <c r="A477" s="66"/>
      <c r="B477" s="66"/>
      <c r="C477" s="66"/>
      <c r="D477" s="144"/>
      <c r="E477" s="67"/>
      <c r="F477" s="67"/>
      <c r="G477" s="67"/>
      <c r="H477" s="67">
        <f>ROUND(+E477+G477,4)</f>
        <v>0</v>
      </c>
      <c r="I477" s="67"/>
      <c r="J477" s="67">
        <f>ROUND(+I477-H477,4)</f>
        <v>0</v>
      </c>
      <c r="K477" s="67">
        <f>ROUND(IF(F477="alluminio",0,I477*1.5%),4)</f>
        <v>0</v>
      </c>
      <c r="L477" s="67">
        <f>ROUND(IF(K477&lt;J477,K477,0),4)</f>
        <v>0</v>
      </c>
      <c r="M477" s="67">
        <f>ROUND(IF(J477&gt;K477,0,J477),4)</f>
        <v>0</v>
      </c>
      <c r="N477" s="67">
        <f>ROUND(+L477*D477,4)</f>
        <v>0</v>
      </c>
      <c r="O477" s="67">
        <f>ROUND(IF(F477="rame",0,+I477*3%),4)</f>
        <v>0</v>
      </c>
      <c r="P477" s="67">
        <f>ROUND(IF(O477&lt;J477,O477,0),4)</f>
        <v>0</v>
      </c>
      <c r="Q477" s="67">
        <f>ROUND(IF(J477&gt;O477,0,J477),4)</f>
        <v>0</v>
      </c>
      <c r="R477" s="67">
        <f>ROUND(+P477*D477,4)</f>
        <v>0</v>
      </c>
      <c r="S477" s="67">
        <f>ROUND(IF(K477=0,0,M477*D477),4)</f>
        <v>0</v>
      </c>
      <c r="T477" s="67">
        <f>ROUND(+IF(K477=0,Q477*D477,0),4)</f>
        <v>0</v>
      </c>
      <c r="U477" s="67">
        <f>ROUND(+N477+R477+S477+T477,4)</f>
        <v>0</v>
      </c>
      <c r="V477" s="67">
        <f>ROUND(IF(P477=0,0,I477-H477-O477)+IF(L477=0,0,I477-H477-K477),4)</f>
        <v>0</v>
      </c>
      <c r="W477" s="67">
        <f>ROUND(+(V477*60%)*D477,4)</f>
        <v>0</v>
      </c>
      <c r="X477" s="148">
        <f>ROUND(+U477+W477,4)</f>
        <v>0</v>
      </c>
      <c r="Y477" s="68"/>
      <c r="Z477" s="148">
        <f>ROUND(IF(X477&gt;I477,X477,I477),4)</f>
        <v>0</v>
      </c>
    </row>
    <row r="478" spans="1:26" x14ac:dyDescent="0.2">
      <c r="A478" s="66"/>
      <c r="B478" s="66"/>
      <c r="C478" s="66"/>
      <c r="D478" s="144"/>
      <c r="E478" s="67"/>
      <c r="F478" s="67"/>
      <c r="G478" s="67"/>
      <c r="H478" s="67">
        <f>ROUND(+E478+G478,4)</f>
        <v>0</v>
      </c>
      <c r="I478" s="67"/>
      <c r="J478" s="67">
        <f>ROUND(+I478-H478,4)</f>
        <v>0</v>
      </c>
      <c r="K478" s="67">
        <f>ROUND(IF(F478="alluminio",0,I478*1.5%),4)</f>
        <v>0</v>
      </c>
      <c r="L478" s="67">
        <f>ROUND(IF(K478&lt;J478,K478,0),4)</f>
        <v>0</v>
      </c>
      <c r="M478" s="67">
        <f>ROUND(IF(J478&gt;K478,0,J478),4)</f>
        <v>0</v>
      </c>
      <c r="N478" s="67">
        <f>ROUND(+L478*D478,4)</f>
        <v>0</v>
      </c>
      <c r="O478" s="67">
        <f>ROUND(IF(F478="rame",0,+I478*3%),4)</f>
        <v>0</v>
      </c>
      <c r="P478" s="67">
        <f>ROUND(IF(O478&lt;J478,O478,0),4)</f>
        <v>0</v>
      </c>
      <c r="Q478" s="67">
        <f>ROUND(IF(J478&gt;O478,0,J478),4)</f>
        <v>0</v>
      </c>
      <c r="R478" s="67">
        <f>ROUND(+P478*D478,4)</f>
        <v>0</v>
      </c>
      <c r="S478" s="67">
        <f>ROUND(IF(K478=0,0,M478*D478),4)</f>
        <v>0</v>
      </c>
      <c r="T478" s="67">
        <f>ROUND(+IF(K478=0,Q478*D478,0),4)</f>
        <v>0</v>
      </c>
      <c r="U478" s="67">
        <f>ROUND(+N478+R478+S478+T478,4)</f>
        <v>0</v>
      </c>
      <c r="V478" s="67">
        <f>ROUND(IF(P478=0,0,I478-H478-O478)+IF(L478=0,0,I478-H478-K478),4)</f>
        <v>0</v>
      </c>
      <c r="W478" s="67">
        <f>ROUND(+(V478*60%)*D478,4)</f>
        <v>0</v>
      </c>
      <c r="X478" s="148">
        <f>ROUND(+U478+W478,4)</f>
        <v>0</v>
      </c>
      <c r="Y478" s="68"/>
      <c r="Z478" s="148">
        <f>ROUND(IF(X478&gt;I478,X478,I478),4)</f>
        <v>0</v>
      </c>
    </row>
    <row r="479" spans="1:26" x14ac:dyDescent="0.2">
      <c r="A479" s="66"/>
      <c r="B479" s="66"/>
      <c r="C479" s="66"/>
      <c r="D479" s="144"/>
      <c r="E479" s="67"/>
      <c r="F479" s="67"/>
      <c r="G479" s="67"/>
      <c r="H479" s="67">
        <f>ROUND(+E479+G479,4)</f>
        <v>0</v>
      </c>
      <c r="I479" s="67"/>
      <c r="J479" s="67">
        <f>ROUND(+I479-H479,4)</f>
        <v>0</v>
      </c>
      <c r="K479" s="67">
        <f>ROUND(IF(F479="alluminio",0,I479*1.5%),4)</f>
        <v>0</v>
      </c>
      <c r="L479" s="67">
        <f>ROUND(IF(K479&lt;J479,K479,0),4)</f>
        <v>0</v>
      </c>
      <c r="M479" s="67">
        <f>ROUND(IF(J479&gt;K479,0,J479),4)</f>
        <v>0</v>
      </c>
      <c r="N479" s="67">
        <f>ROUND(+L479*D479,4)</f>
        <v>0</v>
      </c>
      <c r="O479" s="67">
        <f>ROUND(IF(F479="rame",0,+I479*3%),4)</f>
        <v>0</v>
      </c>
      <c r="P479" s="67">
        <f>ROUND(IF(O479&lt;J479,O479,0),4)</f>
        <v>0</v>
      </c>
      <c r="Q479" s="67">
        <f>ROUND(IF(J479&gt;O479,0,J479),4)</f>
        <v>0</v>
      </c>
      <c r="R479" s="67">
        <f>ROUND(+P479*D479,4)</f>
        <v>0</v>
      </c>
      <c r="S479" s="67">
        <f>ROUND(IF(K479=0,0,M479*D479),4)</f>
        <v>0</v>
      </c>
      <c r="T479" s="67">
        <f>ROUND(+IF(K479=0,Q479*D479,0),4)</f>
        <v>0</v>
      </c>
      <c r="U479" s="67">
        <f>ROUND(+N479+R479+S479+T479,4)</f>
        <v>0</v>
      </c>
      <c r="V479" s="67">
        <f>ROUND(IF(P479=0,0,I479-H479-O479)+IF(L479=0,0,I479-H479-K479),4)</f>
        <v>0</v>
      </c>
      <c r="W479" s="67">
        <f>ROUND(+(V479*60%)*D479,4)</f>
        <v>0</v>
      </c>
      <c r="X479" s="148">
        <f>ROUND(+U479+W479,4)</f>
        <v>0</v>
      </c>
      <c r="Y479" s="68"/>
      <c r="Z479" s="148">
        <f>ROUND(IF(X479&gt;I479,X479,I479),4)</f>
        <v>0</v>
      </c>
    </row>
    <row r="480" spans="1:26" x14ac:dyDescent="0.2">
      <c r="A480" s="66"/>
      <c r="B480" s="66"/>
      <c r="C480" s="66"/>
      <c r="D480" s="144"/>
      <c r="E480" s="67"/>
      <c r="F480" s="67"/>
      <c r="G480" s="67"/>
      <c r="H480" s="67">
        <f>ROUND(+E480+G480,4)</f>
        <v>0</v>
      </c>
      <c r="I480" s="67"/>
      <c r="J480" s="67">
        <f>ROUND(+I480-H480,4)</f>
        <v>0</v>
      </c>
      <c r="K480" s="67">
        <f>ROUND(IF(F480="alluminio",0,I480*1.5%),4)</f>
        <v>0</v>
      </c>
      <c r="L480" s="67">
        <f>ROUND(IF(K480&lt;J480,K480,0),4)</f>
        <v>0</v>
      </c>
      <c r="M480" s="67">
        <f>ROUND(IF(J480&gt;K480,0,J480),4)</f>
        <v>0</v>
      </c>
      <c r="N480" s="67">
        <f>ROUND(+L480*D480,4)</f>
        <v>0</v>
      </c>
      <c r="O480" s="67">
        <f>ROUND(IF(F480="rame",0,+I480*3%),4)</f>
        <v>0</v>
      </c>
      <c r="P480" s="67">
        <f>ROUND(IF(O480&lt;J480,O480,0),4)</f>
        <v>0</v>
      </c>
      <c r="Q480" s="67">
        <f>ROUND(IF(J480&gt;O480,0,J480),4)</f>
        <v>0</v>
      </c>
      <c r="R480" s="67">
        <f>ROUND(+P480*D480,4)</f>
        <v>0</v>
      </c>
      <c r="S480" s="67">
        <f>ROUND(IF(K480=0,0,M480*D480),4)</f>
        <v>0</v>
      </c>
      <c r="T480" s="67">
        <f>ROUND(+IF(K480=0,Q480*D480,0),4)</f>
        <v>0</v>
      </c>
      <c r="U480" s="67">
        <f>ROUND(+N480+R480+S480+T480,4)</f>
        <v>0</v>
      </c>
      <c r="V480" s="67">
        <f>ROUND(IF(P480=0,0,I480-H480-O480)+IF(L480=0,0,I480-H480-K480),4)</f>
        <v>0</v>
      </c>
      <c r="W480" s="67">
        <f>ROUND(+(V480*60%)*D480,4)</f>
        <v>0</v>
      </c>
      <c r="X480" s="148">
        <f>ROUND(+U480+W480,4)</f>
        <v>0</v>
      </c>
      <c r="Y480" s="68"/>
      <c r="Z480" s="148">
        <f>ROUND(IF(X480&gt;I480,X480,I480),4)</f>
        <v>0</v>
      </c>
    </row>
    <row r="481" spans="1:26" x14ac:dyDescent="0.2">
      <c r="A481" s="66"/>
      <c r="B481" s="66"/>
      <c r="C481" s="66"/>
      <c r="D481" s="144"/>
      <c r="E481" s="67"/>
      <c r="F481" s="67"/>
      <c r="G481" s="67"/>
      <c r="H481" s="67">
        <f>ROUND(+E481+G481,4)</f>
        <v>0</v>
      </c>
      <c r="I481" s="67"/>
      <c r="J481" s="67">
        <f>ROUND(+I481-H481,4)</f>
        <v>0</v>
      </c>
      <c r="K481" s="67">
        <f>ROUND(IF(F481="alluminio",0,I481*1.5%),4)</f>
        <v>0</v>
      </c>
      <c r="L481" s="67">
        <f>ROUND(IF(K481&lt;J481,K481,0),4)</f>
        <v>0</v>
      </c>
      <c r="M481" s="67">
        <f>ROUND(IF(J481&gt;K481,0,J481),4)</f>
        <v>0</v>
      </c>
      <c r="N481" s="67">
        <f>ROUND(+L481*D481,4)</f>
        <v>0</v>
      </c>
      <c r="O481" s="67">
        <f>ROUND(IF(F481="rame",0,+I481*3%),4)</f>
        <v>0</v>
      </c>
      <c r="P481" s="67">
        <f>ROUND(IF(O481&lt;J481,O481,0),4)</f>
        <v>0</v>
      </c>
      <c r="Q481" s="67">
        <f>ROUND(IF(J481&gt;O481,0,J481),4)</f>
        <v>0</v>
      </c>
      <c r="R481" s="67">
        <f>ROUND(+P481*D481,4)</f>
        <v>0</v>
      </c>
      <c r="S481" s="67">
        <f>ROUND(IF(K481=0,0,M481*D481),4)</f>
        <v>0</v>
      </c>
      <c r="T481" s="67">
        <f>ROUND(+IF(K481=0,Q481*D481,0),4)</f>
        <v>0</v>
      </c>
      <c r="U481" s="67">
        <f>ROUND(+N481+R481+S481+T481,4)</f>
        <v>0</v>
      </c>
      <c r="V481" s="67">
        <f>ROUND(IF(P481=0,0,I481-H481-O481)+IF(L481=0,0,I481-H481-K481),4)</f>
        <v>0</v>
      </c>
      <c r="W481" s="67">
        <f>ROUND(+(V481*60%)*D481,4)</f>
        <v>0</v>
      </c>
      <c r="X481" s="148">
        <f>ROUND(+U481+W481,4)</f>
        <v>0</v>
      </c>
      <c r="Y481" s="68"/>
      <c r="Z481" s="148">
        <f>ROUND(IF(X481&gt;I481,X481,I481),4)</f>
        <v>0</v>
      </c>
    </row>
    <row r="482" spans="1:26" x14ac:dyDescent="0.2">
      <c r="A482" s="66"/>
      <c r="B482" s="66"/>
      <c r="C482" s="66"/>
      <c r="D482" s="144"/>
      <c r="E482" s="67"/>
      <c r="F482" s="67"/>
      <c r="G482" s="67"/>
      <c r="H482" s="67">
        <f>ROUND(+E482+G482,4)</f>
        <v>0</v>
      </c>
      <c r="I482" s="67"/>
      <c r="J482" s="67">
        <f>ROUND(+I482-H482,4)</f>
        <v>0</v>
      </c>
      <c r="K482" s="67">
        <f>ROUND(IF(F482="alluminio",0,I482*1.5%),4)</f>
        <v>0</v>
      </c>
      <c r="L482" s="67">
        <f>ROUND(IF(K482&lt;J482,K482,0),4)</f>
        <v>0</v>
      </c>
      <c r="M482" s="67">
        <f>ROUND(IF(J482&gt;K482,0,J482),4)</f>
        <v>0</v>
      </c>
      <c r="N482" s="67">
        <f>ROUND(+L482*D482,4)</f>
        <v>0</v>
      </c>
      <c r="O482" s="67">
        <f>ROUND(IF(F482="rame",0,+I482*3%),4)</f>
        <v>0</v>
      </c>
      <c r="P482" s="67">
        <f>ROUND(IF(O482&lt;J482,O482,0),4)</f>
        <v>0</v>
      </c>
      <c r="Q482" s="67">
        <f>ROUND(IF(J482&gt;O482,0,J482),4)</f>
        <v>0</v>
      </c>
      <c r="R482" s="67">
        <f>ROUND(+P482*D482,4)</f>
        <v>0</v>
      </c>
      <c r="S482" s="67">
        <f>ROUND(IF(K482=0,0,M482*D482),4)</f>
        <v>0</v>
      </c>
      <c r="T482" s="67">
        <f>ROUND(+IF(K482=0,Q482*D482,0),4)</f>
        <v>0</v>
      </c>
      <c r="U482" s="67">
        <f>ROUND(+N482+R482+S482+T482,4)</f>
        <v>0</v>
      </c>
      <c r="V482" s="67">
        <f>ROUND(IF(P482=0,0,I482-H482-O482)+IF(L482=0,0,I482-H482-K482),4)</f>
        <v>0</v>
      </c>
      <c r="W482" s="67">
        <f>ROUND(+(V482*60%)*D482,4)</f>
        <v>0</v>
      </c>
      <c r="X482" s="148">
        <f>ROUND(+U482+W482,4)</f>
        <v>0</v>
      </c>
      <c r="Y482" s="68"/>
      <c r="Z482" s="148">
        <f>ROUND(IF(X482&gt;I482,X482,I482),4)</f>
        <v>0</v>
      </c>
    </row>
    <row r="483" spans="1:26" x14ac:dyDescent="0.2">
      <c r="A483" s="66"/>
      <c r="B483" s="66"/>
      <c r="C483" s="66"/>
      <c r="D483" s="144"/>
      <c r="E483" s="67"/>
      <c r="F483" s="67"/>
      <c r="G483" s="67"/>
      <c r="H483" s="67">
        <f>ROUND(+E483+G483,4)</f>
        <v>0</v>
      </c>
      <c r="I483" s="67"/>
      <c r="J483" s="67">
        <f>ROUND(+I483-H483,4)</f>
        <v>0</v>
      </c>
      <c r="K483" s="67">
        <f>ROUND(IF(F483="alluminio",0,I483*1.5%),4)</f>
        <v>0</v>
      </c>
      <c r="L483" s="67">
        <f>ROUND(IF(K483&lt;J483,K483,0),4)</f>
        <v>0</v>
      </c>
      <c r="M483" s="67">
        <f>ROUND(IF(J483&gt;K483,0,J483),4)</f>
        <v>0</v>
      </c>
      <c r="N483" s="67">
        <f>ROUND(+L483*D483,4)</f>
        <v>0</v>
      </c>
      <c r="O483" s="67">
        <f>ROUND(IF(F483="rame",0,+I483*3%),4)</f>
        <v>0</v>
      </c>
      <c r="P483" s="67">
        <f>ROUND(IF(O483&lt;J483,O483,0),4)</f>
        <v>0</v>
      </c>
      <c r="Q483" s="67">
        <f>ROUND(IF(J483&gt;O483,0,J483),4)</f>
        <v>0</v>
      </c>
      <c r="R483" s="67">
        <f>ROUND(+P483*D483,4)</f>
        <v>0</v>
      </c>
      <c r="S483" s="67">
        <f>ROUND(IF(K483=0,0,M483*D483),4)</f>
        <v>0</v>
      </c>
      <c r="T483" s="67">
        <f>ROUND(+IF(K483=0,Q483*D483,0),4)</f>
        <v>0</v>
      </c>
      <c r="U483" s="67">
        <f>ROUND(+N483+R483+S483+T483,4)</f>
        <v>0</v>
      </c>
      <c r="V483" s="67">
        <f>ROUND(IF(P483=0,0,I483-H483-O483)+IF(L483=0,0,I483-H483-K483),4)</f>
        <v>0</v>
      </c>
      <c r="W483" s="67">
        <f>ROUND(+(V483*60%)*D483,4)</f>
        <v>0</v>
      </c>
      <c r="X483" s="148">
        <f>ROUND(+U483+W483,4)</f>
        <v>0</v>
      </c>
      <c r="Y483" s="68"/>
      <c r="Z483" s="148">
        <f>ROUND(IF(X483&gt;I483,X483,I483),4)</f>
        <v>0</v>
      </c>
    </row>
    <row r="484" spans="1:26" x14ac:dyDescent="0.2">
      <c r="A484" s="66"/>
      <c r="B484" s="66"/>
      <c r="C484" s="66"/>
      <c r="D484" s="144"/>
      <c r="E484" s="67"/>
      <c r="F484" s="67"/>
      <c r="G484" s="67"/>
      <c r="H484" s="67">
        <f>ROUND(+E484+G484,4)</f>
        <v>0</v>
      </c>
      <c r="I484" s="67"/>
      <c r="J484" s="67">
        <f>ROUND(+I484-H484,4)</f>
        <v>0</v>
      </c>
      <c r="K484" s="67">
        <f>ROUND(IF(F484="alluminio",0,I484*1.5%),4)</f>
        <v>0</v>
      </c>
      <c r="L484" s="67">
        <f>ROUND(IF(K484&lt;J484,K484,0),4)</f>
        <v>0</v>
      </c>
      <c r="M484" s="67">
        <f>ROUND(IF(J484&gt;K484,0,J484),4)</f>
        <v>0</v>
      </c>
      <c r="N484" s="67">
        <f>ROUND(+L484*D484,4)</f>
        <v>0</v>
      </c>
      <c r="O484" s="67">
        <f>ROUND(IF(F484="rame",0,+I484*3%),4)</f>
        <v>0</v>
      </c>
      <c r="P484" s="67">
        <f>ROUND(IF(O484&lt;J484,O484,0),4)</f>
        <v>0</v>
      </c>
      <c r="Q484" s="67">
        <f>ROUND(IF(J484&gt;O484,0,J484),4)</f>
        <v>0</v>
      </c>
      <c r="R484" s="67">
        <f>ROUND(+P484*D484,4)</f>
        <v>0</v>
      </c>
      <c r="S484" s="67">
        <f>ROUND(IF(K484=0,0,M484*D484),4)</f>
        <v>0</v>
      </c>
      <c r="T484" s="67">
        <f>ROUND(+IF(K484=0,Q484*D484,0),4)</f>
        <v>0</v>
      </c>
      <c r="U484" s="67">
        <f>ROUND(+N484+R484+S484+T484,4)</f>
        <v>0</v>
      </c>
      <c r="V484" s="67">
        <f>ROUND(IF(P484=0,0,I484-H484-O484)+IF(L484=0,0,I484-H484-K484),4)</f>
        <v>0</v>
      </c>
      <c r="W484" s="67">
        <f>ROUND(+(V484*60%)*D484,4)</f>
        <v>0</v>
      </c>
      <c r="X484" s="148">
        <f>ROUND(+U484+W484,4)</f>
        <v>0</v>
      </c>
      <c r="Y484" s="68"/>
      <c r="Z484" s="148">
        <f>ROUND(IF(X484&gt;I484,X484,I484),4)</f>
        <v>0</v>
      </c>
    </row>
    <row r="485" spans="1:26" x14ac:dyDescent="0.2">
      <c r="A485" s="66"/>
      <c r="B485" s="66"/>
      <c r="C485" s="66"/>
      <c r="D485" s="144"/>
      <c r="E485" s="67"/>
      <c r="F485" s="67"/>
      <c r="G485" s="67"/>
      <c r="H485" s="67">
        <f>ROUND(+E485+G485,4)</f>
        <v>0</v>
      </c>
      <c r="I485" s="67"/>
      <c r="J485" s="67">
        <f>ROUND(+I485-H485,4)</f>
        <v>0</v>
      </c>
      <c r="K485" s="67">
        <f>ROUND(IF(F485="alluminio",0,I485*1.5%),4)</f>
        <v>0</v>
      </c>
      <c r="L485" s="67">
        <f>ROUND(IF(K485&lt;J485,K485,0),4)</f>
        <v>0</v>
      </c>
      <c r="M485" s="67">
        <f>ROUND(IF(J485&gt;K485,0,J485),4)</f>
        <v>0</v>
      </c>
      <c r="N485" s="67">
        <f>ROUND(+L485*D485,4)</f>
        <v>0</v>
      </c>
      <c r="O485" s="67">
        <f>ROUND(IF(F485="rame",0,+I485*3%),4)</f>
        <v>0</v>
      </c>
      <c r="P485" s="67">
        <f>ROUND(IF(O485&lt;J485,O485,0),4)</f>
        <v>0</v>
      </c>
      <c r="Q485" s="67">
        <f>ROUND(IF(J485&gt;O485,0,J485),4)</f>
        <v>0</v>
      </c>
      <c r="R485" s="67">
        <f>ROUND(+P485*D485,4)</f>
        <v>0</v>
      </c>
      <c r="S485" s="67">
        <f>ROUND(IF(K485=0,0,M485*D485),4)</f>
        <v>0</v>
      </c>
      <c r="T485" s="67">
        <f>ROUND(+IF(K485=0,Q485*D485,0),4)</f>
        <v>0</v>
      </c>
      <c r="U485" s="67">
        <f>ROUND(+N485+R485+S485+T485,4)</f>
        <v>0</v>
      </c>
      <c r="V485" s="67">
        <f>ROUND(IF(P485=0,0,I485-H485-O485)+IF(L485=0,0,I485-H485-K485),4)</f>
        <v>0</v>
      </c>
      <c r="W485" s="67">
        <f>ROUND(+(V485*60%)*D485,4)</f>
        <v>0</v>
      </c>
      <c r="X485" s="148">
        <f>ROUND(+U485+W485,4)</f>
        <v>0</v>
      </c>
      <c r="Y485" s="68"/>
      <c r="Z485" s="148">
        <f>ROUND(IF(X485&gt;I485,X485,I485),4)</f>
        <v>0</v>
      </c>
    </row>
    <row r="486" spans="1:26" x14ac:dyDescent="0.2">
      <c r="A486" s="66"/>
      <c r="B486" s="66"/>
      <c r="C486" s="66"/>
      <c r="D486" s="144"/>
      <c r="E486" s="67"/>
      <c r="F486" s="67"/>
      <c r="G486" s="67"/>
      <c r="H486" s="67">
        <f>ROUND(+E486+G486,4)</f>
        <v>0</v>
      </c>
      <c r="I486" s="67"/>
      <c r="J486" s="67">
        <f>ROUND(+I486-H486,4)</f>
        <v>0</v>
      </c>
      <c r="K486" s="67">
        <f>ROUND(IF(F486="alluminio",0,I486*1.5%),4)</f>
        <v>0</v>
      </c>
      <c r="L486" s="67">
        <f>ROUND(IF(K486&lt;J486,K486,0),4)</f>
        <v>0</v>
      </c>
      <c r="M486" s="67">
        <f>ROUND(IF(J486&gt;K486,0,J486),4)</f>
        <v>0</v>
      </c>
      <c r="N486" s="67">
        <f>ROUND(+L486*D486,4)</f>
        <v>0</v>
      </c>
      <c r="O486" s="67">
        <f>ROUND(IF(F486="rame",0,+I486*3%),4)</f>
        <v>0</v>
      </c>
      <c r="P486" s="67">
        <f>ROUND(IF(O486&lt;J486,O486,0),4)</f>
        <v>0</v>
      </c>
      <c r="Q486" s="67">
        <f>ROUND(IF(J486&gt;O486,0,J486),4)</f>
        <v>0</v>
      </c>
      <c r="R486" s="67">
        <f>ROUND(+P486*D486,4)</f>
        <v>0</v>
      </c>
      <c r="S486" s="67">
        <f>ROUND(IF(K486=0,0,M486*D486),4)</f>
        <v>0</v>
      </c>
      <c r="T486" s="67">
        <f>ROUND(+IF(K486=0,Q486*D486,0),4)</f>
        <v>0</v>
      </c>
      <c r="U486" s="67">
        <f>ROUND(+N486+R486+S486+T486,4)</f>
        <v>0</v>
      </c>
      <c r="V486" s="67">
        <f>ROUND(IF(P486=0,0,I486-H486-O486)+IF(L486=0,0,I486-H486-K486),4)</f>
        <v>0</v>
      </c>
      <c r="W486" s="67">
        <f>ROUND(+(V486*60%)*D486,4)</f>
        <v>0</v>
      </c>
      <c r="X486" s="148">
        <f>ROUND(+U486+W486,4)</f>
        <v>0</v>
      </c>
      <c r="Y486" s="68"/>
      <c r="Z486" s="148">
        <f>ROUND(IF(X486&gt;I486,X486,I486),4)</f>
        <v>0</v>
      </c>
    </row>
    <row r="487" spans="1:26" x14ac:dyDescent="0.2">
      <c r="A487" s="66"/>
      <c r="B487" s="66"/>
      <c r="C487" s="66"/>
      <c r="D487" s="144"/>
      <c r="E487" s="67"/>
      <c r="F487" s="67"/>
      <c r="G487" s="67"/>
      <c r="H487" s="67">
        <f>ROUND(+E487+G487,4)</f>
        <v>0</v>
      </c>
      <c r="I487" s="67"/>
      <c r="J487" s="67">
        <f>ROUND(+I487-H487,4)</f>
        <v>0</v>
      </c>
      <c r="K487" s="67">
        <f>ROUND(IF(F487="alluminio",0,I487*1.5%),4)</f>
        <v>0</v>
      </c>
      <c r="L487" s="67">
        <f>ROUND(IF(K487&lt;J487,K487,0),4)</f>
        <v>0</v>
      </c>
      <c r="M487" s="67">
        <f>ROUND(IF(J487&gt;K487,0,J487),4)</f>
        <v>0</v>
      </c>
      <c r="N487" s="67">
        <f>ROUND(+L487*D487,4)</f>
        <v>0</v>
      </c>
      <c r="O487" s="67">
        <f>ROUND(IF(F487="rame",0,+I487*3%),4)</f>
        <v>0</v>
      </c>
      <c r="P487" s="67">
        <f>ROUND(IF(O487&lt;J487,O487,0),4)</f>
        <v>0</v>
      </c>
      <c r="Q487" s="67">
        <f>ROUND(IF(J487&gt;O487,0,J487),4)</f>
        <v>0</v>
      </c>
      <c r="R487" s="67">
        <f>ROUND(+P487*D487,4)</f>
        <v>0</v>
      </c>
      <c r="S487" s="67">
        <f>ROUND(IF(K487=0,0,M487*D487),4)</f>
        <v>0</v>
      </c>
      <c r="T487" s="67">
        <f>ROUND(+IF(K487=0,Q487*D487,0),4)</f>
        <v>0</v>
      </c>
      <c r="U487" s="67">
        <f>ROUND(+N487+R487+S487+T487,4)</f>
        <v>0</v>
      </c>
      <c r="V487" s="67">
        <f>ROUND(IF(P487=0,0,I487-H487-O487)+IF(L487=0,0,I487-H487-K487),4)</f>
        <v>0</v>
      </c>
      <c r="W487" s="67">
        <f>ROUND(+(V487*60%)*D487,4)</f>
        <v>0</v>
      </c>
      <c r="X487" s="148">
        <f>ROUND(+U487+W487,4)</f>
        <v>0</v>
      </c>
      <c r="Y487" s="68"/>
      <c r="Z487" s="148">
        <f>ROUND(IF(X487&gt;I487,X487,I487),4)</f>
        <v>0</v>
      </c>
    </row>
    <row r="488" spans="1:26" x14ac:dyDescent="0.2">
      <c r="A488" s="66"/>
      <c r="B488" s="66"/>
      <c r="C488" s="66"/>
      <c r="D488" s="144"/>
      <c r="E488" s="67"/>
      <c r="F488" s="67"/>
      <c r="G488" s="67"/>
      <c r="H488" s="67">
        <f>ROUND(+E488+G488,4)</f>
        <v>0</v>
      </c>
      <c r="I488" s="67"/>
      <c r="J488" s="67">
        <f>ROUND(+I488-H488,4)</f>
        <v>0</v>
      </c>
      <c r="K488" s="67">
        <f>ROUND(IF(F488="alluminio",0,I488*1.5%),4)</f>
        <v>0</v>
      </c>
      <c r="L488" s="67">
        <f>ROUND(IF(K488&lt;J488,K488,0),4)</f>
        <v>0</v>
      </c>
      <c r="M488" s="67">
        <f>ROUND(IF(J488&gt;K488,0,J488),4)</f>
        <v>0</v>
      </c>
      <c r="N488" s="67">
        <f>ROUND(+L488*D488,4)</f>
        <v>0</v>
      </c>
      <c r="O488" s="67">
        <f>ROUND(IF(F488="rame",0,+I488*3%),4)</f>
        <v>0</v>
      </c>
      <c r="P488" s="67">
        <f>ROUND(IF(O488&lt;J488,O488,0),4)</f>
        <v>0</v>
      </c>
      <c r="Q488" s="67">
        <f>ROUND(IF(J488&gt;O488,0,J488),4)</f>
        <v>0</v>
      </c>
      <c r="R488" s="67">
        <f>ROUND(+P488*D488,4)</f>
        <v>0</v>
      </c>
      <c r="S488" s="67">
        <f>ROUND(IF(K488=0,0,M488*D488),4)</f>
        <v>0</v>
      </c>
      <c r="T488" s="67">
        <f>ROUND(+IF(K488=0,Q488*D488,0),4)</f>
        <v>0</v>
      </c>
      <c r="U488" s="67">
        <f>ROUND(+N488+R488+S488+T488,4)</f>
        <v>0</v>
      </c>
      <c r="V488" s="67">
        <f>ROUND(IF(P488=0,0,I488-H488-O488)+IF(L488=0,0,I488-H488-K488),4)</f>
        <v>0</v>
      </c>
      <c r="W488" s="67">
        <f>ROUND(+(V488*60%)*D488,4)</f>
        <v>0</v>
      </c>
      <c r="X488" s="148">
        <f>ROUND(+U488+W488,4)</f>
        <v>0</v>
      </c>
      <c r="Y488" s="68"/>
      <c r="Z488" s="148">
        <f>ROUND(IF(X488&gt;I488,X488,I488),4)</f>
        <v>0</v>
      </c>
    </row>
    <row r="489" spans="1:26" x14ac:dyDescent="0.2">
      <c r="A489" s="66"/>
      <c r="B489" s="66"/>
      <c r="C489" s="66"/>
      <c r="D489" s="144"/>
      <c r="E489" s="67"/>
      <c r="F489" s="67"/>
      <c r="G489" s="67"/>
      <c r="H489" s="67">
        <f>ROUND(+E489+G489,4)</f>
        <v>0</v>
      </c>
      <c r="I489" s="67"/>
      <c r="J489" s="67">
        <f>ROUND(+I489-H489,4)</f>
        <v>0</v>
      </c>
      <c r="K489" s="67">
        <f>ROUND(IF(F489="alluminio",0,I489*1.5%),4)</f>
        <v>0</v>
      </c>
      <c r="L489" s="67">
        <f>ROUND(IF(K489&lt;J489,K489,0),4)</f>
        <v>0</v>
      </c>
      <c r="M489" s="67">
        <f>ROUND(IF(J489&gt;K489,0,J489),4)</f>
        <v>0</v>
      </c>
      <c r="N489" s="67">
        <f>ROUND(+L489*D489,4)</f>
        <v>0</v>
      </c>
      <c r="O489" s="67">
        <f>ROUND(IF(F489="rame",0,+I489*3%),4)</f>
        <v>0</v>
      </c>
      <c r="P489" s="67">
        <f>ROUND(IF(O489&lt;J489,O489,0),4)</f>
        <v>0</v>
      </c>
      <c r="Q489" s="67">
        <f>ROUND(IF(J489&gt;O489,0,J489),4)</f>
        <v>0</v>
      </c>
      <c r="R489" s="67">
        <f>ROUND(+P489*D489,4)</f>
        <v>0</v>
      </c>
      <c r="S489" s="67">
        <f>ROUND(IF(K489=0,0,M489*D489),4)</f>
        <v>0</v>
      </c>
      <c r="T489" s="67">
        <f>ROUND(+IF(K489=0,Q489*D489,0),4)</f>
        <v>0</v>
      </c>
      <c r="U489" s="67">
        <f>ROUND(+N489+R489+S489+T489,4)</f>
        <v>0</v>
      </c>
      <c r="V489" s="67">
        <f>ROUND(IF(P489=0,0,I489-H489-O489)+IF(L489=0,0,I489-H489-K489),4)</f>
        <v>0</v>
      </c>
      <c r="W489" s="67">
        <f>ROUND(+(V489*60%)*D489,4)</f>
        <v>0</v>
      </c>
      <c r="X489" s="148">
        <f>ROUND(+U489+W489,4)</f>
        <v>0</v>
      </c>
      <c r="Y489" s="68"/>
      <c r="Z489" s="148">
        <f>ROUND(IF(X489&gt;I489,X489,I489),4)</f>
        <v>0</v>
      </c>
    </row>
    <row r="490" spans="1:26" x14ac:dyDescent="0.2">
      <c r="A490" s="66"/>
      <c r="B490" s="66"/>
      <c r="C490" s="66"/>
      <c r="D490" s="144"/>
      <c r="E490" s="67"/>
      <c r="F490" s="67"/>
      <c r="G490" s="67"/>
      <c r="H490" s="67">
        <f>ROUND(+E490+G490,4)</f>
        <v>0</v>
      </c>
      <c r="I490" s="67"/>
      <c r="J490" s="67">
        <f>ROUND(+I490-H490,4)</f>
        <v>0</v>
      </c>
      <c r="K490" s="67">
        <f>ROUND(IF(F490="alluminio",0,I490*1.5%),4)</f>
        <v>0</v>
      </c>
      <c r="L490" s="67">
        <f>ROUND(IF(K490&lt;J490,K490,0),4)</f>
        <v>0</v>
      </c>
      <c r="M490" s="67">
        <f>ROUND(IF(J490&gt;K490,0,J490),4)</f>
        <v>0</v>
      </c>
      <c r="N490" s="67">
        <f>ROUND(+L490*D490,4)</f>
        <v>0</v>
      </c>
      <c r="O490" s="67">
        <f>ROUND(IF(F490="rame",0,+I490*3%),4)</f>
        <v>0</v>
      </c>
      <c r="P490" s="67">
        <f>ROUND(IF(O490&lt;J490,O490,0),4)</f>
        <v>0</v>
      </c>
      <c r="Q490" s="67">
        <f>ROUND(IF(J490&gt;O490,0,J490),4)</f>
        <v>0</v>
      </c>
      <c r="R490" s="67">
        <f>ROUND(+P490*D490,4)</f>
        <v>0</v>
      </c>
      <c r="S490" s="67">
        <f>ROUND(IF(K490=0,0,M490*D490),4)</f>
        <v>0</v>
      </c>
      <c r="T490" s="67">
        <f>ROUND(+IF(K490=0,Q490*D490,0),4)</f>
        <v>0</v>
      </c>
      <c r="U490" s="67">
        <f>ROUND(+N490+R490+S490+T490,4)</f>
        <v>0</v>
      </c>
      <c r="V490" s="67">
        <f>ROUND(IF(P490=0,0,I490-H490-O490)+IF(L490=0,0,I490-H490-K490),4)</f>
        <v>0</v>
      </c>
      <c r="W490" s="67">
        <f>ROUND(+(V490*60%)*D490,4)</f>
        <v>0</v>
      </c>
      <c r="X490" s="148">
        <f>ROUND(+U490+W490,4)</f>
        <v>0</v>
      </c>
      <c r="Y490" s="68"/>
      <c r="Z490" s="148">
        <f>ROUND(IF(X490&gt;I490,X490,I490),4)</f>
        <v>0</v>
      </c>
    </row>
    <row r="491" spans="1:26" x14ac:dyDescent="0.2">
      <c r="A491" s="66"/>
      <c r="B491" s="66"/>
      <c r="C491" s="66"/>
      <c r="D491" s="144"/>
      <c r="E491" s="67"/>
      <c r="F491" s="67"/>
      <c r="G491" s="67"/>
      <c r="H491" s="67">
        <f>ROUND(+E491+G491,4)</f>
        <v>0</v>
      </c>
      <c r="I491" s="67"/>
      <c r="J491" s="67">
        <f>ROUND(+I491-H491,4)</f>
        <v>0</v>
      </c>
      <c r="K491" s="67">
        <f>ROUND(IF(F491="alluminio",0,I491*1.5%),4)</f>
        <v>0</v>
      </c>
      <c r="L491" s="67">
        <f>ROUND(IF(K491&lt;J491,K491,0),4)</f>
        <v>0</v>
      </c>
      <c r="M491" s="67">
        <f>ROUND(IF(J491&gt;K491,0,J491),4)</f>
        <v>0</v>
      </c>
      <c r="N491" s="67">
        <f>ROUND(+L491*D491,4)</f>
        <v>0</v>
      </c>
      <c r="O491" s="67">
        <f>ROUND(IF(F491="rame",0,+I491*3%),4)</f>
        <v>0</v>
      </c>
      <c r="P491" s="67">
        <f>ROUND(IF(O491&lt;J491,O491,0),4)</f>
        <v>0</v>
      </c>
      <c r="Q491" s="67">
        <f>ROUND(IF(J491&gt;O491,0,J491),4)</f>
        <v>0</v>
      </c>
      <c r="R491" s="67">
        <f>ROUND(+P491*D491,4)</f>
        <v>0</v>
      </c>
      <c r="S491" s="67">
        <f>ROUND(IF(K491=0,0,M491*D491),4)</f>
        <v>0</v>
      </c>
      <c r="T491" s="67">
        <f>ROUND(+IF(K491=0,Q491*D491,0),4)</f>
        <v>0</v>
      </c>
      <c r="U491" s="67">
        <f>ROUND(+N491+R491+S491+T491,4)</f>
        <v>0</v>
      </c>
      <c r="V491" s="67">
        <f>ROUND(IF(P491=0,0,I491-H491-O491)+IF(L491=0,0,I491-H491-K491),4)</f>
        <v>0</v>
      </c>
      <c r="W491" s="67">
        <f>ROUND(+(V491*60%)*D491,4)</f>
        <v>0</v>
      </c>
      <c r="X491" s="148">
        <f>ROUND(+U491+W491,4)</f>
        <v>0</v>
      </c>
      <c r="Y491" s="68"/>
      <c r="Z491" s="148">
        <f>ROUND(IF(X491&gt;I491,X491,I491),4)</f>
        <v>0</v>
      </c>
    </row>
    <row r="492" spans="1:26" x14ac:dyDescent="0.2">
      <c r="A492" s="66"/>
      <c r="B492" s="66"/>
      <c r="C492" s="66"/>
      <c r="D492" s="144"/>
      <c r="E492" s="67"/>
      <c r="F492" s="67"/>
      <c r="G492" s="67"/>
      <c r="H492" s="67">
        <f>ROUND(+E492+G492,4)</f>
        <v>0</v>
      </c>
      <c r="I492" s="67"/>
      <c r="J492" s="67">
        <f>ROUND(+I492-H492,4)</f>
        <v>0</v>
      </c>
      <c r="K492" s="67">
        <f>ROUND(IF(F492="alluminio",0,I492*1.5%),4)</f>
        <v>0</v>
      </c>
      <c r="L492" s="67">
        <f>ROUND(IF(K492&lt;J492,K492,0),4)</f>
        <v>0</v>
      </c>
      <c r="M492" s="67">
        <f>ROUND(IF(J492&gt;K492,0,J492),4)</f>
        <v>0</v>
      </c>
      <c r="N492" s="67">
        <f>ROUND(+L492*D492,4)</f>
        <v>0</v>
      </c>
      <c r="O492" s="67">
        <f>ROUND(IF(F492="rame",0,+I492*3%),4)</f>
        <v>0</v>
      </c>
      <c r="P492" s="67">
        <f>ROUND(IF(O492&lt;J492,O492,0),4)</f>
        <v>0</v>
      </c>
      <c r="Q492" s="67">
        <f>ROUND(IF(J492&gt;O492,0,J492),4)</f>
        <v>0</v>
      </c>
      <c r="R492" s="67">
        <f>ROUND(+P492*D492,4)</f>
        <v>0</v>
      </c>
      <c r="S492" s="67">
        <f>ROUND(IF(K492=0,0,M492*D492),4)</f>
        <v>0</v>
      </c>
      <c r="T492" s="67">
        <f>ROUND(+IF(K492=0,Q492*D492,0),4)</f>
        <v>0</v>
      </c>
      <c r="U492" s="67">
        <f>ROUND(+N492+R492+S492+T492,4)</f>
        <v>0</v>
      </c>
      <c r="V492" s="67">
        <f>ROUND(IF(P492=0,0,I492-H492-O492)+IF(L492=0,0,I492-H492-K492),4)</f>
        <v>0</v>
      </c>
      <c r="W492" s="67">
        <f>ROUND(+(V492*60%)*D492,4)</f>
        <v>0</v>
      </c>
      <c r="X492" s="148">
        <f>ROUND(+U492+W492,4)</f>
        <v>0</v>
      </c>
      <c r="Y492" s="68"/>
      <c r="Z492" s="148">
        <f>ROUND(IF(X492&gt;I492,X492,I492),4)</f>
        <v>0</v>
      </c>
    </row>
    <row r="493" spans="1:26" x14ac:dyDescent="0.2">
      <c r="A493" s="66"/>
      <c r="B493" s="66"/>
      <c r="C493" s="66"/>
      <c r="D493" s="144"/>
      <c r="E493" s="67"/>
      <c r="F493" s="67"/>
      <c r="G493" s="67"/>
      <c r="H493" s="67">
        <f>ROUND(+E493+G493,4)</f>
        <v>0</v>
      </c>
      <c r="I493" s="67"/>
      <c r="J493" s="67">
        <f>ROUND(+I493-H493,4)</f>
        <v>0</v>
      </c>
      <c r="K493" s="67">
        <f>ROUND(IF(F493="alluminio",0,I493*1.5%),4)</f>
        <v>0</v>
      </c>
      <c r="L493" s="67">
        <f>ROUND(IF(K493&lt;J493,K493,0),4)</f>
        <v>0</v>
      </c>
      <c r="M493" s="67">
        <f>ROUND(IF(J493&gt;K493,0,J493),4)</f>
        <v>0</v>
      </c>
      <c r="N493" s="67">
        <f>ROUND(+L493*D493,4)</f>
        <v>0</v>
      </c>
      <c r="O493" s="67">
        <f>ROUND(IF(F493="rame",0,+I493*3%),4)</f>
        <v>0</v>
      </c>
      <c r="P493" s="67">
        <f>ROUND(IF(O493&lt;J493,O493,0),4)</f>
        <v>0</v>
      </c>
      <c r="Q493" s="67">
        <f>ROUND(IF(J493&gt;O493,0,J493),4)</f>
        <v>0</v>
      </c>
      <c r="R493" s="67">
        <f>ROUND(+P493*D493,4)</f>
        <v>0</v>
      </c>
      <c r="S493" s="67">
        <f>ROUND(IF(K493=0,0,M493*D493),4)</f>
        <v>0</v>
      </c>
      <c r="T493" s="67">
        <f>ROUND(+IF(K493=0,Q493*D493,0),4)</f>
        <v>0</v>
      </c>
      <c r="U493" s="67">
        <f>ROUND(+N493+R493+S493+T493,4)</f>
        <v>0</v>
      </c>
      <c r="V493" s="67">
        <f>ROUND(IF(P493=0,0,I493-H493-O493)+IF(L493=0,0,I493-H493-K493),4)</f>
        <v>0</v>
      </c>
      <c r="W493" s="67">
        <f>ROUND(+(V493*60%)*D493,4)</f>
        <v>0</v>
      </c>
      <c r="X493" s="148">
        <f>ROUND(+U493+W493,4)</f>
        <v>0</v>
      </c>
      <c r="Y493" s="68"/>
      <c r="Z493" s="148">
        <f>ROUND(IF(X493&gt;I493,X493,I493),4)</f>
        <v>0</v>
      </c>
    </row>
    <row r="494" spans="1:26" x14ac:dyDescent="0.2">
      <c r="A494" s="66"/>
      <c r="B494" s="66"/>
      <c r="C494" s="66"/>
      <c r="D494" s="144"/>
      <c r="E494" s="67"/>
      <c r="F494" s="67"/>
      <c r="G494" s="67"/>
      <c r="H494" s="67">
        <f>ROUND(+E494+G494,4)</f>
        <v>0</v>
      </c>
      <c r="I494" s="67"/>
      <c r="J494" s="67">
        <f>ROUND(+I494-H494,4)</f>
        <v>0</v>
      </c>
      <c r="K494" s="67">
        <f>ROUND(IF(F494="alluminio",0,I494*1.5%),4)</f>
        <v>0</v>
      </c>
      <c r="L494" s="67">
        <f>ROUND(IF(K494&lt;J494,K494,0),4)</f>
        <v>0</v>
      </c>
      <c r="M494" s="67">
        <f>ROUND(IF(J494&gt;K494,0,J494),4)</f>
        <v>0</v>
      </c>
      <c r="N494" s="67">
        <f>ROUND(+L494*D494,4)</f>
        <v>0</v>
      </c>
      <c r="O494" s="67">
        <f>ROUND(IF(F494="rame",0,+I494*3%),4)</f>
        <v>0</v>
      </c>
      <c r="P494" s="67">
        <f>ROUND(IF(O494&lt;J494,O494,0),4)</f>
        <v>0</v>
      </c>
      <c r="Q494" s="67">
        <f>ROUND(IF(J494&gt;O494,0,J494),4)</f>
        <v>0</v>
      </c>
      <c r="R494" s="67">
        <f>ROUND(+P494*D494,4)</f>
        <v>0</v>
      </c>
      <c r="S494" s="67">
        <f>ROUND(IF(K494=0,0,M494*D494),4)</f>
        <v>0</v>
      </c>
      <c r="T494" s="67">
        <f>ROUND(+IF(K494=0,Q494*D494,0),4)</f>
        <v>0</v>
      </c>
      <c r="U494" s="67">
        <f>ROUND(+N494+R494+S494+T494,4)</f>
        <v>0</v>
      </c>
      <c r="V494" s="67">
        <f>ROUND(IF(P494=0,0,I494-H494-O494)+IF(L494=0,0,I494-H494-K494),4)</f>
        <v>0</v>
      </c>
      <c r="W494" s="67">
        <f>ROUND(+(V494*60%)*D494,4)</f>
        <v>0</v>
      </c>
      <c r="X494" s="148">
        <f>ROUND(+U494+W494,4)</f>
        <v>0</v>
      </c>
      <c r="Y494" s="68"/>
      <c r="Z494" s="148">
        <f>ROUND(IF(X494&gt;I494,X494,I494),4)</f>
        <v>0</v>
      </c>
    </row>
    <row r="495" spans="1:26" x14ac:dyDescent="0.2">
      <c r="A495" s="66"/>
      <c r="B495" s="66"/>
      <c r="C495" s="66"/>
      <c r="D495" s="144"/>
      <c r="E495" s="67"/>
      <c r="F495" s="67"/>
      <c r="G495" s="67"/>
      <c r="H495" s="67">
        <f>ROUND(+E495+G495,4)</f>
        <v>0</v>
      </c>
      <c r="I495" s="67"/>
      <c r="J495" s="67">
        <f>ROUND(+I495-H495,4)</f>
        <v>0</v>
      </c>
      <c r="K495" s="67">
        <f>ROUND(IF(F495="alluminio",0,I495*1.5%),4)</f>
        <v>0</v>
      </c>
      <c r="L495" s="67">
        <f>ROUND(IF(K495&lt;J495,K495,0),4)</f>
        <v>0</v>
      </c>
      <c r="M495" s="67">
        <f>ROUND(IF(J495&gt;K495,0,J495),4)</f>
        <v>0</v>
      </c>
      <c r="N495" s="67">
        <f>ROUND(+L495*D495,4)</f>
        <v>0</v>
      </c>
      <c r="O495" s="67">
        <f>ROUND(IF(F495="rame",0,+I495*3%),4)</f>
        <v>0</v>
      </c>
      <c r="P495" s="67">
        <f>ROUND(IF(O495&lt;J495,O495,0),4)</f>
        <v>0</v>
      </c>
      <c r="Q495" s="67">
        <f>ROUND(IF(J495&gt;O495,0,J495),4)</f>
        <v>0</v>
      </c>
      <c r="R495" s="67">
        <f>ROUND(+P495*D495,4)</f>
        <v>0</v>
      </c>
      <c r="S495" s="67">
        <f>ROUND(IF(K495=0,0,M495*D495),4)</f>
        <v>0</v>
      </c>
      <c r="T495" s="67">
        <f>ROUND(+IF(K495=0,Q495*D495,0),4)</f>
        <v>0</v>
      </c>
      <c r="U495" s="67">
        <f>ROUND(+N495+R495+S495+T495,4)</f>
        <v>0</v>
      </c>
      <c r="V495" s="67">
        <f>ROUND(IF(P495=0,0,I495-H495-O495)+IF(L495=0,0,I495-H495-K495),4)</f>
        <v>0</v>
      </c>
      <c r="W495" s="67">
        <f>ROUND(+(V495*60%)*D495,4)</f>
        <v>0</v>
      </c>
      <c r="X495" s="148">
        <f>ROUND(+U495+W495,4)</f>
        <v>0</v>
      </c>
      <c r="Y495" s="68"/>
      <c r="Z495" s="148">
        <f>ROUND(IF(X495&gt;I495,X495,I495),4)</f>
        <v>0</v>
      </c>
    </row>
    <row r="496" spans="1:26" x14ac:dyDescent="0.2">
      <c r="A496" s="66"/>
      <c r="B496" s="66"/>
      <c r="C496" s="66"/>
      <c r="D496" s="144"/>
      <c r="E496" s="67"/>
      <c r="F496" s="67"/>
      <c r="G496" s="67"/>
      <c r="H496" s="67">
        <f>ROUND(+E496+G496,4)</f>
        <v>0</v>
      </c>
      <c r="I496" s="67"/>
      <c r="J496" s="67">
        <f>ROUND(+I496-H496,4)</f>
        <v>0</v>
      </c>
      <c r="K496" s="67">
        <f>ROUND(IF(F496="alluminio",0,I496*1.5%),4)</f>
        <v>0</v>
      </c>
      <c r="L496" s="67">
        <f>ROUND(IF(K496&lt;J496,K496,0),4)</f>
        <v>0</v>
      </c>
      <c r="M496" s="67">
        <f>ROUND(IF(J496&gt;K496,0,J496),4)</f>
        <v>0</v>
      </c>
      <c r="N496" s="67">
        <f>ROUND(+L496*D496,4)</f>
        <v>0</v>
      </c>
      <c r="O496" s="67">
        <f>ROUND(IF(F496="rame",0,+I496*3%),4)</f>
        <v>0</v>
      </c>
      <c r="P496" s="67">
        <f>ROUND(IF(O496&lt;J496,O496,0),4)</f>
        <v>0</v>
      </c>
      <c r="Q496" s="67">
        <f>ROUND(IF(J496&gt;O496,0,J496),4)</f>
        <v>0</v>
      </c>
      <c r="R496" s="67">
        <f>ROUND(+P496*D496,4)</f>
        <v>0</v>
      </c>
      <c r="S496" s="67">
        <f>ROUND(IF(K496=0,0,M496*D496),4)</f>
        <v>0</v>
      </c>
      <c r="T496" s="67">
        <f>ROUND(+IF(K496=0,Q496*D496,0),4)</f>
        <v>0</v>
      </c>
      <c r="U496" s="67">
        <f>ROUND(+N496+R496+S496+T496,4)</f>
        <v>0</v>
      </c>
      <c r="V496" s="67">
        <f>ROUND(IF(P496=0,0,I496-H496-O496)+IF(L496=0,0,I496-H496-K496),4)</f>
        <v>0</v>
      </c>
      <c r="W496" s="67">
        <f>ROUND(+(V496*60%)*D496,4)</f>
        <v>0</v>
      </c>
      <c r="X496" s="148">
        <f>ROUND(+U496+W496,4)</f>
        <v>0</v>
      </c>
      <c r="Y496" s="68"/>
      <c r="Z496" s="148">
        <f>ROUND(IF(X496&gt;I496,X496,I496),4)</f>
        <v>0</v>
      </c>
    </row>
    <row r="497" spans="1:26" x14ac:dyDescent="0.2">
      <c r="A497" s="66"/>
      <c r="B497" s="66"/>
      <c r="C497" s="66"/>
      <c r="D497" s="144"/>
      <c r="E497" s="67"/>
      <c r="F497" s="67"/>
      <c r="G497" s="67"/>
      <c r="H497" s="67">
        <f>ROUND(+E497+G497,4)</f>
        <v>0</v>
      </c>
      <c r="I497" s="67"/>
      <c r="J497" s="67">
        <f>ROUND(+I497-H497,4)</f>
        <v>0</v>
      </c>
      <c r="K497" s="67">
        <f>ROUND(IF(F497="alluminio",0,I497*1.5%),4)</f>
        <v>0</v>
      </c>
      <c r="L497" s="67">
        <f>ROUND(IF(K497&lt;J497,K497,0),4)</f>
        <v>0</v>
      </c>
      <c r="M497" s="67">
        <f>ROUND(IF(J497&gt;K497,0,J497),4)</f>
        <v>0</v>
      </c>
      <c r="N497" s="67">
        <f>ROUND(+L497*D497,4)</f>
        <v>0</v>
      </c>
      <c r="O497" s="67">
        <f>ROUND(IF(F497="rame",0,+I497*3%),4)</f>
        <v>0</v>
      </c>
      <c r="P497" s="67">
        <f>ROUND(IF(O497&lt;J497,O497,0),4)</f>
        <v>0</v>
      </c>
      <c r="Q497" s="67">
        <f>ROUND(IF(J497&gt;O497,0,J497),4)</f>
        <v>0</v>
      </c>
      <c r="R497" s="67">
        <f>ROUND(+P497*D497,4)</f>
        <v>0</v>
      </c>
      <c r="S497" s="67">
        <f>ROUND(IF(K497=0,0,M497*D497),4)</f>
        <v>0</v>
      </c>
      <c r="T497" s="67">
        <f>ROUND(+IF(K497=0,Q497*D497,0),4)</f>
        <v>0</v>
      </c>
      <c r="U497" s="67">
        <f>ROUND(+N497+R497+S497+T497,4)</f>
        <v>0</v>
      </c>
      <c r="V497" s="67">
        <f>ROUND(IF(P497=0,0,I497-H497-O497)+IF(L497=0,0,I497-H497-K497),4)</f>
        <v>0</v>
      </c>
      <c r="W497" s="67">
        <f>ROUND(+(V497*60%)*D497,4)</f>
        <v>0</v>
      </c>
      <c r="X497" s="148">
        <f>ROUND(+U497+W497,4)</f>
        <v>0</v>
      </c>
      <c r="Y497" s="68"/>
      <c r="Z497" s="148">
        <f>ROUND(IF(X497&gt;I497,X497,I497),4)</f>
        <v>0</v>
      </c>
    </row>
    <row r="498" spans="1:26" x14ac:dyDescent="0.2">
      <c r="A498" s="66"/>
      <c r="B498" s="66"/>
      <c r="C498" s="66"/>
      <c r="D498" s="144"/>
      <c r="E498" s="67"/>
      <c r="F498" s="67"/>
      <c r="G498" s="67"/>
      <c r="H498" s="67">
        <f>ROUND(+E498+G498,4)</f>
        <v>0</v>
      </c>
      <c r="I498" s="67"/>
      <c r="J498" s="67">
        <f>ROUND(+I498-H498,4)</f>
        <v>0</v>
      </c>
      <c r="K498" s="67">
        <f>ROUND(IF(F498="alluminio",0,I498*1.5%),4)</f>
        <v>0</v>
      </c>
      <c r="L498" s="67">
        <f>ROUND(IF(K498&lt;J498,K498,0),4)</f>
        <v>0</v>
      </c>
      <c r="M498" s="67">
        <f>ROUND(IF(J498&gt;K498,0,J498),4)</f>
        <v>0</v>
      </c>
      <c r="N498" s="67">
        <f>ROUND(+L498*D498,4)</f>
        <v>0</v>
      </c>
      <c r="O498" s="67">
        <f>ROUND(IF(F498="rame",0,+I498*3%),4)</f>
        <v>0</v>
      </c>
      <c r="P498" s="67">
        <f>ROUND(IF(O498&lt;J498,O498,0),4)</f>
        <v>0</v>
      </c>
      <c r="Q498" s="67">
        <f>ROUND(IF(J498&gt;O498,0,J498),4)</f>
        <v>0</v>
      </c>
      <c r="R498" s="67">
        <f>ROUND(+P498*D498,4)</f>
        <v>0</v>
      </c>
      <c r="S498" s="67">
        <f>ROUND(IF(K498=0,0,M498*D498),4)</f>
        <v>0</v>
      </c>
      <c r="T498" s="67">
        <f>ROUND(+IF(K498=0,Q498*D498,0),4)</f>
        <v>0</v>
      </c>
      <c r="U498" s="67">
        <f>ROUND(+N498+R498+S498+T498,4)</f>
        <v>0</v>
      </c>
      <c r="V498" s="67">
        <f>ROUND(IF(P498=0,0,I498-H498-O498)+IF(L498=0,0,I498-H498-K498),4)</f>
        <v>0</v>
      </c>
      <c r="W498" s="67">
        <f>ROUND(+(V498*60%)*D498,4)</f>
        <v>0</v>
      </c>
      <c r="X498" s="148">
        <f>ROUND(+U498+W498,4)</f>
        <v>0</v>
      </c>
      <c r="Y498" s="68"/>
      <c r="Z498" s="148">
        <f>ROUND(IF(X498&gt;I498,X498,I498),4)</f>
        <v>0</v>
      </c>
    </row>
    <row r="499" spans="1:26" x14ac:dyDescent="0.2">
      <c r="A499" s="66"/>
      <c r="B499" s="66"/>
      <c r="C499" s="66"/>
      <c r="D499" s="144"/>
      <c r="E499" s="67"/>
      <c r="F499" s="67"/>
      <c r="G499" s="67"/>
      <c r="H499" s="67">
        <f>ROUND(+E499+G499,4)</f>
        <v>0</v>
      </c>
      <c r="I499" s="67"/>
      <c r="J499" s="67">
        <f>ROUND(+I499-H499,4)</f>
        <v>0</v>
      </c>
      <c r="K499" s="67">
        <f>ROUND(IF(F499="alluminio",0,I499*1.5%),4)</f>
        <v>0</v>
      </c>
      <c r="L499" s="67">
        <f>ROUND(IF(K499&lt;J499,K499,0),4)</f>
        <v>0</v>
      </c>
      <c r="M499" s="67">
        <f>ROUND(IF(J499&gt;K499,0,J499),4)</f>
        <v>0</v>
      </c>
      <c r="N499" s="67">
        <f>ROUND(+L499*D499,4)</f>
        <v>0</v>
      </c>
      <c r="O499" s="67">
        <f>ROUND(IF(F499="rame",0,+I499*3%),4)</f>
        <v>0</v>
      </c>
      <c r="P499" s="67">
        <f>ROUND(IF(O499&lt;J499,O499,0),4)</f>
        <v>0</v>
      </c>
      <c r="Q499" s="67">
        <f>ROUND(IF(J499&gt;O499,0,J499),4)</f>
        <v>0</v>
      </c>
      <c r="R499" s="67">
        <f>ROUND(+P499*D499,4)</f>
        <v>0</v>
      </c>
      <c r="S499" s="67">
        <f>ROUND(IF(K499=0,0,M499*D499),4)</f>
        <v>0</v>
      </c>
      <c r="T499" s="67">
        <f>ROUND(+IF(K499=0,Q499*D499,0),4)</f>
        <v>0</v>
      </c>
      <c r="U499" s="67">
        <f>ROUND(+N499+R499+S499+T499,4)</f>
        <v>0</v>
      </c>
      <c r="V499" s="67">
        <f>ROUND(IF(P499=0,0,I499-H499-O499)+IF(L499=0,0,I499-H499-K499),4)</f>
        <v>0</v>
      </c>
      <c r="W499" s="67">
        <f>ROUND(+(V499*60%)*D499,4)</f>
        <v>0</v>
      </c>
      <c r="X499" s="148">
        <f>ROUND(+U499+W499,4)</f>
        <v>0</v>
      </c>
      <c r="Y499" s="68"/>
      <c r="Z499" s="148">
        <f>ROUND(IF(X499&gt;I499,X499,I499),4)</f>
        <v>0</v>
      </c>
    </row>
    <row r="500" spans="1:26" x14ac:dyDescent="0.2">
      <c r="A500" s="66"/>
      <c r="B500" s="66"/>
      <c r="C500" s="66"/>
      <c r="D500" s="144"/>
      <c r="E500" s="67"/>
      <c r="F500" s="67"/>
      <c r="G500" s="67"/>
      <c r="H500" s="67">
        <f>ROUND(+E500+G500,4)</f>
        <v>0</v>
      </c>
      <c r="I500" s="67"/>
      <c r="J500" s="67">
        <f>ROUND(+I500-H500,4)</f>
        <v>0</v>
      </c>
      <c r="K500" s="67">
        <f>ROUND(IF(F500="alluminio",0,I500*1.5%),4)</f>
        <v>0</v>
      </c>
      <c r="L500" s="67">
        <f>ROUND(IF(K500&lt;J500,K500,0),4)</f>
        <v>0</v>
      </c>
      <c r="M500" s="67">
        <f>ROUND(IF(J500&gt;K500,0,J500),4)</f>
        <v>0</v>
      </c>
      <c r="N500" s="67">
        <f>ROUND(+L500*D500,4)</f>
        <v>0</v>
      </c>
      <c r="O500" s="67">
        <f>ROUND(IF(F500="rame",0,+I500*3%),4)</f>
        <v>0</v>
      </c>
      <c r="P500" s="67">
        <f>ROUND(IF(O500&lt;J500,O500,0),4)</f>
        <v>0</v>
      </c>
      <c r="Q500" s="67">
        <f>ROUND(IF(J500&gt;O500,0,J500),4)</f>
        <v>0</v>
      </c>
      <c r="R500" s="67">
        <f>ROUND(+P500*D500,4)</f>
        <v>0</v>
      </c>
      <c r="S500" s="67">
        <f>ROUND(IF(K500=0,0,M500*D500),4)</f>
        <v>0</v>
      </c>
      <c r="T500" s="67">
        <f>ROUND(+IF(K500=0,Q500*D500,0),4)</f>
        <v>0</v>
      </c>
      <c r="U500" s="67">
        <f>ROUND(+N500+R500+S500+T500,4)</f>
        <v>0</v>
      </c>
      <c r="V500" s="67">
        <f>ROUND(IF(P500=0,0,I500-H500-O500)+IF(L500=0,0,I500-H500-K500),4)</f>
        <v>0</v>
      </c>
      <c r="W500" s="67">
        <f>ROUND(+(V500*60%)*D500,4)</f>
        <v>0</v>
      </c>
      <c r="X500" s="148">
        <f>ROUND(+U500+W500,4)</f>
        <v>0</v>
      </c>
      <c r="Y500" s="68"/>
      <c r="Z500" s="148">
        <f>ROUND(IF(X500&gt;I500,X500,I500),4)</f>
        <v>0</v>
      </c>
    </row>
    <row r="501" spans="1:26" x14ac:dyDescent="0.2">
      <c r="A501" s="66"/>
      <c r="B501" s="66"/>
      <c r="C501" s="66"/>
      <c r="D501" s="144"/>
      <c r="E501" s="67"/>
      <c r="F501" s="67"/>
      <c r="G501" s="67"/>
      <c r="H501" s="67">
        <f>ROUND(+E501+G501,4)</f>
        <v>0</v>
      </c>
      <c r="I501" s="67"/>
      <c r="J501" s="67">
        <f>ROUND(+I501-H501,4)</f>
        <v>0</v>
      </c>
      <c r="K501" s="67">
        <f>ROUND(IF(F501="alluminio",0,I501*1.5%),4)</f>
        <v>0</v>
      </c>
      <c r="L501" s="67">
        <f>ROUND(IF(K501&lt;J501,K501,0),4)</f>
        <v>0</v>
      </c>
      <c r="M501" s="67">
        <f>ROUND(IF(J501&gt;K501,0,J501),4)</f>
        <v>0</v>
      </c>
      <c r="N501" s="67">
        <f>ROUND(+L501*D501,4)</f>
        <v>0</v>
      </c>
      <c r="O501" s="67">
        <f>ROUND(IF(F501="rame",0,+I501*3%),4)</f>
        <v>0</v>
      </c>
      <c r="P501" s="67">
        <f>ROUND(IF(O501&lt;J501,O501,0),4)</f>
        <v>0</v>
      </c>
      <c r="Q501" s="67">
        <f>ROUND(IF(J501&gt;O501,0,J501),4)</f>
        <v>0</v>
      </c>
      <c r="R501" s="67">
        <f>ROUND(+P501*D501,4)</f>
        <v>0</v>
      </c>
      <c r="S501" s="67">
        <f>ROUND(IF(K501=0,0,M501*D501),4)</f>
        <v>0</v>
      </c>
      <c r="T501" s="67">
        <f>ROUND(+IF(K501=0,Q501*D501,0),4)</f>
        <v>0</v>
      </c>
      <c r="U501" s="67">
        <f>ROUND(+N501+R501+S501+T501,4)</f>
        <v>0</v>
      </c>
      <c r="V501" s="67">
        <f>ROUND(IF(P501=0,0,I501-H501-O501)+IF(L501=0,0,I501-H501-K501),4)</f>
        <v>0</v>
      </c>
      <c r="W501" s="67">
        <f>ROUND(+(V501*60%)*D501,4)</f>
        <v>0</v>
      </c>
      <c r="X501" s="148">
        <f>ROUND(+U501+W501,4)</f>
        <v>0</v>
      </c>
      <c r="Y501" s="68"/>
      <c r="Z501" s="148">
        <f>ROUND(IF(X501&gt;I501,X501,I501),4)</f>
        <v>0</v>
      </c>
    </row>
    <row r="502" spans="1:26" x14ac:dyDescent="0.2">
      <c r="A502" s="66"/>
      <c r="B502" s="66"/>
      <c r="C502" s="66"/>
      <c r="D502" s="144"/>
      <c r="E502" s="67"/>
      <c r="F502" s="67"/>
      <c r="G502" s="67"/>
      <c r="H502" s="67">
        <f>ROUND(+E502+G502,4)</f>
        <v>0</v>
      </c>
      <c r="I502" s="67"/>
      <c r="J502" s="67">
        <f>ROUND(+I502-H502,4)</f>
        <v>0</v>
      </c>
      <c r="K502" s="67">
        <f>ROUND(IF(F502="alluminio",0,I502*1.5%),4)</f>
        <v>0</v>
      </c>
      <c r="L502" s="67">
        <f>ROUND(IF(K502&lt;J502,K502,0),4)</f>
        <v>0</v>
      </c>
      <c r="M502" s="67">
        <f>ROUND(IF(J502&gt;K502,0,J502),4)</f>
        <v>0</v>
      </c>
      <c r="N502" s="67">
        <f>ROUND(+L502*D502,4)</f>
        <v>0</v>
      </c>
      <c r="O502" s="67">
        <f>ROUND(IF(F502="rame",0,+I502*3%),4)</f>
        <v>0</v>
      </c>
      <c r="P502" s="67">
        <f>ROUND(IF(O502&lt;J502,O502,0),4)</f>
        <v>0</v>
      </c>
      <c r="Q502" s="67">
        <f>ROUND(IF(J502&gt;O502,0,J502),4)</f>
        <v>0</v>
      </c>
      <c r="R502" s="67">
        <f>ROUND(+P502*D502,4)</f>
        <v>0</v>
      </c>
      <c r="S502" s="67">
        <f>ROUND(IF(K502=0,0,M502*D502),4)</f>
        <v>0</v>
      </c>
      <c r="T502" s="67">
        <f>ROUND(+IF(K502=0,Q502*D502,0),4)</f>
        <v>0</v>
      </c>
      <c r="U502" s="67">
        <f>ROUND(+N502+R502+S502+T502,4)</f>
        <v>0</v>
      </c>
      <c r="V502" s="67">
        <f>ROUND(IF(P502=0,0,I502-H502-O502)+IF(L502=0,0,I502-H502-K502),4)</f>
        <v>0</v>
      </c>
      <c r="W502" s="67">
        <f>ROUND(+(V502*60%)*D502,4)</f>
        <v>0</v>
      </c>
      <c r="X502" s="148">
        <f>ROUND(+U502+W502,4)</f>
        <v>0</v>
      </c>
      <c r="Y502" s="68"/>
      <c r="Z502" s="148">
        <f>ROUND(IF(X502&gt;I502,X502,I502),4)</f>
        <v>0</v>
      </c>
    </row>
    <row r="503" spans="1:26" x14ac:dyDescent="0.2">
      <c r="A503" s="66"/>
      <c r="B503" s="66"/>
      <c r="C503" s="66"/>
      <c r="D503" s="144"/>
      <c r="E503" s="67"/>
      <c r="F503" s="67"/>
      <c r="G503" s="67"/>
      <c r="H503" s="67">
        <f>ROUND(+E503+G503,4)</f>
        <v>0</v>
      </c>
      <c r="I503" s="67"/>
      <c r="J503" s="67">
        <f>ROUND(+I503-H503,4)</f>
        <v>0</v>
      </c>
      <c r="K503" s="67">
        <f>ROUND(IF(F503="alluminio",0,I503*1.5%),4)</f>
        <v>0</v>
      </c>
      <c r="L503" s="67">
        <f>ROUND(IF(K503&lt;J503,K503,0),4)</f>
        <v>0</v>
      </c>
      <c r="M503" s="67">
        <f>ROUND(IF(J503&gt;K503,0,J503),4)</f>
        <v>0</v>
      </c>
      <c r="N503" s="67">
        <f>ROUND(+L503*D503,4)</f>
        <v>0</v>
      </c>
      <c r="O503" s="67">
        <f>ROUND(IF(F503="rame",0,+I503*3%),4)</f>
        <v>0</v>
      </c>
      <c r="P503" s="67">
        <f>ROUND(IF(O503&lt;J503,O503,0),4)</f>
        <v>0</v>
      </c>
      <c r="Q503" s="67">
        <f>ROUND(IF(J503&gt;O503,0,J503),4)</f>
        <v>0</v>
      </c>
      <c r="R503" s="67">
        <f>ROUND(+P503*D503,4)</f>
        <v>0</v>
      </c>
      <c r="S503" s="67">
        <f>ROUND(IF(K503=0,0,M503*D503),4)</f>
        <v>0</v>
      </c>
      <c r="T503" s="67">
        <f>ROUND(+IF(K503=0,Q503*D503,0),4)</f>
        <v>0</v>
      </c>
      <c r="U503" s="67">
        <f>ROUND(+N503+R503+S503+T503,4)</f>
        <v>0</v>
      </c>
      <c r="V503" s="67">
        <f>ROUND(IF(P503=0,0,I503-H503-O503)+IF(L503=0,0,I503-H503-K503),4)</f>
        <v>0</v>
      </c>
      <c r="W503" s="67">
        <f>ROUND(+(V503*60%)*D503,4)</f>
        <v>0</v>
      </c>
      <c r="X503" s="148">
        <f>ROUND(+U503+W503,4)</f>
        <v>0</v>
      </c>
      <c r="Y503" s="68"/>
      <c r="Z503" s="148">
        <f>ROUND(IF(X503&gt;I503,X503,I503),4)</f>
        <v>0</v>
      </c>
    </row>
    <row r="504" spans="1:26" x14ac:dyDescent="0.2">
      <c r="A504" s="66"/>
      <c r="B504" s="66"/>
      <c r="C504" s="66"/>
      <c r="D504" s="144"/>
      <c r="E504" s="67"/>
      <c r="F504" s="67"/>
      <c r="G504" s="67"/>
      <c r="H504" s="67">
        <f>ROUND(+E504+G504,4)</f>
        <v>0</v>
      </c>
      <c r="I504" s="67"/>
      <c r="J504" s="67">
        <f>ROUND(+I504-H504,4)</f>
        <v>0</v>
      </c>
      <c r="K504" s="67">
        <f>ROUND(IF(F504="alluminio",0,I504*1.5%),4)</f>
        <v>0</v>
      </c>
      <c r="L504" s="67">
        <f>ROUND(IF(K504&lt;J504,K504,0),4)</f>
        <v>0</v>
      </c>
      <c r="M504" s="67">
        <f>ROUND(IF(J504&gt;K504,0,J504),4)</f>
        <v>0</v>
      </c>
      <c r="N504" s="67">
        <f>ROUND(+L504*D504,4)</f>
        <v>0</v>
      </c>
      <c r="O504" s="67">
        <f>ROUND(IF(F504="rame",0,+I504*3%),4)</f>
        <v>0</v>
      </c>
      <c r="P504" s="67">
        <f>ROUND(IF(O504&lt;J504,O504,0),4)</f>
        <v>0</v>
      </c>
      <c r="Q504" s="67">
        <f>ROUND(IF(J504&gt;O504,0,J504),4)</f>
        <v>0</v>
      </c>
      <c r="R504" s="67">
        <f>ROUND(+P504*D504,4)</f>
        <v>0</v>
      </c>
      <c r="S504" s="67">
        <f>ROUND(IF(K504=0,0,M504*D504),4)</f>
        <v>0</v>
      </c>
      <c r="T504" s="67">
        <f>ROUND(+IF(K504=0,Q504*D504,0),4)</f>
        <v>0</v>
      </c>
      <c r="U504" s="67">
        <f>ROUND(+N504+R504+S504+T504,4)</f>
        <v>0</v>
      </c>
      <c r="V504" s="67">
        <f>ROUND(IF(P504=0,0,I504-H504-O504)+IF(L504=0,0,I504-H504-K504),4)</f>
        <v>0</v>
      </c>
      <c r="W504" s="67">
        <f>ROUND(+(V504*60%)*D504,4)</f>
        <v>0</v>
      </c>
      <c r="X504" s="148">
        <f>ROUND(+U504+W504,4)</f>
        <v>0</v>
      </c>
      <c r="Y504" s="68"/>
      <c r="Z504" s="148">
        <f>ROUND(IF(X504&gt;I504,X504,I504),4)</f>
        <v>0</v>
      </c>
    </row>
    <row r="505" spans="1:26" x14ac:dyDescent="0.2">
      <c r="A505" s="66"/>
      <c r="B505" s="66"/>
      <c r="C505" s="66"/>
      <c r="D505" s="144"/>
      <c r="E505" s="67"/>
      <c r="F505" s="67"/>
      <c r="G505" s="67"/>
      <c r="H505" s="67">
        <f>ROUND(+E505+G505,4)</f>
        <v>0</v>
      </c>
      <c r="I505" s="67"/>
      <c r="J505" s="67">
        <f>ROUND(+I505-H505,4)</f>
        <v>0</v>
      </c>
      <c r="K505" s="67">
        <f>ROUND(IF(F505="alluminio",0,I505*1.5%),4)</f>
        <v>0</v>
      </c>
      <c r="L505" s="67">
        <f>ROUND(IF(K505&lt;J505,K505,0),4)</f>
        <v>0</v>
      </c>
      <c r="M505" s="67">
        <f>ROUND(IF(J505&gt;K505,0,J505),4)</f>
        <v>0</v>
      </c>
      <c r="N505" s="67">
        <f>ROUND(+L505*D505,4)</f>
        <v>0</v>
      </c>
      <c r="O505" s="67">
        <f>ROUND(IF(F505="rame",0,+I505*3%),4)</f>
        <v>0</v>
      </c>
      <c r="P505" s="67">
        <f>ROUND(IF(O505&lt;J505,O505,0),4)</f>
        <v>0</v>
      </c>
      <c r="Q505" s="67">
        <f>ROUND(IF(J505&gt;O505,0,J505),4)</f>
        <v>0</v>
      </c>
      <c r="R505" s="67">
        <f>ROUND(+P505*D505,4)</f>
        <v>0</v>
      </c>
      <c r="S505" s="67">
        <f>ROUND(IF(K505=0,0,M505*D505),4)</f>
        <v>0</v>
      </c>
      <c r="T505" s="67">
        <f>ROUND(+IF(K505=0,Q505*D505,0),4)</f>
        <v>0</v>
      </c>
      <c r="U505" s="67">
        <f>ROUND(+N505+R505+S505+T505,4)</f>
        <v>0</v>
      </c>
      <c r="V505" s="67">
        <f>ROUND(IF(P505=0,0,I505-H505-O505)+IF(L505=0,0,I505-H505-K505),4)</f>
        <v>0</v>
      </c>
      <c r="W505" s="67">
        <f>ROUND(+(V505*60%)*D505,4)</f>
        <v>0</v>
      </c>
      <c r="X505" s="148">
        <f>ROUND(+U505+W505,4)</f>
        <v>0</v>
      </c>
      <c r="Y505" s="68"/>
      <c r="Z505" s="148">
        <f>ROUND(IF(X505&gt;I505,X505,I505),4)</f>
        <v>0</v>
      </c>
    </row>
    <row r="506" spans="1:26" x14ac:dyDescent="0.2">
      <c r="A506" s="66"/>
      <c r="B506" s="66"/>
      <c r="C506" s="66"/>
      <c r="D506" s="144"/>
      <c r="E506" s="67"/>
      <c r="F506" s="67"/>
      <c r="G506" s="67"/>
      <c r="H506" s="67">
        <f>ROUND(+E506+G506,4)</f>
        <v>0</v>
      </c>
      <c r="I506" s="67"/>
      <c r="J506" s="67">
        <f>ROUND(+I506-H506,4)</f>
        <v>0</v>
      </c>
      <c r="K506" s="67">
        <f>ROUND(IF(F506="alluminio",0,I506*1.5%),4)</f>
        <v>0</v>
      </c>
      <c r="L506" s="67">
        <f>ROUND(IF(K506&lt;J506,K506,0),4)</f>
        <v>0</v>
      </c>
      <c r="M506" s="67">
        <f>ROUND(IF(J506&gt;K506,0,J506),4)</f>
        <v>0</v>
      </c>
      <c r="N506" s="67">
        <f>ROUND(+L506*D506,4)</f>
        <v>0</v>
      </c>
      <c r="O506" s="67">
        <f>ROUND(IF(F506="rame",0,+I506*3%),4)</f>
        <v>0</v>
      </c>
      <c r="P506" s="67">
        <f>ROUND(IF(O506&lt;J506,O506,0),4)</f>
        <v>0</v>
      </c>
      <c r="Q506" s="67">
        <f>ROUND(IF(J506&gt;O506,0,J506),4)</f>
        <v>0</v>
      </c>
      <c r="R506" s="67">
        <f>ROUND(+P506*D506,4)</f>
        <v>0</v>
      </c>
      <c r="S506" s="67">
        <f>ROUND(IF(K506=0,0,M506*D506),4)</f>
        <v>0</v>
      </c>
      <c r="T506" s="67">
        <f>ROUND(+IF(K506=0,Q506*D506,0),4)</f>
        <v>0</v>
      </c>
      <c r="U506" s="67">
        <f>ROUND(+N506+R506+S506+T506,4)</f>
        <v>0</v>
      </c>
      <c r="V506" s="67">
        <f>ROUND(IF(P506=0,0,I506-H506-O506)+IF(L506=0,0,I506-H506-K506),4)</f>
        <v>0</v>
      </c>
      <c r="W506" s="67">
        <f>ROUND(+(V506*60%)*D506,4)</f>
        <v>0</v>
      </c>
      <c r="X506" s="148">
        <f>ROUND(+U506+W506,4)</f>
        <v>0</v>
      </c>
      <c r="Y506" s="68"/>
      <c r="Z506" s="148">
        <f>ROUND(IF(X506&gt;I506,X506,I506),4)</f>
        <v>0</v>
      </c>
    </row>
    <row r="507" spans="1:26" x14ac:dyDescent="0.2">
      <c r="A507" s="66"/>
      <c r="B507" s="66"/>
      <c r="C507" s="66"/>
      <c r="D507" s="144"/>
      <c r="E507" s="67"/>
      <c r="F507" s="67"/>
      <c r="G507" s="67"/>
      <c r="H507" s="67">
        <f>ROUND(+E507+G507,4)</f>
        <v>0</v>
      </c>
      <c r="I507" s="67"/>
      <c r="J507" s="67">
        <f>ROUND(+I507-H507,4)</f>
        <v>0</v>
      </c>
      <c r="K507" s="67">
        <f>ROUND(IF(F507="alluminio",0,I507*1.5%),4)</f>
        <v>0</v>
      </c>
      <c r="L507" s="67">
        <f>ROUND(IF(K507&lt;J507,K507,0),4)</f>
        <v>0</v>
      </c>
      <c r="M507" s="67">
        <f>ROUND(IF(J507&gt;K507,0,J507),4)</f>
        <v>0</v>
      </c>
      <c r="N507" s="67">
        <f>ROUND(+L507*D507,4)</f>
        <v>0</v>
      </c>
      <c r="O507" s="67">
        <f>ROUND(IF(F507="rame",0,+I507*3%),4)</f>
        <v>0</v>
      </c>
      <c r="P507" s="67">
        <f>ROUND(IF(O507&lt;J507,O507,0),4)</f>
        <v>0</v>
      </c>
      <c r="Q507" s="67">
        <f>ROUND(IF(J507&gt;O507,0,J507),4)</f>
        <v>0</v>
      </c>
      <c r="R507" s="67">
        <f>ROUND(+P507*D507,4)</f>
        <v>0</v>
      </c>
      <c r="S507" s="67">
        <f>ROUND(IF(K507=0,0,M507*D507),4)</f>
        <v>0</v>
      </c>
      <c r="T507" s="67">
        <f>ROUND(+IF(K507=0,Q507*D507,0),4)</f>
        <v>0</v>
      </c>
      <c r="U507" s="67">
        <f>ROUND(+N507+R507+S507+T507,4)</f>
        <v>0</v>
      </c>
      <c r="V507" s="67">
        <f>ROUND(IF(P507=0,0,I507-H507-O507)+IF(L507=0,0,I507-H507-K507),4)</f>
        <v>0</v>
      </c>
      <c r="W507" s="67">
        <f>ROUND(+(V507*60%)*D507,4)</f>
        <v>0</v>
      </c>
      <c r="X507" s="148">
        <f>ROUND(+U507+W507,4)</f>
        <v>0</v>
      </c>
      <c r="Y507" s="68"/>
      <c r="Z507" s="148">
        <f>ROUND(IF(X507&gt;I507,X507,I507),4)</f>
        <v>0</v>
      </c>
    </row>
    <row r="508" spans="1:26" x14ac:dyDescent="0.2">
      <c r="A508" s="66"/>
      <c r="B508" s="66"/>
      <c r="C508" s="66"/>
      <c r="D508" s="144"/>
      <c r="E508" s="67"/>
      <c r="F508" s="67"/>
      <c r="G508" s="67"/>
      <c r="H508" s="67">
        <f>ROUND(+E508+G508,4)</f>
        <v>0</v>
      </c>
      <c r="I508" s="67"/>
      <c r="J508" s="67">
        <f>ROUND(+I508-H508,4)</f>
        <v>0</v>
      </c>
      <c r="K508" s="67">
        <f>ROUND(IF(F508="alluminio",0,I508*1.5%),4)</f>
        <v>0</v>
      </c>
      <c r="L508" s="67">
        <f>ROUND(IF(K508&lt;J508,K508,0),4)</f>
        <v>0</v>
      </c>
      <c r="M508" s="67">
        <f>ROUND(IF(J508&gt;K508,0,J508),4)</f>
        <v>0</v>
      </c>
      <c r="N508" s="67">
        <f>ROUND(+L508*D508,4)</f>
        <v>0</v>
      </c>
      <c r="O508" s="67">
        <f>ROUND(IF(F508="rame",0,+I508*3%),4)</f>
        <v>0</v>
      </c>
      <c r="P508" s="67">
        <f>ROUND(IF(O508&lt;J508,O508,0),4)</f>
        <v>0</v>
      </c>
      <c r="Q508" s="67">
        <f>ROUND(IF(J508&gt;O508,0,J508),4)</f>
        <v>0</v>
      </c>
      <c r="R508" s="67">
        <f>ROUND(+P508*D508,4)</f>
        <v>0</v>
      </c>
      <c r="S508" s="67">
        <f>ROUND(IF(K508=0,0,M508*D508),4)</f>
        <v>0</v>
      </c>
      <c r="T508" s="67">
        <f>ROUND(+IF(K508=0,Q508*D508,0),4)</f>
        <v>0</v>
      </c>
      <c r="U508" s="67">
        <f>ROUND(+N508+R508+S508+T508,4)</f>
        <v>0</v>
      </c>
      <c r="V508" s="67">
        <f>ROUND(IF(P508=0,0,I508-H508-O508)+IF(L508=0,0,I508-H508-K508),4)</f>
        <v>0</v>
      </c>
      <c r="W508" s="67">
        <f>ROUND(+(V508*60%)*D508,4)</f>
        <v>0</v>
      </c>
      <c r="X508" s="148">
        <f>ROUND(+U508+W508,4)</f>
        <v>0</v>
      </c>
      <c r="Y508" s="68"/>
      <c r="Z508" s="148">
        <f>ROUND(IF(X508&gt;I508,X508,I508),4)</f>
        <v>0</v>
      </c>
    </row>
    <row r="509" spans="1:26" x14ac:dyDescent="0.2">
      <c r="A509" s="66"/>
      <c r="B509" s="66"/>
      <c r="C509" s="66"/>
      <c r="D509" s="144"/>
      <c r="E509" s="67"/>
      <c r="F509" s="67"/>
      <c r="G509" s="67"/>
      <c r="H509" s="67">
        <f>ROUND(+E509+G509,4)</f>
        <v>0</v>
      </c>
      <c r="I509" s="67"/>
      <c r="J509" s="67">
        <f>ROUND(+I509-H509,4)</f>
        <v>0</v>
      </c>
      <c r="K509" s="67">
        <f>ROUND(IF(F509="alluminio",0,I509*1.5%),4)</f>
        <v>0</v>
      </c>
      <c r="L509" s="67">
        <f>ROUND(IF(K509&lt;J509,K509,0),4)</f>
        <v>0</v>
      </c>
      <c r="M509" s="67">
        <f>ROUND(IF(J509&gt;K509,0,J509),4)</f>
        <v>0</v>
      </c>
      <c r="N509" s="67">
        <f>ROUND(+L509*D509,4)</f>
        <v>0</v>
      </c>
      <c r="O509" s="67">
        <f>ROUND(IF(F509="rame",0,+I509*3%),4)</f>
        <v>0</v>
      </c>
      <c r="P509" s="67">
        <f>ROUND(IF(O509&lt;J509,O509,0),4)</f>
        <v>0</v>
      </c>
      <c r="Q509" s="67">
        <f>ROUND(IF(J509&gt;O509,0,J509),4)</f>
        <v>0</v>
      </c>
      <c r="R509" s="67">
        <f>ROUND(+P509*D509,4)</f>
        <v>0</v>
      </c>
      <c r="S509" s="67">
        <f>ROUND(IF(K509=0,0,M509*D509),4)</f>
        <v>0</v>
      </c>
      <c r="T509" s="67">
        <f>ROUND(+IF(K509=0,Q509*D509,0),4)</f>
        <v>0</v>
      </c>
      <c r="U509" s="67">
        <f>ROUND(+N509+R509+S509+T509,4)</f>
        <v>0</v>
      </c>
      <c r="V509" s="67">
        <f>ROUND(IF(P509=0,0,I509-H509-O509)+IF(L509=0,0,I509-H509-K509),4)</f>
        <v>0</v>
      </c>
      <c r="W509" s="67">
        <f>ROUND(+(V509*60%)*D509,4)</f>
        <v>0</v>
      </c>
      <c r="X509" s="148">
        <f>ROUND(+U509+W509,4)</f>
        <v>0</v>
      </c>
      <c r="Y509" s="68"/>
      <c r="Z509" s="148">
        <f>ROUND(IF(X509&gt;I509,X509,I509),4)</f>
        <v>0</v>
      </c>
    </row>
    <row r="510" spans="1:26" x14ac:dyDescent="0.2">
      <c r="A510" s="66"/>
      <c r="B510" s="66"/>
      <c r="C510" s="66"/>
      <c r="D510" s="144"/>
      <c r="E510" s="67"/>
      <c r="F510" s="67"/>
      <c r="G510" s="67"/>
      <c r="H510" s="67">
        <f>ROUND(+E510+G510,4)</f>
        <v>0</v>
      </c>
      <c r="I510" s="67"/>
      <c r="J510" s="67">
        <f>ROUND(+I510-H510,4)</f>
        <v>0</v>
      </c>
      <c r="K510" s="67">
        <f>ROUND(IF(F510="alluminio",0,I510*1.5%),4)</f>
        <v>0</v>
      </c>
      <c r="L510" s="67">
        <f>ROUND(IF(K510&lt;J510,K510,0),4)</f>
        <v>0</v>
      </c>
      <c r="M510" s="67">
        <f>ROUND(IF(J510&gt;K510,0,J510),4)</f>
        <v>0</v>
      </c>
      <c r="N510" s="67">
        <f>ROUND(+L510*D510,4)</f>
        <v>0</v>
      </c>
      <c r="O510" s="67">
        <f>ROUND(IF(F510="rame",0,+I510*3%),4)</f>
        <v>0</v>
      </c>
      <c r="P510" s="67">
        <f>ROUND(IF(O510&lt;J510,O510,0),4)</f>
        <v>0</v>
      </c>
      <c r="Q510" s="67">
        <f>ROUND(IF(J510&gt;O510,0,J510),4)</f>
        <v>0</v>
      </c>
      <c r="R510" s="67">
        <f>ROUND(+P510*D510,4)</f>
        <v>0</v>
      </c>
      <c r="S510" s="67">
        <f>ROUND(IF(K510=0,0,M510*D510),4)</f>
        <v>0</v>
      </c>
      <c r="T510" s="67">
        <f>ROUND(+IF(K510=0,Q510*D510,0),4)</f>
        <v>0</v>
      </c>
      <c r="U510" s="67">
        <f>ROUND(+N510+R510+S510+T510,4)</f>
        <v>0</v>
      </c>
      <c r="V510" s="67">
        <f>ROUND(IF(P510=0,0,I510-H510-O510)+IF(L510=0,0,I510-H510-K510),4)</f>
        <v>0</v>
      </c>
      <c r="W510" s="67">
        <f>ROUND(+(V510*60%)*D510,4)</f>
        <v>0</v>
      </c>
      <c r="X510" s="148">
        <f>ROUND(+U510+W510,4)</f>
        <v>0</v>
      </c>
      <c r="Y510" s="68"/>
      <c r="Z510" s="148">
        <f>ROUND(IF(X510&gt;I510,X510,I510),4)</f>
        <v>0</v>
      </c>
    </row>
    <row r="511" spans="1:26" x14ac:dyDescent="0.2">
      <c r="A511" s="66"/>
      <c r="B511" s="66"/>
      <c r="C511" s="66"/>
      <c r="D511" s="144"/>
      <c r="E511" s="67"/>
      <c r="F511" s="67"/>
      <c r="G511" s="67"/>
      <c r="H511" s="67">
        <f>ROUND(+E511+G511,4)</f>
        <v>0</v>
      </c>
      <c r="I511" s="67"/>
      <c r="J511" s="67">
        <f>ROUND(+I511-H511,4)</f>
        <v>0</v>
      </c>
      <c r="K511" s="67">
        <f>ROUND(IF(F511="alluminio",0,I511*1.5%),4)</f>
        <v>0</v>
      </c>
      <c r="L511" s="67">
        <f>ROUND(IF(K511&lt;J511,K511,0),4)</f>
        <v>0</v>
      </c>
      <c r="M511" s="67">
        <f>ROUND(IF(J511&gt;K511,0,J511),4)</f>
        <v>0</v>
      </c>
      <c r="N511" s="67">
        <f>ROUND(+L511*D511,4)</f>
        <v>0</v>
      </c>
      <c r="O511" s="67">
        <f>ROUND(IF(F511="rame",0,+I511*3%),4)</f>
        <v>0</v>
      </c>
      <c r="P511" s="67">
        <f>ROUND(IF(O511&lt;J511,O511,0),4)</f>
        <v>0</v>
      </c>
      <c r="Q511" s="67">
        <f>ROUND(IF(J511&gt;O511,0,J511),4)</f>
        <v>0</v>
      </c>
      <c r="R511" s="67">
        <f>ROUND(+P511*D511,4)</f>
        <v>0</v>
      </c>
      <c r="S511" s="67">
        <f>ROUND(IF(K511=0,0,M511*D511),4)</f>
        <v>0</v>
      </c>
      <c r="T511" s="67">
        <f>ROUND(+IF(K511=0,Q511*D511,0),4)</f>
        <v>0</v>
      </c>
      <c r="U511" s="67">
        <f>ROUND(+N511+R511+S511+T511,4)</f>
        <v>0</v>
      </c>
      <c r="V511" s="67">
        <f>ROUND(IF(P511=0,0,I511-H511-O511)+IF(L511=0,0,I511-H511-K511),4)</f>
        <v>0</v>
      </c>
      <c r="W511" s="67">
        <f>ROUND(+(V511*60%)*D511,4)</f>
        <v>0</v>
      </c>
      <c r="X511" s="148">
        <f>ROUND(+U511+W511,4)</f>
        <v>0</v>
      </c>
      <c r="Y511" s="68"/>
      <c r="Z511" s="148">
        <f>ROUND(IF(X511&gt;I511,X511,I511),4)</f>
        <v>0</v>
      </c>
    </row>
    <row r="512" spans="1:26" x14ac:dyDescent="0.2">
      <c r="A512" s="66"/>
      <c r="B512" s="66"/>
      <c r="C512" s="66"/>
      <c r="D512" s="144"/>
      <c r="E512" s="67"/>
      <c r="F512" s="67"/>
      <c r="G512" s="67"/>
      <c r="H512" s="67">
        <f>ROUND(+E512+G512,4)</f>
        <v>0</v>
      </c>
      <c r="I512" s="67"/>
      <c r="J512" s="67">
        <f>ROUND(+I512-H512,4)</f>
        <v>0</v>
      </c>
      <c r="K512" s="67">
        <f>ROUND(IF(F512="alluminio",0,I512*1.5%),4)</f>
        <v>0</v>
      </c>
      <c r="L512" s="67">
        <f>ROUND(IF(K512&lt;J512,K512,0),4)</f>
        <v>0</v>
      </c>
      <c r="M512" s="67">
        <f>ROUND(IF(J512&gt;K512,0,J512),4)</f>
        <v>0</v>
      </c>
      <c r="N512" s="67">
        <f>ROUND(+L512*D512,4)</f>
        <v>0</v>
      </c>
      <c r="O512" s="67">
        <f>ROUND(IF(F512="rame",0,+I512*3%),4)</f>
        <v>0</v>
      </c>
      <c r="P512" s="67">
        <f>ROUND(IF(O512&lt;J512,O512,0),4)</f>
        <v>0</v>
      </c>
      <c r="Q512" s="67">
        <f>ROUND(IF(J512&gt;O512,0,J512),4)</f>
        <v>0</v>
      </c>
      <c r="R512" s="67">
        <f>ROUND(+P512*D512,4)</f>
        <v>0</v>
      </c>
      <c r="S512" s="67">
        <f>ROUND(IF(K512=0,0,M512*D512),4)</f>
        <v>0</v>
      </c>
      <c r="T512" s="67">
        <f>ROUND(+IF(K512=0,Q512*D512,0),4)</f>
        <v>0</v>
      </c>
      <c r="U512" s="67">
        <f>ROUND(+N512+R512+S512+T512,4)</f>
        <v>0</v>
      </c>
      <c r="V512" s="67">
        <f>ROUND(IF(P512=0,0,I512-H512-O512)+IF(L512=0,0,I512-H512-K512),4)</f>
        <v>0</v>
      </c>
      <c r="W512" s="67">
        <f>ROUND(+(V512*60%)*D512,4)</f>
        <v>0</v>
      </c>
      <c r="X512" s="148">
        <f>ROUND(+U512+W512,4)</f>
        <v>0</v>
      </c>
      <c r="Y512" s="68"/>
      <c r="Z512" s="148">
        <f>ROUND(IF(X512&gt;I512,X512,I512),4)</f>
        <v>0</v>
      </c>
    </row>
    <row r="513" spans="1:26" x14ac:dyDescent="0.2">
      <c r="A513" s="66"/>
      <c r="B513" s="66"/>
      <c r="C513" s="66"/>
      <c r="D513" s="144"/>
      <c r="E513" s="67"/>
      <c r="F513" s="67"/>
      <c r="G513" s="67"/>
      <c r="H513" s="67">
        <f>ROUND(+E513+G513,4)</f>
        <v>0</v>
      </c>
      <c r="I513" s="67"/>
      <c r="J513" s="67">
        <f>ROUND(+I513-H513,4)</f>
        <v>0</v>
      </c>
      <c r="K513" s="67">
        <f>ROUND(IF(F513="alluminio",0,I513*1.5%),4)</f>
        <v>0</v>
      </c>
      <c r="L513" s="67">
        <f>ROUND(IF(K513&lt;J513,K513,0),4)</f>
        <v>0</v>
      </c>
      <c r="M513" s="67">
        <f>ROUND(IF(J513&gt;K513,0,J513),4)</f>
        <v>0</v>
      </c>
      <c r="N513" s="67">
        <f>ROUND(+L513*D513,4)</f>
        <v>0</v>
      </c>
      <c r="O513" s="67">
        <f>ROUND(IF(F513="rame",0,+I513*3%),4)</f>
        <v>0</v>
      </c>
      <c r="P513" s="67">
        <f>ROUND(IF(O513&lt;J513,O513,0),4)</f>
        <v>0</v>
      </c>
      <c r="Q513" s="67">
        <f>ROUND(IF(J513&gt;O513,0,J513),4)</f>
        <v>0</v>
      </c>
      <c r="R513" s="67">
        <f>ROUND(+P513*D513,4)</f>
        <v>0</v>
      </c>
      <c r="S513" s="67">
        <f>ROUND(IF(K513=0,0,M513*D513),4)</f>
        <v>0</v>
      </c>
      <c r="T513" s="67">
        <f>ROUND(+IF(K513=0,Q513*D513,0),4)</f>
        <v>0</v>
      </c>
      <c r="U513" s="67">
        <f>ROUND(+N513+R513+S513+T513,4)</f>
        <v>0</v>
      </c>
      <c r="V513" s="67">
        <f>ROUND(IF(P513=0,0,I513-H513-O513)+IF(L513=0,0,I513-H513-K513),4)</f>
        <v>0</v>
      </c>
      <c r="W513" s="67">
        <f>ROUND(+(V513*60%)*D513,4)</f>
        <v>0</v>
      </c>
      <c r="X513" s="148">
        <f>ROUND(+U513+W513,4)</f>
        <v>0</v>
      </c>
      <c r="Y513" s="68"/>
      <c r="Z513" s="148">
        <f>ROUND(IF(X513&gt;I513,X513,I513),4)</f>
        <v>0</v>
      </c>
    </row>
    <row r="514" spans="1:26" x14ac:dyDescent="0.2">
      <c r="A514" s="66"/>
      <c r="B514" s="66"/>
      <c r="C514" s="66"/>
      <c r="D514" s="144"/>
      <c r="E514" s="67"/>
      <c r="F514" s="67"/>
      <c r="G514" s="67"/>
      <c r="H514" s="67">
        <f>ROUND(+E514+G514,4)</f>
        <v>0</v>
      </c>
      <c r="I514" s="67"/>
      <c r="J514" s="67">
        <f>ROUND(+I514-H514,4)</f>
        <v>0</v>
      </c>
      <c r="K514" s="67">
        <f>ROUND(IF(F514="alluminio",0,I514*1.5%),4)</f>
        <v>0</v>
      </c>
      <c r="L514" s="67">
        <f>ROUND(IF(K514&lt;J514,K514,0),4)</f>
        <v>0</v>
      </c>
      <c r="M514" s="67">
        <f>ROUND(IF(J514&gt;K514,0,J514),4)</f>
        <v>0</v>
      </c>
      <c r="N514" s="67">
        <f>ROUND(+L514*D514,4)</f>
        <v>0</v>
      </c>
      <c r="O514" s="67">
        <f>ROUND(IF(F514="rame",0,+I514*3%),4)</f>
        <v>0</v>
      </c>
      <c r="P514" s="67">
        <f>ROUND(IF(O514&lt;J514,O514,0),4)</f>
        <v>0</v>
      </c>
      <c r="Q514" s="67">
        <f>ROUND(IF(J514&gt;O514,0,J514),4)</f>
        <v>0</v>
      </c>
      <c r="R514" s="67">
        <f>ROUND(+P514*D514,4)</f>
        <v>0</v>
      </c>
      <c r="S514" s="67">
        <f>ROUND(IF(K514=0,0,M514*D514),4)</f>
        <v>0</v>
      </c>
      <c r="T514" s="67">
        <f>ROUND(+IF(K514=0,Q514*D514,0),4)</f>
        <v>0</v>
      </c>
      <c r="U514" s="67">
        <f>ROUND(+N514+R514+S514+T514,4)</f>
        <v>0</v>
      </c>
      <c r="V514" s="67">
        <f>ROUND(IF(P514=0,0,I514-H514-O514)+IF(L514=0,0,I514-H514-K514),4)</f>
        <v>0</v>
      </c>
      <c r="W514" s="67">
        <f>ROUND(+(V514*60%)*D514,4)</f>
        <v>0</v>
      </c>
      <c r="X514" s="148">
        <f>ROUND(+U514+W514,4)</f>
        <v>0</v>
      </c>
      <c r="Y514" s="68"/>
      <c r="Z514" s="148">
        <f>ROUND(IF(X514&gt;I514,X514,I514),4)</f>
        <v>0</v>
      </c>
    </row>
    <row r="515" spans="1:26" x14ac:dyDescent="0.2">
      <c r="A515" s="66"/>
      <c r="B515" s="66"/>
      <c r="C515" s="66"/>
      <c r="D515" s="144"/>
      <c r="E515" s="67"/>
      <c r="F515" s="67"/>
      <c r="G515" s="67"/>
      <c r="H515" s="67">
        <f>ROUND(+E515+G515,4)</f>
        <v>0</v>
      </c>
      <c r="I515" s="67"/>
      <c r="J515" s="67">
        <f>ROUND(+I515-H515,4)</f>
        <v>0</v>
      </c>
      <c r="K515" s="67">
        <f>ROUND(IF(F515="alluminio",0,I515*1.5%),4)</f>
        <v>0</v>
      </c>
      <c r="L515" s="67">
        <f>ROUND(IF(K515&lt;J515,K515,0),4)</f>
        <v>0</v>
      </c>
      <c r="M515" s="67">
        <f>ROUND(IF(J515&gt;K515,0,J515),4)</f>
        <v>0</v>
      </c>
      <c r="N515" s="67">
        <f>ROUND(+L515*D515,4)</f>
        <v>0</v>
      </c>
      <c r="O515" s="67">
        <f>ROUND(IF(F515="rame",0,+I515*3%),4)</f>
        <v>0</v>
      </c>
      <c r="P515" s="67">
        <f>ROUND(IF(O515&lt;J515,O515,0),4)</f>
        <v>0</v>
      </c>
      <c r="Q515" s="67">
        <f>ROUND(IF(J515&gt;O515,0,J515),4)</f>
        <v>0</v>
      </c>
      <c r="R515" s="67">
        <f>ROUND(+P515*D515,4)</f>
        <v>0</v>
      </c>
      <c r="S515" s="67">
        <f>ROUND(IF(K515=0,0,M515*D515),4)</f>
        <v>0</v>
      </c>
      <c r="T515" s="67">
        <f>ROUND(+IF(K515=0,Q515*D515,0),4)</f>
        <v>0</v>
      </c>
      <c r="U515" s="67">
        <f>ROUND(+N515+R515+S515+T515,4)</f>
        <v>0</v>
      </c>
      <c r="V515" s="67">
        <f>ROUND(IF(P515=0,0,I515-H515-O515)+IF(L515=0,0,I515-H515-K515),4)</f>
        <v>0</v>
      </c>
      <c r="W515" s="67">
        <f>ROUND(+(V515*60%)*D515,4)</f>
        <v>0</v>
      </c>
      <c r="X515" s="148">
        <f>ROUND(+U515+W515,4)</f>
        <v>0</v>
      </c>
      <c r="Y515" s="68"/>
      <c r="Z515" s="148">
        <f>ROUND(IF(X515&gt;I515,X515,I515),4)</f>
        <v>0</v>
      </c>
    </row>
    <row r="516" spans="1:26" x14ac:dyDescent="0.2">
      <c r="A516" s="66"/>
      <c r="B516" s="66"/>
      <c r="C516" s="66"/>
      <c r="D516" s="144"/>
      <c r="E516" s="67"/>
      <c r="F516" s="67"/>
      <c r="G516" s="67"/>
      <c r="H516" s="67">
        <f>ROUND(+E516+G516,4)</f>
        <v>0</v>
      </c>
      <c r="I516" s="67"/>
      <c r="J516" s="67">
        <f>ROUND(+I516-H516,4)</f>
        <v>0</v>
      </c>
      <c r="K516" s="67">
        <f>ROUND(IF(F516="alluminio",0,I516*1.5%),4)</f>
        <v>0</v>
      </c>
      <c r="L516" s="67">
        <f>ROUND(IF(K516&lt;J516,K516,0),4)</f>
        <v>0</v>
      </c>
      <c r="M516" s="67">
        <f>ROUND(IF(J516&gt;K516,0,J516),4)</f>
        <v>0</v>
      </c>
      <c r="N516" s="67">
        <f>ROUND(+L516*D516,4)</f>
        <v>0</v>
      </c>
      <c r="O516" s="67">
        <f>ROUND(IF(F516="rame",0,+I516*3%),4)</f>
        <v>0</v>
      </c>
      <c r="P516" s="67">
        <f>ROUND(IF(O516&lt;J516,O516,0),4)</f>
        <v>0</v>
      </c>
      <c r="Q516" s="67">
        <f>ROUND(IF(J516&gt;O516,0,J516),4)</f>
        <v>0</v>
      </c>
      <c r="R516" s="67">
        <f>ROUND(+P516*D516,4)</f>
        <v>0</v>
      </c>
      <c r="S516" s="67">
        <f>ROUND(IF(K516=0,0,M516*D516),4)</f>
        <v>0</v>
      </c>
      <c r="T516" s="67">
        <f>ROUND(+IF(K516=0,Q516*D516,0),4)</f>
        <v>0</v>
      </c>
      <c r="U516" s="67">
        <f>ROUND(+N516+R516+S516+T516,4)</f>
        <v>0</v>
      </c>
      <c r="V516" s="67">
        <f>ROUND(IF(P516=0,0,I516-H516-O516)+IF(L516=0,0,I516-H516-K516),4)</f>
        <v>0</v>
      </c>
      <c r="W516" s="67">
        <f>ROUND(+(V516*60%)*D516,4)</f>
        <v>0</v>
      </c>
      <c r="X516" s="148">
        <f>ROUND(+U516+W516,4)</f>
        <v>0</v>
      </c>
      <c r="Y516" s="68"/>
      <c r="Z516" s="148">
        <f>ROUND(IF(X516&gt;I516,X516,I516),4)</f>
        <v>0</v>
      </c>
    </row>
    <row r="517" spans="1:26" x14ac:dyDescent="0.2">
      <c r="A517" s="66"/>
      <c r="B517" s="66"/>
      <c r="C517" s="66"/>
      <c r="D517" s="144"/>
      <c r="E517" s="67"/>
      <c r="F517" s="67"/>
      <c r="G517" s="67"/>
      <c r="H517" s="67">
        <f>ROUND(+E517+G517,4)</f>
        <v>0</v>
      </c>
      <c r="I517" s="67"/>
      <c r="J517" s="67">
        <f>ROUND(+I517-H517,4)</f>
        <v>0</v>
      </c>
      <c r="K517" s="67">
        <f>ROUND(IF(F517="alluminio",0,I517*1.5%),4)</f>
        <v>0</v>
      </c>
      <c r="L517" s="67">
        <f>ROUND(IF(K517&lt;J517,K517,0),4)</f>
        <v>0</v>
      </c>
      <c r="M517" s="67">
        <f>ROUND(IF(J517&gt;K517,0,J517),4)</f>
        <v>0</v>
      </c>
      <c r="N517" s="67">
        <f>ROUND(+L517*D517,4)</f>
        <v>0</v>
      </c>
      <c r="O517" s="67">
        <f>ROUND(IF(F517="rame",0,+I517*3%),4)</f>
        <v>0</v>
      </c>
      <c r="P517" s="67">
        <f>ROUND(IF(O517&lt;J517,O517,0),4)</f>
        <v>0</v>
      </c>
      <c r="Q517" s="67">
        <f>ROUND(IF(J517&gt;O517,0,J517),4)</f>
        <v>0</v>
      </c>
      <c r="R517" s="67">
        <f>ROUND(+P517*D517,4)</f>
        <v>0</v>
      </c>
      <c r="S517" s="67">
        <f>ROUND(IF(K517=0,0,M517*D517),4)</f>
        <v>0</v>
      </c>
      <c r="T517" s="67">
        <f>ROUND(+IF(K517=0,Q517*D517,0),4)</f>
        <v>0</v>
      </c>
      <c r="U517" s="67">
        <f>ROUND(+N517+R517+S517+T517,4)</f>
        <v>0</v>
      </c>
      <c r="V517" s="67">
        <f>ROUND(IF(P517=0,0,I517-H517-O517)+IF(L517=0,0,I517-H517-K517),4)</f>
        <v>0</v>
      </c>
      <c r="W517" s="67">
        <f>ROUND(+(V517*60%)*D517,4)</f>
        <v>0</v>
      </c>
      <c r="X517" s="148">
        <f>ROUND(+U517+W517,4)</f>
        <v>0</v>
      </c>
      <c r="Y517" s="68"/>
      <c r="Z517" s="148">
        <f>ROUND(IF(X517&gt;I517,X517,I517),4)</f>
        <v>0</v>
      </c>
    </row>
    <row r="518" spans="1:26" x14ac:dyDescent="0.2">
      <c r="A518" s="66"/>
      <c r="B518" s="66"/>
      <c r="C518" s="66"/>
      <c r="D518" s="144"/>
      <c r="E518" s="67"/>
      <c r="F518" s="67"/>
      <c r="G518" s="67"/>
      <c r="H518" s="67">
        <f>ROUND(+E518+G518,4)</f>
        <v>0</v>
      </c>
      <c r="I518" s="67"/>
      <c r="J518" s="67">
        <f>ROUND(+I518-H518,4)</f>
        <v>0</v>
      </c>
      <c r="K518" s="67">
        <f>ROUND(IF(F518="alluminio",0,I518*1.5%),4)</f>
        <v>0</v>
      </c>
      <c r="L518" s="67">
        <f>ROUND(IF(K518&lt;J518,K518,0),4)</f>
        <v>0</v>
      </c>
      <c r="M518" s="67">
        <f>ROUND(IF(J518&gt;K518,0,J518),4)</f>
        <v>0</v>
      </c>
      <c r="N518" s="67">
        <f>ROUND(+L518*D518,4)</f>
        <v>0</v>
      </c>
      <c r="O518" s="67">
        <f>ROUND(IF(F518="rame",0,+I518*3%),4)</f>
        <v>0</v>
      </c>
      <c r="P518" s="67">
        <f>ROUND(IF(O518&lt;J518,O518,0),4)</f>
        <v>0</v>
      </c>
      <c r="Q518" s="67">
        <f>ROUND(IF(J518&gt;O518,0,J518),4)</f>
        <v>0</v>
      </c>
      <c r="R518" s="67">
        <f>ROUND(+P518*D518,4)</f>
        <v>0</v>
      </c>
      <c r="S518" s="67">
        <f>ROUND(IF(K518=0,0,M518*D518),4)</f>
        <v>0</v>
      </c>
      <c r="T518" s="67">
        <f>ROUND(+IF(K518=0,Q518*D518,0),4)</f>
        <v>0</v>
      </c>
      <c r="U518" s="67">
        <f>ROUND(+N518+R518+S518+T518,4)</f>
        <v>0</v>
      </c>
      <c r="V518" s="67">
        <f>ROUND(IF(P518=0,0,I518-H518-O518)+IF(L518=0,0,I518-H518-K518),4)</f>
        <v>0</v>
      </c>
      <c r="W518" s="67">
        <f>ROUND(+(V518*60%)*D518,4)</f>
        <v>0</v>
      </c>
      <c r="X518" s="148">
        <f>ROUND(+U518+W518,4)</f>
        <v>0</v>
      </c>
      <c r="Y518" s="68"/>
      <c r="Z518" s="148">
        <f>ROUND(IF(X518&gt;I518,X518,I518),4)</f>
        <v>0</v>
      </c>
    </row>
    <row r="519" spans="1:26" x14ac:dyDescent="0.2">
      <c r="A519" s="66"/>
      <c r="B519" s="66"/>
      <c r="C519" s="66"/>
      <c r="D519" s="144"/>
      <c r="E519" s="67"/>
      <c r="F519" s="67"/>
      <c r="G519" s="67"/>
      <c r="H519" s="67">
        <f>ROUND(+E519+G519,4)</f>
        <v>0</v>
      </c>
      <c r="I519" s="67"/>
      <c r="J519" s="67">
        <f>ROUND(+I519-H519,4)</f>
        <v>0</v>
      </c>
      <c r="K519" s="67">
        <f>ROUND(IF(F519="alluminio",0,I519*1.5%),4)</f>
        <v>0</v>
      </c>
      <c r="L519" s="67">
        <f>ROUND(IF(K519&lt;J519,K519,0),4)</f>
        <v>0</v>
      </c>
      <c r="M519" s="67">
        <f>ROUND(IF(J519&gt;K519,0,J519),4)</f>
        <v>0</v>
      </c>
      <c r="N519" s="67">
        <f>ROUND(+L519*D519,4)</f>
        <v>0</v>
      </c>
      <c r="O519" s="67">
        <f>ROUND(IF(F519="rame",0,+I519*3%),4)</f>
        <v>0</v>
      </c>
      <c r="P519" s="67">
        <f>ROUND(IF(O519&lt;J519,O519,0),4)</f>
        <v>0</v>
      </c>
      <c r="Q519" s="67">
        <f>ROUND(IF(J519&gt;O519,0,J519),4)</f>
        <v>0</v>
      </c>
      <c r="R519" s="67">
        <f>ROUND(+P519*D519,4)</f>
        <v>0</v>
      </c>
      <c r="S519" s="67">
        <f>ROUND(IF(K519=0,0,M519*D519),4)</f>
        <v>0</v>
      </c>
      <c r="T519" s="67">
        <f>ROUND(+IF(K519=0,Q519*D519,0),4)</f>
        <v>0</v>
      </c>
      <c r="U519" s="67">
        <f>ROUND(+N519+R519+S519+T519,4)</f>
        <v>0</v>
      </c>
      <c r="V519" s="67">
        <f>ROUND(IF(P519=0,0,I519-H519-O519)+IF(L519=0,0,I519-H519-K519),4)</f>
        <v>0</v>
      </c>
      <c r="W519" s="67">
        <f>ROUND(+(V519*60%)*D519,4)</f>
        <v>0</v>
      </c>
      <c r="X519" s="148">
        <f>ROUND(+U519+W519,4)</f>
        <v>0</v>
      </c>
      <c r="Y519" s="68"/>
      <c r="Z519" s="148">
        <f>ROUND(IF(X519&gt;I519,X519,I519),4)</f>
        <v>0</v>
      </c>
    </row>
    <row r="520" spans="1:26" x14ac:dyDescent="0.2">
      <c r="A520" s="66"/>
      <c r="B520" s="66"/>
      <c r="C520" s="66"/>
      <c r="D520" s="144"/>
      <c r="E520" s="67"/>
      <c r="F520" s="67"/>
      <c r="G520" s="67"/>
      <c r="H520" s="67">
        <f>ROUND(+E520+G520,4)</f>
        <v>0</v>
      </c>
      <c r="I520" s="67"/>
      <c r="J520" s="67">
        <f>ROUND(+I520-H520,4)</f>
        <v>0</v>
      </c>
      <c r="K520" s="67">
        <f>ROUND(IF(F520="alluminio",0,I520*1.5%),4)</f>
        <v>0</v>
      </c>
      <c r="L520" s="67">
        <f>ROUND(IF(K520&lt;J520,K520,0),4)</f>
        <v>0</v>
      </c>
      <c r="M520" s="67">
        <f>ROUND(IF(J520&gt;K520,0,J520),4)</f>
        <v>0</v>
      </c>
      <c r="N520" s="67">
        <f>ROUND(+L520*D520,4)</f>
        <v>0</v>
      </c>
      <c r="O520" s="67">
        <f>ROUND(IF(F520="rame",0,+I520*3%),4)</f>
        <v>0</v>
      </c>
      <c r="P520" s="67">
        <f>ROUND(IF(O520&lt;J520,O520,0),4)</f>
        <v>0</v>
      </c>
      <c r="Q520" s="67">
        <f>ROUND(IF(J520&gt;O520,0,J520),4)</f>
        <v>0</v>
      </c>
      <c r="R520" s="67">
        <f>ROUND(+P520*D520,4)</f>
        <v>0</v>
      </c>
      <c r="S520" s="67">
        <f>ROUND(IF(K520=0,0,M520*D520),4)</f>
        <v>0</v>
      </c>
      <c r="T520" s="67">
        <f>ROUND(+IF(K520=0,Q520*D520,0),4)</f>
        <v>0</v>
      </c>
      <c r="U520" s="67">
        <f>ROUND(+N520+R520+S520+T520,4)</f>
        <v>0</v>
      </c>
      <c r="V520" s="67">
        <f>ROUND(IF(P520=0,0,I520-H520-O520)+IF(L520=0,0,I520-H520-K520),4)</f>
        <v>0</v>
      </c>
      <c r="W520" s="67">
        <f>ROUND(+(V520*60%)*D520,4)</f>
        <v>0</v>
      </c>
      <c r="X520" s="148">
        <f>ROUND(+U520+W520,4)</f>
        <v>0</v>
      </c>
      <c r="Y520" s="68"/>
      <c r="Z520" s="148">
        <f>ROUND(IF(X520&gt;I520,X520,I520),4)</f>
        <v>0</v>
      </c>
    </row>
    <row r="521" spans="1:26" x14ac:dyDescent="0.2">
      <c r="A521" s="66"/>
      <c r="B521" s="66"/>
      <c r="C521" s="66"/>
      <c r="D521" s="144"/>
      <c r="E521" s="67"/>
      <c r="F521" s="67"/>
      <c r="G521" s="67"/>
      <c r="H521" s="67">
        <f>ROUND(+E521+G521,4)</f>
        <v>0</v>
      </c>
      <c r="I521" s="67"/>
      <c r="J521" s="67">
        <f>ROUND(+I521-H521,4)</f>
        <v>0</v>
      </c>
      <c r="K521" s="67">
        <f>ROUND(IF(F521="alluminio",0,I521*1.5%),4)</f>
        <v>0</v>
      </c>
      <c r="L521" s="67">
        <f>ROUND(IF(K521&lt;J521,K521,0),4)</f>
        <v>0</v>
      </c>
      <c r="M521" s="67">
        <f>ROUND(IF(J521&gt;K521,0,J521),4)</f>
        <v>0</v>
      </c>
      <c r="N521" s="67">
        <f>ROUND(+L521*D521,4)</f>
        <v>0</v>
      </c>
      <c r="O521" s="67">
        <f>ROUND(IF(F521="rame",0,+I521*3%),4)</f>
        <v>0</v>
      </c>
      <c r="P521" s="67">
        <f>ROUND(IF(O521&lt;J521,O521,0),4)</f>
        <v>0</v>
      </c>
      <c r="Q521" s="67">
        <f>ROUND(IF(J521&gt;O521,0,J521),4)</f>
        <v>0</v>
      </c>
      <c r="R521" s="67">
        <f>ROUND(+P521*D521,4)</f>
        <v>0</v>
      </c>
      <c r="S521" s="67">
        <f>ROUND(IF(K521=0,0,M521*D521),4)</f>
        <v>0</v>
      </c>
      <c r="T521" s="67">
        <f>ROUND(+IF(K521=0,Q521*D521,0),4)</f>
        <v>0</v>
      </c>
      <c r="U521" s="67">
        <f>ROUND(+N521+R521+S521+T521,4)</f>
        <v>0</v>
      </c>
      <c r="V521" s="67">
        <f>ROUND(IF(P521=0,0,I521-H521-O521)+IF(L521=0,0,I521-H521-K521),4)</f>
        <v>0</v>
      </c>
      <c r="W521" s="67">
        <f>ROUND(+(V521*60%)*D521,4)</f>
        <v>0</v>
      </c>
      <c r="X521" s="148">
        <f>ROUND(+U521+W521,4)</f>
        <v>0</v>
      </c>
      <c r="Y521" s="68"/>
      <c r="Z521" s="148">
        <f>ROUND(IF(X521&gt;I521,X521,I521),4)</f>
        <v>0</v>
      </c>
    </row>
    <row r="522" spans="1:26" x14ac:dyDescent="0.2">
      <c r="A522" s="66"/>
      <c r="B522" s="66"/>
      <c r="C522" s="66"/>
      <c r="D522" s="144"/>
      <c r="E522" s="67"/>
      <c r="F522" s="67"/>
      <c r="G522" s="67"/>
      <c r="H522" s="67">
        <f>ROUND(+E522+G522,4)</f>
        <v>0</v>
      </c>
      <c r="I522" s="67"/>
      <c r="J522" s="67">
        <f>ROUND(+I522-H522,4)</f>
        <v>0</v>
      </c>
      <c r="K522" s="67">
        <f>ROUND(IF(F522="alluminio",0,I522*1.5%),4)</f>
        <v>0</v>
      </c>
      <c r="L522" s="67">
        <f>ROUND(IF(K522&lt;J522,K522,0),4)</f>
        <v>0</v>
      </c>
      <c r="M522" s="67">
        <f>ROUND(IF(J522&gt;K522,0,J522),4)</f>
        <v>0</v>
      </c>
      <c r="N522" s="67">
        <f>ROUND(+L522*D522,4)</f>
        <v>0</v>
      </c>
      <c r="O522" s="67">
        <f>ROUND(IF(F522="rame",0,+I522*3%),4)</f>
        <v>0</v>
      </c>
      <c r="P522" s="67">
        <f>ROUND(IF(O522&lt;J522,O522,0),4)</f>
        <v>0</v>
      </c>
      <c r="Q522" s="67">
        <f>ROUND(IF(J522&gt;O522,0,J522),4)</f>
        <v>0</v>
      </c>
      <c r="R522" s="67">
        <f>ROUND(+P522*D522,4)</f>
        <v>0</v>
      </c>
      <c r="S522" s="67">
        <f>ROUND(IF(K522=0,0,M522*D522),4)</f>
        <v>0</v>
      </c>
      <c r="T522" s="67">
        <f>ROUND(+IF(K522=0,Q522*D522,0),4)</f>
        <v>0</v>
      </c>
      <c r="U522" s="67">
        <f>ROUND(+N522+R522+S522+T522,4)</f>
        <v>0</v>
      </c>
      <c r="V522" s="67">
        <f>ROUND(IF(P522=0,0,I522-H522-O522)+IF(L522=0,0,I522-H522-K522),4)</f>
        <v>0</v>
      </c>
      <c r="W522" s="67">
        <f>ROUND(+(V522*60%)*D522,4)</f>
        <v>0</v>
      </c>
      <c r="X522" s="148">
        <f>ROUND(+U522+W522,4)</f>
        <v>0</v>
      </c>
      <c r="Y522" s="68"/>
      <c r="Z522" s="148">
        <f>ROUND(IF(X522&gt;I522,X522,I522),4)</f>
        <v>0</v>
      </c>
    </row>
    <row r="523" spans="1:26" x14ac:dyDescent="0.2">
      <c r="A523" s="66"/>
      <c r="B523" s="66"/>
      <c r="C523" s="66"/>
      <c r="D523" s="144"/>
      <c r="E523" s="67"/>
      <c r="F523" s="67"/>
      <c r="G523" s="67"/>
      <c r="H523" s="67">
        <f>ROUND(+E523+G523,4)</f>
        <v>0</v>
      </c>
      <c r="I523" s="67"/>
      <c r="J523" s="67">
        <f>ROUND(+I523-H523,4)</f>
        <v>0</v>
      </c>
      <c r="K523" s="67">
        <f>ROUND(IF(F523="alluminio",0,I523*1.5%),4)</f>
        <v>0</v>
      </c>
      <c r="L523" s="67">
        <f>ROUND(IF(K523&lt;J523,K523,0),4)</f>
        <v>0</v>
      </c>
      <c r="M523" s="67">
        <f>ROUND(IF(J523&gt;K523,0,J523),4)</f>
        <v>0</v>
      </c>
      <c r="N523" s="67">
        <f>ROUND(+L523*D523,4)</f>
        <v>0</v>
      </c>
      <c r="O523" s="67">
        <f>ROUND(IF(F523="rame",0,+I523*3%),4)</f>
        <v>0</v>
      </c>
      <c r="P523" s="67">
        <f>ROUND(IF(O523&lt;J523,O523,0),4)</f>
        <v>0</v>
      </c>
      <c r="Q523" s="67">
        <f>ROUND(IF(J523&gt;O523,0,J523),4)</f>
        <v>0</v>
      </c>
      <c r="R523" s="67">
        <f>ROUND(+P523*D523,4)</f>
        <v>0</v>
      </c>
      <c r="S523" s="67">
        <f>ROUND(IF(K523=0,0,M523*D523),4)</f>
        <v>0</v>
      </c>
      <c r="T523" s="67">
        <f>ROUND(+IF(K523=0,Q523*D523,0),4)</f>
        <v>0</v>
      </c>
      <c r="U523" s="67">
        <f>ROUND(+N523+R523+S523+T523,4)</f>
        <v>0</v>
      </c>
      <c r="V523" s="67">
        <f>ROUND(IF(P523=0,0,I523-H523-O523)+IF(L523=0,0,I523-H523-K523),4)</f>
        <v>0</v>
      </c>
      <c r="W523" s="67">
        <f>ROUND(+(V523*60%)*D523,4)</f>
        <v>0</v>
      </c>
      <c r="X523" s="148">
        <f>ROUND(+U523+W523,4)</f>
        <v>0</v>
      </c>
      <c r="Y523" s="68"/>
      <c r="Z523" s="148">
        <f>ROUND(IF(X523&gt;I523,X523,I523),4)</f>
        <v>0</v>
      </c>
    </row>
    <row r="524" spans="1:26" x14ac:dyDescent="0.2">
      <c r="A524" s="66"/>
      <c r="B524" s="66"/>
      <c r="C524" s="66"/>
      <c r="D524" s="144"/>
      <c r="E524" s="67"/>
      <c r="F524" s="67"/>
      <c r="G524" s="67"/>
      <c r="H524" s="67">
        <f>ROUND(+E524+G524,4)</f>
        <v>0</v>
      </c>
      <c r="I524" s="67"/>
      <c r="J524" s="67">
        <f>ROUND(+I524-H524,4)</f>
        <v>0</v>
      </c>
      <c r="K524" s="67">
        <f>ROUND(IF(F524="alluminio",0,I524*1.5%),4)</f>
        <v>0</v>
      </c>
      <c r="L524" s="67">
        <f>ROUND(IF(K524&lt;J524,K524,0),4)</f>
        <v>0</v>
      </c>
      <c r="M524" s="67">
        <f>ROUND(IF(J524&gt;K524,0,J524),4)</f>
        <v>0</v>
      </c>
      <c r="N524" s="67">
        <f>ROUND(+L524*D524,4)</f>
        <v>0</v>
      </c>
      <c r="O524" s="67">
        <f>ROUND(IF(F524="rame",0,+I524*3%),4)</f>
        <v>0</v>
      </c>
      <c r="P524" s="67">
        <f>ROUND(IF(O524&lt;J524,O524,0),4)</f>
        <v>0</v>
      </c>
      <c r="Q524" s="67">
        <f>ROUND(IF(J524&gt;O524,0,J524),4)</f>
        <v>0</v>
      </c>
      <c r="R524" s="67">
        <f>ROUND(+P524*D524,4)</f>
        <v>0</v>
      </c>
      <c r="S524" s="67">
        <f>ROUND(IF(K524=0,0,M524*D524),4)</f>
        <v>0</v>
      </c>
      <c r="T524" s="67">
        <f>ROUND(+IF(K524=0,Q524*D524,0),4)</f>
        <v>0</v>
      </c>
      <c r="U524" s="67">
        <f>ROUND(+N524+R524+S524+T524,4)</f>
        <v>0</v>
      </c>
      <c r="V524" s="67">
        <f>ROUND(IF(P524=0,0,I524-H524-O524)+IF(L524=0,0,I524-H524-K524),4)</f>
        <v>0</v>
      </c>
      <c r="W524" s="67">
        <f>ROUND(+(V524*60%)*D524,4)</f>
        <v>0</v>
      </c>
      <c r="X524" s="148">
        <f>ROUND(+U524+W524,4)</f>
        <v>0</v>
      </c>
      <c r="Y524" s="68"/>
      <c r="Z524" s="148">
        <f>ROUND(IF(X524&gt;I524,X524,I524),4)</f>
        <v>0</v>
      </c>
    </row>
    <row r="525" spans="1:26" x14ac:dyDescent="0.2">
      <c r="A525" s="66"/>
      <c r="B525" s="66"/>
      <c r="C525" s="66"/>
      <c r="D525" s="144"/>
      <c r="E525" s="67"/>
      <c r="F525" s="67"/>
      <c r="G525" s="67"/>
      <c r="H525" s="67">
        <f>ROUND(+E525+G525,4)</f>
        <v>0</v>
      </c>
      <c r="I525" s="67"/>
      <c r="J525" s="67">
        <f>ROUND(+I525-H525,4)</f>
        <v>0</v>
      </c>
      <c r="K525" s="67">
        <f>ROUND(IF(F525="alluminio",0,I525*1.5%),4)</f>
        <v>0</v>
      </c>
      <c r="L525" s="67">
        <f>ROUND(IF(K525&lt;J525,K525,0),4)</f>
        <v>0</v>
      </c>
      <c r="M525" s="67">
        <f>ROUND(IF(J525&gt;K525,0,J525),4)</f>
        <v>0</v>
      </c>
      <c r="N525" s="67">
        <f>ROUND(+L525*D525,4)</f>
        <v>0</v>
      </c>
      <c r="O525" s="67">
        <f>ROUND(IF(F525="rame",0,+I525*3%),4)</f>
        <v>0</v>
      </c>
      <c r="P525" s="67">
        <f>ROUND(IF(O525&lt;J525,O525,0),4)</f>
        <v>0</v>
      </c>
      <c r="Q525" s="67">
        <f>ROUND(IF(J525&gt;O525,0,J525),4)</f>
        <v>0</v>
      </c>
      <c r="R525" s="67">
        <f>ROUND(+P525*D525,4)</f>
        <v>0</v>
      </c>
      <c r="S525" s="67">
        <f>ROUND(IF(K525=0,0,M525*D525),4)</f>
        <v>0</v>
      </c>
      <c r="T525" s="67">
        <f>ROUND(+IF(K525=0,Q525*D525,0),4)</f>
        <v>0</v>
      </c>
      <c r="U525" s="67">
        <f>ROUND(+N525+R525+S525+T525,4)</f>
        <v>0</v>
      </c>
      <c r="V525" s="67">
        <f>ROUND(IF(P525=0,0,I525-H525-O525)+IF(L525=0,0,I525-H525-K525),4)</f>
        <v>0</v>
      </c>
      <c r="W525" s="67">
        <f>ROUND(+(V525*60%)*D525,4)</f>
        <v>0</v>
      </c>
      <c r="X525" s="148">
        <f>ROUND(+U525+W525,4)</f>
        <v>0</v>
      </c>
      <c r="Y525" s="68"/>
      <c r="Z525" s="148">
        <f>ROUND(IF(X525&gt;I525,X525,I525),4)</f>
        <v>0</v>
      </c>
    </row>
    <row r="526" spans="1:26" x14ac:dyDescent="0.2">
      <c r="A526" s="66"/>
      <c r="B526" s="66"/>
      <c r="C526" s="66"/>
      <c r="D526" s="144"/>
      <c r="E526" s="67"/>
      <c r="F526" s="67"/>
      <c r="G526" s="67"/>
      <c r="H526" s="67">
        <f>ROUND(+E526+G526,4)</f>
        <v>0</v>
      </c>
      <c r="I526" s="67"/>
      <c r="J526" s="67">
        <f>ROUND(+I526-H526,4)</f>
        <v>0</v>
      </c>
      <c r="K526" s="67">
        <f>ROUND(IF(F526="alluminio",0,I526*1.5%),4)</f>
        <v>0</v>
      </c>
      <c r="L526" s="67">
        <f>ROUND(IF(K526&lt;J526,K526,0),4)</f>
        <v>0</v>
      </c>
      <c r="M526" s="67">
        <f>ROUND(IF(J526&gt;K526,0,J526),4)</f>
        <v>0</v>
      </c>
      <c r="N526" s="67">
        <f>ROUND(+L526*D526,4)</f>
        <v>0</v>
      </c>
      <c r="O526" s="67">
        <f>ROUND(IF(F526="rame",0,+I526*3%),4)</f>
        <v>0</v>
      </c>
      <c r="P526" s="67">
        <f>ROUND(IF(O526&lt;J526,O526,0),4)</f>
        <v>0</v>
      </c>
      <c r="Q526" s="67">
        <f>ROUND(IF(J526&gt;O526,0,J526),4)</f>
        <v>0</v>
      </c>
      <c r="R526" s="67">
        <f>ROUND(+P526*D526,4)</f>
        <v>0</v>
      </c>
      <c r="S526" s="67">
        <f>ROUND(IF(K526=0,0,M526*D526),4)</f>
        <v>0</v>
      </c>
      <c r="T526" s="67">
        <f>ROUND(+IF(K526=0,Q526*D526,0),4)</f>
        <v>0</v>
      </c>
      <c r="U526" s="67">
        <f>ROUND(+N526+R526+S526+T526,4)</f>
        <v>0</v>
      </c>
      <c r="V526" s="67">
        <f>ROUND(IF(P526=0,0,I526-H526-O526)+IF(L526=0,0,I526-H526-K526),4)</f>
        <v>0</v>
      </c>
      <c r="W526" s="67">
        <f>ROUND(+(V526*60%)*D526,4)</f>
        <v>0</v>
      </c>
      <c r="X526" s="148">
        <f>ROUND(+U526+W526,4)</f>
        <v>0</v>
      </c>
      <c r="Y526" s="68"/>
      <c r="Z526" s="148">
        <f>ROUND(IF(X526&gt;I526,X526,I526),4)</f>
        <v>0</v>
      </c>
    </row>
    <row r="527" spans="1:26" x14ac:dyDescent="0.2">
      <c r="A527" s="66"/>
      <c r="B527" s="66"/>
      <c r="C527" s="66"/>
      <c r="D527" s="144"/>
      <c r="E527" s="67"/>
      <c r="F527" s="67"/>
      <c r="G527" s="67"/>
      <c r="H527" s="67">
        <f>ROUND(+E527+G527,4)</f>
        <v>0</v>
      </c>
      <c r="I527" s="67"/>
      <c r="J527" s="67">
        <f>ROUND(+I527-H527,4)</f>
        <v>0</v>
      </c>
      <c r="K527" s="67">
        <f>ROUND(IF(F527="alluminio",0,I527*1.5%),4)</f>
        <v>0</v>
      </c>
      <c r="L527" s="67">
        <f>ROUND(IF(K527&lt;J527,K527,0),4)</f>
        <v>0</v>
      </c>
      <c r="M527" s="67">
        <f>ROUND(IF(J527&gt;K527,0,J527),4)</f>
        <v>0</v>
      </c>
      <c r="N527" s="67">
        <f>ROUND(+L527*D527,4)</f>
        <v>0</v>
      </c>
      <c r="O527" s="67">
        <f>ROUND(IF(F527="rame",0,+I527*3%),4)</f>
        <v>0</v>
      </c>
      <c r="P527" s="67">
        <f>ROUND(IF(O527&lt;J527,O527,0),4)</f>
        <v>0</v>
      </c>
      <c r="Q527" s="67">
        <f>ROUND(IF(J527&gt;O527,0,J527),4)</f>
        <v>0</v>
      </c>
      <c r="R527" s="67">
        <f>ROUND(+P527*D527,4)</f>
        <v>0</v>
      </c>
      <c r="S527" s="67">
        <f>ROUND(IF(K527=0,0,M527*D527),4)</f>
        <v>0</v>
      </c>
      <c r="T527" s="67">
        <f>ROUND(+IF(K527=0,Q527*D527,0),4)</f>
        <v>0</v>
      </c>
      <c r="U527" s="67">
        <f>ROUND(+N527+R527+S527+T527,4)</f>
        <v>0</v>
      </c>
      <c r="V527" s="67">
        <f>ROUND(IF(P527=0,0,I527-H527-O527)+IF(L527=0,0,I527-H527-K527),4)</f>
        <v>0</v>
      </c>
      <c r="W527" s="67">
        <f>ROUND(+(V527*60%)*D527,4)</f>
        <v>0</v>
      </c>
      <c r="X527" s="148">
        <f>ROUND(+U527+W527,4)</f>
        <v>0</v>
      </c>
      <c r="Y527" s="68"/>
      <c r="Z527" s="148">
        <f>ROUND(IF(X527&gt;I527,X527,I527),4)</f>
        <v>0</v>
      </c>
    </row>
    <row r="528" spans="1:26" x14ac:dyDescent="0.2">
      <c r="A528" s="66"/>
      <c r="B528" s="66"/>
      <c r="C528" s="66"/>
      <c r="D528" s="144"/>
      <c r="E528" s="67"/>
      <c r="F528" s="67"/>
      <c r="G528" s="67"/>
      <c r="H528" s="67">
        <f>ROUND(+E528+G528,4)</f>
        <v>0</v>
      </c>
      <c r="I528" s="67"/>
      <c r="J528" s="67">
        <f>ROUND(+I528-H528,4)</f>
        <v>0</v>
      </c>
      <c r="K528" s="67">
        <f>ROUND(IF(F528="alluminio",0,I528*1.5%),4)</f>
        <v>0</v>
      </c>
      <c r="L528" s="67">
        <f>ROUND(IF(K528&lt;J528,K528,0),4)</f>
        <v>0</v>
      </c>
      <c r="M528" s="67">
        <f>ROUND(IF(J528&gt;K528,0,J528),4)</f>
        <v>0</v>
      </c>
      <c r="N528" s="67">
        <f>ROUND(+L528*D528,4)</f>
        <v>0</v>
      </c>
      <c r="O528" s="67">
        <f>ROUND(IF(F528="rame",0,+I528*3%),4)</f>
        <v>0</v>
      </c>
      <c r="P528" s="67">
        <f>ROUND(IF(O528&lt;J528,O528,0),4)</f>
        <v>0</v>
      </c>
      <c r="Q528" s="67">
        <f>ROUND(IF(J528&gt;O528,0,J528),4)</f>
        <v>0</v>
      </c>
      <c r="R528" s="67">
        <f>ROUND(+P528*D528,4)</f>
        <v>0</v>
      </c>
      <c r="S528" s="67">
        <f>ROUND(IF(K528=0,0,M528*D528),4)</f>
        <v>0</v>
      </c>
      <c r="T528" s="67">
        <f>ROUND(+IF(K528=0,Q528*D528,0),4)</f>
        <v>0</v>
      </c>
      <c r="U528" s="67">
        <f>ROUND(+N528+R528+S528+T528,4)</f>
        <v>0</v>
      </c>
      <c r="V528" s="67">
        <f>ROUND(IF(P528=0,0,I528-H528-O528)+IF(L528=0,0,I528-H528-K528),4)</f>
        <v>0</v>
      </c>
      <c r="W528" s="67">
        <f>ROUND(+(V528*60%)*D528,4)</f>
        <v>0</v>
      </c>
      <c r="X528" s="148">
        <f>ROUND(+U528+W528,4)</f>
        <v>0</v>
      </c>
      <c r="Y528" s="68"/>
      <c r="Z528" s="148">
        <f>ROUND(IF(X528&gt;I528,X528,I528),4)</f>
        <v>0</v>
      </c>
    </row>
    <row r="529" spans="1:26" x14ac:dyDescent="0.2">
      <c r="A529" s="66"/>
      <c r="B529" s="66"/>
      <c r="C529" s="66"/>
      <c r="D529" s="144"/>
      <c r="E529" s="67"/>
      <c r="F529" s="67"/>
      <c r="G529" s="67"/>
      <c r="H529" s="67">
        <f>ROUND(+E529+G529,4)</f>
        <v>0</v>
      </c>
      <c r="I529" s="67"/>
      <c r="J529" s="67">
        <f>ROUND(+I529-H529,4)</f>
        <v>0</v>
      </c>
      <c r="K529" s="67">
        <f>ROUND(IF(F529="alluminio",0,I529*1.5%),4)</f>
        <v>0</v>
      </c>
      <c r="L529" s="67">
        <f>ROUND(IF(K529&lt;J529,K529,0),4)</f>
        <v>0</v>
      </c>
      <c r="M529" s="67">
        <f>ROUND(IF(J529&gt;K529,0,J529),4)</f>
        <v>0</v>
      </c>
      <c r="N529" s="67">
        <f>ROUND(+L529*D529,4)</f>
        <v>0</v>
      </c>
      <c r="O529" s="67">
        <f>ROUND(IF(F529="rame",0,+I529*3%),4)</f>
        <v>0</v>
      </c>
      <c r="P529" s="67">
        <f>ROUND(IF(O529&lt;J529,O529,0),4)</f>
        <v>0</v>
      </c>
      <c r="Q529" s="67">
        <f>ROUND(IF(J529&gt;O529,0,J529),4)</f>
        <v>0</v>
      </c>
      <c r="R529" s="67">
        <f>ROUND(+P529*D529,4)</f>
        <v>0</v>
      </c>
      <c r="S529" s="67">
        <f>ROUND(IF(K529=0,0,M529*D529),4)</f>
        <v>0</v>
      </c>
      <c r="T529" s="67">
        <f>ROUND(+IF(K529=0,Q529*D529,0),4)</f>
        <v>0</v>
      </c>
      <c r="U529" s="67">
        <f>ROUND(+N529+R529+S529+T529,4)</f>
        <v>0</v>
      </c>
      <c r="V529" s="67">
        <f>ROUND(IF(P529=0,0,I529-H529-O529)+IF(L529=0,0,I529-H529-K529),4)</f>
        <v>0</v>
      </c>
      <c r="W529" s="67">
        <f>ROUND(+(V529*60%)*D529,4)</f>
        <v>0</v>
      </c>
      <c r="X529" s="148">
        <f>ROUND(+U529+W529,4)</f>
        <v>0</v>
      </c>
      <c r="Y529" s="68"/>
      <c r="Z529" s="148">
        <f>ROUND(IF(X529&gt;I529,X529,I529),4)</f>
        <v>0</v>
      </c>
    </row>
    <row r="530" spans="1:26" x14ac:dyDescent="0.2">
      <c r="A530" s="66"/>
      <c r="B530" s="66"/>
      <c r="C530" s="66"/>
      <c r="D530" s="144"/>
      <c r="E530" s="67"/>
      <c r="F530" s="67"/>
      <c r="G530" s="67"/>
      <c r="H530" s="67">
        <f>ROUND(+E530+G530,4)</f>
        <v>0</v>
      </c>
      <c r="I530" s="67"/>
      <c r="J530" s="67">
        <f>ROUND(+I530-H530,4)</f>
        <v>0</v>
      </c>
      <c r="K530" s="67">
        <f>ROUND(IF(F530="alluminio",0,I530*1.5%),4)</f>
        <v>0</v>
      </c>
      <c r="L530" s="67">
        <f>ROUND(IF(K530&lt;J530,K530,0),4)</f>
        <v>0</v>
      </c>
      <c r="M530" s="67">
        <f>ROUND(IF(J530&gt;K530,0,J530),4)</f>
        <v>0</v>
      </c>
      <c r="N530" s="67">
        <f>ROUND(+L530*D530,4)</f>
        <v>0</v>
      </c>
      <c r="O530" s="67">
        <f>ROUND(IF(F530="rame",0,+I530*3%),4)</f>
        <v>0</v>
      </c>
      <c r="P530" s="67">
        <f>ROUND(IF(O530&lt;J530,O530,0),4)</f>
        <v>0</v>
      </c>
      <c r="Q530" s="67">
        <f>ROUND(IF(J530&gt;O530,0,J530),4)</f>
        <v>0</v>
      </c>
      <c r="R530" s="67">
        <f>ROUND(+P530*D530,4)</f>
        <v>0</v>
      </c>
      <c r="S530" s="67">
        <f>ROUND(IF(K530=0,0,M530*D530),4)</f>
        <v>0</v>
      </c>
      <c r="T530" s="67">
        <f>ROUND(+IF(K530=0,Q530*D530,0),4)</f>
        <v>0</v>
      </c>
      <c r="U530" s="67">
        <f>ROUND(+N530+R530+S530+T530,4)</f>
        <v>0</v>
      </c>
      <c r="V530" s="67">
        <f>ROUND(IF(P530=0,0,I530-H530-O530)+IF(L530=0,0,I530-H530-K530),4)</f>
        <v>0</v>
      </c>
      <c r="W530" s="67">
        <f>ROUND(+(V530*60%)*D530,4)</f>
        <v>0</v>
      </c>
      <c r="X530" s="148">
        <f>ROUND(+U530+W530,4)</f>
        <v>0</v>
      </c>
      <c r="Y530" s="68"/>
      <c r="Z530" s="148">
        <f>ROUND(IF(X530&gt;I530,X530,I530),4)</f>
        <v>0</v>
      </c>
    </row>
    <row r="531" spans="1:26" x14ac:dyDescent="0.2">
      <c r="A531" s="66"/>
      <c r="B531" s="66"/>
      <c r="C531" s="66"/>
      <c r="D531" s="144"/>
      <c r="E531" s="67"/>
      <c r="F531" s="67"/>
      <c r="G531" s="67"/>
      <c r="H531" s="67">
        <f>ROUND(+E531+G531,4)</f>
        <v>0</v>
      </c>
      <c r="I531" s="67"/>
      <c r="J531" s="67">
        <f>ROUND(+I531-H531,4)</f>
        <v>0</v>
      </c>
      <c r="K531" s="67">
        <f>ROUND(IF(F531="alluminio",0,I531*1.5%),4)</f>
        <v>0</v>
      </c>
      <c r="L531" s="67">
        <f>ROUND(IF(K531&lt;J531,K531,0),4)</f>
        <v>0</v>
      </c>
      <c r="M531" s="67">
        <f>ROUND(IF(J531&gt;K531,0,J531),4)</f>
        <v>0</v>
      </c>
      <c r="N531" s="67">
        <f>ROUND(+L531*D531,4)</f>
        <v>0</v>
      </c>
      <c r="O531" s="67">
        <f>ROUND(IF(F531="rame",0,+I531*3%),4)</f>
        <v>0</v>
      </c>
      <c r="P531" s="67">
        <f>ROUND(IF(O531&lt;J531,O531,0),4)</f>
        <v>0</v>
      </c>
      <c r="Q531" s="67">
        <f>ROUND(IF(J531&gt;O531,0,J531),4)</f>
        <v>0</v>
      </c>
      <c r="R531" s="67">
        <f>ROUND(+P531*D531,4)</f>
        <v>0</v>
      </c>
      <c r="S531" s="67">
        <f>ROUND(IF(K531=0,0,M531*D531),4)</f>
        <v>0</v>
      </c>
      <c r="T531" s="67">
        <f>ROUND(+IF(K531=0,Q531*D531,0),4)</f>
        <v>0</v>
      </c>
      <c r="U531" s="67">
        <f>ROUND(+N531+R531+S531+T531,4)</f>
        <v>0</v>
      </c>
      <c r="V531" s="67">
        <f>ROUND(IF(P531=0,0,I531-H531-O531)+IF(L531=0,0,I531-H531-K531),4)</f>
        <v>0</v>
      </c>
      <c r="W531" s="67">
        <f>ROUND(+(V531*60%)*D531,4)</f>
        <v>0</v>
      </c>
      <c r="X531" s="148">
        <f>ROUND(+U531+W531,4)</f>
        <v>0</v>
      </c>
      <c r="Y531" s="68"/>
      <c r="Z531" s="148">
        <f>ROUND(IF(X531&gt;I531,X531,I531),4)</f>
        <v>0</v>
      </c>
    </row>
    <row r="532" spans="1:26" x14ac:dyDescent="0.2">
      <c r="A532" s="66"/>
      <c r="B532" s="66"/>
      <c r="C532" s="66"/>
      <c r="D532" s="144"/>
      <c r="E532" s="67"/>
      <c r="F532" s="67"/>
      <c r="G532" s="67"/>
      <c r="H532" s="67">
        <f>ROUND(+E532+G532,4)</f>
        <v>0</v>
      </c>
      <c r="I532" s="67"/>
      <c r="J532" s="67">
        <f>ROUND(+I532-H532,4)</f>
        <v>0</v>
      </c>
      <c r="K532" s="67">
        <f>ROUND(IF(F532="alluminio",0,I532*1.5%),4)</f>
        <v>0</v>
      </c>
      <c r="L532" s="67">
        <f>ROUND(IF(K532&lt;J532,K532,0),4)</f>
        <v>0</v>
      </c>
      <c r="M532" s="67">
        <f>ROUND(IF(J532&gt;K532,0,J532),4)</f>
        <v>0</v>
      </c>
      <c r="N532" s="67">
        <f>ROUND(+L532*D532,4)</f>
        <v>0</v>
      </c>
      <c r="O532" s="67">
        <f>ROUND(IF(F532="rame",0,+I532*3%),4)</f>
        <v>0</v>
      </c>
      <c r="P532" s="67">
        <f>ROUND(IF(O532&lt;J532,O532,0),4)</f>
        <v>0</v>
      </c>
      <c r="Q532" s="67">
        <f>ROUND(IF(J532&gt;O532,0,J532),4)</f>
        <v>0</v>
      </c>
      <c r="R532" s="67">
        <f>ROUND(+P532*D532,4)</f>
        <v>0</v>
      </c>
      <c r="S532" s="67">
        <f>ROUND(IF(K532=0,0,M532*D532),4)</f>
        <v>0</v>
      </c>
      <c r="T532" s="67">
        <f>ROUND(+IF(K532=0,Q532*D532,0),4)</f>
        <v>0</v>
      </c>
      <c r="U532" s="67">
        <f>ROUND(+N532+R532+S532+T532,4)</f>
        <v>0</v>
      </c>
      <c r="V532" s="67">
        <f>ROUND(IF(P532=0,0,I532-H532-O532)+IF(L532=0,0,I532-H532-K532),4)</f>
        <v>0</v>
      </c>
      <c r="W532" s="67">
        <f>ROUND(+(V532*60%)*D532,4)</f>
        <v>0</v>
      </c>
      <c r="X532" s="148">
        <f>ROUND(+U532+W532,4)</f>
        <v>0</v>
      </c>
      <c r="Y532" s="68"/>
      <c r="Z532" s="148">
        <f>ROUND(IF(X532&gt;I532,X532,I532),4)</f>
        <v>0</v>
      </c>
    </row>
    <row r="533" spans="1:26" x14ac:dyDescent="0.2">
      <c r="A533" s="66"/>
      <c r="B533" s="66"/>
      <c r="C533" s="66"/>
      <c r="D533" s="144"/>
      <c r="E533" s="67"/>
      <c r="F533" s="67"/>
      <c r="G533" s="67"/>
      <c r="H533" s="67">
        <f>ROUND(+E533+G533,4)</f>
        <v>0</v>
      </c>
      <c r="I533" s="67"/>
      <c r="J533" s="67">
        <f>ROUND(+I533-H533,4)</f>
        <v>0</v>
      </c>
      <c r="K533" s="67">
        <f>ROUND(IF(F533="alluminio",0,I533*1.5%),4)</f>
        <v>0</v>
      </c>
      <c r="L533" s="67">
        <f>ROUND(IF(K533&lt;J533,K533,0),4)</f>
        <v>0</v>
      </c>
      <c r="M533" s="67">
        <f>ROUND(IF(J533&gt;K533,0,J533),4)</f>
        <v>0</v>
      </c>
      <c r="N533" s="67">
        <f>ROUND(+L533*D533,4)</f>
        <v>0</v>
      </c>
      <c r="O533" s="67">
        <f>ROUND(IF(F533="rame",0,+I533*3%),4)</f>
        <v>0</v>
      </c>
      <c r="P533" s="67">
        <f>ROUND(IF(O533&lt;J533,O533,0),4)</f>
        <v>0</v>
      </c>
      <c r="Q533" s="67">
        <f>ROUND(IF(J533&gt;O533,0,J533),4)</f>
        <v>0</v>
      </c>
      <c r="R533" s="67">
        <f>ROUND(+P533*D533,4)</f>
        <v>0</v>
      </c>
      <c r="S533" s="67">
        <f>ROUND(IF(K533=0,0,M533*D533),4)</f>
        <v>0</v>
      </c>
      <c r="T533" s="67">
        <f>ROUND(+IF(K533=0,Q533*D533,0),4)</f>
        <v>0</v>
      </c>
      <c r="U533" s="67">
        <f>ROUND(+N533+R533+S533+T533,4)</f>
        <v>0</v>
      </c>
      <c r="V533" s="67">
        <f>ROUND(IF(P533=0,0,I533-H533-O533)+IF(L533=0,0,I533-H533-K533),4)</f>
        <v>0</v>
      </c>
      <c r="W533" s="67">
        <f>ROUND(+(V533*60%)*D533,4)</f>
        <v>0</v>
      </c>
      <c r="X533" s="148">
        <f>ROUND(+U533+W533,4)</f>
        <v>0</v>
      </c>
      <c r="Y533" s="68"/>
      <c r="Z533" s="148">
        <f>ROUND(IF(X533&gt;I533,X533,I533),4)</f>
        <v>0</v>
      </c>
    </row>
    <row r="534" spans="1:26" x14ac:dyDescent="0.2">
      <c r="A534" s="66"/>
      <c r="B534" s="66"/>
      <c r="C534" s="66"/>
      <c r="D534" s="144"/>
      <c r="E534" s="67"/>
      <c r="F534" s="67"/>
      <c r="G534" s="67"/>
      <c r="H534" s="67">
        <f>ROUND(+E534+G534,4)</f>
        <v>0</v>
      </c>
      <c r="I534" s="67"/>
      <c r="J534" s="67">
        <f>ROUND(+I534-H534,4)</f>
        <v>0</v>
      </c>
      <c r="K534" s="67">
        <f>ROUND(IF(F534="alluminio",0,I534*1.5%),4)</f>
        <v>0</v>
      </c>
      <c r="L534" s="67">
        <f>ROUND(IF(K534&lt;J534,K534,0),4)</f>
        <v>0</v>
      </c>
      <c r="M534" s="67">
        <f>ROUND(IF(J534&gt;K534,0,J534),4)</f>
        <v>0</v>
      </c>
      <c r="N534" s="67">
        <f>ROUND(+L534*D534,4)</f>
        <v>0</v>
      </c>
      <c r="O534" s="67">
        <f>ROUND(IF(F534="rame",0,+I534*3%),4)</f>
        <v>0</v>
      </c>
      <c r="P534" s="67">
        <f>ROUND(IF(O534&lt;J534,O534,0),4)</f>
        <v>0</v>
      </c>
      <c r="Q534" s="67">
        <f>ROUND(IF(J534&gt;O534,0,J534),4)</f>
        <v>0</v>
      </c>
      <c r="R534" s="67">
        <f>ROUND(+P534*D534,4)</f>
        <v>0</v>
      </c>
      <c r="S534" s="67">
        <f>ROUND(IF(K534=0,0,M534*D534),4)</f>
        <v>0</v>
      </c>
      <c r="T534" s="67">
        <f>ROUND(+IF(K534=0,Q534*D534,0),4)</f>
        <v>0</v>
      </c>
      <c r="U534" s="67">
        <f>ROUND(+N534+R534+S534+T534,4)</f>
        <v>0</v>
      </c>
      <c r="V534" s="67">
        <f>ROUND(IF(P534=0,0,I534-H534-O534)+IF(L534=0,0,I534-H534-K534),4)</f>
        <v>0</v>
      </c>
      <c r="W534" s="67">
        <f>ROUND(+(V534*60%)*D534,4)</f>
        <v>0</v>
      </c>
      <c r="X534" s="148">
        <f>ROUND(+U534+W534,4)</f>
        <v>0</v>
      </c>
      <c r="Y534" s="68"/>
      <c r="Z534" s="148">
        <f>ROUND(IF(X534&gt;I534,X534,I534),4)</f>
        <v>0</v>
      </c>
    </row>
    <row r="535" spans="1:26" x14ac:dyDescent="0.2">
      <c r="A535" s="66"/>
      <c r="B535" s="66"/>
      <c r="C535" s="66"/>
      <c r="D535" s="144"/>
      <c r="E535" s="67"/>
      <c r="F535" s="67"/>
      <c r="G535" s="67"/>
      <c r="H535" s="67">
        <f>ROUND(+E535+G535,4)</f>
        <v>0</v>
      </c>
      <c r="I535" s="67"/>
      <c r="J535" s="67">
        <f>ROUND(+I535-H535,4)</f>
        <v>0</v>
      </c>
      <c r="K535" s="67">
        <f>ROUND(IF(F535="alluminio",0,I535*1.5%),4)</f>
        <v>0</v>
      </c>
      <c r="L535" s="67">
        <f>ROUND(IF(K535&lt;J535,K535,0),4)</f>
        <v>0</v>
      </c>
      <c r="M535" s="67">
        <f>ROUND(IF(J535&gt;K535,0,J535),4)</f>
        <v>0</v>
      </c>
      <c r="N535" s="67">
        <f>ROUND(+L535*D535,4)</f>
        <v>0</v>
      </c>
      <c r="O535" s="67">
        <f>ROUND(IF(F535="rame",0,+I535*3%),4)</f>
        <v>0</v>
      </c>
      <c r="P535" s="67">
        <f>ROUND(IF(O535&lt;J535,O535,0),4)</f>
        <v>0</v>
      </c>
      <c r="Q535" s="67">
        <f>ROUND(IF(J535&gt;O535,0,J535),4)</f>
        <v>0</v>
      </c>
      <c r="R535" s="67">
        <f>ROUND(+P535*D535,4)</f>
        <v>0</v>
      </c>
      <c r="S535" s="67">
        <f>ROUND(IF(K535=0,0,M535*D535),4)</f>
        <v>0</v>
      </c>
      <c r="T535" s="67">
        <f>ROUND(+IF(K535=0,Q535*D535,0),4)</f>
        <v>0</v>
      </c>
      <c r="U535" s="67">
        <f>ROUND(+N535+R535+S535+T535,4)</f>
        <v>0</v>
      </c>
      <c r="V535" s="67">
        <f>ROUND(IF(P535=0,0,I535-H535-O535)+IF(L535=0,0,I535-H535-K535),4)</f>
        <v>0</v>
      </c>
      <c r="W535" s="67">
        <f>ROUND(+(V535*60%)*D535,4)</f>
        <v>0</v>
      </c>
      <c r="X535" s="148">
        <f>ROUND(+U535+W535,4)</f>
        <v>0</v>
      </c>
      <c r="Y535" s="68"/>
      <c r="Z535" s="148">
        <f>ROUND(IF(X535&gt;I535,X535,I535),4)</f>
        <v>0</v>
      </c>
    </row>
    <row r="536" spans="1:26" x14ac:dyDescent="0.2">
      <c r="A536" s="66"/>
      <c r="B536" s="66"/>
      <c r="C536" s="66"/>
      <c r="D536" s="144"/>
      <c r="E536" s="67"/>
      <c r="F536" s="67"/>
      <c r="G536" s="67"/>
      <c r="H536" s="67">
        <f>ROUND(+E536+G536,4)</f>
        <v>0</v>
      </c>
      <c r="I536" s="67"/>
      <c r="J536" s="67">
        <f>ROUND(+I536-H536,4)</f>
        <v>0</v>
      </c>
      <c r="K536" s="67">
        <f>ROUND(IF(F536="alluminio",0,I536*1.5%),4)</f>
        <v>0</v>
      </c>
      <c r="L536" s="67">
        <f>ROUND(IF(K536&lt;J536,K536,0),4)</f>
        <v>0</v>
      </c>
      <c r="M536" s="67">
        <f>ROUND(IF(J536&gt;K536,0,J536),4)</f>
        <v>0</v>
      </c>
      <c r="N536" s="67">
        <f>ROUND(+L536*D536,4)</f>
        <v>0</v>
      </c>
      <c r="O536" s="67">
        <f>ROUND(IF(F536="rame",0,+I536*3%),4)</f>
        <v>0</v>
      </c>
      <c r="P536" s="67">
        <f>ROUND(IF(O536&lt;J536,O536,0),4)</f>
        <v>0</v>
      </c>
      <c r="Q536" s="67">
        <f>ROUND(IF(J536&gt;O536,0,J536),4)</f>
        <v>0</v>
      </c>
      <c r="R536" s="67">
        <f>ROUND(+P536*D536,4)</f>
        <v>0</v>
      </c>
      <c r="S536" s="67">
        <f>ROUND(IF(K536=0,0,M536*D536),4)</f>
        <v>0</v>
      </c>
      <c r="T536" s="67">
        <f>ROUND(+IF(K536=0,Q536*D536,0),4)</f>
        <v>0</v>
      </c>
      <c r="U536" s="67">
        <f>ROUND(+N536+R536+S536+T536,4)</f>
        <v>0</v>
      </c>
      <c r="V536" s="67">
        <f>ROUND(IF(P536=0,0,I536-H536-O536)+IF(L536=0,0,I536-H536-K536),4)</f>
        <v>0</v>
      </c>
      <c r="W536" s="67">
        <f>ROUND(+(V536*60%)*D536,4)</f>
        <v>0</v>
      </c>
      <c r="X536" s="148">
        <f>ROUND(+U536+W536,4)</f>
        <v>0</v>
      </c>
      <c r="Y536" s="68"/>
      <c r="Z536" s="148">
        <f>ROUND(IF(X536&gt;I536,X536,I536),4)</f>
        <v>0</v>
      </c>
    </row>
    <row r="537" spans="1:26" x14ac:dyDescent="0.2">
      <c r="A537" s="66"/>
      <c r="B537" s="66"/>
      <c r="C537" s="66"/>
      <c r="D537" s="144"/>
      <c r="E537" s="67"/>
      <c r="F537" s="67"/>
      <c r="G537" s="67"/>
      <c r="H537" s="67">
        <f>ROUND(+E537+G537,4)</f>
        <v>0</v>
      </c>
      <c r="I537" s="67"/>
      <c r="J537" s="67">
        <f>ROUND(+I537-H537,4)</f>
        <v>0</v>
      </c>
      <c r="K537" s="67">
        <f>ROUND(IF(F537="alluminio",0,I537*1.5%),4)</f>
        <v>0</v>
      </c>
      <c r="L537" s="67">
        <f>ROUND(IF(K537&lt;J537,K537,0),4)</f>
        <v>0</v>
      </c>
      <c r="M537" s="67">
        <f>ROUND(IF(J537&gt;K537,0,J537),4)</f>
        <v>0</v>
      </c>
      <c r="N537" s="67">
        <f>ROUND(+L537*D537,4)</f>
        <v>0</v>
      </c>
      <c r="O537" s="67">
        <f>ROUND(IF(F537="rame",0,+I537*3%),4)</f>
        <v>0</v>
      </c>
      <c r="P537" s="67">
        <f>ROUND(IF(O537&lt;J537,O537,0),4)</f>
        <v>0</v>
      </c>
      <c r="Q537" s="67">
        <f>ROUND(IF(J537&gt;O537,0,J537),4)</f>
        <v>0</v>
      </c>
      <c r="R537" s="67">
        <f>ROUND(+P537*D537,4)</f>
        <v>0</v>
      </c>
      <c r="S537" s="67">
        <f>ROUND(IF(K537=0,0,M537*D537),4)</f>
        <v>0</v>
      </c>
      <c r="T537" s="67">
        <f>ROUND(+IF(K537=0,Q537*D537,0),4)</f>
        <v>0</v>
      </c>
      <c r="U537" s="67">
        <f>ROUND(+N537+R537+S537+T537,4)</f>
        <v>0</v>
      </c>
      <c r="V537" s="67">
        <f>ROUND(IF(P537=0,0,I537-H537-O537)+IF(L537=0,0,I537-H537-K537),4)</f>
        <v>0</v>
      </c>
      <c r="W537" s="67">
        <f>ROUND(+(V537*60%)*D537,4)</f>
        <v>0</v>
      </c>
      <c r="X537" s="148">
        <f>ROUND(+U537+W537,4)</f>
        <v>0</v>
      </c>
      <c r="Y537" s="68"/>
      <c r="Z537" s="148">
        <f>ROUND(IF(X537&gt;I537,X537,I537),4)</f>
        <v>0</v>
      </c>
    </row>
    <row r="538" spans="1:26" x14ac:dyDescent="0.2">
      <c r="A538" s="66"/>
      <c r="B538" s="66"/>
      <c r="C538" s="66"/>
      <c r="D538" s="144"/>
      <c r="E538" s="67"/>
      <c r="F538" s="67"/>
      <c r="G538" s="67"/>
      <c r="H538" s="67">
        <f>ROUND(+E538+G538,4)</f>
        <v>0</v>
      </c>
      <c r="I538" s="67"/>
      <c r="J538" s="67">
        <f>ROUND(+I538-H538,4)</f>
        <v>0</v>
      </c>
      <c r="K538" s="67">
        <f>ROUND(IF(F538="alluminio",0,I538*1.5%),4)</f>
        <v>0</v>
      </c>
      <c r="L538" s="67">
        <f>ROUND(IF(K538&lt;J538,K538,0),4)</f>
        <v>0</v>
      </c>
      <c r="M538" s="67">
        <f>ROUND(IF(J538&gt;K538,0,J538),4)</f>
        <v>0</v>
      </c>
      <c r="N538" s="67">
        <f>ROUND(+L538*D538,4)</f>
        <v>0</v>
      </c>
      <c r="O538" s="67">
        <f>ROUND(IF(F538="rame",0,+I538*3%),4)</f>
        <v>0</v>
      </c>
      <c r="P538" s="67">
        <f>ROUND(IF(O538&lt;J538,O538,0),4)</f>
        <v>0</v>
      </c>
      <c r="Q538" s="67">
        <f>ROUND(IF(J538&gt;O538,0,J538),4)</f>
        <v>0</v>
      </c>
      <c r="R538" s="67">
        <f>ROUND(+P538*D538,4)</f>
        <v>0</v>
      </c>
      <c r="S538" s="67">
        <f>ROUND(IF(K538=0,0,M538*D538),4)</f>
        <v>0</v>
      </c>
      <c r="T538" s="67">
        <f>ROUND(+IF(K538=0,Q538*D538,0),4)</f>
        <v>0</v>
      </c>
      <c r="U538" s="67">
        <f>ROUND(+N538+R538+S538+T538,4)</f>
        <v>0</v>
      </c>
      <c r="V538" s="67">
        <f>ROUND(IF(P538=0,0,I538-H538-O538)+IF(L538=0,0,I538-H538-K538),4)</f>
        <v>0</v>
      </c>
      <c r="W538" s="67">
        <f>ROUND(+(V538*60%)*D538,4)</f>
        <v>0</v>
      </c>
      <c r="X538" s="148">
        <f>ROUND(+U538+W538,4)</f>
        <v>0</v>
      </c>
      <c r="Y538" s="68"/>
      <c r="Z538" s="148">
        <f>ROUND(IF(X538&gt;I538,X538,I538),4)</f>
        <v>0</v>
      </c>
    </row>
    <row r="539" spans="1:26" x14ac:dyDescent="0.2">
      <c r="A539" s="66"/>
      <c r="B539" s="66"/>
      <c r="C539" s="66"/>
      <c r="D539" s="144"/>
      <c r="E539" s="67"/>
      <c r="F539" s="67"/>
      <c r="G539" s="67"/>
      <c r="H539" s="67">
        <f>ROUND(+E539+G539,4)</f>
        <v>0</v>
      </c>
      <c r="I539" s="67"/>
      <c r="J539" s="67">
        <f>ROUND(+I539-H539,4)</f>
        <v>0</v>
      </c>
      <c r="K539" s="67">
        <f>ROUND(IF(F539="alluminio",0,I539*1.5%),4)</f>
        <v>0</v>
      </c>
      <c r="L539" s="67">
        <f>ROUND(IF(K539&lt;J539,K539,0),4)</f>
        <v>0</v>
      </c>
      <c r="M539" s="67">
        <f>ROUND(IF(J539&gt;K539,0,J539),4)</f>
        <v>0</v>
      </c>
      <c r="N539" s="67">
        <f>ROUND(+L539*D539,4)</f>
        <v>0</v>
      </c>
      <c r="O539" s="67">
        <f>ROUND(IF(F539="rame",0,+I539*3%),4)</f>
        <v>0</v>
      </c>
      <c r="P539" s="67">
        <f>ROUND(IF(O539&lt;J539,O539,0),4)</f>
        <v>0</v>
      </c>
      <c r="Q539" s="67">
        <f>ROUND(IF(J539&gt;O539,0,J539),4)</f>
        <v>0</v>
      </c>
      <c r="R539" s="67">
        <f>ROUND(+P539*D539,4)</f>
        <v>0</v>
      </c>
      <c r="S539" s="67">
        <f>ROUND(IF(K539=0,0,M539*D539),4)</f>
        <v>0</v>
      </c>
      <c r="T539" s="67">
        <f>ROUND(+IF(K539=0,Q539*D539,0),4)</f>
        <v>0</v>
      </c>
      <c r="U539" s="67">
        <f>ROUND(+N539+R539+S539+T539,4)</f>
        <v>0</v>
      </c>
      <c r="V539" s="67">
        <f>ROUND(IF(P539=0,0,I539-H539-O539)+IF(L539=0,0,I539-H539-K539),4)</f>
        <v>0</v>
      </c>
      <c r="W539" s="67">
        <f>ROUND(+(V539*60%)*D539,4)</f>
        <v>0</v>
      </c>
      <c r="X539" s="148">
        <f>ROUND(+U539+W539,4)</f>
        <v>0</v>
      </c>
      <c r="Y539" s="68"/>
      <c r="Z539" s="148">
        <f>ROUND(IF(X539&gt;I539,X539,I539),4)</f>
        <v>0</v>
      </c>
    </row>
    <row r="540" spans="1:26" x14ac:dyDescent="0.2">
      <c r="A540" s="66"/>
      <c r="B540" s="66"/>
      <c r="C540" s="66"/>
      <c r="D540" s="144"/>
      <c r="E540" s="67"/>
      <c r="F540" s="67"/>
      <c r="G540" s="67"/>
      <c r="H540" s="67">
        <f>ROUND(+E540+G540,4)</f>
        <v>0</v>
      </c>
      <c r="I540" s="67"/>
      <c r="J540" s="67">
        <f>ROUND(+I540-H540,4)</f>
        <v>0</v>
      </c>
      <c r="K540" s="67">
        <f>ROUND(IF(F540="alluminio",0,I540*1.5%),4)</f>
        <v>0</v>
      </c>
      <c r="L540" s="67">
        <f>ROUND(IF(K540&lt;J540,K540,0),4)</f>
        <v>0</v>
      </c>
      <c r="M540" s="67">
        <f>ROUND(IF(J540&gt;K540,0,J540),4)</f>
        <v>0</v>
      </c>
      <c r="N540" s="67">
        <f>ROUND(+L540*D540,4)</f>
        <v>0</v>
      </c>
      <c r="O540" s="67">
        <f>ROUND(IF(F540="rame",0,+I540*3%),4)</f>
        <v>0</v>
      </c>
      <c r="P540" s="67">
        <f>ROUND(IF(O540&lt;J540,O540,0),4)</f>
        <v>0</v>
      </c>
      <c r="Q540" s="67">
        <f>ROUND(IF(J540&gt;O540,0,J540),4)</f>
        <v>0</v>
      </c>
      <c r="R540" s="67">
        <f>ROUND(+P540*D540,4)</f>
        <v>0</v>
      </c>
      <c r="S540" s="67">
        <f>ROUND(IF(K540=0,0,M540*D540),4)</f>
        <v>0</v>
      </c>
      <c r="T540" s="67">
        <f>ROUND(+IF(K540=0,Q540*D540,0),4)</f>
        <v>0</v>
      </c>
      <c r="U540" s="67">
        <f>ROUND(+N540+R540+S540+T540,4)</f>
        <v>0</v>
      </c>
      <c r="V540" s="67">
        <f>ROUND(IF(P540=0,0,I540-H540-O540)+IF(L540=0,0,I540-H540-K540),4)</f>
        <v>0</v>
      </c>
      <c r="W540" s="67">
        <f>ROUND(+(V540*60%)*D540,4)</f>
        <v>0</v>
      </c>
      <c r="X540" s="148">
        <f>ROUND(+U540+W540,4)</f>
        <v>0</v>
      </c>
      <c r="Y540" s="68"/>
      <c r="Z540" s="148">
        <f>ROUND(IF(X540&gt;I540,X540,I540),4)</f>
        <v>0</v>
      </c>
    </row>
    <row r="541" spans="1:26" x14ac:dyDescent="0.2">
      <c r="A541" s="66"/>
      <c r="B541" s="66"/>
      <c r="C541" s="66"/>
      <c r="D541" s="144"/>
      <c r="E541" s="67"/>
      <c r="F541" s="67"/>
      <c r="G541" s="67"/>
      <c r="H541" s="67">
        <f>ROUND(+E541+G541,4)</f>
        <v>0</v>
      </c>
      <c r="I541" s="67"/>
      <c r="J541" s="67">
        <f>ROUND(+I541-H541,4)</f>
        <v>0</v>
      </c>
      <c r="K541" s="67">
        <f>ROUND(IF(F541="alluminio",0,I541*1.5%),4)</f>
        <v>0</v>
      </c>
      <c r="L541" s="67">
        <f>ROUND(IF(K541&lt;J541,K541,0),4)</f>
        <v>0</v>
      </c>
      <c r="M541" s="67">
        <f>ROUND(IF(J541&gt;K541,0,J541),4)</f>
        <v>0</v>
      </c>
      <c r="N541" s="67">
        <f>ROUND(+L541*D541,4)</f>
        <v>0</v>
      </c>
      <c r="O541" s="67">
        <f>ROUND(IF(F541="rame",0,+I541*3%),4)</f>
        <v>0</v>
      </c>
      <c r="P541" s="67">
        <f>ROUND(IF(O541&lt;J541,O541,0),4)</f>
        <v>0</v>
      </c>
      <c r="Q541" s="67">
        <f>ROUND(IF(J541&gt;O541,0,J541),4)</f>
        <v>0</v>
      </c>
      <c r="R541" s="67">
        <f>ROUND(+P541*D541,4)</f>
        <v>0</v>
      </c>
      <c r="S541" s="67">
        <f>ROUND(IF(K541=0,0,M541*D541),4)</f>
        <v>0</v>
      </c>
      <c r="T541" s="67">
        <f>ROUND(+IF(K541=0,Q541*D541,0),4)</f>
        <v>0</v>
      </c>
      <c r="U541" s="67">
        <f>ROUND(+N541+R541+S541+T541,4)</f>
        <v>0</v>
      </c>
      <c r="V541" s="67">
        <f>ROUND(IF(P541=0,0,I541-H541-O541)+IF(L541=0,0,I541-H541-K541),4)</f>
        <v>0</v>
      </c>
      <c r="W541" s="67">
        <f>ROUND(+(V541*60%)*D541,4)</f>
        <v>0</v>
      </c>
      <c r="X541" s="148">
        <f>ROUND(+U541+W541,4)</f>
        <v>0</v>
      </c>
      <c r="Y541" s="68"/>
      <c r="Z541" s="148">
        <f>ROUND(IF(X541&gt;I541,X541,I541),4)</f>
        <v>0</v>
      </c>
    </row>
    <row r="542" spans="1:26" x14ac:dyDescent="0.2">
      <c r="A542" s="66"/>
      <c r="B542" s="66"/>
      <c r="C542" s="66"/>
      <c r="D542" s="144"/>
      <c r="E542" s="67"/>
      <c r="F542" s="67"/>
      <c r="G542" s="67"/>
      <c r="H542" s="67">
        <f>ROUND(+E542+G542,4)</f>
        <v>0</v>
      </c>
      <c r="I542" s="67"/>
      <c r="J542" s="67">
        <f>ROUND(+I542-H542,4)</f>
        <v>0</v>
      </c>
      <c r="K542" s="67">
        <f>ROUND(IF(F542="alluminio",0,I542*1.5%),4)</f>
        <v>0</v>
      </c>
      <c r="L542" s="67">
        <f>ROUND(IF(K542&lt;J542,K542,0),4)</f>
        <v>0</v>
      </c>
      <c r="M542" s="67">
        <f>ROUND(IF(J542&gt;K542,0,J542),4)</f>
        <v>0</v>
      </c>
      <c r="N542" s="67">
        <f>ROUND(+L542*D542,4)</f>
        <v>0</v>
      </c>
      <c r="O542" s="67">
        <f>ROUND(IF(F542="rame",0,+I542*3%),4)</f>
        <v>0</v>
      </c>
      <c r="P542" s="67">
        <f>ROUND(IF(O542&lt;J542,O542,0),4)</f>
        <v>0</v>
      </c>
      <c r="Q542" s="67">
        <f>ROUND(IF(J542&gt;O542,0,J542),4)</f>
        <v>0</v>
      </c>
      <c r="R542" s="67">
        <f>ROUND(+P542*D542,4)</f>
        <v>0</v>
      </c>
      <c r="S542" s="67">
        <f>ROUND(IF(K542=0,0,M542*D542),4)</f>
        <v>0</v>
      </c>
      <c r="T542" s="67">
        <f>ROUND(+IF(K542=0,Q542*D542,0),4)</f>
        <v>0</v>
      </c>
      <c r="U542" s="67">
        <f>ROUND(+N542+R542+S542+T542,4)</f>
        <v>0</v>
      </c>
      <c r="V542" s="67">
        <f>ROUND(IF(P542=0,0,I542-H542-O542)+IF(L542=0,0,I542-H542-K542),4)</f>
        <v>0</v>
      </c>
      <c r="W542" s="67">
        <f>ROUND(+(V542*60%)*D542,4)</f>
        <v>0</v>
      </c>
      <c r="X542" s="148">
        <f>ROUND(+U542+W542,4)</f>
        <v>0</v>
      </c>
      <c r="Y542" s="68"/>
      <c r="Z542" s="148">
        <f>ROUND(IF(X542&gt;I542,X542,I542),4)</f>
        <v>0</v>
      </c>
    </row>
    <row r="543" spans="1:26" x14ac:dyDescent="0.2">
      <c r="A543" s="66"/>
      <c r="B543" s="66"/>
      <c r="C543" s="66"/>
      <c r="D543" s="144"/>
      <c r="E543" s="67"/>
      <c r="F543" s="67"/>
      <c r="G543" s="67"/>
      <c r="H543" s="67">
        <f>ROUND(+E543+G543,4)</f>
        <v>0</v>
      </c>
      <c r="I543" s="67"/>
      <c r="J543" s="67">
        <f>ROUND(+I543-H543,4)</f>
        <v>0</v>
      </c>
      <c r="K543" s="67">
        <f>ROUND(IF(F543="alluminio",0,I543*1.5%),4)</f>
        <v>0</v>
      </c>
      <c r="L543" s="67">
        <f>ROUND(IF(K543&lt;J543,K543,0),4)</f>
        <v>0</v>
      </c>
      <c r="M543" s="67">
        <f>ROUND(IF(J543&gt;K543,0,J543),4)</f>
        <v>0</v>
      </c>
      <c r="N543" s="67">
        <f>ROUND(+L543*D543,4)</f>
        <v>0</v>
      </c>
      <c r="O543" s="67">
        <f>ROUND(IF(F543="rame",0,+I543*3%),4)</f>
        <v>0</v>
      </c>
      <c r="P543" s="67">
        <f>ROUND(IF(O543&lt;J543,O543,0),4)</f>
        <v>0</v>
      </c>
      <c r="Q543" s="67">
        <f>ROUND(IF(J543&gt;O543,0,J543),4)</f>
        <v>0</v>
      </c>
      <c r="R543" s="67">
        <f>ROUND(+P543*D543,4)</f>
        <v>0</v>
      </c>
      <c r="S543" s="67">
        <f>ROUND(IF(K543=0,0,M543*D543),4)</f>
        <v>0</v>
      </c>
      <c r="T543" s="67">
        <f>ROUND(+IF(K543=0,Q543*D543,0),4)</f>
        <v>0</v>
      </c>
      <c r="U543" s="67">
        <f>ROUND(+N543+R543+S543+T543,4)</f>
        <v>0</v>
      </c>
      <c r="V543" s="67">
        <f>ROUND(IF(P543=0,0,I543-H543-O543)+IF(L543=0,0,I543-H543-K543),4)</f>
        <v>0</v>
      </c>
      <c r="W543" s="67">
        <f>ROUND(+(V543*60%)*D543,4)</f>
        <v>0</v>
      </c>
      <c r="X543" s="148">
        <f>ROUND(+U543+W543,4)</f>
        <v>0</v>
      </c>
      <c r="Y543" s="68"/>
      <c r="Z543" s="148">
        <f>ROUND(IF(X543&gt;I543,X543,I543),4)</f>
        <v>0</v>
      </c>
    </row>
    <row r="544" spans="1:26" x14ac:dyDescent="0.2">
      <c r="A544" s="66"/>
      <c r="B544" s="66"/>
      <c r="C544" s="66"/>
      <c r="D544" s="144"/>
      <c r="E544" s="67"/>
      <c r="F544" s="67"/>
      <c r="G544" s="67"/>
      <c r="H544" s="67">
        <f>ROUND(+E544+G544,4)</f>
        <v>0</v>
      </c>
      <c r="I544" s="67"/>
      <c r="J544" s="67">
        <f>ROUND(+I544-H544,4)</f>
        <v>0</v>
      </c>
      <c r="K544" s="67">
        <f>ROUND(IF(F544="alluminio",0,I544*1.5%),4)</f>
        <v>0</v>
      </c>
      <c r="L544" s="67">
        <f>ROUND(IF(K544&lt;J544,K544,0),4)</f>
        <v>0</v>
      </c>
      <c r="M544" s="67">
        <f>ROUND(IF(J544&gt;K544,0,J544),4)</f>
        <v>0</v>
      </c>
      <c r="N544" s="67">
        <f>ROUND(+L544*D544,4)</f>
        <v>0</v>
      </c>
      <c r="O544" s="67">
        <f>ROUND(IF(F544="rame",0,+I544*3%),4)</f>
        <v>0</v>
      </c>
      <c r="P544" s="67">
        <f>ROUND(IF(O544&lt;J544,O544,0),4)</f>
        <v>0</v>
      </c>
      <c r="Q544" s="67">
        <f>ROUND(IF(J544&gt;O544,0,J544),4)</f>
        <v>0</v>
      </c>
      <c r="R544" s="67">
        <f>ROUND(+P544*D544,4)</f>
        <v>0</v>
      </c>
      <c r="S544" s="67">
        <f>ROUND(IF(K544=0,0,M544*D544),4)</f>
        <v>0</v>
      </c>
      <c r="T544" s="67">
        <f>ROUND(+IF(K544=0,Q544*D544,0),4)</f>
        <v>0</v>
      </c>
      <c r="U544" s="67">
        <f>ROUND(+N544+R544+S544+T544,4)</f>
        <v>0</v>
      </c>
      <c r="V544" s="67">
        <f>ROUND(IF(P544=0,0,I544-H544-O544)+IF(L544=0,0,I544-H544-K544),4)</f>
        <v>0</v>
      </c>
      <c r="W544" s="67">
        <f>ROUND(+(V544*60%)*D544,4)</f>
        <v>0</v>
      </c>
      <c r="X544" s="148">
        <f>ROUND(+U544+W544,4)</f>
        <v>0</v>
      </c>
      <c r="Y544" s="68"/>
      <c r="Z544" s="148">
        <f>ROUND(IF(X544&gt;I544,X544,I544),4)</f>
        <v>0</v>
      </c>
    </row>
    <row r="545" spans="1:26" x14ac:dyDescent="0.2">
      <c r="A545" s="66"/>
      <c r="B545" s="66"/>
      <c r="C545" s="66"/>
      <c r="D545" s="144"/>
      <c r="E545" s="67"/>
      <c r="F545" s="67"/>
      <c r="G545" s="67"/>
      <c r="H545" s="67">
        <f>ROUND(+E545+G545,4)</f>
        <v>0</v>
      </c>
      <c r="I545" s="67"/>
      <c r="J545" s="67">
        <f>ROUND(+I545-H545,4)</f>
        <v>0</v>
      </c>
      <c r="K545" s="67">
        <f>ROUND(IF(F545="alluminio",0,I545*1.5%),4)</f>
        <v>0</v>
      </c>
      <c r="L545" s="67">
        <f>ROUND(IF(K545&lt;J545,K545,0),4)</f>
        <v>0</v>
      </c>
      <c r="M545" s="67">
        <f>ROUND(IF(J545&gt;K545,0,J545),4)</f>
        <v>0</v>
      </c>
      <c r="N545" s="67">
        <f>ROUND(+L545*D545,4)</f>
        <v>0</v>
      </c>
      <c r="O545" s="67">
        <f>ROUND(IF(F545="rame",0,+I545*3%),4)</f>
        <v>0</v>
      </c>
      <c r="P545" s="67">
        <f>ROUND(IF(O545&lt;J545,O545,0),4)</f>
        <v>0</v>
      </c>
      <c r="Q545" s="67">
        <f>ROUND(IF(J545&gt;O545,0,J545),4)</f>
        <v>0</v>
      </c>
      <c r="R545" s="67">
        <f>ROUND(+P545*D545,4)</f>
        <v>0</v>
      </c>
      <c r="S545" s="67">
        <f>ROUND(IF(K545=0,0,M545*D545),4)</f>
        <v>0</v>
      </c>
      <c r="T545" s="67">
        <f>ROUND(+IF(K545=0,Q545*D545,0),4)</f>
        <v>0</v>
      </c>
      <c r="U545" s="67">
        <f>ROUND(+N545+R545+S545+T545,4)</f>
        <v>0</v>
      </c>
      <c r="V545" s="67">
        <f>ROUND(IF(P545=0,0,I545-H545-O545)+IF(L545=0,0,I545-H545-K545),4)</f>
        <v>0</v>
      </c>
      <c r="W545" s="67">
        <f>ROUND(+(V545*60%)*D545,4)</f>
        <v>0</v>
      </c>
      <c r="X545" s="148">
        <f>ROUND(+U545+W545,4)</f>
        <v>0</v>
      </c>
      <c r="Y545" s="68"/>
      <c r="Z545" s="148">
        <f>ROUND(IF(X545&gt;I545,X545,I545),4)</f>
        <v>0</v>
      </c>
    </row>
    <row r="546" spans="1:26" x14ac:dyDescent="0.2">
      <c r="A546" s="66"/>
      <c r="B546" s="66"/>
      <c r="C546" s="66"/>
      <c r="D546" s="144"/>
      <c r="E546" s="67"/>
      <c r="F546" s="67"/>
      <c r="G546" s="67"/>
      <c r="H546" s="67">
        <f>ROUND(+E546+G546,4)</f>
        <v>0</v>
      </c>
      <c r="I546" s="67"/>
      <c r="J546" s="67">
        <f>ROUND(+I546-H546,4)</f>
        <v>0</v>
      </c>
      <c r="K546" s="67">
        <f>ROUND(IF(F546="alluminio",0,I546*1.5%),4)</f>
        <v>0</v>
      </c>
      <c r="L546" s="67">
        <f>ROUND(IF(K546&lt;J546,K546,0),4)</f>
        <v>0</v>
      </c>
      <c r="M546" s="67">
        <f>ROUND(IF(J546&gt;K546,0,J546),4)</f>
        <v>0</v>
      </c>
      <c r="N546" s="67">
        <f>ROUND(+L546*D546,4)</f>
        <v>0</v>
      </c>
      <c r="O546" s="67">
        <f>ROUND(IF(F546="rame",0,+I546*3%),4)</f>
        <v>0</v>
      </c>
      <c r="P546" s="67">
        <f>ROUND(IF(O546&lt;J546,O546,0),4)</f>
        <v>0</v>
      </c>
      <c r="Q546" s="67">
        <f>ROUND(IF(J546&gt;O546,0,J546),4)</f>
        <v>0</v>
      </c>
      <c r="R546" s="67">
        <f>ROUND(+P546*D546,4)</f>
        <v>0</v>
      </c>
      <c r="S546" s="67">
        <f>ROUND(IF(K546=0,0,M546*D546),4)</f>
        <v>0</v>
      </c>
      <c r="T546" s="67">
        <f>ROUND(+IF(K546=0,Q546*D546,0),4)</f>
        <v>0</v>
      </c>
      <c r="U546" s="67">
        <f>ROUND(+N546+R546+S546+T546,4)</f>
        <v>0</v>
      </c>
      <c r="V546" s="67">
        <f>ROUND(IF(P546=0,0,I546-H546-O546)+IF(L546=0,0,I546-H546-K546),4)</f>
        <v>0</v>
      </c>
      <c r="W546" s="67">
        <f>ROUND(+(V546*60%)*D546,4)</f>
        <v>0</v>
      </c>
      <c r="X546" s="148">
        <f>ROUND(+U546+W546,4)</f>
        <v>0</v>
      </c>
      <c r="Y546" s="68"/>
      <c r="Z546" s="148">
        <f>ROUND(IF(X546&gt;I546,X546,I546),4)</f>
        <v>0</v>
      </c>
    </row>
    <row r="547" spans="1:26" x14ac:dyDescent="0.2">
      <c r="A547" s="66"/>
      <c r="B547" s="66"/>
      <c r="C547" s="66"/>
      <c r="D547" s="144"/>
      <c r="E547" s="67"/>
      <c r="F547" s="67"/>
      <c r="G547" s="67"/>
      <c r="H547" s="67">
        <f>ROUND(+E547+G547,4)</f>
        <v>0</v>
      </c>
      <c r="I547" s="67"/>
      <c r="J547" s="67">
        <f>ROUND(+I547-H547,4)</f>
        <v>0</v>
      </c>
      <c r="K547" s="67">
        <f>ROUND(IF(F547="alluminio",0,I547*1.5%),4)</f>
        <v>0</v>
      </c>
      <c r="L547" s="67">
        <f>ROUND(IF(K547&lt;J547,K547,0),4)</f>
        <v>0</v>
      </c>
      <c r="M547" s="67">
        <f>ROUND(IF(J547&gt;K547,0,J547),4)</f>
        <v>0</v>
      </c>
      <c r="N547" s="67">
        <f>ROUND(+L547*D547,4)</f>
        <v>0</v>
      </c>
      <c r="O547" s="67">
        <f>ROUND(IF(F547="rame",0,+I547*3%),4)</f>
        <v>0</v>
      </c>
      <c r="P547" s="67">
        <f>ROUND(IF(O547&lt;J547,O547,0),4)</f>
        <v>0</v>
      </c>
      <c r="Q547" s="67">
        <f>ROUND(IF(J547&gt;O547,0,J547),4)</f>
        <v>0</v>
      </c>
      <c r="R547" s="67">
        <f>ROUND(+P547*D547,4)</f>
        <v>0</v>
      </c>
      <c r="S547" s="67">
        <f>ROUND(IF(K547=0,0,M547*D547),4)</f>
        <v>0</v>
      </c>
      <c r="T547" s="67">
        <f>ROUND(+IF(K547=0,Q547*D547,0),4)</f>
        <v>0</v>
      </c>
      <c r="U547" s="67">
        <f>ROUND(+N547+R547+S547+T547,4)</f>
        <v>0</v>
      </c>
      <c r="V547" s="67">
        <f>ROUND(IF(P547=0,0,I547-H547-O547)+IF(L547=0,0,I547-H547-K547),4)</f>
        <v>0</v>
      </c>
      <c r="W547" s="67">
        <f>ROUND(+(V547*60%)*D547,4)</f>
        <v>0</v>
      </c>
      <c r="X547" s="148">
        <f>ROUND(+U547+W547,4)</f>
        <v>0</v>
      </c>
      <c r="Y547" s="68"/>
      <c r="Z547" s="148">
        <f>ROUND(IF(X547&gt;I547,X547,I547),4)</f>
        <v>0</v>
      </c>
    </row>
    <row r="548" spans="1:26" x14ac:dyDescent="0.2">
      <c r="A548" s="66"/>
      <c r="B548" s="66"/>
      <c r="C548" s="66"/>
      <c r="D548" s="144"/>
      <c r="E548" s="67"/>
      <c r="F548" s="67"/>
      <c r="G548" s="67"/>
      <c r="H548" s="67">
        <f>ROUND(+E548+G548,4)</f>
        <v>0</v>
      </c>
      <c r="I548" s="67"/>
      <c r="J548" s="67">
        <f>ROUND(+I548-H548,4)</f>
        <v>0</v>
      </c>
      <c r="K548" s="67">
        <f>ROUND(IF(F548="alluminio",0,I548*1.5%),4)</f>
        <v>0</v>
      </c>
      <c r="L548" s="67">
        <f>ROUND(IF(K548&lt;J548,K548,0),4)</f>
        <v>0</v>
      </c>
      <c r="M548" s="67">
        <f>ROUND(IF(J548&gt;K548,0,J548),4)</f>
        <v>0</v>
      </c>
      <c r="N548" s="67">
        <f>ROUND(+L548*D548,4)</f>
        <v>0</v>
      </c>
      <c r="O548" s="67">
        <f>ROUND(IF(F548="rame",0,+I548*3%),4)</f>
        <v>0</v>
      </c>
      <c r="P548" s="67">
        <f>ROUND(IF(O548&lt;J548,O548,0),4)</f>
        <v>0</v>
      </c>
      <c r="Q548" s="67">
        <f>ROUND(IF(J548&gt;O548,0,J548),4)</f>
        <v>0</v>
      </c>
      <c r="R548" s="67">
        <f>ROUND(+P548*D548,4)</f>
        <v>0</v>
      </c>
      <c r="S548" s="67">
        <f>ROUND(IF(K548=0,0,M548*D548),4)</f>
        <v>0</v>
      </c>
      <c r="T548" s="67">
        <f>ROUND(+IF(K548=0,Q548*D548,0),4)</f>
        <v>0</v>
      </c>
      <c r="U548" s="67">
        <f>ROUND(+N548+R548+S548+T548,4)</f>
        <v>0</v>
      </c>
      <c r="V548" s="67">
        <f>ROUND(IF(P548=0,0,I548-H548-O548)+IF(L548=0,0,I548-H548-K548),4)</f>
        <v>0</v>
      </c>
      <c r="W548" s="67">
        <f>ROUND(+(V548*60%)*D548,4)</f>
        <v>0</v>
      </c>
      <c r="X548" s="148">
        <f>ROUND(+U548+W548,4)</f>
        <v>0</v>
      </c>
      <c r="Y548" s="68"/>
      <c r="Z548" s="148">
        <f>ROUND(IF(X548&gt;I548,X548,I548),4)</f>
        <v>0</v>
      </c>
    </row>
    <row r="549" spans="1:26" x14ac:dyDescent="0.2">
      <c r="A549" s="66"/>
      <c r="B549" s="66"/>
      <c r="C549" s="66"/>
      <c r="D549" s="144"/>
      <c r="E549" s="67"/>
      <c r="F549" s="67"/>
      <c r="G549" s="67"/>
      <c r="H549" s="67">
        <f>ROUND(+E549+G549,4)</f>
        <v>0</v>
      </c>
      <c r="I549" s="67"/>
      <c r="J549" s="67">
        <f>ROUND(+I549-H549,4)</f>
        <v>0</v>
      </c>
      <c r="K549" s="67">
        <f>ROUND(IF(F549="alluminio",0,I549*1.5%),4)</f>
        <v>0</v>
      </c>
      <c r="L549" s="67">
        <f>ROUND(IF(K549&lt;J549,K549,0),4)</f>
        <v>0</v>
      </c>
      <c r="M549" s="67">
        <f>ROUND(IF(J549&gt;K549,0,J549),4)</f>
        <v>0</v>
      </c>
      <c r="N549" s="67">
        <f>ROUND(+L549*D549,4)</f>
        <v>0</v>
      </c>
      <c r="O549" s="67">
        <f>ROUND(IF(F549="rame",0,+I549*3%),4)</f>
        <v>0</v>
      </c>
      <c r="P549" s="67">
        <f>ROUND(IF(O549&lt;J549,O549,0),4)</f>
        <v>0</v>
      </c>
      <c r="Q549" s="67">
        <f>ROUND(IF(J549&gt;O549,0,J549),4)</f>
        <v>0</v>
      </c>
      <c r="R549" s="67">
        <f>ROUND(+P549*D549,4)</f>
        <v>0</v>
      </c>
      <c r="S549" s="67">
        <f>ROUND(IF(K549=0,0,M549*D549),4)</f>
        <v>0</v>
      </c>
      <c r="T549" s="67">
        <f>ROUND(+IF(K549=0,Q549*D549,0),4)</f>
        <v>0</v>
      </c>
      <c r="U549" s="67">
        <f>ROUND(+N549+R549+S549+T549,4)</f>
        <v>0</v>
      </c>
      <c r="V549" s="67">
        <f>ROUND(IF(P549=0,0,I549-H549-O549)+IF(L549=0,0,I549-H549-K549),4)</f>
        <v>0</v>
      </c>
      <c r="W549" s="67">
        <f>ROUND(+(V549*60%)*D549,4)</f>
        <v>0</v>
      </c>
      <c r="X549" s="148">
        <f>ROUND(+U549+W549,4)</f>
        <v>0</v>
      </c>
      <c r="Y549" s="68"/>
      <c r="Z549" s="148">
        <f>ROUND(IF(X549&gt;I549,X549,I549),4)</f>
        <v>0</v>
      </c>
    </row>
    <row r="550" spans="1:26" x14ac:dyDescent="0.2">
      <c r="A550" s="66"/>
      <c r="B550" s="66"/>
      <c r="C550" s="66"/>
      <c r="D550" s="144"/>
      <c r="E550" s="67"/>
      <c r="F550" s="67"/>
      <c r="G550" s="67"/>
      <c r="H550" s="67">
        <f>ROUND(+E550+G550,4)</f>
        <v>0</v>
      </c>
      <c r="I550" s="67"/>
      <c r="J550" s="67">
        <f>ROUND(+I550-H550,4)</f>
        <v>0</v>
      </c>
      <c r="K550" s="67">
        <f>ROUND(IF(F550="alluminio",0,I550*1.5%),4)</f>
        <v>0</v>
      </c>
      <c r="L550" s="67">
        <f>ROUND(IF(K550&lt;J550,K550,0),4)</f>
        <v>0</v>
      </c>
      <c r="M550" s="67">
        <f>ROUND(IF(J550&gt;K550,0,J550),4)</f>
        <v>0</v>
      </c>
      <c r="N550" s="67">
        <f>ROUND(+L550*D550,4)</f>
        <v>0</v>
      </c>
      <c r="O550" s="67">
        <f>ROUND(IF(F550="rame",0,+I550*3%),4)</f>
        <v>0</v>
      </c>
      <c r="P550" s="67">
        <f>ROUND(IF(O550&lt;J550,O550,0),4)</f>
        <v>0</v>
      </c>
      <c r="Q550" s="67">
        <f>ROUND(IF(J550&gt;O550,0,J550),4)</f>
        <v>0</v>
      </c>
      <c r="R550" s="67">
        <f>ROUND(+P550*D550,4)</f>
        <v>0</v>
      </c>
      <c r="S550" s="67">
        <f>ROUND(IF(K550=0,0,M550*D550),4)</f>
        <v>0</v>
      </c>
      <c r="T550" s="67">
        <f>ROUND(+IF(K550=0,Q550*D550,0),4)</f>
        <v>0</v>
      </c>
      <c r="U550" s="67">
        <f>ROUND(+N550+R550+S550+T550,4)</f>
        <v>0</v>
      </c>
      <c r="V550" s="67">
        <f>ROUND(IF(P550=0,0,I550-H550-O550)+IF(L550=0,0,I550-H550-K550),4)</f>
        <v>0</v>
      </c>
      <c r="W550" s="67">
        <f>ROUND(+(V550*60%)*D550,4)</f>
        <v>0</v>
      </c>
      <c r="X550" s="148">
        <f>ROUND(+U550+W550,4)</f>
        <v>0</v>
      </c>
      <c r="Y550" s="68"/>
      <c r="Z550" s="148">
        <f>ROUND(IF(X550&gt;I550,X550,I550),4)</f>
        <v>0</v>
      </c>
    </row>
    <row r="551" spans="1:26" x14ac:dyDescent="0.2">
      <c r="A551" s="66"/>
      <c r="B551" s="66"/>
      <c r="C551" s="66"/>
      <c r="D551" s="144"/>
      <c r="E551" s="67"/>
      <c r="F551" s="67"/>
      <c r="G551" s="67"/>
      <c r="H551" s="67">
        <f>ROUND(+E551+G551,4)</f>
        <v>0</v>
      </c>
      <c r="I551" s="67"/>
      <c r="J551" s="67">
        <f>ROUND(+I551-H551,4)</f>
        <v>0</v>
      </c>
      <c r="K551" s="67">
        <f>ROUND(IF(F551="alluminio",0,I551*1.5%),4)</f>
        <v>0</v>
      </c>
      <c r="L551" s="67">
        <f>ROUND(IF(K551&lt;J551,K551,0),4)</f>
        <v>0</v>
      </c>
      <c r="M551" s="67">
        <f>ROUND(IF(J551&gt;K551,0,J551),4)</f>
        <v>0</v>
      </c>
      <c r="N551" s="67">
        <f>ROUND(+L551*D551,4)</f>
        <v>0</v>
      </c>
      <c r="O551" s="67">
        <f>ROUND(IF(F551="rame",0,+I551*3%),4)</f>
        <v>0</v>
      </c>
      <c r="P551" s="67">
        <f>ROUND(IF(O551&lt;J551,O551,0),4)</f>
        <v>0</v>
      </c>
      <c r="Q551" s="67">
        <f>ROUND(IF(J551&gt;O551,0,J551),4)</f>
        <v>0</v>
      </c>
      <c r="R551" s="67">
        <f>ROUND(+P551*D551,4)</f>
        <v>0</v>
      </c>
      <c r="S551" s="67">
        <f>ROUND(IF(K551=0,0,M551*D551),4)</f>
        <v>0</v>
      </c>
      <c r="T551" s="67">
        <f>ROUND(+IF(K551=0,Q551*D551,0),4)</f>
        <v>0</v>
      </c>
      <c r="U551" s="67">
        <f>ROUND(+N551+R551+S551+T551,4)</f>
        <v>0</v>
      </c>
      <c r="V551" s="67">
        <f>ROUND(IF(P551=0,0,I551-H551-O551)+IF(L551=0,0,I551-H551-K551),4)</f>
        <v>0</v>
      </c>
      <c r="W551" s="67">
        <f>ROUND(+(V551*60%)*D551,4)</f>
        <v>0</v>
      </c>
      <c r="X551" s="148">
        <f>ROUND(+U551+W551,4)</f>
        <v>0</v>
      </c>
      <c r="Y551" s="68"/>
      <c r="Z551" s="148">
        <f>ROUND(IF(X551&gt;I551,X551,I551),4)</f>
        <v>0</v>
      </c>
    </row>
    <row r="552" spans="1:26" x14ac:dyDescent="0.2">
      <c r="A552" s="66"/>
      <c r="B552" s="66"/>
      <c r="C552" s="66"/>
      <c r="D552" s="144"/>
      <c r="E552" s="67"/>
      <c r="F552" s="67"/>
      <c r="G552" s="67"/>
      <c r="H552" s="67">
        <f>ROUND(+E552+G552,4)</f>
        <v>0</v>
      </c>
      <c r="I552" s="67"/>
      <c r="J552" s="67">
        <f>ROUND(+I552-H552,4)</f>
        <v>0</v>
      </c>
      <c r="K552" s="67">
        <f>ROUND(IF(F552="alluminio",0,I552*1.5%),4)</f>
        <v>0</v>
      </c>
      <c r="L552" s="67">
        <f>ROUND(IF(K552&lt;J552,K552,0),4)</f>
        <v>0</v>
      </c>
      <c r="M552" s="67">
        <f>ROUND(IF(J552&gt;K552,0,J552),4)</f>
        <v>0</v>
      </c>
      <c r="N552" s="67">
        <f>ROUND(+L552*D552,4)</f>
        <v>0</v>
      </c>
      <c r="O552" s="67">
        <f>ROUND(IF(F552="rame",0,+I552*3%),4)</f>
        <v>0</v>
      </c>
      <c r="P552" s="67">
        <f>ROUND(IF(O552&lt;J552,O552,0),4)</f>
        <v>0</v>
      </c>
      <c r="Q552" s="67">
        <f>ROUND(IF(J552&gt;O552,0,J552),4)</f>
        <v>0</v>
      </c>
      <c r="R552" s="67">
        <f>ROUND(+P552*D552,4)</f>
        <v>0</v>
      </c>
      <c r="S552" s="67">
        <f>ROUND(IF(K552=0,0,M552*D552),4)</f>
        <v>0</v>
      </c>
      <c r="T552" s="67">
        <f>ROUND(+IF(K552=0,Q552*D552,0),4)</f>
        <v>0</v>
      </c>
      <c r="U552" s="67">
        <f>ROUND(+N552+R552+S552+T552,4)</f>
        <v>0</v>
      </c>
      <c r="V552" s="67">
        <f>ROUND(IF(P552=0,0,I552-H552-O552)+IF(L552=0,0,I552-H552-K552),4)</f>
        <v>0</v>
      </c>
      <c r="W552" s="67">
        <f>ROUND(+(V552*60%)*D552,4)</f>
        <v>0</v>
      </c>
      <c r="X552" s="148">
        <f>ROUND(+U552+W552,4)</f>
        <v>0</v>
      </c>
      <c r="Y552" s="68"/>
      <c r="Z552" s="148">
        <f>ROUND(IF(X552&gt;I552,X552,I552),4)</f>
        <v>0</v>
      </c>
    </row>
    <row r="553" spans="1:26" x14ac:dyDescent="0.2">
      <c r="A553" s="66"/>
      <c r="B553" s="66"/>
      <c r="C553" s="66"/>
      <c r="D553" s="144"/>
      <c r="E553" s="67"/>
      <c r="F553" s="67"/>
      <c r="G553" s="67"/>
      <c r="H553" s="67">
        <f>ROUND(+E553+G553,4)</f>
        <v>0</v>
      </c>
      <c r="I553" s="67"/>
      <c r="J553" s="67">
        <f>ROUND(+I553-H553,4)</f>
        <v>0</v>
      </c>
      <c r="K553" s="67">
        <f>ROUND(IF(F553="alluminio",0,I553*1.5%),4)</f>
        <v>0</v>
      </c>
      <c r="L553" s="67">
        <f>ROUND(IF(K553&lt;J553,K553,0),4)</f>
        <v>0</v>
      </c>
      <c r="M553" s="67">
        <f>ROUND(IF(J553&gt;K553,0,J553),4)</f>
        <v>0</v>
      </c>
      <c r="N553" s="67">
        <f>ROUND(+L553*D553,4)</f>
        <v>0</v>
      </c>
      <c r="O553" s="67">
        <f>ROUND(IF(F553="rame",0,+I553*3%),4)</f>
        <v>0</v>
      </c>
      <c r="P553" s="67">
        <f>ROUND(IF(O553&lt;J553,O553,0),4)</f>
        <v>0</v>
      </c>
      <c r="Q553" s="67">
        <f>ROUND(IF(J553&gt;O553,0,J553),4)</f>
        <v>0</v>
      </c>
      <c r="R553" s="67">
        <f>ROUND(+P553*D553,4)</f>
        <v>0</v>
      </c>
      <c r="S553" s="67">
        <f>ROUND(IF(K553=0,0,M553*D553),4)</f>
        <v>0</v>
      </c>
      <c r="T553" s="67">
        <f>ROUND(+IF(K553=0,Q553*D553,0),4)</f>
        <v>0</v>
      </c>
      <c r="U553" s="67">
        <f>ROUND(+N553+R553+S553+T553,4)</f>
        <v>0</v>
      </c>
      <c r="V553" s="67">
        <f>ROUND(IF(P553=0,0,I553-H553-O553)+IF(L553=0,0,I553-H553-K553),4)</f>
        <v>0</v>
      </c>
      <c r="W553" s="67">
        <f>ROUND(+(V553*60%)*D553,4)</f>
        <v>0</v>
      </c>
      <c r="X553" s="148">
        <f>ROUND(+U553+W553,4)</f>
        <v>0</v>
      </c>
      <c r="Y553" s="68"/>
      <c r="Z553" s="148">
        <f>ROUND(IF(X553&gt;I553,X553,I553),4)</f>
        <v>0</v>
      </c>
    </row>
    <row r="554" spans="1:26" x14ac:dyDescent="0.2">
      <c r="A554" s="66"/>
      <c r="B554" s="66"/>
      <c r="C554" s="66"/>
      <c r="D554" s="144"/>
      <c r="E554" s="67"/>
      <c r="F554" s="67"/>
      <c r="G554" s="67"/>
      <c r="H554" s="67">
        <f>ROUND(+E554+G554,4)</f>
        <v>0</v>
      </c>
      <c r="I554" s="67"/>
      <c r="J554" s="67">
        <f>ROUND(+I554-H554,4)</f>
        <v>0</v>
      </c>
      <c r="K554" s="67">
        <f>ROUND(IF(F554="alluminio",0,I554*1.5%),4)</f>
        <v>0</v>
      </c>
      <c r="L554" s="67">
        <f>ROUND(IF(K554&lt;J554,K554,0),4)</f>
        <v>0</v>
      </c>
      <c r="M554" s="67">
        <f>ROUND(IF(J554&gt;K554,0,J554),4)</f>
        <v>0</v>
      </c>
      <c r="N554" s="67">
        <f>ROUND(+L554*D554,4)</f>
        <v>0</v>
      </c>
      <c r="O554" s="67">
        <f>ROUND(IF(F554="rame",0,+I554*3%),4)</f>
        <v>0</v>
      </c>
      <c r="P554" s="67">
        <f>ROUND(IF(O554&lt;J554,O554,0),4)</f>
        <v>0</v>
      </c>
      <c r="Q554" s="67">
        <f>ROUND(IF(J554&gt;O554,0,J554),4)</f>
        <v>0</v>
      </c>
      <c r="R554" s="67">
        <f>ROUND(+P554*D554,4)</f>
        <v>0</v>
      </c>
      <c r="S554" s="67">
        <f>ROUND(IF(K554=0,0,M554*D554),4)</f>
        <v>0</v>
      </c>
      <c r="T554" s="67">
        <f>ROUND(+IF(K554=0,Q554*D554,0),4)</f>
        <v>0</v>
      </c>
      <c r="U554" s="67">
        <f>ROUND(+N554+R554+S554+T554,4)</f>
        <v>0</v>
      </c>
      <c r="V554" s="67">
        <f>ROUND(IF(P554=0,0,I554-H554-O554)+IF(L554=0,0,I554-H554-K554),4)</f>
        <v>0</v>
      </c>
      <c r="W554" s="67">
        <f>ROUND(+(V554*60%)*D554,4)</f>
        <v>0</v>
      </c>
      <c r="X554" s="148">
        <f>ROUND(+U554+W554,4)</f>
        <v>0</v>
      </c>
      <c r="Y554" s="68"/>
      <c r="Z554" s="148">
        <f>ROUND(IF(X554&gt;I554,X554,I554),4)</f>
        <v>0</v>
      </c>
    </row>
    <row r="555" spans="1:26" x14ac:dyDescent="0.2">
      <c r="A555" s="66"/>
      <c r="B555" s="66"/>
      <c r="C555" s="66"/>
      <c r="D555" s="144"/>
      <c r="E555" s="67"/>
      <c r="F555" s="67"/>
      <c r="G555" s="67"/>
      <c r="H555" s="67">
        <f>ROUND(+E555+G555,4)</f>
        <v>0</v>
      </c>
      <c r="I555" s="67"/>
      <c r="J555" s="67">
        <f>ROUND(+I555-H555,4)</f>
        <v>0</v>
      </c>
      <c r="K555" s="67">
        <f>ROUND(IF(F555="alluminio",0,I555*1.5%),4)</f>
        <v>0</v>
      </c>
      <c r="L555" s="67">
        <f>ROUND(IF(K555&lt;J555,K555,0),4)</f>
        <v>0</v>
      </c>
      <c r="M555" s="67">
        <f>ROUND(IF(J555&gt;K555,0,J555),4)</f>
        <v>0</v>
      </c>
      <c r="N555" s="67">
        <f>ROUND(+L555*D555,4)</f>
        <v>0</v>
      </c>
      <c r="O555" s="67">
        <f>ROUND(IF(F555="rame",0,+I555*3%),4)</f>
        <v>0</v>
      </c>
      <c r="P555" s="67">
        <f>ROUND(IF(O555&lt;J555,O555,0),4)</f>
        <v>0</v>
      </c>
      <c r="Q555" s="67">
        <f>ROUND(IF(J555&gt;O555,0,J555),4)</f>
        <v>0</v>
      </c>
      <c r="R555" s="67">
        <f>ROUND(+P555*D555,4)</f>
        <v>0</v>
      </c>
      <c r="S555" s="67">
        <f>ROUND(IF(K555=0,0,M555*D555),4)</f>
        <v>0</v>
      </c>
      <c r="T555" s="67">
        <f>ROUND(+IF(K555=0,Q555*D555,0),4)</f>
        <v>0</v>
      </c>
      <c r="U555" s="67">
        <f>ROUND(+N555+R555+S555+T555,4)</f>
        <v>0</v>
      </c>
      <c r="V555" s="67">
        <f>ROUND(IF(P555=0,0,I555-H555-O555)+IF(L555=0,0,I555-H555-K555),4)</f>
        <v>0</v>
      </c>
      <c r="W555" s="67">
        <f>ROUND(+(V555*60%)*D555,4)</f>
        <v>0</v>
      </c>
      <c r="X555" s="148">
        <f>ROUND(+U555+W555,4)</f>
        <v>0</v>
      </c>
      <c r="Y555" s="68"/>
      <c r="Z555" s="148">
        <f>ROUND(IF(X555&gt;I555,X555,I555),4)</f>
        <v>0</v>
      </c>
    </row>
    <row r="556" spans="1:26" x14ac:dyDescent="0.2">
      <c r="A556" s="66"/>
      <c r="B556" s="66"/>
      <c r="C556" s="66"/>
      <c r="D556" s="144"/>
      <c r="E556" s="67"/>
      <c r="F556" s="67"/>
      <c r="G556" s="67"/>
      <c r="H556" s="67">
        <f>ROUND(+E556+G556,4)</f>
        <v>0</v>
      </c>
      <c r="I556" s="67"/>
      <c r="J556" s="67">
        <f>ROUND(+I556-H556,4)</f>
        <v>0</v>
      </c>
      <c r="K556" s="67">
        <f>ROUND(IF(F556="alluminio",0,I556*1.5%),4)</f>
        <v>0</v>
      </c>
      <c r="L556" s="67">
        <f>ROUND(IF(K556&lt;J556,K556,0),4)</f>
        <v>0</v>
      </c>
      <c r="M556" s="67">
        <f>ROUND(IF(J556&gt;K556,0,J556),4)</f>
        <v>0</v>
      </c>
      <c r="N556" s="67">
        <f>ROUND(+L556*D556,4)</f>
        <v>0</v>
      </c>
      <c r="O556" s="67">
        <f>ROUND(IF(F556="rame",0,+I556*3%),4)</f>
        <v>0</v>
      </c>
      <c r="P556" s="67">
        <f>ROUND(IF(O556&lt;J556,O556,0),4)</f>
        <v>0</v>
      </c>
      <c r="Q556" s="67">
        <f>ROUND(IF(J556&gt;O556,0,J556),4)</f>
        <v>0</v>
      </c>
      <c r="R556" s="67">
        <f>ROUND(+P556*D556,4)</f>
        <v>0</v>
      </c>
      <c r="S556" s="67">
        <f>ROUND(IF(K556=0,0,M556*D556),4)</f>
        <v>0</v>
      </c>
      <c r="T556" s="67">
        <f>ROUND(+IF(K556=0,Q556*D556,0),4)</f>
        <v>0</v>
      </c>
      <c r="U556" s="67">
        <f>ROUND(+N556+R556+S556+T556,4)</f>
        <v>0</v>
      </c>
      <c r="V556" s="67">
        <f>ROUND(IF(P556=0,0,I556-H556-O556)+IF(L556=0,0,I556-H556-K556),4)</f>
        <v>0</v>
      </c>
      <c r="W556" s="67">
        <f>ROUND(+(V556*60%)*D556,4)</f>
        <v>0</v>
      </c>
      <c r="X556" s="148">
        <f>ROUND(+U556+W556,4)</f>
        <v>0</v>
      </c>
      <c r="Y556" s="68"/>
      <c r="Z556" s="148">
        <f>ROUND(IF(X556&gt;I556,X556,I556),4)</f>
        <v>0</v>
      </c>
    </row>
    <row r="557" spans="1:26" x14ac:dyDescent="0.2">
      <c r="A557" s="66"/>
      <c r="B557" s="66"/>
      <c r="C557" s="66"/>
      <c r="D557" s="144"/>
      <c r="E557" s="67"/>
      <c r="F557" s="67"/>
      <c r="G557" s="67"/>
      <c r="H557" s="67">
        <f>ROUND(+E557+G557,4)</f>
        <v>0</v>
      </c>
      <c r="I557" s="67"/>
      <c r="J557" s="67">
        <f>ROUND(+I557-H557,4)</f>
        <v>0</v>
      </c>
      <c r="K557" s="67">
        <f>ROUND(IF(F557="alluminio",0,I557*1.5%),4)</f>
        <v>0</v>
      </c>
      <c r="L557" s="67">
        <f>ROUND(IF(K557&lt;J557,K557,0),4)</f>
        <v>0</v>
      </c>
      <c r="M557" s="67">
        <f>ROUND(IF(J557&gt;K557,0,J557),4)</f>
        <v>0</v>
      </c>
      <c r="N557" s="67">
        <f>ROUND(+L557*D557,4)</f>
        <v>0</v>
      </c>
      <c r="O557" s="67">
        <f>ROUND(IF(F557="rame",0,+I557*3%),4)</f>
        <v>0</v>
      </c>
      <c r="P557" s="67">
        <f>ROUND(IF(O557&lt;J557,O557,0),4)</f>
        <v>0</v>
      </c>
      <c r="Q557" s="67">
        <f>ROUND(IF(J557&gt;O557,0,J557),4)</f>
        <v>0</v>
      </c>
      <c r="R557" s="67">
        <f>ROUND(+P557*D557,4)</f>
        <v>0</v>
      </c>
      <c r="S557" s="67">
        <f>ROUND(IF(K557=0,0,M557*D557),4)</f>
        <v>0</v>
      </c>
      <c r="T557" s="67">
        <f>ROUND(+IF(K557=0,Q557*D557,0),4)</f>
        <v>0</v>
      </c>
      <c r="U557" s="67">
        <f>ROUND(+N557+R557+S557+T557,4)</f>
        <v>0</v>
      </c>
      <c r="V557" s="67">
        <f>ROUND(IF(P557=0,0,I557-H557-O557)+IF(L557=0,0,I557-H557-K557),4)</f>
        <v>0</v>
      </c>
      <c r="W557" s="67">
        <f>ROUND(+(V557*60%)*D557,4)</f>
        <v>0</v>
      </c>
      <c r="X557" s="148">
        <f>ROUND(+U557+W557,4)</f>
        <v>0</v>
      </c>
      <c r="Y557" s="68"/>
      <c r="Z557" s="148">
        <f>ROUND(IF(X557&gt;I557,X557,I557),4)</f>
        <v>0</v>
      </c>
    </row>
    <row r="558" spans="1:26" x14ac:dyDescent="0.2">
      <c r="A558" s="66"/>
      <c r="B558" s="66"/>
      <c r="C558" s="66"/>
      <c r="D558" s="144"/>
      <c r="E558" s="67"/>
      <c r="F558" s="67"/>
      <c r="G558" s="67"/>
      <c r="H558" s="67">
        <f>ROUND(+E558+G558,4)</f>
        <v>0</v>
      </c>
      <c r="I558" s="67"/>
      <c r="J558" s="67">
        <f>ROUND(+I558-H558,4)</f>
        <v>0</v>
      </c>
      <c r="K558" s="67">
        <f>ROUND(IF(F558="alluminio",0,I558*1.5%),4)</f>
        <v>0</v>
      </c>
      <c r="L558" s="67">
        <f>ROUND(IF(K558&lt;J558,K558,0),4)</f>
        <v>0</v>
      </c>
      <c r="M558" s="67">
        <f>ROUND(IF(J558&gt;K558,0,J558),4)</f>
        <v>0</v>
      </c>
      <c r="N558" s="67">
        <f>ROUND(+L558*D558,4)</f>
        <v>0</v>
      </c>
      <c r="O558" s="67">
        <f>ROUND(IF(F558="rame",0,+I558*3%),4)</f>
        <v>0</v>
      </c>
      <c r="P558" s="67">
        <f>ROUND(IF(O558&lt;J558,O558,0),4)</f>
        <v>0</v>
      </c>
      <c r="Q558" s="67">
        <f>ROUND(IF(J558&gt;O558,0,J558),4)</f>
        <v>0</v>
      </c>
      <c r="R558" s="67">
        <f>ROUND(+P558*D558,4)</f>
        <v>0</v>
      </c>
      <c r="S558" s="67">
        <f>ROUND(IF(K558=0,0,M558*D558),4)</f>
        <v>0</v>
      </c>
      <c r="T558" s="67">
        <f>ROUND(+IF(K558=0,Q558*D558,0),4)</f>
        <v>0</v>
      </c>
      <c r="U558" s="67">
        <f>ROUND(+N558+R558+S558+T558,4)</f>
        <v>0</v>
      </c>
      <c r="V558" s="67">
        <f>ROUND(IF(P558=0,0,I558-H558-O558)+IF(L558=0,0,I558-H558-K558),4)</f>
        <v>0</v>
      </c>
      <c r="W558" s="67">
        <f>ROUND(+(V558*60%)*D558,4)</f>
        <v>0</v>
      </c>
      <c r="X558" s="148">
        <f>ROUND(+U558+W558,4)</f>
        <v>0</v>
      </c>
      <c r="Y558" s="68"/>
      <c r="Z558" s="148">
        <f>ROUND(IF(X558&gt;I558,X558,I558),4)</f>
        <v>0</v>
      </c>
    </row>
    <row r="559" spans="1:26" x14ac:dyDescent="0.2">
      <c r="A559" s="66"/>
      <c r="B559" s="66"/>
      <c r="C559" s="66"/>
      <c r="D559" s="144"/>
      <c r="E559" s="67"/>
      <c r="F559" s="67"/>
      <c r="G559" s="67"/>
      <c r="H559" s="67">
        <f>ROUND(+E559+G559,4)</f>
        <v>0</v>
      </c>
      <c r="I559" s="67"/>
      <c r="J559" s="67">
        <f>ROUND(+I559-H559,4)</f>
        <v>0</v>
      </c>
      <c r="K559" s="67">
        <f>ROUND(IF(F559="alluminio",0,I559*1.5%),4)</f>
        <v>0</v>
      </c>
      <c r="L559" s="67">
        <f>ROUND(IF(K559&lt;J559,K559,0),4)</f>
        <v>0</v>
      </c>
      <c r="M559" s="67">
        <f>ROUND(IF(J559&gt;K559,0,J559),4)</f>
        <v>0</v>
      </c>
      <c r="N559" s="67">
        <f>ROUND(+L559*D559,4)</f>
        <v>0</v>
      </c>
      <c r="O559" s="67">
        <f>ROUND(IF(F559="rame",0,+I559*3%),4)</f>
        <v>0</v>
      </c>
      <c r="P559" s="67">
        <f>ROUND(IF(O559&lt;J559,O559,0),4)</f>
        <v>0</v>
      </c>
      <c r="Q559" s="67">
        <f>ROUND(IF(J559&gt;O559,0,J559),4)</f>
        <v>0</v>
      </c>
      <c r="R559" s="67">
        <f>ROUND(+P559*D559,4)</f>
        <v>0</v>
      </c>
      <c r="S559" s="67">
        <f>ROUND(IF(K559=0,0,M559*D559),4)</f>
        <v>0</v>
      </c>
      <c r="T559" s="67">
        <f>ROUND(+IF(K559=0,Q559*D559,0),4)</f>
        <v>0</v>
      </c>
      <c r="U559" s="67">
        <f>ROUND(+N559+R559+S559+T559,4)</f>
        <v>0</v>
      </c>
      <c r="V559" s="67">
        <f>ROUND(IF(P559=0,0,I559-H559-O559)+IF(L559=0,0,I559-H559-K559),4)</f>
        <v>0</v>
      </c>
      <c r="W559" s="67">
        <f>ROUND(+(V559*60%)*D559,4)</f>
        <v>0</v>
      </c>
      <c r="X559" s="148">
        <f>ROUND(+U559+W559,4)</f>
        <v>0</v>
      </c>
      <c r="Y559" s="68"/>
      <c r="Z559" s="148">
        <f>ROUND(IF(X559&gt;I559,X559,I559),4)</f>
        <v>0</v>
      </c>
    </row>
    <row r="560" spans="1:26" x14ac:dyDescent="0.2">
      <c r="A560" s="66"/>
      <c r="B560" s="66"/>
      <c r="C560" s="66"/>
      <c r="D560" s="144"/>
      <c r="E560" s="67"/>
      <c r="F560" s="67"/>
      <c r="G560" s="67"/>
      <c r="H560" s="67">
        <f>ROUND(+E560+G560,4)</f>
        <v>0</v>
      </c>
      <c r="I560" s="67"/>
      <c r="J560" s="67">
        <f>ROUND(+I560-H560,4)</f>
        <v>0</v>
      </c>
      <c r="K560" s="67">
        <f>ROUND(IF(F560="alluminio",0,I560*1.5%),4)</f>
        <v>0</v>
      </c>
      <c r="L560" s="67">
        <f>ROUND(IF(K560&lt;J560,K560,0),4)</f>
        <v>0</v>
      </c>
      <c r="M560" s="67">
        <f>ROUND(IF(J560&gt;K560,0,J560),4)</f>
        <v>0</v>
      </c>
      <c r="N560" s="67">
        <f>ROUND(+L560*D560,4)</f>
        <v>0</v>
      </c>
      <c r="O560" s="67">
        <f>ROUND(IF(F560="rame",0,+I560*3%),4)</f>
        <v>0</v>
      </c>
      <c r="P560" s="67">
        <f>ROUND(IF(O560&lt;J560,O560,0),4)</f>
        <v>0</v>
      </c>
      <c r="Q560" s="67">
        <f>ROUND(IF(J560&gt;O560,0,J560),4)</f>
        <v>0</v>
      </c>
      <c r="R560" s="67">
        <f>ROUND(+P560*D560,4)</f>
        <v>0</v>
      </c>
      <c r="S560" s="67">
        <f>ROUND(IF(K560=0,0,M560*D560),4)</f>
        <v>0</v>
      </c>
      <c r="T560" s="67">
        <f>ROUND(+IF(K560=0,Q560*D560,0),4)</f>
        <v>0</v>
      </c>
      <c r="U560" s="67">
        <f>ROUND(+N560+R560+S560+T560,4)</f>
        <v>0</v>
      </c>
      <c r="V560" s="67">
        <f>ROUND(IF(P560=0,0,I560-H560-O560)+IF(L560=0,0,I560-H560-K560),4)</f>
        <v>0</v>
      </c>
      <c r="W560" s="67">
        <f>ROUND(+(V560*60%)*D560,4)</f>
        <v>0</v>
      </c>
      <c r="X560" s="148">
        <f>ROUND(+U560+W560,4)</f>
        <v>0</v>
      </c>
      <c r="Y560" s="68"/>
      <c r="Z560" s="148">
        <f>ROUND(IF(X560&gt;I560,X560,I560),4)</f>
        <v>0</v>
      </c>
    </row>
    <row r="561" spans="1:26" x14ac:dyDescent="0.2">
      <c r="A561" s="66"/>
      <c r="B561" s="66"/>
      <c r="C561" s="66"/>
      <c r="D561" s="144"/>
      <c r="E561" s="67"/>
      <c r="F561" s="67"/>
      <c r="G561" s="67"/>
      <c r="H561" s="67">
        <f>ROUND(+E561+G561,4)</f>
        <v>0</v>
      </c>
      <c r="I561" s="67"/>
      <c r="J561" s="67">
        <f>ROUND(+I561-H561,4)</f>
        <v>0</v>
      </c>
      <c r="K561" s="67">
        <f>ROUND(IF(F561="alluminio",0,I561*1.5%),4)</f>
        <v>0</v>
      </c>
      <c r="L561" s="67">
        <f>ROUND(IF(K561&lt;J561,K561,0),4)</f>
        <v>0</v>
      </c>
      <c r="M561" s="67">
        <f>ROUND(IF(J561&gt;K561,0,J561),4)</f>
        <v>0</v>
      </c>
      <c r="N561" s="67">
        <f>ROUND(+L561*D561,4)</f>
        <v>0</v>
      </c>
      <c r="O561" s="67">
        <f>ROUND(IF(F561="rame",0,+I561*3%),4)</f>
        <v>0</v>
      </c>
      <c r="P561" s="67">
        <f>ROUND(IF(O561&lt;J561,O561,0),4)</f>
        <v>0</v>
      </c>
      <c r="Q561" s="67">
        <f>ROUND(IF(J561&gt;O561,0,J561),4)</f>
        <v>0</v>
      </c>
      <c r="R561" s="67">
        <f>ROUND(+P561*D561,4)</f>
        <v>0</v>
      </c>
      <c r="S561" s="67">
        <f>ROUND(IF(K561=0,0,M561*D561),4)</f>
        <v>0</v>
      </c>
      <c r="T561" s="67">
        <f>ROUND(+IF(K561=0,Q561*D561,0),4)</f>
        <v>0</v>
      </c>
      <c r="U561" s="67">
        <f>ROUND(+N561+R561+S561+T561,4)</f>
        <v>0</v>
      </c>
      <c r="V561" s="67">
        <f>ROUND(IF(P561=0,0,I561-H561-O561)+IF(L561=0,0,I561-H561-K561),4)</f>
        <v>0</v>
      </c>
      <c r="W561" s="67">
        <f>ROUND(+(V561*60%)*D561,4)</f>
        <v>0</v>
      </c>
      <c r="X561" s="148">
        <f>ROUND(+U561+W561,4)</f>
        <v>0</v>
      </c>
      <c r="Y561" s="68"/>
      <c r="Z561" s="148">
        <f>ROUND(IF(X561&gt;I561,X561,I561),4)</f>
        <v>0</v>
      </c>
    </row>
    <row r="562" spans="1:26" x14ac:dyDescent="0.2">
      <c r="A562" s="66"/>
      <c r="B562" s="66"/>
      <c r="C562" s="66"/>
      <c r="D562" s="144"/>
      <c r="E562" s="67"/>
      <c r="F562" s="67"/>
      <c r="G562" s="67"/>
      <c r="H562" s="67">
        <f>ROUND(+E562+G562,4)</f>
        <v>0</v>
      </c>
      <c r="I562" s="67"/>
      <c r="J562" s="67">
        <f>ROUND(+I562-H562,4)</f>
        <v>0</v>
      </c>
      <c r="K562" s="67">
        <f>ROUND(IF(F562="alluminio",0,I562*1.5%),4)</f>
        <v>0</v>
      </c>
      <c r="L562" s="67">
        <f>ROUND(IF(K562&lt;J562,K562,0),4)</f>
        <v>0</v>
      </c>
      <c r="M562" s="67">
        <f>ROUND(IF(J562&gt;K562,0,J562),4)</f>
        <v>0</v>
      </c>
      <c r="N562" s="67">
        <f>ROUND(+L562*D562,4)</f>
        <v>0</v>
      </c>
      <c r="O562" s="67">
        <f>ROUND(IF(F562="rame",0,+I562*3%),4)</f>
        <v>0</v>
      </c>
      <c r="P562" s="67">
        <f>ROUND(IF(O562&lt;J562,O562,0),4)</f>
        <v>0</v>
      </c>
      <c r="Q562" s="67">
        <f>ROUND(IF(J562&gt;O562,0,J562),4)</f>
        <v>0</v>
      </c>
      <c r="R562" s="67">
        <f>ROUND(+P562*D562,4)</f>
        <v>0</v>
      </c>
      <c r="S562" s="67">
        <f>ROUND(IF(K562=0,0,M562*D562),4)</f>
        <v>0</v>
      </c>
      <c r="T562" s="67">
        <f>ROUND(+IF(K562=0,Q562*D562,0),4)</f>
        <v>0</v>
      </c>
      <c r="U562" s="67">
        <f>ROUND(+N562+R562+S562+T562,4)</f>
        <v>0</v>
      </c>
      <c r="V562" s="67">
        <f>ROUND(IF(P562=0,0,I562-H562-O562)+IF(L562=0,0,I562-H562-K562),4)</f>
        <v>0</v>
      </c>
      <c r="W562" s="67">
        <f>ROUND(+(V562*60%)*D562,4)</f>
        <v>0</v>
      </c>
      <c r="X562" s="148">
        <f>ROUND(+U562+W562,4)</f>
        <v>0</v>
      </c>
      <c r="Y562" s="68"/>
      <c r="Z562" s="148">
        <f>ROUND(IF(X562&gt;I562,X562,I562),4)</f>
        <v>0</v>
      </c>
    </row>
    <row r="563" spans="1:26" x14ac:dyDescent="0.2">
      <c r="A563" s="66"/>
      <c r="B563" s="66"/>
      <c r="C563" s="66"/>
      <c r="D563" s="144"/>
      <c r="E563" s="67"/>
      <c r="F563" s="67"/>
      <c r="G563" s="67"/>
      <c r="H563" s="67">
        <f>ROUND(+E563+G563,4)</f>
        <v>0</v>
      </c>
      <c r="I563" s="67"/>
      <c r="J563" s="67">
        <f>ROUND(+I563-H563,4)</f>
        <v>0</v>
      </c>
      <c r="K563" s="67">
        <f>ROUND(IF(F563="alluminio",0,I563*1.5%),4)</f>
        <v>0</v>
      </c>
      <c r="L563" s="67">
        <f>ROUND(IF(K563&lt;J563,K563,0),4)</f>
        <v>0</v>
      </c>
      <c r="M563" s="67">
        <f>ROUND(IF(J563&gt;K563,0,J563),4)</f>
        <v>0</v>
      </c>
      <c r="N563" s="67">
        <f>ROUND(+L563*D563,4)</f>
        <v>0</v>
      </c>
      <c r="O563" s="67">
        <f>ROUND(IF(F563="rame",0,+I563*3%),4)</f>
        <v>0</v>
      </c>
      <c r="P563" s="67">
        <f>ROUND(IF(O563&lt;J563,O563,0),4)</f>
        <v>0</v>
      </c>
      <c r="Q563" s="67">
        <f>ROUND(IF(J563&gt;O563,0,J563),4)</f>
        <v>0</v>
      </c>
      <c r="R563" s="67">
        <f>ROUND(+P563*D563,4)</f>
        <v>0</v>
      </c>
      <c r="S563" s="67">
        <f>ROUND(IF(K563=0,0,M563*D563),4)</f>
        <v>0</v>
      </c>
      <c r="T563" s="67">
        <f>ROUND(+IF(K563=0,Q563*D563,0),4)</f>
        <v>0</v>
      </c>
      <c r="U563" s="67">
        <f>ROUND(+N563+R563+S563+T563,4)</f>
        <v>0</v>
      </c>
      <c r="V563" s="67">
        <f>ROUND(IF(P563=0,0,I563-H563-O563)+IF(L563=0,0,I563-H563-K563),4)</f>
        <v>0</v>
      </c>
      <c r="W563" s="67">
        <f>ROUND(+(V563*60%)*D563,4)</f>
        <v>0</v>
      </c>
      <c r="X563" s="148">
        <f>ROUND(+U563+W563,4)</f>
        <v>0</v>
      </c>
      <c r="Y563" s="68"/>
      <c r="Z563" s="148">
        <f>ROUND(IF(X563&gt;I563,X563,I563),4)</f>
        <v>0</v>
      </c>
    </row>
    <row r="564" spans="1:26" x14ac:dyDescent="0.2">
      <c r="A564" s="66"/>
      <c r="B564" s="66"/>
      <c r="C564" s="66"/>
      <c r="D564" s="144"/>
      <c r="E564" s="67"/>
      <c r="F564" s="67"/>
      <c r="G564" s="67"/>
      <c r="H564" s="67">
        <f>ROUND(+E564+G564,4)</f>
        <v>0</v>
      </c>
      <c r="I564" s="67"/>
      <c r="J564" s="67">
        <f>ROUND(+I564-H564,4)</f>
        <v>0</v>
      </c>
      <c r="K564" s="67">
        <f>ROUND(IF(F564="alluminio",0,I564*1.5%),4)</f>
        <v>0</v>
      </c>
      <c r="L564" s="67">
        <f>ROUND(IF(K564&lt;J564,K564,0),4)</f>
        <v>0</v>
      </c>
      <c r="M564" s="67">
        <f>ROUND(IF(J564&gt;K564,0,J564),4)</f>
        <v>0</v>
      </c>
      <c r="N564" s="67">
        <f>ROUND(+L564*D564,4)</f>
        <v>0</v>
      </c>
      <c r="O564" s="67">
        <f>ROUND(IF(F564="rame",0,+I564*3%),4)</f>
        <v>0</v>
      </c>
      <c r="P564" s="67">
        <f>ROUND(IF(O564&lt;J564,O564,0),4)</f>
        <v>0</v>
      </c>
      <c r="Q564" s="67">
        <f>ROUND(IF(J564&gt;O564,0,J564),4)</f>
        <v>0</v>
      </c>
      <c r="R564" s="67">
        <f>ROUND(+P564*D564,4)</f>
        <v>0</v>
      </c>
      <c r="S564" s="67">
        <f>ROUND(IF(K564=0,0,M564*D564),4)</f>
        <v>0</v>
      </c>
      <c r="T564" s="67">
        <f>ROUND(+IF(K564=0,Q564*D564,0),4)</f>
        <v>0</v>
      </c>
      <c r="U564" s="67">
        <f>ROUND(+N564+R564+S564+T564,4)</f>
        <v>0</v>
      </c>
      <c r="V564" s="67">
        <f>ROUND(IF(P564=0,0,I564-H564-O564)+IF(L564=0,0,I564-H564-K564),4)</f>
        <v>0</v>
      </c>
      <c r="W564" s="67">
        <f>ROUND(+(V564*60%)*D564,4)</f>
        <v>0</v>
      </c>
      <c r="X564" s="148">
        <f>ROUND(+U564+W564,4)</f>
        <v>0</v>
      </c>
      <c r="Y564" s="68"/>
      <c r="Z564" s="148">
        <f>ROUND(IF(X564&gt;I564,X564,I564),4)</f>
        <v>0</v>
      </c>
    </row>
    <row r="565" spans="1:26" x14ac:dyDescent="0.2">
      <c r="A565" s="66"/>
      <c r="B565" s="66"/>
      <c r="C565" s="66"/>
      <c r="D565" s="144"/>
      <c r="E565" s="67"/>
      <c r="F565" s="67"/>
      <c r="G565" s="67"/>
      <c r="H565" s="67">
        <f>ROUND(+E565+G565,4)</f>
        <v>0</v>
      </c>
      <c r="I565" s="67"/>
      <c r="J565" s="67">
        <f>ROUND(+I565-H565,4)</f>
        <v>0</v>
      </c>
      <c r="K565" s="67">
        <f>ROUND(IF(F565="alluminio",0,I565*1.5%),4)</f>
        <v>0</v>
      </c>
      <c r="L565" s="67">
        <f>ROUND(IF(K565&lt;J565,K565,0),4)</f>
        <v>0</v>
      </c>
      <c r="M565" s="67">
        <f>ROUND(IF(J565&gt;K565,0,J565),4)</f>
        <v>0</v>
      </c>
      <c r="N565" s="67">
        <f>ROUND(+L565*D565,4)</f>
        <v>0</v>
      </c>
      <c r="O565" s="67">
        <f>ROUND(IF(F565="rame",0,+I565*3%),4)</f>
        <v>0</v>
      </c>
      <c r="P565" s="67">
        <f>ROUND(IF(O565&lt;J565,O565,0),4)</f>
        <v>0</v>
      </c>
      <c r="Q565" s="67">
        <f>ROUND(IF(J565&gt;O565,0,J565),4)</f>
        <v>0</v>
      </c>
      <c r="R565" s="67">
        <f>ROUND(+P565*D565,4)</f>
        <v>0</v>
      </c>
      <c r="S565" s="67">
        <f>ROUND(IF(K565=0,0,M565*D565),4)</f>
        <v>0</v>
      </c>
      <c r="T565" s="67">
        <f>ROUND(+IF(K565=0,Q565*D565,0),4)</f>
        <v>0</v>
      </c>
      <c r="U565" s="67">
        <f>ROUND(+N565+R565+S565+T565,4)</f>
        <v>0</v>
      </c>
      <c r="V565" s="67">
        <f>ROUND(IF(P565=0,0,I565-H565-O565)+IF(L565=0,0,I565-H565-K565),4)</f>
        <v>0</v>
      </c>
      <c r="W565" s="67">
        <f>ROUND(+(V565*60%)*D565,4)</f>
        <v>0</v>
      </c>
      <c r="X565" s="148">
        <f>ROUND(+U565+W565,4)</f>
        <v>0</v>
      </c>
      <c r="Y565" s="68"/>
      <c r="Z565" s="148">
        <f>ROUND(IF(X565&gt;I565,X565,I565),4)</f>
        <v>0</v>
      </c>
    </row>
    <row r="566" spans="1:26" x14ac:dyDescent="0.2">
      <c r="A566" s="66"/>
      <c r="B566" s="66"/>
      <c r="C566" s="66"/>
      <c r="D566" s="144"/>
      <c r="E566" s="67"/>
      <c r="F566" s="67"/>
      <c r="G566" s="67"/>
      <c r="H566" s="67">
        <f>ROUND(+E566+G566,4)</f>
        <v>0</v>
      </c>
      <c r="I566" s="67"/>
      <c r="J566" s="67">
        <f>ROUND(+I566-H566,4)</f>
        <v>0</v>
      </c>
      <c r="K566" s="67">
        <f>ROUND(IF(F566="alluminio",0,I566*1.5%),4)</f>
        <v>0</v>
      </c>
      <c r="L566" s="67">
        <f>ROUND(IF(K566&lt;J566,K566,0),4)</f>
        <v>0</v>
      </c>
      <c r="M566" s="67">
        <f>ROUND(IF(J566&gt;K566,0,J566),4)</f>
        <v>0</v>
      </c>
      <c r="N566" s="67">
        <f>ROUND(+L566*D566,4)</f>
        <v>0</v>
      </c>
      <c r="O566" s="67">
        <f>ROUND(IF(F566="rame",0,+I566*3%),4)</f>
        <v>0</v>
      </c>
      <c r="P566" s="67">
        <f>ROUND(IF(O566&lt;J566,O566,0),4)</f>
        <v>0</v>
      </c>
      <c r="Q566" s="67">
        <f>ROUND(IF(J566&gt;O566,0,J566),4)</f>
        <v>0</v>
      </c>
      <c r="R566" s="67">
        <f>ROUND(+P566*D566,4)</f>
        <v>0</v>
      </c>
      <c r="S566" s="67">
        <f>ROUND(IF(K566=0,0,M566*D566),4)</f>
        <v>0</v>
      </c>
      <c r="T566" s="67">
        <f>ROUND(+IF(K566=0,Q566*D566,0),4)</f>
        <v>0</v>
      </c>
      <c r="U566" s="67">
        <f>ROUND(+N566+R566+S566+T566,4)</f>
        <v>0</v>
      </c>
      <c r="V566" s="67">
        <f>ROUND(IF(P566=0,0,I566-H566-O566)+IF(L566=0,0,I566-H566-K566),4)</f>
        <v>0</v>
      </c>
      <c r="W566" s="67">
        <f>ROUND(+(V566*60%)*D566,4)</f>
        <v>0</v>
      </c>
      <c r="X566" s="148">
        <f>ROUND(+U566+W566,4)</f>
        <v>0</v>
      </c>
      <c r="Y566" s="68"/>
      <c r="Z566" s="148">
        <f>ROUND(IF(X566&gt;I566,X566,I566),4)</f>
        <v>0</v>
      </c>
    </row>
    <row r="567" spans="1:26" x14ac:dyDescent="0.2">
      <c r="A567" s="66"/>
      <c r="B567" s="66"/>
      <c r="C567" s="66"/>
      <c r="D567" s="144"/>
      <c r="E567" s="67"/>
      <c r="F567" s="67"/>
      <c r="G567" s="67"/>
      <c r="H567" s="67">
        <f>ROUND(+E567+G567,4)</f>
        <v>0</v>
      </c>
      <c r="I567" s="67"/>
      <c r="J567" s="67">
        <f>ROUND(+I567-H567,4)</f>
        <v>0</v>
      </c>
      <c r="K567" s="67">
        <f>ROUND(IF(F567="alluminio",0,I567*1.5%),4)</f>
        <v>0</v>
      </c>
      <c r="L567" s="67">
        <f>ROUND(IF(K567&lt;J567,K567,0),4)</f>
        <v>0</v>
      </c>
      <c r="M567" s="67">
        <f>ROUND(IF(J567&gt;K567,0,J567),4)</f>
        <v>0</v>
      </c>
      <c r="N567" s="67">
        <f>ROUND(+L567*D567,4)</f>
        <v>0</v>
      </c>
      <c r="O567" s="67">
        <f>ROUND(IF(F567="rame",0,+I567*3%),4)</f>
        <v>0</v>
      </c>
      <c r="P567" s="67">
        <f>ROUND(IF(O567&lt;J567,O567,0),4)</f>
        <v>0</v>
      </c>
      <c r="Q567" s="67">
        <f>ROUND(IF(J567&gt;O567,0,J567),4)</f>
        <v>0</v>
      </c>
      <c r="R567" s="67">
        <f>ROUND(+P567*D567,4)</f>
        <v>0</v>
      </c>
      <c r="S567" s="67">
        <f>ROUND(IF(K567=0,0,M567*D567),4)</f>
        <v>0</v>
      </c>
      <c r="T567" s="67">
        <f>ROUND(+IF(K567=0,Q567*D567,0),4)</f>
        <v>0</v>
      </c>
      <c r="U567" s="67">
        <f>ROUND(+N567+R567+S567+T567,4)</f>
        <v>0</v>
      </c>
      <c r="V567" s="67">
        <f>ROUND(IF(P567=0,0,I567-H567-O567)+IF(L567=0,0,I567-H567-K567),4)</f>
        <v>0</v>
      </c>
      <c r="W567" s="67">
        <f>ROUND(+(V567*60%)*D567,4)</f>
        <v>0</v>
      </c>
      <c r="X567" s="148">
        <f>ROUND(+U567+W567,4)</f>
        <v>0</v>
      </c>
      <c r="Y567" s="68"/>
      <c r="Z567" s="148">
        <f>ROUND(IF(X567&gt;I567,X567,I567),4)</f>
        <v>0</v>
      </c>
    </row>
    <row r="568" spans="1:26" x14ac:dyDescent="0.2">
      <c r="A568" s="66"/>
      <c r="B568" s="66"/>
      <c r="C568" s="66"/>
      <c r="D568" s="144"/>
      <c r="E568" s="67"/>
      <c r="F568" s="67"/>
      <c r="G568" s="67"/>
      <c r="H568" s="67">
        <f>ROUND(+E568+G568,4)</f>
        <v>0</v>
      </c>
      <c r="I568" s="67"/>
      <c r="J568" s="67">
        <f>ROUND(+I568-H568,4)</f>
        <v>0</v>
      </c>
      <c r="K568" s="67">
        <f>ROUND(IF(F568="alluminio",0,I568*1.5%),4)</f>
        <v>0</v>
      </c>
      <c r="L568" s="67">
        <f>ROUND(IF(K568&lt;J568,K568,0),4)</f>
        <v>0</v>
      </c>
      <c r="M568" s="67">
        <f>ROUND(IF(J568&gt;K568,0,J568),4)</f>
        <v>0</v>
      </c>
      <c r="N568" s="67">
        <f>ROUND(+L568*D568,4)</f>
        <v>0</v>
      </c>
      <c r="O568" s="67">
        <f>ROUND(IF(F568="rame",0,+I568*3%),4)</f>
        <v>0</v>
      </c>
      <c r="P568" s="67">
        <f>ROUND(IF(O568&lt;J568,O568,0),4)</f>
        <v>0</v>
      </c>
      <c r="Q568" s="67">
        <f>ROUND(IF(J568&gt;O568,0,J568),4)</f>
        <v>0</v>
      </c>
      <c r="R568" s="67">
        <f>ROUND(+P568*D568,4)</f>
        <v>0</v>
      </c>
      <c r="S568" s="67">
        <f>ROUND(IF(K568=0,0,M568*D568),4)</f>
        <v>0</v>
      </c>
      <c r="T568" s="67">
        <f>ROUND(+IF(K568=0,Q568*D568,0),4)</f>
        <v>0</v>
      </c>
      <c r="U568" s="67">
        <f>ROUND(+N568+R568+S568+T568,4)</f>
        <v>0</v>
      </c>
      <c r="V568" s="67">
        <f>ROUND(IF(P568=0,0,I568-H568-O568)+IF(L568=0,0,I568-H568-K568),4)</f>
        <v>0</v>
      </c>
      <c r="W568" s="67">
        <f>ROUND(+(V568*60%)*D568,4)</f>
        <v>0</v>
      </c>
      <c r="X568" s="148">
        <f>ROUND(+U568+W568,4)</f>
        <v>0</v>
      </c>
      <c r="Y568" s="68"/>
      <c r="Z568" s="148">
        <f>ROUND(IF(X568&gt;I568,X568,I568),4)</f>
        <v>0</v>
      </c>
    </row>
    <row r="569" spans="1:26" x14ac:dyDescent="0.2">
      <c r="A569" s="66"/>
      <c r="B569" s="66"/>
      <c r="C569" s="66"/>
      <c r="D569" s="144"/>
      <c r="E569" s="67"/>
      <c r="F569" s="67"/>
      <c r="G569" s="67"/>
      <c r="H569" s="67">
        <f>ROUND(+E569+G569,4)</f>
        <v>0</v>
      </c>
      <c r="I569" s="67"/>
      <c r="J569" s="67">
        <f>ROUND(+I569-H569,4)</f>
        <v>0</v>
      </c>
      <c r="K569" s="67">
        <f>ROUND(IF(F569="alluminio",0,I569*1.5%),4)</f>
        <v>0</v>
      </c>
      <c r="L569" s="67">
        <f>ROUND(IF(K569&lt;J569,K569,0),4)</f>
        <v>0</v>
      </c>
      <c r="M569" s="67">
        <f>ROUND(IF(J569&gt;K569,0,J569),4)</f>
        <v>0</v>
      </c>
      <c r="N569" s="67">
        <f>ROUND(+L569*D569,4)</f>
        <v>0</v>
      </c>
      <c r="O569" s="67">
        <f>ROUND(IF(F569="rame",0,+I569*3%),4)</f>
        <v>0</v>
      </c>
      <c r="P569" s="67">
        <f>ROUND(IF(O569&lt;J569,O569,0),4)</f>
        <v>0</v>
      </c>
      <c r="Q569" s="67">
        <f>ROUND(IF(J569&gt;O569,0,J569),4)</f>
        <v>0</v>
      </c>
      <c r="R569" s="67">
        <f>ROUND(+P569*D569,4)</f>
        <v>0</v>
      </c>
      <c r="S569" s="67">
        <f>ROUND(IF(K569=0,0,M569*D569),4)</f>
        <v>0</v>
      </c>
      <c r="T569" s="67">
        <f>ROUND(+IF(K569=0,Q569*D569,0),4)</f>
        <v>0</v>
      </c>
      <c r="U569" s="67">
        <f>ROUND(+N569+R569+S569+T569,4)</f>
        <v>0</v>
      </c>
      <c r="V569" s="67">
        <f>ROUND(IF(P569=0,0,I569-H569-O569)+IF(L569=0,0,I569-H569-K569),4)</f>
        <v>0</v>
      </c>
      <c r="W569" s="67">
        <f>ROUND(+(V569*60%)*D569,4)</f>
        <v>0</v>
      </c>
      <c r="X569" s="148">
        <f>ROUND(+U569+W569,4)</f>
        <v>0</v>
      </c>
      <c r="Y569" s="68"/>
      <c r="Z569" s="148">
        <f>ROUND(IF(X569&gt;I569,X569,I569),4)</f>
        <v>0</v>
      </c>
    </row>
    <row r="570" spans="1:26" x14ac:dyDescent="0.2">
      <c r="A570" s="66"/>
      <c r="B570" s="66"/>
      <c r="C570" s="66"/>
      <c r="D570" s="144"/>
      <c r="E570" s="67"/>
      <c r="F570" s="67"/>
      <c r="G570" s="67"/>
      <c r="H570" s="67">
        <f>ROUND(+E570+G570,4)</f>
        <v>0</v>
      </c>
      <c r="I570" s="67"/>
      <c r="J570" s="67">
        <f>ROUND(+I570-H570,4)</f>
        <v>0</v>
      </c>
      <c r="K570" s="67">
        <f>ROUND(IF(F570="alluminio",0,I570*1.5%),4)</f>
        <v>0</v>
      </c>
      <c r="L570" s="67">
        <f>ROUND(IF(K570&lt;J570,K570,0),4)</f>
        <v>0</v>
      </c>
      <c r="M570" s="67">
        <f>ROUND(IF(J570&gt;K570,0,J570),4)</f>
        <v>0</v>
      </c>
      <c r="N570" s="67">
        <f>ROUND(+L570*D570,4)</f>
        <v>0</v>
      </c>
      <c r="O570" s="67">
        <f>ROUND(IF(F570="rame",0,+I570*3%),4)</f>
        <v>0</v>
      </c>
      <c r="P570" s="67">
        <f>ROUND(IF(O570&lt;J570,O570,0),4)</f>
        <v>0</v>
      </c>
      <c r="Q570" s="67">
        <f>ROUND(IF(J570&gt;O570,0,J570),4)</f>
        <v>0</v>
      </c>
      <c r="R570" s="67">
        <f>ROUND(+P570*D570,4)</f>
        <v>0</v>
      </c>
      <c r="S570" s="67">
        <f>ROUND(IF(K570=0,0,M570*D570),4)</f>
        <v>0</v>
      </c>
      <c r="T570" s="67">
        <f>ROUND(+IF(K570=0,Q570*D570,0),4)</f>
        <v>0</v>
      </c>
      <c r="U570" s="67">
        <f>ROUND(+N570+R570+S570+T570,4)</f>
        <v>0</v>
      </c>
      <c r="V570" s="67">
        <f>ROUND(IF(P570=0,0,I570-H570-O570)+IF(L570=0,0,I570-H570-K570),4)</f>
        <v>0</v>
      </c>
      <c r="W570" s="67">
        <f>ROUND(+(V570*60%)*D570,4)</f>
        <v>0</v>
      </c>
      <c r="X570" s="148">
        <f>ROUND(+U570+W570,4)</f>
        <v>0</v>
      </c>
      <c r="Y570" s="68"/>
      <c r="Z570" s="148">
        <f>ROUND(IF(X570&gt;I570,X570,I570),4)</f>
        <v>0</v>
      </c>
    </row>
    <row r="571" spans="1:26" x14ac:dyDescent="0.2">
      <c r="A571" s="66"/>
      <c r="B571" s="66"/>
      <c r="C571" s="66"/>
      <c r="D571" s="144"/>
      <c r="E571" s="67"/>
      <c r="F571" s="67"/>
      <c r="G571" s="67"/>
      <c r="H571" s="67">
        <f>ROUND(+E571+G571,4)</f>
        <v>0</v>
      </c>
      <c r="I571" s="67"/>
      <c r="J571" s="67">
        <f>ROUND(+I571-H571,4)</f>
        <v>0</v>
      </c>
      <c r="K571" s="67">
        <f>ROUND(IF(F571="alluminio",0,I571*1.5%),4)</f>
        <v>0</v>
      </c>
      <c r="L571" s="67">
        <f>ROUND(IF(K571&lt;J571,K571,0),4)</f>
        <v>0</v>
      </c>
      <c r="M571" s="67">
        <f>ROUND(IF(J571&gt;K571,0,J571),4)</f>
        <v>0</v>
      </c>
      <c r="N571" s="67">
        <f>ROUND(+L571*D571,4)</f>
        <v>0</v>
      </c>
      <c r="O571" s="67">
        <f>ROUND(IF(F571="rame",0,+I571*3%),4)</f>
        <v>0</v>
      </c>
      <c r="P571" s="67">
        <f>ROUND(IF(O571&lt;J571,O571,0),4)</f>
        <v>0</v>
      </c>
      <c r="Q571" s="67">
        <f>ROUND(IF(J571&gt;O571,0,J571),4)</f>
        <v>0</v>
      </c>
      <c r="R571" s="67">
        <f>ROUND(+P571*D571,4)</f>
        <v>0</v>
      </c>
      <c r="S571" s="67">
        <f>ROUND(IF(K571=0,0,M571*D571),4)</f>
        <v>0</v>
      </c>
      <c r="T571" s="67">
        <f>ROUND(+IF(K571=0,Q571*D571,0),4)</f>
        <v>0</v>
      </c>
      <c r="U571" s="67">
        <f>ROUND(+N571+R571+S571+T571,4)</f>
        <v>0</v>
      </c>
      <c r="V571" s="67">
        <f>ROUND(IF(P571=0,0,I571-H571-O571)+IF(L571=0,0,I571-H571-K571),4)</f>
        <v>0</v>
      </c>
      <c r="W571" s="67">
        <f>ROUND(+(V571*60%)*D571,4)</f>
        <v>0</v>
      </c>
      <c r="X571" s="148">
        <f>ROUND(+U571+W571,4)</f>
        <v>0</v>
      </c>
      <c r="Y571" s="68"/>
      <c r="Z571" s="148">
        <f>ROUND(IF(X571&gt;I571,X571,I571),4)</f>
        <v>0</v>
      </c>
    </row>
    <row r="572" spans="1:26" x14ac:dyDescent="0.2">
      <c r="A572" s="66"/>
      <c r="B572" s="66"/>
      <c r="C572" s="66"/>
      <c r="D572" s="144"/>
      <c r="E572" s="67"/>
      <c r="F572" s="67"/>
      <c r="G572" s="67"/>
      <c r="H572" s="67">
        <f>ROUND(+E572+G572,4)</f>
        <v>0</v>
      </c>
      <c r="I572" s="67"/>
      <c r="J572" s="67">
        <f>ROUND(+I572-H572,4)</f>
        <v>0</v>
      </c>
      <c r="K572" s="67">
        <f>ROUND(IF(F572="alluminio",0,I572*1.5%),4)</f>
        <v>0</v>
      </c>
      <c r="L572" s="67">
        <f>ROUND(IF(K572&lt;J572,K572,0),4)</f>
        <v>0</v>
      </c>
      <c r="M572" s="67">
        <f>ROUND(IF(J572&gt;K572,0,J572),4)</f>
        <v>0</v>
      </c>
      <c r="N572" s="67">
        <f>ROUND(+L572*D572,4)</f>
        <v>0</v>
      </c>
      <c r="O572" s="67">
        <f>ROUND(IF(F572="rame",0,+I572*3%),4)</f>
        <v>0</v>
      </c>
      <c r="P572" s="67">
        <f>ROUND(IF(O572&lt;J572,O572,0),4)</f>
        <v>0</v>
      </c>
      <c r="Q572" s="67">
        <f>ROUND(IF(J572&gt;O572,0,J572),4)</f>
        <v>0</v>
      </c>
      <c r="R572" s="67">
        <f>ROUND(+P572*D572,4)</f>
        <v>0</v>
      </c>
      <c r="S572" s="67">
        <f>ROUND(IF(K572=0,0,M572*D572),4)</f>
        <v>0</v>
      </c>
      <c r="T572" s="67">
        <f>ROUND(+IF(K572=0,Q572*D572,0),4)</f>
        <v>0</v>
      </c>
      <c r="U572" s="67">
        <f>ROUND(+N572+R572+S572+T572,4)</f>
        <v>0</v>
      </c>
      <c r="V572" s="67">
        <f>ROUND(IF(P572=0,0,I572-H572-O572)+IF(L572=0,0,I572-H572-K572),4)</f>
        <v>0</v>
      </c>
      <c r="W572" s="67">
        <f>ROUND(+(V572*60%)*D572,4)</f>
        <v>0</v>
      </c>
      <c r="X572" s="148">
        <f>ROUND(+U572+W572,4)</f>
        <v>0</v>
      </c>
      <c r="Y572" s="68"/>
      <c r="Z572" s="148">
        <f>ROUND(IF(X572&gt;I572,X572,I572),4)</f>
        <v>0</v>
      </c>
    </row>
    <row r="573" spans="1:26" x14ac:dyDescent="0.2">
      <c r="A573" s="66"/>
      <c r="B573" s="66"/>
      <c r="C573" s="66"/>
      <c r="D573" s="144"/>
      <c r="E573" s="67"/>
      <c r="F573" s="67"/>
      <c r="G573" s="67"/>
      <c r="H573" s="67">
        <f>ROUND(+E573+G573,4)</f>
        <v>0</v>
      </c>
      <c r="I573" s="67"/>
      <c r="J573" s="67">
        <f>ROUND(+I573-H573,4)</f>
        <v>0</v>
      </c>
      <c r="K573" s="67">
        <f>ROUND(IF(F573="alluminio",0,I573*1.5%),4)</f>
        <v>0</v>
      </c>
      <c r="L573" s="67">
        <f>ROUND(IF(K573&lt;J573,K573,0),4)</f>
        <v>0</v>
      </c>
      <c r="M573" s="67">
        <f>ROUND(IF(J573&gt;K573,0,J573),4)</f>
        <v>0</v>
      </c>
      <c r="N573" s="67">
        <f>ROUND(+L573*D573,4)</f>
        <v>0</v>
      </c>
      <c r="O573" s="67">
        <f>ROUND(IF(F573="rame",0,+I573*3%),4)</f>
        <v>0</v>
      </c>
      <c r="P573" s="67">
        <f>ROUND(IF(O573&lt;J573,O573,0),4)</f>
        <v>0</v>
      </c>
      <c r="Q573" s="67">
        <f>ROUND(IF(J573&gt;O573,0,J573),4)</f>
        <v>0</v>
      </c>
      <c r="R573" s="67">
        <f>ROUND(+P573*D573,4)</f>
        <v>0</v>
      </c>
      <c r="S573" s="67">
        <f>ROUND(IF(K573=0,0,M573*D573),4)</f>
        <v>0</v>
      </c>
      <c r="T573" s="67">
        <f>ROUND(+IF(K573=0,Q573*D573,0),4)</f>
        <v>0</v>
      </c>
      <c r="U573" s="67">
        <f>ROUND(+N573+R573+S573+T573,4)</f>
        <v>0</v>
      </c>
      <c r="V573" s="67">
        <f>ROUND(IF(P573=0,0,I573-H573-O573)+IF(L573=0,0,I573-H573-K573),4)</f>
        <v>0</v>
      </c>
      <c r="W573" s="67">
        <f>ROUND(+(V573*60%)*D573,4)</f>
        <v>0</v>
      </c>
      <c r="X573" s="148">
        <f>ROUND(+U573+W573,4)</f>
        <v>0</v>
      </c>
      <c r="Y573" s="68"/>
      <c r="Z573" s="148">
        <f>ROUND(IF(X573&gt;I573,X573,I573),4)</f>
        <v>0</v>
      </c>
    </row>
    <row r="574" spans="1:26" x14ac:dyDescent="0.2">
      <c r="A574" s="66"/>
      <c r="B574" s="66"/>
      <c r="C574" s="66"/>
      <c r="D574" s="144"/>
      <c r="E574" s="67"/>
      <c r="F574" s="67"/>
      <c r="G574" s="67"/>
      <c r="H574" s="67">
        <f>ROUND(+E574+G574,4)</f>
        <v>0</v>
      </c>
      <c r="I574" s="67"/>
      <c r="J574" s="67">
        <f>ROUND(+I574-H574,4)</f>
        <v>0</v>
      </c>
      <c r="K574" s="67">
        <f>ROUND(IF(F574="alluminio",0,I574*1.5%),4)</f>
        <v>0</v>
      </c>
      <c r="L574" s="67">
        <f>ROUND(IF(K574&lt;J574,K574,0),4)</f>
        <v>0</v>
      </c>
      <c r="M574" s="67">
        <f>ROUND(IF(J574&gt;K574,0,J574),4)</f>
        <v>0</v>
      </c>
      <c r="N574" s="67">
        <f>ROUND(+L574*D574,4)</f>
        <v>0</v>
      </c>
      <c r="O574" s="67">
        <f>ROUND(IF(F574="rame",0,+I574*3%),4)</f>
        <v>0</v>
      </c>
      <c r="P574" s="67">
        <f>ROUND(IF(O574&lt;J574,O574,0),4)</f>
        <v>0</v>
      </c>
      <c r="Q574" s="67">
        <f>ROUND(IF(J574&gt;O574,0,J574),4)</f>
        <v>0</v>
      </c>
      <c r="R574" s="67">
        <f>ROUND(+P574*D574,4)</f>
        <v>0</v>
      </c>
      <c r="S574" s="67">
        <f>ROUND(IF(K574=0,0,M574*D574),4)</f>
        <v>0</v>
      </c>
      <c r="T574" s="67">
        <f>ROUND(+IF(K574=0,Q574*D574,0),4)</f>
        <v>0</v>
      </c>
      <c r="U574" s="67">
        <f>ROUND(+N574+R574+S574+T574,4)</f>
        <v>0</v>
      </c>
      <c r="V574" s="67">
        <f>ROUND(IF(P574=0,0,I574-H574-O574)+IF(L574=0,0,I574-H574-K574),4)</f>
        <v>0</v>
      </c>
      <c r="W574" s="67">
        <f>ROUND(+(V574*60%)*D574,4)</f>
        <v>0</v>
      </c>
      <c r="X574" s="148">
        <f>ROUND(+U574+W574,4)</f>
        <v>0</v>
      </c>
      <c r="Y574" s="68"/>
      <c r="Z574" s="148">
        <f>ROUND(IF(X574&gt;I574,X574,I574),4)</f>
        <v>0</v>
      </c>
    </row>
    <row r="575" spans="1:26" x14ac:dyDescent="0.2">
      <c r="A575" s="66"/>
      <c r="B575" s="66"/>
      <c r="C575" s="66"/>
      <c r="D575" s="144"/>
      <c r="E575" s="67"/>
      <c r="F575" s="67"/>
      <c r="G575" s="67"/>
      <c r="H575" s="67">
        <f>ROUND(+E575+G575,4)</f>
        <v>0</v>
      </c>
      <c r="I575" s="67"/>
      <c r="J575" s="67">
        <f>ROUND(+I575-H575,4)</f>
        <v>0</v>
      </c>
      <c r="K575" s="67">
        <f>ROUND(IF(F575="alluminio",0,I575*1.5%),4)</f>
        <v>0</v>
      </c>
      <c r="L575" s="67">
        <f>ROUND(IF(K575&lt;J575,K575,0),4)</f>
        <v>0</v>
      </c>
      <c r="M575" s="67">
        <f>ROUND(IF(J575&gt;K575,0,J575),4)</f>
        <v>0</v>
      </c>
      <c r="N575" s="67">
        <f>ROUND(+L575*D575,4)</f>
        <v>0</v>
      </c>
      <c r="O575" s="67">
        <f>ROUND(IF(F575="rame",0,+I575*3%),4)</f>
        <v>0</v>
      </c>
      <c r="P575" s="67">
        <f>ROUND(IF(O575&lt;J575,O575,0),4)</f>
        <v>0</v>
      </c>
      <c r="Q575" s="67">
        <f>ROUND(IF(J575&gt;O575,0,J575),4)</f>
        <v>0</v>
      </c>
      <c r="R575" s="67">
        <f>ROUND(+P575*D575,4)</f>
        <v>0</v>
      </c>
      <c r="S575" s="67">
        <f>ROUND(IF(K575=0,0,M575*D575),4)</f>
        <v>0</v>
      </c>
      <c r="T575" s="67">
        <f>ROUND(+IF(K575=0,Q575*D575,0),4)</f>
        <v>0</v>
      </c>
      <c r="U575" s="67">
        <f>ROUND(+N575+R575+S575+T575,4)</f>
        <v>0</v>
      </c>
      <c r="V575" s="67">
        <f>ROUND(IF(P575=0,0,I575-H575-O575)+IF(L575=0,0,I575-H575-K575),4)</f>
        <v>0</v>
      </c>
      <c r="W575" s="67">
        <f>ROUND(+(V575*60%)*D575,4)</f>
        <v>0</v>
      </c>
      <c r="X575" s="148">
        <f>ROUND(+U575+W575,4)</f>
        <v>0</v>
      </c>
      <c r="Y575" s="68"/>
      <c r="Z575" s="148">
        <f>ROUND(IF(X575&gt;I575,X575,I575),4)</f>
        <v>0</v>
      </c>
    </row>
    <row r="576" spans="1:26" x14ac:dyDescent="0.2">
      <c r="A576" s="66"/>
      <c r="B576" s="66"/>
      <c r="C576" s="66"/>
      <c r="D576" s="144"/>
      <c r="E576" s="67"/>
      <c r="F576" s="67"/>
      <c r="G576" s="67"/>
      <c r="H576" s="67">
        <f>ROUND(+E576+G576,4)</f>
        <v>0</v>
      </c>
      <c r="I576" s="67"/>
      <c r="J576" s="67">
        <f>ROUND(+I576-H576,4)</f>
        <v>0</v>
      </c>
      <c r="K576" s="67">
        <f>ROUND(IF(F576="alluminio",0,I576*1.5%),4)</f>
        <v>0</v>
      </c>
      <c r="L576" s="67">
        <f>ROUND(IF(K576&lt;J576,K576,0),4)</f>
        <v>0</v>
      </c>
      <c r="M576" s="67">
        <f>ROUND(IF(J576&gt;K576,0,J576),4)</f>
        <v>0</v>
      </c>
      <c r="N576" s="67">
        <f>ROUND(+L576*D576,4)</f>
        <v>0</v>
      </c>
      <c r="O576" s="67">
        <f>ROUND(IF(F576="rame",0,+I576*3%),4)</f>
        <v>0</v>
      </c>
      <c r="P576" s="67">
        <f>ROUND(IF(O576&lt;J576,O576,0),4)</f>
        <v>0</v>
      </c>
      <c r="Q576" s="67">
        <f>ROUND(IF(J576&gt;O576,0,J576),4)</f>
        <v>0</v>
      </c>
      <c r="R576" s="67">
        <f>ROUND(+P576*D576,4)</f>
        <v>0</v>
      </c>
      <c r="S576" s="67">
        <f>ROUND(IF(K576=0,0,M576*D576),4)</f>
        <v>0</v>
      </c>
      <c r="T576" s="67">
        <f>ROUND(+IF(K576=0,Q576*D576,0),4)</f>
        <v>0</v>
      </c>
      <c r="U576" s="67">
        <f>ROUND(+N576+R576+S576+T576,4)</f>
        <v>0</v>
      </c>
      <c r="V576" s="67">
        <f>ROUND(IF(P576=0,0,I576-H576-O576)+IF(L576=0,0,I576-H576-K576),4)</f>
        <v>0</v>
      </c>
      <c r="W576" s="67">
        <f>ROUND(+(V576*60%)*D576,4)</f>
        <v>0</v>
      </c>
      <c r="X576" s="148">
        <f>ROUND(+U576+W576,4)</f>
        <v>0</v>
      </c>
      <c r="Y576" s="68"/>
      <c r="Z576" s="148">
        <f>ROUND(IF(X576&gt;I576,X576,I576),4)</f>
        <v>0</v>
      </c>
    </row>
    <row r="577" spans="1:26" x14ac:dyDescent="0.2">
      <c r="A577" s="66"/>
      <c r="B577" s="66"/>
      <c r="C577" s="66"/>
      <c r="D577" s="144"/>
      <c r="E577" s="67"/>
      <c r="F577" s="67"/>
      <c r="G577" s="67"/>
      <c r="H577" s="67">
        <f>ROUND(+E577+G577,4)</f>
        <v>0</v>
      </c>
      <c r="I577" s="67"/>
      <c r="J577" s="67">
        <f>ROUND(+I577-H577,4)</f>
        <v>0</v>
      </c>
      <c r="K577" s="67">
        <f>ROUND(IF(F577="alluminio",0,I577*1.5%),4)</f>
        <v>0</v>
      </c>
      <c r="L577" s="67">
        <f>ROUND(IF(K577&lt;J577,K577,0),4)</f>
        <v>0</v>
      </c>
      <c r="M577" s="67">
        <f>ROUND(IF(J577&gt;K577,0,J577),4)</f>
        <v>0</v>
      </c>
      <c r="N577" s="67">
        <f>ROUND(+L577*D577,4)</f>
        <v>0</v>
      </c>
      <c r="O577" s="67">
        <f>ROUND(IF(F577="rame",0,+I577*3%),4)</f>
        <v>0</v>
      </c>
      <c r="P577" s="67">
        <f>ROUND(IF(O577&lt;J577,O577,0),4)</f>
        <v>0</v>
      </c>
      <c r="Q577" s="67">
        <f>ROUND(IF(J577&gt;O577,0,J577),4)</f>
        <v>0</v>
      </c>
      <c r="R577" s="67">
        <f>ROUND(+P577*D577,4)</f>
        <v>0</v>
      </c>
      <c r="S577" s="67">
        <f>ROUND(IF(K577=0,0,M577*D577),4)</f>
        <v>0</v>
      </c>
      <c r="T577" s="67">
        <f>ROUND(+IF(K577=0,Q577*D577,0),4)</f>
        <v>0</v>
      </c>
      <c r="U577" s="67">
        <f>ROUND(+N577+R577+S577+T577,4)</f>
        <v>0</v>
      </c>
      <c r="V577" s="67">
        <f>ROUND(IF(P577=0,0,I577-H577-O577)+IF(L577=0,0,I577-H577-K577),4)</f>
        <v>0</v>
      </c>
      <c r="W577" s="67">
        <f>ROUND(+(V577*60%)*D577,4)</f>
        <v>0</v>
      </c>
      <c r="X577" s="148">
        <f>ROUND(+U577+W577,4)</f>
        <v>0</v>
      </c>
      <c r="Y577" s="68"/>
      <c r="Z577" s="148">
        <f>ROUND(IF(X577&gt;I577,X577,I577),4)</f>
        <v>0</v>
      </c>
    </row>
    <row r="578" spans="1:26" x14ac:dyDescent="0.2">
      <c r="A578" s="66"/>
      <c r="B578" s="66"/>
      <c r="C578" s="66"/>
      <c r="D578" s="144"/>
      <c r="E578" s="67"/>
      <c r="F578" s="67"/>
      <c r="G578" s="67"/>
      <c r="H578" s="67">
        <f>ROUND(+E578+G578,4)</f>
        <v>0</v>
      </c>
      <c r="I578" s="67"/>
      <c r="J578" s="67">
        <f>ROUND(+I578-H578,4)</f>
        <v>0</v>
      </c>
      <c r="K578" s="67">
        <f>ROUND(IF(F578="alluminio",0,I578*1.5%),4)</f>
        <v>0</v>
      </c>
      <c r="L578" s="67">
        <f>ROUND(IF(K578&lt;J578,K578,0),4)</f>
        <v>0</v>
      </c>
      <c r="M578" s="67">
        <f>ROUND(IF(J578&gt;K578,0,J578),4)</f>
        <v>0</v>
      </c>
      <c r="N578" s="67">
        <f>ROUND(+L578*D578,4)</f>
        <v>0</v>
      </c>
      <c r="O578" s="67">
        <f>ROUND(IF(F578="rame",0,+I578*3%),4)</f>
        <v>0</v>
      </c>
      <c r="P578" s="67">
        <f>ROUND(IF(O578&lt;J578,O578,0),4)</f>
        <v>0</v>
      </c>
      <c r="Q578" s="67">
        <f>ROUND(IF(J578&gt;O578,0,J578),4)</f>
        <v>0</v>
      </c>
      <c r="R578" s="67">
        <f>ROUND(+P578*D578,4)</f>
        <v>0</v>
      </c>
      <c r="S578" s="67">
        <f>ROUND(IF(K578=0,0,M578*D578),4)</f>
        <v>0</v>
      </c>
      <c r="T578" s="67">
        <f>ROUND(+IF(K578=0,Q578*D578,0),4)</f>
        <v>0</v>
      </c>
      <c r="U578" s="67">
        <f>ROUND(+N578+R578+S578+T578,4)</f>
        <v>0</v>
      </c>
      <c r="V578" s="67">
        <f>ROUND(IF(P578=0,0,I578-H578-O578)+IF(L578=0,0,I578-H578-K578),4)</f>
        <v>0</v>
      </c>
      <c r="W578" s="67">
        <f>ROUND(+(V578*60%)*D578,4)</f>
        <v>0</v>
      </c>
      <c r="X578" s="148">
        <f>ROUND(+U578+W578,4)</f>
        <v>0</v>
      </c>
      <c r="Y578" s="68"/>
      <c r="Z578" s="148">
        <f>ROUND(IF(X578&gt;I578,X578,I578),4)</f>
        <v>0</v>
      </c>
    </row>
    <row r="579" spans="1:26" x14ac:dyDescent="0.2">
      <c r="A579" s="66"/>
      <c r="B579" s="66"/>
      <c r="C579" s="66"/>
      <c r="D579" s="144"/>
      <c r="E579" s="67"/>
      <c r="F579" s="67"/>
      <c r="G579" s="67"/>
      <c r="H579" s="67">
        <f>ROUND(+E579+G579,4)</f>
        <v>0</v>
      </c>
      <c r="I579" s="67"/>
      <c r="J579" s="67">
        <f>ROUND(+I579-H579,4)</f>
        <v>0</v>
      </c>
      <c r="K579" s="67">
        <f>ROUND(IF(F579="alluminio",0,I579*1.5%),4)</f>
        <v>0</v>
      </c>
      <c r="L579" s="67">
        <f>ROUND(IF(K579&lt;J579,K579,0),4)</f>
        <v>0</v>
      </c>
      <c r="M579" s="67">
        <f>ROUND(IF(J579&gt;K579,0,J579),4)</f>
        <v>0</v>
      </c>
      <c r="N579" s="67">
        <f>ROUND(+L579*D579,4)</f>
        <v>0</v>
      </c>
      <c r="O579" s="67">
        <f>ROUND(IF(F579="rame",0,+I579*3%),4)</f>
        <v>0</v>
      </c>
      <c r="P579" s="67">
        <f>ROUND(IF(O579&lt;J579,O579,0),4)</f>
        <v>0</v>
      </c>
      <c r="Q579" s="67">
        <f>ROUND(IF(J579&gt;O579,0,J579),4)</f>
        <v>0</v>
      </c>
      <c r="R579" s="67">
        <f>ROUND(+P579*D579,4)</f>
        <v>0</v>
      </c>
      <c r="S579" s="67">
        <f>ROUND(IF(K579=0,0,M579*D579),4)</f>
        <v>0</v>
      </c>
      <c r="T579" s="67">
        <f>ROUND(+IF(K579=0,Q579*D579,0),4)</f>
        <v>0</v>
      </c>
      <c r="U579" s="67">
        <f>ROUND(+N579+R579+S579+T579,4)</f>
        <v>0</v>
      </c>
      <c r="V579" s="67">
        <f>ROUND(IF(P579=0,0,I579-H579-O579)+IF(L579=0,0,I579-H579-K579),4)</f>
        <v>0</v>
      </c>
      <c r="W579" s="67">
        <f>ROUND(+(V579*60%)*D579,4)</f>
        <v>0</v>
      </c>
      <c r="X579" s="148">
        <f>ROUND(+U579+W579,4)</f>
        <v>0</v>
      </c>
      <c r="Y579" s="68"/>
      <c r="Z579" s="148">
        <f>ROUND(IF(X579&gt;I579,X579,I579),4)</f>
        <v>0</v>
      </c>
    </row>
    <row r="580" spans="1:26" x14ac:dyDescent="0.2">
      <c r="A580" s="66"/>
      <c r="B580" s="66"/>
      <c r="C580" s="66"/>
      <c r="D580" s="144"/>
      <c r="E580" s="67"/>
      <c r="F580" s="67"/>
      <c r="G580" s="67"/>
      <c r="H580" s="67">
        <f>ROUND(+E580+G580,4)</f>
        <v>0</v>
      </c>
      <c r="I580" s="67"/>
      <c r="J580" s="67">
        <f>ROUND(+I580-H580,4)</f>
        <v>0</v>
      </c>
      <c r="K580" s="67">
        <f>ROUND(IF(F580="alluminio",0,I580*1.5%),4)</f>
        <v>0</v>
      </c>
      <c r="L580" s="67">
        <f>ROUND(IF(K580&lt;J580,K580,0),4)</f>
        <v>0</v>
      </c>
      <c r="M580" s="67">
        <f>ROUND(IF(J580&gt;K580,0,J580),4)</f>
        <v>0</v>
      </c>
      <c r="N580" s="67">
        <f>ROUND(+L580*D580,4)</f>
        <v>0</v>
      </c>
      <c r="O580" s="67">
        <f>ROUND(IF(F580="rame",0,+I580*3%),4)</f>
        <v>0</v>
      </c>
      <c r="P580" s="67">
        <f>ROUND(IF(O580&lt;J580,O580,0),4)</f>
        <v>0</v>
      </c>
      <c r="Q580" s="67">
        <f>ROUND(IF(J580&gt;O580,0,J580),4)</f>
        <v>0</v>
      </c>
      <c r="R580" s="67">
        <f>ROUND(+P580*D580,4)</f>
        <v>0</v>
      </c>
      <c r="S580" s="67">
        <f>ROUND(IF(K580=0,0,M580*D580),4)</f>
        <v>0</v>
      </c>
      <c r="T580" s="67">
        <f>ROUND(+IF(K580=0,Q580*D580,0),4)</f>
        <v>0</v>
      </c>
      <c r="U580" s="67">
        <f>ROUND(+N580+R580+S580+T580,4)</f>
        <v>0</v>
      </c>
      <c r="V580" s="67">
        <f>ROUND(IF(P580=0,0,I580-H580-O580)+IF(L580=0,0,I580-H580-K580),4)</f>
        <v>0</v>
      </c>
      <c r="W580" s="67">
        <f>ROUND(+(V580*60%)*D580,4)</f>
        <v>0</v>
      </c>
      <c r="X580" s="148">
        <f>ROUND(+U580+W580,4)</f>
        <v>0</v>
      </c>
      <c r="Y580" s="68"/>
      <c r="Z580" s="148">
        <f>ROUND(IF(X580&gt;I580,X580,I580),4)</f>
        <v>0</v>
      </c>
    </row>
    <row r="581" spans="1:26" x14ac:dyDescent="0.2">
      <c r="A581" s="66"/>
      <c r="B581" s="66"/>
      <c r="C581" s="66"/>
      <c r="D581" s="144"/>
      <c r="E581" s="67"/>
      <c r="F581" s="67"/>
      <c r="G581" s="67"/>
      <c r="H581" s="67">
        <f>ROUND(+E581+G581,4)</f>
        <v>0</v>
      </c>
      <c r="I581" s="67"/>
      <c r="J581" s="67">
        <f>ROUND(+I581-H581,4)</f>
        <v>0</v>
      </c>
      <c r="K581" s="67">
        <f>ROUND(IF(F581="alluminio",0,I581*1.5%),4)</f>
        <v>0</v>
      </c>
      <c r="L581" s="67">
        <f>ROUND(IF(K581&lt;J581,K581,0),4)</f>
        <v>0</v>
      </c>
      <c r="M581" s="67">
        <f>ROUND(IF(J581&gt;K581,0,J581),4)</f>
        <v>0</v>
      </c>
      <c r="N581" s="67">
        <f>ROUND(+L581*D581,4)</f>
        <v>0</v>
      </c>
      <c r="O581" s="67">
        <f>ROUND(IF(F581="rame",0,+I581*3%),4)</f>
        <v>0</v>
      </c>
      <c r="P581" s="67">
        <f>ROUND(IF(O581&lt;J581,O581,0),4)</f>
        <v>0</v>
      </c>
      <c r="Q581" s="67">
        <f>ROUND(IF(J581&gt;O581,0,J581),4)</f>
        <v>0</v>
      </c>
      <c r="R581" s="67">
        <f>ROUND(+P581*D581,4)</f>
        <v>0</v>
      </c>
      <c r="S581" s="67">
        <f>ROUND(IF(K581=0,0,M581*D581),4)</f>
        <v>0</v>
      </c>
      <c r="T581" s="67">
        <f>ROUND(+IF(K581=0,Q581*D581,0),4)</f>
        <v>0</v>
      </c>
      <c r="U581" s="67">
        <f>ROUND(+N581+R581+S581+T581,4)</f>
        <v>0</v>
      </c>
      <c r="V581" s="67">
        <f>ROUND(IF(P581=0,0,I581-H581-O581)+IF(L581=0,0,I581-H581-K581),4)</f>
        <v>0</v>
      </c>
      <c r="W581" s="67">
        <f>ROUND(+(V581*60%)*D581,4)</f>
        <v>0</v>
      </c>
      <c r="X581" s="148">
        <f>ROUND(+U581+W581,4)</f>
        <v>0</v>
      </c>
      <c r="Y581" s="68"/>
      <c r="Z581" s="148">
        <f>ROUND(IF(X581&gt;I581,X581,I581),4)</f>
        <v>0</v>
      </c>
    </row>
    <row r="582" spans="1:26" x14ac:dyDescent="0.2">
      <c r="A582" s="66"/>
      <c r="B582" s="66"/>
      <c r="C582" s="66"/>
      <c r="D582" s="144"/>
      <c r="E582" s="67"/>
      <c r="F582" s="67"/>
      <c r="G582" s="67"/>
      <c r="H582" s="67">
        <f>ROUND(+E582+G582,4)</f>
        <v>0</v>
      </c>
      <c r="I582" s="67"/>
      <c r="J582" s="67">
        <f>ROUND(+I582-H582,4)</f>
        <v>0</v>
      </c>
      <c r="K582" s="67">
        <f>ROUND(IF(F582="alluminio",0,I582*1.5%),4)</f>
        <v>0</v>
      </c>
      <c r="L582" s="67">
        <f>ROUND(IF(K582&lt;J582,K582,0),4)</f>
        <v>0</v>
      </c>
      <c r="M582" s="67">
        <f>ROUND(IF(J582&gt;K582,0,J582),4)</f>
        <v>0</v>
      </c>
      <c r="N582" s="67">
        <f>ROUND(+L582*D582,4)</f>
        <v>0</v>
      </c>
      <c r="O582" s="67">
        <f>ROUND(IF(F582="rame",0,+I582*3%),4)</f>
        <v>0</v>
      </c>
      <c r="P582" s="67">
        <f>ROUND(IF(O582&lt;J582,O582,0),4)</f>
        <v>0</v>
      </c>
      <c r="Q582" s="67">
        <f>ROUND(IF(J582&gt;O582,0,J582),4)</f>
        <v>0</v>
      </c>
      <c r="R582" s="67">
        <f>ROUND(+P582*D582,4)</f>
        <v>0</v>
      </c>
      <c r="S582" s="67">
        <f>ROUND(IF(K582=0,0,M582*D582),4)</f>
        <v>0</v>
      </c>
      <c r="T582" s="67">
        <f>ROUND(+IF(K582=0,Q582*D582,0),4)</f>
        <v>0</v>
      </c>
      <c r="U582" s="67">
        <f>ROUND(+N582+R582+S582+T582,4)</f>
        <v>0</v>
      </c>
      <c r="V582" s="67">
        <f>ROUND(IF(P582=0,0,I582-H582-O582)+IF(L582=0,0,I582-H582-K582),4)</f>
        <v>0</v>
      </c>
      <c r="W582" s="67">
        <f>ROUND(+(V582*60%)*D582,4)</f>
        <v>0</v>
      </c>
      <c r="X582" s="148">
        <f>ROUND(+U582+W582,4)</f>
        <v>0</v>
      </c>
      <c r="Y582" s="68"/>
      <c r="Z582" s="148">
        <f>ROUND(IF(X582&gt;I582,X582,I582),4)</f>
        <v>0</v>
      </c>
    </row>
    <row r="583" spans="1:26" x14ac:dyDescent="0.2">
      <c r="A583" s="66"/>
      <c r="B583" s="66"/>
      <c r="C583" s="66"/>
      <c r="D583" s="144"/>
      <c r="E583" s="67"/>
      <c r="F583" s="67"/>
      <c r="G583" s="67"/>
      <c r="H583" s="67">
        <f>ROUND(+E583+G583,4)</f>
        <v>0</v>
      </c>
      <c r="I583" s="67"/>
      <c r="J583" s="67">
        <f>ROUND(+I583-H583,4)</f>
        <v>0</v>
      </c>
      <c r="K583" s="67">
        <f>ROUND(IF(F583="alluminio",0,I583*1.5%),4)</f>
        <v>0</v>
      </c>
      <c r="L583" s="67">
        <f>ROUND(IF(K583&lt;J583,K583,0),4)</f>
        <v>0</v>
      </c>
      <c r="M583" s="67">
        <f>ROUND(IF(J583&gt;K583,0,J583),4)</f>
        <v>0</v>
      </c>
      <c r="N583" s="67">
        <f>ROUND(+L583*D583,4)</f>
        <v>0</v>
      </c>
      <c r="O583" s="67">
        <f>ROUND(IF(F583="rame",0,+I583*3%),4)</f>
        <v>0</v>
      </c>
      <c r="P583" s="67">
        <f>ROUND(IF(O583&lt;J583,O583,0),4)</f>
        <v>0</v>
      </c>
      <c r="Q583" s="67">
        <f>ROUND(IF(J583&gt;O583,0,J583),4)</f>
        <v>0</v>
      </c>
      <c r="R583" s="67">
        <f>ROUND(+P583*D583,4)</f>
        <v>0</v>
      </c>
      <c r="S583" s="67">
        <f>ROUND(IF(K583=0,0,M583*D583),4)</f>
        <v>0</v>
      </c>
      <c r="T583" s="67">
        <f>ROUND(+IF(K583=0,Q583*D583,0),4)</f>
        <v>0</v>
      </c>
      <c r="U583" s="67">
        <f>ROUND(+N583+R583+S583+T583,4)</f>
        <v>0</v>
      </c>
      <c r="V583" s="67">
        <f>ROUND(IF(P583=0,0,I583-H583-O583)+IF(L583=0,0,I583-H583-K583),4)</f>
        <v>0</v>
      </c>
      <c r="W583" s="67">
        <f>ROUND(+(V583*60%)*D583,4)</f>
        <v>0</v>
      </c>
      <c r="X583" s="148">
        <f>ROUND(+U583+W583,4)</f>
        <v>0</v>
      </c>
      <c r="Y583" s="68"/>
      <c r="Z583" s="148">
        <f>ROUND(IF(X583&gt;I583,X583,I583),4)</f>
        <v>0</v>
      </c>
    </row>
    <row r="584" spans="1:26" x14ac:dyDescent="0.2">
      <c r="A584" s="66"/>
      <c r="B584" s="66"/>
      <c r="C584" s="66"/>
      <c r="D584" s="144"/>
      <c r="E584" s="67"/>
      <c r="F584" s="67"/>
      <c r="G584" s="67"/>
      <c r="H584" s="67">
        <f>ROUND(+E584+G584,4)</f>
        <v>0</v>
      </c>
      <c r="I584" s="67"/>
      <c r="J584" s="67">
        <f>ROUND(+I584-H584,4)</f>
        <v>0</v>
      </c>
      <c r="K584" s="67">
        <f>ROUND(IF(F584="alluminio",0,I584*1.5%),4)</f>
        <v>0</v>
      </c>
      <c r="L584" s="67">
        <f>ROUND(IF(K584&lt;J584,K584,0),4)</f>
        <v>0</v>
      </c>
      <c r="M584" s="67">
        <f>ROUND(IF(J584&gt;K584,0,J584),4)</f>
        <v>0</v>
      </c>
      <c r="N584" s="67">
        <f>ROUND(+L584*D584,4)</f>
        <v>0</v>
      </c>
      <c r="O584" s="67">
        <f>ROUND(IF(F584="rame",0,+I584*3%),4)</f>
        <v>0</v>
      </c>
      <c r="P584" s="67">
        <f>ROUND(IF(O584&lt;J584,O584,0),4)</f>
        <v>0</v>
      </c>
      <c r="Q584" s="67">
        <f>ROUND(IF(J584&gt;O584,0,J584),4)</f>
        <v>0</v>
      </c>
      <c r="R584" s="67">
        <f>ROUND(+P584*D584,4)</f>
        <v>0</v>
      </c>
      <c r="S584" s="67">
        <f>ROUND(IF(K584=0,0,M584*D584),4)</f>
        <v>0</v>
      </c>
      <c r="T584" s="67">
        <f>ROUND(+IF(K584=0,Q584*D584,0),4)</f>
        <v>0</v>
      </c>
      <c r="U584" s="67">
        <f>ROUND(+N584+R584+S584+T584,4)</f>
        <v>0</v>
      </c>
      <c r="V584" s="67">
        <f>ROUND(IF(P584=0,0,I584-H584-O584)+IF(L584=0,0,I584-H584-K584),4)</f>
        <v>0</v>
      </c>
      <c r="W584" s="67">
        <f>ROUND(+(V584*60%)*D584,4)</f>
        <v>0</v>
      </c>
      <c r="X584" s="148">
        <f>ROUND(+U584+W584,4)</f>
        <v>0</v>
      </c>
      <c r="Y584" s="68"/>
      <c r="Z584" s="148">
        <f>ROUND(IF(X584&gt;I584,X584,I584),4)</f>
        <v>0</v>
      </c>
    </row>
    <row r="585" spans="1:26" x14ac:dyDescent="0.2">
      <c r="A585" s="66"/>
      <c r="B585" s="66"/>
      <c r="C585" s="66"/>
      <c r="D585" s="144"/>
      <c r="E585" s="67"/>
      <c r="F585" s="67"/>
      <c r="G585" s="67"/>
      <c r="H585" s="67">
        <f>ROUND(+E585+G585,4)</f>
        <v>0</v>
      </c>
      <c r="I585" s="67"/>
      <c r="J585" s="67">
        <f>ROUND(+I585-H585,4)</f>
        <v>0</v>
      </c>
      <c r="K585" s="67">
        <f>ROUND(IF(F585="alluminio",0,I585*1.5%),4)</f>
        <v>0</v>
      </c>
      <c r="L585" s="67">
        <f>ROUND(IF(K585&lt;J585,K585,0),4)</f>
        <v>0</v>
      </c>
      <c r="M585" s="67">
        <f>ROUND(IF(J585&gt;K585,0,J585),4)</f>
        <v>0</v>
      </c>
      <c r="N585" s="67">
        <f>ROUND(+L585*D585,4)</f>
        <v>0</v>
      </c>
      <c r="O585" s="67">
        <f>ROUND(IF(F585="rame",0,+I585*3%),4)</f>
        <v>0</v>
      </c>
      <c r="P585" s="67">
        <f>ROUND(IF(O585&lt;J585,O585,0),4)</f>
        <v>0</v>
      </c>
      <c r="Q585" s="67">
        <f>ROUND(IF(J585&gt;O585,0,J585),4)</f>
        <v>0</v>
      </c>
      <c r="R585" s="67">
        <f>ROUND(+P585*D585,4)</f>
        <v>0</v>
      </c>
      <c r="S585" s="67">
        <f>ROUND(IF(K585=0,0,M585*D585),4)</f>
        <v>0</v>
      </c>
      <c r="T585" s="67">
        <f>ROUND(+IF(K585=0,Q585*D585,0),4)</f>
        <v>0</v>
      </c>
      <c r="U585" s="67">
        <f>ROUND(+N585+R585+S585+T585,4)</f>
        <v>0</v>
      </c>
      <c r="V585" s="67">
        <f>ROUND(IF(P585=0,0,I585-H585-O585)+IF(L585=0,0,I585-H585-K585),4)</f>
        <v>0</v>
      </c>
      <c r="W585" s="67">
        <f>ROUND(+(V585*60%)*D585,4)</f>
        <v>0</v>
      </c>
      <c r="X585" s="148">
        <f>ROUND(+U585+W585,4)</f>
        <v>0</v>
      </c>
      <c r="Y585" s="68"/>
      <c r="Z585" s="148">
        <f>ROUND(IF(X585&gt;I585,X585,I585),4)</f>
        <v>0</v>
      </c>
    </row>
    <row r="586" spans="1:26" x14ac:dyDescent="0.2">
      <c r="A586" s="66"/>
      <c r="B586" s="66"/>
      <c r="C586" s="66"/>
      <c r="D586" s="144"/>
      <c r="E586" s="67"/>
      <c r="F586" s="67"/>
      <c r="G586" s="67"/>
      <c r="H586" s="67">
        <f>ROUND(+E586+G586,4)</f>
        <v>0</v>
      </c>
      <c r="I586" s="67"/>
      <c r="J586" s="67">
        <f>ROUND(+I586-H586,4)</f>
        <v>0</v>
      </c>
      <c r="K586" s="67">
        <f>ROUND(IF(F586="alluminio",0,I586*1.5%),4)</f>
        <v>0</v>
      </c>
      <c r="L586" s="67">
        <f>ROUND(IF(K586&lt;J586,K586,0),4)</f>
        <v>0</v>
      </c>
      <c r="M586" s="67">
        <f>ROUND(IF(J586&gt;K586,0,J586),4)</f>
        <v>0</v>
      </c>
      <c r="N586" s="67">
        <f>ROUND(+L586*D586,4)</f>
        <v>0</v>
      </c>
      <c r="O586" s="67">
        <f>ROUND(IF(F586="rame",0,+I586*3%),4)</f>
        <v>0</v>
      </c>
      <c r="P586" s="67">
        <f>ROUND(IF(O586&lt;J586,O586,0),4)</f>
        <v>0</v>
      </c>
      <c r="Q586" s="67">
        <f>ROUND(IF(J586&gt;O586,0,J586),4)</f>
        <v>0</v>
      </c>
      <c r="R586" s="67">
        <f>ROUND(+P586*D586,4)</f>
        <v>0</v>
      </c>
      <c r="S586" s="67">
        <f>ROUND(IF(K586=0,0,M586*D586),4)</f>
        <v>0</v>
      </c>
      <c r="T586" s="67">
        <f>ROUND(+IF(K586=0,Q586*D586,0),4)</f>
        <v>0</v>
      </c>
      <c r="U586" s="67">
        <f>ROUND(+N586+R586+S586+T586,4)</f>
        <v>0</v>
      </c>
      <c r="V586" s="67">
        <f>ROUND(IF(P586=0,0,I586-H586-O586)+IF(L586=0,0,I586-H586-K586),4)</f>
        <v>0</v>
      </c>
      <c r="W586" s="67">
        <f>ROUND(+(V586*60%)*D586,4)</f>
        <v>0</v>
      </c>
      <c r="X586" s="148">
        <f>ROUND(+U586+W586,4)</f>
        <v>0</v>
      </c>
      <c r="Y586" s="68"/>
      <c r="Z586" s="148">
        <f>ROUND(IF(X586&gt;I586,X586,I586),4)</f>
        <v>0</v>
      </c>
    </row>
    <row r="587" spans="1:26" x14ac:dyDescent="0.2">
      <c r="A587" s="66"/>
      <c r="B587" s="66"/>
      <c r="C587" s="66"/>
      <c r="D587" s="144"/>
      <c r="E587" s="67"/>
      <c r="F587" s="67"/>
      <c r="G587" s="67"/>
      <c r="H587" s="67">
        <f>ROUND(+E587+G587,4)</f>
        <v>0</v>
      </c>
      <c r="I587" s="67"/>
      <c r="J587" s="67">
        <f>ROUND(+I587-H587,4)</f>
        <v>0</v>
      </c>
      <c r="K587" s="67">
        <f>ROUND(IF(F587="alluminio",0,I587*1.5%),4)</f>
        <v>0</v>
      </c>
      <c r="L587" s="67">
        <f>ROUND(IF(K587&lt;J587,K587,0),4)</f>
        <v>0</v>
      </c>
      <c r="M587" s="67">
        <f>ROUND(IF(J587&gt;K587,0,J587),4)</f>
        <v>0</v>
      </c>
      <c r="N587" s="67">
        <f>ROUND(+L587*D587,4)</f>
        <v>0</v>
      </c>
      <c r="O587" s="67">
        <f>ROUND(IF(F587="rame",0,+I587*3%),4)</f>
        <v>0</v>
      </c>
      <c r="P587" s="67">
        <f>ROUND(IF(O587&lt;J587,O587,0),4)</f>
        <v>0</v>
      </c>
      <c r="Q587" s="67">
        <f>ROUND(IF(J587&gt;O587,0,J587),4)</f>
        <v>0</v>
      </c>
      <c r="R587" s="67">
        <f>ROUND(+P587*D587,4)</f>
        <v>0</v>
      </c>
      <c r="S587" s="67">
        <f>ROUND(IF(K587=0,0,M587*D587),4)</f>
        <v>0</v>
      </c>
      <c r="T587" s="67">
        <f>ROUND(+IF(K587=0,Q587*D587,0),4)</f>
        <v>0</v>
      </c>
      <c r="U587" s="67">
        <f>ROUND(+N587+R587+S587+T587,4)</f>
        <v>0</v>
      </c>
      <c r="V587" s="67">
        <f>ROUND(IF(P587=0,0,I587-H587-O587)+IF(L587=0,0,I587-H587-K587),4)</f>
        <v>0</v>
      </c>
      <c r="W587" s="67">
        <f>ROUND(+(V587*60%)*D587,4)</f>
        <v>0</v>
      </c>
      <c r="X587" s="148">
        <f>ROUND(+U587+W587,4)</f>
        <v>0</v>
      </c>
      <c r="Y587" s="68"/>
      <c r="Z587" s="148">
        <f>ROUND(IF(X587&gt;I587,X587,I587),4)</f>
        <v>0</v>
      </c>
    </row>
    <row r="588" spans="1:26" x14ac:dyDescent="0.2">
      <c r="A588" s="66"/>
      <c r="B588" s="66"/>
      <c r="C588" s="66"/>
      <c r="D588" s="144"/>
      <c r="E588" s="67"/>
      <c r="F588" s="67"/>
      <c r="G588" s="67"/>
      <c r="H588" s="67">
        <f>ROUND(+E588+G588,4)</f>
        <v>0</v>
      </c>
      <c r="I588" s="67"/>
      <c r="J588" s="67">
        <f>ROUND(+I588-H588,4)</f>
        <v>0</v>
      </c>
      <c r="K588" s="67">
        <f>ROUND(IF(F588="alluminio",0,I588*1.5%),4)</f>
        <v>0</v>
      </c>
      <c r="L588" s="67">
        <f>ROUND(IF(K588&lt;J588,K588,0),4)</f>
        <v>0</v>
      </c>
      <c r="M588" s="67">
        <f>ROUND(IF(J588&gt;K588,0,J588),4)</f>
        <v>0</v>
      </c>
      <c r="N588" s="67">
        <f>ROUND(+L588*D588,4)</f>
        <v>0</v>
      </c>
      <c r="O588" s="67">
        <f>ROUND(IF(F588="rame",0,+I588*3%),4)</f>
        <v>0</v>
      </c>
      <c r="P588" s="67">
        <f>ROUND(IF(O588&lt;J588,O588,0),4)</f>
        <v>0</v>
      </c>
      <c r="Q588" s="67">
        <f>ROUND(IF(J588&gt;O588,0,J588),4)</f>
        <v>0</v>
      </c>
      <c r="R588" s="67">
        <f>ROUND(+P588*D588,4)</f>
        <v>0</v>
      </c>
      <c r="S588" s="67">
        <f>ROUND(IF(K588=0,0,M588*D588),4)</f>
        <v>0</v>
      </c>
      <c r="T588" s="67">
        <f>ROUND(+IF(K588=0,Q588*D588,0),4)</f>
        <v>0</v>
      </c>
      <c r="U588" s="67">
        <f>ROUND(+N588+R588+S588+T588,4)</f>
        <v>0</v>
      </c>
      <c r="V588" s="67">
        <f>ROUND(IF(P588=0,0,I588-H588-O588)+IF(L588=0,0,I588-H588-K588),4)</f>
        <v>0</v>
      </c>
      <c r="W588" s="67">
        <f>ROUND(+(V588*60%)*D588,4)</f>
        <v>0</v>
      </c>
      <c r="X588" s="148">
        <f>ROUND(+U588+W588,4)</f>
        <v>0</v>
      </c>
      <c r="Y588" s="68"/>
      <c r="Z588" s="148">
        <f>ROUND(IF(X588&gt;I588,X588,I588),4)</f>
        <v>0</v>
      </c>
    </row>
    <row r="589" spans="1:26" x14ac:dyDescent="0.2">
      <c r="A589" s="66"/>
      <c r="B589" s="66"/>
      <c r="C589" s="66"/>
      <c r="D589" s="144"/>
      <c r="E589" s="67"/>
      <c r="F589" s="67"/>
      <c r="G589" s="67"/>
      <c r="H589" s="67">
        <f>ROUND(+E589+G589,4)</f>
        <v>0</v>
      </c>
      <c r="I589" s="67"/>
      <c r="J589" s="67">
        <f>ROUND(+I589-H589,4)</f>
        <v>0</v>
      </c>
      <c r="K589" s="67">
        <f>ROUND(IF(F589="alluminio",0,I589*1.5%),4)</f>
        <v>0</v>
      </c>
      <c r="L589" s="67">
        <f>ROUND(IF(K589&lt;J589,K589,0),4)</f>
        <v>0</v>
      </c>
      <c r="M589" s="67">
        <f>ROUND(IF(J589&gt;K589,0,J589),4)</f>
        <v>0</v>
      </c>
      <c r="N589" s="67">
        <f>ROUND(+L589*D589,4)</f>
        <v>0</v>
      </c>
      <c r="O589" s="67">
        <f>ROUND(IF(F589="rame",0,+I589*3%),4)</f>
        <v>0</v>
      </c>
      <c r="P589" s="67">
        <f>ROUND(IF(O589&lt;J589,O589,0),4)</f>
        <v>0</v>
      </c>
      <c r="Q589" s="67">
        <f>ROUND(IF(J589&gt;O589,0,J589),4)</f>
        <v>0</v>
      </c>
      <c r="R589" s="67">
        <f>ROUND(+P589*D589,4)</f>
        <v>0</v>
      </c>
      <c r="S589" s="67">
        <f>ROUND(IF(K589=0,0,M589*D589),4)</f>
        <v>0</v>
      </c>
      <c r="T589" s="67">
        <f>ROUND(+IF(K589=0,Q589*D589,0),4)</f>
        <v>0</v>
      </c>
      <c r="U589" s="67">
        <f>ROUND(+N589+R589+S589+T589,4)</f>
        <v>0</v>
      </c>
      <c r="V589" s="67">
        <f>ROUND(IF(P589=0,0,I589-H589-O589)+IF(L589=0,0,I589-H589-K589),4)</f>
        <v>0</v>
      </c>
      <c r="W589" s="67">
        <f>ROUND(+(V589*60%)*D589,4)</f>
        <v>0</v>
      </c>
      <c r="X589" s="148">
        <f>ROUND(+U589+W589,4)</f>
        <v>0</v>
      </c>
      <c r="Y589" s="68"/>
      <c r="Z589" s="148">
        <f>ROUND(IF(X589&gt;I589,X589,I589),4)</f>
        <v>0</v>
      </c>
    </row>
    <row r="590" spans="1:26" x14ac:dyDescent="0.2">
      <c r="A590" s="66"/>
      <c r="B590" s="66"/>
      <c r="C590" s="66"/>
      <c r="D590" s="144"/>
      <c r="E590" s="67"/>
      <c r="F590" s="67"/>
      <c r="G590" s="67"/>
      <c r="H590" s="67">
        <f>ROUND(+E590+G590,4)</f>
        <v>0</v>
      </c>
      <c r="I590" s="67"/>
      <c r="J590" s="67">
        <f>ROUND(+I590-H590,4)</f>
        <v>0</v>
      </c>
      <c r="K590" s="67">
        <f>ROUND(IF(F590="alluminio",0,I590*1.5%),4)</f>
        <v>0</v>
      </c>
      <c r="L590" s="67">
        <f>ROUND(IF(K590&lt;J590,K590,0),4)</f>
        <v>0</v>
      </c>
      <c r="M590" s="67">
        <f>ROUND(IF(J590&gt;K590,0,J590),4)</f>
        <v>0</v>
      </c>
      <c r="N590" s="67">
        <f>ROUND(+L590*D590,4)</f>
        <v>0</v>
      </c>
      <c r="O590" s="67">
        <f>ROUND(IF(F590="rame",0,+I590*3%),4)</f>
        <v>0</v>
      </c>
      <c r="P590" s="67">
        <f>ROUND(IF(O590&lt;J590,O590,0),4)</f>
        <v>0</v>
      </c>
      <c r="Q590" s="67">
        <f>ROUND(IF(J590&gt;O590,0,J590),4)</f>
        <v>0</v>
      </c>
      <c r="R590" s="67">
        <f>ROUND(+P590*D590,4)</f>
        <v>0</v>
      </c>
      <c r="S590" s="67">
        <f>ROUND(IF(K590=0,0,M590*D590),4)</f>
        <v>0</v>
      </c>
      <c r="T590" s="67">
        <f>ROUND(+IF(K590=0,Q590*D590,0),4)</f>
        <v>0</v>
      </c>
      <c r="U590" s="67">
        <f>ROUND(+N590+R590+S590+T590,4)</f>
        <v>0</v>
      </c>
      <c r="V590" s="67">
        <f>ROUND(IF(P590=0,0,I590-H590-O590)+IF(L590=0,0,I590-H590-K590),4)</f>
        <v>0</v>
      </c>
      <c r="W590" s="67">
        <f>ROUND(+(V590*60%)*D590,4)</f>
        <v>0</v>
      </c>
      <c r="X590" s="148">
        <f>ROUND(+U590+W590,4)</f>
        <v>0</v>
      </c>
      <c r="Y590" s="68"/>
      <c r="Z590" s="148">
        <f>ROUND(IF(X590&gt;I590,X590,I590),4)</f>
        <v>0</v>
      </c>
    </row>
    <row r="591" spans="1:26" x14ac:dyDescent="0.2">
      <c r="A591" s="66"/>
      <c r="B591" s="66"/>
      <c r="C591" s="66"/>
      <c r="D591" s="144"/>
      <c r="E591" s="67"/>
      <c r="F591" s="67"/>
      <c r="G591" s="67"/>
      <c r="H591" s="67">
        <f>ROUND(+E591+G591,4)</f>
        <v>0</v>
      </c>
      <c r="I591" s="67"/>
      <c r="J591" s="67">
        <f>ROUND(+I591-H591,4)</f>
        <v>0</v>
      </c>
      <c r="K591" s="67">
        <f>ROUND(IF(F591="alluminio",0,I591*1.5%),4)</f>
        <v>0</v>
      </c>
      <c r="L591" s="67">
        <f>ROUND(IF(K591&lt;J591,K591,0),4)</f>
        <v>0</v>
      </c>
      <c r="M591" s="67">
        <f>ROUND(IF(J591&gt;K591,0,J591),4)</f>
        <v>0</v>
      </c>
      <c r="N591" s="67">
        <f>ROUND(+L591*D591,4)</f>
        <v>0</v>
      </c>
      <c r="O591" s="67">
        <f>ROUND(IF(F591="rame",0,+I591*3%),4)</f>
        <v>0</v>
      </c>
      <c r="P591" s="67">
        <f>ROUND(IF(O591&lt;J591,O591,0),4)</f>
        <v>0</v>
      </c>
      <c r="Q591" s="67">
        <f>ROUND(IF(J591&gt;O591,0,J591),4)</f>
        <v>0</v>
      </c>
      <c r="R591" s="67">
        <f>ROUND(+P591*D591,4)</f>
        <v>0</v>
      </c>
      <c r="S591" s="67">
        <f>ROUND(IF(K591=0,0,M591*D591),4)</f>
        <v>0</v>
      </c>
      <c r="T591" s="67">
        <f>ROUND(+IF(K591=0,Q591*D591,0),4)</f>
        <v>0</v>
      </c>
      <c r="U591" s="67">
        <f>ROUND(+N591+R591+S591+T591,4)</f>
        <v>0</v>
      </c>
      <c r="V591" s="67">
        <f>ROUND(IF(P591=0,0,I591-H591-O591)+IF(L591=0,0,I591-H591-K591),4)</f>
        <v>0</v>
      </c>
      <c r="W591" s="67">
        <f>ROUND(+(V591*60%)*D591,4)</f>
        <v>0</v>
      </c>
      <c r="X591" s="148">
        <f>ROUND(+U591+W591,4)</f>
        <v>0</v>
      </c>
      <c r="Y591" s="68"/>
      <c r="Z591" s="148">
        <f>ROUND(IF(X591&gt;I591,X591,I591),4)</f>
        <v>0</v>
      </c>
    </row>
    <row r="592" spans="1:26" x14ac:dyDescent="0.2">
      <c r="A592" s="66"/>
      <c r="B592" s="66"/>
      <c r="C592" s="66"/>
      <c r="D592" s="144"/>
      <c r="E592" s="67"/>
      <c r="F592" s="67"/>
      <c r="G592" s="67"/>
      <c r="H592" s="67">
        <f>ROUND(+E592+G592,4)</f>
        <v>0</v>
      </c>
      <c r="I592" s="67"/>
      <c r="J592" s="67">
        <f>ROUND(+I592-H592,4)</f>
        <v>0</v>
      </c>
      <c r="K592" s="67">
        <f>ROUND(IF(F592="alluminio",0,I592*1.5%),4)</f>
        <v>0</v>
      </c>
      <c r="L592" s="67">
        <f>ROUND(IF(K592&lt;J592,K592,0),4)</f>
        <v>0</v>
      </c>
      <c r="M592" s="67">
        <f>ROUND(IF(J592&gt;K592,0,J592),4)</f>
        <v>0</v>
      </c>
      <c r="N592" s="67">
        <f>ROUND(+L592*D592,4)</f>
        <v>0</v>
      </c>
      <c r="O592" s="67">
        <f>ROUND(IF(F592="rame",0,+I592*3%),4)</f>
        <v>0</v>
      </c>
      <c r="P592" s="67">
        <f>ROUND(IF(O592&lt;J592,O592,0),4)</f>
        <v>0</v>
      </c>
      <c r="Q592" s="67">
        <f>ROUND(IF(J592&gt;O592,0,J592),4)</f>
        <v>0</v>
      </c>
      <c r="R592" s="67">
        <f>ROUND(+P592*D592,4)</f>
        <v>0</v>
      </c>
      <c r="S592" s="67">
        <f>ROUND(IF(K592=0,0,M592*D592),4)</f>
        <v>0</v>
      </c>
      <c r="T592" s="67">
        <f>ROUND(+IF(K592=0,Q592*D592,0),4)</f>
        <v>0</v>
      </c>
      <c r="U592" s="67">
        <f>ROUND(+N592+R592+S592+T592,4)</f>
        <v>0</v>
      </c>
      <c r="V592" s="67">
        <f>ROUND(IF(P592=0,0,I592-H592-O592)+IF(L592=0,0,I592-H592-K592),4)</f>
        <v>0</v>
      </c>
      <c r="W592" s="67">
        <f>ROUND(+(V592*60%)*D592,4)</f>
        <v>0</v>
      </c>
      <c r="X592" s="148">
        <f>ROUND(+U592+W592,4)</f>
        <v>0</v>
      </c>
      <c r="Y592" s="68"/>
      <c r="Z592" s="148">
        <f>ROUND(IF(X592&gt;I592,X592,I592),4)</f>
        <v>0</v>
      </c>
    </row>
    <row r="593" spans="1:26" x14ac:dyDescent="0.2">
      <c r="A593" s="66"/>
      <c r="B593" s="66"/>
      <c r="C593" s="66"/>
      <c r="D593" s="144"/>
      <c r="E593" s="67"/>
      <c r="F593" s="67"/>
      <c r="G593" s="67"/>
      <c r="H593" s="67">
        <f>ROUND(+E593+G593,4)</f>
        <v>0</v>
      </c>
      <c r="I593" s="67"/>
      <c r="J593" s="67">
        <f>ROUND(+I593-H593,4)</f>
        <v>0</v>
      </c>
      <c r="K593" s="67">
        <f>ROUND(IF(F593="alluminio",0,I593*1.5%),4)</f>
        <v>0</v>
      </c>
      <c r="L593" s="67">
        <f>ROUND(IF(K593&lt;J593,K593,0),4)</f>
        <v>0</v>
      </c>
      <c r="M593" s="67">
        <f>ROUND(IF(J593&gt;K593,0,J593),4)</f>
        <v>0</v>
      </c>
      <c r="N593" s="67">
        <f>ROUND(+L593*D593,4)</f>
        <v>0</v>
      </c>
      <c r="O593" s="67">
        <f>ROUND(IF(F593="rame",0,+I593*3%),4)</f>
        <v>0</v>
      </c>
      <c r="P593" s="67">
        <f>ROUND(IF(O593&lt;J593,O593,0),4)</f>
        <v>0</v>
      </c>
      <c r="Q593" s="67">
        <f>ROUND(IF(J593&gt;O593,0,J593),4)</f>
        <v>0</v>
      </c>
      <c r="R593" s="67">
        <f>ROUND(+P593*D593,4)</f>
        <v>0</v>
      </c>
      <c r="S593" s="67">
        <f>ROUND(IF(K593=0,0,M593*D593),4)</f>
        <v>0</v>
      </c>
      <c r="T593" s="67">
        <f>ROUND(+IF(K593=0,Q593*D593,0),4)</f>
        <v>0</v>
      </c>
      <c r="U593" s="67">
        <f>ROUND(+N593+R593+S593+T593,4)</f>
        <v>0</v>
      </c>
      <c r="V593" s="67">
        <f>ROUND(IF(P593=0,0,I593-H593-O593)+IF(L593=0,0,I593-H593-K593),4)</f>
        <v>0</v>
      </c>
      <c r="W593" s="67">
        <f>ROUND(+(V593*60%)*D593,4)</f>
        <v>0</v>
      </c>
      <c r="X593" s="148">
        <f>ROUND(+U593+W593,4)</f>
        <v>0</v>
      </c>
      <c r="Y593" s="68"/>
      <c r="Z593" s="148">
        <f>ROUND(IF(X593&gt;I593,X593,I593),4)</f>
        <v>0</v>
      </c>
    </row>
    <row r="594" spans="1:26" x14ac:dyDescent="0.2">
      <c r="A594" s="66"/>
      <c r="B594" s="66"/>
      <c r="C594" s="66"/>
      <c r="D594" s="144"/>
      <c r="E594" s="67"/>
      <c r="F594" s="67"/>
      <c r="G594" s="67"/>
      <c r="H594" s="67">
        <f>ROUND(+E594+G594,4)</f>
        <v>0</v>
      </c>
      <c r="I594" s="67"/>
      <c r="J594" s="67">
        <f>ROUND(+I594-H594,4)</f>
        <v>0</v>
      </c>
      <c r="K594" s="67">
        <f>ROUND(IF(F594="alluminio",0,I594*1.5%),4)</f>
        <v>0</v>
      </c>
      <c r="L594" s="67">
        <f>ROUND(IF(K594&lt;J594,K594,0),4)</f>
        <v>0</v>
      </c>
      <c r="M594" s="67">
        <f>ROUND(IF(J594&gt;K594,0,J594),4)</f>
        <v>0</v>
      </c>
      <c r="N594" s="67">
        <f>ROUND(+L594*D594,4)</f>
        <v>0</v>
      </c>
      <c r="O594" s="67">
        <f>ROUND(IF(F594="rame",0,+I594*3%),4)</f>
        <v>0</v>
      </c>
      <c r="P594" s="67">
        <f>ROUND(IF(O594&lt;J594,O594,0),4)</f>
        <v>0</v>
      </c>
      <c r="Q594" s="67">
        <f>ROUND(IF(J594&gt;O594,0,J594),4)</f>
        <v>0</v>
      </c>
      <c r="R594" s="67">
        <f>ROUND(+P594*D594,4)</f>
        <v>0</v>
      </c>
      <c r="S594" s="67">
        <f>ROUND(IF(K594=0,0,M594*D594),4)</f>
        <v>0</v>
      </c>
      <c r="T594" s="67">
        <f>ROUND(+IF(K594=0,Q594*D594,0),4)</f>
        <v>0</v>
      </c>
      <c r="U594" s="67">
        <f>ROUND(+N594+R594+S594+T594,4)</f>
        <v>0</v>
      </c>
      <c r="V594" s="67">
        <f>ROUND(IF(P594=0,0,I594-H594-O594)+IF(L594=0,0,I594-H594-K594),4)</f>
        <v>0</v>
      </c>
      <c r="W594" s="67">
        <f>ROUND(+(V594*60%)*D594,4)</f>
        <v>0</v>
      </c>
      <c r="X594" s="148">
        <f>ROUND(+U594+W594,4)</f>
        <v>0</v>
      </c>
      <c r="Y594" s="68"/>
      <c r="Z594" s="148">
        <f>ROUND(IF(X594&gt;I594,X594,I594),4)</f>
        <v>0</v>
      </c>
    </row>
    <row r="595" spans="1:26" x14ac:dyDescent="0.2">
      <c r="A595" s="66"/>
      <c r="B595" s="66"/>
      <c r="C595" s="66"/>
      <c r="D595" s="144"/>
      <c r="E595" s="67"/>
      <c r="F595" s="67"/>
      <c r="G595" s="67"/>
      <c r="H595" s="67">
        <f>ROUND(+E595+G595,4)</f>
        <v>0</v>
      </c>
      <c r="I595" s="67"/>
      <c r="J595" s="67">
        <f>ROUND(+I595-H595,4)</f>
        <v>0</v>
      </c>
      <c r="K595" s="67">
        <f>ROUND(IF(F595="alluminio",0,I595*1.5%),4)</f>
        <v>0</v>
      </c>
      <c r="L595" s="67">
        <f>ROUND(IF(K595&lt;J595,K595,0),4)</f>
        <v>0</v>
      </c>
      <c r="M595" s="67">
        <f>ROUND(IF(J595&gt;K595,0,J595),4)</f>
        <v>0</v>
      </c>
      <c r="N595" s="67">
        <f>ROUND(+L595*D595,4)</f>
        <v>0</v>
      </c>
      <c r="O595" s="67">
        <f>ROUND(IF(F595="rame",0,+I595*3%),4)</f>
        <v>0</v>
      </c>
      <c r="P595" s="67">
        <f>ROUND(IF(O595&lt;J595,O595,0),4)</f>
        <v>0</v>
      </c>
      <c r="Q595" s="67">
        <f>ROUND(IF(J595&gt;O595,0,J595),4)</f>
        <v>0</v>
      </c>
      <c r="R595" s="67">
        <f>ROUND(+P595*D595,4)</f>
        <v>0</v>
      </c>
      <c r="S595" s="67">
        <f>ROUND(IF(K595=0,0,M595*D595),4)</f>
        <v>0</v>
      </c>
      <c r="T595" s="67">
        <f>ROUND(+IF(K595=0,Q595*D595,0),4)</f>
        <v>0</v>
      </c>
      <c r="U595" s="67">
        <f>ROUND(+N595+R595+S595+T595,4)</f>
        <v>0</v>
      </c>
      <c r="V595" s="67">
        <f>ROUND(IF(P595=0,0,I595-H595-O595)+IF(L595=0,0,I595-H595-K595),4)</f>
        <v>0</v>
      </c>
      <c r="W595" s="67">
        <f>ROUND(+(V595*60%)*D595,4)</f>
        <v>0</v>
      </c>
      <c r="X595" s="148">
        <f>ROUND(+U595+W595,4)</f>
        <v>0</v>
      </c>
      <c r="Y595" s="68"/>
      <c r="Z595" s="148">
        <f>ROUND(IF(X595&gt;I595,X595,I595),4)</f>
        <v>0</v>
      </c>
    </row>
    <row r="596" spans="1:26" x14ac:dyDescent="0.2">
      <c r="A596" s="66"/>
      <c r="B596" s="66"/>
      <c r="C596" s="66"/>
      <c r="D596" s="144"/>
      <c r="E596" s="67"/>
      <c r="F596" s="67"/>
      <c r="G596" s="67"/>
      <c r="H596" s="67">
        <f>ROUND(+E596+G596,4)</f>
        <v>0</v>
      </c>
      <c r="I596" s="67"/>
      <c r="J596" s="67">
        <f>ROUND(+I596-H596,4)</f>
        <v>0</v>
      </c>
      <c r="K596" s="67">
        <f>ROUND(IF(F596="alluminio",0,I596*1.5%),4)</f>
        <v>0</v>
      </c>
      <c r="L596" s="67">
        <f>ROUND(IF(K596&lt;J596,K596,0),4)</f>
        <v>0</v>
      </c>
      <c r="M596" s="67">
        <f>ROUND(IF(J596&gt;K596,0,J596),4)</f>
        <v>0</v>
      </c>
      <c r="N596" s="67">
        <f>ROUND(+L596*D596,4)</f>
        <v>0</v>
      </c>
      <c r="O596" s="67">
        <f>ROUND(IF(F596="rame",0,+I596*3%),4)</f>
        <v>0</v>
      </c>
      <c r="P596" s="67">
        <f>ROUND(IF(O596&lt;J596,O596,0),4)</f>
        <v>0</v>
      </c>
      <c r="Q596" s="67">
        <f>ROUND(IF(J596&gt;O596,0,J596),4)</f>
        <v>0</v>
      </c>
      <c r="R596" s="67">
        <f>ROUND(+P596*D596,4)</f>
        <v>0</v>
      </c>
      <c r="S596" s="67">
        <f>ROUND(IF(K596=0,0,M596*D596),4)</f>
        <v>0</v>
      </c>
      <c r="T596" s="67">
        <f>ROUND(+IF(K596=0,Q596*D596,0),4)</f>
        <v>0</v>
      </c>
      <c r="U596" s="67">
        <f>ROUND(+N596+R596+S596+T596,4)</f>
        <v>0</v>
      </c>
      <c r="V596" s="67">
        <f>ROUND(IF(P596=0,0,I596-H596-O596)+IF(L596=0,0,I596-H596-K596),4)</f>
        <v>0</v>
      </c>
      <c r="W596" s="67">
        <f>ROUND(+(V596*60%)*D596,4)</f>
        <v>0</v>
      </c>
      <c r="X596" s="148">
        <f>ROUND(+U596+W596,4)</f>
        <v>0</v>
      </c>
      <c r="Y596" s="68"/>
      <c r="Z596" s="148">
        <f>ROUND(IF(X596&gt;I596,X596,I596),4)</f>
        <v>0</v>
      </c>
    </row>
    <row r="597" spans="1:26" x14ac:dyDescent="0.2">
      <c r="A597" s="66"/>
      <c r="B597" s="66"/>
      <c r="C597" s="66"/>
      <c r="D597" s="144"/>
      <c r="E597" s="67"/>
      <c r="F597" s="67"/>
      <c r="G597" s="67"/>
      <c r="H597" s="67">
        <f>ROUND(+E597+G597,4)</f>
        <v>0</v>
      </c>
      <c r="I597" s="67"/>
      <c r="J597" s="67">
        <f>ROUND(+I597-H597,4)</f>
        <v>0</v>
      </c>
      <c r="K597" s="67">
        <f>ROUND(IF(F597="alluminio",0,I597*1.5%),4)</f>
        <v>0</v>
      </c>
      <c r="L597" s="67">
        <f>ROUND(IF(K597&lt;J597,K597,0),4)</f>
        <v>0</v>
      </c>
      <c r="M597" s="67">
        <f>ROUND(IF(J597&gt;K597,0,J597),4)</f>
        <v>0</v>
      </c>
      <c r="N597" s="67">
        <f>ROUND(+L597*D597,4)</f>
        <v>0</v>
      </c>
      <c r="O597" s="67">
        <f>ROUND(IF(F597="rame",0,+I597*3%),4)</f>
        <v>0</v>
      </c>
      <c r="P597" s="67">
        <f>ROUND(IF(O597&lt;J597,O597,0),4)</f>
        <v>0</v>
      </c>
      <c r="Q597" s="67">
        <f>ROUND(IF(J597&gt;O597,0,J597),4)</f>
        <v>0</v>
      </c>
      <c r="R597" s="67">
        <f>ROUND(+P597*D597,4)</f>
        <v>0</v>
      </c>
      <c r="S597" s="67">
        <f>ROUND(IF(K597=0,0,M597*D597),4)</f>
        <v>0</v>
      </c>
      <c r="T597" s="67">
        <f>ROUND(+IF(K597=0,Q597*D597,0),4)</f>
        <v>0</v>
      </c>
      <c r="U597" s="67">
        <f>ROUND(+N597+R597+S597+T597,4)</f>
        <v>0</v>
      </c>
      <c r="V597" s="67">
        <f>ROUND(IF(P597=0,0,I597-H597-O597)+IF(L597=0,0,I597-H597-K597),4)</f>
        <v>0</v>
      </c>
      <c r="W597" s="67">
        <f>ROUND(+(V597*60%)*D597,4)</f>
        <v>0</v>
      </c>
      <c r="X597" s="148">
        <f>ROUND(+U597+W597,4)</f>
        <v>0</v>
      </c>
      <c r="Y597" s="68"/>
      <c r="Z597" s="148">
        <f>ROUND(IF(X597&gt;I597,X597,I597),4)</f>
        <v>0</v>
      </c>
    </row>
    <row r="598" spans="1:26" x14ac:dyDescent="0.2">
      <c r="A598" s="66"/>
      <c r="B598" s="66"/>
      <c r="C598" s="66"/>
      <c r="D598" s="144"/>
      <c r="E598" s="67"/>
      <c r="F598" s="67"/>
      <c r="G598" s="67"/>
      <c r="H598" s="67">
        <f>ROUND(+E598+G598,4)</f>
        <v>0</v>
      </c>
      <c r="I598" s="67"/>
      <c r="J598" s="67">
        <f>ROUND(+I598-H598,4)</f>
        <v>0</v>
      </c>
      <c r="K598" s="67">
        <f>ROUND(IF(F598="alluminio",0,I598*1.5%),4)</f>
        <v>0</v>
      </c>
      <c r="L598" s="67">
        <f>ROUND(IF(K598&lt;J598,K598,0),4)</f>
        <v>0</v>
      </c>
      <c r="M598" s="67">
        <f>ROUND(IF(J598&gt;K598,0,J598),4)</f>
        <v>0</v>
      </c>
      <c r="N598" s="67">
        <f>ROUND(+L598*D598,4)</f>
        <v>0</v>
      </c>
      <c r="O598" s="67">
        <f>ROUND(IF(F598="rame",0,+I598*3%),4)</f>
        <v>0</v>
      </c>
      <c r="P598" s="67">
        <f>ROUND(IF(O598&lt;J598,O598,0),4)</f>
        <v>0</v>
      </c>
      <c r="Q598" s="67">
        <f>ROUND(IF(J598&gt;O598,0,J598),4)</f>
        <v>0</v>
      </c>
      <c r="R598" s="67">
        <f>ROUND(+P598*D598,4)</f>
        <v>0</v>
      </c>
      <c r="S598" s="67">
        <f>ROUND(IF(K598=0,0,M598*D598),4)</f>
        <v>0</v>
      </c>
      <c r="T598" s="67">
        <f>ROUND(+IF(K598=0,Q598*D598,0),4)</f>
        <v>0</v>
      </c>
      <c r="U598" s="67">
        <f>ROUND(+N598+R598+S598+T598,4)</f>
        <v>0</v>
      </c>
      <c r="V598" s="67">
        <f>ROUND(IF(P598=0,0,I598-H598-O598)+IF(L598=0,0,I598-H598-K598),4)</f>
        <v>0</v>
      </c>
      <c r="W598" s="67">
        <f>ROUND(+(V598*60%)*D598,4)</f>
        <v>0</v>
      </c>
      <c r="X598" s="148">
        <f>ROUND(+U598+W598,4)</f>
        <v>0</v>
      </c>
      <c r="Y598" s="68"/>
      <c r="Z598" s="148">
        <f>ROUND(IF(X598&gt;I598,X598,I598),4)</f>
        <v>0</v>
      </c>
    </row>
    <row r="599" spans="1:26" x14ac:dyDescent="0.2">
      <c r="A599" s="66"/>
      <c r="B599" s="66"/>
      <c r="C599" s="66"/>
      <c r="D599" s="144"/>
      <c r="E599" s="67"/>
      <c r="F599" s="67"/>
      <c r="G599" s="67"/>
      <c r="H599" s="67">
        <f>ROUND(+E599+G599,4)</f>
        <v>0</v>
      </c>
      <c r="I599" s="67"/>
      <c r="J599" s="67">
        <f>ROUND(+I599-H599,4)</f>
        <v>0</v>
      </c>
      <c r="K599" s="67">
        <f>ROUND(IF(F599="alluminio",0,I599*1.5%),4)</f>
        <v>0</v>
      </c>
      <c r="L599" s="67">
        <f>ROUND(IF(K599&lt;J599,K599,0),4)</f>
        <v>0</v>
      </c>
      <c r="M599" s="67">
        <f>ROUND(IF(J599&gt;K599,0,J599),4)</f>
        <v>0</v>
      </c>
      <c r="N599" s="67">
        <f>ROUND(+L599*D599,4)</f>
        <v>0</v>
      </c>
      <c r="O599" s="67">
        <f>ROUND(IF(F599="rame",0,+I599*3%),4)</f>
        <v>0</v>
      </c>
      <c r="P599" s="67">
        <f>ROUND(IF(O599&lt;J599,O599,0),4)</f>
        <v>0</v>
      </c>
      <c r="Q599" s="67">
        <f>ROUND(IF(J599&gt;O599,0,J599),4)</f>
        <v>0</v>
      </c>
      <c r="R599" s="67">
        <f>ROUND(+P599*D599,4)</f>
        <v>0</v>
      </c>
      <c r="S599" s="67">
        <f>ROUND(IF(K599=0,0,M599*D599),4)</f>
        <v>0</v>
      </c>
      <c r="T599" s="67">
        <f>ROUND(+IF(K599=0,Q599*D599,0),4)</f>
        <v>0</v>
      </c>
      <c r="U599" s="67">
        <f>ROUND(+N599+R599+S599+T599,4)</f>
        <v>0</v>
      </c>
      <c r="V599" s="67">
        <f>ROUND(IF(P599=0,0,I599-H599-O599)+IF(L599=0,0,I599-H599-K599),4)</f>
        <v>0</v>
      </c>
      <c r="W599" s="67">
        <f>ROUND(+(V599*60%)*D599,4)</f>
        <v>0</v>
      </c>
      <c r="X599" s="148">
        <f>ROUND(+U599+W599,4)</f>
        <v>0</v>
      </c>
      <c r="Y599" s="68"/>
      <c r="Z599" s="148">
        <f>ROUND(IF(X599&gt;I599,X599,I599),4)</f>
        <v>0</v>
      </c>
    </row>
    <row r="600" spans="1:26" x14ac:dyDescent="0.2">
      <c r="A600" s="66"/>
      <c r="B600" s="66"/>
      <c r="C600" s="66"/>
      <c r="D600" s="144"/>
      <c r="E600" s="67"/>
      <c r="F600" s="67"/>
      <c r="G600" s="67"/>
      <c r="H600" s="67">
        <f>ROUND(+E600+G600,4)</f>
        <v>0</v>
      </c>
      <c r="I600" s="67"/>
      <c r="J600" s="67">
        <f>ROUND(+I600-H600,4)</f>
        <v>0</v>
      </c>
      <c r="K600" s="67">
        <f>ROUND(IF(F600="alluminio",0,I600*1.5%),4)</f>
        <v>0</v>
      </c>
      <c r="L600" s="67">
        <f>ROUND(IF(K600&lt;J600,K600,0),4)</f>
        <v>0</v>
      </c>
      <c r="M600" s="67">
        <f>ROUND(IF(J600&gt;K600,0,J600),4)</f>
        <v>0</v>
      </c>
      <c r="N600" s="67">
        <f>ROUND(+L600*D600,4)</f>
        <v>0</v>
      </c>
      <c r="O600" s="67">
        <f>ROUND(IF(F600="rame",0,+I600*3%),4)</f>
        <v>0</v>
      </c>
      <c r="P600" s="67">
        <f>ROUND(IF(O600&lt;J600,O600,0),4)</f>
        <v>0</v>
      </c>
      <c r="Q600" s="67">
        <f>ROUND(IF(J600&gt;O600,0,J600),4)</f>
        <v>0</v>
      </c>
      <c r="R600" s="67">
        <f>ROUND(+P600*D600,4)</f>
        <v>0</v>
      </c>
      <c r="S600" s="67">
        <f>ROUND(IF(K600=0,0,M600*D600),4)</f>
        <v>0</v>
      </c>
      <c r="T600" s="67">
        <f>ROUND(+IF(K600=0,Q600*D600,0),4)</f>
        <v>0</v>
      </c>
      <c r="U600" s="67">
        <f>ROUND(+N600+R600+S600+T600,4)</f>
        <v>0</v>
      </c>
      <c r="V600" s="67">
        <f>ROUND(IF(P600=0,0,I600-H600-O600)+IF(L600=0,0,I600-H600-K600),4)</f>
        <v>0</v>
      </c>
      <c r="W600" s="67">
        <f>ROUND(+(V600*60%)*D600,4)</f>
        <v>0</v>
      </c>
      <c r="X600" s="148">
        <f>ROUND(+U600+W600,4)</f>
        <v>0</v>
      </c>
      <c r="Y600" s="68"/>
      <c r="Z600" s="148">
        <f>ROUND(IF(X600&gt;I600,X600,I600),4)</f>
        <v>0</v>
      </c>
    </row>
    <row r="601" spans="1:26" x14ac:dyDescent="0.2">
      <c r="A601" s="66"/>
      <c r="B601" s="66"/>
      <c r="C601" s="66"/>
      <c r="D601" s="144"/>
      <c r="E601" s="67"/>
      <c r="F601" s="67"/>
      <c r="G601" s="67"/>
      <c r="H601" s="67">
        <f>ROUND(+E601+G601,4)</f>
        <v>0</v>
      </c>
      <c r="I601" s="67"/>
      <c r="J601" s="67">
        <f>ROUND(+I601-H601,4)</f>
        <v>0</v>
      </c>
      <c r="K601" s="67">
        <f>ROUND(IF(F601="alluminio",0,I601*1.5%),4)</f>
        <v>0</v>
      </c>
      <c r="L601" s="67">
        <f>ROUND(IF(K601&lt;J601,K601,0),4)</f>
        <v>0</v>
      </c>
      <c r="M601" s="67">
        <f>ROUND(IF(J601&gt;K601,0,J601),4)</f>
        <v>0</v>
      </c>
      <c r="N601" s="67">
        <f>ROUND(+L601*D601,4)</f>
        <v>0</v>
      </c>
      <c r="O601" s="67">
        <f>ROUND(IF(F601="rame",0,+I601*3%),4)</f>
        <v>0</v>
      </c>
      <c r="P601" s="67">
        <f>ROUND(IF(O601&lt;J601,O601,0),4)</f>
        <v>0</v>
      </c>
      <c r="Q601" s="67">
        <f>ROUND(IF(J601&gt;O601,0,J601),4)</f>
        <v>0</v>
      </c>
      <c r="R601" s="67">
        <f>ROUND(+P601*D601,4)</f>
        <v>0</v>
      </c>
      <c r="S601" s="67">
        <f>ROUND(IF(K601=0,0,M601*D601),4)</f>
        <v>0</v>
      </c>
      <c r="T601" s="67">
        <f>ROUND(+IF(K601=0,Q601*D601,0),4)</f>
        <v>0</v>
      </c>
      <c r="U601" s="67">
        <f>ROUND(+N601+R601+S601+T601,4)</f>
        <v>0</v>
      </c>
      <c r="V601" s="67">
        <f>ROUND(IF(P601=0,0,I601-H601-O601)+IF(L601=0,0,I601-H601-K601),4)</f>
        <v>0</v>
      </c>
      <c r="W601" s="67">
        <f>ROUND(+(V601*60%)*D601,4)</f>
        <v>0</v>
      </c>
      <c r="X601" s="148">
        <f>ROUND(+U601+W601,4)</f>
        <v>0</v>
      </c>
      <c r="Y601" s="68"/>
      <c r="Z601" s="148">
        <f>ROUND(IF(X601&gt;I601,X601,I601),4)</f>
        <v>0</v>
      </c>
    </row>
    <row r="602" spans="1:26" x14ac:dyDescent="0.2">
      <c r="A602" s="66"/>
      <c r="B602" s="66"/>
      <c r="C602" s="66"/>
      <c r="D602" s="144"/>
      <c r="E602" s="67"/>
      <c r="F602" s="67"/>
      <c r="G602" s="67"/>
      <c r="H602" s="67">
        <f>ROUND(+E602+G602,4)</f>
        <v>0</v>
      </c>
      <c r="I602" s="67"/>
      <c r="J602" s="67">
        <f>ROUND(+I602-H602,4)</f>
        <v>0</v>
      </c>
      <c r="K602" s="67">
        <f>ROUND(IF(F602="alluminio",0,I602*1.5%),4)</f>
        <v>0</v>
      </c>
      <c r="L602" s="67">
        <f>ROUND(IF(K602&lt;J602,K602,0),4)</f>
        <v>0</v>
      </c>
      <c r="M602" s="67">
        <f>ROUND(IF(J602&gt;K602,0,J602),4)</f>
        <v>0</v>
      </c>
      <c r="N602" s="67">
        <f>ROUND(+L602*D602,4)</f>
        <v>0</v>
      </c>
      <c r="O602" s="67">
        <f>ROUND(IF(F602="rame",0,+I602*3%),4)</f>
        <v>0</v>
      </c>
      <c r="P602" s="67">
        <f>ROUND(IF(O602&lt;J602,O602,0),4)</f>
        <v>0</v>
      </c>
      <c r="Q602" s="67">
        <f>ROUND(IF(J602&gt;O602,0,J602),4)</f>
        <v>0</v>
      </c>
      <c r="R602" s="67">
        <f>ROUND(+P602*D602,4)</f>
        <v>0</v>
      </c>
      <c r="S602" s="67">
        <f>ROUND(IF(K602=0,0,M602*D602),4)</f>
        <v>0</v>
      </c>
      <c r="T602" s="67">
        <f>ROUND(+IF(K602=0,Q602*D602,0),4)</f>
        <v>0</v>
      </c>
      <c r="U602" s="67">
        <f>ROUND(+N602+R602+S602+T602,4)</f>
        <v>0</v>
      </c>
      <c r="V602" s="67">
        <f>ROUND(IF(P602=0,0,I602-H602-O602)+IF(L602=0,0,I602-H602-K602),4)</f>
        <v>0</v>
      </c>
      <c r="W602" s="67">
        <f>ROUND(+(V602*60%)*D602,4)</f>
        <v>0</v>
      </c>
      <c r="X602" s="148">
        <f>ROUND(+U602+W602,4)</f>
        <v>0</v>
      </c>
      <c r="Y602" s="68"/>
      <c r="Z602" s="148">
        <f>ROUND(IF(X602&gt;I602,X602,I602),4)</f>
        <v>0</v>
      </c>
    </row>
    <row r="603" spans="1:26" x14ac:dyDescent="0.2">
      <c r="A603" s="66"/>
      <c r="B603" s="66"/>
      <c r="C603" s="66"/>
      <c r="D603" s="144"/>
      <c r="E603" s="67"/>
      <c r="F603" s="67"/>
      <c r="G603" s="67"/>
      <c r="H603" s="67">
        <f>ROUND(+E603+G603,4)</f>
        <v>0</v>
      </c>
      <c r="I603" s="67"/>
      <c r="J603" s="67">
        <f>ROUND(+I603-H603,4)</f>
        <v>0</v>
      </c>
      <c r="K603" s="67">
        <f>ROUND(IF(F603="alluminio",0,I603*1.5%),4)</f>
        <v>0</v>
      </c>
      <c r="L603" s="67">
        <f>ROUND(IF(K603&lt;J603,K603,0),4)</f>
        <v>0</v>
      </c>
      <c r="M603" s="67">
        <f>ROUND(IF(J603&gt;K603,0,J603),4)</f>
        <v>0</v>
      </c>
      <c r="N603" s="67">
        <f>ROUND(+L603*D603,4)</f>
        <v>0</v>
      </c>
      <c r="O603" s="67">
        <f>ROUND(IF(F603="rame",0,+I603*3%),4)</f>
        <v>0</v>
      </c>
      <c r="P603" s="67">
        <f>ROUND(IF(O603&lt;J603,O603,0),4)</f>
        <v>0</v>
      </c>
      <c r="Q603" s="67">
        <f>ROUND(IF(J603&gt;O603,0,J603),4)</f>
        <v>0</v>
      </c>
      <c r="R603" s="67">
        <f>ROUND(+P603*D603,4)</f>
        <v>0</v>
      </c>
      <c r="S603" s="67">
        <f>ROUND(IF(K603=0,0,M603*D603),4)</f>
        <v>0</v>
      </c>
      <c r="T603" s="67">
        <f>ROUND(+IF(K603=0,Q603*D603,0),4)</f>
        <v>0</v>
      </c>
      <c r="U603" s="67">
        <f>ROUND(+N603+R603+S603+T603,4)</f>
        <v>0</v>
      </c>
      <c r="V603" s="67">
        <f>ROUND(IF(P603=0,0,I603-H603-O603)+IF(L603=0,0,I603-H603-K603),4)</f>
        <v>0</v>
      </c>
      <c r="W603" s="67">
        <f>ROUND(+(V603*60%)*D603,4)</f>
        <v>0</v>
      </c>
      <c r="X603" s="148">
        <f>ROUND(+U603+W603,4)</f>
        <v>0</v>
      </c>
      <c r="Y603" s="68"/>
      <c r="Z603" s="148">
        <f>ROUND(IF(X603&gt;I603,X603,I603),4)</f>
        <v>0</v>
      </c>
    </row>
    <row r="604" spans="1:26" x14ac:dyDescent="0.2">
      <c r="A604" s="66"/>
      <c r="B604" s="66"/>
      <c r="C604" s="66"/>
      <c r="D604" s="144"/>
      <c r="E604" s="67"/>
      <c r="F604" s="67"/>
      <c r="G604" s="67"/>
      <c r="H604" s="67">
        <f>ROUND(+E604+G604,4)</f>
        <v>0</v>
      </c>
      <c r="I604" s="67"/>
      <c r="J604" s="67">
        <f>ROUND(+I604-H604,4)</f>
        <v>0</v>
      </c>
      <c r="K604" s="67">
        <f>ROUND(IF(F604="alluminio",0,I604*1.5%),4)</f>
        <v>0</v>
      </c>
      <c r="L604" s="67">
        <f>ROUND(IF(K604&lt;J604,K604,0),4)</f>
        <v>0</v>
      </c>
      <c r="M604" s="67">
        <f>ROUND(IF(J604&gt;K604,0,J604),4)</f>
        <v>0</v>
      </c>
      <c r="N604" s="67">
        <f>ROUND(+L604*D604,4)</f>
        <v>0</v>
      </c>
      <c r="O604" s="67">
        <f>ROUND(IF(F604="rame",0,+I604*3%),4)</f>
        <v>0</v>
      </c>
      <c r="P604" s="67">
        <f>ROUND(IF(O604&lt;J604,O604,0),4)</f>
        <v>0</v>
      </c>
      <c r="Q604" s="67">
        <f>ROUND(IF(J604&gt;O604,0,J604),4)</f>
        <v>0</v>
      </c>
      <c r="R604" s="67">
        <f>ROUND(+P604*D604,4)</f>
        <v>0</v>
      </c>
      <c r="S604" s="67">
        <f>ROUND(IF(K604=0,0,M604*D604),4)</f>
        <v>0</v>
      </c>
      <c r="T604" s="67">
        <f>ROUND(+IF(K604=0,Q604*D604,0),4)</f>
        <v>0</v>
      </c>
      <c r="U604" s="67">
        <f>ROUND(+N604+R604+S604+T604,4)</f>
        <v>0</v>
      </c>
      <c r="V604" s="67">
        <f>ROUND(IF(P604=0,0,I604-H604-O604)+IF(L604=0,0,I604-H604-K604),4)</f>
        <v>0</v>
      </c>
      <c r="W604" s="67">
        <f>ROUND(+(V604*60%)*D604,4)</f>
        <v>0</v>
      </c>
      <c r="X604" s="148">
        <f>ROUND(+U604+W604,4)</f>
        <v>0</v>
      </c>
      <c r="Y604" s="68"/>
      <c r="Z604" s="148">
        <f>ROUND(IF(X604&gt;I604,X604,I604),4)</f>
        <v>0</v>
      </c>
    </row>
    <row r="605" spans="1:26" x14ac:dyDescent="0.2">
      <c r="A605" s="66"/>
      <c r="B605" s="66"/>
      <c r="C605" s="66"/>
      <c r="D605" s="144"/>
      <c r="E605" s="67"/>
      <c r="F605" s="67"/>
      <c r="G605" s="67"/>
      <c r="H605" s="67">
        <f>ROUND(+E605+G605,4)</f>
        <v>0</v>
      </c>
      <c r="I605" s="67"/>
      <c r="J605" s="67">
        <f>ROUND(+I605-H605,4)</f>
        <v>0</v>
      </c>
      <c r="K605" s="67">
        <f>ROUND(IF(F605="alluminio",0,I605*1.5%),4)</f>
        <v>0</v>
      </c>
      <c r="L605" s="67">
        <f>ROUND(IF(K605&lt;J605,K605,0),4)</f>
        <v>0</v>
      </c>
      <c r="M605" s="67">
        <f>ROUND(IF(J605&gt;K605,0,J605),4)</f>
        <v>0</v>
      </c>
      <c r="N605" s="67">
        <f>ROUND(+L605*D605,4)</f>
        <v>0</v>
      </c>
      <c r="O605" s="67">
        <f>ROUND(IF(F605="rame",0,+I605*3%),4)</f>
        <v>0</v>
      </c>
      <c r="P605" s="67">
        <f>ROUND(IF(O605&lt;J605,O605,0),4)</f>
        <v>0</v>
      </c>
      <c r="Q605" s="67">
        <f>ROUND(IF(J605&gt;O605,0,J605),4)</f>
        <v>0</v>
      </c>
      <c r="R605" s="67">
        <f>ROUND(+P605*D605,4)</f>
        <v>0</v>
      </c>
      <c r="S605" s="67">
        <f>ROUND(IF(K605=0,0,M605*D605),4)</f>
        <v>0</v>
      </c>
      <c r="T605" s="67">
        <f>ROUND(+IF(K605=0,Q605*D605,0),4)</f>
        <v>0</v>
      </c>
      <c r="U605" s="67">
        <f>ROUND(+N605+R605+S605+T605,4)</f>
        <v>0</v>
      </c>
      <c r="V605" s="67">
        <f>ROUND(IF(P605=0,0,I605-H605-O605)+IF(L605=0,0,I605-H605-K605),4)</f>
        <v>0</v>
      </c>
      <c r="W605" s="67">
        <f>ROUND(+(V605*60%)*D605,4)</f>
        <v>0</v>
      </c>
      <c r="X605" s="148">
        <f>ROUND(+U605+W605,4)</f>
        <v>0</v>
      </c>
      <c r="Y605" s="68"/>
      <c r="Z605" s="148">
        <f>ROUND(IF(X605&gt;I605,X605,I605),4)</f>
        <v>0</v>
      </c>
    </row>
    <row r="606" spans="1:26" x14ac:dyDescent="0.2">
      <c r="A606" s="66"/>
      <c r="B606" s="66"/>
      <c r="C606" s="66"/>
      <c r="D606" s="144"/>
      <c r="E606" s="67"/>
      <c r="F606" s="67"/>
      <c r="G606" s="67"/>
      <c r="H606" s="67">
        <f>ROUND(+E606+G606,4)</f>
        <v>0</v>
      </c>
      <c r="I606" s="67"/>
      <c r="J606" s="67">
        <f>ROUND(+I606-H606,4)</f>
        <v>0</v>
      </c>
      <c r="K606" s="67">
        <f>ROUND(IF(F606="alluminio",0,I606*1.5%),4)</f>
        <v>0</v>
      </c>
      <c r="L606" s="67">
        <f>ROUND(IF(K606&lt;J606,K606,0),4)</f>
        <v>0</v>
      </c>
      <c r="M606" s="67">
        <f>ROUND(IF(J606&gt;K606,0,J606),4)</f>
        <v>0</v>
      </c>
      <c r="N606" s="67">
        <f>ROUND(+L606*D606,4)</f>
        <v>0</v>
      </c>
      <c r="O606" s="67">
        <f>ROUND(IF(F606="rame",0,+I606*3%),4)</f>
        <v>0</v>
      </c>
      <c r="P606" s="67">
        <f>ROUND(IF(O606&lt;J606,O606,0),4)</f>
        <v>0</v>
      </c>
      <c r="Q606" s="67">
        <f>ROUND(IF(J606&gt;O606,0,J606),4)</f>
        <v>0</v>
      </c>
      <c r="R606" s="67">
        <f>ROUND(+P606*D606,4)</f>
        <v>0</v>
      </c>
      <c r="S606" s="67">
        <f>ROUND(IF(K606=0,0,M606*D606),4)</f>
        <v>0</v>
      </c>
      <c r="T606" s="67">
        <f>ROUND(+IF(K606=0,Q606*D606,0),4)</f>
        <v>0</v>
      </c>
      <c r="U606" s="67">
        <f>ROUND(+N606+R606+S606+T606,4)</f>
        <v>0</v>
      </c>
      <c r="V606" s="67">
        <f>ROUND(IF(P606=0,0,I606-H606-O606)+IF(L606=0,0,I606-H606-K606),4)</f>
        <v>0</v>
      </c>
      <c r="W606" s="67">
        <f>ROUND(+(V606*60%)*D606,4)</f>
        <v>0</v>
      </c>
      <c r="X606" s="148">
        <f>ROUND(+U606+W606,4)</f>
        <v>0</v>
      </c>
      <c r="Y606" s="68"/>
      <c r="Z606" s="148">
        <f>ROUND(IF(X606&gt;I606,X606,I606),4)</f>
        <v>0</v>
      </c>
    </row>
    <row r="607" spans="1:26" x14ac:dyDescent="0.2">
      <c r="A607" s="66"/>
      <c r="B607" s="66"/>
      <c r="C607" s="66"/>
      <c r="D607" s="144"/>
      <c r="E607" s="67"/>
      <c r="F607" s="67"/>
      <c r="G607" s="67"/>
      <c r="H607" s="67">
        <f>ROUND(+E607+G607,4)</f>
        <v>0</v>
      </c>
      <c r="I607" s="67"/>
      <c r="J607" s="67">
        <f>ROUND(+I607-H607,4)</f>
        <v>0</v>
      </c>
      <c r="K607" s="67">
        <f>ROUND(IF(F607="alluminio",0,I607*1.5%),4)</f>
        <v>0</v>
      </c>
      <c r="L607" s="67">
        <f>ROUND(IF(K607&lt;J607,K607,0),4)</f>
        <v>0</v>
      </c>
      <c r="M607" s="67">
        <f>ROUND(IF(J607&gt;K607,0,J607),4)</f>
        <v>0</v>
      </c>
      <c r="N607" s="67">
        <f>ROUND(+L607*D607,4)</f>
        <v>0</v>
      </c>
      <c r="O607" s="67">
        <f>ROUND(IF(F607="rame",0,+I607*3%),4)</f>
        <v>0</v>
      </c>
      <c r="P607" s="67">
        <f>ROUND(IF(O607&lt;J607,O607,0),4)</f>
        <v>0</v>
      </c>
      <c r="Q607" s="67">
        <f>ROUND(IF(J607&gt;O607,0,J607),4)</f>
        <v>0</v>
      </c>
      <c r="R607" s="67">
        <f>ROUND(+P607*D607,4)</f>
        <v>0</v>
      </c>
      <c r="S607" s="67">
        <f>ROUND(IF(K607=0,0,M607*D607),4)</f>
        <v>0</v>
      </c>
      <c r="T607" s="67">
        <f>ROUND(+IF(K607=0,Q607*D607,0),4)</f>
        <v>0</v>
      </c>
      <c r="U607" s="67">
        <f>ROUND(+N607+R607+S607+T607,4)</f>
        <v>0</v>
      </c>
      <c r="V607" s="67">
        <f>ROUND(IF(P607=0,0,I607-H607-O607)+IF(L607=0,0,I607-H607-K607),4)</f>
        <v>0</v>
      </c>
      <c r="W607" s="67">
        <f>ROUND(+(V607*60%)*D607,4)</f>
        <v>0</v>
      </c>
      <c r="X607" s="148">
        <f>ROUND(+U607+W607,4)</f>
        <v>0</v>
      </c>
      <c r="Y607" s="68"/>
      <c r="Z607" s="148">
        <f>ROUND(IF(X607&gt;I607,X607,I607),4)</f>
        <v>0</v>
      </c>
    </row>
    <row r="608" spans="1:26" x14ac:dyDescent="0.2">
      <c r="A608" s="66"/>
      <c r="B608" s="66"/>
      <c r="C608" s="66"/>
      <c r="D608" s="144"/>
      <c r="E608" s="67"/>
      <c r="F608" s="67"/>
      <c r="G608" s="67"/>
      <c r="H608" s="67">
        <f>ROUND(+E608+G608,4)</f>
        <v>0</v>
      </c>
      <c r="I608" s="67"/>
      <c r="J608" s="67">
        <f>ROUND(+I608-H608,4)</f>
        <v>0</v>
      </c>
      <c r="K608" s="67">
        <f>ROUND(IF(F608="alluminio",0,I608*1.5%),4)</f>
        <v>0</v>
      </c>
      <c r="L608" s="67">
        <f>ROUND(IF(K608&lt;J608,K608,0),4)</f>
        <v>0</v>
      </c>
      <c r="M608" s="67">
        <f>ROUND(IF(J608&gt;K608,0,J608),4)</f>
        <v>0</v>
      </c>
      <c r="N608" s="67">
        <f>ROUND(+L608*D608,4)</f>
        <v>0</v>
      </c>
      <c r="O608" s="67">
        <f>ROUND(IF(F608="rame",0,+I608*3%),4)</f>
        <v>0</v>
      </c>
      <c r="P608" s="67">
        <f>ROUND(IF(O608&lt;J608,O608,0),4)</f>
        <v>0</v>
      </c>
      <c r="Q608" s="67">
        <f>ROUND(IF(J608&gt;O608,0,J608),4)</f>
        <v>0</v>
      </c>
      <c r="R608" s="67">
        <f>ROUND(+P608*D608,4)</f>
        <v>0</v>
      </c>
      <c r="S608" s="67">
        <f>ROUND(IF(K608=0,0,M608*D608),4)</f>
        <v>0</v>
      </c>
      <c r="T608" s="67">
        <f>ROUND(+IF(K608=0,Q608*D608,0),4)</f>
        <v>0</v>
      </c>
      <c r="U608" s="67">
        <f>ROUND(+N608+R608+S608+T608,4)</f>
        <v>0</v>
      </c>
      <c r="V608" s="67">
        <f>ROUND(IF(P608=0,0,I608-H608-O608)+IF(L608=0,0,I608-H608-K608),4)</f>
        <v>0</v>
      </c>
      <c r="W608" s="67">
        <f>ROUND(+(V608*60%)*D608,4)</f>
        <v>0</v>
      </c>
      <c r="X608" s="148">
        <f>ROUND(+U608+W608,4)</f>
        <v>0</v>
      </c>
      <c r="Y608" s="68"/>
      <c r="Z608" s="148">
        <f>ROUND(IF(X608&gt;I608,X608,I608),4)</f>
        <v>0</v>
      </c>
    </row>
    <row r="609" spans="1:26" x14ac:dyDescent="0.2">
      <c r="A609" s="66"/>
      <c r="B609" s="66"/>
      <c r="C609" s="66"/>
      <c r="D609" s="144"/>
      <c r="E609" s="67"/>
      <c r="F609" s="67"/>
      <c r="G609" s="67"/>
      <c r="H609" s="67">
        <f>ROUND(+E609+G609,4)</f>
        <v>0</v>
      </c>
      <c r="I609" s="67"/>
      <c r="J609" s="67">
        <f>ROUND(+I609-H609,4)</f>
        <v>0</v>
      </c>
      <c r="K609" s="67">
        <f>ROUND(IF(F609="alluminio",0,I609*1.5%),4)</f>
        <v>0</v>
      </c>
      <c r="L609" s="67">
        <f>ROUND(IF(K609&lt;J609,K609,0),4)</f>
        <v>0</v>
      </c>
      <c r="M609" s="67">
        <f>ROUND(IF(J609&gt;K609,0,J609),4)</f>
        <v>0</v>
      </c>
      <c r="N609" s="67">
        <f>ROUND(+L609*D609,4)</f>
        <v>0</v>
      </c>
      <c r="O609" s="67">
        <f>ROUND(IF(F609="rame",0,+I609*3%),4)</f>
        <v>0</v>
      </c>
      <c r="P609" s="67">
        <f>ROUND(IF(O609&lt;J609,O609,0),4)</f>
        <v>0</v>
      </c>
      <c r="Q609" s="67">
        <f>ROUND(IF(J609&gt;O609,0,J609),4)</f>
        <v>0</v>
      </c>
      <c r="R609" s="67">
        <f>ROUND(+P609*D609,4)</f>
        <v>0</v>
      </c>
      <c r="S609" s="67">
        <f>ROUND(IF(K609=0,0,M609*D609),4)</f>
        <v>0</v>
      </c>
      <c r="T609" s="67">
        <f>ROUND(+IF(K609=0,Q609*D609,0),4)</f>
        <v>0</v>
      </c>
      <c r="U609" s="67">
        <f>ROUND(+N609+R609+S609+T609,4)</f>
        <v>0</v>
      </c>
      <c r="V609" s="67">
        <f>ROUND(IF(P609=0,0,I609-H609-O609)+IF(L609=0,0,I609-H609-K609),4)</f>
        <v>0</v>
      </c>
      <c r="W609" s="67">
        <f>ROUND(+(V609*60%)*D609,4)</f>
        <v>0</v>
      </c>
      <c r="X609" s="148">
        <f>ROUND(+U609+W609,4)</f>
        <v>0</v>
      </c>
      <c r="Y609" s="68"/>
      <c r="Z609" s="148">
        <f>ROUND(IF(X609&gt;I609,X609,I609),4)</f>
        <v>0</v>
      </c>
    </row>
    <row r="610" spans="1:26" x14ac:dyDescent="0.2">
      <c r="A610" s="66"/>
      <c r="B610" s="66"/>
      <c r="C610" s="66"/>
      <c r="D610" s="144"/>
      <c r="E610" s="67"/>
      <c r="F610" s="67"/>
      <c r="G610" s="67"/>
      <c r="H610" s="67">
        <f>ROUND(+E610+G610,4)</f>
        <v>0</v>
      </c>
      <c r="I610" s="67"/>
      <c r="J610" s="67">
        <f>ROUND(+I610-H610,4)</f>
        <v>0</v>
      </c>
      <c r="K610" s="67">
        <f>ROUND(IF(F610="alluminio",0,I610*1.5%),4)</f>
        <v>0</v>
      </c>
      <c r="L610" s="67">
        <f>ROUND(IF(K610&lt;J610,K610,0),4)</f>
        <v>0</v>
      </c>
      <c r="M610" s="67">
        <f>ROUND(IF(J610&gt;K610,0,J610),4)</f>
        <v>0</v>
      </c>
      <c r="N610" s="67">
        <f>ROUND(+L610*D610,4)</f>
        <v>0</v>
      </c>
      <c r="O610" s="67">
        <f>ROUND(IF(F610="rame",0,+I610*3%),4)</f>
        <v>0</v>
      </c>
      <c r="P610" s="67">
        <f>ROUND(IF(O610&lt;J610,O610,0),4)</f>
        <v>0</v>
      </c>
      <c r="Q610" s="67">
        <f>ROUND(IF(J610&gt;O610,0,J610),4)</f>
        <v>0</v>
      </c>
      <c r="R610" s="67">
        <f>ROUND(+P610*D610,4)</f>
        <v>0</v>
      </c>
      <c r="S610" s="67">
        <f>ROUND(IF(K610=0,0,M610*D610),4)</f>
        <v>0</v>
      </c>
      <c r="T610" s="67">
        <f>ROUND(+IF(K610=0,Q610*D610,0),4)</f>
        <v>0</v>
      </c>
      <c r="U610" s="67">
        <f>ROUND(+N610+R610+S610+T610,4)</f>
        <v>0</v>
      </c>
      <c r="V610" s="67">
        <f>ROUND(IF(P610=0,0,I610-H610-O610)+IF(L610=0,0,I610-H610-K610),4)</f>
        <v>0</v>
      </c>
      <c r="W610" s="67">
        <f>ROUND(+(V610*60%)*D610,4)</f>
        <v>0</v>
      </c>
      <c r="X610" s="148">
        <f>ROUND(+U610+W610,4)</f>
        <v>0</v>
      </c>
      <c r="Y610" s="68"/>
      <c r="Z610" s="148">
        <f>ROUND(IF(X610&gt;I610,X610,I610),4)</f>
        <v>0</v>
      </c>
    </row>
    <row r="611" spans="1:26" x14ac:dyDescent="0.2">
      <c r="A611" s="66"/>
      <c r="B611" s="66"/>
      <c r="C611" s="66"/>
      <c r="D611" s="144"/>
      <c r="E611" s="67"/>
      <c r="F611" s="67"/>
      <c r="G611" s="67"/>
      <c r="H611" s="67">
        <f>ROUND(+E611+G611,4)</f>
        <v>0</v>
      </c>
      <c r="I611" s="67"/>
      <c r="J611" s="67">
        <f>ROUND(+I611-H611,4)</f>
        <v>0</v>
      </c>
      <c r="K611" s="67">
        <f>ROUND(IF(F611="alluminio",0,I611*1.5%),4)</f>
        <v>0</v>
      </c>
      <c r="L611" s="67">
        <f>ROUND(IF(K611&lt;J611,K611,0),4)</f>
        <v>0</v>
      </c>
      <c r="M611" s="67">
        <f>ROUND(IF(J611&gt;K611,0,J611),4)</f>
        <v>0</v>
      </c>
      <c r="N611" s="67">
        <f>ROUND(+L611*D611,4)</f>
        <v>0</v>
      </c>
      <c r="O611" s="67">
        <f>ROUND(IF(F611="rame",0,+I611*3%),4)</f>
        <v>0</v>
      </c>
      <c r="P611" s="67">
        <f>ROUND(IF(O611&lt;J611,O611,0),4)</f>
        <v>0</v>
      </c>
      <c r="Q611" s="67">
        <f>ROUND(IF(J611&gt;O611,0,J611),4)</f>
        <v>0</v>
      </c>
      <c r="R611" s="67">
        <f>ROUND(+P611*D611,4)</f>
        <v>0</v>
      </c>
      <c r="S611" s="67">
        <f>ROUND(IF(K611=0,0,M611*D611),4)</f>
        <v>0</v>
      </c>
      <c r="T611" s="67">
        <f>ROUND(+IF(K611=0,Q611*D611,0),4)</f>
        <v>0</v>
      </c>
      <c r="U611" s="67">
        <f>ROUND(+N611+R611+S611+T611,4)</f>
        <v>0</v>
      </c>
      <c r="V611" s="67">
        <f>ROUND(IF(P611=0,0,I611-H611-O611)+IF(L611=0,0,I611-H611-K611),4)</f>
        <v>0</v>
      </c>
      <c r="W611" s="67">
        <f>ROUND(+(V611*60%)*D611,4)</f>
        <v>0</v>
      </c>
      <c r="X611" s="148">
        <f>ROUND(+U611+W611,4)</f>
        <v>0</v>
      </c>
      <c r="Y611" s="68"/>
      <c r="Z611" s="148">
        <f>ROUND(IF(X611&gt;I611,X611,I611),4)</f>
        <v>0</v>
      </c>
    </row>
    <row r="612" spans="1:26" x14ac:dyDescent="0.2">
      <c r="A612" s="66"/>
      <c r="B612" s="66"/>
      <c r="C612" s="66"/>
      <c r="D612" s="144"/>
      <c r="E612" s="67"/>
      <c r="F612" s="67"/>
      <c r="G612" s="67"/>
      <c r="H612" s="67">
        <f>ROUND(+E612+G612,4)</f>
        <v>0</v>
      </c>
      <c r="I612" s="67"/>
      <c r="J612" s="67">
        <f>ROUND(+I612-H612,4)</f>
        <v>0</v>
      </c>
      <c r="K612" s="67">
        <f>ROUND(IF(F612="alluminio",0,I612*1.5%),4)</f>
        <v>0</v>
      </c>
      <c r="L612" s="67">
        <f>ROUND(IF(K612&lt;J612,K612,0),4)</f>
        <v>0</v>
      </c>
      <c r="M612" s="67">
        <f>ROUND(IF(J612&gt;K612,0,J612),4)</f>
        <v>0</v>
      </c>
      <c r="N612" s="67">
        <f>ROUND(+L612*D612,4)</f>
        <v>0</v>
      </c>
      <c r="O612" s="67">
        <f>ROUND(IF(F612="rame",0,+I612*3%),4)</f>
        <v>0</v>
      </c>
      <c r="P612" s="67">
        <f>ROUND(IF(O612&lt;J612,O612,0),4)</f>
        <v>0</v>
      </c>
      <c r="Q612" s="67">
        <f>ROUND(IF(J612&gt;O612,0,J612),4)</f>
        <v>0</v>
      </c>
      <c r="R612" s="67">
        <f>ROUND(+P612*D612,4)</f>
        <v>0</v>
      </c>
      <c r="S612" s="67">
        <f>ROUND(IF(K612=0,0,M612*D612),4)</f>
        <v>0</v>
      </c>
      <c r="T612" s="67">
        <f>ROUND(+IF(K612=0,Q612*D612,0),4)</f>
        <v>0</v>
      </c>
      <c r="U612" s="67">
        <f>ROUND(+N612+R612+S612+T612,4)</f>
        <v>0</v>
      </c>
      <c r="V612" s="67">
        <f>ROUND(IF(P612=0,0,I612-H612-O612)+IF(L612=0,0,I612-H612-K612),4)</f>
        <v>0</v>
      </c>
      <c r="W612" s="67">
        <f>ROUND(+(V612*60%)*D612,4)</f>
        <v>0</v>
      </c>
      <c r="X612" s="148">
        <f>ROUND(+U612+W612,4)</f>
        <v>0</v>
      </c>
      <c r="Y612" s="68"/>
      <c r="Z612" s="148">
        <f>ROUND(IF(X612&gt;I612,X612,I612),4)</f>
        <v>0</v>
      </c>
    </row>
    <row r="613" spans="1:26" x14ac:dyDescent="0.2">
      <c r="A613" s="66"/>
      <c r="B613" s="66"/>
      <c r="C613" s="66"/>
      <c r="D613" s="144"/>
      <c r="E613" s="67"/>
      <c r="F613" s="67"/>
      <c r="G613" s="67"/>
      <c r="H613" s="67">
        <f>ROUND(+E613+G613,4)</f>
        <v>0</v>
      </c>
      <c r="I613" s="67"/>
      <c r="J613" s="67">
        <f>ROUND(+I613-H613,4)</f>
        <v>0</v>
      </c>
      <c r="K613" s="67">
        <f>ROUND(IF(F613="alluminio",0,I613*1.5%),4)</f>
        <v>0</v>
      </c>
      <c r="L613" s="67">
        <f>ROUND(IF(K613&lt;J613,K613,0),4)</f>
        <v>0</v>
      </c>
      <c r="M613" s="67">
        <f>ROUND(IF(J613&gt;K613,0,J613),4)</f>
        <v>0</v>
      </c>
      <c r="N613" s="67">
        <f>ROUND(+L613*D613,4)</f>
        <v>0</v>
      </c>
      <c r="O613" s="67">
        <f>ROUND(IF(F613="rame",0,+I613*3%),4)</f>
        <v>0</v>
      </c>
      <c r="P613" s="67">
        <f>ROUND(IF(O613&lt;J613,O613,0),4)</f>
        <v>0</v>
      </c>
      <c r="Q613" s="67">
        <f>ROUND(IF(J613&gt;O613,0,J613),4)</f>
        <v>0</v>
      </c>
      <c r="R613" s="67">
        <f>ROUND(+P613*D613,4)</f>
        <v>0</v>
      </c>
      <c r="S613" s="67">
        <f>ROUND(IF(K613=0,0,M613*D613),4)</f>
        <v>0</v>
      </c>
      <c r="T613" s="67">
        <f>ROUND(+IF(K613=0,Q613*D613,0),4)</f>
        <v>0</v>
      </c>
      <c r="U613" s="67">
        <f>ROUND(+N613+R613+S613+T613,4)</f>
        <v>0</v>
      </c>
      <c r="V613" s="67">
        <f>ROUND(IF(P613=0,0,I613-H613-O613)+IF(L613=0,0,I613-H613-K613),4)</f>
        <v>0</v>
      </c>
      <c r="W613" s="67">
        <f>ROUND(+(V613*60%)*D613,4)</f>
        <v>0</v>
      </c>
      <c r="X613" s="148">
        <f>ROUND(+U613+W613,4)</f>
        <v>0</v>
      </c>
      <c r="Y613" s="68"/>
      <c r="Z613" s="148">
        <f>ROUND(IF(X613&gt;I613,X613,I613),4)</f>
        <v>0</v>
      </c>
    </row>
    <row r="614" spans="1:26" x14ac:dyDescent="0.2">
      <c r="A614" s="66"/>
      <c r="B614" s="66"/>
      <c r="C614" s="66"/>
      <c r="D614" s="144"/>
      <c r="E614" s="67"/>
      <c r="F614" s="67"/>
      <c r="G614" s="67"/>
      <c r="H614" s="67">
        <f>ROUND(+E614+G614,4)</f>
        <v>0</v>
      </c>
      <c r="I614" s="67"/>
      <c r="J614" s="67">
        <f>ROUND(+I614-H614,4)</f>
        <v>0</v>
      </c>
      <c r="K614" s="67">
        <f>ROUND(IF(F614="alluminio",0,I614*1.5%),4)</f>
        <v>0</v>
      </c>
      <c r="L614" s="67">
        <f>ROUND(IF(K614&lt;J614,K614,0),4)</f>
        <v>0</v>
      </c>
      <c r="M614" s="67">
        <f>ROUND(IF(J614&gt;K614,0,J614),4)</f>
        <v>0</v>
      </c>
      <c r="N614" s="67">
        <f>ROUND(+L614*D614,4)</f>
        <v>0</v>
      </c>
      <c r="O614" s="67">
        <f>ROUND(IF(F614="rame",0,+I614*3%),4)</f>
        <v>0</v>
      </c>
      <c r="P614" s="67">
        <f>ROUND(IF(O614&lt;J614,O614,0),4)</f>
        <v>0</v>
      </c>
      <c r="Q614" s="67">
        <f>ROUND(IF(J614&gt;O614,0,J614),4)</f>
        <v>0</v>
      </c>
      <c r="R614" s="67">
        <f>ROUND(+P614*D614,4)</f>
        <v>0</v>
      </c>
      <c r="S614" s="67">
        <f>ROUND(IF(K614=0,0,M614*D614),4)</f>
        <v>0</v>
      </c>
      <c r="T614" s="67">
        <f>ROUND(+IF(K614=0,Q614*D614,0),4)</f>
        <v>0</v>
      </c>
      <c r="U614" s="67">
        <f>ROUND(+N614+R614+S614+T614,4)</f>
        <v>0</v>
      </c>
      <c r="V614" s="67">
        <f>ROUND(IF(P614=0,0,I614-H614-O614)+IF(L614=0,0,I614-H614-K614),4)</f>
        <v>0</v>
      </c>
      <c r="W614" s="67">
        <f>ROUND(+(V614*60%)*D614,4)</f>
        <v>0</v>
      </c>
      <c r="X614" s="148">
        <f>ROUND(+U614+W614,4)</f>
        <v>0</v>
      </c>
      <c r="Y614" s="68"/>
      <c r="Z614" s="148">
        <f>ROUND(IF(X614&gt;I614,X614,I614),4)</f>
        <v>0</v>
      </c>
    </row>
    <row r="615" spans="1:26" x14ac:dyDescent="0.2">
      <c r="A615" s="66"/>
      <c r="B615" s="66"/>
      <c r="C615" s="66"/>
      <c r="D615" s="144"/>
      <c r="E615" s="67"/>
      <c r="F615" s="67"/>
      <c r="G615" s="67"/>
      <c r="H615" s="67">
        <f>ROUND(+E615+G615,4)</f>
        <v>0</v>
      </c>
      <c r="I615" s="67"/>
      <c r="J615" s="67">
        <f>ROUND(+I615-H615,4)</f>
        <v>0</v>
      </c>
      <c r="K615" s="67">
        <f>ROUND(IF(F615="alluminio",0,I615*1.5%),4)</f>
        <v>0</v>
      </c>
      <c r="L615" s="67">
        <f>ROUND(IF(K615&lt;J615,K615,0),4)</f>
        <v>0</v>
      </c>
      <c r="M615" s="67">
        <f>ROUND(IF(J615&gt;K615,0,J615),4)</f>
        <v>0</v>
      </c>
      <c r="N615" s="67">
        <f>ROUND(+L615*D615,4)</f>
        <v>0</v>
      </c>
      <c r="O615" s="67">
        <f>ROUND(IF(F615="rame",0,+I615*3%),4)</f>
        <v>0</v>
      </c>
      <c r="P615" s="67">
        <f>ROUND(IF(O615&lt;J615,O615,0),4)</f>
        <v>0</v>
      </c>
      <c r="Q615" s="67">
        <f>ROUND(IF(J615&gt;O615,0,J615),4)</f>
        <v>0</v>
      </c>
      <c r="R615" s="67">
        <f>ROUND(+P615*D615,4)</f>
        <v>0</v>
      </c>
      <c r="S615" s="67">
        <f>ROUND(IF(K615=0,0,M615*D615),4)</f>
        <v>0</v>
      </c>
      <c r="T615" s="67">
        <f>ROUND(+IF(K615=0,Q615*D615,0),4)</f>
        <v>0</v>
      </c>
      <c r="U615" s="67">
        <f>ROUND(+N615+R615+S615+T615,4)</f>
        <v>0</v>
      </c>
      <c r="V615" s="67">
        <f>ROUND(IF(P615=0,0,I615-H615-O615)+IF(L615=0,0,I615-H615-K615),4)</f>
        <v>0</v>
      </c>
      <c r="W615" s="67">
        <f>ROUND(+(V615*60%)*D615,4)</f>
        <v>0</v>
      </c>
      <c r="X615" s="148">
        <f>ROUND(+U615+W615,4)</f>
        <v>0</v>
      </c>
      <c r="Y615" s="68"/>
      <c r="Z615" s="148">
        <f>ROUND(IF(X615&gt;I615,X615,I615),4)</f>
        <v>0</v>
      </c>
    </row>
    <row r="616" spans="1:26" x14ac:dyDescent="0.2">
      <c r="A616" s="66"/>
      <c r="B616" s="66"/>
      <c r="C616" s="66"/>
      <c r="D616" s="144"/>
      <c r="E616" s="67"/>
      <c r="F616" s="67"/>
      <c r="G616" s="67"/>
      <c r="H616" s="67">
        <f>ROUND(+E616+G616,4)</f>
        <v>0</v>
      </c>
      <c r="I616" s="67"/>
      <c r="J616" s="67">
        <f>ROUND(+I616-H616,4)</f>
        <v>0</v>
      </c>
      <c r="K616" s="67">
        <f>ROUND(IF(F616="alluminio",0,I616*1.5%),4)</f>
        <v>0</v>
      </c>
      <c r="L616" s="67">
        <f>ROUND(IF(K616&lt;J616,K616,0),4)</f>
        <v>0</v>
      </c>
      <c r="M616" s="67">
        <f>ROUND(IF(J616&gt;K616,0,J616),4)</f>
        <v>0</v>
      </c>
      <c r="N616" s="67">
        <f>ROUND(+L616*D616,4)</f>
        <v>0</v>
      </c>
      <c r="O616" s="67">
        <f>ROUND(IF(F616="rame",0,+I616*3%),4)</f>
        <v>0</v>
      </c>
      <c r="P616" s="67">
        <f>ROUND(IF(O616&lt;J616,O616,0),4)</f>
        <v>0</v>
      </c>
      <c r="Q616" s="67">
        <f>ROUND(IF(J616&gt;O616,0,J616),4)</f>
        <v>0</v>
      </c>
      <c r="R616" s="67">
        <f>ROUND(+P616*D616,4)</f>
        <v>0</v>
      </c>
      <c r="S616" s="67">
        <f>ROUND(IF(K616=0,0,M616*D616),4)</f>
        <v>0</v>
      </c>
      <c r="T616" s="67">
        <f>ROUND(+IF(K616=0,Q616*D616,0),4)</f>
        <v>0</v>
      </c>
      <c r="U616" s="67">
        <f>ROUND(+N616+R616+S616+T616,4)</f>
        <v>0</v>
      </c>
      <c r="V616" s="67">
        <f>ROUND(IF(P616=0,0,I616-H616-O616)+IF(L616=0,0,I616-H616-K616),4)</f>
        <v>0</v>
      </c>
      <c r="W616" s="67">
        <f>ROUND(+(V616*60%)*D616,4)</f>
        <v>0</v>
      </c>
      <c r="X616" s="148">
        <f>ROUND(+U616+W616,4)</f>
        <v>0</v>
      </c>
      <c r="Y616" s="68"/>
      <c r="Z616" s="148">
        <f>ROUND(IF(X616&gt;I616,X616,I616),4)</f>
        <v>0</v>
      </c>
    </row>
    <row r="617" spans="1:26" x14ac:dyDescent="0.2">
      <c r="A617" s="66"/>
      <c r="B617" s="66"/>
      <c r="C617" s="66"/>
      <c r="D617" s="144"/>
      <c r="E617" s="67"/>
      <c r="F617" s="67"/>
      <c r="G617" s="67"/>
      <c r="H617" s="67">
        <f>ROUND(+E617+G617,4)</f>
        <v>0</v>
      </c>
      <c r="I617" s="67"/>
      <c r="J617" s="67">
        <f>ROUND(+I617-H617,4)</f>
        <v>0</v>
      </c>
      <c r="K617" s="67">
        <f>ROUND(IF(F617="alluminio",0,I617*1.5%),4)</f>
        <v>0</v>
      </c>
      <c r="L617" s="67">
        <f>ROUND(IF(K617&lt;J617,K617,0),4)</f>
        <v>0</v>
      </c>
      <c r="M617" s="67">
        <f>ROUND(IF(J617&gt;K617,0,J617),4)</f>
        <v>0</v>
      </c>
      <c r="N617" s="67">
        <f>ROUND(+L617*D617,4)</f>
        <v>0</v>
      </c>
      <c r="O617" s="67">
        <f>ROUND(IF(F617="rame",0,+I617*3%),4)</f>
        <v>0</v>
      </c>
      <c r="P617" s="67">
        <f>ROUND(IF(O617&lt;J617,O617,0),4)</f>
        <v>0</v>
      </c>
      <c r="Q617" s="67">
        <f>ROUND(IF(J617&gt;O617,0,J617),4)</f>
        <v>0</v>
      </c>
      <c r="R617" s="67">
        <f>ROUND(+P617*D617,4)</f>
        <v>0</v>
      </c>
      <c r="S617" s="67">
        <f>ROUND(IF(K617=0,0,M617*D617),4)</f>
        <v>0</v>
      </c>
      <c r="T617" s="67">
        <f>ROUND(+IF(K617=0,Q617*D617,0),4)</f>
        <v>0</v>
      </c>
      <c r="U617" s="67">
        <f>ROUND(+N617+R617+S617+T617,4)</f>
        <v>0</v>
      </c>
      <c r="V617" s="67">
        <f>ROUND(IF(P617=0,0,I617-H617-O617)+IF(L617=0,0,I617-H617-K617),4)</f>
        <v>0</v>
      </c>
      <c r="W617" s="67">
        <f>ROUND(+(V617*60%)*D617,4)</f>
        <v>0</v>
      </c>
      <c r="X617" s="148">
        <f>ROUND(+U617+W617,4)</f>
        <v>0</v>
      </c>
      <c r="Y617" s="68"/>
      <c r="Z617" s="148">
        <f>ROUND(IF(X617&gt;I617,X617,I617),4)</f>
        <v>0</v>
      </c>
    </row>
    <row r="618" spans="1:26" x14ac:dyDescent="0.2">
      <c r="A618" s="66"/>
      <c r="B618" s="66"/>
      <c r="C618" s="66"/>
      <c r="D618" s="144"/>
      <c r="E618" s="67"/>
      <c r="F618" s="67"/>
      <c r="G618" s="67"/>
      <c r="H618" s="67">
        <f>ROUND(+E618+G618,4)</f>
        <v>0</v>
      </c>
      <c r="I618" s="67"/>
      <c r="J618" s="67">
        <f>ROUND(+I618-H618,4)</f>
        <v>0</v>
      </c>
      <c r="K618" s="67">
        <f>ROUND(IF(F618="alluminio",0,I618*1.5%),4)</f>
        <v>0</v>
      </c>
      <c r="L618" s="67">
        <f>ROUND(IF(K618&lt;J618,K618,0),4)</f>
        <v>0</v>
      </c>
      <c r="M618" s="67">
        <f>ROUND(IF(J618&gt;K618,0,J618),4)</f>
        <v>0</v>
      </c>
      <c r="N618" s="67">
        <f>ROUND(+L618*D618,4)</f>
        <v>0</v>
      </c>
      <c r="O618" s="67">
        <f>ROUND(IF(F618="rame",0,+I618*3%),4)</f>
        <v>0</v>
      </c>
      <c r="P618" s="67">
        <f>ROUND(IF(O618&lt;J618,O618,0),4)</f>
        <v>0</v>
      </c>
      <c r="Q618" s="67">
        <f>ROUND(IF(J618&gt;O618,0,J618),4)</f>
        <v>0</v>
      </c>
      <c r="R618" s="67">
        <f>ROUND(+P618*D618,4)</f>
        <v>0</v>
      </c>
      <c r="S618" s="67">
        <f>ROUND(IF(K618=0,0,M618*D618),4)</f>
        <v>0</v>
      </c>
      <c r="T618" s="67">
        <f>ROUND(+IF(K618=0,Q618*D618,0),4)</f>
        <v>0</v>
      </c>
      <c r="U618" s="67">
        <f>ROUND(+N618+R618+S618+T618,4)</f>
        <v>0</v>
      </c>
      <c r="V618" s="67">
        <f>ROUND(IF(P618=0,0,I618-H618-O618)+IF(L618=0,0,I618-H618-K618),4)</f>
        <v>0</v>
      </c>
      <c r="W618" s="67">
        <f>ROUND(+(V618*60%)*D618,4)</f>
        <v>0</v>
      </c>
      <c r="X618" s="148">
        <f>ROUND(+U618+W618,4)</f>
        <v>0</v>
      </c>
      <c r="Y618" s="68"/>
      <c r="Z618" s="148">
        <f>ROUND(IF(X618&gt;I618,X618,I618),4)</f>
        <v>0</v>
      </c>
    </row>
    <row r="619" spans="1:26" x14ac:dyDescent="0.2">
      <c r="A619" s="66"/>
      <c r="B619" s="66"/>
      <c r="C619" s="66"/>
      <c r="D619" s="144"/>
      <c r="E619" s="67"/>
      <c r="F619" s="67"/>
      <c r="G619" s="67"/>
      <c r="H619" s="67">
        <f>ROUND(+E619+G619,4)</f>
        <v>0</v>
      </c>
      <c r="I619" s="67"/>
      <c r="J619" s="67">
        <f>ROUND(+I619-H619,4)</f>
        <v>0</v>
      </c>
      <c r="K619" s="67">
        <f>ROUND(IF(F619="alluminio",0,I619*1.5%),4)</f>
        <v>0</v>
      </c>
      <c r="L619" s="67">
        <f>ROUND(IF(K619&lt;J619,K619,0),4)</f>
        <v>0</v>
      </c>
      <c r="M619" s="67">
        <f>ROUND(IF(J619&gt;K619,0,J619),4)</f>
        <v>0</v>
      </c>
      <c r="N619" s="67">
        <f>ROUND(+L619*D619,4)</f>
        <v>0</v>
      </c>
      <c r="O619" s="67">
        <f>ROUND(IF(F619="rame",0,+I619*3%),4)</f>
        <v>0</v>
      </c>
      <c r="P619" s="67">
        <f>ROUND(IF(O619&lt;J619,O619,0),4)</f>
        <v>0</v>
      </c>
      <c r="Q619" s="67">
        <f>ROUND(IF(J619&gt;O619,0,J619),4)</f>
        <v>0</v>
      </c>
      <c r="R619" s="67">
        <f>ROUND(+P619*D619,4)</f>
        <v>0</v>
      </c>
      <c r="S619" s="67">
        <f>ROUND(IF(K619=0,0,M619*D619),4)</f>
        <v>0</v>
      </c>
      <c r="T619" s="67">
        <f>ROUND(+IF(K619=0,Q619*D619,0),4)</f>
        <v>0</v>
      </c>
      <c r="U619" s="67">
        <f>ROUND(+N619+R619+S619+T619,4)</f>
        <v>0</v>
      </c>
      <c r="V619" s="67">
        <f>ROUND(IF(P619=0,0,I619-H619-O619)+IF(L619=0,0,I619-H619-K619),4)</f>
        <v>0</v>
      </c>
      <c r="W619" s="67">
        <f>ROUND(+(V619*60%)*D619,4)</f>
        <v>0</v>
      </c>
      <c r="X619" s="148">
        <f>ROUND(+U619+W619,4)</f>
        <v>0</v>
      </c>
      <c r="Y619" s="68"/>
      <c r="Z619" s="148">
        <f>ROUND(IF(X619&gt;I619,X619,I619),4)</f>
        <v>0</v>
      </c>
    </row>
    <row r="620" spans="1:26" x14ac:dyDescent="0.2">
      <c r="A620" s="66"/>
      <c r="B620" s="66"/>
      <c r="C620" s="66"/>
      <c r="D620" s="144"/>
      <c r="E620" s="67"/>
      <c r="F620" s="67"/>
      <c r="G620" s="67"/>
      <c r="H620" s="67">
        <f>ROUND(+E620+G620,4)</f>
        <v>0</v>
      </c>
      <c r="I620" s="67"/>
      <c r="J620" s="67">
        <f>ROUND(+I620-H620,4)</f>
        <v>0</v>
      </c>
      <c r="K620" s="67">
        <f>ROUND(IF(F620="alluminio",0,I620*1.5%),4)</f>
        <v>0</v>
      </c>
      <c r="L620" s="67">
        <f>ROUND(IF(K620&lt;J620,K620,0),4)</f>
        <v>0</v>
      </c>
      <c r="M620" s="67">
        <f>ROUND(IF(J620&gt;K620,0,J620),4)</f>
        <v>0</v>
      </c>
      <c r="N620" s="67">
        <f>ROUND(+L620*D620,4)</f>
        <v>0</v>
      </c>
      <c r="O620" s="67">
        <f>ROUND(IF(F620="rame",0,+I620*3%),4)</f>
        <v>0</v>
      </c>
      <c r="P620" s="67">
        <f>ROUND(IF(O620&lt;J620,O620,0),4)</f>
        <v>0</v>
      </c>
      <c r="Q620" s="67">
        <f>ROUND(IF(J620&gt;O620,0,J620),4)</f>
        <v>0</v>
      </c>
      <c r="R620" s="67">
        <f>ROUND(+P620*D620,4)</f>
        <v>0</v>
      </c>
      <c r="S620" s="67">
        <f>ROUND(IF(K620=0,0,M620*D620),4)</f>
        <v>0</v>
      </c>
      <c r="T620" s="67">
        <f>ROUND(+IF(K620=0,Q620*D620,0),4)</f>
        <v>0</v>
      </c>
      <c r="U620" s="67">
        <f>ROUND(+N620+R620+S620+T620,4)</f>
        <v>0</v>
      </c>
      <c r="V620" s="67">
        <f>ROUND(IF(P620=0,0,I620-H620-O620)+IF(L620=0,0,I620-H620-K620),4)</f>
        <v>0</v>
      </c>
      <c r="W620" s="67">
        <f>ROUND(+(V620*60%)*D620,4)</f>
        <v>0</v>
      </c>
      <c r="X620" s="148">
        <f>ROUND(+U620+W620,4)</f>
        <v>0</v>
      </c>
      <c r="Y620" s="68"/>
      <c r="Z620" s="148">
        <f>ROUND(IF(X620&gt;I620,X620,I620),4)</f>
        <v>0</v>
      </c>
    </row>
    <row r="621" spans="1:26" x14ac:dyDescent="0.2">
      <c r="A621" s="66"/>
      <c r="B621" s="66"/>
      <c r="C621" s="66"/>
      <c r="D621" s="144"/>
      <c r="E621" s="67"/>
      <c r="F621" s="67"/>
      <c r="G621" s="67"/>
      <c r="H621" s="67">
        <f>ROUND(+E621+G621,4)</f>
        <v>0</v>
      </c>
      <c r="I621" s="67"/>
      <c r="J621" s="67">
        <f>ROUND(+I621-H621,4)</f>
        <v>0</v>
      </c>
      <c r="K621" s="67">
        <f>ROUND(IF(F621="alluminio",0,I621*1.5%),4)</f>
        <v>0</v>
      </c>
      <c r="L621" s="67">
        <f>ROUND(IF(K621&lt;J621,K621,0),4)</f>
        <v>0</v>
      </c>
      <c r="M621" s="67">
        <f>ROUND(IF(J621&gt;K621,0,J621),4)</f>
        <v>0</v>
      </c>
      <c r="N621" s="67">
        <f>ROUND(+L621*D621,4)</f>
        <v>0</v>
      </c>
      <c r="O621" s="67">
        <f>ROUND(IF(F621="rame",0,+I621*3%),4)</f>
        <v>0</v>
      </c>
      <c r="P621" s="67">
        <f>ROUND(IF(O621&lt;J621,O621,0),4)</f>
        <v>0</v>
      </c>
      <c r="Q621" s="67">
        <f>ROUND(IF(J621&gt;O621,0,J621),4)</f>
        <v>0</v>
      </c>
      <c r="R621" s="67">
        <f>ROUND(+P621*D621,4)</f>
        <v>0</v>
      </c>
      <c r="S621" s="67">
        <f>ROUND(IF(K621=0,0,M621*D621),4)</f>
        <v>0</v>
      </c>
      <c r="T621" s="67">
        <f>ROUND(+IF(K621=0,Q621*D621,0),4)</f>
        <v>0</v>
      </c>
      <c r="U621" s="67">
        <f>ROUND(+N621+R621+S621+T621,4)</f>
        <v>0</v>
      </c>
      <c r="V621" s="67">
        <f>ROUND(IF(P621=0,0,I621-H621-O621)+IF(L621=0,0,I621-H621-K621),4)</f>
        <v>0</v>
      </c>
      <c r="W621" s="67">
        <f>ROUND(+(V621*60%)*D621,4)</f>
        <v>0</v>
      </c>
      <c r="X621" s="148">
        <f>ROUND(+U621+W621,4)</f>
        <v>0</v>
      </c>
      <c r="Y621" s="68"/>
      <c r="Z621" s="148">
        <f>ROUND(IF(X621&gt;I621,X621,I621),4)</f>
        <v>0</v>
      </c>
    </row>
    <row r="622" spans="1:26" x14ac:dyDescent="0.2">
      <c r="A622" s="66"/>
      <c r="B622" s="66"/>
      <c r="C622" s="66"/>
      <c r="D622" s="144"/>
      <c r="E622" s="67"/>
      <c r="F622" s="67"/>
      <c r="G622" s="67"/>
      <c r="H622" s="67">
        <f>ROUND(+E622+G622,4)</f>
        <v>0</v>
      </c>
      <c r="I622" s="67"/>
      <c r="J622" s="67">
        <f>ROUND(+I622-H622,4)</f>
        <v>0</v>
      </c>
      <c r="K622" s="67">
        <f>ROUND(IF(F622="alluminio",0,I622*1.5%),4)</f>
        <v>0</v>
      </c>
      <c r="L622" s="67">
        <f>ROUND(IF(K622&lt;J622,K622,0),4)</f>
        <v>0</v>
      </c>
      <c r="M622" s="67">
        <f>ROUND(IF(J622&gt;K622,0,J622),4)</f>
        <v>0</v>
      </c>
      <c r="N622" s="67">
        <f>ROUND(+L622*D622,4)</f>
        <v>0</v>
      </c>
      <c r="O622" s="67">
        <f>ROUND(IF(F622="rame",0,+I622*3%),4)</f>
        <v>0</v>
      </c>
      <c r="P622" s="67">
        <f>ROUND(IF(O622&lt;J622,O622,0),4)</f>
        <v>0</v>
      </c>
      <c r="Q622" s="67">
        <f>ROUND(IF(J622&gt;O622,0,J622),4)</f>
        <v>0</v>
      </c>
      <c r="R622" s="67">
        <f>ROUND(+P622*D622,4)</f>
        <v>0</v>
      </c>
      <c r="S622" s="67">
        <f>ROUND(IF(K622=0,0,M622*D622),4)</f>
        <v>0</v>
      </c>
      <c r="T622" s="67">
        <f>ROUND(+IF(K622=0,Q622*D622,0),4)</f>
        <v>0</v>
      </c>
      <c r="U622" s="67">
        <f>ROUND(+N622+R622+S622+T622,4)</f>
        <v>0</v>
      </c>
      <c r="V622" s="67">
        <f>ROUND(IF(P622=0,0,I622-H622-O622)+IF(L622=0,0,I622-H622-K622),4)</f>
        <v>0</v>
      </c>
      <c r="W622" s="67">
        <f>ROUND(+(V622*60%)*D622,4)</f>
        <v>0</v>
      </c>
      <c r="X622" s="148">
        <f>ROUND(+U622+W622,4)</f>
        <v>0</v>
      </c>
      <c r="Y622" s="68"/>
      <c r="Z622" s="148">
        <f>ROUND(IF(X622&gt;I622,X622,I622),4)</f>
        <v>0</v>
      </c>
    </row>
    <row r="623" spans="1:26" x14ac:dyDescent="0.2">
      <c r="A623" s="66"/>
      <c r="B623" s="66"/>
      <c r="C623" s="66"/>
      <c r="D623" s="144"/>
      <c r="E623" s="67"/>
      <c r="F623" s="67"/>
      <c r="G623" s="67"/>
      <c r="H623" s="67">
        <f>ROUND(+E623+G623,4)</f>
        <v>0</v>
      </c>
      <c r="I623" s="67"/>
      <c r="J623" s="67">
        <f>ROUND(+I623-H623,4)</f>
        <v>0</v>
      </c>
      <c r="K623" s="67">
        <f>ROUND(IF(F623="alluminio",0,I623*1.5%),4)</f>
        <v>0</v>
      </c>
      <c r="L623" s="67">
        <f>ROUND(IF(K623&lt;J623,K623,0),4)</f>
        <v>0</v>
      </c>
      <c r="M623" s="67">
        <f>ROUND(IF(J623&gt;K623,0,J623),4)</f>
        <v>0</v>
      </c>
      <c r="N623" s="67">
        <f>ROUND(+L623*D623,4)</f>
        <v>0</v>
      </c>
      <c r="O623" s="67">
        <f>ROUND(IF(F623="rame",0,+I623*3%),4)</f>
        <v>0</v>
      </c>
      <c r="P623" s="67">
        <f>ROUND(IF(O623&lt;J623,O623,0),4)</f>
        <v>0</v>
      </c>
      <c r="Q623" s="67">
        <f>ROUND(IF(J623&gt;O623,0,J623),4)</f>
        <v>0</v>
      </c>
      <c r="R623" s="67">
        <f>ROUND(+P623*D623,4)</f>
        <v>0</v>
      </c>
      <c r="S623" s="67">
        <f>ROUND(IF(K623=0,0,M623*D623),4)</f>
        <v>0</v>
      </c>
      <c r="T623" s="67">
        <f>ROUND(+IF(K623=0,Q623*D623,0),4)</f>
        <v>0</v>
      </c>
      <c r="U623" s="67">
        <f>ROUND(+N623+R623+S623+T623,4)</f>
        <v>0</v>
      </c>
      <c r="V623" s="67">
        <f>ROUND(IF(P623=0,0,I623-H623-O623)+IF(L623=0,0,I623-H623-K623),4)</f>
        <v>0</v>
      </c>
      <c r="W623" s="67">
        <f>ROUND(+(V623*60%)*D623,4)</f>
        <v>0</v>
      </c>
      <c r="X623" s="148">
        <f>ROUND(+U623+W623,4)</f>
        <v>0</v>
      </c>
      <c r="Y623" s="68"/>
      <c r="Z623" s="148">
        <f>ROUND(IF(X623&gt;I623,X623,I623),4)</f>
        <v>0</v>
      </c>
    </row>
    <row r="624" spans="1:26" x14ac:dyDescent="0.2">
      <c r="A624" s="66"/>
      <c r="B624" s="66"/>
      <c r="C624" s="66"/>
      <c r="D624" s="144"/>
      <c r="E624" s="67"/>
      <c r="F624" s="67"/>
      <c r="G624" s="67"/>
      <c r="H624" s="67">
        <f>ROUND(+E624+G624,4)</f>
        <v>0</v>
      </c>
      <c r="I624" s="67"/>
      <c r="J624" s="67">
        <f>ROUND(+I624-H624,4)</f>
        <v>0</v>
      </c>
      <c r="K624" s="67">
        <f>ROUND(IF(F624="alluminio",0,I624*1.5%),4)</f>
        <v>0</v>
      </c>
      <c r="L624" s="67">
        <f>ROUND(IF(K624&lt;J624,K624,0),4)</f>
        <v>0</v>
      </c>
      <c r="M624" s="67">
        <f>ROUND(IF(J624&gt;K624,0,J624),4)</f>
        <v>0</v>
      </c>
      <c r="N624" s="67">
        <f>ROUND(+L624*D624,4)</f>
        <v>0</v>
      </c>
      <c r="O624" s="67">
        <f>ROUND(IF(F624="rame",0,+I624*3%),4)</f>
        <v>0</v>
      </c>
      <c r="P624" s="67">
        <f>ROUND(IF(O624&lt;J624,O624,0),4)</f>
        <v>0</v>
      </c>
      <c r="Q624" s="67">
        <f>ROUND(IF(J624&gt;O624,0,J624),4)</f>
        <v>0</v>
      </c>
      <c r="R624" s="67">
        <f>ROUND(+P624*D624,4)</f>
        <v>0</v>
      </c>
      <c r="S624" s="67">
        <f>ROUND(IF(K624=0,0,M624*D624),4)</f>
        <v>0</v>
      </c>
      <c r="T624" s="67">
        <f>ROUND(+IF(K624=0,Q624*D624,0),4)</f>
        <v>0</v>
      </c>
      <c r="U624" s="67">
        <f>ROUND(+N624+R624+S624+T624,4)</f>
        <v>0</v>
      </c>
      <c r="V624" s="67">
        <f>ROUND(IF(P624=0,0,I624-H624-O624)+IF(L624=0,0,I624-H624-K624),4)</f>
        <v>0</v>
      </c>
      <c r="W624" s="67">
        <f>ROUND(+(V624*60%)*D624,4)</f>
        <v>0</v>
      </c>
      <c r="X624" s="148">
        <f>ROUND(+U624+W624,4)</f>
        <v>0</v>
      </c>
      <c r="Y624" s="68"/>
      <c r="Z624" s="148">
        <f>ROUND(IF(X624&gt;I624,X624,I624),4)</f>
        <v>0</v>
      </c>
    </row>
    <row r="625" spans="1:26" x14ac:dyDescent="0.2">
      <c r="A625" s="66"/>
      <c r="B625" s="66"/>
      <c r="C625" s="66"/>
      <c r="D625" s="144"/>
      <c r="E625" s="67"/>
      <c r="F625" s="67"/>
      <c r="G625" s="67"/>
      <c r="H625" s="67">
        <f>ROUND(+E625+G625,4)</f>
        <v>0</v>
      </c>
      <c r="I625" s="67"/>
      <c r="J625" s="67">
        <f>ROUND(+I625-H625,4)</f>
        <v>0</v>
      </c>
      <c r="K625" s="67">
        <f>ROUND(IF(F625="alluminio",0,I625*1.5%),4)</f>
        <v>0</v>
      </c>
      <c r="L625" s="67">
        <f>ROUND(IF(K625&lt;J625,K625,0),4)</f>
        <v>0</v>
      </c>
      <c r="M625" s="67">
        <f>ROUND(IF(J625&gt;K625,0,J625),4)</f>
        <v>0</v>
      </c>
      <c r="N625" s="67">
        <f>ROUND(+L625*D625,4)</f>
        <v>0</v>
      </c>
      <c r="O625" s="67">
        <f>ROUND(IF(F625="rame",0,+I625*3%),4)</f>
        <v>0</v>
      </c>
      <c r="P625" s="67">
        <f>ROUND(IF(O625&lt;J625,O625,0),4)</f>
        <v>0</v>
      </c>
      <c r="Q625" s="67">
        <f>ROUND(IF(J625&gt;O625,0,J625),4)</f>
        <v>0</v>
      </c>
      <c r="R625" s="67">
        <f>ROUND(+P625*D625,4)</f>
        <v>0</v>
      </c>
      <c r="S625" s="67">
        <f>ROUND(IF(K625=0,0,M625*D625),4)</f>
        <v>0</v>
      </c>
      <c r="T625" s="67">
        <f>ROUND(+IF(K625=0,Q625*D625,0),4)</f>
        <v>0</v>
      </c>
      <c r="U625" s="67">
        <f>ROUND(+N625+R625+S625+T625,4)</f>
        <v>0</v>
      </c>
      <c r="V625" s="67">
        <f>ROUND(IF(P625=0,0,I625-H625-O625)+IF(L625=0,0,I625-H625-K625),4)</f>
        <v>0</v>
      </c>
      <c r="W625" s="67">
        <f>ROUND(+(V625*60%)*D625,4)</f>
        <v>0</v>
      </c>
      <c r="X625" s="148">
        <f>ROUND(+U625+W625,4)</f>
        <v>0</v>
      </c>
      <c r="Y625" s="68"/>
      <c r="Z625" s="148">
        <f>ROUND(IF(X625&gt;I625,X625,I625),4)</f>
        <v>0</v>
      </c>
    </row>
    <row r="626" spans="1:26" x14ac:dyDescent="0.2">
      <c r="A626" s="66"/>
      <c r="B626" s="66"/>
      <c r="C626" s="66"/>
      <c r="D626" s="144"/>
      <c r="E626" s="67"/>
      <c r="F626" s="67"/>
      <c r="G626" s="67"/>
      <c r="H626" s="67">
        <f>ROUND(+E626+G626,4)</f>
        <v>0</v>
      </c>
      <c r="I626" s="67"/>
      <c r="J626" s="67">
        <f>ROUND(+I626-H626,4)</f>
        <v>0</v>
      </c>
      <c r="K626" s="67">
        <f>ROUND(IF(F626="alluminio",0,I626*1.5%),4)</f>
        <v>0</v>
      </c>
      <c r="L626" s="67">
        <f>ROUND(IF(K626&lt;J626,K626,0),4)</f>
        <v>0</v>
      </c>
      <c r="M626" s="67">
        <f>ROUND(IF(J626&gt;K626,0,J626),4)</f>
        <v>0</v>
      </c>
      <c r="N626" s="67">
        <f>ROUND(+L626*D626,4)</f>
        <v>0</v>
      </c>
      <c r="O626" s="67">
        <f>ROUND(IF(F626="rame",0,+I626*3%),4)</f>
        <v>0</v>
      </c>
      <c r="P626" s="67">
        <f>ROUND(IF(O626&lt;J626,O626,0),4)</f>
        <v>0</v>
      </c>
      <c r="Q626" s="67">
        <f>ROUND(IF(J626&gt;O626,0,J626),4)</f>
        <v>0</v>
      </c>
      <c r="R626" s="67">
        <f>ROUND(+P626*D626,4)</f>
        <v>0</v>
      </c>
      <c r="S626" s="67">
        <f>ROUND(IF(K626=0,0,M626*D626),4)</f>
        <v>0</v>
      </c>
      <c r="T626" s="67">
        <f>ROUND(+IF(K626=0,Q626*D626,0),4)</f>
        <v>0</v>
      </c>
      <c r="U626" s="67">
        <f>ROUND(+N626+R626+S626+T626,4)</f>
        <v>0</v>
      </c>
      <c r="V626" s="67">
        <f>ROUND(IF(P626=0,0,I626-H626-O626)+IF(L626=0,0,I626-H626-K626),4)</f>
        <v>0</v>
      </c>
      <c r="W626" s="67">
        <f>ROUND(+(V626*60%)*D626,4)</f>
        <v>0</v>
      </c>
      <c r="X626" s="148">
        <f>ROUND(+U626+W626,4)</f>
        <v>0</v>
      </c>
      <c r="Y626" s="68"/>
      <c r="Z626" s="148">
        <f>ROUND(IF(X626&gt;I626,X626,I626),4)</f>
        <v>0</v>
      </c>
    </row>
    <row r="627" spans="1:26" x14ac:dyDescent="0.2">
      <c r="A627" s="66"/>
      <c r="B627" s="66"/>
      <c r="C627" s="66"/>
      <c r="D627" s="144"/>
      <c r="E627" s="67"/>
      <c r="F627" s="67"/>
      <c r="G627" s="67"/>
      <c r="H627" s="67">
        <f>ROUND(+E627+G627,4)</f>
        <v>0</v>
      </c>
      <c r="I627" s="67"/>
      <c r="J627" s="67">
        <f>ROUND(+I627-H627,4)</f>
        <v>0</v>
      </c>
      <c r="K627" s="67">
        <f>ROUND(IF(F627="alluminio",0,I627*1.5%),4)</f>
        <v>0</v>
      </c>
      <c r="L627" s="67">
        <f>ROUND(IF(K627&lt;J627,K627,0),4)</f>
        <v>0</v>
      </c>
      <c r="M627" s="67">
        <f>ROUND(IF(J627&gt;K627,0,J627),4)</f>
        <v>0</v>
      </c>
      <c r="N627" s="67">
        <f>ROUND(+L627*D627,4)</f>
        <v>0</v>
      </c>
      <c r="O627" s="67">
        <f>ROUND(IF(F627="rame",0,+I627*3%),4)</f>
        <v>0</v>
      </c>
      <c r="P627" s="67">
        <f>ROUND(IF(O627&lt;J627,O627,0),4)</f>
        <v>0</v>
      </c>
      <c r="Q627" s="67">
        <f>ROUND(IF(J627&gt;O627,0,J627),4)</f>
        <v>0</v>
      </c>
      <c r="R627" s="67">
        <f>ROUND(+P627*D627,4)</f>
        <v>0</v>
      </c>
      <c r="S627" s="67">
        <f>ROUND(IF(K627=0,0,M627*D627),4)</f>
        <v>0</v>
      </c>
      <c r="T627" s="67">
        <f>ROUND(+IF(K627=0,Q627*D627,0),4)</f>
        <v>0</v>
      </c>
      <c r="U627" s="67">
        <f>ROUND(+N627+R627+S627+T627,4)</f>
        <v>0</v>
      </c>
      <c r="V627" s="67">
        <f>ROUND(IF(P627=0,0,I627-H627-O627)+IF(L627=0,0,I627-H627-K627),4)</f>
        <v>0</v>
      </c>
      <c r="W627" s="67">
        <f>ROUND(+(V627*60%)*D627,4)</f>
        <v>0</v>
      </c>
      <c r="X627" s="148">
        <f>ROUND(+U627+W627,4)</f>
        <v>0</v>
      </c>
      <c r="Y627" s="68"/>
      <c r="Z627" s="148">
        <f>ROUND(IF(X627&gt;I627,X627,I627),4)</f>
        <v>0</v>
      </c>
    </row>
    <row r="628" spans="1:26" x14ac:dyDescent="0.2">
      <c r="A628" s="66"/>
      <c r="B628" s="66"/>
      <c r="C628" s="66"/>
      <c r="D628" s="144"/>
      <c r="E628" s="67"/>
      <c r="F628" s="67"/>
      <c r="G628" s="67"/>
      <c r="H628" s="67">
        <f>ROUND(+E628+G628,4)</f>
        <v>0</v>
      </c>
      <c r="I628" s="67"/>
      <c r="J628" s="67">
        <f>ROUND(+I628-H628,4)</f>
        <v>0</v>
      </c>
      <c r="K628" s="67">
        <f>ROUND(IF(F628="alluminio",0,I628*1.5%),4)</f>
        <v>0</v>
      </c>
      <c r="L628" s="67">
        <f>ROUND(IF(K628&lt;J628,K628,0),4)</f>
        <v>0</v>
      </c>
      <c r="M628" s="67">
        <f>ROUND(IF(J628&gt;K628,0,J628),4)</f>
        <v>0</v>
      </c>
      <c r="N628" s="67">
        <f>ROUND(+L628*D628,4)</f>
        <v>0</v>
      </c>
      <c r="O628" s="67">
        <f>ROUND(IF(F628="rame",0,+I628*3%),4)</f>
        <v>0</v>
      </c>
      <c r="P628" s="67">
        <f>ROUND(IF(O628&lt;J628,O628,0),4)</f>
        <v>0</v>
      </c>
      <c r="Q628" s="67">
        <f>ROUND(IF(J628&gt;O628,0,J628),4)</f>
        <v>0</v>
      </c>
      <c r="R628" s="67">
        <f>ROUND(+P628*D628,4)</f>
        <v>0</v>
      </c>
      <c r="S628" s="67">
        <f>ROUND(IF(K628=0,0,M628*D628),4)</f>
        <v>0</v>
      </c>
      <c r="T628" s="67">
        <f>ROUND(+IF(K628=0,Q628*D628,0),4)</f>
        <v>0</v>
      </c>
      <c r="U628" s="67">
        <f>ROUND(+N628+R628+S628+T628,4)</f>
        <v>0</v>
      </c>
      <c r="V628" s="67">
        <f>ROUND(IF(P628=0,0,I628-H628-O628)+IF(L628=0,0,I628-H628-K628),4)</f>
        <v>0</v>
      </c>
      <c r="W628" s="67">
        <f>ROUND(+(V628*60%)*D628,4)</f>
        <v>0</v>
      </c>
      <c r="X628" s="148">
        <f>ROUND(+U628+W628,4)</f>
        <v>0</v>
      </c>
      <c r="Y628" s="68"/>
      <c r="Z628" s="148">
        <f>ROUND(IF(X628&gt;I628,X628,I628),4)</f>
        <v>0</v>
      </c>
    </row>
    <row r="629" spans="1:26" x14ac:dyDescent="0.2">
      <c r="A629" s="66"/>
      <c r="B629" s="66"/>
      <c r="C629" s="66"/>
      <c r="D629" s="144"/>
      <c r="E629" s="67"/>
      <c r="F629" s="67"/>
      <c r="G629" s="67"/>
      <c r="H629" s="67">
        <f>ROUND(+E629+G629,4)</f>
        <v>0</v>
      </c>
      <c r="I629" s="67"/>
      <c r="J629" s="67">
        <f>ROUND(+I629-H629,4)</f>
        <v>0</v>
      </c>
      <c r="K629" s="67">
        <f>ROUND(IF(F629="alluminio",0,I629*1.5%),4)</f>
        <v>0</v>
      </c>
      <c r="L629" s="67">
        <f>ROUND(IF(K629&lt;J629,K629,0),4)</f>
        <v>0</v>
      </c>
      <c r="M629" s="67">
        <f>ROUND(IF(J629&gt;K629,0,J629),4)</f>
        <v>0</v>
      </c>
      <c r="N629" s="67">
        <f>ROUND(+L629*D629,4)</f>
        <v>0</v>
      </c>
      <c r="O629" s="67">
        <f>ROUND(IF(F629="rame",0,+I629*3%),4)</f>
        <v>0</v>
      </c>
      <c r="P629" s="67">
        <f>ROUND(IF(O629&lt;J629,O629,0),4)</f>
        <v>0</v>
      </c>
      <c r="Q629" s="67">
        <f>ROUND(IF(J629&gt;O629,0,J629),4)</f>
        <v>0</v>
      </c>
      <c r="R629" s="67">
        <f>ROUND(+P629*D629,4)</f>
        <v>0</v>
      </c>
      <c r="S629" s="67">
        <f>ROUND(IF(K629=0,0,M629*D629),4)</f>
        <v>0</v>
      </c>
      <c r="T629" s="67">
        <f>ROUND(+IF(K629=0,Q629*D629,0),4)</f>
        <v>0</v>
      </c>
      <c r="U629" s="67">
        <f>ROUND(+N629+R629+S629+T629,4)</f>
        <v>0</v>
      </c>
      <c r="V629" s="67">
        <f>ROUND(IF(P629=0,0,I629-H629-O629)+IF(L629=0,0,I629-H629-K629),4)</f>
        <v>0</v>
      </c>
      <c r="W629" s="67">
        <f>ROUND(+(V629*60%)*D629,4)</f>
        <v>0</v>
      </c>
      <c r="X629" s="148">
        <f>ROUND(+U629+W629,4)</f>
        <v>0</v>
      </c>
      <c r="Y629" s="68"/>
      <c r="Z629" s="148">
        <f>ROUND(IF(X629&gt;I629,X629,I629),4)</f>
        <v>0</v>
      </c>
    </row>
    <row r="630" spans="1:26" x14ac:dyDescent="0.2">
      <c r="A630" s="66"/>
      <c r="B630" s="66"/>
      <c r="C630" s="66"/>
      <c r="D630" s="144"/>
      <c r="E630" s="67"/>
      <c r="F630" s="67"/>
      <c r="G630" s="67"/>
      <c r="H630" s="67">
        <f>ROUND(+E630+G630,4)</f>
        <v>0</v>
      </c>
      <c r="I630" s="67"/>
      <c r="J630" s="67">
        <f>ROUND(+I630-H630,4)</f>
        <v>0</v>
      </c>
      <c r="K630" s="67">
        <f>ROUND(IF(F630="alluminio",0,I630*1.5%),4)</f>
        <v>0</v>
      </c>
      <c r="L630" s="67">
        <f>ROUND(IF(K630&lt;J630,K630,0),4)</f>
        <v>0</v>
      </c>
      <c r="M630" s="67">
        <f>ROUND(IF(J630&gt;K630,0,J630),4)</f>
        <v>0</v>
      </c>
      <c r="N630" s="67">
        <f>ROUND(+L630*D630,4)</f>
        <v>0</v>
      </c>
      <c r="O630" s="67">
        <f>ROUND(IF(F630="rame",0,+I630*3%),4)</f>
        <v>0</v>
      </c>
      <c r="P630" s="67">
        <f>ROUND(IF(O630&lt;J630,O630,0),4)</f>
        <v>0</v>
      </c>
      <c r="Q630" s="67">
        <f>ROUND(IF(J630&gt;O630,0,J630),4)</f>
        <v>0</v>
      </c>
      <c r="R630" s="67">
        <f>ROUND(+P630*D630,4)</f>
        <v>0</v>
      </c>
      <c r="S630" s="67">
        <f>ROUND(IF(K630=0,0,M630*D630),4)</f>
        <v>0</v>
      </c>
      <c r="T630" s="67">
        <f>ROUND(+IF(K630=0,Q630*D630,0),4)</f>
        <v>0</v>
      </c>
      <c r="U630" s="67">
        <f>ROUND(+N630+R630+S630+T630,4)</f>
        <v>0</v>
      </c>
      <c r="V630" s="67">
        <f>ROUND(IF(P630=0,0,I630-H630-O630)+IF(L630=0,0,I630-H630-K630),4)</f>
        <v>0</v>
      </c>
      <c r="W630" s="67">
        <f>ROUND(+(V630*60%)*D630,4)</f>
        <v>0</v>
      </c>
      <c r="X630" s="148">
        <f>ROUND(+U630+W630,4)</f>
        <v>0</v>
      </c>
      <c r="Y630" s="68"/>
      <c r="Z630" s="148">
        <f>ROUND(IF(X630&gt;I630,X630,I630),4)</f>
        <v>0</v>
      </c>
    </row>
    <row r="631" spans="1:26" x14ac:dyDescent="0.2">
      <c r="A631" s="66"/>
      <c r="B631" s="66"/>
      <c r="C631" s="66"/>
      <c r="D631" s="144"/>
      <c r="E631" s="67"/>
      <c r="F631" s="67"/>
      <c r="G631" s="67"/>
      <c r="H631" s="67">
        <f>ROUND(+E631+G631,4)</f>
        <v>0</v>
      </c>
      <c r="I631" s="67"/>
      <c r="J631" s="67">
        <f>ROUND(+I631-H631,4)</f>
        <v>0</v>
      </c>
      <c r="K631" s="67">
        <f>ROUND(IF(F631="alluminio",0,I631*1.5%),4)</f>
        <v>0</v>
      </c>
      <c r="L631" s="67">
        <f>ROUND(IF(K631&lt;J631,K631,0),4)</f>
        <v>0</v>
      </c>
      <c r="M631" s="67">
        <f>ROUND(IF(J631&gt;K631,0,J631),4)</f>
        <v>0</v>
      </c>
      <c r="N631" s="67">
        <f>ROUND(+L631*D631,4)</f>
        <v>0</v>
      </c>
      <c r="O631" s="67">
        <f>ROUND(IF(F631="rame",0,+I631*3%),4)</f>
        <v>0</v>
      </c>
      <c r="P631" s="67">
        <f>ROUND(IF(O631&lt;J631,O631,0),4)</f>
        <v>0</v>
      </c>
      <c r="Q631" s="67">
        <f>ROUND(IF(J631&gt;O631,0,J631),4)</f>
        <v>0</v>
      </c>
      <c r="R631" s="67">
        <f>ROUND(+P631*D631,4)</f>
        <v>0</v>
      </c>
      <c r="S631" s="67">
        <f>ROUND(IF(K631=0,0,M631*D631),4)</f>
        <v>0</v>
      </c>
      <c r="T631" s="67">
        <f>ROUND(+IF(K631=0,Q631*D631,0),4)</f>
        <v>0</v>
      </c>
      <c r="U631" s="67">
        <f>ROUND(+N631+R631+S631+T631,4)</f>
        <v>0</v>
      </c>
      <c r="V631" s="67">
        <f>ROUND(IF(P631=0,0,I631-H631-O631)+IF(L631=0,0,I631-H631-K631),4)</f>
        <v>0</v>
      </c>
      <c r="W631" s="67">
        <f>ROUND(+(V631*60%)*D631,4)</f>
        <v>0</v>
      </c>
      <c r="X631" s="148">
        <f>ROUND(+U631+W631,4)</f>
        <v>0</v>
      </c>
      <c r="Y631" s="68"/>
      <c r="Z631" s="148">
        <f>ROUND(IF(X631&gt;I631,X631,I631),4)</f>
        <v>0</v>
      </c>
    </row>
    <row r="632" spans="1:26" x14ac:dyDescent="0.2">
      <c r="A632" s="66"/>
      <c r="B632" s="66"/>
      <c r="C632" s="66"/>
      <c r="D632" s="144"/>
      <c r="E632" s="67"/>
      <c r="F632" s="67"/>
      <c r="G632" s="67"/>
      <c r="H632" s="67">
        <f>ROUND(+E632+G632,4)</f>
        <v>0</v>
      </c>
      <c r="I632" s="67"/>
      <c r="J632" s="67">
        <f>ROUND(+I632-H632,4)</f>
        <v>0</v>
      </c>
      <c r="K632" s="67">
        <f>ROUND(IF(F632="alluminio",0,I632*1.5%),4)</f>
        <v>0</v>
      </c>
      <c r="L632" s="67">
        <f>ROUND(IF(K632&lt;J632,K632,0),4)</f>
        <v>0</v>
      </c>
      <c r="M632" s="67">
        <f>ROUND(IF(J632&gt;K632,0,J632),4)</f>
        <v>0</v>
      </c>
      <c r="N632" s="67">
        <f>ROUND(+L632*D632,4)</f>
        <v>0</v>
      </c>
      <c r="O632" s="67">
        <f>ROUND(IF(F632="rame",0,+I632*3%),4)</f>
        <v>0</v>
      </c>
      <c r="P632" s="67">
        <f>ROUND(IF(O632&lt;J632,O632,0),4)</f>
        <v>0</v>
      </c>
      <c r="Q632" s="67">
        <f>ROUND(IF(J632&gt;O632,0,J632),4)</f>
        <v>0</v>
      </c>
      <c r="R632" s="67">
        <f>ROUND(+P632*D632,4)</f>
        <v>0</v>
      </c>
      <c r="S632" s="67">
        <f>ROUND(IF(K632=0,0,M632*D632),4)</f>
        <v>0</v>
      </c>
      <c r="T632" s="67">
        <f>ROUND(+IF(K632=0,Q632*D632,0),4)</f>
        <v>0</v>
      </c>
      <c r="U632" s="67">
        <f>ROUND(+N632+R632+S632+T632,4)</f>
        <v>0</v>
      </c>
      <c r="V632" s="67">
        <f>ROUND(IF(P632=0,0,I632-H632-O632)+IF(L632=0,0,I632-H632-K632),4)</f>
        <v>0</v>
      </c>
      <c r="W632" s="67">
        <f>ROUND(+(V632*60%)*D632,4)</f>
        <v>0</v>
      </c>
      <c r="X632" s="148">
        <f>ROUND(+U632+W632,4)</f>
        <v>0</v>
      </c>
      <c r="Y632" s="68"/>
      <c r="Z632" s="148">
        <f>ROUND(IF(X632&gt;I632,X632,I632),4)</f>
        <v>0</v>
      </c>
    </row>
    <row r="633" spans="1:26" x14ac:dyDescent="0.2">
      <c r="A633" s="66"/>
      <c r="B633" s="66"/>
      <c r="C633" s="66"/>
      <c r="D633" s="144"/>
      <c r="E633" s="67"/>
      <c r="F633" s="67"/>
      <c r="G633" s="67"/>
      <c r="H633" s="67">
        <f>ROUND(+E633+G633,4)</f>
        <v>0</v>
      </c>
      <c r="I633" s="67"/>
      <c r="J633" s="67">
        <f>ROUND(+I633-H633,4)</f>
        <v>0</v>
      </c>
      <c r="K633" s="67">
        <f>ROUND(IF(F633="alluminio",0,I633*1.5%),4)</f>
        <v>0</v>
      </c>
      <c r="L633" s="67">
        <f>ROUND(IF(K633&lt;J633,K633,0),4)</f>
        <v>0</v>
      </c>
      <c r="M633" s="67">
        <f>ROUND(IF(J633&gt;K633,0,J633),4)</f>
        <v>0</v>
      </c>
      <c r="N633" s="67">
        <f>ROUND(+L633*D633,4)</f>
        <v>0</v>
      </c>
      <c r="O633" s="67">
        <f>ROUND(IF(F633="rame",0,+I633*3%),4)</f>
        <v>0</v>
      </c>
      <c r="P633" s="67">
        <f>ROUND(IF(O633&lt;J633,O633,0),4)</f>
        <v>0</v>
      </c>
      <c r="Q633" s="67">
        <f>ROUND(IF(J633&gt;O633,0,J633),4)</f>
        <v>0</v>
      </c>
      <c r="R633" s="67">
        <f>ROUND(+P633*D633,4)</f>
        <v>0</v>
      </c>
      <c r="S633" s="67">
        <f>ROUND(IF(K633=0,0,M633*D633),4)</f>
        <v>0</v>
      </c>
      <c r="T633" s="67">
        <f>ROUND(+IF(K633=0,Q633*D633,0),4)</f>
        <v>0</v>
      </c>
      <c r="U633" s="67">
        <f>ROUND(+N633+R633+S633+T633,4)</f>
        <v>0</v>
      </c>
      <c r="V633" s="67">
        <f>ROUND(IF(P633=0,0,I633-H633-O633)+IF(L633=0,0,I633-H633-K633),4)</f>
        <v>0</v>
      </c>
      <c r="W633" s="67">
        <f>ROUND(+(V633*60%)*D633,4)</f>
        <v>0</v>
      </c>
      <c r="X633" s="148">
        <f>ROUND(+U633+W633,4)</f>
        <v>0</v>
      </c>
      <c r="Y633" s="68"/>
      <c r="Z633" s="148">
        <f>ROUND(IF(X633&gt;I633,X633,I633),4)</f>
        <v>0</v>
      </c>
    </row>
    <row r="634" spans="1:26" x14ac:dyDescent="0.2">
      <c r="A634" s="66"/>
      <c r="B634" s="66"/>
      <c r="C634" s="66"/>
      <c r="D634" s="144"/>
      <c r="E634" s="67"/>
      <c r="F634" s="67"/>
      <c r="G634" s="67"/>
      <c r="H634" s="67">
        <f>ROUND(+E634+G634,4)</f>
        <v>0</v>
      </c>
      <c r="I634" s="67"/>
      <c r="J634" s="67">
        <f>ROUND(+I634-H634,4)</f>
        <v>0</v>
      </c>
      <c r="K634" s="67">
        <f>ROUND(IF(F634="alluminio",0,I634*1.5%),4)</f>
        <v>0</v>
      </c>
      <c r="L634" s="67">
        <f>ROUND(IF(K634&lt;J634,K634,0),4)</f>
        <v>0</v>
      </c>
      <c r="M634" s="67">
        <f>ROUND(IF(J634&gt;K634,0,J634),4)</f>
        <v>0</v>
      </c>
      <c r="N634" s="67">
        <f>ROUND(+L634*D634,4)</f>
        <v>0</v>
      </c>
      <c r="O634" s="67">
        <f>ROUND(IF(F634="rame",0,+I634*3%),4)</f>
        <v>0</v>
      </c>
      <c r="P634" s="67">
        <f>ROUND(IF(O634&lt;J634,O634,0),4)</f>
        <v>0</v>
      </c>
      <c r="Q634" s="67">
        <f>ROUND(IF(J634&gt;O634,0,J634),4)</f>
        <v>0</v>
      </c>
      <c r="R634" s="67">
        <f>ROUND(+P634*D634,4)</f>
        <v>0</v>
      </c>
      <c r="S634" s="67">
        <f>ROUND(IF(K634=0,0,M634*D634),4)</f>
        <v>0</v>
      </c>
      <c r="T634" s="67">
        <f>ROUND(+IF(K634=0,Q634*D634,0),4)</f>
        <v>0</v>
      </c>
      <c r="U634" s="67">
        <f>ROUND(+N634+R634+S634+T634,4)</f>
        <v>0</v>
      </c>
      <c r="V634" s="67">
        <f>ROUND(IF(P634=0,0,I634-H634-O634)+IF(L634=0,0,I634-H634-K634),4)</f>
        <v>0</v>
      </c>
      <c r="W634" s="67">
        <f>ROUND(+(V634*60%)*D634,4)</f>
        <v>0</v>
      </c>
      <c r="X634" s="148">
        <f>ROUND(+U634+W634,4)</f>
        <v>0</v>
      </c>
      <c r="Y634" s="68"/>
      <c r="Z634" s="148">
        <f>ROUND(IF(X634&gt;I634,X634,I634),4)</f>
        <v>0</v>
      </c>
    </row>
    <row r="635" spans="1:26" x14ac:dyDescent="0.2">
      <c r="A635" s="66"/>
      <c r="B635" s="66"/>
      <c r="C635" s="66"/>
      <c r="D635" s="144"/>
      <c r="E635" s="67"/>
      <c r="F635" s="67"/>
      <c r="G635" s="67"/>
      <c r="H635" s="67">
        <f>ROUND(+E635+G635,4)</f>
        <v>0</v>
      </c>
      <c r="I635" s="67"/>
      <c r="J635" s="67">
        <f>ROUND(+I635-H635,4)</f>
        <v>0</v>
      </c>
      <c r="K635" s="67">
        <f>ROUND(IF(F635="alluminio",0,I635*1.5%),4)</f>
        <v>0</v>
      </c>
      <c r="L635" s="67">
        <f>ROUND(IF(K635&lt;J635,K635,0),4)</f>
        <v>0</v>
      </c>
      <c r="M635" s="67">
        <f>ROUND(IF(J635&gt;K635,0,J635),4)</f>
        <v>0</v>
      </c>
      <c r="N635" s="67">
        <f>ROUND(+L635*D635,4)</f>
        <v>0</v>
      </c>
      <c r="O635" s="67">
        <f>ROUND(IF(F635="rame",0,+I635*3%),4)</f>
        <v>0</v>
      </c>
      <c r="P635" s="67">
        <f>ROUND(IF(O635&lt;J635,O635,0),4)</f>
        <v>0</v>
      </c>
      <c r="Q635" s="67">
        <f>ROUND(IF(J635&gt;O635,0,J635),4)</f>
        <v>0</v>
      </c>
      <c r="R635" s="67">
        <f>ROUND(+P635*D635,4)</f>
        <v>0</v>
      </c>
      <c r="S635" s="67">
        <f>ROUND(IF(K635=0,0,M635*D635),4)</f>
        <v>0</v>
      </c>
      <c r="T635" s="67">
        <f>ROUND(+IF(K635=0,Q635*D635,0),4)</f>
        <v>0</v>
      </c>
      <c r="U635" s="67">
        <f>ROUND(+N635+R635+S635+T635,4)</f>
        <v>0</v>
      </c>
      <c r="V635" s="67">
        <f>ROUND(IF(P635=0,0,I635-H635-O635)+IF(L635=0,0,I635-H635-K635),4)</f>
        <v>0</v>
      </c>
      <c r="W635" s="67">
        <f>ROUND(+(V635*60%)*D635,4)</f>
        <v>0</v>
      </c>
      <c r="X635" s="148">
        <f>ROUND(+U635+W635,4)</f>
        <v>0</v>
      </c>
      <c r="Y635" s="68"/>
      <c r="Z635" s="148">
        <f>ROUND(IF(X635&gt;I635,X635,I635),4)</f>
        <v>0</v>
      </c>
    </row>
    <row r="636" spans="1:26" x14ac:dyDescent="0.2">
      <c r="A636" s="66"/>
      <c r="B636" s="66"/>
      <c r="C636" s="66"/>
      <c r="D636" s="144"/>
      <c r="E636" s="67"/>
      <c r="F636" s="67"/>
      <c r="G636" s="67"/>
      <c r="H636" s="67">
        <f>ROUND(+E636+G636,4)</f>
        <v>0</v>
      </c>
      <c r="I636" s="67"/>
      <c r="J636" s="67">
        <f>ROUND(+I636-H636,4)</f>
        <v>0</v>
      </c>
      <c r="K636" s="67">
        <f>ROUND(IF(F636="alluminio",0,I636*1.5%),4)</f>
        <v>0</v>
      </c>
      <c r="L636" s="67">
        <f>ROUND(IF(K636&lt;J636,K636,0),4)</f>
        <v>0</v>
      </c>
      <c r="M636" s="67">
        <f>ROUND(IF(J636&gt;K636,0,J636),4)</f>
        <v>0</v>
      </c>
      <c r="N636" s="67">
        <f>ROUND(+L636*D636,4)</f>
        <v>0</v>
      </c>
      <c r="O636" s="67">
        <f>ROUND(IF(F636="rame",0,+I636*3%),4)</f>
        <v>0</v>
      </c>
      <c r="P636" s="67">
        <f>ROUND(IF(O636&lt;J636,O636,0),4)</f>
        <v>0</v>
      </c>
      <c r="Q636" s="67">
        <f>ROUND(IF(J636&gt;O636,0,J636),4)</f>
        <v>0</v>
      </c>
      <c r="R636" s="67">
        <f>ROUND(+P636*D636,4)</f>
        <v>0</v>
      </c>
      <c r="S636" s="67">
        <f>ROUND(IF(K636=0,0,M636*D636),4)</f>
        <v>0</v>
      </c>
      <c r="T636" s="67">
        <f>ROUND(+IF(K636=0,Q636*D636,0),4)</f>
        <v>0</v>
      </c>
      <c r="U636" s="67">
        <f>ROUND(+N636+R636+S636+T636,4)</f>
        <v>0</v>
      </c>
      <c r="V636" s="67">
        <f>ROUND(IF(P636=0,0,I636-H636-O636)+IF(L636=0,0,I636-H636-K636),4)</f>
        <v>0</v>
      </c>
      <c r="W636" s="67">
        <f>ROUND(+(V636*60%)*D636,4)</f>
        <v>0</v>
      </c>
      <c r="X636" s="148">
        <f>ROUND(+U636+W636,4)</f>
        <v>0</v>
      </c>
      <c r="Y636" s="68"/>
      <c r="Z636" s="148">
        <f>ROUND(IF(X636&gt;I636,X636,I636),4)</f>
        <v>0</v>
      </c>
    </row>
    <row r="637" spans="1:26" x14ac:dyDescent="0.2">
      <c r="A637" s="66"/>
      <c r="B637" s="66"/>
      <c r="C637" s="66"/>
      <c r="D637" s="144"/>
      <c r="E637" s="67"/>
      <c r="F637" s="67"/>
      <c r="G637" s="67"/>
      <c r="H637" s="67">
        <f>ROUND(+E637+G637,4)</f>
        <v>0</v>
      </c>
      <c r="I637" s="67"/>
      <c r="J637" s="67">
        <f>ROUND(+I637-H637,4)</f>
        <v>0</v>
      </c>
      <c r="K637" s="67">
        <f>ROUND(IF(F637="alluminio",0,I637*1.5%),4)</f>
        <v>0</v>
      </c>
      <c r="L637" s="67">
        <f>ROUND(IF(K637&lt;J637,K637,0),4)</f>
        <v>0</v>
      </c>
      <c r="M637" s="67">
        <f>ROUND(IF(J637&gt;K637,0,J637),4)</f>
        <v>0</v>
      </c>
      <c r="N637" s="67">
        <f>ROUND(+L637*D637,4)</f>
        <v>0</v>
      </c>
      <c r="O637" s="67">
        <f>ROUND(IF(F637="rame",0,+I637*3%),4)</f>
        <v>0</v>
      </c>
      <c r="P637" s="67">
        <f>ROUND(IF(O637&lt;J637,O637,0),4)</f>
        <v>0</v>
      </c>
      <c r="Q637" s="67">
        <f>ROUND(IF(J637&gt;O637,0,J637),4)</f>
        <v>0</v>
      </c>
      <c r="R637" s="67">
        <f>ROUND(+P637*D637,4)</f>
        <v>0</v>
      </c>
      <c r="S637" s="67">
        <f>ROUND(IF(K637=0,0,M637*D637),4)</f>
        <v>0</v>
      </c>
      <c r="T637" s="67">
        <f>ROUND(+IF(K637=0,Q637*D637,0),4)</f>
        <v>0</v>
      </c>
      <c r="U637" s="67">
        <f>ROUND(+N637+R637+S637+T637,4)</f>
        <v>0</v>
      </c>
      <c r="V637" s="67">
        <f>ROUND(IF(P637=0,0,I637-H637-O637)+IF(L637=0,0,I637-H637-K637),4)</f>
        <v>0</v>
      </c>
      <c r="W637" s="67">
        <f>ROUND(+(V637*60%)*D637,4)</f>
        <v>0</v>
      </c>
      <c r="X637" s="148">
        <f>ROUND(+U637+W637,4)</f>
        <v>0</v>
      </c>
      <c r="Y637" s="68"/>
      <c r="Z637" s="148">
        <f>ROUND(IF(X637&gt;I637,X637,I637),4)</f>
        <v>0</v>
      </c>
    </row>
    <row r="638" spans="1:26" x14ac:dyDescent="0.2">
      <c r="A638" s="66"/>
      <c r="B638" s="66"/>
      <c r="C638" s="66"/>
      <c r="D638" s="144"/>
      <c r="E638" s="67"/>
      <c r="F638" s="67"/>
      <c r="G638" s="67"/>
      <c r="H638" s="67">
        <f>ROUND(+E638+G638,4)</f>
        <v>0</v>
      </c>
      <c r="I638" s="67"/>
      <c r="J638" s="67">
        <f>ROUND(+I638-H638,4)</f>
        <v>0</v>
      </c>
      <c r="K638" s="67">
        <f>ROUND(IF(F638="alluminio",0,I638*1.5%),4)</f>
        <v>0</v>
      </c>
      <c r="L638" s="67">
        <f>ROUND(IF(K638&lt;J638,K638,0),4)</f>
        <v>0</v>
      </c>
      <c r="M638" s="67">
        <f>ROUND(IF(J638&gt;K638,0,J638),4)</f>
        <v>0</v>
      </c>
      <c r="N638" s="67">
        <f>ROUND(+L638*D638,4)</f>
        <v>0</v>
      </c>
      <c r="O638" s="67">
        <f>ROUND(IF(F638="rame",0,+I638*3%),4)</f>
        <v>0</v>
      </c>
      <c r="P638" s="67">
        <f>ROUND(IF(O638&lt;J638,O638,0),4)</f>
        <v>0</v>
      </c>
      <c r="Q638" s="67">
        <f>ROUND(IF(J638&gt;O638,0,J638),4)</f>
        <v>0</v>
      </c>
      <c r="R638" s="67">
        <f>ROUND(+P638*D638,4)</f>
        <v>0</v>
      </c>
      <c r="S638" s="67">
        <f>ROUND(IF(K638=0,0,M638*D638),4)</f>
        <v>0</v>
      </c>
      <c r="T638" s="67">
        <f>ROUND(+IF(K638=0,Q638*D638,0),4)</f>
        <v>0</v>
      </c>
      <c r="U638" s="67">
        <f>ROUND(+N638+R638+S638+T638,4)</f>
        <v>0</v>
      </c>
      <c r="V638" s="67">
        <f>ROUND(IF(P638=0,0,I638-H638-O638)+IF(L638=0,0,I638-H638-K638),4)</f>
        <v>0</v>
      </c>
      <c r="W638" s="67">
        <f>ROUND(+(V638*60%)*D638,4)</f>
        <v>0</v>
      </c>
      <c r="X638" s="148">
        <f>ROUND(+U638+W638,4)</f>
        <v>0</v>
      </c>
      <c r="Y638" s="68"/>
      <c r="Z638" s="148">
        <f>ROUND(IF(X638&gt;I638,X638,I638),4)</f>
        <v>0</v>
      </c>
    </row>
    <row r="639" spans="1:26" x14ac:dyDescent="0.2">
      <c r="A639" s="66"/>
      <c r="B639" s="66"/>
      <c r="C639" s="66"/>
      <c r="D639" s="144"/>
      <c r="E639" s="67"/>
      <c r="F639" s="67"/>
      <c r="G639" s="67"/>
      <c r="H639" s="67">
        <f>ROUND(+E639+G639,4)</f>
        <v>0</v>
      </c>
      <c r="I639" s="67"/>
      <c r="J639" s="67">
        <f>ROUND(+I639-H639,4)</f>
        <v>0</v>
      </c>
      <c r="K639" s="67">
        <f>ROUND(IF(F639="alluminio",0,I639*1.5%),4)</f>
        <v>0</v>
      </c>
      <c r="L639" s="67">
        <f>ROUND(IF(K639&lt;J639,K639,0),4)</f>
        <v>0</v>
      </c>
      <c r="M639" s="67">
        <f>ROUND(IF(J639&gt;K639,0,J639),4)</f>
        <v>0</v>
      </c>
      <c r="N639" s="67">
        <f>ROUND(+L639*D639,4)</f>
        <v>0</v>
      </c>
      <c r="O639" s="67">
        <f>ROUND(IF(F639="rame",0,+I639*3%),4)</f>
        <v>0</v>
      </c>
      <c r="P639" s="67">
        <f>ROUND(IF(O639&lt;J639,O639,0),4)</f>
        <v>0</v>
      </c>
      <c r="Q639" s="67">
        <f>ROUND(IF(J639&gt;O639,0,J639),4)</f>
        <v>0</v>
      </c>
      <c r="R639" s="67">
        <f>ROUND(+P639*D639,4)</f>
        <v>0</v>
      </c>
      <c r="S639" s="67">
        <f>ROUND(IF(K639=0,0,M639*D639),4)</f>
        <v>0</v>
      </c>
      <c r="T639" s="67">
        <f>ROUND(+IF(K639=0,Q639*D639,0),4)</f>
        <v>0</v>
      </c>
      <c r="U639" s="67">
        <f>ROUND(+N639+R639+S639+T639,4)</f>
        <v>0</v>
      </c>
      <c r="V639" s="67">
        <f>ROUND(IF(P639=0,0,I639-H639-O639)+IF(L639=0,0,I639-H639-K639),4)</f>
        <v>0</v>
      </c>
      <c r="W639" s="67">
        <f>ROUND(+(V639*60%)*D639,4)</f>
        <v>0</v>
      </c>
      <c r="X639" s="148">
        <f>ROUND(+U639+W639,4)</f>
        <v>0</v>
      </c>
      <c r="Y639" s="68"/>
      <c r="Z639" s="148">
        <f>ROUND(IF(X639&gt;I639,X639,I639),4)</f>
        <v>0</v>
      </c>
    </row>
    <row r="640" spans="1:26" x14ac:dyDescent="0.2">
      <c r="A640" s="66"/>
      <c r="B640" s="66"/>
      <c r="C640" s="66"/>
      <c r="D640" s="144"/>
      <c r="E640" s="67"/>
      <c r="F640" s="67"/>
      <c r="G640" s="67"/>
      <c r="H640" s="67">
        <f>ROUND(+E640+G640,4)</f>
        <v>0</v>
      </c>
      <c r="I640" s="67"/>
      <c r="J640" s="67">
        <f>ROUND(+I640-H640,4)</f>
        <v>0</v>
      </c>
      <c r="K640" s="67">
        <f>ROUND(IF(F640="alluminio",0,I640*1.5%),4)</f>
        <v>0</v>
      </c>
      <c r="L640" s="67">
        <f>ROUND(IF(K640&lt;J640,K640,0),4)</f>
        <v>0</v>
      </c>
      <c r="M640" s="67">
        <f>ROUND(IF(J640&gt;K640,0,J640),4)</f>
        <v>0</v>
      </c>
      <c r="N640" s="67">
        <f>ROUND(+L640*D640,4)</f>
        <v>0</v>
      </c>
      <c r="O640" s="67">
        <f>ROUND(IF(F640="rame",0,+I640*3%),4)</f>
        <v>0</v>
      </c>
      <c r="P640" s="67">
        <f>ROUND(IF(O640&lt;J640,O640,0),4)</f>
        <v>0</v>
      </c>
      <c r="Q640" s="67">
        <f>ROUND(IF(J640&gt;O640,0,J640),4)</f>
        <v>0</v>
      </c>
      <c r="R640" s="67">
        <f>ROUND(+P640*D640,4)</f>
        <v>0</v>
      </c>
      <c r="S640" s="67">
        <f>ROUND(IF(K640=0,0,M640*D640),4)</f>
        <v>0</v>
      </c>
      <c r="T640" s="67">
        <f>ROUND(+IF(K640=0,Q640*D640,0),4)</f>
        <v>0</v>
      </c>
      <c r="U640" s="67">
        <f>ROUND(+N640+R640+S640+T640,4)</f>
        <v>0</v>
      </c>
      <c r="V640" s="67">
        <f>ROUND(IF(P640=0,0,I640-H640-O640)+IF(L640=0,0,I640-H640-K640),4)</f>
        <v>0</v>
      </c>
      <c r="W640" s="67">
        <f>ROUND(+(V640*60%)*D640,4)</f>
        <v>0</v>
      </c>
      <c r="X640" s="148">
        <f>ROUND(+U640+W640,4)</f>
        <v>0</v>
      </c>
      <c r="Y640" s="68"/>
      <c r="Z640" s="148">
        <f>ROUND(IF(X640&gt;I640,X640,I640),4)</f>
        <v>0</v>
      </c>
    </row>
    <row r="641" spans="1:26" x14ac:dyDescent="0.2">
      <c r="A641" s="66"/>
      <c r="B641" s="66"/>
      <c r="C641" s="66"/>
      <c r="D641" s="144"/>
      <c r="E641" s="67"/>
      <c r="F641" s="67"/>
      <c r="G641" s="67"/>
      <c r="H641" s="67">
        <f>ROUND(+E641+G641,4)</f>
        <v>0</v>
      </c>
      <c r="I641" s="67"/>
      <c r="J641" s="67">
        <f>ROUND(+I641-H641,4)</f>
        <v>0</v>
      </c>
      <c r="K641" s="67">
        <f>ROUND(IF(F641="alluminio",0,I641*1.5%),4)</f>
        <v>0</v>
      </c>
      <c r="L641" s="67">
        <f>ROUND(IF(K641&lt;J641,K641,0),4)</f>
        <v>0</v>
      </c>
      <c r="M641" s="67">
        <f>ROUND(IF(J641&gt;K641,0,J641),4)</f>
        <v>0</v>
      </c>
      <c r="N641" s="67">
        <f>ROUND(+L641*D641,4)</f>
        <v>0</v>
      </c>
      <c r="O641" s="67">
        <f>ROUND(IF(F641="rame",0,+I641*3%),4)</f>
        <v>0</v>
      </c>
      <c r="P641" s="67">
        <f>ROUND(IF(O641&lt;J641,O641,0),4)</f>
        <v>0</v>
      </c>
      <c r="Q641" s="67">
        <f>ROUND(IF(J641&gt;O641,0,J641),4)</f>
        <v>0</v>
      </c>
      <c r="R641" s="67">
        <f>ROUND(+P641*D641,4)</f>
        <v>0</v>
      </c>
      <c r="S641" s="67">
        <f>ROUND(IF(K641=0,0,M641*D641),4)</f>
        <v>0</v>
      </c>
      <c r="T641" s="67">
        <f>ROUND(+IF(K641=0,Q641*D641,0),4)</f>
        <v>0</v>
      </c>
      <c r="U641" s="67">
        <f>ROUND(+N641+R641+S641+T641,4)</f>
        <v>0</v>
      </c>
      <c r="V641" s="67">
        <f>ROUND(IF(P641=0,0,I641-H641-O641)+IF(L641=0,0,I641-H641-K641),4)</f>
        <v>0</v>
      </c>
      <c r="W641" s="67">
        <f>ROUND(+(V641*60%)*D641,4)</f>
        <v>0</v>
      </c>
      <c r="X641" s="148">
        <f>ROUND(+U641+W641,4)</f>
        <v>0</v>
      </c>
      <c r="Y641" s="68"/>
      <c r="Z641" s="148">
        <f>ROUND(IF(X641&gt;I641,X641,I641),4)</f>
        <v>0</v>
      </c>
    </row>
    <row r="642" spans="1:26" x14ac:dyDescent="0.2">
      <c r="A642" s="66"/>
      <c r="B642" s="66"/>
      <c r="C642" s="66"/>
      <c r="D642" s="144"/>
      <c r="E642" s="67"/>
      <c r="F642" s="67"/>
      <c r="G642" s="67"/>
      <c r="H642" s="67">
        <f>ROUND(+E642+G642,4)</f>
        <v>0</v>
      </c>
      <c r="I642" s="67"/>
      <c r="J642" s="67">
        <f>ROUND(+I642-H642,4)</f>
        <v>0</v>
      </c>
      <c r="K642" s="67">
        <f>ROUND(IF(F642="alluminio",0,I642*1.5%),4)</f>
        <v>0</v>
      </c>
      <c r="L642" s="67">
        <f>ROUND(IF(K642&lt;J642,K642,0),4)</f>
        <v>0</v>
      </c>
      <c r="M642" s="67">
        <f>ROUND(IF(J642&gt;K642,0,J642),4)</f>
        <v>0</v>
      </c>
      <c r="N642" s="67">
        <f>ROUND(+L642*D642,4)</f>
        <v>0</v>
      </c>
      <c r="O642" s="67">
        <f>ROUND(IF(F642="rame",0,+I642*3%),4)</f>
        <v>0</v>
      </c>
      <c r="P642" s="67">
        <f>ROUND(IF(O642&lt;J642,O642,0),4)</f>
        <v>0</v>
      </c>
      <c r="Q642" s="67">
        <f>ROUND(IF(J642&gt;O642,0,J642),4)</f>
        <v>0</v>
      </c>
      <c r="R642" s="67">
        <f>ROUND(+P642*D642,4)</f>
        <v>0</v>
      </c>
      <c r="S642" s="67">
        <f>ROUND(IF(K642=0,0,M642*D642),4)</f>
        <v>0</v>
      </c>
      <c r="T642" s="67">
        <f>ROUND(+IF(K642=0,Q642*D642,0),4)</f>
        <v>0</v>
      </c>
      <c r="U642" s="67">
        <f>ROUND(+N642+R642+S642+T642,4)</f>
        <v>0</v>
      </c>
      <c r="V642" s="67">
        <f>ROUND(IF(P642=0,0,I642-H642-O642)+IF(L642=0,0,I642-H642-K642),4)</f>
        <v>0</v>
      </c>
      <c r="W642" s="67">
        <f>ROUND(+(V642*60%)*D642,4)</f>
        <v>0</v>
      </c>
      <c r="X642" s="148">
        <f>ROUND(+U642+W642,4)</f>
        <v>0</v>
      </c>
      <c r="Y642" s="68"/>
      <c r="Z642" s="148">
        <f>ROUND(IF(X642&gt;I642,X642,I642),4)</f>
        <v>0</v>
      </c>
    </row>
    <row r="643" spans="1:26" x14ac:dyDescent="0.2">
      <c r="A643" s="66"/>
      <c r="B643" s="66"/>
      <c r="C643" s="66"/>
      <c r="D643" s="144"/>
      <c r="E643" s="67"/>
      <c r="F643" s="67"/>
      <c r="G643" s="67"/>
      <c r="H643" s="67">
        <f>ROUND(+E643+G643,4)</f>
        <v>0</v>
      </c>
      <c r="I643" s="67"/>
      <c r="J643" s="67">
        <f>ROUND(+I643-H643,4)</f>
        <v>0</v>
      </c>
      <c r="K643" s="67">
        <f>ROUND(IF(F643="alluminio",0,I643*1.5%),4)</f>
        <v>0</v>
      </c>
      <c r="L643" s="67">
        <f>ROUND(IF(K643&lt;J643,K643,0),4)</f>
        <v>0</v>
      </c>
      <c r="M643" s="67">
        <f>ROUND(IF(J643&gt;K643,0,J643),4)</f>
        <v>0</v>
      </c>
      <c r="N643" s="67">
        <f>ROUND(+L643*D643,4)</f>
        <v>0</v>
      </c>
      <c r="O643" s="67">
        <f>ROUND(IF(F643="rame",0,+I643*3%),4)</f>
        <v>0</v>
      </c>
      <c r="P643" s="67">
        <f>ROUND(IF(O643&lt;J643,O643,0),4)</f>
        <v>0</v>
      </c>
      <c r="Q643" s="67">
        <f>ROUND(IF(J643&gt;O643,0,J643),4)</f>
        <v>0</v>
      </c>
      <c r="R643" s="67">
        <f>ROUND(+P643*D643,4)</f>
        <v>0</v>
      </c>
      <c r="S643" s="67">
        <f>ROUND(IF(K643=0,0,M643*D643),4)</f>
        <v>0</v>
      </c>
      <c r="T643" s="67">
        <f>ROUND(+IF(K643=0,Q643*D643,0),4)</f>
        <v>0</v>
      </c>
      <c r="U643" s="67">
        <f>ROUND(+N643+R643+S643+T643,4)</f>
        <v>0</v>
      </c>
      <c r="V643" s="67">
        <f>ROUND(IF(P643=0,0,I643-H643-O643)+IF(L643=0,0,I643-H643-K643),4)</f>
        <v>0</v>
      </c>
      <c r="W643" s="67">
        <f>ROUND(+(V643*60%)*D643,4)</f>
        <v>0</v>
      </c>
      <c r="X643" s="148">
        <f>ROUND(+U643+W643,4)</f>
        <v>0</v>
      </c>
      <c r="Y643" s="68"/>
      <c r="Z643" s="148">
        <f>ROUND(IF(X643&gt;I643,X643,I643),4)</f>
        <v>0</v>
      </c>
    </row>
    <row r="644" spans="1:26" x14ac:dyDescent="0.2">
      <c r="A644" s="66"/>
      <c r="B644" s="66"/>
      <c r="C644" s="66"/>
      <c r="D644" s="144"/>
      <c r="E644" s="67"/>
      <c r="F644" s="67"/>
      <c r="G644" s="67"/>
      <c r="H644" s="67">
        <f>ROUND(+E644+G644,4)</f>
        <v>0</v>
      </c>
      <c r="I644" s="67"/>
      <c r="J644" s="67">
        <f>ROUND(+I644-H644,4)</f>
        <v>0</v>
      </c>
      <c r="K644" s="67">
        <f>ROUND(IF(F644="alluminio",0,I644*1.5%),4)</f>
        <v>0</v>
      </c>
      <c r="L644" s="67">
        <f>ROUND(IF(K644&lt;J644,K644,0),4)</f>
        <v>0</v>
      </c>
      <c r="M644" s="67">
        <f>ROUND(IF(J644&gt;K644,0,J644),4)</f>
        <v>0</v>
      </c>
      <c r="N644" s="67">
        <f>ROUND(+L644*D644,4)</f>
        <v>0</v>
      </c>
      <c r="O644" s="67">
        <f>ROUND(IF(F644="rame",0,+I644*3%),4)</f>
        <v>0</v>
      </c>
      <c r="P644" s="67">
        <f>ROUND(IF(O644&lt;J644,O644,0),4)</f>
        <v>0</v>
      </c>
      <c r="Q644" s="67">
        <f>ROUND(IF(J644&gt;O644,0,J644),4)</f>
        <v>0</v>
      </c>
      <c r="R644" s="67">
        <f>ROUND(+P644*D644,4)</f>
        <v>0</v>
      </c>
      <c r="S644" s="67">
        <f>ROUND(IF(K644=0,0,M644*D644),4)</f>
        <v>0</v>
      </c>
      <c r="T644" s="67">
        <f>ROUND(+IF(K644=0,Q644*D644,0),4)</f>
        <v>0</v>
      </c>
      <c r="U644" s="67">
        <f>ROUND(+N644+R644+S644+T644,4)</f>
        <v>0</v>
      </c>
      <c r="V644" s="67">
        <f>ROUND(IF(P644=0,0,I644-H644-O644)+IF(L644=0,0,I644-H644-K644),4)</f>
        <v>0</v>
      </c>
      <c r="W644" s="67">
        <f>ROUND(+(V644*60%)*D644,4)</f>
        <v>0</v>
      </c>
      <c r="X644" s="148">
        <f>ROUND(+U644+W644,4)</f>
        <v>0</v>
      </c>
      <c r="Y644" s="68"/>
      <c r="Z644" s="148">
        <f>ROUND(IF(X644&gt;I644,X644,I644),4)</f>
        <v>0</v>
      </c>
    </row>
    <row r="645" spans="1:26" x14ac:dyDescent="0.2">
      <c r="A645" s="66"/>
      <c r="B645" s="66"/>
      <c r="C645" s="66"/>
      <c r="D645" s="144"/>
      <c r="E645" s="67"/>
      <c r="F645" s="67"/>
      <c r="G645" s="67"/>
      <c r="H645" s="67">
        <f>ROUND(+E645+G645,4)</f>
        <v>0</v>
      </c>
      <c r="I645" s="67"/>
      <c r="J645" s="67">
        <f>ROUND(+I645-H645,4)</f>
        <v>0</v>
      </c>
      <c r="K645" s="67">
        <f>ROUND(IF(F645="alluminio",0,I645*1.5%),4)</f>
        <v>0</v>
      </c>
      <c r="L645" s="67">
        <f>ROUND(IF(K645&lt;J645,K645,0),4)</f>
        <v>0</v>
      </c>
      <c r="M645" s="67">
        <f>ROUND(IF(J645&gt;K645,0,J645),4)</f>
        <v>0</v>
      </c>
      <c r="N645" s="67">
        <f>ROUND(+L645*D645,4)</f>
        <v>0</v>
      </c>
      <c r="O645" s="67">
        <f>ROUND(IF(F645="rame",0,+I645*3%),4)</f>
        <v>0</v>
      </c>
      <c r="P645" s="67">
        <f>ROUND(IF(O645&lt;J645,O645,0),4)</f>
        <v>0</v>
      </c>
      <c r="Q645" s="67">
        <f>ROUND(IF(J645&gt;O645,0,J645),4)</f>
        <v>0</v>
      </c>
      <c r="R645" s="67">
        <f>ROUND(+P645*D645,4)</f>
        <v>0</v>
      </c>
      <c r="S645" s="67">
        <f>ROUND(IF(K645=0,0,M645*D645),4)</f>
        <v>0</v>
      </c>
      <c r="T645" s="67">
        <f>ROUND(+IF(K645=0,Q645*D645,0),4)</f>
        <v>0</v>
      </c>
      <c r="U645" s="67">
        <f>ROUND(+N645+R645+S645+T645,4)</f>
        <v>0</v>
      </c>
      <c r="V645" s="67">
        <f>ROUND(IF(P645=0,0,I645-H645-O645)+IF(L645=0,0,I645-H645-K645),4)</f>
        <v>0</v>
      </c>
      <c r="W645" s="67">
        <f>ROUND(+(V645*60%)*D645,4)</f>
        <v>0</v>
      </c>
      <c r="X645" s="148">
        <f>ROUND(+U645+W645,4)</f>
        <v>0</v>
      </c>
      <c r="Y645" s="68"/>
      <c r="Z645" s="148">
        <f>ROUND(IF(X645&gt;I645,X645,I645),4)</f>
        <v>0</v>
      </c>
    </row>
    <row r="646" spans="1:26" x14ac:dyDescent="0.2">
      <c r="A646" s="66"/>
      <c r="B646" s="66"/>
      <c r="C646" s="66"/>
      <c r="D646" s="144"/>
      <c r="E646" s="67"/>
      <c r="F646" s="67"/>
      <c r="G646" s="67"/>
      <c r="H646" s="67">
        <f>ROUND(+E646+G646,4)</f>
        <v>0</v>
      </c>
      <c r="I646" s="67"/>
      <c r="J646" s="67">
        <f>ROUND(+I646-H646,4)</f>
        <v>0</v>
      </c>
      <c r="K646" s="67">
        <f>ROUND(IF(F646="alluminio",0,I646*1.5%),4)</f>
        <v>0</v>
      </c>
      <c r="L646" s="67">
        <f>ROUND(IF(K646&lt;J646,K646,0),4)</f>
        <v>0</v>
      </c>
      <c r="M646" s="67">
        <f>ROUND(IF(J646&gt;K646,0,J646),4)</f>
        <v>0</v>
      </c>
      <c r="N646" s="67">
        <f>ROUND(+L646*D646,4)</f>
        <v>0</v>
      </c>
      <c r="O646" s="67">
        <f>ROUND(IF(F646="rame",0,+I646*3%),4)</f>
        <v>0</v>
      </c>
      <c r="P646" s="67">
        <f>ROUND(IF(O646&lt;J646,O646,0),4)</f>
        <v>0</v>
      </c>
      <c r="Q646" s="67">
        <f>ROUND(IF(J646&gt;O646,0,J646),4)</f>
        <v>0</v>
      </c>
      <c r="R646" s="67">
        <f>ROUND(+P646*D646,4)</f>
        <v>0</v>
      </c>
      <c r="S646" s="67">
        <f>ROUND(IF(K646=0,0,M646*D646),4)</f>
        <v>0</v>
      </c>
      <c r="T646" s="67">
        <f>ROUND(+IF(K646=0,Q646*D646,0),4)</f>
        <v>0</v>
      </c>
      <c r="U646" s="67">
        <f>ROUND(+N646+R646+S646+T646,4)</f>
        <v>0</v>
      </c>
      <c r="V646" s="67">
        <f>ROUND(IF(P646=0,0,I646-H646-O646)+IF(L646=0,0,I646-H646-K646),4)</f>
        <v>0</v>
      </c>
      <c r="W646" s="67">
        <f>ROUND(+(V646*60%)*D646,4)</f>
        <v>0</v>
      </c>
      <c r="X646" s="148">
        <f>ROUND(+U646+W646,4)</f>
        <v>0</v>
      </c>
      <c r="Y646" s="68"/>
      <c r="Z646" s="148">
        <f>ROUND(IF(X646&gt;I646,X646,I646),4)</f>
        <v>0</v>
      </c>
    </row>
    <row r="647" spans="1:26" x14ac:dyDescent="0.2">
      <c r="A647" s="66"/>
      <c r="B647" s="66"/>
      <c r="C647" s="66"/>
      <c r="D647" s="144"/>
      <c r="E647" s="67"/>
      <c r="F647" s="67"/>
      <c r="G647" s="67"/>
      <c r="H647" s="67">
        <f>ROUND(+E647+G647,4)</f>
        <v>0</v>
      </c>
      <c r="I647" s="67"/>
      <c r="J647" s="67">
        <f>ROUND(+I647-H647,4)</f>
        <v>0</v>
      </c>
      <c r="K647" s="67">
        <f>ROUND(IF(F647="alluminio",0,I647*1.5%),4)</f>
        <v>0</v>
      </c>
      <c r="L647" s="67">
        <f>ROUND(IF(K647&lt;J647,K647,0),4)</f>
        <v>0</v>
      </c>
      <c r="M647" s="67">
        <f>ROUND(IF(J647&gt;K647,0,J647),4)</f>
        <v>0</v>
      </c>
      <c r="N647" s="67">
        <f>ROUND(+L647*D647,4)</f>
        <v>0</v>
      </c>
      <c r="O647" s="67">
        <f>ROUND(IF(F647="rame",0,+I647*3%),4)</f>
        <v>0</v>
      </c>
      <c r="P647" s="67">
        <f>ROUND(IF(O647&lt;J647,O647,0),4)</f>
        <v>0</v>
      </c>
      <c r="Q647" s="67">
        <f>ROUND(IF(J647&gt;O647,0,J647),4)</f>
        <v>0</v>
      </c>
      <c r="R647" s="67">
        <f>ROUND(+P647*D647,4)</f>
        <v>0</v>
      </c>
      <c r="S647" s="67">
        <f>ROUND(IF(K647=0,0,M647*D647),4)</f>
        <v>0</v>
      </c>
      <c r="T647" s="67">
        <f>ROUND(+IF(K647=0,Q647*D647,0),4)</f>
        <v>0</v>
      </c>
      <c r="U647" s="67">
        <f>ROUND(+N647+R647+S647+T647,4)</f>
        <v>0</v>
      </c>
      <c r="V647" s="67">
        <f>ROUND(IF(P647=0,0,I647-H647-O647)+IF(L647=0,0,I647-H647-K647),4)</f>
        <v>0</v>
      </c>
      <c r="W647" s="67">
        <f>ROUND(+(V647*60%)*D647,4)</f>
        <v>0</v>
      </c>
      <c r="X647" s="148">
        <f>ROUND(+U647+W647,4)</f>
        <v>0</v>
      </c>
      <c r="Y647" s="68"/>
      <c r="Z647" s="148">
        <f>ROUND(IF(X647&gt;I647,X647,I647),4)</f>
        <v>0</v>
      </c>
    </row>
    <row r="648" spans="1:26" x14ac:dyDescent="0.2">
      <c r="A648" s="66"/>
      <c r="B648" s="66"/>
      <c r="C648" s="66"/>
      <c r="D648" s="144"/>
      <c r="E648" s="67"/>
      <c r="F648" s="67"/>
      <c r="G648" s="67"/>
      <c r="H648" s="67">
        <f>ROUND(+E648+G648,4)</f>
        <v>0</v>
      </c>
      <c r="I648" s="67"/>
      <c r="J648" s="67">
        <f>ROUND(+I648-H648,4)</f>
        <v>0</v>
      </c>
      <c r="K648" s="67">
        <f>ROUND(IF(F648="alluminio",0,I648*1.5%),4)</f>
        <v>0</v>
      </c>
      <c r="L648" s="67">
        <f>ROUND(IF(K648&lt;J648,K648,0),4)</f>
        <v>0</v>
      </c>
      <c r="M648" s="67">
        <f>ROUND(IF(J648&gt;K648,0,J648),4)</f>
        <v>0</v>
      </c>
      <c r="N648" s="67">
        <f>ROUND(+L648*D648,4)</f>
        <v>0</v>
      </c>
      <c r="O648" s="67">
        <f>ROUND(IF(F648="rame",0,+I648*3%),4)</f>
        <v>0</v>
      </c>
      <c r="P648" s="67">
        <f>ROUND(IF(O648&lt;J648,O648,0),4)</f>
        <v>0</v>
      </c>
      <c r="Q648" s="67">
        <f>ROUND(IF(J648&gt;O648,0,J648),4)</f>
        <v>0</v>
      </c>
      <c r="R648" s="67">
        <f>ROUND(+P648*D648,4)</f>
        <v>0</v>
      </c>
      <c r="S648" s="67">
        <f>ROUND(IF(K648=0,0,M648*D648),4)</f>
        <v>0</v>
      </c>
      <c r="T648" s="67">
        <f>ROUND(+IF(K648=0,Q648*D648,0),4)</f>
        <v>0</v>
      </c>
      <c r="U648" s="67">
        <f>ROUND(+N648+R648+S648+T648,4)</f>
        <v>0</v>
      </c>
      <c r="V648" s="67">
        <f>ROUND(IF(P648=0,0,I648-H648-O648)+IF(L648=0,0,I648-H648-K648),4)</f>
        <v>0</v>
      </c>
      <c r="W648" s="67">
        <f>ROUND(+(V648*60%)*D648,4)</f>
        <v>0</v>
      </c>
      <c r="X648" s="148">
        <f>ROUND(+U648+W648,4)</f>
        <v>0</v>
      </c>
      <c r="Y648" s="68"/>
      <c r="Z648" s="148">
        <f>ROUND(IF(X648&gt;I648,X648,I648),4)</f>
        <v>0</v>
      </c>
    </row>
    <row r="649" spans="1:26" x14ac:dyDescent="0.2">
      <c r="A649" s="66"/>
      <c r="B649" s="66"/>
      <c r="C649" s="66"/>
      <c r="D649" s="144"/>
      <c r="E649" s="67"/>
      <c r="F649" s="67"/>
      <c r="G649" s="67"/>
      <c r="H649" s="67">
        <f>ROUND(+E649+G649,4)</f>
        <v>0</v>
      </c>
      <c r="I649" s="67"/>
      <c r="J649" s="67">
        <f>ROUND(+I649-H649,4)</f>
        <v>0</v>
      </c>
      <c r="K649" s="67">
        <f>ROUND(IF(F649="alluminio",0,I649*1.5%),4)</f>
        <v>0</v>
      </c>
      <c r="L649" s="67">
        <f>ROUND(IF(K649&lt;J649,K649,0),4)</f>
        <v>0</v>
      </c>
      <c r="M649" s="67">
        <f>ROUND(IF(J649&gt;K649,0,J649),4)</f>
        <v>0</v>
      </c>
      <c r="N649" s="67">
        <f>ROUND(+L649*D649,4)</f>
        <v>0</v>
      </c>
      <c r="O649" s="67">
        <f>ROUND(IF(F649="rame",0,+I649*3%),4)</f>
        <v>0</v>
      </c>
      <c r="P649" s="67">
        <f>ROUND(IF(O649&lt;J649,O649,0),4)</f>
        <v>0</v>
      </c>
      <c r="Q649" s="67">
        <f>ROUND(IF(J649&gt;O649,0,J649),4)</f>
        <v>0</v>
      </c>
      <c r="R649" s="67">
        <f>ROUND(+P649*D649,4)</f>
        <v>0</v>
      </c>
      <c r="S649" s="67">
        <f>ROUND(IF(K649=0,0,M649*D649),4)</f>
        <v>0</v>
      </c>
      <c r="T649" s="67">
        <f>ROUND(+IF(K649=0,Q649*D649,0),4)</f>
        <v>0</v>
      </c>
      <c r="U649" s="67">
        <f>ROUND(+N649+R649+S649+T649,4)</f>
        <v>0</v>
      </c>
      <c r="V649" s="67">
        <f>ROUND(IF(P649=0,0,I649-H649-O649)+IF(L649=0,0,I649-H649-K649),4)</f>
        <v>0</v>
      </c>
      <c r="W649" s="67">
        <f>ROUND(+(V649*60%)*D649,4)</f>
        <v>0</v>
      </c>
      <c r="X649" s="148">
        <f>ROUND(+U649+W649,4)</f>
        <v>0</v>
      </c>
      <c r="Y649" s="68"/>
      <c r="Z649" s="148">
        <f>ROUND(IF(X649&gt;I649,X649,I649),4)</f>
        <v>0</v>
      </c>
    </row>
    <row r="650" spans="1:26" x14ac:dyDescent="0.2">
      <c r="A650" s="66"/>
      <c r="B650" s="66"/>
      <c r="C650" s="66"/>
      <c r="D650" s="144"/>
      <c r="E650" s="67"/>
      <c r="F650" s="67"/>
      <c r="G650" s="67"/>
      <c r="H650" s="67">
        <f>ROUND(+E650+G650,4)</f>
        <v>0</v>
      </c>
      <c r="I650" s="67"/>
      <c r="J650" s="67">
        <f>ROUND(+I650-H650,4)</f>
        <v>0</v>
      </c>
      <c r="K650" s="67">
        <f>ROUND(IF(F650="alluminio",0,I650*1.5%),4)</f>
        <v>0</v>
      </c>
      <c r="L650" s="67">
        <f>ROUND(IF(K650&lt;J650,K650,0),4)</f>
        <v>0</v>
      </c>
      <c r="M650" s="67">
        <f>ROUND(IF(J650&gt;K650,0,J650),4)</f>
        <v>0</v>
      </c>
      <c r="N650" s="67">
        <f>ROUND(+L650*D650,4)</f>
        <v>0</v>
      </c>
      <c r="O650" s="67">
        <f>ROUND(IF(F650="rame",0,+I650*3%),4)</f>
        <v>0</v>
      </c>
      <c r="P650" s="67">
        <f>ROUND(IF(O650&lt;J650,O650,0),4)</f>
        <v>0</v>
      </c>
      <c r="Q650" s="67">
        <f>ROUND(IF(J650&gt;O650,0,J650),4)</f>
        <v>0</v>
      </c>
      <c r="R650" s="67">
        <f>ROUND(+P650*D650,4)</f>
        <v>0</v>
      </c>
      <c r="S650" s="67">
        <f>ROUND(IF(K650=0,0,M650*D650),4)</f>
        <v>0</v>
      </c>
      <c r="T650" s="67">
        <f>ROUND(+IF(K650=0,Q650*D650,0),4)</f>
        <v>0</v>
      </c>
      <c r="U650" s="67">
        <f>ROUND(+N650+R650+S650+T650,4)</f>
        <v>0</v>
      </c>
      <c r="V650" s="67">
        <f>ROUND(IF(P650=0,0,I650-H650-O650)+IF(L650=0,0,I650-H650-K650),4)</f>
        <v>0</v>
      </c>
      <c r="W650" s="67">
        <f>ROUND(+(V650*60%)*D650,4)</f>
        <v>0</v>
      </c>
      <c r="X650" s="148">
        <f>ROUND(+U650+W650,4)</f>
        <v>0</v>
      </c>
      <c r="Y650" s="68"/>
      <c r="Z650" s="148">
        <f>ROUND(IF(X650&gt;I650,X650,I650),4)</f>
        <v>0</v>
      </c>
    </row>
    <row r="651" spans="1:26" x14ac:dyDescent="0.2">
      <c r="A651" s="66"/>
      <c r="B651" s="66"/>
      <c r="C651" s="66"/>
      <c r="D651" s="144"/>
      <c r="E651" s="67"/>
      <c r="F651" s="67"/>
      <c r="G651" s="67"/>
      <c r="H651" s="67">
        <f>ROUND(+E651+G651,4)</f>
        <v>0</v>
      </c>
      <c r="I651" s="67"/>
      <c r="J651" s="67">
        <f>ROUND(+I651-H651,4)</f>
        <v>0</v>
      </c>
      <c r="K651" s="67">
        <f>ROUND(IF(F651="alluminio",0,I651*1.5%),4)</f>
        <v>0</v>
      </c>
      <c r="L651" s="67">
        <f>ROUND(IF(K651&lt;J651,K651,0),4)</f>
        <v>0</v>
      </c>
      <c r="M651" s="67">
        <f>ROUND(IF(J651&gt;K651,0,J651),4)</f>
        <v>0</v>
      </c>
      <c r="N651" s="67">
        <f>ROUND(+L651*D651,4)</f>
        <v>0</v>
      </c>
      <c r="O651" s="67">
        <f>ROUND(IF(F651="rame",0,+I651*3%),4)</f>
        <v>0</v>
      </c>
      <c r="P651" s="67">
        <f>ROUND(IF(O651&lt;J651,O651,0),4)</f>
        <v>0</v>
      </c>
      <c r="Q651" s="67">
        <f>ROUND(IF(J651&gt;O651,0,J651),4)</f>
        <v>0</v>
      </c>
      <c r="R651" s="67">
        <f>ROUND(+P651*D651,4)</f>
        <v>0</v>
      </c>
      <c r="S651" s="67">
        <f>ROUND(IF(K651=0,0,M651*D651),4)</f>
        <v>0</v>
      </c>
      <c r="T651" s="67">
        <f>ROUND(+IF(K651=0,Q651*D651,0),4)</f>
        <v>0</v>
      </c>
      <c r="U651" s="67">
        <f>ROUND(+N651+R651+S651+T651,4)</f>
        <v>0</v>
      </c>
      <c r="V651" s="67">
        <f>ROUND(IF(P651=0,0,I651-H651-O651)+IF(L651=0,0,I651-H651-K651),4)</f>
        <v>0</v>
      </c>
      <c r="W651" s="67">
        <f>ROUND(+(V651*60%)*D651,4)</f>
        <v>0</v>
      </c>
      <c r="X651" s="148">
        <f>ROUND(+U651+W651,4)</f>
        <v>0</v>
      </c>
      <c r="Y651" s="68"/>
      <c r="Z651" s="148">
        <f>ROUND(IF(X651&gt;I651,X651,I651),4)</f>
        <v>0</v>
      </c>
    </row>
    <row r="652" spans="1:26" x14ac:dyDescent="0.2">
      <c r="A652" s="66"/>
      <c r="B652" s="66"/>
      <c r="C652" s="66"/>
      <c r="D652" s="144"/>
      <c r="E652" s="67"/>
      <c r="F652" s="67"/>
      <c r="G652" s="67"/>
      <c r="H652" s="67">
        <f>ROUND(+E652+G652,4)</f>
        <v>0</v>
      </c>
      <c r="I652" s="67"/>
      <c r="J652" s="67">
        <f>ROUND(+I652-H652,4)</f>
        <v>0</v>
      </c>
      <c r="K652" s="67">
        <f>ROUND(IF(F652="alluminio",0,I652*1.5%),4)</f>
        <v>0</v>
      </c>
      <c r="L652" s="67">
        <f>ROUND(IF(K652&lt;J652,K652,0),4)</f>
        <v>0</v>
      </c>
      <c r="M652" s="67">
        <f>ROUND(IF(J652&gt;K652,0,J652),4)</f>
        <v>0</v>
      </c>
      <c r="N652" s="67">
        <f>ROUND(+L652*D652,4)</f>
        <v>0</v>
      </c>
      <c r="O652" s="67">
        <f>ROUND(IF(F652="rame",0,+I652*3%),4)</f>
        <v>0</v>
      </c>
      <c r="P652" s="67">
        <f>ROUND(IF(O652&lt;J652,O652,0),4)</f>
        <v>0</v>
      </c>
      <c r="Q652" s="67">
        <f>ROUND(IF(J652&gt;O652,0,J652),4)</f>
        <v>0</v>
      </c>
      <c r="R652" s="67">
        <f>ROUND(+P652*D652,4)</f>
        <v>0</v>
      </c>
      <c r="S652" s="67">
        <f>ROUND(IF(K652=0,0,M652*D652),4)</f>
        <v>0</v>
      </c>
      <c r="T652" s="67">
        <f>ROUND(+IF(K652=0,Q652*D652,0),4)</f>
        <v>0</v>
      </c>
      <c r="U652" s="67">
        <f>ROUND(+N652+R652+S652+T652,4)</f>
        <v>0</v>
      </c>
      <c r="V652" s="67">
        <f>ROUND(IF(P652=0,0,I652-H652-O652)+IF(L652=0,0,I652-H652-K652),4)</f>
        <v>0</v>
      </c>
      <c r="W652" s="67">
        <f>ROUND(+(V652*60%)*D652,4)</f>
        <v>0</v>
      </c>
      <c r="X652" s="148">
        <f>ROUND(+U652+W652,4)</f>
        <v>0</v>
      </c>
      <c r="Y652" s="68"/>
      <c r="Z652" s="148">
        <f>ROUND(IF(X652&gt;I652,X652,I652),4)</f>
        <v>0</v>
      </c>
    </row>
    <row r="653" spans="1:26" x14ac:dyDescent="0.2">
      <c r="A653" s="66"/>
      <c r="B653" s="66"/>
      <c r="C653" s="66"/>
      <c r="D653" s="144"/>
      <c r="E653" s="67"/>
      <c r="F653" s="67"/>
      <c r="G653" s="67"/>
      <c r="H653" s="67">
        <f>ROUND(+E653+G653,4)</f>
        <v>0</v>
      </c>
      <c r="I653" s="67"/>
      <c r="J653" s="67">
        <f>ROUND(+I653-H653,4)</f>
        <v>0</v>
      </c>
      <c r="K653" s="67">
        <f>ROUND(IF(F653="alluminio",0,I653*1.5%),4)</f>
        <v>0</v>
      </c>
      <c r="L653" s="67">
        <f>ROUND(IF(K653&lt;J653,K653,0),4)</f>
        <v>0</v>
      </c>
      <c r="M653" s="67">
        <f>ROUND(IF(J653&gt;K653,0,J653),4)</f>
        <v>0</v>
      </c>
      <c r="N653" s="67">
        <f>ROUND(+L653*D653,4)</f>
        <v>0</v>
      </c>
      <c r="O653" s="67">
        <f>ROUND(IF(F653="rame",0,+I653*3%),4)</f>
        <v>0</v>
      </c>
      <c r="P653" s="67">
        <f>ROUND(IF(O653&lt;J653,O653,0),4)</f>
        <v>0</v>
      </c>
      <c r="Q653" s="67">
        <f>ROUND(IF(J653&gt;O653,0,J653),4)</f>
        <v>0</v>
      </c>
      <c r="R653" s="67">
        <f>ROUND(+P653*D653,4)</f>
        <v>0</v>
      </c>
      <c r="S653" s="67">
        <f>ROUND(IF(K653=0,0,M653*D653),4)</f>
        <v>0</v>
      </c>
      <c r="T653" s="67">
        <f>ROUND(+IF(K653=0,Q653*D653,0),4)</f>
        <v>0</v>
      </c>
      <c r="U653" s="67">
        <f>ROUND(+N653+R653+S653+T653,4)</f>
        <v>0</v>
      </c>
      <c r="V653" s="67">
        <f>ROUND(IF(P653=0,0,I653-H653-O653)+IF(L653=0,0,I653-H653-K653),4)</f>
        <v>0</v>
      </c>
      <c r="W653" s="67">
        <f>ROUND(+(V653*60%)*D653,4)</f>
        <v>0</v>
      </c>
      <c r="X653" s="148">
        <f>ROUND(+U653+W653,4)</f>
        <v>0</v>
      </c>
      <c r="Y653" s="68"/>
      <c r="Z653" s="148">
        <f>ROUND(IF(X653&gt;I653,X653,I653),4)</f>
        <v>0</v>
      </c>
    </row>
    <row r="654" spans="1:26" x14ac:dyDescent="0.2">
      <c r="A654" s="66"/>
      <c r="B654" s="66"/>
      <c r="C654" s="66"/>
      <c r="D654" s="144"/>
      <c r="E654" s="67"/>
      <c r="F654" s="67"/>
      <c r="G654" s="67"/>
      <c r="H654" s="67">
        <f>ROUND(+E654+G654,4)</f>
        <v>0</v>
      </c>
      <c r="I654" s="67"/>
      <c r="J654" s="67">
        <f>ROUND(+I654-H654,4)</f>
        <v>0</v>
      </c>
      <c r="K654" s="67">
        <f>ROUND(IF(F654="alluminio",0,I654*1.5%),4)</f>
        <v>0</v>
      </c>
      <c r="L654" s="67">
        <f>ROUND(IF(K654&lt;J654,K654,0),4)</f>
        <v>0</v>
      </c>
      <c r="M654" s="67">
        <f>ROUND(IF(J654&gt;K654,0,J654),4)</f>
        <v>0</v>
      </c>
      <c r="N654" s="67">
        <f>ROUND(+L654*D654,4)</f>
        <v>0</v>
      </c>
      <c r="O654" s="67">
        <f>ROUND(IF(F654="rame",0,+I654*3%),4)</f>
        <v>0</v>
      </c>
      <c r="P654" s="67">
        <f>ROUND(IF(O654&lt;J654,O654,0),4)</f>
        <v>0</v>
      </c>
      <c r="Q654" s="67">
        <f>ROUND(IF(J654&gt;O654,0,J654),4)</f>
        <v>0</v>
      </c>
      <c r="R654" s="67">
        <f>ROUND(+P654*D654,4)</f>
        <v>0</v>
      </c>
      <c r="S654" s="67">
        <f>ROUND(IF(K654=0,0,M654*D654),4)</f>
        <v>0</v>
      </c>
      <c r="T654" s="67">
        <f>ROUND(+IF(K654=0,Q654*D654,0),4)</f>
        <v>0</v>
      </c>
      <c r="U654" s="67">
        <f>ROUND(+N654+R654+S654+T654,4)</f>
        <v>0</v>
      </c>
      <c r="V654" s="67">
        <f>ROUND(IF(P654=0,0,I654-H654-O654)+IF(L654=0,0,I654-H654-K654),4)</f>
        <v>0</v>
      </c>
      <c r="W654" s="67">
        <f>ROUND(+(V654*60%)*D654,4)</f>
        <v>0</v>
      </c>
      <c r="X654" s="148">
        <f>ROUND(+U654+W654,4)</f>
        <v>0</v>
      </c>
      <c r="Y654" s="68"/>
      <c r="Z654" s="148">
        <f>ROUND(IF(X654&gt;I654,X654,I654),4)</f>
        <v>0</v>
      </c>
    </row>
    <row r="655" spans="1:26" x14ac:dyDescent="0.2">
      <c r="A655" s="66"/>
      <c r="B655" s="66"/>
      <c r="C655" s="66"/>
      <c r="D655" s="144"/>
      <c r="E655" s="67"/>
      <c r="F655" s="67"/>
      <c r="G655" s="67"/>
      <c r="H655" s="67">
        <f>ROUND(+E655+G655,4)</f>
        <v>0</v>
      </c>
      <c r="I655" s="67"/>
      <c r="J655" s="67">
        <f>ROUND(+I655-H655,4)</f>
        <v>0</v>
      </c>
      <c r="K655" s="67">
        <f>ROUND(IF(F655="alluminio",0,I655*1.5%),4)</f>
        <v>0</v>
      </c>
      <c r="L655" s="67">
        <f>ROUND(IF(K655&lt;J655,K655,0),4)</f>
        <v>0</v>
      </c>
      <c r="M655" s="67">
        <f>ROUND(IF(J655&gt;K655,0,J655),4)</f>
        <v>0</v>
      </c>
      <c r="N655" s="67">
        <f>ROUND(+L655*D655,4)</f>
        <v>0</v>
      </c>
      <c r="O655" s="67">
        <f>ROUND(IF(F655="rame",0,+I655*3%),4)</f>
        <v>0</v>
      </c>
      <c r="P655" s="67">
        <f>ROUND(IF(O655&lt;J655,O655,0),4)</f>
        <v>0</v>
      </c>
      <c r="Q655" s="67">
        <f>ROUND(IF(J655&gt;O655,0,J655),4)</f>
        <v>0</v>
      </c>
      <c r="R655" s="67">
        <f>ROUND(+P655*D655,4)</f>
        <v>0</v>
      </c>
      <c r="S655" s="67">
        <f>ROUND(IF(K655=0,0,M655*D655),4)</f>
        <v>0</v>
      </c>
      <c r="T655" s="67">
        <f>ROUND(+IF(K655=0,Q655*D655,0),4)</f>
        <v>0</v>
      </c>
      <c r="U655" s="67">
        <f>ROUND(+N655+R655+S655+T655,4)</f>
        <v>0</v>
      </c>
      <c r="V655" s="67">
        <f>ROUND(IF(P655=0,0,I655-H655-O655)+IF(L655=0,0,I655-H655-K655),4)</f>
        <v>0</v>
      </c>
      <c r="W655" s="67">
        <f>ROUND(+(V655*60%)*D655,4)</f>
        <v>0</v>
      </c>
      <c r="X655" s="148">
        <f>ROUND(+U655+W655,4)</f>
        <v>0</v>
      </c>
      <c r="Y655" s="68"/>
      <c r="Z655" s="148">
        <f>ROUND(IF(X655&gt;I655,X655,I655),4)</f>
        <v>0</v>
      </c>
    </row>
    <row r="656" spans="1:26" x14ac:dyDescent="0.2">
      <c r="A656" s="66"/>
      <c r="B656" s="66"/>
      <c r="C656" s="66"/>
      <c r="D656" s="144"/>
      <c r="E656" s="67"/>
      <c r="F656" s="67"/>
      <c r="G656" s="67"/>
      <c r="H656" s="67">
        <f>ROUND(+E656+G656,4)</f>
        <v>0</v>
      </c>
      <c r="I656" s="67"/>
      <c r="J656" s="67">
        <f>ROUND(+I656-H656,4)</f>
        <v>0</v>
      </c>
      <c r="K656" s="67">
        <f>ROUND(IF(F656="alluminio",0,I656*1.5%),4)</f>
        <v>0</v>
      </c>
      <c r="L656" s="67">
        <f>ROUND(IF(K656&lt;J656,K656,0),4)</f>
        <v>0</v>
      </c>
      <c r="M656" s="67">
        <f>ROUND(IF(J656&gt;K656,0,J656),4)</f>
        <v>0</v>
      </c>
      <c r="N656" s="67">
        <f>ROUND(+L656*D656,4)</f>
        <v>0</v>
      </c>
      <c r="O656" s="67">
        <f>ROUND(IF(F656="rame",0,+I656*3%),4)</f>
        <v>0</v>
      </c>
      <c r="P656" s="67">
        <f>ROUND(IF(O656&lt;J656,O656,0),4)</f>
        <v>0</v>
      </c>
      <c r="Q656" s="67">
        <f>ROUND(IF(J656&gt;O656,0,J656),4)</f>
        <v>0</v>
      </c>
      <c r="R656" s="67">
        <f>ROUND(+P656*D656,4)</f>
        <v>0</v>
      </c>
      <c r="S656" s="67">
        <f>ROUND(IF(K656=0,0,M656*D656),4)</f>
        <v>0</v>
      </c>
      <c r="T656" s="67">
        <f>ROUND(+IF(K656=0,Q656*D656,0),4)</f>
        <v>0</v>
      </c>
      <c r="U656" s="67">
        <f>ROUND(+N656+R656+S656+T656,4)</f>
        <v>0</v>
      </c>
      <c r="V656" s="67">
        <f>ROUND(IF(P656=0,0,I656-H656-O656)+IF(L656=0,0,I656-H656-K656),4)</f>
        <v>0</v>
      </c>
      <c r="W656" s="67">
        <f>ROUND(+(V656*60%)*D656,4)</f>
        <v>0</v>
      </c>
      <c r="X656" s="148">
        <f>ROUND(+U656+W656,4)</f>
        <v>0</v>
      </c>
      <c r="Y656" s="68"/>
      <c r="Z656" s="148">
        <f>ROUND(IF(X656&gt;I656,X656,I656),4)</f>
        <v>0</v>
      </c>
    </row>
    <row r="657" spans="1:26" x14ac:dyDescent="0.2">
      <c r="A657" s="66"/>
      <c r="B657" s="66"/>
      <c r="C657" s="66"/>
      <c r="D657" s="144"/>
      <c r="E657" s="67"/>
      <c r="F657" s="67"/>
      <c r="G657" s="67"/>
      <c r="H657" s="67">
        <f>ROUND(+E657+G657,4)</f>
        <v>0</v>
      </c>
      <c r="I657" s="67"/>
      <c r="J657" s="67">
        <f>ROUND(+I657-H657,4)</f>
        <v>0</v>
      </c>
      <c r="K657" s="67">
        <f>ROUND(IF(F657="alluminio",0,I657*1.5%),4)</f>
        <v>0</v>
      </c>
      <c r="L657" s="67">
        <f>ROUND(IF(K657&lt;J657,K657,0),4)</f>
        <v>0</v>
      </c>
      <c r="M657" s="67">
        <f>ROUND(IF(J657&gt;K657,0,J657),4)</f>
        <v>0</v>
      </c>
      <c r="N657" s="67">
        <f>ROUND(+L657*D657,4)</f>
        <v>0</v>
      </c>
      <c r="O657" s="67">
        <f>ROUND(IF(F657="rame",0,+I657*3%),4)</f>
        <v>0</v>
      </c>
      <c r="P657" s="67">
        <f>ROUND(IF(O657&lt;J657,O657,0),4)</f>
        <v>0</v>
      </c>
      <c r="Q657" s="67">
        <f>ROUND(IF(J657&gt;O657,0,J657),4)</f>
        <v>0</v>
      </c>
      <c r="R657" s="67">
        <f>ROUND(+P657*D657,4)</f>
        <v>0</v>
      </c>
      <c r="S657" s="67">
        <f>ROUND(IF(K657=0,0,M657*D657),4)</f>
        <v>0</v>
      </c>
      <c r="T657" s="67">
        <f>ROUND(+IF(K657=0,Q657*D657,0),4)</f>
        <v>0</v>
      </c>
      <c r="U657" s="67">
        <f>ROUND(+N657+R657+S657+T657,4)</f>
        <v>0</v>
      </c>
      <c r="V657" s="67">
        <f>ROUND(IF(P657=0,0,I657-H657-O657)+IF(L657=0,0,I657-H657-K657),4)</f>
        <v>0</v>
      </c>
      <c r="W657" s="67">
        <f>ROUND(+(V657*60%)*D657,4)</f>
        <v>0</v>
      </c>
      <c r="X657" s="148">
        <f>ROUND(+U657+W657,4)</f>
        <v>0</v>
      </c>
      <c r="Y657" s="68"/>
      <c r="Z657" s="148">
        <f>ROUND(IF(X657&gt;I657,X657,I657),4)</f>
        <v>0</v>
      </c>
    </row>
    <row r="658" spans="1:26" x14ac:dyDescent="0.2">
      <c r="A658" s="66"/>
      <c r="B658" s="66"/>
      <c r="C658" s="66"/>
      <c r="D658" s="144"/>
      <c r="E658" s="67"/>
      <c r="F658" s="67"/>
      <c r="G658" s="67"/>
      <c r="H658" s="67">
        <f>ROUND(+E658+G658,4)</f>
        <v>0</v>
      </c>
      <c r="I658" s="67"/>
      <c r="J658" s="67">
        <f>ROUND(+I658-H658,4)</f>
        <v>0</v>
      </c>
      <c r="K658" s="67">
        <f>ROUND(IF(F658="alluminio",0,I658*1.5%),4)</f>
        <v>0</v>
      </c>
      <c r="L658" s="67">
        <f>ROUND(IF(K658&lt;J658,K658,0),4)</f>
        <v>0</v>
      </c>
      <c r="M658" s="67">
        <f>ROUND(IF(J658&gt;K658,0,J658),4)</f>
        <v>0</v>
      </c>
      <c r="N658" s="67">
        <f>ROUND(+L658*D658,4)</f>
        <v>0</v>
      </c>
      <c r="O658" s="67">
        <f>ROUND(IF(F658="rame",0,+I658*3%),4)</f>
        <v>0</v>
      </c>
      <c r="P658" s="67">
        <f>ROUND(IF(O658&lt;J658,O658,0),4)</f>
        <v>0</v>
      </c>
      <c r="Q658" s="67">
        <f>ROUND(IF(J658&gt;O658,0,J658),4)</f>
        <v>0</v>
      </c>
      <c r="R658" s="67">
        <f>ROUND(+P658*D658,4)</f>
        <v>0</v>
      </c>
      <c r="S658" s="67">
        <f>ROUND(IF(K658=0,0,M658*D658),4)</f>
        <v>0</v>
      </c>
      <c r="T658" s="67">
        <f>ROUND(+IF(K658=0,Q658*D658,0),4)</f>
        <v>0</v>
      </c>
      <c r="U658" s="67">
        <f>ROUND(+N658+R658+S658+T658,4)</f>
        <v>0</v>
      </c>
      <c r="V658" s="67">
        <f>ROUND(IF(P658=0,0,I658-H658-O658)+IF(L658=0,0,I658-H658-K658),4)</f>
        <v>0</v>
      </c>
      <c r="W658" s="67">
        <f>ROUND(+(V658*60%)*D658,4)</f>
        <v>0</v>
      </c>
      <c r="X658" s="148">
        <f>ROUND(+U658+W658,4)</f>
        <v>0</v>
      </c>
      <c r="Y658" s="68"/>
      <c r="Z658" s="148">
        <f>ROUND(IF(X658&gt;I658,X658,I658),4)</f>
        <v>0</v>
      </c>
    </row>
    <row r="659" spans="1:26" x14ac:dyDescent="0.2">
      <c r="A659" s="66"/>
      <c r="B659" s="66"/>
      <c r="C659" s="66"/>
      <c r="D659" s="144"/>
      <c r="E659" s="67"/>
      <c r="F659" s="67"/>
      <c r="G659" s="67"/>
      <c r="H659" s="67">
        <f>ROUND(+E659+G659,4)</f>
        <v>0</v>
      </c>
      <c r="I659" s="67"/>
      <c r="J659" s="67">
        <f>ROUND(+I659-H659,4)</f>
        <v>0</v>
      </c>
      <c r="K659" s="67">
        <f>ROUND(IF(F659="alluminio",0,I659*1.5%),4)</f>
        <v>0</v>
      </c>
      <c r="L659" s="67">
        <f>ROUND(IF(K659&lt;J659,K659,0),4)</f>
        <v>0</v>
      </c>
      <c r="M659" s="67">
        <f>ROUND(IF(J659&gt;K659,0,J659),4)</f>
        <v>0</v>
      </c>
      <c r="N659" s="67">
        <f>ROUND(+L659*D659,4)</f>
        <v>0</v>
      </c>
      <c r="O659" s="67">
        <f>ROUND(IF(F659="rame",0,+I659*3%),4)</f>
        <v>0</v>
      </c>
      <c r="P659" s="67">
        <f>ROUND(IF(O659&lt;J659,O659,0),4)</f>
        <v>0</v>
      </c>
      <c r="Q659" s="67">
        <f>ROUND(IF(J659&gt;O659,0,J659),4)</f>
        <v>0</v>
      </c>
      <c r="R659" s="67">
        <f>ROUND(+P659*D659,4)</f>
        <v>0</v>
      </c>
      <c r="S659" s="67">
        <f>ROUND(IF(K659=0,0,M659*D659),4)</f>
        <v>0</v>
      </c>
      <c r="T659" s="67">
        <f>ROUND(+IF(K659=0,Q659*D659,0),4)</f>
        <v>0</v>
      </c>
      <c r="U659" s="67">
        <f>ROUND(+N659+R659+S659+T659,4)</f>
        <v>0</v>
      </c>
      <c r="V659" s="67">
        <f>ROUND(IF(P659=0,0,I659-H659-O659)+IF(L659=0,0,I659-H659-K659),4)</f>
        <v>0</v>
      </c>
      <c r="W659" s="67">
        <f>ROUND(+(V659*60%)*D659,4)</f>
        <v>0</v>
      </c>
      <c r="X659" s="148">
        <f>ROUND(+U659+W659,4)</f>
        <v>0</v>
      </c>
      <c r="Y659" s="68"/>
      <c r="Z659" s="148">
        <f>ROUND(IF(X659&gt;I659,X659,I659),4)</f>
        <v>0</v>
      </c>
    </row>
    <row r="660" spans="1:26" x14ac:dyDescent="0.2">
      <c r="A660" s="66"/>
      <c r="B660" s="66"/>
      <c r="C660" s="66"/>
      <c r="D660" s="144"/>
      <c r="E660" s="67"/>
      <c r="F660" s="67"/>
      <c r="G660" s="67"/>
      <c r="H660" s="67">
        <f>ROUND(+E660+G660,4)</f>
        <v>0</v>
      </c>
      <c r="I660" s="67"/>
      <c r="J660" s="67">
        <f>ROUND(+I660-H660,4)</f>
        <v>0</v>
      </c>
      <c r="K660" s="67">
        <f>ROUND(IF(F660="alluminio",0,I660*1.5%),4)</f>
        <v>0</v>
      </c>
      <c r="L660" s="67">
        <f>ROUND(IF(K660&lt;J660,K660,0),4)</f>
        <v>0</v>
      </c>
      <c r="M660" s="67">
        <f>ROUND(IF(J660&gt;K660,0,J660),4)</f>
        <v>0</v>
      </c>
      <c r="N660" s="67">
        <f>ROUND(+L660*D660,4)</f>
        <v>0</v>
      </c>
      <c r="O660" s="67">
        <f>ROUND(IF(F660="rame",0,+I660*3%),4)</f>
        <v>0</v>
      </c>
      <c r="P660" s="67">
        <f>ROUND(IF(O660&lt;J660,O660,0),4)</f>
        <v>0</v>
      </c>
      <c r="Q660" s="67">
        <f>ROUND(IF(J660&gt;O660,0,J660),4)</f>
        <v>0</v>
      </c>
      <c r="R660" s="67">
        <f>ROUND(+P660*D660,4)</f>
        <v>0</v>
      </c>
      <c r="S660" s="67">
        <f>ROUND(IF(K660=0,0,M660*D660),4)</f>
        <v>0</v>
      </c>
      <c r="T660" s="67">
        <f>ROUND(+IF(K660=0,Q660*D660,0),4)</f>
        <v>0</v>
      </c>
      <c r="U660" s="67">
        <f>ROUND(+N660+R660+S660+T660,4)</f>
        <v>0</v>
      </c>
      <c r="V660" s="67">
        <f>ROUND(IF(P660=0,0,I660-H660-O660)+IF(L660=0,0,I660-H660-K660),4)</f>
        <v>0</v>
      </c>
      <c r="W660" s="67">
        <f>ROUND(+(V660*60%)*D660,4)</f>
        <v>0</v>
      </c>
      <c r="X660" s="148">
        <f>ROUND(+U660+W660,4)</f>
        <v>0</v>
      </c>
      <c r="Y660" s="68"/>
      <c r="Z660" s="148">
        <f>ROUND(IF(X660&gt;I660,X660,I660),4)</f>
        <v>0</v>
      </c>
    </row>
    <row r="661" spans="1:26" x14ac:dyDescent="0.2">
      <c r="A661" s="66"/>
      <c r="B661" s="66"/>
      <c r="C661" s="66"/>
      <c r="D661" s="144"/>
      <c r="E661" s="67"/>
      <c r="F661" s="67"/>
      <c r="G661" s="67"/>
      <c r="H661" s="67">
        <f>ROUND(+E661+G661,4)</f>
        <v>0</v>
      </c>
      <c r="I661" s="67"/>
      <c r="J661" s="67">
        <f>ROUND(+I661-H661,4)</f>
        <v>0</v>
      </c>
      <c r="K661" s="67">
        <f>ROUND(IF(F661="alluminio",0,I661*1.5%),4)</f>
        <v>0</v>
      </c>
      <c r="L661" s="67">
        <f>ROUND(IF(K661&lt;J661,K661,0),4)</f>
        <v>0</v>
      </c>
      <c r="M661" s="67">
        <f>ROUND(IF(J661&gt;K661,0,J661),4)</f>
        <v>0</v>
      </c>
      <c r="N661" s="67">
        <f>ROUND(+L661*D661,4)</f>
        <v>0</v>
      </c>
      <c r="O661" s="67">
        <f>ROUND(IF(F661="rame",0,+I661*3%),4)</f>
        <v>0</v>
      </c>
      <c r="P661" s="67">
        <f>ROUND(IF(O661&lt;J661,O661,0),4)</f>
        <v>0</v>
      </c>
      <c r="Q661" s="67">
        <f>ROUND(IF(J661&gt;O661,0,J661),4)</f>
        <v>0</v>
      </c>
      <c r="R661" s="67">
        <f>ROUND(+P661*D661,4)</f>
        <v>0</v>
      </c>
      <c r="S661" s="67">
        <f>ROUND(IF(K661=0,0,M661*D661),4)</f>
        <v>0</v>
      </c>
      <c r="T661" s="67">
        <f>ROUND(+IF(K661=0,Q661*D661,0),4)</f>
        <v>0</v>
      </c>
      <c r="U661" s="67">
        <f>ROUND(+N661+R661+S661+T661,4)</f>
        <v>0</v>
      </c>
      <c r="V661" s="67">
        <f>ROUND(IF(P661=0,0,I661-H661-O661)+IF(L661=0,0,I661-H661-K661),4)</f>
        <v>0</v>
      </c>
      <c r="W661" s="67">
        <f>ROUND(+(V661*60%)*D661,4)</f>
        <v>0</v>
      </c>
      <c r="X661" s="148">
        <f>ROUND(+U661+W661,4)</f>
        <v>0</v>
      </c>
      <c r="Y661" s="68"/>
      <c r="Z661" s="148">
        <f>ROUND(IF(X661&gt;I661,X661,I661),4)</f>
        <v>0</v>
      </c>
    </row>
    <row r="662" spans="1:26" x14ac:dyDescent="0.2">
      <c r="A662" s="66"/>
      <c r="B662" s="66"/>
      <c r="C662" s="66"/>
      <c r="D662" s="144"/>
      <c r="E662" s="67"/>
      <c r="F662" s="67"/>
      <c r="G662" s="67"/>
      <c r="H662" s="67">
        <f>ROUND(+E662+G662,4)</f>
        <v>0</v>
      </c>
      <c r="I662" s="67"/>
      <c r="J662" s="67">
        <f>ROUND(+I662-H662,4)</f>
        <v>0</v>
      </c>
      <c r="K662" s="67">
        <f>ROUND(IF(F662="alluminio",0,I662*1.5%),4)</f>
        <v>0</v>
      </c>
      <c r="L662" s="67">
        <f>ROUND(IF(K662&lt;J662,K662,0),4)</f>
        <v>0</v>
      </c>
      <c r="M662" s="67">
        <f>ROUND(IF(J662&gt;K662,0,J662),4)</f>
        <v>0</v>
      </c>
      <c r="N662" s="67">
        <f>ROUND(+L662*D662,4)</f>
        <v>0</v>
      </c>
      <c r="O662" s="67">
        <f>ROUND(IF(F662="rame",0,+I662*3%),4)</f>
        <v>0</v>
      </c>
      <c r="P662" s="67">
        <f>ROUND(IF(O662&lt;J662,O662,0),4)</f>
        <v>0</v>
      </c>
      <c r="Q662" s="67">
        <f>ROUND(IF(J662&gt;O662,0,J662),4)</f>
        <v>0</v>
      </c>
      <c r="R662" s="67">
        <f>ROUND(+P662*D662,4)</f>
        <v>0</v>
      </c>
      <c r="S662" s="67">
        <f>ROUND(IF(K662=0,0,M662*D662),4)</f>
        <v>0</v>
      </c>
      <c r="T662" s="67">
        <f>ROUND(+IF(K662=0,Q662*D662,0),4)</f>
        <v>0</v>
      </c>
      <c r="U662" s="67">
        <f>ROUND(+N662+R662+S662+T662,4)</f>
        <v>0</v>
      </c>
      <c r="V662" s="67">
        <f>ROUND(IF(P662=0,0,I662-H662-O662)+IF(L662=0,0,I662-H662-K662),4)</f>
        <v>0</v>
      </c>
      <c r="W662" s="67">
        <f>ROUND(+(V662*60%)*D662,4)</f>
        <v>0</v>
      </c>
      <c r="X662" s="148">
        <f>ROUND(+U662+W662,4)</f>
        <v>0</v>
      </c>
      <c r="Y662" s="68"/>
      <c r="Z662" s="148">
        <f>ROUND(IF(X662&gt;I662,X662,I662),4)</f>
        <v>0</v>
      </c>
    </row>
    <row r="663" spans="1:26" x14ac:dyDescent="0.2">
      <c r="A663" s="66"/>
      <c r="B663" s="66"/>
      <c r="C663" s="66"/>
      <c r="D663" s="144"/>
      <c r="E663" s="67"/>
      <c r="F663" s="67"/>
      <c r="G663" s="67"/>
      <c r="H663" s="67">
        <f>ROUND(+E663+G663,4)</f>
        <v>0</v>
      </c>
      <c r="I663" s="67"/>
      <c r="J663" s="67">
        <f>ROUND(+I663-H663,4)</f>
        <v>0</v>
      </c>
      <c r="K663" s="67">
        <f>ROUND(IF(F663="alluminio",0,I663*1.5%),4)</f>
        <v>0</v>
      </c>
      <c r="L663" s="67">
        <f>ROUND(IF(K663&lt;J663,K663,0),4)</f>
        <v>0</v>
      </c>
      <c r="M663" s="67">
        <f>ROUND(IF(J663&gt;K663,0,J663),4)</f>
        <v>0</v>
      </c>
      <c r="N663" s="67">
        <f>ROUND(+L663*D663,4)</f>
        <v>0</v>
      </c>
      <c r="O663" s="67">
        <f>ROUND(IF(F663="rame",0,+I663*3%),4)</f>
        <v>0</v>
      </c>
      <c r="P663" s="67">
        <f>ROUND(IF(O663&lt;J663,O663,0),4)</f>
        <v>0</v>
      </c>
      <c r="Q663" s="67">
        <f>ROUND(IF(J663&gt;O663,0,J663),4)</f>
        <v>0</v>
      </c>
      <c r="R663" s="67">
        <f>ROUND(+P663*D663,4)</f>
        <v>0</v>
      </c>
      <c r="S663" s="67">
        <f>ROUND(IF(K663=0,0,M663*D663),4)</f>
        <v>0</v>
      </c>
      <c r="T663" s="67">
        <f>ROUND(+IF(K663=0,Q663*D663,0),4)</f>
        <v>0</v>
      </c>
      <c r="U663" s="67">
        <f>ROUND(+N663+R663+S663+T663,4)</f>
        <v>0</v>
      </c>
      <c r="V663" s="67">
        <f>ROUND(IF(P663=0,0,I663-H663-O663)+IF(L663=0,0,I663-H663-K663),4)</f>
        <v>0</v>
      </c>
      <c r="W663" s="67">
        <f>ROUND(+(V663*60%)*D663,4)</f>
        <v>0</v>
      </c>
      <c r="X663" s="148">
        <f>ROUND(+U663+W663,4)</f>
        <v>0</v>
      </c>
      <c r="Y663" s="68"/>
      <c r="Z663" s="148">
        <f>ROUND(IF(X663&gt;I663,X663,I663),4)</f>
        <v>0</v>
      </c>
    </row>
    <row r="664" spans="1:26" x14ac:dyDescent="0.2">
      <c r="A664" s="66"/>
      <c r="B664" s="66"/>
      <c r="C664" s="66"/>
      <c r="D664" s="144"/>
      <c r="E664" s="67"/>
      <c r="F664" s="67"/>
      <c r="G664" s="67"/>
      <c r="H664" s="67">
        <f>ROUND(+E664+G664,4)</f>
        <v>0</v>
      </c>
      <c r="I664" s="67"/>
      <c r="J664" s="67">
        <f>ROUND(+I664-H664,4)</f>
        <v>0</v>
      </c>
      <c r="K664" s="67">
        <f>ROUND(IF(F664="alluminio",0,I664*1.5%),4)</f>
        <v>0</v>
      </c>
      <c r="L664" s="67">
        <f>ROUND(IF(K664&lt;J664,K664,0),4)</f>
        <v>0</v>
      </c>
      <c r="M664" s="67">
        <f>ROUND(IF(J664&gt;K664,0,J664),4)</f>
        <v>0</v>
      </c>
      <c r="N664" s="67">
        <f>ROUND(+L664*D664,4)</f>
        <v>0</v>
      </c>
      <c r="O664" s="67">
        <f>ROUND(IF(F664="rame",0,+I664*3%),4)</f>
        <v>0</v>
      </c>
      <c r="P664" s="67">
        <f>ROUND(IF(O664&lt;J664,O664,0),4)</f>
        <v>0</v>
      </c>
      <c r="Q664" s="67">
        <f>ROUND(IF(J664&gt;O664,0,J664),4)</f>
        <v>0</v>
      </c>
      <c r="R664" s="67">
        <f>ROUND(+P664*D664,4)</f>
        <v>0</v>
      </c>
      <c r="S664" s="67">
        <f>ROUND(IF(K664=0,0,M664*D664),4)</f>
        <v>0</v>
      </c>
      <c r="T664" s="67">
        <f>ROUND(+IF(K664=0,Q664*D664,0),4)</f>
        <v>0</v>
      </c>
      <c r="U664" s="67">
        <f>ROUND(+N664+R664+S664+T664,4)</f>
        <v>0</v>
      </c>
      <c r="V664" s="67">
        <f>ROUND(IF(P664=0,0,I664-H664-O664)+IF(L664=0,0,I664-H664-K664),4)</f>
        <v>0</v>
      </c>
      <c r="W664" s="67">
        <f>ROUND(+(V664*60%)*D664,4)</f>
        <v>0</v>
      </c>
      <c r="X664" s="148">
        <f>ROUND(+U664+W664,4)</f>
        <v>0</v>
      </c>
      <c r="Y664" s="68"/>
      <c r="Z664" s="148">
        <f>ROUND(IF(X664&gt;I664,X664,I664),4)</f>
        <v>0</v>
      </c>
    </row>
    <row r="665" spans="1:26" x14ac:dyDescent="0.2">
      <c r="A665" s="66"/>
      <c r="B665" s="66"/>
      <c r="C665" s="66"/>
      <c r="D665" s="144"/>
      <c r="E665" s="67"/>
      <c r="F665" s="67"/>
      <c r="G665" s="67"/>
      <c r="H665" s="67">
        <f>ROUND(+E665+G665,4)</f>
        <v>0</v>
      </c>
      <c r="I665" s="67"/>
      <c r="J665" s="67">
        <f>ROUND(+I665-H665,4)</f>
        <v>0</v>
      </c>
      <c r="K665" s="67">
        <f>ROUND(IF(F665="alluminio",0,I665*1.5%),4)</f>
        <v>0</v>
      </c>
      <c r="L665" s="67">
        <f>ROUND(IF(K665&lt;J665,K665,0),4)</f>
        <v>0</v>
      </c>
      <c r="M665" s="67">
        <f>ROUND(IF(J665&gt;K665,0,J665),4)</f>
        <v>0</v>
      </c>
      <c r="N665" s="67">
        <f>ROUND(+L665*D665,4)</f>
        <v>0</v>
      </c>
      <c r="O665" s="67">
        <f>ROUND(IF(F665="rame",0,+I665*3%),4)</f>
        <v>0</v>
      </c>
      <c r="P665" s="67">
        <f>ROUND(IF(O665&lt;J665,O665,0),4)</f>
        <v>0</v>
      </c>
      <c r="Q665" s="67">
        <f>ROUND(IF(J665&gt;O665,0,J665),4)</f>
        <v>0</v>
      </c>
      <c r="R665" s="67">
        <f>ROUND(+P665*D665,4)</f>
        <v>0</v>
      </c>
      <c r="S665" s="67">
        <f>ROUND(IF(K665=0,0,M665*D665),4)</f>
        <v>0</v>
      </c>
      <c r="T665" s="67">
        <f>ROUND(+IF(K665=0,Q665*D665,0),4)</f>
        <v>0</v>
      </c>
      <c r="U665" s="67">
        <f>ROUND(+N665+R665+S665+T665,4)</f>
        <v>0</v>
      </c>
      <c r="V665" s="67">
        <f>ROUND(IF(P665=0,0,I665-H665-O665)+IF(L665=0,0,I665-H665-K665),4)</f>
        <v>0</v>
      </c>
      <c r="W665" s="67">
        <f>ROUND(+(V665*60%)*D665,4)</f>
        <v>0</v>
      </c>
      <c r="X665" s="148">
        <f>ROUND(+U665+W665,4)</f>
        <v>0</v>
      </c>
      <c r="Y665" s="68"/>
      <c r="Z665" s="148">
        <f>ROUND(IF(X665&gt;I665,X665,I665),4)</f>
        <v>0</v>
      </c>
    </row>
    <row r="666" spans="1:26" x14ac:dyDescent="0.2">
      <c r="A666" s="66"/>
      <c r="B666" s="66"/>
      <c r="C666" s="66"/>
      <c r="D666" s="144"/>
      <c r="E666" s="67"/>
      <c r="F666" s="67"/>
      <c r="G666" s="67"/>
      <c r="H666" s="67">
        <f>ROUND(+E666+G666,4)</f>
        <v>0</v>
      </c>
      <c r="I666" s="67"/>
      <c r="J666" s="67">
        <f>ROUND(+I666-H666,4)</f>
        <v>0</v>
      </c>
      <c r="K666" s="67">
        <f>ROUND(IF(F666="alluminio",0,I666*1.5%),4)</f>
        <v>0</v>
      </c>
      <c r="L666" s="67">
        <f>ROUND(IF(K666&lt;J666,K666,0),4)</f>
        <v>0</v>
      </c>
      <c r="M666" s="67">
        <f>ROUND(IF(J666&gt;K666,0,J666),4)</f>
        <v>0</v>
      </c>
      <c r="N666" s="67">
        <f>ROUND(+L666*D666,4)</f>
        <v>0</v>
      </c>
      <c r="O666" s="67">
        <f>ROUND(IF(F666="rame",0,+I666*3%),4)</f>
        <v>0</v>
      </c>
      <c r="P666" s="67">
        <f>ROUND(IF(O666&lt;J666,O666,0),4)</f>
        <v>0</v>
      </c>
      <c r="Q666" s="67">
        <f>ROUND(IF(J666&gt;O666,0,J666),4)</f>
        <v>0</v>
      </c>
      <c r="R666" s="67">
        <f>ROUND(+P666*D666,4)</f>
        <v>0</v>
      </c>
      <c r="S666" s="67">
        <f>ROUND(IF(K666=0,0,M666*D666),4)</f>
        <v>0</v>
      </c>
      <c r="T666" s="67">
        <f>ROUND(+IF(K666=0,Q666*D666,0),4)</f>
        <v>0</v>
      </c>
      <c r="U666" s="67">
        <f>ROUND(+N666+R666+S666+T666,4)</f>
        <v>0</v>
      </c>
      <c r="V666" s="67">
        <f>ROUND(IF(P666=0,0,I666-H666-O666)+IF(L666=0,0,I666-H666-K666),4)</f>
        <v>0</v>
      </c>
      <c r="W666" s="67">
        <f>ROUND(+(V666*60%)*D666,4)</f>
        <v>0</v>
      </c>
      <c r="X666" s="148">
        <f>ROUND(+U666+W666,4)</f>
        <v>0</v>
      </c>
      <c r="Y666" s="68"/>
      <c r="Z666" s="148">
        <f>ROUND(IF(X666&gt;I666,X666,I666),4)</f>
        <v>0</v>
      </c>
    </row>
    <row r="667" spans="1:26" x14ac:dyDescent="0.2">
      <c r="A667" s="66"/>
      <c r="B667" s="66"/>
      <c r="C667" s="66"/>
      <c r="D667" s="144"/>
      <c r="E667" s="67"/>
      <c r="F667" s="67"/>
      <c r="G667" s="67"/>
      <c r="H667" s="67">
        <f>ROUND(+E667+G667,4)</f>
        <v>0</v>
      </c>
      <c r="I667" s="67"/>
      <c r="J667" s="67">
        <f>ROUND(+I667-H667,4)</f>
        <v>0</v>
      </c>
      <c r="K667" s="67">
        <f>ROUND(IF(F667="alluminio",0,I667*1.5%),4)</f>
        <v>0</v>
      </c>
      <c r="L667" s="67">
        <f>ROUND(IF(K667&lt;J667,K667,0),4)</f>
        <v>0</v>
      </c>
      <c r="M667" s="67">
        <f>ROUND(IF(J667&gt;K667,0,J667),4)</f>
        <v>0</v>
      </c>
      <c r="N667" s="67">
        <f>ROUND(+L667*D667,4)</f>
        <v>0</v>
      </c>
      <c r="O667" s="67">
        <f>ROUND(IF(F667="rame",0,+I667*3%),4)</f>
        <v>0</v>
      </c>
      <c r="P667" s="67">
        <f>ROUND(IF(O667&lt;J667,O667,0),4)</f>
        <v>0</v>
      </c>
      <c r="Q667" s="67">
        <f>ROUND(IF(J667&gt;O667,0,J667),4)</f>
        <v>0</v>
      </c>
      <c r="R667" s="67">
        <f>ROUND(+P667*D667,4)</f>
        <v>0</v>
      </c>
      <c r="S667" s="67">
        <f>ROUND(IF(K667=0,0,M667*D667),4)</f>
        <v>0</v>
      </c>
      <c r="T667" s="67">
        <f>ROUND(+IF(K667=0,Q667*D667,0),4)</f>
        <v>0</v>
      </c>
      <c r="U667" s="67">
        <f>ROUND(+N667+R667+S667+T667,4)</f>
        <v>0</v>
      </c>
      <c r="V667" s="67">
        <f>ROUND(IF(P667=0,0,I667-H667-O667)+IF(L667=0,0,I667-H667-K667),4)</f>
        <v>0</v>
      </c>
      <c r="W667" s="67">
        <f>ROUND(+(V667*60%)*D667,4)</f>
        <v>0</v>
      </c>
      <c r="X667" s="148">
        <f>ROUND(+U667+W667,4)</f>
        <v>0</v>
      </c>
      <c r="Y667" s="68"/>
      <c r="Z667" s="148">
        <f>ROUND(IF(X667&gt;I667,X667,I667),4)</f>
        <v>0</v>
      </c>
    </row>
    <row r="668" spans="1:26" x14ac:dyDescent="0.2">
      <c r="A668" s="66"/>
      <c r="B668" s="66"/>
      <c r="C668" s="66"/>
      <c r="D668" s="144"/>
      <c r="E668" s="67"/>
      <c r="F668" s="67"/>
      <c r="G668" s="67"/>
      <c r="H668" s="67">
        <f>ROUND(+E668+G668,4)</f>
        <v>0</v>
      </c>
      <c r="I668" s="67"/>
      <c r="J668" s="67">
        <f>ROUND(+I668-H668,4)</f>
        <v>0</v>
      </c>
      <c r="K668" s="67">
        <f>ROUND(IF(F668="alluminio",0,I668*1.5%),4)</f>
        <v>0</v>
      </c>
      <c r="L668" s="67">
        <f>ROUND(IF(K668&lt;J668,K668,0),4)</f>
        <v>0</v>
      </c>
      <c r="M668" s="67">
        <f>ROUND(IF(J668&gt;K668,0,J668),4)</f>
        <v>0</v>
      </c>
      <c r="N668" s="67">
        <f>ROUND(+L668*D668,4)</f>
        <v>0</v>
      </c>
      <c r="O668" s="67">
        <f>ROUND(IF(F668="rame",0,+I668*3%),4)</f>
        <v>0</v>
      </c>
      <c r="P668" s="67">
        <f>ROUND(IF(O668&lt;J668,O668,0),4)</f>
        <v>0</v>
      </c>
      <c r="Q668" s="67">
        <f>ROUND(IF(J668&gt;O668,0,J668),4)</f>
        <v>0</v>
      </c>
      <c r="R668" s="67">
        <f>ROUND(+P668*D668,4)</f>
        <v>0</v>
      </c>
      <c r="S668" s="67">
        <f>ROUND(IF(K668=0,0,M668*D668),4)</f>
        <v>0</v>
      </c>
      <c r="T668" s="67">
        <f>ROUND(+IF(K668=0,Q668*D668,0),4)</f>
        <v>0</v>
      </c>
      <c r="U668" s="67">
        <f>ROUND(+N668+R668+S668+T668,4)</f>
        <v>0</v>
      </c>
      <c r="V668" s="67">
        <f>ROUND(IF(P668=0,0,I668-H668-O668)+IF(L668=0,0,I668-H668-K668),4)</f>
        <v>0</v>
      </c>
      <c r="W668" s="67">
        <f>ROUND(+(V668*60%)*D668,4)</f>
        <v>0</v>
      </c>
      <c r="X668" s="148">
        <f>ROUND(+U668+W668,4)</f>
        <v>0</v>
      </c>
      <c r="Y668" s="68"/>
      <c r="Z668" s="148">
        <f>ROUND(IF(X668&gt;I668,X668,I668),4)</f>
        <v>0</v>
      </c>
    </row>
    <row r="669" spans="1:26" x14ac:dyDescent="0.2">
      <c r="A669" s="66"/>
      <c r="B669" s="66"/>
      <c r="C669" s="66"/>
      <c r="D669" s="144"/>
      <c r="E669" s="67"/>
      <c r="F669" s="67"/>
      <c r="G669" s="67"/>
      <c r="H669" s="67">
        <f>ROUND(+E669+G669,4)</f>
        <v>0</v>
      </c>
      <c r="I669" s="67"/>
      <c r="J669" s="67">
        <f>ROUND(+I669-H669,4)</f>
        <v>0</v>
      </c>
      <c r="K669" s="67">
        <f>ROUND(IF(F669="alluminio",0,I669*1.5%),4)</f>
        <v>0</v>
      </c>
      <c r="L669" s="67">
        <f>ROUND(IF(K669&lt;J669,K669,0),4)</f>
        <v>0</v>
      </c>
      <c r="M669" s="67">
        <f>ROUND(IF(J669&gt;K669,0,J669),4)</f>
        <v>0</v>
      </c>
      <c r="N669" s="67">
        <f>ROUND(+L669*D669,4)</f>
        <v>0</v>
      </c>
      <c r="O669" s="67">
        <f>ROUND(IF(F669="rame",0,+I669*3%),4)</f>
        <v>0</v>
      </c>
      <c r="P669" s="67">
        <f>ROUND(IF(O669&lt;J669,O669,0),4)</f>
        <v>0</v>
      </c>
      <c r="Q669" s="67">
        <f>ROUND(IF(J669&gt;O669,0,J669),4)</f>
        <v>0</v>
      </c>
      <c r="R669" s="67">
        <f>ROUND(+P669*D669,4)</f>
        <v>0</v>
      </c>
      <c r="S669" s="67">
        <f>ROUND(IF(K669=0,0,M669*D669),4)</f>
        <v>0</v>
      </c>
      <c r="T669" s="67">
        <f>ROUND(+IF(K669=0,Q669*D669,0),4)</f>
        <v>0</v>
      </c>
      <c r="U669" s="67">
        <f>ROUND(+N669+R669+S669+T669,4)</f>
        <v>0</v>
      </c>
      <c r="V669" s="67">
        <f>ROUND(IF(P669=0,0,I669-H669-O669)+IF(L669=0,0,I669-H669-K669),4)</f>
        <v>0</v>
      </c>
      <c r="W669" s="67">
        <f>ROUND(+(V669*60%)*D669,4)</f>
        <v>0</v>
      </c>
      <c r="X669" s="148">
        <f>ROUND(+U669+W669,4)</f>
        <v>0</v>
      </c>
      <c r="Y669" s="68"/>
      <c r="Z669" s="148">
        <f>ROUND(IF(X669&gt;I669,X669,I669),4)</f>
        <v>0</v>
      </c>
    </row>
    <row r="670" spans="1:26" x14ac:dyDescent="0.2">
      <c r="A670" s="66"/>
      <c r="B670" s="66"/>
      <c r="C670" s="66"/>
      <c r="D670" s="144"/>
      <c r="E670" s="67"/>
      <c r="F670" s="67"/>
      <c r="G670" s="67"/>
      <c r="H670" s="67">
        <f>ROUND(+E670+G670,4)</f>
        <v>0</v>
      </c>
      <c r="I670" s="67"/>
      <c r="J670" s="67">
        <f>ROUND(+I670-H670,4)</f>
        <v>0</v>
      </c>
      <c r="K670" s="67">
        <f>ROUND(IF(F670="alluminio",0,I670*1.5%),4)</f>
        <v>0</v>
      </c>
      <c r="L670" s="67">
        <f>ROUND(IF(K670&lt;J670,K670,0),4)</f>
        <v>0</v>
      </c>
      <c r="M670" s="67">
        <f>ROUND(IF(J670&gt;K670,0,J670),4)</f>
        <v>0</v>
      </c>
      <c r="N670" s="67">
        <f>ROUND(+L670*D670,4)</f>
        <v>0</v>
      </c>
      <c r="O670" s="67">
        <f>ROUND(IF(F670="rame",0,+I670*3%),4)</f>
        <v>0</v>
      </c>
      <c r="P670" s="67">
        <f>ROUND(IF(O670&lt;J670,O670,0),4)</f>
        <v>0</v>
      </c>
      <c r="Q670" s="67">
        <f>ROUND(IF(J670&gt;O670,0,J670),4)</f>
        <v>0</v>
      </c>
      <c r="R670" s="67">
        <f>ROUND(+P670*D670,4)</f>
        <v>0</v>
      </c>
      <c r="S670" s="67">
        <f>ROUND(IF(K670=0,0,M670*D670),4)</f>
        <v>0</v>
      </c>
      <c r="T670" s="67">
        <f>ROUND(+IF(K670=0,Q670*D670,0),4)</f>
        <v>0</v>
      </c>
      <c r="U670" s="67">
        <f>ROUND(+N670+R670+S670+T670,4)</f>
        <v>0</v>
      </c>
      <c r="V670" s="67">
        <f>ROUND(IF(P670=0,0,I670-H670-O670)+IF(L670=0,0,I670-H670-K670),4)</f>
        <v>0</v>
      </c>
      <c r="W670" s="67">
        <f>ROUND(+(V670*60%)*D670,4)</f>
        <v>0</v>
      </c>
      <c r="X670" s="148">
        <f>ROUND(+U670+W670,4)</f>
        <v>0</v>
      </c>
      <c r="Y670" s="68"/>
      <c r="Z670" s="148">
        <f>ROUND(IF(X670&gt;I670,X670,I670),4)</f>
        <v>0</v>
      </c>
    </row>
    <row r="671" spans="1:26" x14ac:dyDescent="0.2">
      <c r="A671" s="66"/>
      <c r="B671" s="66"/>
      <c r="C671" s="66"/>
      <c r="D671" s="144"/>
      <c r="E671" s="67"/>
      <c r="F671" s="67"/>
      <c r="G671" s="67"/>
      <c r="H671" s="67">
        <f>ROUND(+E671+G671,4)</f>
        <v>0</v>
      </c>
      <c r="I671" s="67"/>
      <c r="J671" s="67">
        <f>ROUND(+I671-H671,4)</f>
        <v>0</v>
      </c>
      <c r="K671" s="67">
        <f>ROUND(IF(F671="alluminio",0,I671*1.5%),4)</f>
        <v>0</v>
      </c>
      <c r="L671" s="67">
        <f>ROUND(IF(K671&lt;J671,K671,0),4)</f>
        <v>0</v>
      </c>
      <c r="M671" s="67">
        <f>ROUND(IF(J671&gt;K671,0,J671),4)</f>
        <v>0</v>
      </c>
      <c r="N671" s="67">
        <f>ROUND(+L671*D671,4)</f>
        <v>0</v>
      </c>
      <c r="O671" s="67">
        <f>ROUND(IF(F671="rame",0,+I671*3%),4)</f>
        <v>0</v>
      </c>
      <c r="P671" s="67">
        <f>ROUND(IF(O671&lt;J671,O671,0),4)</f>
        <v>0</v>
      </c>
      <c r="Q671" s="67">
        <f>ROUND(IF(J671&gt;O671,0,J671),4)</f>
        <v>0</v>
      </c>
      <c r="R671" s="67">
        <f>ROUND(+P671*D671,4)</f>
        <v>0</v>
      </c>
      <c r="S671" s="67">
        <f>ROUND(IF(K671=0,0,M671*D671),4)</f>
        <v>0</v>
      </c>
      <c r="T671" s="67">
        <f>ROUND(+IF(K671=0,Q671*D671,0),4)</f>
        <v>0</v>
      </c>
      <c r="U671" s="67">
        <f>ROUND(+N671+R671+S671+T671,4)</f>
        <v>0</v>
      </c>
      <c r="V671" s="67">
        <f>ROUND(IF(P671=0,0,I671-H671-O671)+IF(L671=0,0,I671-H671-K671),4)</f>
        <v>0</v>
      </c>
      <c r="W671" s="67">
        <f>ROUND(+(V671*60%)*D671,4)</f>
        <v>0</v>
      </c>
      <c r="X671" s="148">
        <f>ROUND(+U671+W671,4)</f>
        <v>0</v>
      </c>
      <c r="Y671" s="68"/>
      <c r="Z671" s="148">
        <f>ROUND(IF(X671&gt;I671,X671,I671),4)</f>
        <v>0</v>
      </c>
    </row>
    <row r="672" spans="1:26" x14ac:dyDescent="0.2">
      <c r="A672" s="66"/>
      <c r="B672" s="66"/>
      <c r="C672" s="66"/>
      <c r="D672" s="144"/>
      <c r="E672" s="67"/>
      <c r="F672" s="67"/>
      <c r="G672" s="67"/>
      <c r="H672" s="67">
        <f>ROUND(+E672+G672,4)</f>
        <v>0</v>
      </c>
      <c r="I672" s="67"/>
      <c r="J672" s="67">
        <f>ROUND(+I672-H672,4)</f>
        <v>0</v>
      </c>
      <c r="K672" s="67">
        <f>ROUND(IF(F672="alluminio",0,I672*1.5%),4)</f>
        <v>0</v>
      </c>
      <c r="L672" s="67">
        <f>ROUND(IF(K672&lt;J672,K672,0),4)</f>
        <v>0</v>
      </c>
      <c r="M672" s="67">
        <f>ROUND(IF(J672&gt;K672,0,J672),4)</f>
        <v>0</v>
      </c>
      <c r="N672" s="67">
        <f>ROUND(+L672*D672,4)</f>
        <v>0</v>
      </c>
      <c r="O672" s="67">
        <f>ROUND(IF(F672="rame",0,+I672*3%),4)</f>
        <v>0</v>
      </c>
      <c r="P672" s="67">
        <f>ROUND(IF(O672&lt;J672,O672,0),4)</f>
        <v>0</v>
      </c>
      <c r="Q672" s="67">
        <f>ROUND(IF(J672&gt;O672,0,J672),4)</f>
        <v>0</v>
      </c>
      <c r="R672" s="67">
        <f>ROUND(+P672*D672,4)</f>
        <v>0</v>
      </c>
      <c r="S672" s="67">
        <f>ROUND(IF(K672=0,0,M672*D672),4)</f>
        <v>0</v>
      </c>
      <c r="T672" s="67">
        <f>ROUND(+IF(K672=0,Q672*D672,0),4)</f>
        <v>0</v>
      </c>
      <c r="U672" s="67">
        <f>ROUND(+N672+R672+S672+T672,4)</f>
        <v>0</v>
      </c>
      <c r="V672" s="67">
        <f>ROUND(IF(P672=0,0,I672-H672-O672)+IF(L672=0,0,I672-H672-K672),4)</f>
        <v>0</v>
      </c>
      <c r="W672" s="67">
        <f>ROUND(+(V672*60%)*D672,4)</f>
        <v>0</v>
      </c>
      <c r="X672" s="148">
        <f>ROUND(+U672+W672,4)</f>
        <v>0</v>
      </c>
      <c r="Y672" s="68"/>
      <c r="Z672" s="148">
        <f>ROUND(IF(X672&gt;I672,X672,I672),4)</f>
        <v>0</v>
      </c>
    </row>
    <row r="673" spans="1:26" x14ac:dyDescent="0.2">
      <c r="A673" s="66"/>
      <c r="B673" s="66"/>
      <c r="C673" s="66"/>
      <c r="D673" s="144"/>
      <c r="E673" s="67"/>
      <c r="F673" s="67"/>
      <c r="G673" s="67"/>
      <c r="H673" s="67">
        <f>ROUND(+E673+G673,4)</f>
        <v>0</v>
      </c>
      <c r="I673" s="67"/>
      <c r="J673" s="67">
        <f>ROUND(+I673-H673,4)</f>
        <v>0</v>
      </c>
      <c r="K673" s="67">
        <f>ROUND(IF(F673="alluminio",0,I673*1.5%),4)</f>
        <v>0</v>
      </c>
      <c r="L673" s="67">
        <f>ROUND(IF(K673&lt;J673,K673,0),4)</f>
        <v>0</v>
      </c>
      <c r="M673" s="67">
        <f>ROUND(IF(J673&gt;K673,0,J673),4)</f>
        <v>0</v>
      </c>
      <c r="N673" s="67">
        <f>ROUND(+L673*D673,4)</f>
        <v>0</v>
      </c>
      <c r="O673" s="67">
        <f>ROUND(IF(F673="rame",0,+I673*3%),4)</f>
        <v>0</v>
      </c>
      <c r="P673" s="67">
        <f>ROUND(IF(O673&lt;J673,O673,0),4)</f>
        <v>0</v>
      </c>
      <c r="Q673" s="67">
        <f>ROUND(IF(J673&gt;O673,0,J673),4)</f>
        <v>0</v>
      </c>
      <c r="R673" s="67">
        <f>ROUND(+P673*D673,4)</f>
        <v>0</v>
      </c>
      <c r="S673" s="67">
        <f>ROUND(IF(K673=0,0,M673*D673),4)</f>
        <v>0</v>
      </c>
      <c r="T673" s="67">
        <f>ROUND(+IF(K673=0,Q673*D673,0),4)</f>
        <v>0</v>
      </c>
      <c r="U673" s="67">
        <f>ROUND(+N673+R673+S673+T673,4)</f>
        <v>0</v>
      </c>
      <c r="V673" s="67">
        <f>ROUND(IF(P673=0,0,I673-H673-O673)+IF(L673=0,0,I673-H673-K673),4)</f>
        <v>0</v>
      </c>
      <c r="W673" s="67">
        <f>ROUND(+(V673*60%)*D673,4)</f>
        <v>0</v>
      </c>
      <c r="X673" s="148">
        <f>ROUND(+U673+W673,4)</f>
        <v>0</v>
      </c>
      <c r="Y673" s="68"/>
      <c r="Z673" s="148">
        <f>ROUND(IF(X673&gt;I673,X673,I673),4)</f>
        <v>0</v>
      </c>
    </row>
    <row r="674" spans="1:26" x14ac:dyDescent="0.2">
      <c r="A674" s="66"/>
      <c r="B674" s="66"/>
      <c r="C674" s="66"/>
      <c r="D674" s="144"/>
      <c r="E674" s="67"/>
      <c r="F674" s="67"/>
      <c r="G674" s="67"/>
      <c r="H674" s="67">
        <f>ROUND(+E674+G674,4)</f>
        <v>0</v>
      </c>
      <c r="I674" s="67"/>
      <c r="J674" s="67">
        <f>ROUND(+I674-H674,4)</f>
        <v>0</v>
      </c>
      <c r="K674" s="67">
        <f>ROUND(IF(F674="alluminio",0,I674*1.5%),4)</f>
        <v>0</v>
      </c>
      <c r="L674" s="67">
        <f>ROUND(IF(K674&lt;J674,K674,0),4)</f>
        <v>0</v>
      </c>
      <c r="M674" s="67">
        <f>ROUND(IF(J674&gt;K674,0,J674),4)</f>
        <v>0</v>
      </c>
      <c r="N674" s="67">
        <f>ROUND(+L674*D674,4)</f>
        <v>0</v>
      </c>
      <c r="O674" s="67">
        <f>ROUND(IF(F674="rame",0,+I674*3%),4)</f>
        <v>0</v>
      </c>
      <c r="P674" s="67">
        <f>ROUND(IF(O674&lt;J674,O674,0),4)</f>
        <v>0</v>
      </c>
      <c r="Q674" s="67">
        <f>ROUND(IF(J674&gt;O674,0,J674),4)</f>
        <v>0</v>
      </c>
      <c r="R674" s="67">
        <f>ROUND(+P674*D674,4)</f>
        <v>0</v>
      </c>
      <c r="S674" s="67">
        <f>ROUND(IF(K674=0,0,M674*D674),4)</f>
        <v>0</v>
      </c>
      <c r="T674" s="67">
        <f>ROUND(+IF(K674=0,Q674*D674,0),4)</f>
        <v>0</v>
      </c>
      <c r="U674" s="67">
        <f>ROUND(+N674+R674+S674+T674,4)</f>
        <v>0</v>
      </c>
      <c r="V674" s="67">
        <f>ROUND(IF(P674=0,0,I674-H674-O674)+IF(L674=0,0,I674-H674-K674),4)</f>
        <v>0</v>
      </c>
      <c r="W674" s="67">
        <f>ROUND(+(V674*60%)*D674,4)</f>
        <v>0</v>
      </c>
      <c r="X674" s="148">
        <f>ROUND(+U674+W674,4)</f>
        <v>0</v>
      </c>
      <c r="Y674" s="68"/>
      <c r="Z674" s="148">
        <f>ROUND(IF(X674&gt;I674,X674,I674),4)</f>
        <v>0</v>
      </c>
    </row>
    <row r="675" spans="1:26" x14ac:dyDescent="0.2">
      <c r="A675" s="66"/>
      <c r="B675" s="66"/>
      <c r="C675" s="66"/>
      <c r="D675" s="144"/>
      <c r="E675" s="67"/>
      <c r="F675" s="67"/>
      <c r="G675" s="67"/>
      <c r="H675" s="67">
        <f>ROUND(+E675+G675,4)</f>
        <v>0</v>
      </c>
      <c r="I675" s="67"/>
      <c r="J675" s="67">
        <f>ROUND(+I675-H675,4)</f>
        <v>0</v>
      </c>
      <c r="K675" s="67">
        <f>ROUND(IF(F675="alluminio",0,I675*1.5%),4)</f>
        <v>0</v>
      </c>
      <c r="L675" s="67">
        <f>ROUND(IF(K675&lt;J675,K675,0),4)</f>
        <v>0</v>
      </c>
      <c r="M675" s="67">
        <f>ROUND(IF(J675&gt;K675,0,J675),4)</f>
        <v>0</v>
      </c>
      <c r="N675" s="67">
        <f>ROUND(+L675*D675,4)</f>
        <v>0</v>
      </c>
      <c r="O675" s="67">
        <f>ROUND(IF(F675="rame",0,+I675*3%),4)</f>
        <v>0</v>
      </c>
      <c r="P675" s="67">
        <f>ROUND(IF(O675&lt;J675,O675,0),4)</f>
        <v>0</v>
      </c>
      <c r="Q675" s="67">
        <f>ROUND(IF(J675&gt;O675,0,J675),4)</f>
        <v>0</v>
      </c>
      <c r="R675" s="67">
        <f>ROUND(+P675*D675,4)</f>
        <v>0</v>
      </c>
      <c r="S675" s="67">
        <f>ROUND(IF(K675=0,0,M675*D675),4)</f>
        <v>0</v>
      </c>
      <c r="T675" s="67">
        <f>ROUND(+IF(K675=0,Q675*D675,0),4)</f>
        <v>0</v>
      </c>
      <c r="U675" s="67">
        <f>ROUND(+N675+R675+S675+T675,4)</f>
        <v>0</v>
      </c>
      <c r="V675" s="67">
        <f>ROUND(IF(P675=0,0,I675-H675-O675)+IF(L675=0,0,I675-H675-K675),4)</f>
        <v>0</v>
      </c>
      <c r="W675" s="67">
        <f>ROUND(+(V675*60%)*D675,4)</f>
        <v>0</v>
      </c>
      <c r="X675" s="148">
        <f>ROUND(+U675+W675,4)</f>
        <v>0</v>
      </c>
      <c r="Y675" s="68"/>
      <c r="Z675" s="148">
        <f>ROUND(IF(X675&gt;I675,X675,I675),4)</f>
        <v>0</v>
      </c>
    </row>
    <row r="676" spans="1:26" x14ac:dyDescent="0.2">
      <c r="A676" s="66"/>
      <c r="B676" s="66"/>
      <c r="C676" s="66"/>
      <c r="D676" s="144"/>
      <c r="E676" s="67"/>
      <c r="F676" s="67"/>
      <c r="G676" s="67"/>
      <c r="H676" s="67">
        <f>ROUND(+E676+G676,4)</f>
        <v>0</v>
      </c>
      <c r="I676" s="67"/>
      <c r="J676" s="67">
        <f>ROUND(+I676-H676,4)</f>
        <v>0</v>
      </c>
      <c r="K676" s="67">
        <f>ROUND(IF(F676="alluminio",0,I676*1.5%),4)</f>
        <v>0</v>
      </c>
      <c r="L676" s="67">
        <f>ROUND(IF(K676&lt;J676,K676,0),4)</f>
        <v>0</v>
      </c>
      <c r="M676" s="67">
        <f>ROUND(IF(J676&gt;K676,0,J676),4)</f>
        <v>0</v>
      </c>
      <c r="N676" s="67">
        <f>ROUND(+L676*D676,4)</f>
        <v>0</v>
      </c>
      <c r="O676" s="67">
        <f>ROUND(IF(F676="rame",0,+I676*3%),4)</f>
        <v>0</v>
      </c>
      <c r="P676" s="67">
        <f>ROUND(IF(O676&lt;J676,O676,0),4)</f>
        <v>0</v>
      </c>
      <c r="Q676" s="67">
        <f>ROUND(IF(J676&gt;O676,0,J676),4)</f>
        <v>0</v>
      </c>
      <c r="R676" s="67">
        <f>ROUND(+P676*D676,4)</f>
        <v>0</v>
      </c>
      <c r="S676" s="67">
        <f>ROUND(IF(K676=0,0,M676*D676),4)</f>
        <v>0</v>
      </c>
      <c r="T676" s="67">
        <f>ROUND(+IF(K676=0,Q676*D676,0),4)</f>
        <v>0</v>
      </c>
      <c r="U676" s="67">
        <f>ROUND(+N676+R676+S676+T676,4)</f>
        <v>0</v>
      </c>
      <c r="V676" s="67">
        <f>ROUND(IF(P676=0,0,I676-H676-O676)+IF(L676=0,0,I676-H676-K676),4)</f>
        <v>0</v>
      </c>
      <c r="W676" s="67">
        <f>ROUND(+(V676*60%)*D676,4)</f>
        <v>0</v>
      </c>
      <c r="X676" s="148">
        <f>ROUND(+U676+W676,4)</f>
        <v>0</v>
      </c>
      <c r="Y676" s="68"/>
      <c r="Z676" s="148">
        <f>ROUND(IF(X676&gt;I676,X676,I676),4)</f>
        <v>0</v>
      </c>
    </row>
    <row r="677" spans="1:26" x14ac:dyDescent="0.2">
      <c r="A677" s="66"/>
      <c r="B677" s="66"/>
      <c r="C677" s="66"/>
      <c r="D677" s="144"/>
      <c r="E677" s="67"/>
      <c r="F677" s="67"/>
      <c r="G677" s="67"/>
      <c r="H677" s="67">
        <f>ROUND(+E677+G677,4)</f>
        <v>0</v>
      </c>
      <c r="I677" s="67"/>
      <c r="J677" s="67">
        <f>ROUND(+I677-H677,4)</f>
        <v>0</v>
      </c>
      <c r="K677" s="67">
        <f>ROUND(IF(F677="alluminio",0,I677*1.5%),4)</f>
        <v>0</v>
      </c>
      <c r="L677" s="67">
        <f>ROUND(IF(K677&lt;J677,K677,0),4)</f>
        <v>0</v>
      </c>
      <c r="M677" s="67">
        <f>ROUND(IF(J677&gt;K677,0,J677),4)</f>
        <v>0</v>
      </c>
      <c r="N677" s="67">
        <f>ROUND(+L677*D677,4)</f>
        <v>0</v>
      </c>
      <c r="O677" s="67">
        <f>ROUND(IF(F677="rame",0,+I677*3%),4)</f>
        <v>0</v>
      </c>
      <c r="P677" s="67">
        <f>ROUND(IF(O677&lt;J677,O677,0),4)</f>
        <v>0</v>
      </c>
      <c r="Q677" s="67">
        <f>ROUND(IF(J677&gt;O677,0,J677),4)</f>
        <v>0</v>
      </c>
      <c r="R677" s="67">
        <f>ROUND(+P677*D677,4)</f>
        <v>0</v>
      </c>
      <c r="S677" s="67">
        <f>ROUND(IF(K677=0,0,M677*D677),4)</f>
        <v>0</v>
      </c>
      <c r="T677" s="67">
        <f>ROUND(+IF(K677=0,Q677*D677,0),4)</f>
        <v>0</v>
      </c>
      <c r="U677" s="67">
        <f>ROUND(+N677+R677+S677+T677,4)</f>
        <v>0</v>
      </c>
      <c r="V677" s="67">
        <f>ROUND(IF(P677=0,0,I677-H677-O677)+IF(L677=0,0,I677-H677-K677),4)</f>
        <v>0</v>
      </c>
      <c r="W677" s="67">
        <f>ROUND(+(V677*60%)*D677,4)</f>
        <v>0</v>
      </c>
      <c r="X677" s="148">
        <f>ROUND(+U677+W677,4)</f>
        <v>0</v>
      </c>
      <c r="Y677" s="68"/>
      <c r="Z677" s="148">
        <f>ROUND(IF(X677&gt;I677,X677,I677),4)</f>
        <v>0</v>
      </c>
    </row>
    <row r="678" spans="1:26" x14ac:dyDescent="0.2">
      <c r="A678" s="66"/>
      <c r="B678" s="66"/>
      <c r="C678" s="66"/>
      <c r="D678" s="144"/>
      <c r="E678" s="67"/>
      <c r="F678" s="67"/>
      <c r="G678" s="67"/>
      <c r="H678" s="67">
        <f>ROUND(+E678+G678,4)</f>
        <v>0</v>
      </c>
      <c r="I678" s="67"/>
      <c r="J678" s="67">
        <f>ROUND(+I678-H678,4)</f>
        <v>0</v>
      </c>
      <c r="K678" s="67">
        <f>ROUND(IF(F678="alluminio",0,I678*1.5%),4)</f>
        <v>0</v>
      </c>
      <c r="L678" s="67">
        <f>ROUND(IF(K678&lt;J678,K678,0),4)</f>
        <v>0</v>
      </c>
      <c r="M678" s="67">
        <f>ROUND(IF(J678&gt;K678,0,J678),4)</f>
        <v>0</v>
      </c>
      <c r="N678" s="67">
        <f>ROUND(+L678*D678,4)</f>
        <v>0</v>
      </c>
      <c r="O678" s="67">
        <f>ROUND(IF(F678="rame",0,+I678*3%),4)</f>
        <v>0</v>
      </c>
      <c r="P678" s="67">
        <f>ROUND(IF(O678&lt;J678,O678,0),4)</f>
        <v>0</v>
      </c>
      <c r="Q678" s="67">
        <f>ROUND(IF(J678&gt;O678,0,J678),4)</f>
        <v>0</v>
      </c>
      <c r="R678" s="67">
        <f>ROUND(+P678*D678,4)</f>
        <v>0</v>
      </c>
      <c r="S678" s="67">
        <f>ROUND(IF(K678=0,0,M678*D678),4)</f>
        <v>0</v>
      </c>
      <c r="T678" s="67">
        <f>ROUND(+IF(K678=0,Q678*D678,0),4)</f>
        <v>0</v>
      </c>
      <c r="U678" s="67">
        <f>ROUND(+N678+R678+S678+T678,4)</f>
        <v>0</v>
      </c>
      <c r="V678" s="67">
        <f>ROUND(IF(P678=0,0,I678-H678-O678)+IF(L678=0,0,I678-H678-K678),4)</f>
        <v>0</v>
      </c>
      <c r="W678" s="67">
        <f>ROUND(+(V678*60%)*D678,4)</f>
        <v>0</v>
      </c>
      <c r="X678" s="148">
        <f>ROUND(+U678+W678,4)</f>
        <v>0</v>
      </c>
      <c r="Y678" s="68"/>
      <c r="Z678" s="148">
        <f>ROUND(IF(X678&gt;I678,X678,I678),4)</f>
        <v>0</v>
      </c>
    </row>
    <row r="679" spans="1:26" x14ac:dyDescent="0.2">
      <c r="A679" s="66"/>
      <c r="B679" s="66"/>
      <c r="C679" s="66"/>
      <c r="D679" s="144"/>
      <c r="E679" s="67"/>
      <c r="F679" s="67"/>
      <c r="G679" s="67"/>
      <c r="H679" s="67">
        <f>ROUND(+E679+G679,4)</f>
        <v>0</v>
      </c>
      <c r="I679" s="67"/>
      <c r="J679" s="67">
        <f>ROUND(+I679-H679,4)</f>
        <v>0</v>
      </c>
      <c r="K679" s="67">
        <f>ROUND(IF(F679="alluminio",0,I679*1.5%),4)</f>
        <v>0</v>
      </c>
      <c r="L679" s="67">
        <f>ROUND(IF(K679&lt;J679,K679,0),4)</f>
        <v>0</v>
      </c>
      <c r="M679" s="67">
        <f>ROUND(IF(J679&gt;K679,0,J679),4)</f>
        <v>0</v>
      </c>
      <c r="N679" s="67">
        <f>ROUND(+L679*D679,4)</f>
        <v>0</v>
      </c>
      <c r="O679" s="67">
        <f>ROUND(IF(F679="rame",0,+I679*3%),4)</f>
        <v>0</v>
      </c>
      <c r="P679" s="67">
        <f>ROUND(IF(O679&lt;J679,O679,0),4)</f>
        <v>0</v>
      </c>
      <c r="Q679" s="67">
        <f>ROUND(IF(J679&gt;O679,0,J679),4)</f>
        <v>0</v>
      </c>
      <c r="R679" s="67">
        <f>ROUND(+P679*D679,4)</f>
        <v>0</v>
      </c>
      <c r="S679" s="67">
        <f>ROUND(IF(K679=0,0,M679*D679),4)</f>
        <v>0</v>
      </c>
      <c r="T679" s="67">
        <f>ROUND(+IF(K679=0,Q679*D679,0),4)</f>
        <v>0</v>
      </c>
      <c r="U679" s="67">
        <f>ROUND(+N679+R679+S679+T679,4)</f>
        <v>0</v>
      </c>
      <c r="V679" s="67">
        <f>ROUND(IF(P679=0,0,I679-H679-O679)+IF(L679=0,0,I679-H679-K679),4)</f>
        <v>0</v>
      </c>
      <c r="W679" s="67">
        <f>ROUND(+(V679*60%)*D679,4)</f>
        <v>0</v>
      </c>
      <c r="X679" s="148">
        <f>ROUND(+U679+W679,4)</f>
        <v>0</v>
      </c>
      <c r="Y679" s="68"/>
      <c r="Z679" s="148">
        <f>ROUND(IF(X679&gt;I679,X679,I679),4)</f>
        <v>0</v>
      </c>
    </row>
    <row r="680" spans="1:26" x14ac:dyDescent="0.2">
      <c r="A680" s="66"/>
      <c r="B680" s="66"/>
      <c r="C680" s="66"/>
      <c r="D680" s="144"/>
      <c r="E680" s="67"/>
      <c r="F680" s="67"/>
      <c r="G680" s="67"/>
      <c r="H680" s="67">
        <f>ROUND(+E680+G680,4)</f>
        <v>0</v>
      </c>
      <c r="I680" s="67"/>
      <c r="J680" s="67">
        <f>ROUND(+I680-H680,4)</f>
        <v>0</v>
      </c>
      <c r="K680" s="67">
        <f>ROUND(IF(F680="alluminio",0,I680*1.5%),4)</f>
        <v>0</v>
      </c>
      <c r="L680" s="67">
        <f>ROUND(IF(K680&lt;J680,K680,0),4)</f>
        <v>0</v>
      </c>
      <c r="M680" s="67">
        <f>ROUND(IF(J680&gt;K680,0,J680),4)</f>
        <v>0</v>
      </c>
      <c r="N680" s="67">
        <f>ROUND(+L680*D680,4)</f>
        <v>0</v>
      </c>
      <c r="O680" s="67">
        <f>ROUND(IF(F680="rame",0,+I680*3%),4)</f>
        <v>0</v>
      </c>
      <c r="P680" s="67">
        <f>ROUND(IF(O680&lt;J680,O680,0),4)</f>
        <v>0</v>
      </c>
      <c r="Q680" s="67">
        <f>ROUND(IF(J680&gt;O680,0,J680),4)</f>
        <v>0</v>
      </c>
      <c r="R680" s="67">
        <f>ROUND(+P680*D680,4)</f>
        <v>0</v>
      </c>
      <c r="S680" s="67">
        <f>ROUND(IF(K680=0,0,M680*D680),4)</f>
        <v>0</v>
      </c>
      <c r="T680" s="67">
        <f>ROUND(+IF(K680=0,Q680*D680,0),4)</f>
        <v>0</v>
      </c>
      <c r="U680" s="67">
        <f>ROUND(+N680+R680+S680+T680,4)</f>
        <v>0</v>
      </c>
      <c r="V680" s="67">
        <f>ROUND(IF(P680=0,0,I680-H680-O680)+IF(L680=0,0,I680-H680-K680),4)</f>
        <v>0</v>
      </c>
      <c r="W680" s="67">
        <f>ROUND(+(V680*60%)*D680,4)</f>
        <v>0</v>
      </c>
      <c r="X680" s="148">
        <f>ROUND(+U680+W680,4)</f>
        <v>0</v>
      </c>
      <c r="Y680" s="68"/>
      <c r="Z680" s="148">
        <f>ROUND(IF(X680&gt;I680,X680,I680),4)</f>
        <v>0</v>
      </c>
    </row>
    <row r="681" spans="1:26" x14ac:dyDescent="0.2">
      <c r="A681" s="66"/>
      <c r="B681" s="66"/>
      <c r="C681" s="66"/>
      <c r="D681" s="144"/>
      <c r="E681" s="67"/>
      <c r="F681" s="67"/>
      <c r="G681" s="67"/>
      <c r="H681" s="67">
        <f>ROUND(+E681+G681,4)</f>
        <v>0</v>
      </c>
      <c r="I681" s="67"/>
      <c r="J681" s="67">
        <f>ROUND(+I681-H681,4)</f>
        <v>0</v>
      </c>
      <c r="K681" s="67">
        <f>ROUND(IF(F681="alluminio",0,I681*1.5%),4)</f>
        <v>0</v>
      </c>
      <c r="L681" s="67">
        <f>ROUND(IF(K681&lt;J681,K681,0),4)</f>
        <v>0</v>
      </c>
      <c r="M681" s="67">
        <f>ROUND(IF(J681&gt;K681,0,J681),4)</f>
        <v>0</v>
      </c>
      <c r="N681" s="67">
        <f>ROUND(+L681*D681,4)</f>
        <v>0</v>
      </c>
      <c r="O681" s="67">
        <f>ROUND(IF(F681="rame",0,+I681*3%),4)</f>
        <v>0</v>
      </c>
      <c r="P681" s="67">
        <f>ROUND(IF(O681&lt;J681,O681,0),4)</f>
        <v>0</v>
      </c>
      <c r="Q681" s="67">
        <f>ROUND(IF(J681&gt;O681,0,J681),4)</f>
        <v>0</v>
      </c>
      <c r="R681" s="67">
        <f>ROUND(+P681*D681,4)</f>
        <v>0</v>
      </c>
      <c r="S681" s="67">
        <f>ROUND(IF(K681=0,0,M681*D681),4)</f>
        <v>0</v>
      </c>
      <c r="T681" s="67">
        <f>ROUND(+IF(K681=0,Q681*D681,0),4)</f>
        <v>0</v>
      </c>
      <c r="U681" s="67">
        <f>ROUND(+N681+R681+S681+T681,4)</f>
        <v>0</v>
      </c>
      <c r="V681" s="67">
        <f>ROUND(IF(P681=0,0,I681-H681-O681)+IF(L681=0,0,I681-H681-K681),4)</f>
        <v>0</v>
      </c>
      <c r="W681" s="67">
        <f>ROUND(+(V681*60%)*D681,4)</f>
        <v>0</v>
      </c>
      <c r="X681" s="148">
        <f>ROUND(+U681+W681,4)</f>
        <v>0</v>
      </c>
      <c r="Y681" s="68"/>
      <c r="Z681" s="148">
        <f>ROUND(IF(X681&gt;I681,X681,I681),4)</f>
        <v>0</v>
      </c>
    </row>
    <row r="682" spans="1:26" x14ac:dyDescent="0.2">
      <c r="A682" s="66"/>
      <c r="B682" s="66"/>
      <c r="C682" s="66"/>
      <c r="D682" s="144"/>
      <c r="E682" s="67"/>
      <c r="F682" s="67"/>
      <c r="G682" s="67"/>
      <c r="H682" s="67">
        <f>ROUND(+E682+G682,4)</f>
        <v>0</v>
      </c>
      <c r="I682" s="67"/>
      <c r="J682" s="67">
        <f>ROUND(+I682-H682,4)</f>
        <v>0</v>
      </c>
      <c r="K682" s="67">
        <f>ROUND(IF(F682="alluminio",0,I682*1.5%),4)</f>
        <v>0</v>
      </c>
      <c r="L682" s="67">
        <f>ROUND(IF(K682&lt;J682,K682,0),4)</f>
        <v>0</v>
      </c>
      <c r="M682" s="67">
        <f>ROUND(IF(J682&gt;K682,0,J682),4)</f>
        <v>0</v>
      </c>
      <c r="N682" s="67">
        <f>ROUND(+L682*D682,4)</f>
        <v>0</v>
      </c>
      <c r="O682" s="67">
        <f>ROUND(IF(F682="rame",0,+I682*3%),4)</f>
        <v>0</v>
      </c>
      <c r="P682" s="67">
        <f>ROUND(IF(O682&lt;J682,O682,0),4)</f>
        <v>0</v>
      </c>
      <c r="Q682" s="67">
        <f>ROUND(IF(J682&gt;O682,0,J682),4)</f>
        <v>0</v>
      </c>
      <c r="R682" s="67">
        <f>ROUND(+P682*D682,4)</f>
        <v>0</v>
      </c>
      <c r="S682" s="67">
        <f>ROUND(IF(K682=0,0,M682*D682),4)</f>
        <v>0</v>
      </c>
      <c r="T682" s="67">
        <f>ROUND(+IF(K682=0,Q682*D682,0),4)</f>
        <v>0</v>
      </c>
      <c r="U682" s="67">
        <f>ROUND(+N682+R682+S682+T682,4)</f>
        <v>0</v>
      </c>
      <c r="V682" s="67">
        <f>ROUND(IF(P682=0,0,I682-H682-O682)+IF(L682=0,0,I682-H682-K682),4)</f>
        <v>0</v>
      </c>
      <c r="W682" s="67">
        <f>ROUND(+(V682*60%)*D682,4)</f>
        <v>0</v>
      </c>
      <c r="X682" s="148">
        <f>ROUND(+U682+W682,4)</f>
        <v>0</v>
      </c>
      <c r="Y682" s="68"/>
      <c r="Z682" s="148">
        <f>ROUND(IF(X682&gt;I682,X682,I682),4)</f>
        <v>0</v>
      </c>
    </row>
    <row r="683" spans="1:26" x14ac:dyDescent="0.2">
      <c r="A683" s="66"/>
      <c r="B683" s="66"/>
      <c r="C683" s="66"/>
      <c r="D683" s="144"/>
      <c r="E683" s="67"/>
      <c r="F683" s="67"/>
      <c r="G683" s="67"/>
      <c r="H683" s="67">
        <f>ROUND(+E683+G683,4)</f>
        <v>0</v>
      </c>
      <c r="I683" s="67"/>
      <c r="J683" s="67">
        <f>ROUND(+I683-H683,4)</f>
        <v>0</v>
      </c>
      <c r="K683" s="67">
        <f>ROUND(IF(F683="alluminio",0,I683*1.5%),4)</f>
        <v>0</v>
      </c>
      <c r="L683" s="67">
        <f>ROUND(IF(K683&lt;J683,K683,0),4)</f>
        <v>0</v>
      </c>
      <c r="M683" s="67">
        <f>ROUND(IF(J683&gt;K683,0,J683),4)</f>
        <v>0</v>
      </c>
      <c r="N683" s="67">
        <f>ROUND(+L683*D683,4)</f>
        <v>0</v>
      </c>
      <c r="O683" s="67">
        <f>ROUND(IF(F683="rame",0,+I683*3%),4)</f>
        <v>0</v>
      </c>
      <c r="P683" s="67">
        <f>ROUND(IF(O683&lt;J683,O683,0),4)</f>
        <v>0</v>
      </c>
      <c r="Q683" s="67">
        <f>ROUND(IF(J683&gt;O683,0,J683),4)</f>
        <v>0</v>
      </c>
      <c r="R683" s="67">
        <f>ROUND(+P683*D683,4)</f>
        <v>0</v>
      </c>
      <c r="S683" s="67">
        <f>ROUND(IF(K683=0,0,M683*D683),4)</f>
        <v>0</v>
      </c>
      <c r="T683" s="67">
        <f>ROUND(+IF(K683=0,Q683*D683,0),4)</f>
        <v>0</v>
      </c>
      <c r="U683" s="67">
        <f>ROUND(+N683+R683+S683+T683,4)</f>
        <v>0</v>
      </c>
      <c r="V683" s="67">
        <f>ROUND(IF(P683=0,0,I683-H683-O683)+IF(L683=0,0,I683-H683-K683),4)</f>
        <v>0</v>
      </c>
      <c r="W683" s="67">
        <f>ROUND(+(V683*60%)*D683,4)</f>
        <v>0</v>
      </c>
      <c r="X683" s="148">
        <f>ROUND(+U683+W683,4)</f>
        <v>0</v>
      </c>
      <c r="Y683" s="68"/>
      <c r="Z683" s="148">
        <f>ROUND(IF(X683&gt;I683,X683,I683),4)</f>
        <v>0</v>
      </c>
    </row>
    <row r="684" spans="1:26" x14ac:dyDescent="0.2">
      <c r="A684" s="66"/>
      <c r="B684" s="66"/>
      <c r="C684" s="66"/>
      <c r="D684" s="144"/>
      <c r="E684" s="67"/>
      <c r="F684" s="67"/>
      <c r="G684" s="67"/>
      <c r="H684" s="67">
        <f>ROUND(+E684+G684,4)</f>
        <v>0</v>
      </c>
      <c r="I684" s="67"/>
      <c r="J684" s="67">
        <f>ROUND(+I684-H684,4)</f>
        <v>0</v>
      </c>
      <c r="K684" s="67">
        <f>ROUND(IF(F684="alluminio",0,I684*1.5%),4)</f>
        <v>0</v>
      </c>
      <c r="L684" s="67">
        <f>ROUND(IF(K684&lt;J684,K684,0),4)</f>
        <v>0</v>
      </c>
      <c r="M684" s="67">
        <f>ROUND(IF(J684&gt;K684,0,J684),4)</f>
        <v>0</v>
      </c>
      <c r="N684" s="67">
        <f>ROUND(+L684*D684,4)</f>
        <v>0</v>
      </c>
      <c r="O684" s="67">
        <f>ROUND(IF(F684="rame",0,+I684*3%),4)</f>
        <v>0</v>
      </c>
      <c r="P684" s="67">
        <f>ROUND(IF(O684&lt;J684,O684,0),4)</f>
        <v>0</v>
      </c>
      <c r="Q684" s="67">
        <f>ROUND(IF(J684&gt;O684,0,J684),4)</f>
        <v>0</v>
      </c>
      <c r="R684" s="67">
        <f>ROUND(+P684*D684,4)</f>
        <v>0</v>
      </c>
      <c r="S684" s="67">
        <f>ROUND(IF(K684=0,0,M684*D684),4)</f>
        <v>0</v>
      </c>
      <c r="T684" s="67">
        <f>ROUND(+IF(K684=0,Q684*D684,0),4)</f>
        <v>0</v>
      </c>
      <c r="U684" s="67">
        <f>ROUND(+N684+R684+S684+T684,4)</f>
        <v>0</v>
      </c>
      <c r="V684" s="67">
        <f>ROUND(IF(P684=0,0,I684-H684-O684)+IF(L684=0,0,I684-H684-K684),4)</f>
        <v>0</v>
      </c>
      <c r="W684" s="67">
        <f>ROUND(+(V684*60%)*D684,4)</f>
        <v>0</v>
      </c>
      <c r="X684" s="148">
        <f>ROUND(+U684+W684,4)</f>
        <v>0</v>
      </c>
      <c r="Y684" s="68"/>
      <c r="Z684" s="148">
        <f>ROUND(IF(X684&gt;I684,X684,I684),4)</f>
        <v>0</v>
      </c>
    </row>
    <row r="685" spans="1:26" x14ac:dyDescent="0.2">
      <c r="A685" s="66"/>
      <c r="B685" s="66"/>
      <c r="C685" s="66"/>
      <c r="D685" s="144"/>
      <c r="E685" s="67"/>
      <c r="F685" s="67"/>
      <c r="G685" s="67"/>
      <c r="H685" s="67">
        <f>ROUND(+E685+G685,4)</f>
        <v>0</v>
      </c>
      <c r="I685" s="67"/>
      <c r="J685" s="67">
        <f>ROUND(+I685-H685,4)</f>
        <v>0</v>
      </c>
      <c r="K685" s="67">
        <f>ROUND(IF(F685="alluminio",0,I685*1.5%),4)</f>
        <v>0</v>
      </c>
      <c r="L685" s="67">
        <f>ROUND(IF(K685&lt;J685,K685,0),4)</f>
        <v>0</v>
      </c>
      <c r="M685" s="67">
        <f>ROUND(IF(J685&gt;K685,0,J685),4)</f>
        <v>0</v>
      </c>
      <c r="N685" s="67">
        <f>ROUND(+L685*D685,4)</f>
        <v>0</v>
      </c>
      <c r="O685" s="67">
        <f>ROUND(IF(F685="rame",0,+I685*3%),4)</f>
        <v>0</v>
      </c>
      <c r="P685" s="67">
        <f>ROUND(IF(O685&lt;J685,O685,0),4)</f>
        <v>0</v>
      </c>
      <c r="Q685" s="67">
        <f>ROUND(IF(J685&gt;O685,0,J685),4)</f>
        <v>0</v>
      </c>
      <c r="R685" s="67">
        <f>ROUND(+P685*D685,4)</f>
        <v>0</v>
      </c>
      <c r="S685" s="67">
        <f>ROUND(IF(K685=0,0,M685*D685),4)</f>
        <v>0</v>
      </c>
      <c r="T685" s="67">
        <f>ROUND(+IF(K685=0,Q685*D685,0),4)</f>
        <v>0</v>
      </c>
      <c r="U685" s="67">
        <f>ROUND(+N685+R685+S685+T685,4)</f>
        <v>0</v>
      </c>
      <c r="V685" s="67">
        <f>ROUND(IF(P685=0,0,I685-H685-O685)+IF(L685=0,0,I685-H685-K685),4)</f>
        <v>0</v>
      </c>
      <c r="W685" s="67">
        <f>ROUND(+(V685*60%)*D685,4)</f>
        <v>0</v>
      </c>
      <c r="X685" s="148">
        <f>ROUND(+U685+W685,4)</f>
        <v>0</v>
      </c>
      <c r="Y685" s="68"/>
      <c r="Z685" s="148">
        <f>ROUND(IF(X685&gt;I685,X685,I685),4)</f>
        <v>0</v>
      </c>
    </row>
    <row r="686" spans="1:26" x14ac:dyDescent="0.2">
      <c r="A686" s="66"/>
      <c r="B686" s="66"/>
      <c r="C686" s="66"/>
      <c r="D686" s="144"/>
      <c r="E686" s="67"/>
      <c r="F686" s="67"/>
      <c r="G686" s="67"/>
      <c r="H686" s="67">
        <f>ROUND(+E686+G686,4)</f>
        <v>0</v>
      </c>
      <c r="I686" s="67"/>
      <c r="J686" s="67">
        <f>ROUND(+I686-H686,4)</f>
        <v>0</v>
      </c>
      <c r="K686" s="67">
        <f>ROUND(IF(F686="alluminio",0,I686*1.5%),4)</f>
        <v>0</v>
      </c>
      <c r="L686" s="67">
        <f>ROUND(IF(K686&lt;J686,K686,0),4)</f>
        <v>0</v>
      </c>
      <c r="M686" s="67">
        <f>ROUND(IF(J686&gt;K686,0,J686),4)</f>
        <v>0</v>
      </c>
      <c r="N686" s="67">
        <f>ROUND(+L686*D686,4)</f>
        <v>0</v>
      </c>
      <c r="O686" s="67">
        <f>ROUND(IF(F686="rame",0,+I686*3%),4)</f>
        <v>0</v>
      </c>
      <c r="P686" s="67">
        <f>ROUND(IF(O686&lt;J686,O686,0),4)</f>
        <v>0</v>
      </c>
      <c r="Q686" s="67">
        <f>ROUND(IF(J686&gt;O686,0,J686),4)</f>
        <v>0</v>
      </c>
      <c r="R686" s="67">
        <f>ROUND(+P686*D686,4)</f>
        <v>0</v>
      </c>
      <c r="S686" s="67">
        <f>ROUND(IF(K686=0,0,M686*D686),4)</f>
        <v>0</v>
      </c>
      <c r="T686" s="67">
        <f>ROUND(+IF(K686=0,Q686*D686,0),4)</f>
        <v>0</v>
      </c>
      <c r="U686" s="67">
        <f>ROUND(+N686+R686+S686+T686,4)</f>
        <v>0</v>
      </c>
      <c r="V686" s="67">
        <f>ROUND(IF(P686=0,0,I686-H686-O686)+IF(L686=0,0,I686-H686-K686),4)</f>
        <v>0</v>
      </c>
      <c r="W686" s="67">
        <f>ROUND(+(V686*60%)*D686,4)</f>
        <v>0</v>
      </c>
      <c r="X686" s="148">
        <f>ROUND(+U686+W686,4)</f>
        <v>0</v>
      </c>
      <c r="Y686" s="68"/>
      <c r="Z686" s="148">
        <f>ROUND(IF(X686&gt;I686,X686,I686),4)</f>
        <v>0</v>
      </c>
    </row>
    <row r="687" spans="1:26" x14ac:dyDescent="0.2">
      <c r="A687" s="66"/>
      <c r="B687" s="66"/>
      <c r="C687" s="66"/>
      <c r="D687" s="144"/>
      <c r="E687" s="67"/>
      <c r="F687" s="67"/>
      <c r="G687" s="67"/>
      <c r="H687" s="67">
        <f>ROUND(+E687+G687,4)</f>
        <v>0</v>
      </c>
      <c r="I687" s="67"/>
      <c r="J687" s="67">
        <f>ROUND(+I687-H687,4)</f>
        <v>0</v>
      </c>
      <c r="K687" s="67">
        <f>ROUND(IF(F687="alluminio",0,I687*1.5%),4)</f>
        <v>0</v>
      </c>
      <c r="L687" s="67">
        <f>ROUND(IF(K687&lt;J687,K687,0),4)</f>
        <v>0</v>
      </c>
      <c r="M687" s="67">
        <f>ROUND(IF(J687&gt;K687,0,J687),4)</f>
        <v>0</v>
      </c>
      <c r="N687" s="67">
        <f>ROUND(+L687*D687,4)</f>
        <v>0</v>
      </c>
      <c r="O687" s="67">
        <f>ROUND(IF(F687="rame",0,+I687*3%),4)</f>
        <v>0</v>
      </c>
      <c r="P687" s="67">
        <f>ROUND(IF(O687&lt;J687,O687,0),4)</f>
        <v>0</v>
      </c>
      <c r="Q687" s="67">
        <f>ROUND(IF(J687&gt;O687,0,J687),4)</f>
        <v>0</v>
      </c>
      <c r="R687" s="67">
        <f>ROUND(+P687*D687,4)</f>
        <v>0</v>
      </c>
      <c r="S687" s="67">
        <f>ROUND(IF(K687=0,0,M687*D687),4)</f>
        <v>0</v>
      </c>
      <c r="T687" s="67">
        <f>ROUND(+IF(K687=0,Q687*D687,0),4)</f>
        <v>0</v>
      </c>
      <c r="U687" s="67">
        <f>ROUND(+N687+R687+S687+T687,4)</f>
        <v>0</v>
      </c>
      <c r="V687" s="67">
        <f>ROUND(IF(P687=0,0,I687-H687-O687)+IF(L687=0,0,I687-H687-K687),4)</f>
        <v>0</v>
      </c>
      <c r="W687" s="67">
        <f>ROUND(+(V687*60%)*D687,4)</f>
        <v>0</v>
      </c>
      <c r="X687" s="148">
        <f>ROUND(+U687+W687,4)</f>
        <v>0</v>
      </c>
      <c r="Y687" s="68"/>
      <c r="Z687" s="148">
        <f>ROUND(IF(X687&gt;I687,X687,I687),4)</f>
        <v>0</v>
      </c>
    </row>
    <row r="688" spans="1:26" x14ac:dyDescent="0.2">
      <c r="A688" s="66"/>
      <c r="B688" s="66"/>
      <c r="C688" s="66"/>
      <c r="D688" s="144"/>
      <c r="E688" s="67"/>
      <c r="F688" s="67"/>
      <c r="G688" s="67"/>
      <c r="H688" s="67">
        <f>ROUND(+E688+G688,4)</f>
        <v>0</v>
      </c>
      <c r="I688" s="67"/>
      <c r="J688" s="67">
        <f>ROUND(+I688-H688,4)</f>
        <v>0</v>
      </c>
      <c r="K688" s="67">
        <f>ROUND(IF(F688="alluminio",0,I688*1.5%),4)</f>
        <v>0</v>
      </c>
      <c r="L688" s="67">
        <f>ROUND(IF(K688&lt;J688,K688,0),4)</f>
        <v>0</v>
      </c>
      <c r="M688" s="67">
        <f>ROUND(IF(J688&gt;K688,0,J688),4)</f>
        <v>0</v>
      </c>
      <c r="N688" s="67">
        <f>ROUND(+L688*D688,4)</f>
        <v>0</v>
      </c>
      <c r="O688" s="67">
        <f>ROUND(IF(F688="rame",0,+I688*3%),4)</f>
        <v>0</v>
      </c>
      <c r="P688" s="67">
        <f>ROUND(IF(O688&lt;J688,O688,0),4)</f>
        <v>0</v>
      </c>
      <c r="Q688" s="67">
        <f>ROUND(IF(J688&gt;O688,0,J688),4)</f>
        <v>0</v>
      </c>
      <c r="R688" s="67">
        <f>ROUND(+P688*D688,4)</f>
        <v>0</v>
      </c>
      <c r="S688" s="67">
        <f>ROUND(IF(K688=0,0,M688*D688),4)</f>
        <v>0</v>
      </c>
      <c r="T688" s="67">
        <f>ROUND(+IF(K688=0,Q688*D688,0),4)</f>
        <v>0</v>
      </c>
      <c r="U688" s="67">
        <f>ROUND(+N688+R688+S688+T688,4)</f>
        <v>0</v>
      </c>
      <c r="V688" s="67">
        <f>ROUND(IF(P688=0,0,I688-H688-O688)+IF(L688=0,0,I688-H688-K688),4)</f>
        <v>0</v>
      </c>
      <c r="W688" s="67">
        <f>ROUND(+(V688*60%)*D688,4)</f>
        <v>0</v>
      </c>
      <c r="X688" s="148">
        <f>ROUND(+U688+W688,4)</f>
        <v>0</v>
      </c>
      <c r="Y688" s="68"/>
      <c r="Z688" s="148">
        <f>ROUND(IF(X688&gt;I688,X688,I688),4)</f>
        <v>0</v>
      </c>
    </row>
    <row r="689" spans="1:26" x14ac:dyDescent="0.2">
      <c r="A689" s="66"/>
      <c r="B689" s="66"/>
      <c r="C689" s="66"/>
      <c r="D689" s="144"/>
      <c r="E689" s="67"/>
      <c r="F689" s="67"/>
      <c r="G689" s="67"/>
      <c r="H689" s="67">
        <f>ROUND(+E689+G689,4)</f>
        <v>0</v>
      </c>
      <c r="I689" s="67"/>
      <c r="J689" s="67">
        <f>ROUND(+I689-H689,4)</f>
        <v>0</v>
      </c>
      <c r="K689" s="67">
        <f>ROUND(IF(F689="alluminio",0,I689*1.5%),4)</f>
        <v>0</v>
      </c>
      <c r="L689" s="67">
        <f>ROUND(IF(K689&lt;J689,K689,0),4)</f>
        <v>0</v>
      </c>
      <c r="M689" s="67">
        <f>ROUND(IF(J689&gt;K689,0,J689),4)</f>
        <v>0</v>
      </c>
      <c r="N689" s="67">
        <f>ROUND(+L689*D689,4)</f>
        <v>0</v>
      </c>
      <c r="O689" s="67">
        <f>ROUND(IF(F689="rame",0,+I689*3%),4)</f>
        <v>0</v>
      </c>
      <c r="P689" s="67">
        <f>ROUND(IF(O689&lt;J689,O689,0),4)</f>
        <v>0</v>
      </c>
      <c r="Q689" s="67">
        <f>ROUND(IF(J689&gt;O689,0,J689),4)</f>
        <v>0</v>
      </c>
      <c r="R689" s="67">
        <f>ROUND(+P689*D689,4)</f>
        <v>0</v>
      </c>
      <c r="S689" s="67">
        <f>ROUND(IF(K689=0,0,M689*D689),4)</f>
        <v>0</v>
      </c>
      <c r="T689" s="67">
        <f>ROUND(+IF(K689=0,Q689*D689,0),4)</f>
        <v>0</v>
      </c>
      <c r="U689" s="67">
        <f>ROUND(+N689+R689+S689+T689,4)</f>
        <v>0</v>
      </c>
      <c r="V689" s="67">
        <f>ROUND(IF(P689=0,0,I689-H689-O689)+IF(L689=0,0,I689-H689-K689),4)</f>
        <v>0</v>
      </c>
      <c r="W689" s="67">
        <f>ROUND(+(V689*60%)*D689,4)</f>
        <v>0</v>
      </c>
      <c r="X689" s="148">
        <f>ROUND(+U689+W689,4)</f>
        <v>0</v>
      </c>
      <c r="Y689" s="68"/>
      <c r="Z689" s="148">
        <f>ROUND(IF(X689&gt;I689,X689,I689),4)</f>
        <v>0</v>
      </c>
    </row>
    <row r="690" spans="1:26" x14ac:dyDescent="0.2">
      <c r="A690" s="66"/>
      <c r="B690" s="66"/>
      <c r="C690" s="66"/>
      <c r="D690" s="144"/>
      <c r="E690" s="67"/>
      <c r="F690" s="67"/>
      <c r="G690" s="67"/>
      <c r="H690" s="67">
        <f>ROUND(+E690+G690,4)</f>
        <v>0</v>
      </c>
      <c r="I690" s="67"/>
      <c r="J690" s="67">
        <f>ROUND(+I690-H690,4)</f>
        <v>0</v>
      </c>
      <c r="K690" s="67">
        <f>ROUND(IF(F690="alluminio",0,I690*1.5%),4)</f>
        <v>0</v>
      </c>
      <c r="L690" s="67">
        <f>ROUND(IF(K690&lt;J690,K690,0),4)</f>
        <v>0</v>
      </c>
      <c r="M690" s="67">
        <f>ROUND(IF(J690&gt;K690,0,J690),4)</f>
        <v>0</v>
      </c>
      <c r="N690" s="67">
        <f>ROUND(+L690*D690,4)</f>
        <v>0</v>
      </c>
      <c r="O690" s="67">
        <f>ROUND(IF(F690="rame",0,+I690*3%),4)</f>
        <v>0</v>
      </c>
      <c r="P690" s="67">
        <f>ROUND(IF(O690&lt;J690,O690,0),4)</f>
        <v>0</v>
      </c>
      <c r="Q690" s="67">
        <f>ROUND(IF(J690&gt;O690,0,J690),4)</f>
        <v>0</v>
      </c>
      <c r="R690" s="67">
        <f>ROUND(+P690*D690,4)</f>
        <v>0</v>
      </c>
      <c r="S690" s="67">
        <f>ROUND(IF(K690=0,0,M690*D690),4)</f>
        <v>0</v>
      </c>
      <c r="T690" s="67">
        <f>ROUND(+IF(K690=0,Q690*D690,0),4)</f>
        <v>0</v>
      </c>
      <c r="U690" s="67">
        <f>ROUND(+N690+R690+S690+T690,4)</f>
        <v>0</v>
      </c>
      <c r="V690" s="67">
        <f>ROUND(IF(P690=0,0,I690-H690-O690)+IF(L690=0,0,I690-H690-K690),4)</f>
        <v>0</v>
      </c>
      <c r="W690" s="67">
        <f>ROUND(+(V690*60%)*D690,4)</f>
        <v>0</v>
      </c>
      <c r="X690" s="148">
        <f>ROUND(+U690+W690,4)</f>
        <v>0</v>
      </c>
      <c r="Y690" s="68"/>
      <c r="Z690" s="148">
        <f>ROUND(IF(X690&gt;I690,X690,I690),4)</f>
        <v>0</v>
      </c>
    </row>
    <row r="691" spans="1:26" x14ac:dyDescent="0.2">
      <c r="A691" s="66"/>
      <c r="B691" s="66"/>
      <c r="C691" s="66"/>
      <c r="D691" s="144"/>
      <c r="E691" s="67"/>
      <c r="F691" s="67"/>
      <c r="G691" s="67"/>
      <c r="H691" s="67">
        <f>ROUND(+E691+G691,4)</f>
        <v>0</v>
      </c>
      <c r="I691" s="67"/>
      <c r="J691" s="67">
        <f>ROUND(+I691-H691,4)</f>
        <v>0</v>
      </c>
      <c r="K691" s="67">
        <f>ROUND(IF(F691="alluminio",0,I691*1.5%),4)</f>
        <v>0</v>
      </c>
      <c r="L691" s="67">
        <f>ROUND(IF(K691&lt;J691,K691,0),4)</f>
        <v>0</v>
      </c>
      <c r="M691" s="67">
        <f>ROUND(IF(J691&gt;K691,0,J691),4)</f>
        <v>0</v>
      </c>
      <c r="N691" s="67">
        <f>ROUND(+L691*D691,4)</f>
        <v>0</v>
      </c>
      <c r="O691" s="67">
        <f>ROUND(IF(F691="rame",0,+I691*3%),4)</f>
        <v>0</v>
      </c>
      <c r="P691" s="67">
        <f>ROUND(IF(O691&lt;J691,O691,0),4)</f>
        <v>0</v>
      </c>
      <c r="Q691" s="67">
        <f>ROUND(IF(J691&gt;O691,0,J691),4)</f>
        <v>0</v>
      </c>
      <c r="R691" s="67">
        <f>ROUND(+P691*D691,4)</f>
        <v>0</v>
      </c>
      <c r="S691" s="67">
        <f>ROUND(IF(K691=0,0,M691*D691),4)</f>
        <v>0</v>
      </c>
      <c r="T691" s="67">
        <f>ROUND(+IF(K691=0,Q691*D691,0),4)</f>
        <v>0</v>
      </c>
      <c r="U691" s="67">
        <f>ROUND(+N691+R691+S691+T691,4)</f>
        <v>0</v>
      </c>
      <c r="V691" s="67">
        <f>ROUND(IF(P691=0,0,I691-H691-O691)+IF(L691=0,0,I691-H691-K691),4)</f>
        <v>0</v>
      </c>
      <c r="W691" s="67">
        <f>ROUND(+(V691*60%)*D691,4)</f>
        <v>0</v>
      </c>
      <c r="X691" s="148">
        <f>ROUND(+U691+W691,4)</f>
        <v>0</v>
      </c>
      <c r="Y691" s="68"/>
      <c r="Z691" s="148">
        <f>ROUND(IF(X691&gt;I691,X691,I691),4)</f>
        <v>0</v>
      </c>
    </row>
    <row r="692" spans="1:26" x14ac:dyDescent="0.2">
      <c r="A692" s="66"/>
      <c r="B692" s="66"/>
      <c r="C692" s="66"/>
      <c r="D692" s="144"/>
      <c r="E692" s="67"/>
      <c r="F692" s="67"/>
      <c r="G692" s="67"/>
      <c r="H692" s="67">
        <f>ROUND(+E692+G692,4)</f>
        <v>0</v>
      </c>
      <c r="I692" s="67"/>
      <c r="J692" s="67">
        <f>ROUND(+I692-H692,4)</f>
        <v>0</v>
      </c>
      <c r="K692" s="67">
        <f>ROUND(IF(F692="alluminio",0,I692*1.5%),4)</f>
        <v>0</v>
      </c>
      <c r="L692" s="67">
        <f>ROUND(IF(K692&lt;J692,K692,0),4)</f>
        <v>0</v>
      </c>
      <c r="M692" s="67">
        <f>ROUND(IF(J692&gt;K692,0,J692),4)</f>
        <v>0</v>
      </c>
      <c r="N692" s="67">
        <f>ROUND(+L692*D692,4)</f>
        <v>0</v>
      </c>
      <c r="O692" s="67">
        <f>ROUND(IF(F692="rame",0,+I692*3%),4)</f>
        <v>0</v>
      </c>
      <c r="P692" s="67">
        <f>ROUND(IF(O692&lt;J692,O692,0),4)</f>
        <v>0</v>
      </c>
      <c r="Q692" s="67">
        <f>ROUND(IF(J692&gt;O692,0,J692),4)</f>
        <v>0</v>
      </c>
      <c r="R692" s="67">
        <f>ROUND(+P692*D692,4)</f>
        <v>0</v>
      </c>
      <c r="S692" s="67">
        <f>ROUND(IF(K692=0,0,M692*D692),4)</f>
        <v>0</v>
      </c>
      <c r="T692" s="67">
        <f>ROUND(+IF(K692=0,Q692*D692,0),4)</f>
        <v>0</v>
      </c>
      <c r="U692" s="67">
        <f>ROUND(+N692+R692+S692+T692,4)</f>
        <v>0</v>
      </c>
      <c r="V692" s="67">
        <f>ROUND(IF(P692=0,0,I692-H692-O692)+IF(L692=0,0,I692-H692-K692),4)</f>
        <v>0</v>
      </c>
      <c r="W692" s="67">
        <f>ROUND(+(V692*60%)*D692,4)</f>
        <v>0</v>
      </c>
      <c r="X692" s="148">
        <f>ROUND(+U692+W692,4)</f>
        <v>0</v>
      </c>
      <c r="Y692" s="68"/>
      <c r="Z692" s="148">
        <f>ROUND(IF(X692&gt;I692,X692,I692),4)</f>
        <v>0</v>
      </c>
    </row>
    <row r="693" spans="1:26" x14ac:dyDescent="0.2">
      <c r="A693" s="66"/>
      <c r="B693" s="66"/>
      <c r="C693" s="66"/>
      <c r="D693" s="144"/>
      <c r="E693" s="67"/>
      <c r="F693" s="67"/>
      <c r="G693" s="67"/>
      <c r="H693" s="67">
        <f>ROUND(+E693+G693,4)</f>
        <v>0</v>
      </c>
      <c r="I693" s="67"/>
      <c r="J693" s="67">
        <f>ROUND(+I693-H693,4)</f>
        <v>0</v>
      </c>
      <c r="K693" s="67">
        <f>ROUND(IF(F693="alluminio",0,I693*1.5%),4)</f>
        <v>0</v>
      </c>
      <c r="L693" s="67">
        <f>ROUND(IF(K693&lt;J693,K693,0),4)</f>
        <v>0</v>
      </c>
      <c r="M693" s="67">
        <f>ROUND(IF(J693&gt;K693,0,J693),4)</f>
        <v>0</v>
      </c>
      <c r="N693" s="67">
        <f>ROUND(+L693*D693,4)</f>
        <v>0</v>
      </c>
      <c r="O693" s="67">
        <f>ROUND(IF(F693="rame",0,+I693*3%),4)</f>
        <v>0</v>
      </c>
      <c r="P693" s="67">
        <f>ROUND(IF(O693&lt;J693,O693,0),4)</f>
        <v>0</v>
      </c>
      <c r="Q693" s="67">
        <f>ROUND(IF(J693&gt;O693,0,J693),4)</f>
        <v>0</v>
      </c>
      <c r="R693" s="67">
        <f>ROUND(+P693*D693,4)</f>
        <v>0</v>
      </c>
      <c r="S693" s="67">
        <f>ROUND(IF(K693=0,0,M693*D693),4)</f>
        <v>0</v>
      </c>
      <c r="T693" s="67">
        <f>ROUND(+IF(K693=0,Q693*D693,0),4)</f>
        <v>0</v>
      </c>
      <c r="U693" s="67">
        <f>ROUND(+N693+R693+S693+T693,4)</f>
        <v>0</v>
      </c>
      <c r="V693" s="67">
        <f>ROUND(IF(P693=0,0,I693-H693-O693)+IF(L693=0,0,I693-H693-K693),4)</f>
        <v>0</v>
      </c>
      <c r="W693" s="67">
        <f>ROUND(+(V693*60%)*D693,4)</f>
        <v>0</v>
      </c>
      <c r="X693" s="148">
        <f>ROUND(+U693+W693,4)</f>
        <v>0</v>
      </c>
      <c r="Y693" s="68"/>
      <c r="Z693" s="148">
        <f>ROUND(IF(X693&gt;I693,X693,I693),4)</f>
        <v>0</v>
      </c>
    </row>
    <row r="694" spans="1:26" x14ac:dyDescent="0.2">
      <c r="A694" s="66"/>
      <c r="B694" s="66"/>
      <c r="C694" s="66"/>
      <c r="D694" s="144"/>
      <c r="E694" s="67"/>
      <c r="F694" s="67"/>
      <c r="G694" s="67"/>
      <c r="H694" s="67">
        <f>ROUND(+E694+G694,4)</f>
        <v>0</v>
      </c>
      <c r="I694" s="67"/>
      <c r="J694" s="67">
        <f>ROUND(+I694-H694,4)</f>
        <v>0</v>
      </c>
      <c r="K694" s="67">
        <f>ROUND(IF(F694="alluminio",0,I694*1.5%),4)</f>
        <v>0</v>
      </c>
      <c r="L694" s="67">
        <f>ROUND(IF(K694&lt;J694,K694,0),4)</f>
        <v>0</v>
      </c>
      <c r="M694" s="67">
        <f>ROUND(IF(J694&gt;K694,0,J694),4)</f>
        <v>0</v>
      </c>
      <c r="N694" s="67">
        <f>ROUND(+L694*D694,4)</f>
        <v>0</v>
      </c>
      <c r="O694" s="67">
        <f>ROUND(IF(F694="rame",0,+I694*3%),4)</f>
        <v>0</v>
      </c>
      <c r="P694" s="67">
        <f>ROUND(IF(O694&lt;J694,O694,0),4)</f>
        <v>0</v>
      </c>
      <c r="Q694" s="67">
        <f>ROUND(IF(J694&gt;O694,0,J694),4)</f>
        <v>0</v>
      </c>
      <c r="R694" s="67">
        <f>ROUND(+P694*D694,4)</f>
        <v>0</v>
      </c>
      <c r="S694" s="67">
        <f>ROUND(IF(K694=0,0,M694*D694),4)</f>
        <v>0</v>
      </c>
      <c r="T694" s="67">
        <f>ROUND(+IF(K694=0,Q694*D694,0),4)</f>
        <v>0</v>
      </c>
      <c r="U694" s="67">
        <f>ROUND(+N694+R694+S694+T694,4)</f>
        <v>0</v>
      </c>
      <c r="V694" s="67">
        <f>ROUND(IF(P694=0,0,I694-H694-O694)+IF(L694=0,0,I694-H694-K694),4)</f>
        <v>0</v>
      </c>
      <c r="W694" s="67">
        <f>ROUND(+(V694*60%)*D694,4)</f>
        <v>0</v>
      </c>
      <c r="X694" s="148">
        <f>ROUND(+U694+W694,4)</f>
        <v>0</v>
      </c>
      <c r="Y694" s="68"/>
      <c r="Z694" s="148">
        <f>ROUND(IF(X694&gt;I694,X694,I694),4)</f>
        <v>0</v>
      </c>
    </row>
    <row r="695" spans="1:26" x14ac:dyDescent="0.2">
      <c r="A695" s="66"/>
      <c r="B695" s="66"/>
      <c r="C695" s="66"/>
      <c r="D695" s="144"/>
      <c r="E695" s="67"/>
      <c r="F695" s="67"/>
      <c r="G695" s="67"/>
      <c r="H695" s="67">
        <f>ROUND(+E695+G695,4)</f>
        <v>0</v>
      </c>
      <c r="I695" s="67"/>
      <c r="J695" s="67">
        <f>ROUND(+I695-H695,4)</f>
        <v>0</v>
      </c>
      <c r="K695" s="67">
        <f>ROUND(IF(F695="alluminio",0,I695*1.5%),4)</f>
        <v>0</v>
      </c>
      <c r="L695" s="67">
        <f>ROUND(IF(K695&lt;J695,K695,0),4)</f>
        <v>0</v>
      </c>
      <c r="M695" s="67">
        <f>ROUND(IF(J695&gt;K695,0,J695),4)</f>
        <v>0</v>
      </c>
      <c r="N695" s="67">
        <f>ROUND(+L695*D695,4)</f>
        <v>0</v>
      </c>
      <c r="O695" s="67">
        <f>ROUND(IF(F695="rame",0,+I695*3%),4)</f>
        <v>0</v>
      </c>
      <c r="P695" s="67">
        <f>ROUND(IF(O695&lt;J695,O695,0),4)</f>
        <v>0</v>
      </c>
      <c r="Q695" s="67">
        <f>ROUND(IF(J695&gt;O695,0,J695),4)</f>
        <v>0</v>
      </c>
      <c r="R695" s="67">
        <f>ROUND(+P695*D695,4)</f>
        <v>0</v>
      </c>
      <c r="S695" s="67">
        <f>ROUND(IF(K695=0,0,M695*D695),4)</f>
        <v>0</v>
      </c>
      <c r="T695" s="67">
        <f>ROUND(+IF(K695=0,Q695*D695,0),4)</f>
        <v>0</v>
      </c>
      <c r="U695" s="67">
        <f>ROUND(+N695+R695+S695+T695,4)</f>
        <v>0</v>
      </c>
      <c r="V695" s="67">
        <f>ROUND(IF(P695=0,0,I695-H695-O695)+IF(L695=0,0,I695-H695-K695),4)</f>
        <v>0</v>
      </c>
      <c r="W695" s="67">
        <f>ROUND(+(V695*60%)*D695,4)</f>
        <v>0</v>
      </c>
      <c r="X695" s="148">
        <f>ROUND(+U695+W695,4)</f>
        <v>0</v>
      </c>
      <c r="Y695" s="68"/>
      <c r="Z695" s="148">
        <f>ROUND(IF(X695&gt;I695,X695,I695),4)</f>
        <v>0</v>
      </c>
    </row>
    <row r="696" spans="1:26" x14ac:dyDescent="0.2">
      <c r="A696" s="66"/>
      <c r="B696" s="66"/>
      <c r="C696" s="66"/>
      <c r="D696" s="144"/>
      <c r="E696" s="67"/>
      <c r="F696" s="67"/>
      <c r="G696" s="67"/>
      <c r="H696" s="67">
        <f>ROUND(+E696+G696,4)</f>
        <v>0</v>
      </c>
      <c r="I696" s="67"/>
      <c r="J696" s="67">
        <f>ROUND(+I696-H696,4)</f>
        <v>0</v>
      </c>
      <c r="K696" s="67">
        <f>ROUND(IF(F696="alluminio",0,I696*1.5%),4)</f>
        <v>0</v>
      </c>
      <c r="L696" s="67">
        <f>ROUND(IF(K696&lt;J696,K696,0),4)</f>
        <v>0</v>
      </c>
      <c r="M696" s="67">
        <f>ROUND(IF(J696&gt;K696,0,J696),4)</f>
        <v>0</v>
      </c>
      <c r="N696" s="67">
        <f>ROUND(+L696*D696,4)</f>
        <v>0</v>
      </c>
      <c r="O696" s="67">
        <f>ROUND(IF(F696="rame",0,+I696*3%),4)</f>
        <v>0</v>
      </c>
      <c r="P696" s="67">
        <f>ROUND(IF(O696&lt;J696,O696,0),4)</f>
        <v>0</v>
      </c>
      <c r="Q696" s="67">
        <f>ROUND(IF(J696&gt;O696,0,J696),4)</f>
        <v>0</v>
      </c>
      <c r="R696" s="67">
        <f>ROUND(+P696*D696,4)</f>
        <v>0</v>
      </c>
      <c r="S696" s="67">
        <f>ROUND(IF(K696=0,0,M696*D696),4)</f>
        <v>0</v>
      </c>
      <c r="T696" s="67">
        <f>ROUND(+IF(K696=0,Q696*D696,0),4)</f>
        <v>0</v>
      </c>
      <c r="U696" s="67">
        <f>ROUND(+N696+R696+S696+T696,4)</f>
        <v>0</v>
      </c>
      <c r="V696" s="67">
        <f>ROUND(IF(P696=0,0,I696-H696-O696)+IF(L696=0,0,I696-H696-K696),4)</f>
        <v>0</v>
      </c>
      <c r="W696" s="67">
        <f>ROUND(+(V696*60%)*D696,4)</f>
        <v>0</v>
      </c>
      <c r="X696" s="148">
        <f>ROUND(+U696+W696,4)</f>
        <v>0</v>
      </c>
      <c r="Y696" s="68"/>
      <c r="Z696" s="148">
        <f>ROUND(IF(X696&gt;I696,X696,I696),4)</f>
        <v>0</v>
      </c>
    </row>
    <row r="697" spans="1:26" x14ac:dyDescent="0.2">
      <c r="A697" s="66"/>
      <c r="B697" s="66"/>
      <c r="C697" s="66"/>
      <c r="D697" s="144"/>
      <c r="E697" s="67"/>
      <c r="F697" s="67"/>
      <c r="G697" s="67"/>
      <c r="H697" s="67">
        <f>ROUND(+E697+G697,4)</f>
        <v>0</v>
      </c>
      <c r="I697" s="67"/>
      <c r="J697" s="67">
        <f>ROUND(+I697-H697,4)</f>
        <v>0</v>
      </c>
      <c r="K697" s="67">
        <f>ROUND(IF(F697="alluminio",0,I697*1.5%),4)</f>
        <v>0</v>
      </c>
      <c r="L697" s="67">
        <f>ROUND(IF(K697&lt;J697,K697,0),4)</f>
        <v>0</v>
      </c>
      <c r="M697" s="67">
        <f>ROUND(IF(J697&gt;K697,0,J697),4)</f>
        <v>0</v>
      </c>
      <c r="N697" s="67">
        <f>ROUND(+L697*D697,4)</f>
        <v>0</v>
      </c>
      <c r="O697" s="67">
        <f>ROUND(IF(F697="rame",0,+I697*3%),4)</f>
        <v>0</v>
      </c>
      <c r="P697" s="67">
        <f>ROUND(IF(O697&lt;J697,O697,0),4)</f>
        <v>0</v>
      </c>
      <c r="Q697" s="67">
        <f>ROUND(IF(J697&gt;O697,0,J697),4)</f>
        <v>0</v>
      </c>
      <c r="R697" s="67">
        <f>ROUND(+P697*D697,4)</f>
        <v>0</v>
      </c>
      <c r="S697" s="67">
        <f>ROUND(IF(K697=0,0,M697*D697),4)</f>
        <v>0</v>
      </c>
      <c r="T697" s="67">
        <f>ROUND(+IF(K697=0,Q697*D697,0),4)</f>
        <v>0</v>
      </c>
      <c r="U697" s="67">
        <f>ROUND(+N697+R697+S697+T697,4)</f>
        <v>0</v>
      </c>
      <c r="V697" s="67">
        <f>ROUND(IF(P697=0,0,I697-H697-O697)+IF(L697=0,0,I697-H697-K697),4)</f>
        <v>0</v>
      </c>
      <c r="W697" s="67">
        <f>ROUND(+(V697*60%)*D697,4)</f>
        <v>0</v>
      </c>
      <c r="X697" s="148">
        <f>ROUND(+U697+W697,4)</f>
        <v>0</v>
      </c>
      <c r="Y697" s="68"/>
      <c r="Z697" s="148">
        <f>ROUND(IF(X697&gt;I697,X697,I697),4)</f>
        <v>0</v>
      </c>
    </row>
    <row r="698" spans="1:26" x14ac:dyDescent="0.2">
      <c r="A698" s="66"/>
      <c r="B698" s="66"/>
      <c r="C698" s="66"/>
      <c r="D698" s="144"/>
      <c r="E698" s="67"/>
      <c r="F698" s="67"/>
      <c r="G698" s="67"/>
      <c r="H698" s="67">
        <f>ROUND(+E698+G698,4)</f>
        <v>0</v>
      </c>
      <c r="I698" s="67"/>
      <c r="J698" s="67">
        <f>ROUND(+I698-H698,4)</f>
        <v>0</v>
      </c>
      <c r="K698" s="67">
        <f>ROUND(IF(F698="alluminio",0,I698*1.5%),4)</f>
        <v>0</v>
      </c>
      <c r="L698" s="67">
        <f>ROUND(IF(K698&lt;J698,K698,0),4)</f>
        <v>0</v>
      </c>
      <c r="M698" s="67">
        <f>ROUND(IF(J698&gt;K698,0,J698),4)</f>
        <v>0</v>
      </c>
      <c r="N698" s="67">
        <f>ROUND(+L698*D698,4)</f>
        <v>0</v>
      </c>
      <c r="O698" s="67">
        <f>ROUND(IF(F698="rame",0,+I698*3%),4)</f>
        <v>0</v>
      </c>
      <c r="P698" s="67">
        <f>ROUND(IF(O698&lt;J698,O698,0),4)</f>
        <v>0</v>
      </c>
      <c r="Q698" s="67">
        <f>ROUND(IF(J698&gt;O698,0,J698),4)</f>
        <v>0</v>
      </c>
      <c r="R698" s="67">
        <f>ROUND(+P698*D698,4)</f>
        <v>0</v>
      </c>
      <c r="S698" s="67">
        <f>ROUND(IF(K698=0,0,M698*D698),4)</f>
        <v>0</v>
      </c>
      <c r="T698" s="67">
        <f>ROUND(+IF(K698=0,Q698*D698,0),4)</f>
        <v>0</v>
      </c>
      <c r="U698" s="67">
        <f>ROUND(+N698+R698+S698+T698,4)</f>
        <v>0</v>
      </c>
      <c r="V698" s="67">
        <f>ROUND(IF(P698=0,0,I698-H698-O698)+IF(L698=0,0,I698-H698-K698),4)</f>
        <v>0</v>
      </c>
      <c r="W698" s="67">
        <f>ROUND(+(V698*60%)*D698,4)</f>
        <v>0</v>
      </c>
      <c r="X698" s="148">
        <f>ROUND(+U698+W698,4)</f>
        <v>0</v>
      </c>
      <c r="Y698" s="68"/>
      <c r="Z698" s="148">
        <f>ROUND(IF(X698&gt;I698,X698,I698),4)</f>
        <v>0</v>
      </c>
    </row>
    <row r="699" spans="1:26" x14ac:dyDescent="0.2">
      <c r="A699" s="66"/>
      <c r="B699" s="66"/>
      <c r="C699" s="66"/>
      <c r="D699" s="144"/>
      <c r="E699" s="67"/>
      <c r="F699" s="67"/>
      <c r="G699" s="67"/>
      <c r="H699" s="67">
        <f>ROUND(+E699+G699,4)</f>
        <v>0</v>
      </c>
      <c r="I699" s="67"/>
      <c r="J699" s="67">
        <f>ROUND(+I699-H699,4)</f>
        <v>0</v>
      </c>
      <c r="K699" s="67">
        <f>ROUND(IF(F699="alluminio",0,I699*1.5%),4)</f>
        <v>0</v>
      </c>
      <c r="L699" s="67">
        <f>ROUND(IF(K699&lt;J699,K699,0),4)</f>
        <v>0</v>
      </c>
      <c r="M699" s="67">
        <f>ROUND(IF(J699&gt;K699,0,J699),4)</f>
        <v>0</v>
      </c>
      <c r="N699" s="67">
        <f>ROUND(+L699*D699,4)</f>
        <v>0</v>
      </c>
      <c r="O699" s="67">
        <f>ROUND(IF(F699="rame",0,+I699*3%),4)</f>
        <v>0</v>
      </c>
      <c r="P699" s="67">
        <f>ROUND(IF(O699&lt;J699,O699,0),4)</f>
        <v>0</v>
      </c>
      <c r="Q699" s="67">
        <f>ROUND(IF(J699&gt;O699,0,J699),4)</f>
        <v>0</v>
      </c>
      <c r="R699" s="67">
        <f>ROUND(+P699*D699,4)</f>
        <v>0</v>
      </c>
      <c r="S699" s="67">
        <f>ROUND(IF(K699=0,0,M699*D699),4)</f>
        <v>0</v>
      </c>
      <c r="T699" s="67">
        <f>ROUND(+IF(K699=0,Q699*D699,0),4)</f>
        <v>0</v>
      </c>
      <c r="U699" s="67">
        <f>ROUND(+N699+R699+S699+T699,4)</f>
        <v>0</v>
      </c>
      <c r="V699" s="67">
        <f>ROUND(IF(P699=0,0,I699-H699-O699)+IF(L699=0,0,I699-H699-K699),4)</f>
        <v>0</v>
      </c>
      <c r="W699" s="67">
        <f>ROUND(+(V699*60%)*D699,4)</f>
        <v>0</v>
      </c>
      <c r="X699" s="148">
        <f>ROUND(+U699+W699,4)</f>
        <v>0</v>
      </c>
      <c r="Y699" s="68"/>
      <c r="Z699" s="148">
        <f>ROUND(IF(X699&gt;I699,X699,I699),4)</f>
        <v>0</v>
      </c>
    </row>
    <row r="700" spans="1:26" x14ac:dyDescent="0.2">
      <c r="A700" s="66"/>
      <c r="B700" s="66"/>
      <c r="C700" s="66"/>
      <c r="D700" s="144"/>
      <c r="E700" s="67"/>
      <c r="F700" s="67"/>
      <c r="G700" s="67"/>
      <c r="H700" s="67">
        <f>ROUND(+E700+G700,4)</f>
        <v>0</v>
      </c>
      <c r="I700" s="67"/>
      <c r="J700" s="67">
        <f>ROUND(+I700-H700,4)</f>
        <v>0</v>
      </c>
      <c r="K700" s="67">
        <f>ROUND(IF(F700="alluminio",0,I700*1.5%),4)</f>
        <v>0</v>
      </c>
      <c r="L700" s="67">
        <f>ROUND(IF(K700&lt;J700,K700,0),4)</f>
        <v>0</v>
      </c>
      <c r="M700" s="67">
        <f>ROUND(IF(J700&gt;K700,0,J700),4)</f>
        <v>0</v>
      </c>
      <c r="N700" s="67">
        <f>ROUND(+L700*D700,4)</f>
        <v>0</v>
      </c>
      <c r="O700" s="67">
        <f>ROUND(IF(F700="rame",0,+I700*3%),4)</f>
        <v>0</v>
      </c>
      <c r="P700" s="67">
        <f>ROUND(IF(O700&lt;J700,O700,0),4)</f>
        <v>0</v>
      </c>
      <c r="Q700" s="67">
        <f>ROUND(IF(J700&gt;O700,0,J700),4)</f>
        <v>0</v>
      </c>
      <c r="R700" s="67">
        <f>ROUND(+P700*D700,4)</f>
        <v>0</v>
      </c>
      <c r="S700" s="67">
        <f>ROUND(IF(K700=0,0,M700*D700),4)</f>
        <v>0</v>
      </c>
      <c r="T700" s="67">
        <f>ROUND(+IF(K700=0,Q700*D700,0),4)</f>
        <v>0</v>
      </c>
      <c r="U700" s="67">
        <f>ROUND(+N700+R700+S700+T700,4)</f>
        <v>0</v>
      </c>
      <c r="V700" s="67">
        <f>ROUND(IF(P700=0,0,I700-H700-O700)+IF(L700=0,0,I700-H700-K700),4)</f>
        <v>0</v>
      </c>
      <c r="W700" s="67">
        <f>ROUND(+(V700*60%)*D700,4)</f>
        <v>0</v>
      </c>
      <c r="X700" s="148">
        <f>ROUND(+U700+W700,4)</f>
        <v>0</v>
      </c>
      <c r="Y700" s="68"/>
      <c r="Z700" s="148">
        <f>ROUND(IF(X700&gt;I700,X700,I700),4)</f>
        <v>0</v>
      </c>
    </row>
    <row r="701" spans="1:26" x14ac:dyDescent="0.2">
      <c r="A701" s="66"/>
      <c r="B701" s="66"/>
      <c r="C701" s="66"/>
      <c r="D701" s="144"/>
      <c r="E701" s="67"/>
      <c r="F701" s="67"/>
      <c r="G701" s="67"/>
      <c r="H701" s="67">
        <f>ROUND(+E701+G701,4)</f>
        <v>0</v>
      </c>
      <c r="I701" s="67"/>
      <c r="J701" s="67">
        <f>ROUND(+I701-H701,4)</f>
        <v>0</v>
      </c>
      <c r="K701" s="67">
        <f>ROUND(IF(F701="alluminio",0,I701*1.5%),4)</f>
        <v>0</v>
      </c>
      <c r="L701" s="67">
        <f>ROUND(IF(K701&lt;J701,K701,0),4)</f>
        <v>0</v>
      </c>
      <c r="M701" s="67">
        <f>ROUND(IF(J701&gt;K701,0,J701),4)</f>
        <v>0</v>
      </c>
      <c r="N701" s="67">
        <f>ROUND(+L701*D701,4)</f>
        <v>0</v>
      </c>
      <c r="O701" s="67">
        <f>ROUND(IF(F701="rame",0,+I701*3%),4)</f>
        <v>0</v>
      </c>
      <c r="P701" s="67">
        <f>ROUND(IF(O701&lt;J701,O701,0),4)</f>
        <v>0</v>
      </c>
      <c r="Q701" s="67">
        <f>ROUND(IF(J701&gt;O701,0,J701),4)</f>
        <v>0</v>
      </c>
      <c r="R701" s="67">
        <f>ROUND(+P701*D701,4)</f>
        <v>0</v>
      </c>
      <c r="S701" s="67">
        <f>ROUND(IF(K701=0,0,M701*D701),4)</f>
        <v>0</v>
      </c>
      <c r="T701" s="67">
        <f>ROUND(+IF(K701=0,Q701*D701,0),4)</f>
        <v>0</v>
      </c>
      <c r="U701" s="67">
        <f>ROUND(+N701+R701+S701+T701,4)</f>
        <v>0</v>
      </c>
      <c r="V701" s="67">
        <f>ROUND(IF(P701=0,0,I701-H701-O701)+IF(L701=0,0,I701-H701-K701),4)</f>
        <v>0</v>
      </c>
      <c r="W701" s="67">
        <f>ROUND(+(V701*60%)*D701,4)</f>
        <v>0</v>
      </c>
      <c r="X701" s="148">
        <f>ROUND(+U701+W701,4)</f>
        <v>0</v>
      </c>
      <c r="Y701" s="68"/>
      <c r="Z701" s="148">
        <f>ROUND(IF(X701&gt;I701,X701,I701),4)</f>
        <v>0</v>
      </c>
    </row>
    <row r="702" spans="1:26" x14ac:dyDescent="0.2">
      <c r="A702" s="66"/>
      <c r="B702" s="66"/>
      <c r="C702" s="66"/>
      <c r="D702" s="144"/>
      <c r="E702" s="67"/>
      <c r="F702" s="67"/>
      <c r="G702" s="67"/>
      <c r="H702" s="67">
        <f>ROUND(+E702+G702,4)</f>
        <v>0</v>
      </c>
      <c r="I702" s="67"/>
      <c r="J702" s="67">
        <f>ROUND(+I702-H702,4)</f>
        <v>0</v>
      </c>
      <c r="K702" s="67">
        <f>ROUND(IF(F702="alluminio",0,I702*1.5%),4)</f>
        <v>0</v>
      </c>
      <c r="L702" s="67">
        <f>ROUND(IF(K702&lt;J702,K702,0),4)</f>
        <v>0</v>
      </c>
      <c r="M702" s="67">
        <f>ROUND(IF(J702&gt;K702,0,J702),4)</f>
        <v>0</v>
      </c>
      <c r="N702" s="67">
        <f>ROUND(+L702*D702,4)</f>
        <v>0</v>
      </c>
      <c r="O702" s="67">
        <f>ROUND(IF(F702="rame",0,+I702*3%),4)</f>
        <v>0</v>
      </c>
      <c r="P702" s="67">
        <f>ROUND(IF(O702&lt;J702,O702,0),4)</f>
        <v>0</v>
      </c>
      <c r="Q702" s="67">
        <f>ROUND(IF(J702&gt;O702,0,J702),4)</f>
        <v>0</v>
      </c>
      <c r="R702" s="67">
        <f>ROUND(+P702*D702,4)</f>
        <v>0</v>
      </c>
      <c r="S702" s="67">
        <f>ROUND(IF(K702=0,0,M702*D702),4)</f>
        <v>0</v>
      </c>
      <c r="T702" s="67">
        <f>ROUND(+IF(K702=0,Q702*D702,0),4)</f>
        <v>0</v>
      </c>
      <c r="U702" s="67">
        <f>ROUND(+N702+R702+S702+T702,4)</f>
        <v>0</v>
      </c>
      <c r="V702" s="67">
        <f>ROUND(IF(P702=0,0,I702-H702-O702)+IF(L702=0,0,I702-H702-K702),4)</f>
        <v>0</v>
      </c>
      <c r="W702" s="67">
        <f>ROUND(+(V702*60%)*D702,4)</f>
        <v>0</v>
      </c>
      <c r="X702" s="148">
        <f>ROUND(+U702+W702,4)</f>
        <v>0</v>
      </c>
      <c r="Y702" s="68"/>
      <c r="Z702" s="148">
        <f>ROUND(IF(X702&gt;I702,X702,I702),4)</f>
        <v>0</v>
      </c>
    </row>
    <row r="703" spans="1:26" x14ac:dyDescent="0.2">
      <c r="A703" s="66"/>
      <c r="B703" s="66"/>
      <c r="C703" s="66"/>
      <c r="D703" s="144"/>
      <c r="E703" s="67"/>
      <c r="F703" s="67"/>
      <c r="G703" s="67"/>
      <c r="H703" s="67">
        <f>ROUND(+E703+G703,4)</f>
        <v>0</v>
      </c>
      <c r="I703" s="67"/>
      <c r="J703" s="67">
        <f>ROUND(+I703-H703,4)</f>
        <v>0</v>
      </c>
      <c r="K703" s="67">
        <f>ROUND(IF(F703="alluminio",0,I703*1.5%),4)</f>
        <v>0</v>
      </c>
      <c r="L703" s="67">
        <f>ROUND(IF(K703&lt;J703,K703,0),4)</f>
        <v>0</v>
      </c>
      <c r="M703" s="67">
        <f>ROUND(IF(J703&gt;K703,0,J703),4)</f>
        <v>0</v>
      </c>
      <c r="N703" s="67">
        <f>ROUND(+L703*D703,4)</f>
        <v>0</v>
      </c>
      <c r="O703" s="67">
        <f>ROUND(IF(F703="rame",0,+I703*3%),4)</f>
        <v>0</v>
      </c>
      <c r="P703" s="67">
        <f>ROUND(IF(O703&lt;J703,O703,0),4)</f>
        <v>0</v>
      </c>
      <c r="Q703" s="67">
        <f>ROUND(IF(J703&gt;O703,0,J703),4)</f>
        <v>0</v>
      </c>
      <c r="R703" s="67">
        <f>ROUND(+P703*D703,4)</f>
        <v>0</v>
      </c>
      <c r="S703" s="67">
        <f>ROUND(IF(K703=0,0,M703*D703),4)</f>
        <v>0</v>
      </c>
      <c r="T703" s="67">
        <f>ROUND(+IF(K703=0,Q703*D703,0),4)</f>
        <v>0</v>
      </c>
      <c r="U703" s="67">
        <f>ROUND(+N703+R703+S703+T703,4)</f>
        <v>0</v>
      </c>
      <c r="V703" s="67">
        <f>ROUND(IF(P703=0,0,I703-H703-O703)+IF(L703=0,0,I703-H703-K703),4)</f>
        <v>0</v>
      </c>
      <c r="W703" s="67">
        <f>ROUND(+(V703*60%)*D703,4)</f>
        <v>0</v>
      </c>
      <c r="X703" s="148">
        <f>ROUND(+U703+W703,4)</f>
        <v>0</v>
      </c>
      <c r="Y703" s="68"/>
      <c r="Z703" s="148">
        <f>ROUND(IF(X703&gt;I703,X703,I703),4)</f>
        <v>0</v>
      </c>
    </row>
    <row r="704" spans="1:26" x14ac:dyDescent="0.2">
      <c r="A704" s="66"/>
      <c r="B704" s="66"/>
      <c r="C704" s="66"/>
      <c r="D704" s="144"/>
      <c r="E704" s="67"/>
      <c r="F704" s="67"/>
      <c r="G704" s="67"/>
      <c r="H704" s="67">
        <f>ROUND(+E704+G704,4)</f>
        <v>0</v>
      </c>
      <c r="I704" s="67"/>
      <c r="J704" s="67">
        <f>ROUND(+I704-H704,4)</f>
        <v>0</v>
      </c>
      <c r="K704" s="67">
        <f>ROUND(IF(F704="alluminio",0,I704*1.5%),4)</f>
        <v>0</v>
      </c>
      <c r="L704" s="67">
        <f>ROUND(IF(K704&lt;J704,K704,0),4)</f>
        <v>0</v>
      </c>
      <c r="M704" s="67">
        <f>ROUND(IF(J704&gt;K704,0,J704),4)</f>
        <v>0</v>
      </c>
      <c r="N704" s="67">
        <f>ROUND(+L704*D704,4)</f>
        <v>0</v>
      </c>
      <c r="O704" s="67">
        <f>ROUND(IF(F704="rame",0,+I704*3%),4)</f>
        <v>0</v>
      </c>
      <c r="P704" s="67">
        <f>ROUND(IF(O704&lt;J704,O704,0),4)</f>
        <v>0</v>
      </c>
      <c r="Q704" s="67">
        <f>ROUND(IF(J704&gt;O704,0,J704),4)</f>
        <v>0</v>
      </c>
      <c r="R704" s="67">
        <f>ROUND(+P704*D704,4)</f>
        <v>0</v>
      </c>
      <c r="S704" s="67">
        <f>ROUND(IF(K704=0,0,M704*D704),4)</f>
        <v>0</v>
      </c>
      <c r="T704" s="67">
        <f>ROUND(+IF(K704=0,Q704*D704,0),4)</f>
        <v>0</v>
      </c>
      <c r="U704" s="67">
        <f>ROUND(+N704+R704+S704+T704,4)</f>
        <v>0</v>
      </c>
      <c r="V704" s="67">
        <f>ROUND(IF(P704=0,0,I704-H704-O704)+IF(L704=0,0,I704-H704-K704),4)</f>
        <v>0</v>
      </c>
      <c r="W704" s="67">
        <f>ROUND(+(V704*60%)*D704,4)</f>
        <v>0</v>
      </c>
      <c r="X704" s="148">
        <f>ROUND(+U704+W704,4)</f>
        <v>0</v>
      </c>
      <c r="Y704" s="68"/>
      <c r="Z704" s="148">
        <f>ROUND(IF(X704&gt;I704,X704,I704),4)</f>
        <v>0</v>
      </c>
    </row>
    <row r="705" spans="1:26" x14ac:dyDescent="0.2">
      <c r="A705" s="66"/>
      <c r="B705" s="66"/>
      <c r="C705" s="66"/>
      <c r="D705" s="144"/>
      <c r="E705" s="67"/>
      <c r="F705" s="67"/>
      <c r="G705" s="67"/>
      <c r="H705" s="67">
        <f>ROUND(+E705+G705,4)</f>
        <v>0</v>
      </c>
      <c r="I705" s="67"/>
      <c r="J705" s="67">
        <f>ROUND(+I705-H705,4)</f>
        <v>0</v>
      </c>
      <c r="K705" s="67">
        <f>ROUND(IF(F705="alluminio",0,I705*1.5%),4)</f>
        <v>0</v>
      </c>
      <c r="L705" s="67">
        <f>ROUND(IF(K705&lt;J705,K705,0),4)</f>
        <v>0</v>
      </c>
      <c r="M705" s="67">
        <f>ROUND(IF(J705&gt;K705,0,J705),4)</f>
        <v>0</v>
      </c>
      <c r="N705" s="67">
        <f>ROUND(+L705*D705,4)</f>
        <v>0</v>
      </c>
      <c r="O705" s="67">
        <f>ROUND(IF(F705="rame",0,+I705*3%),4)</f>
        <v>0</v>
      </c>
      <c r="P705" s="67">
        <f>ROUND(IF(O705&lt;J705,O705,0),4)</f>
        <v>0</v>
      </c>
      <c r="Q705" s="67">
        <f>ROUND(IF(J705&gt;O705,0,J705),4)</f>
        <v>0</v>
      </c>
      <c r="R705" s="67">
        <f>ROUND(+P705*D705,4)</f>
        <v>0</v>
      </c>
      <c r="S705" s="67">
        <f>ROUND(IF(K705=0,0,M705*D705),4)</f>
        <v>0</v>
      </c>
      <c r="T705" s="67">
        <f>ROUND(+IF(K705=0,Q705*D705,0),4)</f>
        <v>0</v>
      </c>
      <c r="U705" s="67">
        <f>ROUND(+N705+R705+S705+T705,4)</f>
        <v>0</v>
      </c>
      <c r="V705" s="67">
        <f>ROUND(IF(P705=0,0,I705-H705-O705)+IF(L705=0,0,I705-H705-K705),4)</f>
        <v>0</v>
      </c>
      <c r="W705" s="67">
        <f>ROUND(+(V705*60%)*D705,4)</f>
        <v>0</v>
      </c>
      <c r="X705" s="148">
        <f>ROUND(+U705+W705,4)</f>
        <v>0</v>
      </c>
      <c r="Y705" s="68"/>
      <c r="Z705" s="148">
        <f>ROUND(IF(X705&gt;I705,X705,I705),4)</f>
        <v>0</v>
      </c>
    </row>
    <row r="706" spans="1:26" x14ac:dyDescent="0.2">
      <c r="A706" s="66"/>
      <c r="B706" s="66"/>
      <c r="C706" s="66"/>
      <c r="D706" s="144"/>
      <c r="E706" s="67"/>
      <c r="F706" s="67"/>
      <c r="G706" s="67"/>
      <c r="H706" s="67">
        <f>ROUND(+E706+G706,4)</f>
        <v>0</v>
      </c>
      <c r="I706" s="67"/>
      <c r="J706" s="67">
        <f>ROUND(+I706-H706,4)</f>
        <v>0</v>
      </c>
      <c r="K706" s="67">
        <f>ROUND(IF(F706="alluminio",0,I706*1.5%),4)</f>
        <v>0</v>
      </c>
      <c r="L706" s="67">
        <f>ROUND(IF(K706&lt;J706,K706,0),4)</f>
        <v>0</v>
      </c>
      <c r="M706" s="67">
        <f>ROUND(IF(J706&gt;K706,0,J706),4)</f>
        <v>0</v>
      </c>
      <c r="N706" s="67">
        <f>ROUND(+L706*D706,4)</f>
        <v>0</v>
      </c>
      <c r="O706" s="67">
        <f>ROUND(IF(F706="rame",0,+I706*3%),4)</f>
        <v>0</v>
      </c>
      <c r="P706" s="67">
        <f>ROUND(IF(O706&lt;J706,O706,0),4)</f>
        <v>0</v>
      </c>
      <c r="Q706" s="67">
        <f>ROUND(IF(J706&gt;O706,0,J706),4)</f>
        <v>0</v>
      </c>
      <c r="R706" s="67">
        <f>ROUND(+P706*D706,4)</f>
        <v>0</v>
      </c>
      <c r="S706" s="67">
        <f>ROUND(IF(K706=0,0,M706*D706),4)</f>
        <v>0</v>
      </c>
      <c r="T706" s="67">
        <f>ROUND(+IF(K706=0,Q706*D706,0),4)</f>
        <v>0</v>
      </c>
      <c r="U706" s="67">
        <f>ROUND(+N706+R706+S706+T706,4)</f>
        <v>0</v>
      </c>
      <c r="V706" s="67">
        <f>ROUND(IF(P706=0,0,I706-H706-O706)+IF(L706=0,0,I706-H706-K706),4)</f>
        <v>0</v>
      </c>
      <c r="W706" s="67">
        <f>ROUND(+(V706*60%)*D706,4)</f>
        <v>0</v>
      </c>
      <c r="X706" s="148">
        <f>ROUND(+U706+W706,4)</f>
        <v>0</v>
      </c>
      <c r="Y706" s="68"/>
      <c r="Z706" s="148">
        <f>ROUND(IF(X706&gt;I706,X706,I706),4)</f>
        <v>0</v>
      </c>
    </row>
    <row r="707" spans="1:26" x14ac:dyDescent="0.2">
      <c r="A707" s="66"/>
      <c r="B707" s="66"/>
      <c r="C707" s="66"/>
      <c r="D707" s="144"/>
      <c r="E707" s="67"/>
      <c r="F707" s="67"/>
      <c r="G707" s="67"/>
      <c r="H707" s="67">
        <f>ROUND(+E707+G707,4)</f>
        <v>0</v>
      </c>
      <c r="I707" s="67"/>
      <c r="J707" s="67">
        <f>ROUND(+I707-H707,4)</f>
        <v>0</v>
      </c>
      <c r="K707" s="67">
        <f>ROUND(IF(F707="alluminio",0,I707*1.5%),4)</f>
        <v>0</v>
      </c>
      <c r="L707" s="67">
        <f>ROUND(IF(K707&lt;J707,K707,0),4)</f>
        <v>0</v>
      </c>
      <c r="M707" s="67">
        <f>ROUND(IF(J707&gt;K707,0,J707),4)</f>
        <v>0</v>
      </c>
      <c r="N707" s="67">
        <f>ROUND(+L707*D707,4)</f>
        <v>0</v>
      </c>
      <c r="O707" s="67">
        <f>ROUND(IF(F707="rame",0,+I707*3%),4)</f>
        <v>0</v>
      </c>
      <c r="P707" s="67">
        <f>ROUND(IF(O707&lt;J707,O707,0),4)</f>
        <v>0</v>
      </c>
      <c r="Q707" s="67">
        <f>ROUND(IF(J707&gt;O707,0,J707),4)</f>
        <v>0</v>
      </c>
      <c r="R707" s="67">
        <f>ROUND(+P707*D707,4)</f>
        <v>0</v>
      </c>
      <c r="S707" s="67">
        <f>ROUND(IF(K707=0,0,M707*D707),4)</f>
        <v>0</v>
      </c>
      <c r="T707" s="67">
        <f>ROUND(+IF(K707=0,Q707*D707,0),4)</f>
        <v>0</v>
      </c>
      <c r="U707" s="67">
        <f>ROUND(+N707+R707+S707+T707,4)</f>
        <v>0</v>
      </c>
      <c r="V707" s="67">
        <f>ROUND(IF(P707=0,0,I707-H707-O707)+IF(L707=0,0,I707-H707-K707),4)</f>
        <v>0</v>
      </c>
      <c r="W707" s="67">
        <f>ROUND(+(V707*60%)*D707,4)</f>
        <v>0</v>
      </c>
      <c r="X707" s="148">
        <f>ROUND(+U707+W707,4)</f>
        <v>0</v>
      </c>
      <c r="Y707" s="68"/>
      <c r="Z707" s="148">
        <f>ROUND(IF(X707&gt;I707,X707,I707),4)</f>
        <v>0</v>
      </c>
    </row>
    <row r="708" spans="1:26" x14ac:dyDescent="0.2">
      <c r="A708" s="66"/>
      <c r="B708" s="66"/>
      <c r="C708" s="66"/>
      <c r="D708" s="144"/>
      <c r="E708" s="67"/>
      <c r="F708" s="67"/>
      <c r="G708" s="67"/>
      <c r="H708" s="67">
        <f>ROUND(+E708+G708,4)</f>
        <v>0</v>
      </c>
      <c r="I708" s="67"/>
      <c r="J708" s="67">
        <f>ROUND(+I708-H708,4)</f>
        <v>0</v>
      </c>
      <c r="K708" s="67">
        <f>ROUND(IF(F708="alluminio",0,I708*1.5%),4)</f>
        <v>0</v>
      </c>
      <c r="L708" s="67">
        <f>ROUND(IF(K708&lt;J708,K708,0),4)</f>
        <v>0</v>
      </c>
      <c r="M708" s="67">
        <f>ROUND(IF(J708&gt;K708,0,J708),4)</f>
        <v>0</v>
      </c>
      <c r="N708" s="67">
        <f>ROUND(+L708*D708,4)</f>
        <v>0</v>
      </c>
      <c r="O708" s="67">
        <f>ROUND(IF(F708="rame",0,+I708*3%),4)</f>
        <v>0</v>
      </c>
      <c r="P708" s="67">
        <f>ROUND(IF(O708&lt;J708,O708,0),4)</f>
        <v>0</v>
      </c>
      <c r="Q708" s="67">
        <f>ROUND(IF(J708&gt;O708,0,J708),4)</f>
        <v>0</v>
      </c>
      <c r="R708" s="67">
        <f>ROUND(+P708*D708,4)</f>
        <v>0</v>
      </c>
      <c r="S708" s="67">
        <f>ROUND(IF(K708=0,0,M708*D708),4)</f>
        <v>0</v>
      </c>
      <c r="T708" s="67">
        <f>ROUND(+IF(K708=0,Q708*D708,0),4)</f>
        <v>0</v>
      </c>
      <c r="U708" s="67">
        <f>ROUND(+N708+R708+S708+T708,4)</f>
        <v>0</v>
      </c>
      <c r="V708" s="67">
        <f>ROUND(IF(P708=0,0,I708-H708-O708)+IF(L708=0,0,I708-H708-K708),4)</f>
        <v>0</v>
      </c>
      <c r="W708" s="67">
        <f>ROUND(+(V708*60%)*D708,4)</f>
        <v>0</v>
      </c>
      <c r="X708" s="148">
        <f>ROUND(+U708+W708,4)</f>
        <v>0</v>
      </c>
      <c r="Y708" s="68"/>
      <c r="Z708" s="148">
        <f>ROUND(IF(X708&gt;I708,X708,I708),4)</f>
        <v>0</v>
      </c>
    </row>
    <row r="709" spans="1:26" x14ac:dyDescent="0.2">
      <c r="A709" s="66"/>
      <c r="B709" s="66"/>
      <c r="C709" s="66"/>
      <c r="D709" s="144"/>
      <c r="E709" s="67"/>
      <c r="F709" s="67"/>
      <c r="G709" s="67"/>
      <c r="H709" s="67">
        <f>ROUND(+E709+G709,4)</f>
        <v>0</v>
      </c>
      <c r="I709" s="67"/>
      <c r="J709" s="67">
        <f>ROUND(+I709-H709,4)</f>
        <v>0</v>
      </c>
      <c r="K709" s="67">
        <f>ROUND(IF(F709="alluminio",0,I709*1.5%),4)</f>
        <v>0</v>
      </c>
      <c r="L709" s="67">
        <f>ROUND(IF(K709&lt;J709,K709,0),4)</f>
        <v>0</v>
      </c>
      <c r="M709" s="67">
        <f>ROUND(IF(J709&gt;K709,0,J709),4)</f>
        <v>0</v>
      </c>
      <c r="N709" s="67">
        <f>ROUND(+L709*D709,4)</f>
        <v>0</v>
      </c>
      <c r="O709" s="67">
        <f>ROUND(IF(F709="rame",0,+I709*3%),4)</f>
        <v>0</v>
      </c>
      <c r="P709" s="67">
        <f>ROUND(IF(O709&lt;J709,O709,0),4)</f>
        <v>0</v>
      </c>
      <c r="Q709" s="67">
        <f>ROUND(IF(J709&gt;O709,0,J709),4)</f>
        <v>0</v>
      </c>
      <c r="R709" s="67">
        <f>ROUND(+P709*D709,4)</f>
        <v>0</v>
      </c>
      <c r="S709" s="67">
        <f>ROUND(IF(K709=0,0,M709*D709),4)</f>
        <v>0</v>
      </c>
      <c r="T709" s="67">
        <f>ROUND(+IF(K709=0,Q709*D709,0),4)</f>
        <v>0</v>
      </c>
      <c r="U709" s="67">
        <f>ROUND(+N709+R709+S709+T709,4)</f>
        <v>0</v>
      </c>
      <c r="V709" s="67">
        <f>ROUND(IF(P709=0,0,I709-H709-O709)+IF(L709=0,0,I709-H709-K709),4)</f>
        <v>0</v>
      </c>
      <c r="W709" s="67">
        <f>ROUND(+(V709*60%)*D709,4)</f>
        <v>0</v>
      </c>
      <c r="X709" s="148">
        <f>ROUND(+U709+W709,4)</f>
        <v>0</v>
      </c>
      <c r="Y709" s="68"/>
      <c r="Z709" s="148">
        <f>ROUND(IF(X709&gt;I709,X709,I709),4)</f>
        <v>0</v>
      </c>
    </row>
    <row r="710" spans="1:26" x14ac:dyDescent="0.2">
      <c r="A710" s="66"/>
      <c r="B710" s="66"/>
      <c r="C710" s="66"/>
      <c r="D710" s="144"/>
      <c r="E710" s="67"/>
      <c r="F710" s="67"/>
      <c r="G710" s="67"/>
      <c r="H710" s="67">
        <f>ROUND(+E710+G710,4)</f>
        <v>0</v>
      </c>
      <c r="I710" s="67"/>
      <c r="J710" s="67">
        <f>ROUND(+I710-H710,4)</f>
        <v>0</v>
      </c>
      <c r="K710" s="67">
        <f>ROUND(IF(F710="alluminio",0,I710*1.5%),4)</f>
        <v>0</v>
      </c>
      <c r="L710" s="67">
        <f>ROUND(IF(K710&lt;J710,K710,0),4)</f>
        <v>0</v>
      </c>
      <c r="M710" s="67">
        <f>ROUND(IF(J710&gt;K710,0,J710),4)</f>
        <v>0</v>
      </c>
      <c r="N710" s="67">
        <f>ROUND(+L710*D710,4)</f>
        <v>0</v>
      </c>
      <c r="O710" s="67">
        <f>ROUND(IF(F710="rame",0,+I710*3%),4)</f>
        <v>0</v>
      </c>
      <c r="P710" s="67">
        <f>ROUND(IF(O710&lt;J710,O710,0),4)</f>
        <v>0</v>
      </c>
      <c r="Q710" s="67">
        <f>ROUND(IF(J710&gt;O710,0,J710),4)</f>
        <v>0</v>
      </c>
      <c r="R710" s="67">
        <f>ROUND(+P710*D710,4)</f>
        <v>0</v>
      </c>
      <c r="S710" s="67">
        <f>ROUND(IF(K710=0,0,M710*D710),4)</f>
        <v>0</v>
      </c>
      <c r="T710" s="67">
        <f>ROUND(+IF(K710=0,Q710*D710,0),4)</f>
        <v>0</v>
      </c>
      <c r="U710" s="67">
        <f>ROUND(+N710+R710+S710+T710,4)</f>
        <v>0</v>
      </c>
      <c r="V710" s="67">
        <f>ROUND(IF(P710=0,0,I710-H710-O710)+IF(L710=0,0,I710-H710-K710),4)</f>
        <v>0</v>
      </c>
      <c r="W710" s="67">
        <f>ROUND(+(V710*60%)*D710,4)</f>
        <v>0</v>
      </c>
      <c r="X710" s="148">
        <f>ROUND(+U710+W710,4)</f>
        <v>0</v>
      </c>
      <c r="Y710" s="68"/>
      <c r="Z710" s="148">
        <f>ROUND(IF(X710&gt;I710,X710,I710),4)</f>
        <v>0</v>
      </c>
    </row>
    <row r="711" spans="1:26" x14ac:dyDescent="0.2">
      <c r="A711" s="66"/>
      <c r="B711" s="66"/>
      <c r="C711" s="66"/>
      <c r="D711" s="144"/>
      <c r="E711" s="67"/>
      <c r="F711" s="67"/>
      <c r="G711" s="67"/>
      <c r="H711" s="67">
        <f>ROUND(+E711+G711,4)</f>
        <v>0</v>
      </c>
      <c r="I711" s="67"/>
      <c r="J711" s="67">
        <f>ROUND(+I711-H711,4)</f>
        <v>0</v>
      </c>
      <c r="K711" s="67">
        <f>ROUND(IF(F711="alluminio",0,I711*1.5%),4)</f>
        <v>0</v>
      </c>
      <c r="L711" s="67">
        <f>ROUND(IF(K711&lt;J711,K711,0),4)</f>
        <v>0</v>
      </c>
      <c r="M711" s="67">
        <f>ROUND(IF(J711&gt;K711,0,J711),4)</f>
        <v>0</v>
      </c>
      <c r="N711" s="67">
        <f>ROUND(+L711*D711,4)</f>
        <v>0</v>
      </c>
      <c r="O711" s="67">
        <f>ROUND(IF(F711="rame",0,+I711*3%),4)</f>
        <v>0</v>
      </c>
      <c r="P711" s="67">
        <f>ROUND(IF(O711&lt;J711,O711,0),4)</f>
        <v>0</v>
      </c>
      <c r="Q711" s="67">
        <f>ROUND(IF(J711&gt;O711,0,J711),4)</f>
        <v>0</v>
      </c>
      <c r="R711" s="67">
        <f>ROUND(+P711*D711,4)</f>
        <v>0</v>
      </c>
      <c r="S711" s="67">
        <f>ROUND(IF(K711=0,0,M711*D711),4)</f>
        <v>0</v>
      </c>
      <c r="T711" s="67">
        <f>ROUND(+IF(K711=0,Q711*D711,0),4)</f>
        <v>0</v>
      </c>
      <c r="U711" s="67">
        <f>ROUND(+N711+R711+S711+T711,4)</f>
        <v>0</v>
      </c>
      <c r="V711" s="67">
        <f>ROUND(IF(P711=0,0,I711-H711-O711)+IF(L711=0,0,I711-H711-K711),4)</f>
        <v>0</v>
      </c>
      <c r="W711" s="67">
        <f>ROUND(+(V711*60%)*D711,4)</f>
        <v>0</v>
      </c>
      <c r="X711" s="148">
        <f>ROUND(+U711+W711,4)</f>
        <v>0</v>
      </c>
      <c r="Y711" s="68"/>
      <c r="Z711" s="148">
        <f>ROUND(IF(X711&gt;I711,X711,I711),4)</f>
        <v>0</v>
      </c>
    </row>
    <row r="712" spans="1:26" x14ac:dyDescent="0.2">
      <c r="A712" s="66"/>
      <c r="B712" s="66"/>
      <c r="C712" s="66"/>
      <c r="D712" s="144"/>
      <c r="E712" s="67"/>
      <c r="F712" s="67"/>
      <c r="G712" s="67"/>
      <c r="H712" s="67">
        <f>ROUND(+E712+G712,4)</f>
        <v>0</v>
      </c>
      <c r="I712" s="67"/>
      <c r="J712" s="67">
        <f>ROUND(+I712-H712,4)</f>
        <v>0</v>
      </c>
      <c r="K712" s="67">
        <f>ROUND(IF(F712="alluminio",0,I712*1.5%),4)</f>
        <v>0</v>
      </c>
      <c r="L712" s="67">
        <f>ROUND(IF(K712&lt;J712,K712,0),4)</f>
        <v>0</v>
      </c>
      <c r="M712" s="67">
        <f>ROUND(IF(J712&gt;K712,0,J712),4)</f>
        <v>0</v>
      </c>
      <c r="N712" s="67">
        <f>ROUND(+L712*D712,4)</f>
        <v>0</v>
      </c>
      <c r="O712" s="67">
        <f>ROUND(IF(F712="rame",0,+I712*3%),4)</f>
        <v>0</v>
      </c>
      <c r="P712" s="67">
        <f>ROUND(IF(O712&lt;J712,O712,0),4)</f>
        <v>0</v>
      </c>
      <c r="Q712" s="67">
        <f>ROUND(IF(J712&gt;O712,0,J712),4)</f>
        <v>0</v>
      </c>
      <c r="R712" s="67">
        <f>ROUND(+P712*D712,4)</f>
        <v>0</v>
      </c>
      <c r="S712" s="67">
        <f>ROUND(IF(K712=0,0,M712*D712),4)</f>
        <v>0</v>
      </c>
      <c r="T712" s="67">
        <f>ROUND(+IF(K712=0,Q712*D712,0),4)</f>
        <v>0</v>
      </c>
      <c r="U712" s="67">
        <f>ROUND(+N712+R712+S712+T712,4)</f>
        <v>0</v>
      </c>
      <c r="V712" s="67">
        <f>ROUND(IF(P712=0,0,I712-H712-O712)+IF(L712=0,0,I712-H712-K712),4)</f>
        <v>0</v>
      </c>
      <c r="W712" s="67">
        <f>ROUND(+(V712*60%)*D712,4)</f>
        <v>0</v>
      </c>
      <c r="X712" s="148">
        <f>ROUND(+U712+W712,4)</f>
        <v>0</v>
      </c>
      <c r="Y712" s="68"/>
      <c r="Z712" s="148">
        <f>ROUND(IF(X712&gt;I712,X712,I712),4)</f>
        <v>0</v>
      </c>
    </row>
    <row r="713" spans="1:26" x14ac:dyDescent="0.2">
      <c r="A713" s="66"/>
      <c r="B713" s="66"/>
      <c r="C713" s="66"/>
      <c r="D713" s="144"/>
      <c r="E713" s="67"/>
      <c r="F713" s="67"/>
      <c r="G713" s="67"/>
      <c r="H713" s="67">
        <f>ROUND(+E713+G713,4)</f>
        <v>0</v>
      </c>
      <c r="I713" s="67"/>
      <c r="J713" s="67">
        <f>ROUND(+I713-H713,4)</f>
        <v>0</v>
      </c>
      <c r="K713" s="67">
        <f>ROUND(IF(F713="alluminio",0,I713*1.5%),4)</f>
        <v>0</v>
      </c>
      <c r="L713" s="67">
        <f>ROUND(IF(K713&lt;J713,K713,0),4)</f>
        <v>0</v>
      </c>
      <c r="M713" s="67">
        <f>ROUND(IF(J713&gt;K713,0,J713),4)</f>
        <v>0</v>
      </c>
      <c r="N713" s="67">
        <f>ROUND(+L713*D713,4)</f>
        <v>0</v>
      </c>
      <c r="O713" s="67">
        <f>ROUND(IF(F713="rame",0,+I713*3%),4)</f>
        <v>0</v>
      </c>
      <c r="P713" s="67">
        <f>ROUND(IF(O713&lt;J713,O713,0),4)</f>
        <v>0</v>
      </c>
      <c r="Q713" s="67">
        <f>ROUND(IF(J713&gt;O713,0,J713),4)</f>
        <v>0</v>
      </c>
      <c r="R713" s="67">
        <f>ROUND(+P713*D713,4)</f>
        <v>0</v>
      </c>
      <c r="S713" s="67">
        <f>ROUND(IF(K713=0,0,M713*D713),4)</f>
        <v>0</v>
      </c>
      <c r="T713" s="67">
        <f>ROUND(+IF(K713=0,Q713*D713,0),4)</f>
        <v>0</v>
      </c>
      <c r="U713" s="67">
        <f>ROUND(+N713+R713+S713+T713,4)</f>
        <v>0</v>
      </c>
      <c r="V713" s="67">
        <f>ROUND(IF(P713=0,0,I713-H713-O713)+IF(L713=0,0,I713-H713-K713),4)</f>
        <v>0</v>
      </c>
      <c r="W713" s="67">
        <f>ROUND(+(V713*60%)*D713,4)</f>
        <v>0</v>
      </c>
      <c r="X713" s="148">
        <f>ROUND(+U713+W713,4)</f>
        <v>0</v>
      </c>
      <c r="Y713" s="68"/>
      <c r="Z713" s="148">
        <f>ROUND(IF(X713&gt;I713,X713,I713),4)</f>
        <v>0</v>
      </c>
    </row>
    <row r="714" spans="1:26" x14ac:dyDescent="0.2">
      <c r="A714" s="66"/>
      <c r="B714" s="66"/>
      <c r="C714" s="66"/>
      <c r="D714" s="144"/>
      <c r="E714" s="67"/>
      <c r="F714" s="67"/>
      <c r="G714" s="67"/>
      <c r="H714" s="67">
        <f>ROUND(+E714+G714,4)</f>
        <v>0</v>
      </c>
      <c r="I714" s="67"/>
      <c r="J714" s="67">
        <f>ROUND(+I714-H714,4)</f>
        <v>0</v>
      </c>
      <c r="K714" s="67">
        <f>ROUND(IF(F714="alluminio",0,I714*1.5%),4)</f>
        <v>0</v>
      </c>
      <c r="L714" s="67">
        <f>ROUND(IF(K714&lt;J714,K714,0),4)</f>
        <v>0</v>
      </c>
      <c r="M714" s="67">
        <f>ROUND(IF(J714&gt;K714,0,J714),4)</f>
        <v>0</v>
      </c>
      <c r="N714" s="67">
        <f>ROUND(+L714*D714,4)</f>
        <v>0</v>
      </c>
      <c r="O714" s="67">
        <f>ROUND(IF(F714="rame",0,+I714*3%),4)</f>
        <v>0</v>
      </c>
      <c r="P714" s="67">
        <f>ROUND(IF(O714&lt;J714,O714,0),4)</f>
        <v>0</v>
      </c>
      <c r="Q714" s="67">
        <f>ROUND(IF(J714&gt;O714,0,J714),4)</f>
        <v>0</v>
      </c>
      <c r="R714" s="67">
        <f>ROUND(+P714*D714,4)</f>
        <v>0</v>
      </c>
      <c r="S714" s="67">
        <f>ROUND(IF(K714=0,0,M714*D714),4)</f>
        <v>0</v>
      </c>
      <c r="T714" s="67">
        <f>ROUND(+IF(K714=0,Q714*D714,0),4)</f>
        <v>0</v>
      </c>
      <c r="U714" s="67">
        <f>ROUND(+N714+R714+S714+T714,4)</f>
        <v>0</v>
      </c>
      <c r="V714" s="67">
        <f>ROUND(IF(P714=0,0,I714-H714-O714)+IF(L714=0,0,I714-H714-K714),4)</f>
        <v>0</v>
      </c>
      <c r="W714" s="67">
        <f>ROUND(+(V714*60%)*D714,4)</f>
        <v>0</v>
      </c>
      <c r="X714" s="148">
        <f>ROUND(+U714+W714,4)</f>
        <v>0</v>
      </c>
      <c r="Y714" s="68"/>
      <c r="Z714" s="148">
        <f>ROUND(IF(X714&gt;I714,X714,I714),4)</f>
        <v>0</v>
      </c>
    </row>
    <row r="715" spans="1:26" x14ac:dyDescent="0.2">
      <c r="A715" s="66"/>
      <c r="B715" s="66"/>
      <c r="C715" s="66"/>
      <c r="D715" s="144"/>
      <c r="E715" s="67"/>
      <c r="F715" s="67"/>
      <c r="G715" s="67"/>
      <c r="H715" s="67">
        <f>ROUND(+E715+G715,4)</f>
        <v>0</v>
      </c>
      <c r="I715" s="67"/>
      <c r="J715" s="67">
        <f>ROUND(+I715-H715,4)</f>
        <v>0</v>
      </c>
      <c r="K715" s="67">
        <f>ROUND(IF(F715="alluminio",0,I715*1.5%),4)</f>
        <v>0</v>
      </c>
      <c r="L715" s="67">
        <f>ROUND(IF(K715&lt;J715,K715,0),4)</f>
        <v>0</v>
      </c>
      <c r="M715" s="67">
        <f>ROUND(IF(J715&gt;K715,0,J715),4)</f>
        <v>0</v>
      </c>
      <c r="N715" s="67">
        <f>ROUND(+L715*D715,4)</f>
        <v>0</v>
      </c>
      <c r="O715" s="67">
        <f>ROUND(IF(F715="rame",0,+I715*3%),4)</f>
        <v>0</v>
      </c>
      <c r="P715" s="67">
        <f>ROUND(IF(O715&lt;J715,O715,0),4)</f>
        <v>0</v>
      </c>
      <c r="Q715" s="67">
        <f>ROUND(IF(J715&gt;O715,0,J715),4)</f>
        <v>0</v>
      </c>
      <c r="R715" s="67">
        <f>ROUND(+P715*D715,4)</f>
        <v>0</v>
      </c>
      <c r="S715" s="67">
        <f>ROUND(IF(K715=0,0,M715*D715),4)</f>
        <v>0</v>
      </c>
      <c r="T715" s="67">
        <f>ROUND(+IF(K715=0,Q715*D715,0),4)</f>
        <v>0</v>
      </c>
      <c r="U715" s="67">
        <f>ROUND(+N715+R715+S715+T715,4)</f>
        <v>0</v>
      </c>
      <c r="V715" s="67">
        <f>ROUND(IF(P715=0,0,I715-H715-O715)+IF(L715=0,0,I715-H715-K715),4)</f>
        <v>0</v>
      </c>
      <c r="W715" s="67">
        <f>ROUND(+(V715*60%)*D715,4)</f>
        <v>0</v>
      </c>
      <c r="X715" s="148">
        <f>ROUND(+U715+W715,4)</f>
        <v>0</v>
      </c>
      <c r="Y715" s="68"/>
      <c r="Z715" s="148">
        <f>ROUND(IF(X715&gt;I715,X715,I715),4)</f>
        <v>0</v>
      </c>
    </row>
    <row r="716" spans="1:26" x14ac:dyDescent="0.2">
      <c r="A716" s="66"/>
      <c r="B716" s="66"/>
      <c r="C716" s="66"/>
      <c r="D716" s="144"/>
      <c r="E716" s="67"/>
      <c r="F716" s="67"/>
      <c r="G716" s="67"/>
      <c r="H716" s="67">
        <f>ROUND(+E716+G716,4)</f>
        <v>0</v>
      </c>
      <c r="I716" s="67"/>
      <c r="J716" s="67">
        <f>ROUND(+I716-H716,4)</f>
        <v>0</v>
      </c>
      <c r="K716" s="67">
        <f>ROUND(IF(F716="alluminio",0,I716*1.5%),4)</f>
        <v>0</v>
      </c>
      <c r="L716" s="67">
        <f>ROUND(IF(K716&lt;J716,K716,0),4)</f>
        <v>0</v>
      </c>
      <c r="M716" s="67">
        <f>ROUND(IF(J716&gt;K716,0,J716),4)</f>
        <v>0</v>
      </c>
      <c r="N716" s="67">
        <f>ROUND(+L716*D716,4)</f>
        <v>0</v>
      </c>
      <c r="O716" s="67">
        <f>ROUND(IF(F716="rame",0,+I716*3%),4)</f>
        <v>0</v>
      </c>
      <c r="P716" s="67">
        <f>ROUND(IF(O716&lt;J716,O716,0),4)</f>
        <v>0</v>
      </c>
      <c r="Q716" s="67">
        <f>ROUND(IF(J716&gt;O716,0,J716),4)</f>
        <v>0</v>
      </c>
      <c r="R716" s="67">
        <f>ROUND(+P716*D716,4)</f>
        <v>0</v>
      </c>
      <c r="S716" s="67">
        <f>ROUND(IF(K716=0,0,M716*D716),4)</f>
        <v>0</v>
      </c>
      <c r="T716" s="67">
        <f>ROUND(+IF(K716=0,Q716*D716,0),4)</f>
        <v>0</v>
      </c>
      <c r="U716" s="67">
        <f>ROUND(+N716+R716+S716+T716,4)</f>
        <v>0</v>
      </c>
      <c r="V716" s="67">
        <f>ROUND(IF(P716=0,0,I716-H716-O716)+IF(L716=0,0,I716-H716-K716),4)</f>
        <v>0</v>
      </c>
      <c r="W716" s="67">
        <f>ROUND(+(V716*60%)*D716,4)</f>
        <v>0</v>
      </c>
      <c r="X716" s="148">
        <f>ROUND(+U716+W716,4)</f>
        <v>0</v>
      </c>
      <c r="Y716" s="68"/>
      <c r="Z716" s="148">
        <f>ROUND(IF(X716&gt;I716,X716,I716),4)</f>
        <v>0</v>
      </c>
    </row>
    <row r="717" spans="1:26" x14ac:dyDescent="0.2">
      <c r="A717" s="66"/>
      <c r="B717" s="66"/>
      <c r="C717" s="66"/>
      <c r="D717" s="144"/>
      <c r="E717" s="67"/>
      <c r="F717" s="67"/>
      <c r="G717" s="67"/>
      <c r="H717" s="67">
        <f>ROUND(+E717+G717,4)</f>
        <v>0</v>
      </c>
      <c r="I717" s="67"/>
      <c r="J717" s="67">
        <f>ROUND(+I717-H717,4)</f>
        <v>0</v>
      </c>
      <c r="K717" s="67">
        <f>ROUND(IF(F717="alluminio",0,I717*1.5%),4)</f>
        <v>0</v>
      </c>
      <c r="L717" s="67">
        <f>ROUND(IF(K717&lt;J717,K717,0),4)</f>
        <v>0</v>
      </c>
      <c r="M717" s="67">
        <f>ROUND(IF(J717&gt;K717,0,J717),4)</f>
        <v>0</v>
      </c>
      <c r="N717" s="67">
        <f>ROUND(+L717*D717,4)</f>
        <v>0</v>
      </c>
      <c r="O717" s="67">
        <f>ROUND(IF(F717="rame",0,+I717*3%),4)</f>
        <v>0</v>
      </c>
      <c r="P717" s="67">
        <f>ROUND(IF(O717&lt;J717,O717,0),4)</f>
        <v>0</v>
      </c>
      <c r="Q717" s="67">
        <f>ROUND(IF(J717&gt;O717,0,J717),4)</f>
        <v>0</v>
      </c>
      <c r="R717" s="67">
        <f>ROUND(+P717*D717,4)</f>
        <v>0</v>
      </c>
      <c r="S717" s="67">
        <f>ROUND(IF(K717=0,0,M717*D717),4)</f>
        <v>0</v>
      </c>
      <c r="T717" s="67">
        <f>ROUND(+IF(K717=0,Q717*D717,0),4)</f>
        <v>0</v>
      </c>
      <c r="U717" s="67">
        <f>ROUND(+N717+R717+S717+T717,4)</f>
        <v>0</v>
      </c>
      <c r="V717" s="67">
        <f>ROUND(IF(P717=0,0,I717-H717-O717)+IF(L717=0,0,I717-H717-K717),4)</f>
        <v>0</v>
      </c>
      <c r="W717" s="67">
        <f>ROUND(+(V717*60%)*D717,4)</f>
        <v>0</v>
      </c>
      <c r="X717" s="148">
        <f>ROUND(+U717+W717,4)</f>
        <v>0</v>
      </c>
      <c r="Y717" s="68"/>
      <c r="Z717" s="148">
        <f>ROUND(IF(X717&gt;I717,X717,I717),4)</f>
        <v>0</v>
      </c>
    </row>
    <row r="718" spans="1:26" x14ac:dyDescent="0.2">
      <c r="A718" s="66"/>
      <c r="B718" s="66"/>
      <c r="C718" s="66"/>
      <c r="D718" s="144"/>
      <c r="E718" s="67"/>
      <c r="F718" s="67"/>
      <c r="G718" s="67"/>
      <c r="H718" s="67">
        <f>ROUND(+E718+G718,4)</f>
        <v>0</v>
      </c>
      <c r="I718" s="67"/>
      <c r="J718" s="67">
        <f>ROUND(+I718-H718,4)</f>
        <v>0</v>
      </c>
      <c r="K718" s="67">
        <f>ROUND(IF(F718="alluminio",0,I718*1.5%),4)</f>
        <v>0</v>
      </c>
      <c r="L718" s="67">
        <f>ROUND(IF(K718&lt;J718,K718,0),4)</f>
        <v>0</v>
      </c>
      <c r="M718" s="67">
        <f>ROUND(IF(J718&gt;K718,0,J718),4)</f>
        <v>0</v>
      </c>
      <c r="N718" s="67">
        <f>ROUND(+L718*D718,4)</f>
        <v>0</v>
      </c>
      <c r="O718" s="67">
        <f>ROUND(IF(F718="rame",0,+I718*3%),4)</f>
        <v>0</v>
      </c>
      <c r="P718" s="67">
        <f>ROUND(IF(O718&lt;J718,O718,0),4)</f>
        <v>0</v>
      </c>
      <c r="Q718" s="67">
        <f>ROUND(IF(J718&gt;O718,0,J718),4)</f>
        <v>0</v>
      </c>
      <c r="R718" s="67">
        <f>ROUND(+P718*D718,4)</f>
        <v>0</v>
      </c>
      <c r="S718" s="67">
        <f>ROUND(IF(K718=0,0,M718*D718),4)</f>
        <v>0</v>
      </c>
      <c r="T718" s="67">
        <f>ROUND(+IF(K718=0,Q718*D718,0),4)</f>
        <v>0</v>
      </c>
      <c r="U718" s="67">
        <f>ROUND(+N718+R718+S718+T718,4)</f>
        <v>0</v>
      </c>
      <c r="V718" s="67">
        <f>ROUND(IF(P718=0,0,I718-H718-O718)+IF(L718=0,0,I718-H718-K718),4)</f>
        <v>0</v>
      </c>
      <c r="W718" s="67">
        <f>ROUND(+(V718*60%)*D718,4)</f>
        <v>0</v>
      </c>
      <c r="X718" s="148">
        <f>ROUND(+U718+W718,4)</f>
        <v>0</v>
      </c>
      <c r="Y718" s="68"/>
      <c r="Z718" s="148">
        <f>ROUND(IF(X718&gt;I718,X718,I718),4)</f>
        <v>0</v>
      </c>
    </row>
    <row r="719" spans="1:26" x14ac:dyDescent="0.2">
      <c r="A719" s="66"/>
      <c r="B719" s="66"/>
      <c r="C719" s="66"/>
      <c r="D719" s="144"/>
      <c r="E719" s="67"/>
      <c r="F719" s="67"/>
      <c r="G719" s="67"/>
      <c r="H719" s="67">
        <f>ROUND(+E719+G719,4)</f>
        <v>0</v>
      </c>
      <c r="I719" s="67"/>
      <c r="J719" s="67">
        <f>ROUND(+I719-H719,4)</f>
        <v>0</v>
      </c>
      <c r="K719" s="67">
        <f>ROUND(IF(F719="alluminio",0,I719*1.5%),4)</f>
        <v>0</v>
      </c>
      <c r="L719" s="67">
        <f>ROUND(IF(K719&lt;J719,K719,0),4)</f>
        <v>0</v>
      </c>
      <c r="M719" s="67">
        <f>ROUND(IF(J719&gt;K719,0,J719),4)</f>
        <v>0</v>
      </c>
      <c r="N719" s="67">
        <f>ROUND(+L719*D719,4)</f>
        <v>0</v>
      </c>
      <c r="O719" s="67">
        <f>ROUND(IF(F719="rame",0,+I719*3%),4)</f>
        <v>0</v>
      </c>
      <c r="P719" s="67">
        <f>ROUND(IF(O719&lt;J719,O719,0),4)</f>
        <v>0</v>
      </c>
      <c r="Q719" s="67">
        <f>ROUND(IF(J719&gt;O719,0,J719),4)</f>
        <v>0</v>
      </c>
      <c r="R719" s="67">
        <f>ROUND(+P719*D719,4)</f>
        <v>0</v>
      </c>
      <c r="S719" s="67">
        <f>ROUND(IF(K719=0,0,M719*D719),4)</f>
        <v>0</v>
      </c>
      <c r="T719" s="67">
        <f>ROUND(+IF(K719=0,Q719*D719,0),4)</f>
        <v>0</v>
      </c>
      <c r="U719" s="67">
        <f>ROUND(+N719+R719+S719+T719,4)</f>
        <v>0</v>
      </c>
      <c r="V719" s="67">
        <f>ROUND(IF(P719=0,0,I719-H719-O719)+IF(L719=0,0,I719-H719-K719),4)</f>
        <v>0</v>
      </c>
      <c r="W719" s="67">
        <f>ROUND(+(V719*60%)*D719,4)</f>
        <v>0</v>
      </c>
      <c r="X719" s="148">
        <f>ROUND(+U719+W719,4)</f>
        <v>0</v>
      </c>
      <c r="Y719" s="68"/>
      <c r="Z719" s="148">
        <f>ROUND(IF(X719&gt;I719,X719,I719),4)</f>
        <v>0</v>
      </c>
    </row>
    <row r="720" spans="1:26" x14ac:dyDescent="0.2">
      <c r="A720" s="66"/>
      <c r="B720" s="66"/>
      <c r="C720" s="66"/>
      <c r="D720" s="144"/>
      <c r="E720" s="67"/>
      <c r="F720" s="67"/>
      <c r="G720" s="67"/>
      <c r="H720" s="67">
        <f>ROUND(+E720+G720,4)</f>
        <v>0</v>
      </c>
      <c r="I720" s="67"/>
      <c r="J720" s="67">
        <f>ROUND(+I720-H720,4)</f>
        <v>0</v>
      </c>
      <c r="K720" s="67">
        <f>ROUND(IF(F720="alluminio",0,I720*1.5%),4)</f>
        <v>0</v>
      </c>
      <c r="L720" s="67">
        <f>ROUND(IF(K720&lt;J720,K720,0),4)</f>
        <v>0</v>
      </c>
      <c r="M720" s="67">
        <f>ROUND(IF(J720&gt;K720,0,J720),4)</f>
        <v>0</v>
      </c>
      <c r="N720" s="67">
        <f>ROUND(+L720*D720,4)</f>
        <v>0</v>
      </c>
      <c r="O720" s="67">
        <f>ROUND(IF(F720="rame",0,+I720*3%),4)</f>
        <v>0</v>
      </c>
      <c r="P720" s="67">
        <f>ROUND(IF(O720&lt;J720,O720,0),4)</f>
        <v>0</v>
      </c>
      <c r="Q720" s="67">
        <f>ROUND(IF(J720&gt;O720,0,J720),4)</f>
        <v>0</v>
      </c>
      <c r="R720" s="67">
        <f>ROUND(+P720*D720,4)</f>
        <v>0</v>
      </c>
      <c r="S720" s="67">
        <f>ROUND(IF(K720=0,0,M720*D720),4)</f>
        <v>0</v>
      </c>
      <c r="T720" s="67">
        <f>ROUND(+IF(K720=0,Q720*D720,0),4)</f>
        <v>0</v>
      </c>
      <c r="U720" s="67">
        <f>ROUND(+N720+R720+S720+T720,4)</f>
        <v>0</v>
      </c>
      <c r="V720" s="67">
        <f>ROUND(IF(P720=0,0,I720-H720-O720)+IF(L720=0,0,I720-H720-K720),4)</f>
        <v>0</v>
      </c>
      <c r="W720" s="67">
        <f>ROUND(+(V720*60%)*D720,4)</f>
        <v>0</v>
      </c>
      <c r="X720" s="148">
        <f>ROUND(+U720+W720,4)</f>
        <v>0</v>
      </c>
      <c r="Y720" s="68"/>
      <c r="Z720" s="148">
        <f>ROUND(IF(X720&gt;I720,X720,I720),4)</f>
        <v>0</v>
      </c>
    </row>
    <row r="721" spans="1:26" x14ac:dyDescent="0.2">
      <c r="A721" s="66"/>
      <c r="B721" s="66"/>
      <c r="C721" s="66"/>
      <c r="D721" s="144"/>
      <c r="E721" s="67"/>
      <c r="F721" s="67"/>
      <c r="G721" s="67"/>
      <c r="H721" s="67">
        <f>ROUND(+E721+G721,4)</f>
        <v>0</v>
      </c>
      <c r="I721" s="67"/>
      <c r="J721" s="67">
        <f>ROUND(+I721-H721,4)</f>
        <v>0</v>
      </c>
      <c r="K721" s="67">
        <f>ROUND(IF(F721="alluminio",0,I721*1.5%),4)</f>
        <v>0</v>
      </c>
      <c r="L721" s="67">
        <f>ROUND(IF(K721&lt;J721,K721,0),4)</f>
        <v>0</v>
      </c>
      <c r="M721" s="67">
        <f>ROUND(IF(J721&gt;K721,0,J721),4)</f>
        <v>0</v>
      </c>
      <c r="N721" s="67">
        <f>ROUND(+L721*D721,4)</f>
        <v>0</v>
      </c>
      <c r="O721" s="67">
        <f>ROUND(IF(F721="rame",0,+I721*3%),4)</f>
        <v>0</v>
      </c>
      <c r="P721" s="67">
        <f>ROUND(IF(O721&lt;J721,O721,0),4)</f>
        <v>0</v>
      </c>
      <c r="Q721" s="67">
        <f>ROUND(IF(J721&gt;O721,0,J721),4)</f>
        <v>0</v>
      </c>
      <c r="R721" s="67">
        <f>ROUND(+P721*D721,4)</f>
        <v>0</v>
      </c>
      <c r="S721" s="67">
        <f>ROUND(IF(K721=0,0,M721*D721),4)</f>
        <v>0</v>
      </c>
      <c r="T721" s="67">
        <f>ROUND(+IF(K721=0,Q721*D721,0),4)</f>
        <v>0</v>
      </c>
      <c r="U721" s="67">
        <f>ROUND(+N721+R721+S721+T721,4)</f>
        <v>0</v>
      </c>
      <c r="V721" s="67">
        <f>ROUND(IF(P721=0,0,I721-H721-O721)+IF(L721=0,0,I721-H721-K721),4)</f>
        <v>0</v>
      </c>
      <c r="W721" s="67">
        <f>ROUND(+(V721*60%)*D721,4)</f>
        <v>0</v>
      </c>
      <c r="X721" s="148">
        <f>ROUND(+U721+W721,4)</f>
        <v>0</v>
      </c>
      <c r="Y721" s="68"/>
      <c r="Z721" s="148">
        <f>ROUND(IF(X721&gt;I721,X721,I721),4)</f>
        <v>0</v>
      </c>
    </row>
    <row r="722" spans="1:26" x14ac:dyDescent="0.2">
      <c r="A722" s="66"/>
      <c r="B722" s="66"/>
      <c r="C722" s="66"/>
      <c r="D722" s="144"/>
      <c r="E722" s="67"/>
      <c r="F722" s="67"/>
      <c r="G722" s="67"/>
      <c r="H722" s="67">
        <f>ROUND(+E722+G722,4)</f>
        <v>0</v>
      </c>
      <c r="I722" s="67"/>
      <c r="J722" s="67">
        <f>ROUND(+I722-H722,4)</f>
        <v>0</v>
      </c>
      <c r="K722" s="67">
        <f>ROUND(IF(F722="alluminio",0,I722*1.5%),4)</f>
        <v>0</v>
      </c>
      <c r="L722" s="67">
        <f>ROUND(IF(K722&lt;J722,K722,0),4)</f>
        <v>0</v>
      </c>
      <c r="M722" s="67">
        <f>ROUND(IF(J722&gt;K722,0,J722),4)</f>
        <v>0</v>
      </c>
      <c r="N722" s="67">
        <f>ROUND(+L722*D722,4)</f>
        <v>0</v>
      </c>
      <c r="O722" s="67">
        <f>ROUND(IF(F722="rame",0,+I722*3%),4)</f>
        <v>0</v>
      </c>
      <c r="P722" s="67">
        <f>ROUND(IF(O722&lt;J722,O722,0),4)</f>
        <v>0</v>
      </c>
      <c r="Q722" s="67">
        <f>ROUND(IF(J722&gt;O722,0,J722),4)</f>
        <v>0</v>
      </c>
      <c r="R722" s="67">
        <f>ROUND(+P722*D722,4)</f>
        <v>0</v>
      </c>
      <c r="S722" s="67">
        <f>ROUND(IF(K722=0,0,M722*D722),4)</f>
        <v>0</v>
      </c>
      <c r="T722" s="67">
        <f>ROUND(+IF(K722=0,Q722*D722,0),4)</f>
        <v>0</v>
      </c>
      <c r="U722" s="67">
        <f>ROUND(+N722+R722+S722+T722,4)</f>
        <v>0</v>
      </c>
      <c r="V722" s="67">
        <f>ROUND(IF(P722=0,0,I722-H722-O722)+IF(L722=0,0,I722-H722-K722),4)</f>
        <v>0</v>
      </c>
      <c r="W722" s="67">
        <f>ROUND(+(V722*60%)*D722,4)</f>
        <v>0</v>
      </c>
      <c r="X722" s="148">
        <f>ROUND(+U722+W722,4)</f>
        <v>0</v>
      </c>
      <c r="Y722" s="68"/>
      <c r="Z722" s="148">
        <f>ROUND(IF(X722&gt;I722,X722,I722),4)</f>
        <v>0</v>
      </c>
    </row>
    <row r="723" spans="1:26" x14ac:dyDescent="0.2">
      <c r="A723" s="66"/>
      <c r="B723" s="66"/>
      <c r="C723" s="66"/>
      <c r="D723" s="144"/>
      <c r="E723" s="67"/>
      <c r="F723" s="67"/>
      <c r="G723" s="67"/>
      <c r="H723" s="67">
        <f>ROUND(+E723+G723,4)</f>
        <v>0</v>
      </c>
      <c r="I723" s="67"/>
      <c r="J723" s="67">
        <f>ROUND(+I723-H723,4)</f>
        <v>0</v>
      </c>
      <c r="K723" s="67">
        <f>ROUND(IF(F723="alluminio",0,I723*1.5%),4)</f>
        <v>0</v>
      </c>
      <c r="L723" s="67">
        <f>ROUND(IF(K723&lt;J723,K723,0),4)</f>
        <v>0</v>
      </c>
      <c r="M723" s="67">
        <f>ROUND(IF(J723&gt;K723,0,J723),4)</f>
        <v>0</v>
      </c>
      <c r="N723" s="67">
        <f>ROUND(+L723*D723,4)</f>
        <v>0</v>
      </c>
      <c r="O723" s="67">
        <f>ROUND(IF(F723="rame",0,+I723*3%),4)</f>
        <v>0</v>
      </c>
      <c r="P723" s="67">
        <f>ROUND(IF(O723&lt;J723,O723,0),4)</f>
        <v>0</v>
      </c>
      <c r="Q723" s="67">
        <f>ROUND(IF(J723&gt;O723,0,J723),4)</f>
        <v>0</v>
      </c>
      <c r="R723" s="67">
        <f>ROUND(+P723*D723,4)</f>
        <v>0</v>
      </c>
      <c r="S723" s="67">
        <f>ROUND(IF(K723=0,0,M723*D723),4)</f>
        <v>0</v>
      </c>
      <c r="T723" s="67">
        <f>ROUND(+IF(K723=0,Q723*D723,0),4)</f>
        <v>0</v>
      </c>
      <c r="U723" s="67">
        <f>ROUND(+N723+R723+S723+T723,4)</f>
        <v>0</v>
      </c>
      <c r="V723" s="67">
        <f>ROUND(IF(P723=0,0,I723-H723-O723)+IF(L723=0,0,I723-H723-K723),4)</f>
        <v>0</v>
      </c>
      <c r="W723" s="67">
        <f>ROUND(+(V723*60%)*D723,4)</f>
        <v>0</v>
      </c>
      <c r="X723" s="148">
        <f>ROUND(+U723+W723,4)</f>
        <v>0</v>
      </c>
      <c r="Y723" s="68"/>
      <c r="Z723" s="148">
        <f>ROUND(IF(X723&gt;I723,X723,I723),4)</f>
        <v>0</v>
      </c>
    </row>
    <row r="724" spans="1:26" x14ac:dyDescent="0.2">
      <c r="A724" s="66"/>
      <c r="B724" s="66"/>
      <c r="C724" s="66"/>
      <c r="D724" s="144"/>
      <c r="E724" s="67"/>
      <c r="F724" s="67"/>
      <c r="G724" s="67"/>
      <c r="H724" s="67">
        <f>ROUND(+E724+G724,4)</f>
        <v>0</v>
      </c>
      <c r="I724" s="67"/>
      <c r="J724" s="67">
        <f>ROUND(+I724-H724,4)</f>
        <v>0</v>
      </c>
      <c r="K724" s="67">
        <f>ROUND(IF(F724="alluminio",0,I724*1.5%),4)</f>
        <v>0</v>
      </c>
      <c r="L724" s="67">
        <f>ROUND(IF(K724&lt;J724,K724,0),4)</f>
        <v>0</v>
      </c>
      <c r="M724" s="67">
        <f>ROUND(IF(J724&gt;K724,0,J724),4)</f>
        <v>0</v>
      </c>
      <c r="N724" s="67">
        <f>ROUND(+L724*D724,4)</f>
        <v>0</v>
      </c>
      <c r="O724" s="67">
        <f>ROUND(IF(F724="rame",0,+I724*3%),4)</f>
        <v>0</v>
      </c>
      <c r="P724" s="67">
        <f>ROUND(IF(O724&lt;J724,O724,0),4)</f>
        <v>0</v>
      </c>
      <c r="Q724" s="67">
        <f>ROUND(IF(J724&gt;O724,0,J724),4)</f>
        <v>0</v>
      </c>
      <c r="R724" s="67">
        <f>ROUND(+P724*D724,4)</f>
        <v>0</v>
      </c>
      <c r="S724" s="67">
        <f>ROUND(IF(K724=0,0,M724*D724),4)</f>
        <v>0</v>
      </c>
      <c r="T724" s="67">
        <f>ROUND(+IF(K724=0,Q724*D724,0),4)</f>
        <v>0</v>
      </c>
      <c r="U724" s="67">
        <f>ROUND(+N724+R724+S724+T724,4)</f>
        <v>0</v>
      </c>
      <c r="V724" s="67">
        <f>ROUND(IF(P724=0,0,I724-H724-O724)+IF(L724=0,0,I724-H724-K724),4)</f>
        <v>0</v>
      </c>
      <c r="W724" s="67">
        <f>ROUND(+(V724*60%)*D724,4)</f>
        <v>0</v>
      </c>
      <c r="X724" s="148">
        <f>ROUND(+U724+W724,4)</f>
        <v>0</v>
      </c>
      <c r="Y724" s="68"/>
      <c r="Z724" s="148">
        <f>ROUND(IF(X724&gt;I724,X724,I724),4)</f>
        <v>0</v>
      </c>
    </row>
    <row r="725" spans="1:26" x14ac:dyDescent="0.2">
      <c r="A725" s="66"/>
      <c r="B725" s="66"/>
      <c r="C725" s="66"/>
      <c r="D725" s="144"/>
      <c r="E725" s="67"/>
      <c r="F725" s="67"/>
      <c r="G725" s="67"/>
      <c r="H725" s="67">
        <f>ROUND(+E725+G725,4)</f>
        <v>0</v>
      </c>
      <c r="I725" s="67"/>
      <c r="J725" s="67">
        <f>ROUND(+I725-H725,4)</f>
        <v>0</v>
      </c>
      <c r="K725" s="67">
        <f>ROUND(IF(F725="alluminio",0,I725*1.5%),4)</f>
        <v>0</v>
      </c>
      <c r="L725" s="67">
        <f>ROUND(IF(K725&lt;J725,K725,0),4)</f>
        <v>0</v>
      </c>
      <c r="M725" s="67">
        <f>ROUND(IF(J725&gt;K725,0,J725),4)</f>
        <v>0</v>
      </c>
      <c r="N725" s="67">
        <f>ROUND(+L725*D725,4)</f>
        <v>0</v>
      </c>
      <c r="O725" s="67">
        <f>ROUND(IF(F725="rame",0,+I725*3%),4)</f>
        <v>0</v>
      </c>
      <c r="P725" s="67">
        <f>ROUND(IF(O725&lt;J725,O725,0),4)</f>
        <v>0</v>
      </c>
      <c r="Q725" s="67">
        <f>ROUND(IF(J725&gt;O725,0,J725),4)</f>
        <v>0</v>
      </c>
      <c r="R725" s="67">
        <f>ROUND(+P725*D725,4)</f>
        <v>0</v>
      </c>
      <c r="S725" s="67">
        <f>ROUND(IF(K725=0,0,M725*D725),4)</f>
        <v>0</v>
      </c>
      <c r="T725" s="67">
        <f>ROUND(+IF(K725=0,Q725*D725,0),4)</f>
        <v>0</v>
      </c>
      <c r="U725" s="67">
        <f>ROUND(+N725+R725+S725+T725,4)</f>
        <v>0</v>
      </c>
      <c r="V725" s="67">
        <f>ROUND(IF(P725=0,0,I725-H725-O725)+IF(L725=0,0,I725-H725-K725),4)</f>
        <v>0</v>
      </c>
      <c r="W725" s="67">
        <f>ROUND(+(V725*60%)*D725,4)</f>
        <v>0</v>
      </c>
      <c r="X725" s="148">
        <f>ROUND(+U725+W725,4)</f>
        <v>0</v>
      </c>
      <c r="Y725" s="68"/>
      <c r="Z725" s="148">
        <f>ROUND(IF(X725&gt;I725,X725,I725),4)</f>
        <v>0</v>
      </c>
    </row>
    <row r="726" spans="1:26" x14ac:dyDescent="0.2">
      <c r="A726" s="66"/>
      <c r="B726" s="66"/>
      <c r="C726" s="66"/>
      <c r="D726" s="144"/>
      <c r="E726" s="67"/>
      <c r="F726" s="67"/>
      <c r="G726" s="67"/>
      <c r="H726" s="67">
        <f>ROUND(+E726+G726,4)</f>
        <v>0</v>
      </c>
      <c r="I726" s="67"/>
      <c r="J726" s="67">
        <f>ROUND(+I726-H726,4)</f>
        <v>0</v>
      </c>
      <c r="K726" s="67">
        <f>ROUND(IF(F726="alluminio",0,I726*1.5%),4)</f>
        <v>0</v>
      </c>
      <c r="L726" s="67">
        <f>ROUND(IF(K726&lt;J726,K726,0),4)</f>
        <v>0</v>
      </c>
      <c r="M726" s="67">
        <f>ROUND(IF(J726&gt;K726,0,J726),4)</f>
        <v>0</v>
      </c>
      <c r="N726" s="67">
        <f>ROUND(+L726*D726,4)</f>
        <v>0</v>
      </c>
      <c r="O726" s="67">
        <f>ROUND(IF(F726="rame",0,+I726*3%),4)</f>
        <v>0</v>
      </c>
      <c r="P726" s="67">
        <f>ROUND(IF(O726&lt;J726,O726,0),4)</f>
        <v>0</v>
      </c>
      <c r="Q726" s="67">
        <f>ROUND(IF(J726&gt;O726,0,J726),4)</f>
        <v>0</v>
      </c>
      <c r="R726" s="67">
        <f>ROUND(+P726*D726,4)</f>
        <v>0</v>
      </c>
      <c r="S726" s="67">
        <f>ROUND(IF(K726=0,0,M726*D726),4)</f>
        <v>0</v>
      </c>
      <c r="T726" s="67">
        <f>ROUND(+IF(K726=0,Q726*D726,0),4)</f>
        <v>0</v>
      </c>
      <c r="U726" s="67">
        <f>ROUND(+N726+R726+S726+T726,4)</f>
        <v>0</v>
      </c>
      <c r="V726" s="67">
        <f>ROUND(IF(P726=0,0,I726-H726-O726)+IF(L726=0,0,I726-H726-K726),4)</f>
        <v>0</v>
      </c>
      <c r="W726" s="67">
        <f>ROUND(+(V726*60%)*D726,4)</f>
        <v>0</v>
      </c>
      <c r="X726" s="148">
        <f>ROUND(+U726+W726,4)</f>
        <v>0</v>
      </c>
      <c r="Y726" s="68"/>
      <c r="Z726" s="148">
        <f>ROUND(IF(X726&gt;I726,X726,I726),4)</f>
        <v>0</v>
      </c>
    </row>
    <row r="727" spans="1:26" x14ac:dyDescent="0.2">
      <c r="A727" s="66"/>
      <c r="B727" s="66"/>
      <c r="C727" s="66"/>
      <c r="D727" s="144"/>
      <c r="E727" s="67"/>
      <c r="F727" s="67"/>
      <c r="G727" s="67"/>
      <c r="H727" s="67">
        <f>ROUND(+E727+G727,4)</f>
        <v>0</v>
      </c>
      <c r="I727" s="67"/>
      <c r="J727" s="67">
        <f>ROUND(+I727-H727,4)</f>
        <v>0</v>
      </c>
      <c r="K727" s="67">
        <f>ROUND(IF(F727="alluminio",0,I727*1.5%),4)</f>
        <v>0</v>
      </c>
      <c r="L727" s="67">
        <f>ROUND(IF(K727&lt;J727,K727,0),4)</f>
        <v>0</v>
      </c>
      <c r="M727" s="67">
        <f>ROUND(IF(J727&gt;K727,0,J727),4)</f>
        <v>0</v>
      </c>
      <c r="N727" s="67">
        <f>ROUND(+L727*D727,4)</f>
        <v>0</v>
      </c>
      <c r="O727" s="67">
        <f>ROUND(IF(F727="rame",0,+I727*3%),4)</f>
        <v>0</v>
      </c>
      <c r="P727" s="67">
        <f>ROUND(IF(O727&lt;J727,O727,0),4)</f>
        <v>0</v>
      </c>
      <c r="Q727" s="67">
        <f>ROUND(IF(J727&gt;O727,0,J727),4)</f>
        <v>0</v>
      </c>
      <c r="R727" s="67">
        <f>ROUND(+P727*D727,4)</f>
        <v>0</v>
      </c>
      <c r="S727" s="67">
        <f>ROUND(IF(K727=0,0,M727*D727),4)</f>
        <v>0</v>
      </c>
      <c r="T727" s="67">
        <f>ROUND(+IF(K727=0,Q727*D727,0),4)</f>
        <v>0</v>
      </c>
      <c r="U727" s="67">
        <f>ROUND(+N727+R727+S727+T727,4)</f>
        <v>0</v>
      </c>
      <c r="V727" s="67">
        <f>ROUND(IF(P727=0,0,I727-H727-O727)+IF(L727=0,0,I727-H727-K727),4)</f>
        <v>0</v>
      </c>
      <c r="W727" s="67">
        <f>ROUND(+(V727*60%)*D727,4)</f>
        <v>0</v>
      </c>
      <c r="X727" s="148">
        <f>ROUND(+U727+W727,4)</f>
        <v>0</v>
      </c>
      <c r="Y727" s="68"/>
      <c r="Z727" s="148">
        <f>ROUND(IF(X727&gt;I727,X727,I727),4)</f>
        <v>0</v>
      </c>
    </row>
    <row r="728" spans="1:26" x14ac:dyDescent="0.2">
      <c r="A728" s="66"/>
      <c r="B728" s="66"/>
      <c r="C728" s="66"/>
      <c r="D728" s="144"/>
      <c r="E728" s="67"/>
      <c r="F728" s="67"/>
      <c r="G728" s="67"/>
      <c r="H728" s="67">
        <f>ROUND(+E728+G728,4)</f>
        <v>0</v>
      </c>
      <c r="I728" s="67"/>
      <c r="J728" s="67">
        <f>ROUND(+I728-H728,4)</f>
        <v>0</v>
      </c>
      <c r="K728" s="67">
        <f>ROUND(IF(F728="alluminio",0,I728*1.5%),4)</f>
        <v>0</v>
      </c>
      <c r="L728" s="67">
        <f>ROUND(IF(K728&lt;J728,K728,0),4)</f>
        <v>0</v>
      </c>
      <c r="M728" s="67">
        <f>ROUND(IF(J728&gt;K728,0,J728),4)</f>
        <v>0</v>
      </c>
      <c r="N728" s="67">
        <f>ROUND(+L728*D728,4)</f>
        <v>0</v>
      </c>
      <c r="O728" s="67">
        <f>ROUND(IF(F728="rame",0,+I728*3%),4)</f>
        <v>0</v>
      </c>
      <c r="P728" s="67">
        <f>ROUND(IF(O728&lt;J728,O728,0),4)</f>
        <v>0</v>
      </c>
      <c r="Q728" s="67">
        <f>ROUND(IF(J728&gt;O728,0,J728),4)</f>
        <v>0</v>
      </c>
      <c r="R728" s="67">
        <f>ROUND(+P728*D728,4)</f>
        <v>0</v>
      </c>
      <c r="S728" s="67">
        <f>ROUND(IF(K728=0,0,M728*D728),4)</f>
        <v>0</v>
      </c>
      <c r="T728" s="67">
        <f>ROUND(+IF(K728=0,Q728*D728,0),4)</f>
        <v>0</v>
      </c>
      <c r="U728" s="67">
        <f>ROUND(+N728+R728+S728+T728,4)</f>
        <v>0</v>
      </c>
      <c r="V728" s="67">
        <f>ROUND(IF(P728=0,0,I728-H728-O728)+IF(L728=0,0,I728-H728-K728),4)</f>
        <v>0</v>
      </c>
      <c r="W728" s="67">
        <f>ROUND(+(V728*60%)*D728,4)</f>
        <v>0</v>
      </c>
      <c r="X728" s="148">
        <f>ROUND(+U728+W728,4)</f>
        <v>0</v>
      </c>
      <c r="Y728" s="68"/>
      <c r="Z728" s="148">
        <f>ROUND(IF(X728&gt;I728,X728,I728),4)</f>
        <v>0</v>
      </c>
    </row>
    <row r="729" spans="1:26" x14ac:dyDescent="0.2">
      <c r="A729" s="66"/>
      <c r="B729" s="66"/>
      <c r="C729" s="66"/>
      <c r="D729" s="144"/>
      <c r="E729" s="67"/>
      <c r="F729" s="67"/>
      <c r="G729" s="67"/>
      <c r="H729" s="67">
        <f>ROUND(+E729+G729,4)</f>
        <v>0</v>
      </c>
      <c r="I729" s="67"/>
      <c r="J729" s="67">
        <f>ROUND(+I729-H729,4)</f>
        <v>0</v>
      </c>
      <c r="K729" s="67">
        <f>ROUND(IF(F729="alluminio",0,I729*1.5%),4)</f>
        <v>0</v>
      </c>
      <c r="L729" s="67">
        <f>ROUND(IF(K729&lt;J729,K729,0),4)</f>
        <v>0</v>
      </c>
      <c r="M729" s="67">
        <f>ROUND(IF(J729&gt;K729,0,J729),4)</f>
        <v>0</v>
      </c>
      <c r="N729" s="67">
        <f>ROUND(+L729*D729,4)</f>
        <v>0</v>
      </c>
      <c r="O729" s="67">
        <f>ROUND(IF(F729="rame",0,+I729*3%),4)</f>
        <v>0</v>
      </c>
      <c r="P729" s="67">
        <f>ROUND(IF(O729&lt;J729,O729,0),4)</f>
        <v>0</v>
      </c>
      <c r="Q729" s="67">
        <f>ROUND(IF(J729&gt;O729,0,J729),4)</f>
        <v>0</v>
      </c>
      <c r="R729" s="67">
        <f>ROUND(+P729*D729,4)</f>
        <v>0</v>
      </c>
      <c r="S729" s="67">
        <f>ROUND(IF(K729=0,0,M729*D729),4)</f>
        <v>0</v>
      </c>
      <c r="T729" s="67">
        <f>ROUND(+IF(K729=0,Q729*D729,0),4)</f>
        <v>0</v>
      </c>
      <c r="U729" s="67">
        <f>ROUND(+N729+R729+S729+T729,4)</f>
        <v>0</v>
      </c>
      <c r="V729" s="67">
        <f>ROUND(IF(P729=0,0,I729-H729-O729)+IF(L729=0,0,I729-H729-K729),4)</f>
        <v>0</v>
      </c>
      <c r="W729" s="67">
        <f>ROUND(+(V729*60%)*D729,4)</f>
        <v>0</v>
      </c>
      <c r="X729" s="148">
        <f>ROUND(+U729+W729,4)</f>
        <v>0</v>
      </c>
      <c r="Y729" s="68"/>
      <c r="Z729" s="148">
        <f>ROUND(IF(X729&gt;I729,X729,I729),4)</f>
        <v>0</v>
      </c>
    </row>
    <row r="730" spans="1:26" x14ac:dyDescent="0.2">
      <c r="A730" s="66"/>
      <c r="B730" s="66"/>
      <c r="C730" s="66"/>
      <c r="D730" s="144"/>
      <c r="E730" s="67"/>
      <c r="F730" s="67"/>
      <c r="G730" s="67"/>
      <c r="H730" s="67">
        <f>ROUND(+E730+G730,4)</f>
        <v>0</v>
      </c>
      <c r="I730" s="67"/>
      <c r="J730" s="67">
        <f>ROUND(+I730-H730,4)</f>
        <v>0</v>
      </c>
      <c r="K730" s="67">
        <f>ROUND(IF(F730="alluminio",0,I730*1.5%),4)</f>
        <v>0</v>
      </c>
      <c r="L730" s="67">
        <f>ROUND(IF(K730&lt;J730,K730,0),4)</f>
        <v>0</v>
      </c>
      <c r="M730" s="67">
        <f>ROUND(IF(J730&gt;K730,0,J730),4)</f>
        <v>0</v>
      </c>
      <c r="N730" s="67">
        <f>ROUND(+L730*D730,4)</f>
        <v>0</v>
      </c>
      <c r="O730" s="67">
        <f>ROUND(IF(F730="rame",0,+I730*3%),4)</f>
        <v>0</v>
      </c>
      <c r="P730" s="67">
        <f>ROUND(IF(O730&lt;J730,O730,0),4)</f>
        <v>0</v>
      </c>
      <c r="Q730" s="67">
        <f>ROUND(IF(J730&gt;O730,0,J730),4)</f>
        <v>0</v>
      </c>
      <c r="R730" s="67">
        <f>ROUND(+P730*D730,4)</f>
        <v>0</v>
      </c>
      <c r="S730" s="67">
        <f>ROUND(IF(K730=0,0,M730*D730),4)</f>
        <v>0</v>
      </c>
      <c r="T730" s="67">
        <f>ROUND(+IF(K730=0,Q730*D730,0),4)</f>
        <v>0</v>
      </c>
      <c r="U730" s="67">
        <f>ROUND(+N730+R730+S730+T730,4)</f>
        <v>0</v>
      </c>
      <c r="V730" s="67">
        <f>ROUND(IF(P730=0,0,I730-H730-O730)+IF(L730=0,0,I730-H730-K730),4)</f>
        <v>0</v>
      </c>
      <c r="W730" s="67">
        <f>ROUND(+(V730*60%)*D730,4)</f>
        <v>0</v>
      </c>
      <c r="X730" s="148">
        <f>ROUND(+U730+W730,4)</f>
        <v>0</v>
      </c>
      <c r="Y730" s="68"/>
      <c r="Z730" s="148">
        <f>ROUND(IF(X730&gt;I730,X730,I730),4)</f>
        <v>0</v>
      </c>
    </row>
    <row r="731" spans="1:26" x14ac:dyDescent="0.2">
      <c r="A731" s="66"/>
      <c r="B731" s="66"/>
      <c r="C731" s="66"/>
      <c r="D731" s="144"/>
      <c r="E731" s="67"/>
      <c r="F731" s="67"/>
      <c r="G731" s="67"/>
      <c r="H731" s="67">
        <f>ROUND(+E731+G731,4)</f>
        <v>0</v>
      </c>
      <c r="I731" s="67"/>
      <c r="J731" s="67">
        <f>ROUND(+I731-H731,4)</f>
        <v>0</v>
      </c>
      <c r="K731" s="67">
        <f>ROUND(IF(F731="alluminio",0,I731*1.5%),4)</f>
        <v>0</v>
      </c>
      <c r="L731" s="67">
        <f>ROUND(IF(K731&lt;J731,K731,0),4)</f>
        <v>0</v>
      </c>
      <c r="M731" s="67">
        <f>ROUND(IF(J731&gt;K731,0,J731),4)</f>
        <v>0</v>
      </c>
      <c r="N731" s="67">
        <f>ROUND(+L731*D731,4)</f>
        <v>0</v>
      </c>
      <c r="O731" s="67">
        <f>ROUND(IF(F731="rame",0,+I731*3%),4)</f>
        <v>0</v>
      </c>
      <c r="P731" s="67">
        <f>ROUND(IF(O731&lt;J731,O731,0),4)</f>
        <v>0</v>
      </c>
      <c r="Q731" s="67">
        <f>ROUND(IF(J731&gt;O731,0,J731),4)</f>
        <v>0</v>
      </c>
      <c r="R731" s="67">
        <f>ROUND(+P731*D731,4)</f>
        <v>0</v>
      </c>
      <c r="S731" s="67">
        <f>ROUND(IF(K731=0,0,M731*D731),4)</f>
        <v>0</v>
      </c>
      <c r="T731" s="67">
        <f>ROUND(+IF(K731=0,Q731*D731,0),4)</f>
        <v>0</v>
      </c>
      <c r="U731" s="67">
        <f>ROUND(+N731+R731+S731+T731,4)</f>
        <v>0</v>
      </c>
      <c r="V731" s="67">
        <f>ROUND(IF(P731=0,0,I731-H731-O731)+IF(L731=0,0,I731-H731-K731),4)</f>
        <v>0</v>
      </c>
      <c r="W731" s="67">
        <f>ROUND(+(V731*60%)*D731,4)</f>
        <v>0</v>
      </c>
      <c r="X731" s="148">
        <f>ROUND(+U731+W731,4)</f>
        <v>0</v>
      </c>
      <c r="Y731" s="68"/>
      <c r="Z731" s="148">
        <f>ROUND(IF(X731&gt;I731,X731,I731),4)</f>
        <v>0</v>
      </c>
    </row>
    <row r="732" spans="1:26" x14ac:dyDescent="0.2">
      <c r="A732" s="66"/>
      <c r="B732" s="66"/>
      <c r="C732" s="66"/>
      <c r="D732" s="144"/>
      <c r="E732" s="67"/>
      <c r="F732" s="67"/>
      <c r="G732" s="67"/>
      <c r="H732" s="67">
        <f>ROUND(+E732+G732,4)</f>
        <v>0</v>
      </c>
      <c r="I732" s="67"/>
      <c r="J732" s="67">
        <f>ROUND(+I732-H732,4)</f>
        <v>0</v>
      </c>
      <c r="K732" s="67">
        <f>ROUND(IF(F732="alluminio",0,I732*1.5%),4)</f>
        <v>0</v>
      </c>
      <c r="L732" s="67">
        <f>ROUND(IF(K732&lt;J732,K732,0),4)</f>
        <v>0</v>
      </c>
      <c r="M732" s="67">
        <f>ROUND(IF(J732&gt;K732,0,J732),4)</f>
        <v>0</v>
      </c>
      <c r="N732" s="67">
        <f>ROUND(+L732*D732,4)</f>
        <v>0</v>
      </c>
      <c r="O732" s="67">
        <f>ROUND(IF(F732="rame",0,+I732*3%),4)</f>
        <v>0</v>
      </c>
      <c r="P732" s="67">
        <f>ROUND(IF(O732&lt;J732,O732,0),4)</f>
        <v>0</v>
      </c>
      <c r="Q732" s="67">
        <f>ROUND(IF(J732&gt;O732,0,J732),4)</f>
        <v>0</v>
      </c>
      <c r="R732" s="67">
        <f>ROUND(+P732*D732,4)</f>
        <v>0</v>
      </c>
      <c r="S732" s="67">
        <f>ROUND(IF(K732=0,0,M732*D732),4)</f>
        <v>0</v>
      </c>
      <c r="T732" s="67">
        <f>ROUND(+IF(K732=0,Q732*D732,0),4)</f>
        <v>0</v>
      </c>
      <c r="U732" s="67">
        <f>ROUND(+N732+R732+S732+T732,4)</f>
        <v>0</v>
      </c>
      <c r="V732" s="67">
        <f>ROUND(IF(P732=0,0,I732-H732-O732)+IF(L732=0,0,I732-H732-K732),4)</f>
        <v>0</v>
      </c>
      <c r="W732" s="67">
        <f>ROUND(+(V732*60%)*D732,4)</f>
        <v>0</v>
      </c>
      <c r="X732" s="148">
        <f>ROUND(+U732+W732,4)</f>
        <v>0</v>
      </c>
      <c r="Y732" s="68"/>
      <c r="Z732" s="148">
        <f>ROUND(IF(X732&gt;I732,X732,I732),4)</f>
        <v>0</v>
      </c>
    </row>
    <row r="733" spans="1:26" x14ac:dyDescent="0.2">
      <c r="A733" s="66"/>
      <c r="B733" s="66"/>
      <c r="C733" s="66"/>
      <c r="D733" s="144"/>
      <c r="E733" s="67"/>
      <c r="F733" s="67"/>
      <c r="G733" s="67"/>
      <c r="H733" s="67">
        <f>ROUND(+E733+G733,4)</f>
        <v>0</v>
      </c>
      <c r="I733" s="67"/>
      <c r="J733" s="67">
        <f>ROUND(+I733-H733,4)</f>
        <v>0</v>
      </c>
      <c r="K733" s="67">
        <f>ROUND(IF(F733="alluminio",0,I733*1.5%),4)</f>
        <v>0</v>
      </c>
      <c r="L733" s="67">
        <f>ROUND(IF(K733&lt;J733,K733,0),4)</f>
        <v>0</v>
      </c>
      <c r="M733" s="67">
        <f>ROUND(IF(J733&gt;K733,0,J733),4)</f>
        <v>0</v>
      </c>
      <c r="N733" s="67">
        <f>ROUND(+L733*D733,4)</f>
        <v>0</v>
      </c>
      <c r="O733" s="67">
        <f>ROUND(IF(F733="rame",0,+I733*3%),4)</f>
        <v>0</v>
      </c>
      <c r="P733" s="67">
        <f>ROUND(IF(O733&lt;J733,O733,0),4)</f>
        <v>0</v>
      </c>
      <c r="Q733" s="67">
        <f>ROUND(IF(J733&gt;O733,0,J733),4)</f>
        <v>0</v>
      </c>
      <c r="R733" s="67">
        <f>ROUND(+P733*D733,4)</f>
        <v>0</v>
      </c>
      <c r="S733" s="67">
        <f>ROUND(IF(K733=0,0,M733*D733),4)</f>
        <v>0</v>
      </c>
      <c r="T733" s="67">
        <f>ROUND(+IF(K733=0,Q733*D733,0),4)</f>
        <v>0</v>
      </c>
      <c r="U733" s="67">
        <f>ROUND(+N733+R733+S733+T733,4)</f>
        <v>0</v>
      </c>
      <c r="V733" s="67">
        <f>ROUND(IF(P733=0,0,I733-H733-O733)+IF(L733=0,0,I733-H733-K733),4)</f>
        <v>0</v>
      </c>
      <c r="W733" s="67">
        <f>ROUND(+(V733*60%)*D733,4)</f>
        <v>0</v>
      </c>
      <c r="X733" s="148">
        <f>ROUND(+U733+W733,4)</f>
        <v>0</v>
      </c>
      <c r="Y733" s="68"/>
      <c r="Z733" s="148">
        <f>ROUND(IF(X733&gt;I733,X733,I733),4)</f>
        <v>0</v>
      </c>
    </row>
    <row r="734" spans="1:26" x14ac:dyDescent="0.2">
      <c r="A734" s="66"/>
      <c r="B734" s="66"/>
      <c r="C734" s="66"/>
      <c r="D734" s="144"/>
      <c r="E734" s="67"/>
      <c r="F734" s="67"/>
      <c r="G734" s="67"/>
      <c r="H734" s="67">
        <f>ROUND(+E734+G734,4)</f>
        <v>0</v>
      </c>
      <c r="I734" s="67"/>
      <c r="J734" s="67">
        <f>ROUND(+I734-H734,4)</f>
        <v>0</v>
      </c>
      <c r="K734" s="67">
        <f>ROUND(IF(F734="alluminio",0,I734*1.5%),4)</f>
        <v>0</v>
      </c>
      <c r="L734" s="67">
        <f>ROUND(IF(K734&lt;J734,K734,0),4)</f>
        <v>0</v>
      </c>
      <c r="M734" s="67">
        <f>ROUND(IF(J734&gt;K734,0,J734),4)</f>
        <v>0</v>
      </c>
      <c r="N734" s="67">
        <f>ROUND(+L734*D734,4)</f>
        <v>0</v>
      </c>
      <c r="O734" s="67">
        <f>ROUND(IF(F734="rame",0,+I734*3%),4)</f>
        <v>0</v>
      </c>
      <c r="P734" s="67">
        <f>ROUND(IF(O734&lt;J734,O734,0),4)</f>
        <v>0</v>
      </c>
      <c r="Q734" s="67">
        <f>ROUND(IF(J734&gt;O734,0,J734),4)</f>
        <v>0</v>
      </c>
      <c r="R734" s="67">
        <f>ROUND(+P734*D734,4)</f>
        <v>0</v>
      </c>
      <c r="S734" s="67">
        <f>ROUND(IF(K734=0,0,M734*D734),4)</f>
        <v>0</v>
      </c>
      <c r="T734" s="67">
        <f>ROUND(+IF(K734=0,Q734*D734,0),4)</f>
        <v>0</v>
      </c>
      <c r="U734" s="67">
        <f>ROUND(+N734+R734+S734+T734,4)</f>
        <v>0</v>
      </c>
      <c r="V734" s="67">
        <f>ROUND(IF(P734=0,0,I734-H734-O734)+IF(L734=0,0,I734-H734-K734),4)</f>
        <v>0</v>
      </c>
      <c r="W734" s="67">
        <f>ROUND(+(V734*60%)*D734,4)</f>
        <v>0</v>
      </c>
      <c r="X734" s="148">
        <f>ROUND(+U734+W734,4)</f>
        <v>0</v>
      </c>
      <c r="Y734" s="68"/>
      <c r="Z734" s="148">
        <f>ROUND(IF(X734&gt;I734,X734,I734),4)</f>
        <v>0</v>
      </c>
    </row>
    <row r="735" spans="1:26" x14ac:dyDescent="0.2">
      <c r="A735" s="66"/>
      <c r="B735" s="66"/>
      <c r="C735" s="66"/>
      <c r="D735" s="144"/>
      <c r="E735" s="67"/>
      <c r="F735" s="67"/>
      <c r="G735" s="67"/>
      <c r="H735" s="67">
        <f>ROUND(+E735+G735,4)</f>
        <v>0</v>
      </c>
      <c r="I735" s="67"/>
      <c r="J735" s="67">
        <f>ROUND(+I735-H735,4)</f>
        <v>0</v>
      </c>
      <c r="K735" s="67">
        <f>ROUND(IF(F735="alluminio",0,I735*1.5%),4)</f>
        <v>0</v>
      </c>
      <c r="L735" s="67">
        <f>ROUND(IF(K735&lt;J735,K735,0),4)</f>
        <v>0</v>
      </c>
      <c r="M735" s="67">
        <f>ROUND(IF(J735&gt;K735,0,J735),4)</f>
        <v>0</v>
      </c>
      <c r="N735" s="67">
        <f>ROUND(+L735*D735,4)</f>
        <v>0</v>
      </c>
      <c r="O735" s="67">
        <f>ROUND(IF(F735="rame",0,+I735*3%),4)</f>
        <v>0</v>
      </c>
      <c r="P735" s="67">
        <f>ROUND(IF(O735&lt;J735,O735,0),4)</f>
        <v>0</v>
      </c>
      <c r="Q735" s="67">
        <f>ROUND(IF(J735&gt;O735,0,J735),4)</f>
        <v>0</v>
      </c>
      <c r="R735" s="67">
        <f>ROUND(+P735*D735,4)</f>
        <v>0</v>
      </c>
      <c r="S735" s="67">
        <f>ROUND(IF(K735=0,0,M735*D735),4)</f>
        <v>0</v>
      </c>
      <c r="T735" s="67">
        <f>ROUND(+IF(K735=0,Q735*D735,0),4)</f>
        <v>0</v>
      </c>
      <c r="U735" s="67">
        <f>ROUND(+N735+R735+S735+T735,4)</f>
        <v>0</v>
      </c>
      <c r="V735" s="67">
        <f>ROUND(IF(P735=0,0,I735-H735-O735)+IF(L735=0,0,I735-H735-K735),4)</f>
        <v>0</v>
      </c>
      <c r="W735" s="67">
        <f>ROUND(+(V735*60%)*D735,4)</f>
        <v>0</v>
      </c>
      <c r="X735" s="148">
        <f>ROUND(+U735+W735,4)</f>
        <v>0</v>
      </c>
      <c r="Y735" s="68"/>
      <c r="Z735" s="148">
        <f>ROUND(IF(X735&gt;I735,X735,I735),4)</f>
        <v>0</v>
      </c>
    </row>
    <row r="736" spans="1:26" x14ac:dyDescent="0.2">
      <c r="A736" s="66"/>
      <c r="B736" s="66"/>
      <c r="C736" s="66"/>
      <c r="D736" s="144"/>
      <c r="E736" s="67"/>
      <c r="F736" s="67"/>
      <c r="G736" s="67"/>
      <c r="H736" s="67">
        <f>ROUND(+E736+G736,4)</f>
        <v>0</v>
      </c>
      <c r="I736" s="67"/>
      <c r="J736" s="67">
        <f>ROUND(+I736-H736,4)</f>
        <v>0</v>
      </c>
      <c r="K736" s="67">
        <f>ROUND(IF(F736="alluminio",0,I736*1.5%),4)</f>
        <v>0</v>
      </c>
      <c r="L736" s="67">
        <f>ROUND(IF(K736&lt;J736,K736,0),4)</f>
        <v>0</v>
      </c>
      <c r="M736" s="67">
        <f>ROUND(IF(J736&gt;K736,0,J736),4)</f>
        <v>0</v>
      </c>
      <c r="N736" s="67">
        <f>ROUND(+L736*D736,4)</f>
        <v>0</v>
      </c>
      <c r="O736" s="67">
        <f>ROUND(IF(F736="rame",0,+I736*3%),4)</f>
        <v>0</v>
      </c>
      <c r="P736" s="67">
        <f>ROUND(IF(O736&lt;J736,O736,0),4)</f>
        <v>0</v>
      </c>
      <c r="Q736" s="67">
        <f>ROUND(IF(J736&gt;O736,0,J736),4)</f>
        <v>0</v>
      </c>
      <c r="R736" s="67">
        <f>ROUND(+P736*D736,4)</f>
        <v>0</v>
      </c>
      <c r="S736" s="67">
        <f>ROUND(IF(K736=0,0,M736*D736),4)</f>
        <v>0</v>
      </c>
      <c r="T736" s="67">
        <f>ROUND(+IF(K736=0,Q736*D736,0),4)</f>
        <v>0</v>
      </c>
      <c r="U736" s="67">
        <f>ROUND(+N736+R736+S736+T736,4)</f>
        <v>0</v>
      </c>
      <c r="V736" s="67">
        <f>ROUND(IF(P736=0,0,I736-H736-O736)+IF(L736=0,0,I736-H736-K736),4)</f>
        <v>0</v>
      </c>
      <c r="W736" s="67">
        <f>ROUND(+(V736*60%)*D736,4)</f>
        <v>0</v>
      </c>
      <c r="X736" s="148">
        <f>ROUND(+U736+W736,4)</f>
        <v>0</v>
      </c>
      <c r="Y736" s="68"/>
      <c r="Z736" s="148">
        <f>ROUND(IF(X736&gt;I736,X736,I736),4)</f>
        <v>0</v>
      </c>
    </row>
    <row r="737" spans="1:26" x14ac:dyDescent="0.2">
      <c r="A737" s="66"/>
      <c r="B737" s="66"/>
      <c r="C737" s="66"/>
      <c r="D737" s="144"/>
      <c r="E737" s="67"/>
      <c r="F737" s="67"/>
      <c r="G737" s="67"/>
      <c r="H737" s="67">
        <f>ROUND(+E737+G737,4)</f>
        <v>0</v>
      </c>
      <c r="I737" s="67"/>
      <c r="J737" s="67">
        <f>ROUND(+I737-H737,4)</f>
        <v>0</v>
      </c>
      <c r="K737" s="67">
        <f>ROUND(IF(F737="alluminio",0,I737*1.5%),4)</f>
        <v>0</v>
      </c>
      <c r="L737" s="67">
        <f>ROUND(IF(K737&lt;J737,K737,0),4)</f>
        <v>0</v>
      </c>
      <c r="M737" s="67">
        <f>ROUND(IF(J737&gt;K737,0,J737),4)</f>
        <v>0</v>
      </c>
      <c r="N737" s="67">
        <f>ROUND(+L737*D737,4)</f>
        <v>0</v>
      </c>
      <c r="O737" s="67">
        <f>ROUND(IF(F737="rame",0,+I737*3%),4)</f>
        <v>0</v>
      </c>
      <c r="P737" s="67">
        <f>ROUND(IF(O737&lt;J737,O737,0),4)</f>
        <v>0</v>
      </c>
      <c r="Q737" s="67">
        <f>ROUND(IF(J737&gt;O737,0,J737),4)</f>
        <v>0</v>
      </c>
      <c r="R737" s="67">
        <f>ROUND(+P737*D737,4)</f>
        <v>0</v>
      </c>
      <c r="S737" s="67">
        <f>ROUND(IF(K737=0,0,M737*D737),4)</f>
        <v>0</v>
      </c>
      <c r="T737" s="67">
        <f>ROUND(+IF(K737=0,Q737*D737,0),4)</f>
        <v>0</v>
      </c>
      <c r="U737" s="67">
        <f>ROUND(+N737+R737+S737+T737,4)</f>
        <v>0</v>
      </c>
      <c r="V737" s="67">
        <f>ROUND(IF(P737=0,0,I737-H737-O737)+IF(L737=0,0,I737-H737-K737),4)</f>
        <v>0</v>
      </c>
      <c r="W737" s="67">
        <f>ROUND(+(V737*60%)*D737,4)</f>
        <v>0</v>
      </c>
      <c r="X737" s="148">
        <f>ROUND(+U737+W737,4)</f>
        <v>0</v>
      </c>
      <c r="Y737" s="68"/>
      <c r="Z737" s="148">
        <f>ROUND(IF(X737&gt;I737,X737,I737),4)</f>
        <v>0</v>
      </c>
    </row>
    <row r="738" spans="1:26" x14ac:dyDescent="0.2">
      <c r="A738" s="66"/>
      <c r="B738" s="66"/>
      <c r="C738" s="66"/>
      <c r="D738" s="144"/>
      <c r="E738" s="67"/>
      <c r="F738" s="67"/>
      <c r="G738" s="67"/>
      <c r="H738" s="67">
        <f>ROUND(+E738+G738,4)</f>
        <v>0</v>
      </c>
      <c r="I738" s="67"/>
      <c r="J738" s="67">
        <f>ROUND(+I738-H738,4)</f>
        <v>0</v>
      </c>
      <c r="K738" s="67">
        <f>ROUND(IF(F738="alluminio",0,I738*1.5%),4)</f>
        <v>0</v>
      </c>
      <c r="L738" s="67">
        <f>ROUND(IF(K738&lt;J738,K738,0),4)</f>
        <v>0</v>
      </c>
      <c r="M738" s="67">
        <f>ROUND(IF(J738&gt;K738,0,J738),4)</f>
        <v>0</v>
      </c>
      <c r="N738" s="67">
        <f>ROUND(+L738*D738,4)</f>
        <v>0</v>
      </c>
      <c r="O738" s="67">
        <f>ROUND(IF(F738="rame",0,+I738*3%),4)</f>
        <v>0</v>
      </c>
      <c r="P738" s="67">
        <f>ROUND(IF(O738&lt;J738,O738,0),4)</f>
        <v>0</v>
      </c>
      <c r="Q738" s="67">
        <f>ROUND(IF(J738&gt;O738,0,J738),4)</f>
        <v>0</v>
      </c>
      <c r="R738" s="67">
        <f>ROUND(+P738*D738,4)</f>
        <v>0</v>
      </c>
      <c r="S738" s="67">
        <f>ROUND(IF(K738=0,0,M738*D738),4)</f>
        <v>0</v>
      </c>
      <c r="T738" s="67">
        <f>ROUND(+IF(K738=0,Q738*D738,0),4)</f>
        <v>0</v>
      </c>
      <c r="U738" s="67">
        <f>ROUND(+N738+R738+S738+T738,4)</f>
        <v>0</v>
      </c>
      <c r="V738" s="67">
        <f>ROUND(IF(P738=0,0,I738-H738-O738)+IF(L738=0,0,I738-H738-K738),4)</f>
        <v>0</v>
      </c>
      <c r="W738" s="67">
        <f>ROUND(+(V738*60%)*D738,4)</f>
        <v>0</v>
      </c>
      <c r="X738" s="148">
        <f>ROUND(+U738+W738,4)</f>
        <v>0</v>
      </c>
      <c r="Y738" s="68"/>
      <c r="Z738" s="148">
        <f>ROUND(IF(X738&gt;I738,X738,I738),4)</f>
        <v>0</v>
      </c>
    </row>
    <row r="739" spans="1:26" x14ac:dyDescent="0.2">
      <c r="A739" s="66"/>
      <c r="B739" s="66"/>
      <c r="C739" s="66"/>
      <c r="D739" s="144"/>
      <c r="E739" s="67"/>
      <c r="F739" s="67"/>
      <c r="G739" s="67"/>
      <c r="H739" s="67">
        <f>ROUND(+E739+G739,4)</f>
        <v>0</v>
      </c>
      <c r="I739" s="67"/>
      <c r="J739" s="67">
        <f>ROUND(+I739-H739,4)</f>
        <v>0</v>
      </c>
      <c r="K739" s="67">
        <f>ROUND(IF(F739="alluminio",0,I739*1.5%),4)</f>
        <v>0</v>
      </c>
      <c r="L739" s="67">
        <f>ROUND(IF(K739&lt;J739,K739,0),4)</f>
        <v>0</v>
      </c>
      <c r="M739" s="67">
        <f>ROUND(IF(J739&gt;K739,0,J739),4)</f>
        <v>0</v>
      </c>
      <c r="N739" s="67">
        <f>ROUND(+L739*D739,4)</f>
        <v>0</v>
      </c>
      <c r="O739" s="67">
        <f>ROUND(IF(F739="rame",0,+I739*3%),4)</f>
        <v>0</v>
      </c>
      <c r="P739" s="67">
        <f>ROUND(IF(O739&lt;J739,O739,0),4)</f>
        <v>0</v>
      </c>
      <c r="Q739" s="67">
        <f>ROUND(IF(J739&gt;O739,0,J739),4)</f>
        <v>0</v>
      </c>
      <c r="R739" s="67">
        <f>ROUND(+P739*D739,4)</f>
        <v>0</v>
      </c>
      <c r="S739" s="67">
        <f>ROUND(IF(K739=0,0,M739*D739),4)</f>
        <v>0</v>
      </c>
      <c r="T739" s="67">
        <f>ROUND(+IF(K739=0,Q739*D739,0),4)</f>
        <v>0</v>
      </c>
      <c r="U739" s="67">
        <f>ROUND(+N739+R739+S739+T739,4)</f>
        <v>0</v>
      </c>
      <c r="V739" s="67">
        <f>ROUND(IF(P739=0,0,I739-H739-O739)+IF(L739=0,0,I739-H739-K739),4)</f>
        <v>0</v>
      </c>
      <c r="W739" s="67">
        <f>ROUND(+(V739*60%)*D739,4)</f>
        <v>0</v>
      </c>
      <c r="X739" s="148">
        <f>ROUND(+U739+W739,4)</f>
        <v>0</v>
      </c>
      <c r="Y739" s="68"/>
      <c r="Z739" s="148">
        <f>ROUND(IF(X739&gt;I739,X739,I739),4)</f>
        <v>0</v>
      </c>
    </row>
    <row r="740" spans="1:26" x14ac:dyDescent="0.2">
      <c r="A740" s="66"/>
      <c r="B740" s="66"/>
      <c r="C740" s="66"/>
      <c r="D740" s="144"/>
      <c r="E740" s="67"/>
      <c r="F740" s="67"/>
      <c r="G740" s="67"/>
      <c r="H740" s="67">
        <f>ROUND(+E740+G740,4)</f>
        <v>0</v>
      </c>
      <c r="I740" s="67"/>
      <c r="J740" s="67">
        <f>ROUND(+I740-H740,4)</f>
        <v>0</v>
      </c>
      <c r="K740" s="67">
        <f>ROUND(IF(F740="alluminio",0,I740*1.5%),4)</f>
        <v>0</v>
      </c>
      <c r="L740" s="67">
        <f>ROUND(IF(K740&lt;J740,K740,0),4)</f>
        <v>0</v>
      </c>
      <c r="M740" s="67">
        <f>ROUND(IF(J740&gt;K740,0,J740),4)</f>
        <v>0</v>
      </c>
      <c r="N740" s="67">
        <f>ROUND(+L740*D740,4)</f>
        <v>0</v>
      </c>
      <c r="O740" s="67">
        <f>ROUND(IF(F740="rame",0,+I740*3%),4)</f>
        <v>0</v>
      </c>
      <c r="P740" s="67">
        <f>ROUND(IF(O740&lt;J740,O740,0),4)</f>
        <v>0</v>
      </c>
      <c r="Q740" s="67">
        <f>ROUND(IF(J740&gt;O740,0,J740),4)</f>
        <v>0</v>
      </c>
      <c r="R740" s="67">
        <f>ROUND(+P740*D740,4)</f>
        <v>0</v>
      </c>
      <c r="S740" s="67">
        <f>ROUND(IF(K740=0,0,M740*D740),4)</f>
        <v>0</v>
      </c>
      <c r="T740" s="67">
        <f>ROUND(+IF(K740=0,Q740*D740,0),4)</f>
        <v>0</v>
      </c>
      <c r="U740" s="67">
        <f>ROUND(+N740+R740+S740+T740,4)</f>
        <v>0</v>
      </c>
      <c r="V740" s="67">
        <f>ROUND(IF(P740=0,0,I740-H740-O740)+IF(L740=0,0,I740-H740-K740),4)</f>
        <v>0</v>
      </c>
      <c r="W740" s="67">
        <f>ROUND(+(V740*60%)*D740,4)</f>
        <v>0</v>
      </c>
      <c r="X740" s="148">
        <f>ROUND(+U740+W740,4)</f>
        <v>0</v>
      </c>
      <c r="Y740" s="68"/>
      <c r="Z740" s="148">
        <f>ROUND(IF(X740&gt;I740,X740,I740),4)</f>
        <v>0</v>
      </c>
    </row>
    <row r="741" spans="1:26" x14ac:dyDescent="0.2">
      <c r="A741" s="66"/>
      <c r="B741" s="66"/>
      <c r="C741" s="66"/>
      <c r="D741" s="144"/>
      <c r="E741" s="67"/>
      <c r="F741" s="67"/>
      <c r="G741" s="67"/>
      <c r="H741" s="67">
        <f>ROUND(+E741+G741,4)</f>
        <v>0</v>
      </c>
      <c r="I741" s="67"/>
      <c r="J741" s="67">
        <f>ROUND(+I741-H741,4)</f>
        <v>0</v>
      </c>
      <c r="K741" s="67">
        <f>ROUND(IF(F741="alluminio",0,I741*1.5%),4)</f>
        <v>0</v>
      </c>
      <c r="L741" s="67">
        <f>ROUND(IF(K741&lt;J741,K741,0),4)</f>
        <v>0</v>
      </c>
      <c r="M741" s="67">
        <f>ROUND(IF(J741&gt;K741,0,J741),4)</f>
        <v>0</v>
      </c>
      <c r="N741" s="67">
        <f>ROUND(+L741*D741,4)</f>
        <v>0</v>
      </c>
      <c r="O741" s="67">
        <f>ROUND(IF(F741="rame",0,+I741*3%),4)</f>
        <v>0</v>
      </c>
      <c r="P741" s="67">
        <f>ROUND(IF(O741&lt;J741,O741,0),4)</f>
        <v>0</v>
      </c>
      <c r="Q741" s="67">
        <f>ROUND(IF(J741&gt;O741,0,J741),4)</f>
        <v>0</v>
      </c>
      <c r="R741" s="67">
        <f>ROUND(+P741*D741,4)</f>
        <v>0</v>
      </c>
      <c r="S741" s="67">
        <f>ROUND(IF(K741=0,0,M741*D741),4)</f>
        <v>0</v>
      </c>
      <c r="T741" s="67">
        <f>ROUND(+IF(K741=0,Q741*D741,0),4)</f>
        <v>0</v>
      </c>
      <c r="U741" s="67">
        <f>ROUND(+N741+R741+S741+T741,4)</f>
        <v>0</v>
      </c>
      <c r="V741" s="67">
        <f>ROUND(IF(P741=0,0,I741-H741-O741)+IF(L741=0,0,I741-H741-K741),4)</f>
        <v>0</v>
      </c>
      <c r="W741" s="67">
        <f>ROUND(+(V741*60%)*D741,4)</f>
        <v>0</v>
      </c>
      <c r="X741" s="148">
        <f>ROUND(+U741+W741,4)</f>
        <v>0</v>
      </c>
      <c r="Y741" s="68"/>
      <c r="Z741" s="148">
        <f>ROUND(IF(X741&gt;I741,X741,I741),4)</f>
        <v>0</v>
      </c>
    </row>
    <row r="742" spans="1:26" x14ac:dyDescent="0.2">
      <c r="A742" s="66"/>
      <c r="B742" s="66"/>
      <c r="C742" s="66"/>
      <c r="D742" s="144"/>
      <c r="E742" s="67"/>
      <c r="F742" s="67"/>
      <c r="G742" s="67"/>
      <c r="H742" s="67">
        <f>ROUND(+E742+G742,4)</f>
        <v>0</v>
      </c>
      <c r="I742" s="67"/>
      <c r="J742" s="67">
        <f>ROUND(+I742-H742,4)</f>
        <v>0</v>
      </c>
      <c r="K742" s="67">
        <f>ROUND(IF(F742="alluminio",0,I742*1.5%),4)</f>
        <v>0</v>
      </c>
      <c r="L742" s="67">
        <f>ROUND(IF(K742&lt;J742,K742,0),4)</f>
        <v>0</v>
      </c>
      <c r="M742" s="67">
        <f>ROUND(IF(J742&gt;K742,0,J742),4)</f>
        <v>0</v>
      </c>
      <c r="N742" s="67">
        <f>ROUND(+L742*D742,4)</f>
        <v>0</v>
      </c>
      <c r="O742" s="67">
        <f>ROUND(IF(F742="rame",0,+I742*3%),4)</f>
        <v>0</v>
      </c>
      <c r="P742" s="67">
        <f>ROUND(IF(O742&lt;J742,O742,0),4)</f>
        <v>0</v>
      </c>
      <c r="Q742" s="67">
        <f>ROUND(IF(J742&gt;O742,0,J742),4)</f>
        <v>0</v>
      </c>
      <c r="R742" s="67">
        <f>ROUND(+P742*D742,4)</f>
        <v>0</v>
      </c>
      <c r="S742" s="67">
        <f>ROUND(IF(K742=0,0,M742*D742),4)</f>
        <v>0</v>
      </c>
      <c r="T742" s="67">
        <f>ROUND(+IF(K742=0,Q742*D742,0),4)</f>
        <v>0</v>
      </c>
      <c r="U742" s="67">
        <f>ROUND(+N742+R742+S742+T742,4)</f>
        <v>0</v>
      </c>
      <c r="V742" s="67">
        <f>ROUND(IF(P742=0,0,I742-H742-O742)+IF(L742=0,0,I742-H742-K742),4)</f>
        <v>0</v>
      </c>
      <c r="W742" s="67">
        <f>ROUND(+(V742*60%)*D742,4)</f>
        <v>0</v>
      </c>
      <c r="X742" s="148">
        <f>ROUND(+U742+W742,4)</f>
        <v>0</v>
      </c>
      <c r="Y742" s="68"/>
      <c r="Z742" s="148">
        <f>ROUND(IF(X742&gt;I742,X742,I742),4)</f>
        <v>0</v>
      </c>
    </row>
    <row r="743" spans="1:26" x14ac:dyDescent="0.2">
      <c r="A743" s="66"/>
      <c r="B743" s="66"/>
      <c r="C743" s="66"/>
      <c r="D743" s="144"/>
      <c r="E743" s="67"/>
      <c r="F743" s="67"/>
      <c r="G743" s="67"/>
      <c r="H743" s="67">
        <f>ROUND(+E743+G743,4)</f>
        <v>0</v>
      </c>
      <c r="I743" s="67"/>
      <c r="J743" s="67">
        <f>ROUND(+I743-H743,4)</f>
        <v>0</v>
      </c>
      <c r="K743" s="67">
        <f>ROUND(IF(F743="alluminio",0,I743*1.5%),4)</f>
        <v>0</v>
      </c>
      <c r="L743" s="67">
        <f>ROUND(IF(K743&lt;J743,K743,0),4)</f>
        <v>0</v>
      </c>
      <c r="M743" s="67">
        <f>ROUND(IF(J743&gt;K743,0,J743),4)</f>
        <v>0</v>
      </c>
      <c r="N743" s="67">
        <f>ROUND(+L743*D743,4)</f>
        <v>0</v>
      </c>
      <c r="O743" s="67">
        <f>ROUND(IF(F743="rame",0,+I743*3%),4)</f>
        <v>0</v>
      </c>
      <c r="P743" s="67">
        <f>ROUND(IF(O743&lt;J743,O743,0),4)</f>
        <v>0</v>
      </c>
      <c r="Q743" s="67">
        <f>ROUND(IF(J743&gt;O743,0,J743),4)</f>
        <v>0</v>
      </c>
      <c r="R743" s="67">
        <f>ROUND(+P743*D743,4)</f>
        <v>0</v>
      </c>
      <c r="S743" s="67">
        <f>ROUND(IF(K743=0,0,M743*D743),4)</f>
        <v>0</v>
      </c>
      <c r="T743" s="67">
        <f>ROUND(+IF(K743=0,Q743*D743,0),4)</f>
        <v>0</v>
      </c>
      <c r="U743" s="67">
        <f>ROUND(+N743+R743+S743+T743,4)</f>
        <v>0</v>
      </c>
      <c r="V743" s="67">
        <f>ROUND(IF(P743=0,0,I743-H743-O743)+IF(L743=0,0,I743-H743-K743),4)</f>
        <v>0</v>
      </c>
      <c r="W743" s="67">
        <f>ROUND(+(V743*60%)*D743,4)</f>
        <v>0</v>
      </c>
      <c r="X743" s="148">
        <f>ROUND(+U743+W743,4)</f>
        <v>0</v>
      </c>
      <c r="Y743" s="68"/>
      <c r="Z743" s="148">
        <f>ROUND(IF(X743&gt;I743,X743,I743),4)</f>
        <v>0</v>
      </c>
    </row>
    <row r="744" spans="1:26" x14ac:dyDescent="0.2">
      <c r="A744" s="66"/>
      <c r="B744" s="66"/>
      <c r="C744" s="66"/>
      <c r="D744" s="144"/>
      <c r="E744" s="67"/>
      <c r="F744" s="67"/>
      <c r="G744" s="67"/>
      <c r="H744" s="67">
        <f>ROUND(+E744+G744,4)</f>
        <v>0</v>
      </c>
      <c r="I744" s="67"/>
      <c r="J744" s="67">
        <f>ROUND(+I744-H744,4)</f>
        <v>0</v>
      </c>
      <c r="K744" s="67">
        <f>ROUND(IF(F744="alluminio",0,I744*1.5%),4)</f>
        <v>0</v>
      </c>
      <c r="L744" s="67">
        <f>ROUND(IF(K744&lt;J744,K744,0),4)</f>
        <v>0</v>
      </c>
      <c r="M744" s="67">
        <f>ROUND(IF(J744&gt;K744,0,J744),4)</f>
        <v>0</v>
      </c>
      <c r="N744" s="67">
        <f>ROUND(+L744*D744,4)</f>
        <v>0</v>
      </c>
      <c r="O744" s="67">
        <f>ROUND(IF(F744="rame",0,+I744*3%),4)</f>
        <v>0</v>
      </c>
      <c r="P744" s="67">
        <f>ROUND(IF(O744&lt;J744,O744,0),4)</f>
        <v>0</v>
      </c>
      <c r="Q744" s="67">
        <f>ROUND(IF(J744&gt;O744,0,J744),4)</f>
        <v>0</v>
      </c>
      <c r="R744" s="67">
        <f>ROUND(+P744*D744,4)</f>
        <v>0</v>
      </c>
      <c r="S744" s="67">
        <f>ROUND(IF(K744=0,0,M744*D744),4)</f>
        <v>0</v>
      </c>
      <c r="T744" s="67">
        <f>ROUND(+IF(K744=0,Q744*D744,0),4)</f>
        <v>0</v>
      </c>
      <c r="U744" s="67">
        <f>ROUND(+N744+R744+S744+T744,4)</f>
        <v>0</v>
      </c>
      <c r="V744" s="67">
        <f>ROUND(IF(P744=0,0,I744-H744-O744)+IF(L744=0,0,I744-H744-K744),4)</f>
        <v>0</v>
      </c>
      <c r="W744" s="67">
        <f>ROUND(+(V744*60%)*D744,4)</f>
        <v>0</v>
      </c>
      <c r="X744" s="148">
        <f>ROUND(+U744+W744,4)</f>
        <v>0</v>
      </c>
      <c r="Y744" s="68"/>
      <c r="Z744" s="148">
        <f>ROUND(IF(X744&gt;I744,X744,I744),4)</f>
        <v>0</v>
      </c>
    </row>
    <row r="745" spans="1:26" x14ac:dyDescent="0.2">
      <c r="A745" s="66"/>
      <c r="B745" s="66"/>
      <c r="C745" s="66"/>
      <c r="D745" s="144"/>
      <c r="E745" s="67"/>
      <c r="F745" s="67"/>
      <c r="G745" s="67"/>
      <c r="H745" s="67">
        <f>ROUND(+E745+G745,4)</f>
        <v>0</v>
      </c>
      <c r="I745" s="67"/>
      <c r="J745" s="67">
        <f>ROUND(+I745-H745,4)</f>
        <v>0</v>
      </c>
      <c r="K745" s="67">
        <f>ROUND(IF(F745="alluminio",0,I745*1.5%),4)</f>
        <v>0</v>
      </c>
      <c r="L745" s="67">
        <f>ROUND(IF(K745&lt;J745,K745,0),4)</f>
        <v>0</v>
      </c>
      <c r="M745" s="67">
        <f>ROUND(IF(J745&gt;K745,0,J745),4)</f>
        <v>0</v>
      </c>
      <c r="N745" s="67">
        <f>ROUND(+L745*D745,4)</f>
        <v>0</v>
      </c>
      <c r="O745" s="67">
        <f>ROUND(IF(F745="rame",0,+I745*3%),4)</f>
        <v>0</v>
      </c>
      <c r="P745" s="67">
        <f>ROUND(IF(O745&lt;J745,O745,0),4)</f>
        <v>0</v>
      </c>
      <c r="Q745" s="67">
        <f>ROUND(IF(J745&gt;O745,0,J745),4)</f>
        <v>0</v>
      </c>
      <c r="R745" s="67">
        <f>ROUND(+P745*D745,4)</f>
        <v>0</v>
      </c>
      <c r="S745" s="67">
        <f>ROUND(IF(K745=0,0,M745*D745),4)</f>
        <v>0</v>
      </c>
      <c r="T745" s="67">
        <f>ROUND(+IF(K745=0,Q745*D745,0),4)</f>
        <v>0</v>
      </c>
      <c r="U745" s="67">
        <f>ROUND(+N745+R745+S745+T745,4)</f>
        <v>0</v>
      </c>
      <c r="V745" s="67">
        <f>ROUND(IF(P745=0,0,I745-H745-O745)+IF(L745=0,0,I745-H745-K745),4)</f>
        <v>0</v>
      </c>
      <c r="W745" s="67">
        <f>ROUND(+(V745*60%)*D745,4)</f>
        <v>0</v>
      </c>
      <c r="X745" s="148">
        <f>ROUND(+U745+W745,4)</f>
        <v>0</v>
      </c>
      <c r="Y745" s="68"/>
      <c r="Z745" s="148">
        <f>ROUND(IF(X745&gt;I745,X745,I745),4)</f>
        <v>0</v>
      </c>
    </row>
    <row r="746" spans="1:26" x14ac:dyDescent="0.2">
      <c r="A746" s="66"/>
      <c r="B746" s="66"/>
      <c r="C746" s="66"/>
      <c r="D746" s="144"/>
      <c r="E746" s="67"/>
      <c r="F746" s="67"/>
      <c r="G746" s="67"/>
      <c r="H746" s="67">
        <f>ROUND(+E746+G746,4)</f>
        <v>0</v>
      </c>
      <c r="I746" s="67"/>
      <c r="J746" s="67">
        <f>ROUND(+I746-H746,4)</f>
        <v>0</v>
      </c>
      <c r="K746" s="67">
        <f>ROUND(IF(F746="alluminio",0,I746*1.5%),4)</f>
        <v>0</v>
      </c>
      <c r="L746" s="67">
        <f>ROUND(IF(K746&lt;J746,K746,0),4)</f>
        <v>0</v>
      </c>
      <c r="M746" s="67">
        <f>ROUND(IF(J746&gt;K746,0,J746),4)</f>
        <v>0</v>
      </c>
      <c r="N746" s="67">
        <f>ROUND(+L746*D746,4)</f>
        <v>0</v>
      </c>
      <c r="O746" s="67">
        <f>ROUND(IF(F746="rame",0,+I746*3%),4)</f>
        <v>0</v>
      </c>
      <c r="P746" s="67">
        <f>ROUND(IF(O746&lt;J746,O746,0),4)</f>
        <v>0</v>
      </c>
      <c r="Q746" s="67">
        <f>ROUND(IF(J746&gt;O746,0,J746),4)</f>
        <v>0</v>
      </c>
      <c r="R746" s="67">
        <f>ROUND(+P746*D746,4)</f>
        <v>0</v>
      </c>
      <c r="S746" s="67">
        <f>ROUND(IF(K746=0,0,M746*D746),4)</f>
        <v>0</v>
      </c>
      <c r="T746" s="67">
        <f>ROUND(+IF(K746=0,Q746*D746,0),4)</f>
        <v>0</v>
      </c>
      <c r="U746" s="67">
        <f>ROUND(+N746+R746+S746+T746,4)</f>
        <v>0</v>
      </c>
      <c r="V746" s="67">
        <f>ROUND(IF(P746=0,0,I746-H746-O746)+IF(L746=0,0,I746-H746-K746),4)</f>
        <v>0</v>
      </c>
      <c r="W746" s="67">
        <f>ROUND(+(V746*60%)*D746,4)</f>
        <v>0</v>
      </c>
      <c r="X746" s="148">
        <f>ROUND(+U746+W746,4)</f>
        <v>0</v>
      </c>
      <c r="Y746" s="68"/>
      <c r="Z746" s="148">
        <f>ROUND(IF(X746&gt;I746,X746,I746),4)</f>
        <v>0</v>
      </c>
    </row>
    <row r="747" spans="1:26" x14ac:dyDescent="0.2">
      <c r="A747" s="66"/>
      <c r="B747" s="66"/>
      <c r="C747" s="66"/>
      <c r="D747" s="144"/>
      <c r="E747" s="67"/>
      <c r="F747" s="67"/>
      <c r="G747" s="67"/>
      <c r="H747" s="67">
        <f>ROUND(+E747+G747,4)</f>
        <v>0</v>
      </c>
      <c r="I747" s="67"/>
      <c r="J747" s="67">
        <f>ROUND(+I747-H747,4)</f>
        <v>0</v>
      </c>
      <c r="K747" s="67">
        <f>ROUND(IF(F747="alluminio",0,I747*1.5%),4)</f>
        <v>0</v>
      </c>
      <c r="L747" s="67">
        <f>ROUND(IF(K747&lt;J747,K747,0),4)</f>
        <v>0</v>
      </c>
      <c r="M747" s="67">
        <f>ROUND(IF(J747&gt;K747,0,J747),4)</f>
        <v>0</v>
      </c>
      <c r="N747" s="67">
        <f>ROUND(+L747*D747,4)</f>
        <v>0</v>
      </c>
      <c r="O747" s="67">
        <f>ROUND(IF(F747="rame",0,+I747*3%),4)</f>
        <v>0</v>
      </c>
      <c r="P747" s="67">
        <f>ROUND(IF(O747&lt;J747,O747,0),4)</f>
        <v>0</v>
      </c>
      <c r="Q747" s="67">
        <f>ROUND(IF(J747&gt;O747,0,J747),4)</f>
        <v>0</v>
      </c>
      <c r="R747" s="67">
        <f>ROUND(+P747*D747,4)</f>
        <v>0</v>
      </c>
      <c r="S747" s="67">
        <f>ROUND(IF(K747=0,0,M747*D747),4)</f>
        <v>0</v>
      </c>
      <c r="T747" s="67">
        <f>ROUND(+IF(K747=0,Q747*D747,0),4)</f>
        <v>0</v>
      </c>
      <c r="U747" s="67">
        <f>ROUND(+N747+R747+S747+T747,4)</f>
        <v>0</v>
      </c>
      <c r="V747" s="67">
        <f>ROUND(IF(P747=0,0,I747-H747-O747)+IF(L747=0,0,I747-H747-K747),4)</f>
        <v>0</v>
      </c>
      <c r="W747" s="67">
        <f>ROUND(+(V747*60%)*D747,4)</f>
        <v>0</v>
      </c>
      <c r="X747" s="148">
        <f>ROUND(+U747+W747,4)</f>
        <v>0</v>
      </c>
      <c r="Y747" s="68"/>
      <c r="Z747" s="148">
        <f>ROUND(IF(X747&gt;I747,X747,I747),4)</f>
        <v>0</v>
      </c>
    </row>
    <row r="748" spans="1:26" x14ac:dyDescent="0.2">
      <c r="A748" s="66"/>
      <c r="B748" s="66"/>
      <c r="C748" s="66"/>
      <c r="D748" s="144"/>
      <c r="E748" s="67"/>
      <c r="F748" s="67"/>
      <c r="G748" s="67"/>
      <c r="H748" s="67">
        <f>ROUND(+E748+G748,4)</f>
        <v>0</v>
      </c>
      <c r="I748" s="67"/>
      <c r="J748" s="67">
        <f>ROUND(+I748-H748,4)</f>
        <v>0</v>
      </c>
      <c r="K748" s="67">
        <f>ROUND(IF(F748="alluminio",0,I748*1.5%),4)</f>
        <v>0</v>
      </c>
      <c r="L748" s="67">
        <f>ROUND(IF(K748&lt;J748,K748,0),4)</f>
        <v>0</v>
      </c>
      <c r="M748" s="67">
        <f>ROUND(IF(J748&gt;K748,0,J748),4)</f>
        <v>0</v>
      </c>
      <c r="N748" s="67">
        <f>ROUND(+L748*D748,4)</f>
        <v>0</v>
      </c>
      <c r="O748" s="67">
        <f>ROUND(IF(F748="rame",0,+I748*3%),4)</f>
        <v>0</v>
      </c>
      <c r="P748" s="67">
        <f>ROUND(IF(O748&lt;J748,O748,0),4)</f>
        <v>0</v>
      </c>
      <c r="Q748" s="67">
        <f>ROUND(IF(J748&gt;O748,0,J748),4)</f>
        <v>0</v>
      </c>
      <c r="R748" s="67">
        <f>ROUND(+P748*D748,4)</f>
        <v>0</v>
      </c>
      <c r="S748" s="67">
        <f>ROUND(IF(K748=0,0,M748*D748),4)</f>
        <v>0</v>
      </c>
      <c r="T748" s="67">
        <f>ROUND(+IF(K748=0,Q748*D748,0),4)</f>
        <v>0</v>
      </c>
      <c r="U748" s="67">
        <f>ROUND(+N748+R748+S748+T748,4)</f>
        <v>0</v>
      </c>
      <c r="V748" s="67">
        <f>ROUND(IF(P748=0,0,I748-H748-O748)+IF(L748=0,0,I748-H748-K748),4)</f>
        <v>0</v>
      </c>
      <c r="W748" s="67">
        <f>ROUND(+(V748*60%)*D748,4)</f>
        <v>0</v>
      </c>
      <c r="X748" s="148">
        <f>ROUND(+U748+W748,4)</f>
        <v>0</v>
      </c>
      <c r="Y748" s="68"/>
      <c r="Z748" s="148">
        <f>ROUND(IF(X748&gt;I748,X748,I748),4)</f>
        <v>0</v>
      </c>
    </row>
    <row r="749" spans="1:26" x14ac:dyDescent="0.2">
      <c r="A749" s="66"/>
      <c r="B749" s="66"/>
      <c r="C749" s="66"/>
      <c r="D749" s="144"/>
      <c r="E749" s="67"/>
      <c r="F749" s="67"/>
      <c r="G749" s="67"/>
      <c r="H749" s="67">
        <f>ROUND(+E749+G749,4)</f>
        <v>0</v>
      </c>
      <c r="I749" s="67"/>
      <c r="J749" s="67">
        <f>ROUND(+I749-H749,4)</f>
        <v>0</v>
      </c>
      <c r="K749" s="67">
        <f>ROUND(IF(F749="alluminio",0,I749*1.5%),4)</f>
        <v>0</v>
      </c>
      <c r="L749" s="67">
        <f>ROUND(IF(K749&lt;J749,K749,0),4)</f>
        <v>0</v>
      </c>
      <c r="M749" s="67">
        <f>ROUND(IF(J749&gt;K749,0,J749),4)</f>
        <v>0</v>
      </c>
      <c r="N749" s="67">
        <f>ROUND(+L749*D749,4)</f>
        <v>0</v>
      </c>
      <c r="O749" s="67">
        <f>ROUND(IF(F749="rame",0,+I749*3%),4)</f>
        <v>0</v>
      </c>
      <c r="P749" s="67">
        <f>ROUND(IF(O749&lt;J749,O749,0),4)</f>
        <v>0</v>
      </c>
      <c r="Q749" s="67">
        <f>ROUND(IF(J749&gt;O749,0,J749),4)</f>
        <v>0</v>
      </c>
      <c r="R749" s="67">
        <f>ROUND(+P749*D749,4)</f>
        <v>0</v>
      </c>
      <c r="S749" s="67">
        <f>ROUND(IF(K749=0,0,M749*D749),4)</f>
        <v>0</v>
      </c>
      <c r="T749" s="67">
        <f>ROUND(+IF(K749=0,Q749*D749,0),4)</f>
        <v>0</v>
      </c>
      <c r="U749" s="67">
        <f>ROUND(+N749+R749+S749+T749,4)</f>
        <v>0</v>
      </c>
      <c r="V749" s="67">
        <f>ROUND(IF(P749=0,0,I749-H749-O749)+IF(L749=0,0,I749-H749-K749),4)</f>
        <v>0</v>
      </c>
      <c r="W749" s="67">
        <f>ROUND(+(V749*60%)*D749,4)</f>
        <v>0</v>
      </c>
      <c r="X749" s="148">
        <f>ROUND(+U749+W749,4)</f>
        <v>0</v>
      </c>
      <c r="Y749" s="68"/>
      <c r="Z749" s="148">
        <f>ROUND(IF(X749&gt;I749,X749,I749),4)</f>
        <v>0</v>
      </c>
    </row>
    <row r="750" spans="1:26" x14ac:dyDescent="0.2">
      <c r="A750" s="66"/>
      <c r="B750" s="66"/>
      <c r="C750" s="66"/>
      <c r="D750" s="144"/>
      <c r="E750" s="67"/>
      <c r="F750" s="67"/>
      <c r="G750" s="67"/>
      <c r="H750" s="67">
        <f>ROUND(+E750+G750,4)</f>
        <v>0</v>
      </c>
      <c r="I750" s="67"/>
      <c r="J750" s="67">
        <f>ROUND(+I750-H750,4)</f>
        <v>0</v>
      </c>
      <c r="K750" s="67">
        <f>ROUND(IF(F750="alluminio",0,I750*1.5%),4)</f>
        <v>0</v>
      </c>
      <c r="L750" s="67">
        <f>ROUND(IF(K750&lt;J750,K750,0),4)</f>
        <v>0</v>
      </c>
      <c r="M750" s="67">
        <f>ROUND(IF(J750&gt;K750,0,J750),4)</f>
        <v>0</v>
      </c>
      <c r="N750" s="67">
        <f>ROUND(+L750*D750,4)</f>
        <v>0</v>
      </c>
      <c r="O750" s="67">
        <f>ROUND(IF(F750="rame",0,+I750*3%),4)</f>
        <v>0</v>
      </c>
      <c r="P750" s="67">
        <f>ROUND(IF(O750&lt;J750,O750,0),4)</f>
        <v>0</v>
      </c>
      <c r="Q750" s="67">
        <f>ROUND(IF(J750&gt;O750,0,J750),4)</f>
        <v>0</v>
      </c>
      <c r="R750" s="67">
        <f>ROUND(+P750*D750,4)</f>
        <v>0</v>
      </c>
      <c r="S750" s="67">
        <f>ROUND(IF(K750=0,0,M750*D750),4)</f>
        <v>0</v>
      </c>
      <c r="T750" s="67">
        <f>ROUND(+IF(K750=0,Q750*D750,0),4)</f>
        <v>0</v>
      </c>
      <c r="U750" s="67">
        <f>ROUND(+N750+R750+S750+T750,4)</f>
        <v>0</v>
      </c>
      <c r="V750" s="67">
        <f>ROUND(IF(P750=0,0,I750-H750-O750)+IF(L750=0,0,I750-H750-K750),4)</f>
        <v>0</v>
      </c>
      <c r="W750" s="67">
        <f>ROUND(+(V750*60%)*D750,4)</f>
        <v>0</v>
      </c>
      <c r="X750" s="148">
        <f>ROUND(+U750+W750,4)</f>
        <v>0</v>
      </c>
      <c r="Y750" s="68"/>
      <c r="Z750" s="148">
        <f>ROUND(IF(X750&gt;I750,X750,I750),4)</f>
        <v>0</v>
      </c>
    </row>
    <row r="751" spans="1:26" x14ac:dyDescent="0.2">
      <c r="A751" s="66"/>
      <c r="B751" s="66"/>
      <c r="C751" s="66"/>
      <c r="D751" s="144"/>
      <c r="E751" s="67"/>
      <c r="F751" s="67"/>
      <c r="G751" s="67"/>
      <c r="H751" s="67">
        <f>ROUND(+E751+G751,4)</f>
        <v>0</v>
      </c>
      <c r="I751" s="67"/>
      <c r="J751" s="67">
        <f>ROUND(+I751-H751,4)</f>
        <v>0</v>
      </c>
      <c r="K751" s="67">
        <f>ROUND(IF(F751="alluminio",0,I751*1.5%),4)</f>
        <v>0</v>
      </c>
      <c r="L751" s="67">
        <f>ROUND(IF(K751&lt;J751,K751,0),4)</f>
        <v>0</v>
      </c>
      <c r="M751" s="67">
        <f>ROUND(IF(J751&gt;K751,0,J751),4)</f>
        <v>0</v>
      </c>
      <c r="N751" s="67">
        <f>ROUND(+L751*D751,4)</f>
        <v>0</v>
      </c>
      <c r="O751" s="67">
        <f>ROUND(IF(F751="rame",0,+I751*3%),4)</f>
        <v>0</v>
      </c>
      <c r="P751" s="67">
        <f>ROUND(IF(O751&lt;J751,O751,0),4)</f>
        <v>0</v>
      </c>
      <c r="Q751" s="67">
        <f>ROUND(IF(J751&gt;O751,0,J751),4)</f>
        <v>0</v>
      </c>
      <c r="R751" s="67">
        <f>ROUND(+P751*D751,4)</f>
        <v>0</v>
      </c>
      <c r="S751" s="67">
        <f>ROUND(IF(K751=0,0,M751*D751),4)</f>
        <v>0</v>
      </c>
      <c r="T751" s="67">
        <f>ROUND(+IF(K751=0,Q751*D751,0),4)</f>
        <v>0</v>
      </c>
      <c r="U751" s="67">
        <f>ROUND(+N751+R751+S751+T751,4)</f>
        <v>0</v>
      </c>
      <c r="V751" s="67">
        <f>ROUND(IF(P751=0,0,I751-H751-O751)+IF(L751=0,0,I751-H751-K751),4)</f>
        <v>0</v>
      </c>
      <c r="W751" s="67">
        <f>ROUND(+(V751*60%)*D751,4)</f>
        <v>0</v>
      </c>
      <c r="X751" s="148">
        <f>ROUND(+U751+W751,4)</f>
        <v>0</v>
      </c>
      <c r="Y751" s="68"/>
      <c r="Z751" s="148">
        <f>ROUND(IF(X751&gt;I751,X751,I751),4)</f>
        <v>0</v>
      </c>
    </row>
    <row r="752" spans="1:26" x14ac:dyDescent="0.2">
      <c r="A752" s="66"/>
      <c r="B752" s="66"/>
      <c r="C752" s="66"/>
      <c r="D752" s="144"/>
      <c r="E752" s="67"/>
      <c r="F752" s="67"/>
      <c r="G752" s="67"/>
      <c r="H752" s="67">
        <f>ROUND(+E752+G752,4)</f>
        <v>0</v>
      </c>
      <c r="I752" s="67"/>
      <c r="J752" s="67">
        <f>ROUND(+I752-H752,4)</f>
        <v>0</v>
      </c>
      <c r="K752" s="67">
        <f>ROUND(IF(F752="alluminio",0,I752*1.5%),4)</f>
        <v>0</v>
      </c>
      <c r="L752" s="67">
        <f>ROUND(IF(K752&lt;J752,K752,0),4)</f>
        <v>0</v>
      </c>
      <c r="M752" s="67">
        <f>ROUND(IF(J752&gt;K752,0,J752),4)</f>
        <v>0</v>
      </c>
      <c r="N752" s="67">
        <f>ROUND(+L752*D752,4)</f>
        <v>0</v>
      </c>
      <c r="O752" s="67">
        <f>ROUND(IF(F752="rame",0,+I752*3%),4)</f>
        <v>0</v>
      </c>
      <c r="P752" s="67">
        <f>ROUND(IF(O752&lt;J752,O752,0),4)</f>
        <v>0</v>
      </c>
      <c r="Q752" s="67">
        <f>ROUND(IF(J752&gt;O752,0,J752),4)</f>
        <v>0</v>
      </c>
      <c r="R752" s="67">
        <f>ROUND(+P752*D752,4)</f>
        <v>0</v>
      </c>
      <c r="S752" s="67">
        <f>ROUND(IF(K752=0,0,M752*D752),4)</f>
        <v>0</v>
      </c>
      <c r="T752" s="67">
        <f>ROUND(+IF(K752=0,Q752*D752,0),4)</f>
        <v>0</v>
      </c>
      <c r="U752" s="67">
        <f>ROUND(+N752+R752+S752+T752,4)</f>
        <v>0</v>
      </c>
      <c r="V752" s="67">
        <f>ROUND(IF(P752=0,0,I752-H752-O752)+IF(L752=0,0,I752-H752-K752),4)</f>
        <v>0</v>
      </c>
      <c r="W752" s="67">
        <f>ROUND(+(V752*60%)*D752,4)</f>
        <v>0</v>
      </c>
      <c r="X752" s="148">
        <f>ROUND(+U752+W752,4)</f>
        <v>0</v>
      </c>
      <c r="Y752" s="68"/>
      <c r="Z752" s="148">
        <f>ROUND(IF(X752&gt;I752,X752,I752),4)</f>
        <v>0</v>
      </c>
    </row>
    <row r="753" spans="1:26" x14ac:dyDescent="0.2">
      <c r="A753" s="66"/>
      <c r="B753" s="66"/>
      <c r="C753" s="66"/>
      <c r="D753" s="144"/>
      <c r="E753" s="67"/>
      <c r="F753" s="67"/>
      <c r="G753" s="67"/>
      <c r="H753" s="67">
        <f>ROUND(+E753+G753,4)</f>
        <v>0</v>
      </c>
      <c r="I753" s="67"/>
      <c r="J753" s="67">
        <f>ROUND(+I753-H753,4)</f>
        <v>0</v>
      </c>
      <c r="K753" s="67">
        <f>ROUND(IF(F753="alluminio",0,I753*1.5%),4)</f>
        <v>0</v>
      </c>
      <c r="L753" s="67">
        <f>ROUND(IF(K753&lt;J753,K753,0),4)</f>
        <v>0</v>
      </c>
      <c r="M753" s="67">
        <f>ROUND(IF(J753&gt;K753,0,J753),4)</f>
        <v>0</v>
      </c>
      <c r="N753" s="67">
        <f>ROUND(+L753*D753,4)</f>
        <v>0</v>
      </c>
      <c r="O753" s="67">
        <f>ROUND(IF(F753="rame",0,+I753*3%),4)</f>
        <v>0</v>
      </c>
      <c r="P753" s="67">
        <f>ROUND(IF(O753&lt;J753,O753,0),4)</f>
        <v>0</v>
      </c>
      <c r="Q753" s="67">
        <f>ROUND(IF(J753&gt;O753,0,J753),4)</f>
        <v>0</v>
      </c>
      <c r="R753" s="67">
        <f>ROUND(+P753*D753,4)</f>
        <v>0</v>
      </c>
      <c r="S753" s="67">
        <f>ROUND(IF(K753=0,0,M753*D753),4)</f>
        <v>0</v>
      </c>
      <c r="T753" s="67">
        <f>ROUND(+IF(K753=0,Q753*D753,0),4)</f>
        <v>0</v>
      </c>
      <c r="U753" s="67">
        <f>ROUND(+N753+R753+S753+T753,4)</f>
        <v>0</v>
      </c>
      <c r="V753" s="67">
        <f>ROUND(IF(P753=0,0,I753-H753-O753)+IF(L753=0,0,I753-H753-K753),4)</f>
        <v>0</v>
      </c>
      <c r="W753" s="67">
        <f>ROUND(+(V753*60%)*D753,4)</f>
        <v>0</v>
      </c>
      <c r="X753" s="148">
        <f>ROUND(+U753+W753,4)</f>
        <v>0</v>
      </c>
      <c r="Y753" s="68"/>
      <c r="Z753" s="148">
        <f>ROUND(IF(X753&gt;I753,X753,I753),4)</f>
        <v>0</v>
      </c>
    </row>
    <row r="754" spans="1:26" x14ac:dyDescent="0.2">
      <c r="A754" s="66"/>
      <c r="B754" s="66"/>
      <c r="C754" s="66"/>
      <c r="D754" s="144"/>
      <c r="E754" s="67"/>
      <c r="F754" s="67"/>
      <c r="G754" s="67"/>
      <c r="H754" s="67">
        <f>ROUND(+E754+G754,4)</f>
        <v>0</v>
      </c>
      <c r="I754" s="67"/>
      <c r="J754" s="67">
        <f>ROUND(+I754-H754,4)</f>
        <v>0</v>
      </c>
      <c r="K754" s="67">
        <f>ROUND(IF(F754="alluminio",0,I754*1.5%),4)</f>
        <v>0</v>
      </c>
      <c r="L754" s="67">
        <f>ROUND(IF(K754&lt;J754,K754,0),4)</f>
        <v>0</v>
      </c>
      <c r="M754" s="67">
        <f>ROUND(IF(J754&gt;K754,0,J754),4)</f>
        <v>0</v>
      </c>
      <c r="N754" s="67">
        <f>ROUND(+L754*D754,4)</f>
        <v>0</v>
      </c>
      <c r="O754" s="67">
        <f>ROUND(IF(F754="rame",0,+I754*3%),4)</f>
        <v>0</v>
      </c>
      <c r="P754" s="67">
        <f>ROUND(IF(O754&lt;J754,O754,0),4)</f>
        <v>0</v>
      </c>
      <c r="Q754" s="67">
        <f>ROUND(IF(J754&gt;O754,0,J754),4)</f>
        <v>0</v>
      </c>
      <c r="R754" s="67">
        <f>ROUND(+P754*D754,4)</f>
        <v>0</v>
      </c>
      <c r="S754" s="67">
        <f>ROUND(IF(K754=0,0,M754*D754),4)</f>
        <v>0</v>
      </c>
      <c r="T754" s="67">
        <f>ROUND(+IF(K754=0,Q754*D754,0),4)</f>
        <v>0</v>
      </c>
      <c r="U754" s="67">
        <f>ROUND(+N754+R754+S754+T754,4)</f>
        <v>0</v>
      </c>
      <c r="V754" s="67">
        <f>ROUND(IF(P754=0,0,I754-H754-O754)+IF(L754=0,0,I754-H754-K754),4)</f>
        <v>0</v>
      </c>
      <c r="W754" s="67">
        <f>ROUND(+(V754*60%)*D754,4)</f>
        <v>0</v>
      </c>
      <c r="X754" s="148">
        <f>ROUND(+U754+W754,4)</f>
        <v>0</v>
      </c>
      <c r="Y754" s="68"/>
      <c r="Z754" s="148">
        <f>ROUND(IF(X754&gt;I754,X754,I754),4)</f>
        <v>0</v>
      </c>
    </row>
    <row r="755" spans="1:26" x14ac:dyDescent="0.2">
      <c r="A755" s="66"/>
      <c r="B755" s="66"/>
      <c r="C755" s="66"/>
      <c r="D755" s="144"/>
      <c r="E755" s="67"/>
      <c r="F755" s="67"/>
      <c r="G755" s="67"/>
      <c r="H755" s="67">
        <f>ROUND(+E755+G755,4)</f>
        <v>0</v>
      </c>
      <c r="I755" s="67"/>
      <c r="J755" s="67">
        <f>ROUND(+I755-H755,4)</f>
        <v>0</v>
      </c>
      <c r="K755" s="67">
        <f>ROUND(IF(F755="alluminio",0,I755*1.5%),4)</f>
        <v>0</v>
      </c>
      <c r="L755" s="67">
        <f>ROUND(IF(K755&lt;J755,K755,0),4)</f>
        <v>0</v>
      </c>
      <c r="M755" s="67">
        <f>ROUND(IF(J755&gt;K755,0,J755),4)</f>
        <v>0</v>
      </c>
      <c r="N755" s="67">
        <f>ROUND(+L755*D755,4)</f>
        <v>0</v>
      </c>
      <c r="O755" s="67">
        <f>ROUND(IF(F755="rame",0,+I755*3%),4)</f>
        <v>0</v>
      </c>
      <c r="P755" s="67">
        <f>ROUND(IF(O755&lt;J755,O755,0),4)</f>
        <v>0</v>
      </c>
      <c r="Q755" s="67">
        <f>ROUND(IF(J755&gt;O755,0,J755),4)</f>
        <v>0</v>
      </c>
      <c r="R755" s="67">
        <f>ROUND(+P755*D755,4)</f>
        <v>0</v>
      </c>
      <c r="S755" s="67">
        <f>ROUND(IF(K755=0,0,M755*D755),4)</f>
        <v>0</v>
      </c>
      <c r="T755" s="67">
        <f>ROUND(+IF(K755=0,Q755*D755,0),4)</f>
        <v>0</v>
      </c>
      <c r="U755" s="67">
        <f>ROUND(+N755+R755+S755+T755,4)</f>
        <v>0</v>
      </c>
      <c r="V755" s="67">
        <f>ROUND(IF(P755=0,0,I755-H755-O755)+IF(L755=0,0,I755-H755-K755),4)</f>
        <v>0</v>
      </c>
      <c r="W755" s="67">
        <f>ROUND(+(V755*60%)*D755,4)</f>
        <v>0</v>
      </c>
      <c r="X755" s="148">
        <f>ROUND(+U755+W755,4)</f>
        <v>0</v>
      </c>
      <c r="Y755" s="68"/>
      <c r="Z755" s="148">
        <f>ROUND(IF(X755&gt;I755,X755,I755),4)</f>
        <v>0</v>
      </c>
    </row>
    <row r="756" spans="1:26" x14ac:dyDescent="0.2">
      <c r="A756" s="66"/>
      <c r="B756" s="66"/>
      <c r="C756" s="66"/>
      <c r="D756" s="144"/>
      <c r="E756" s="67"/>
      <c r="F756" s="67"/>
      <c r="G756" s="67"/>
      <c r="H756" s="67">
        <f>ROUND(+E756+G756,4)</f>
        <v>0</v>
      </c>
      <c r="I756" s="67"/>
      <c r="J756" s="67">
        <f>ROUND(+I756-H756,4)</f>
        <v>0</v>
      </c>
      <c r="K756" s="67">
        <f>ROUND(IF(F756="alluminio",0,I756*1.5%),4)</f>
        <v>0</v>
      </c>
      <c r="L756" s="67">
        <f>ROUND(IF(K756&lt;J756,K756,0),4)</f>
        <v>0</v>
      </c>
      <c r="M756" s="67">
        <f>ROUND(IF(J756&gt;K756,0,J756),4)</f>
        <v>0</v>
      </c>
      <c r="N756" s="67">
        <f>ROUND(+L756*D756,4)</f>
        <v>0</v>
      </c>
      <c r="O756" s="67">
        <f>ROUND(IF(F756="rame",0,+I756*3%),4)</f>
        <v>0</v>
      </c>
      <c r="P756" s="67">
        <f>ROUND(IF(O756&lt;J756,O756,0),4)</f>
        <v>0</v>
      </c>
      <c r="Q756" s="67">
        <f>ROUND(IF(J756&gt;O756,0,J756),4)</f>
        <v>0</v>
      </c>
      <c r="R756" s="67">
        <f>ROUND(+P756*D756,4)</f>
        <v>0</v>
      </c>
      <c r="S756" s="67">
        <f>ROUND(IF(K756=0,0,M756*D756),4)</f>
        <v>0</v>
      </c>
      <c r="T756" s="67">
        <f>ROUND(+IF(K756=0,Q756*D756,0),4)</f>
        <v>0</v>
      </c>
      <c r="U756" s="67">
        <f>ROUND(+N756+R756+S756+T756,4)</f>
        <v>0</v>
      </c>
      <c r="V756" s="67">
        <f>ROUND(IF(P756=0,0,I756-H756-O756)+IF(L756=0,0,I756-H756-K756),4)</f>
        <v>0</v>
      </c>
      <c r="W756" s="67">
        <f>ROUND(+(V756*60%)*D756,4)</f>
        <v>0</v>
      </c>
      <c r="X756" s="148">
        <f>ROUND(+U756+W756,4)</f>
        <v>0</v>
      </c>
      <c r="Y756" s="68"/>
      <c r="Z756" s="148">
        <f>ROUND(IF(X756&gt;I756,X756,I756),4)</f>
        <v>0</v>
      </c>
    </row>
    <row r="757" spans="1:26" x14ac:dyDescent="0.2">
      <c r="A757" s="66"/>
      <c r="B757" s="66"/>
      <c r="C757" s="66"/>
      <c r="D757" s="144"/>
      <c r="E757" s="67"/>
      <c r="F757" s="67"/>
      <c r="G757" s="67"/>
      <c r="H757" s="67">
        <f>ROUND(+E757+G757,4)</f>
        <v>0</v>
      </c>
      <c r="I757" s="67"/>
      <c r="J757" s="67">
        <f>ROUND(+I757-H757,4)</f>
        <v>0</v>
      </c>
      <c r="K757" s="67">
        <f>ROUND(IF(F757="alluminio",0,I757*1.5%),4)</f>
        <v>0</v>
      </c>
      <c r="L757" s="67">
        <f>ROUND(IF(K757&lt;J757,K757,0),4)</f>
        <v>0</v>
      </c>
      <c r="M757" s="67">
        <f>ROUND(IF(J757&gt;K757,0,J757),4)</f>
        <v>0</v>
      </c>
      <c r="N757" s="67">
        <f>ROUND(+L757*D757,4)</f>
        <v>0</v>
      </c>
      <c r="O757" s="67">
        <f>ROUND(IF(F757="rame",0,+I757*3%),4)</f>
        <v>0</v>
      </c>
      <c r="P757" s="67">
        <f>ROUND(IF(O757&lt;J757,O757,0),4)</f>
        <v>0</v>
      </c>
      <c r="Q757" s="67">
        <f>ROUND(IF(J757&gt;O757,0,J757),4)</f>
        <v>0</v>
      </c>
      <c r="R757" s="67">
        <f>ROUND(+P757*D757,4)</f>
        <v>0</v>
      </c>
      <c r="S757" s="67">
        <f>ROUND(IF(K757=0,0,M757*D757),4)</f>
        <v>0</v>
      </c>
      <c r="T757" s="67">
        <f>ROUND(+IF(K757=0,Q757*D757,0),4)</f>
        <v>0</v>
      </c>
      <c r="U757" s="67">
        <f>ROUND(+N757+R757+S757+T757,4)</f>
        <v>0</v>
      </c>
      <c r="V757" s="67">
        <f>ROUND(IF(P757=0,0,I757-H757-O757)+IF(L757=0,0,I757-H757-K757),4)</f>
        <v>0</v>
      </c>
      <c r="W757" s="67">
        <f>ROUND(+(V757*60%)*D757,4)</f>
        <v>0</v>
      </c>
      <c r="X757" s="148">
        <f>ROUND(+U757+W757,4)</f>
        <v>0</v>
      </c>
      <c r="Y757" s="68"/>
      <c r="Z757" s="148">
        <f>ROUND(IF(X757&gt;I757,X757,I757),4)</f>
        <v>0</v>
      </c>
    </row>
    <row r="758" spans="1:26" x14ac:dyDescent="0.2">
      <c r="A758" s="66"/>
      <c r="B758" s="66"/>
      <c r="C758" s="66"/>
      <c r="D758" s="144"/>
      <c r="E758" s="67"/>
      <c r="F758" s="67"/>
      <c r="G758" s="67"/>
      <c r="H758" s="67">
        <f>ROUND(+E758+G758,4)</f>
        <v>0</v>
      </c>
      <c r="I758" s="67"/>
      <c r="J758" s="67">
        <f>ROUND(+I758-H758,4)</f>
        <v>0</v>
      </c>
      <c r="K758" s="67">
        <f>ROUND(IF(F758="alluminio",0,I758*1.5%),4)</f>
        <v>0</v>
      </c>
      <c r="L758" s="67">
        <f>ROUND(IF(K758&lt;J758,K758,0),4)</f>
        <v>0</v>
      </c>
      <c r="M758" s="67">
        <f>ROUND(IF(J758&gt;K758,0,J758),4)</f>
        <v>0</v>
      </c>
      <c r="N758" s="67">
        <f>ROUND(+L758*D758,4)</f>
        <v>0</v>
      </c>
      <c r="O758" s="67">
        <f>ROUND(IF(F758="rame",0,+I758*3%),4)</f>
        <v>0</v>
      </c>
      <c r="P758" s="67">
        <f>ROUND(IF(O758&lt;J758,O758,0),4)</f>
        <v>0</v>
      </c>
      <c r="Q758" s="67">
        <f>ROUND(IF(J758&gt;O758,0,J758),4)</f>
        <v>0</v>
      </c>
      <c r="R758" s="67">
        <f>ROUND(+P758*D758,4)</f>
        <v>0</v>
      </c>
      <c r="S758" s="67">
        <f>ROUND(IF(K758=0,0,M758*D758),4)</f>
        <v>0</v>
      </c>
      <c r="T758" s="67">
        <f>ROUND(+IF(K758=0,Q758*D758,0),4)</f>
        <v>0</v>
      </c>
      <c r="U758" s="67">
        <f>ROUND(+N758+R758+S758+T758,4)</f>
        <v>0</v>
      </c>
      <c r="V758" s="67">
        <f>ROUND(IF(P758=0,0,I758-H758-O758)+IF(L758=0,0,I758-H758-K758),4)</f>
        <v>0</v>
      </c>
      <c r="W758" s="67">
        <f>ROUND(+(V758*60%)*D758,4)</f>
        <v>0</v>
      </c>
      <c r="X758" s="148">
        <f>ROUND(+U758+W758,4)</f>
        <v>0</v>
      </c>
      <c r="Y758" s="68"/>
      <c r="Z758" s="148">
        <f>ROUND(IF(X758&gt;I758,X758,I758),4)</f>
        <v>0</v>
      </c>
    </row>
    <row r="759" spans="1:26" x14ac:dyDescent="0.2">
      <c r="A759" s="66"/>
      <c r="B759" s="66"/>
      <c r="C759" s="66"/>
      <c r="D759" s="144"/>
      <c r="E759" s="67"/>
      <c r="F759" s="67"/>
      <c r="G759" s="67"/>
      <c r="H759" s="67">
        <f>ROUND(+E759+G759,4)</f>
        <v>0</v>
      </c>
      <c r="I759" s="67"/>
      <c r="J759" s="67">
        <f>ROUND(+I759-H759,4)</f>
        <v>0</v>
      </c>
      <c r="K759" s="67">
        <f>ROUND(IF(F759="alluminio",0,I759*1.5%),4)</f>
        <v>0</v>
      </c>
      <c r="L759" s="67">
        <f>ROUND(IF(K759&lt;J759,K759,0),4)</f>
        <v>0</v>
      </c>
      <c r="M759" s="67">
        <f>ROUND(IF(J759&gt;K759,0,J759),4)</f>
        <v>0</v>
      </c>
      <c r="N759" s="67">
        <f>ROUND(+L759*D759,4)</f>
        <v>0</v>
      </c>
      <c r="O759" s="67">
        <f>ROUND(IF(F759="rame",0,+I759*3%),4)</f>
        <v>0</v>
      </c>
      <c r="P759" s="67">
        <f>ROUND(IF(O759&lt;J759,O759,0),4)</f>
        <v>0</v>
      </c>
      <c r="Q759" s="67">
        <f>ROUND(IF(J759&gt;O759,0,J759),4)</f>
        <v>0</v>
      </c>
      <c r="R759" s="67">
        <f>ROUND(+P759*D759,4)</f>
        <v>0</v>
      </c>
      <c r="S759" s="67">
        <f>ROUND(IF(K759=0,0,M759*D759),4)</f>
        <v>0</v>
      </c>
      <c r="T759" s="67">
        <f>ROUND(+IF(K759=0,Q759*D759,0),4)</f>
        <v>0</v>
      </c>
      <c r="U759" s="67">
        <f>ROUND(+N759+R759+S759+T759,4)</f>
        <v>0</v>
      </c>
      <c r="V759" s="67">
        <f>ROUND(IF(P759=0,0,I759-H759-O759)+IF(L759=0,0,I759-H759-K759),4)</f>
        <v>0</v>
      </c>
      <c r="W759" s="67">
        <f>ROUND(+(V759*60%)*D759,4)</f>
        <v>0</v>
      </c>
      <c r="X759" s="148">
        <f>ROUND(+U759+W759,4)</f>
        <v>0</v>
      </c>
      <c r="Y759" s="68"/>
      <c r="Z759" s="148">
        <f>ROUND(IF(X759&gt;I759,X759,I759),4)</f>
        <v>0</v>
      </c>
    </row>
    <row r="760" spans="1:26" x14ac:dyDescent="0.2">
      <c r="A760" s="66"/>
      <c r="B760" s="66"/>
      <c r="C760" s="66"/>
      <c r="D760" s="144"/>
      <c r="E760" s="67"/>
      <c r="F760" s="67"/>
      <c r="G760" s="67"/>
      <c r="H760" s="67">
        <f>ROUND(+E760+G760,4)</f>
        <v>0</v>
      </c>
      <c r="I760" s="67"/>
      <c r="J760" s="67">
        <f>ROUND(+I760-H760,4)</f>
        <v>0</v>
      </c>
      <c r="K760" s="67">
        <f>ROUND(IF(F760="alluminio",0,I760*1.5%),4)</f>
        <v>0</v>
      </c>
      <c r="L760" s="67">
        <f>ROUND(IF(K760&lt;J760,K760,0),4)</f>
        <v>0</v>
      </c>
      <c r="M760" s="67">
        <f>ROUND(IF(J760&gt;K760,0,J760),4)</f>
        <v>0</v>
      </c>
      <c r="N760" s="67">
        <f>ROUND(+L760*D760,4)</f>
        <v>0</v>
      </c>
      <c r="O760" s="67">
        <f>ROUND(IF(F760="rame",0,+I760*3%),4)</f>
        <v>0</v>
      </c>
      <c r="P760" s="67">
        <f>ROUND(IF(O760&lt;J760,O760,0),4)</f>
        <v>0</v>
      </c>
      <c r="Q760" s="67">
        <f>ROUND(IF(J760&gt;O760,0,J760),4)</f>
        <v>0</v>
      </c>
      <c r="R760" s="67">
        <f>ROUND(+P760*D760,4)</f>
        <v>0</v>
      </c>
      <c r="S760" s="67">
        <f>ROUND(IF(K760=0,0,M760*D760),4)</f>
        <v>0</v>
      </c>
      <c r="T760" s="67">
        <f>ROUND(+IF(K760=0,Q760*D760,0),4)</f>
        <v>0</v>
      </c>
      <c r="U760" s="67">
        <f>ROUND(+N760+R760+S760+T760,4)</f>
        <v>0</v>
      </c>
      <c r="V760" s="67">
        <f>ROUND(IF(P760=0,0,I760-H760-O760)+IF(L760=0,0,I760-H760-K760),4)</f>
        <v>0</v>
      </c>
      <c r="W760" s="67">
        <f>ROUND(+(V760*60%)*D760,4)</f>
        <v>0</v>
      </c>
      <c r="X760" s="148">
        <f>ROUND(+U760+W760,4)</f>
        <v>0</v>
      </c>
      <c r="Y760" s="68"/>
      <c r="Z760" s="148">
        <f>ROUND(IF(X760&gt;I760,X760,I760),4)</f>
        <v>0</v>
      </c>
    </row>
    <row r="761" spans="1:26" x14ac:dyDescent="0.2">
      <c r="A761" s="66"/>
      <c r="B761" s="66"/>
      <c r="C761" s="66"/>
      <c r="D761" s="144"/>
      <c r="E761" s="67"/>
      <c r="F761" s="67"/>
      <c r="G761" s="67"/>
      <c r="H761" s="67">
        <f>ROUND(+E761+G761,4)</f>
        <v>0</v>
      </c>
      <c r="I761" s="67"/>
      <c r="J761" s="67">
        <f>ROUND(+I761-H761,4)</f>
        <v>0</v>
      </c>
      <c r="K761" s="67">
        <f>ROUND(IF(F761="alluminio",0,I761*1.5%),4)</f>
        <v>0</v>
      </c>
      <c r="L761" s="67">
        <f>ROUND(IF(K761&lt;J761,K761,0),4)</f>
        <v>0</v>
      </c>
      <c r="M761" s="67">
        <f>ROUND(IF(J761&gt;K761,0,J761),4)</f>
        <v>0</v>
      </c>
      <c r="N761" s="67">
        <f>ROUND(+L761*D761,4)</f>
        <v>0</v>
      </c>
      <c r="O761" s="67">
        <f>ROUND(IF(F761="rame",0,+I761*3%),4)</f>
        <v>0</v>
      </c>
      <c r="P761" s="67">
        <f>ROUND(IF(O761&lt;J761,O761,0),4)</f>
        <v>0</v>
      </c>
      <c r="Q761" s="67">
        <f>ROUND(IF(J761&gt;O761,0,J761),4)</f>
        <v>0</v>
      </c>
      <c r="R761" s="67">
        <f>ROUND(+P761*D761,4)</f>
        <v>0</v>
      </c>
      <c r="S761" s="67">
        <f>ROUND(IF(K761=0,0,M761*D761),4)</f>
        <v>0</v>
      </c>
      <c r="T761" s="67">
        <f>ROUND(+IF(K761=0,Q761*D761,0),4)</f>
        <v>0</v>
      </c>
      <c r="U761" s="67">
        <f>ROUND(+N761+R761+S761+T761,4)</f>
        <v>0</v>
      </c>
      <c r="V761" s="67">
        <f>ROUND(IF(P761=0,0,I761-H761-O761)+IF(L761=0,0,I761-H761-K761),4)</f>
        <v>0</v>
      </c>
      <c r="W761" s="67">
        <f>ROUND(+(V761*60%)*D761,4)</f>
        <v>0</v>
      </c>
      <c r="X761" s="148">
        <f>ROUND(+U761+W761,4)</f>
        <v>0</v>
      </c>
      <c r="Y761" s="68"/>
      <c r="Z761" s="148">
        <f>ROUND(IF(X761&gt;I761,X761,I761),4)</f>
        <v>0</v>
      </c>
    </row>
    <row r="762" spans="1:26" x14ac:dyDescent="0.2">
      <c r="A762" s="66"/>
      <c r="B762" s="66"/>
      <c r="C762" s="66"/>
      <c r="D762" s="144"/>
      <c r="E762" s="67"/>
      <c r="F762" s="67"/>
      <c r="G762" s="67"/>
      <c r="H762" s="67">
        <f>ROUND(+E762+G762,4)</f>
        <v>0</v>
      </c>
      <c r="I762" s="67"/>
      <c r="J762" s="67">
        <f>ROUND(+I762-H762,4)</f>
        <v>0</v>
      </c>
      <c r="K762" s="67">
        <f>ROUND(IF(F762="alluminio",0,I762*1.5%),4)</f>
        <v>0</v>
      </c>
      <c r="L762" s="67">
        <f>ROUND(IF(K762&lt;J762,K762,0),4)</f>
        <v>0</v>
      </c>
      <c r="M762" s="67">
        <f>ROUND(IF(J762&gt;K762,0,J762),4)</f>
        <v>0</v>
      </c>
      <c r="N762" s="67">
        <f>ROUND(+L762*D762,4)</f>
        <v>0</v>
      </c>
      <c r="O762" s="67">
        <f>ROUND(IF(F762="rame",0,+I762*3%),4)</f>
        <v>0</v>
      </c>
      <c r="P762" s="67">
        <f>ROUND(IF(O762&lt;J762,O762,0),4)</f>
        <v>0</v>
      </c>
      <c r="Q762" s="67">
        <f>ROUND(IF(J762&gt;O762,0,J762),4)</f>
        <v>0</v>
      </c>
      <c r="R762" s="67">
        <f>ROUND(+P762*D762,4)</f>
        <v>0</v>
      </c>
      <c r="S762" s="67">
        <f>ROUND(IF(K762=0,0,M762*D762),4)</f>
        <v>0</v>
      </c>
      <c r="T762" s="67">
        <f>ROUND(+IF(K762=0,Q762*D762,0),4)</f>
        <v>0</v>
      </c>
      <c r="U762" s="67">
        <f>ROUND(+N762+R762+S762+T762,4)</f>
        <v>0</v>
      </c>
      <c r="V762" s="67">
        <f>ROUND(IF(P762=0,0,I762-H762-O762)+IF(L762=0,0,I762-H762-K762),4)</f>
        <v>0</v>
      </c>
      <c r="W762" s="67">
        <f>ROUND(+(V762*60%)*D762,4)</f>
        <v>0</v>
      </c>
      <c r="X762" s="148">
        <f>ROUND(+U762+W762,4)</f>
        <v>0</v>
      </c>
      <c r="Y762" s="68"/>
      <c r="Z762" s="148">
        <f>ROUND(IF(X762&gt;I762,X762,I762),4)</f>
        <v>0</v>
      </c>
    </row>
    <row r="763" spans="1:26" x14ac:dyDescent="0.2">
      <c r="A763" s="66"/>
      <c r="B763" s="66"/>
      <c r="C763" s="66"/>
      <c r="D763" s="144"/>
      <c r="E763" s="67"/>
      <c r="F763" s="67"/>
      <c r="G763" s="67"/>
      <c r="H763" s="67">
        <f>ROUND(+E763+G763,4)</f>
        <v>0</v>
      </c>
      <c r="I763" s="67"/>
      <c r="J763" s="67">
        <f>ROUND(+I763-H763,4)</f>
        <v>0</v>
      </c>
      <c r="K763" s="67">
        <f>ROUND(IF(F763="alluminio",0,I763*1.5%),4)</f>
        <v>0</v>
      </c>
      <c r="L763" s="67">
        <f>ROUND(IF(K763&lt;J763,K763,0),4)</f>
        <v>0</v>
      </c>
      <c r="M763" s="67">
        <f>ROUND(IF(J763&gt;K763,0,J763),4)</f>
        <v>0</v>
      </c>
      <c r="N763" s="67">
        <f>ROUND(+L763*D763,4)</f>
        <v>0</v>
      </c>
      <c r="O763" s="67">
        <f>ROUND(IF(F763="rame",0,+I763*3%),4)</f>
        <v>0</v>
      </c>
      <c r="P763" s="67">
        <f>ROUND(IF(O763&lt;J763,O763,0),4)</f>
        <v>0</v>
      </c>
      <c r="Q763" s="67">
        <f>ROUND(IF(J763&gt;O763,0,J763),4)</f>
        <v>0</v>
      </c>
      <c r="R763" s="67">
        <f>ROUND(+P763*D763,4)</f>
        <v>0</v>
      </c>
      <c r="S763" s="67">
        <f>ROUND(IF(K763=0,0,M763*D763),4)</f>
        <v>0</v>
      </c>
      <c r="T763" s="67">
        <f>ROUND(+IF(K763=0,Q763*D763,0),4)</f>
        <v>0</v>
      </c>
      <c r="U763" s="67">
        <f>ROUND(+N763+R763+S763+T763,4)</f>
        <v>0</v>
      </c>
      <c r="V763" s="67">
        <f>ROUND(IF(P763=0,0,I763-H763-O763)+IF(L763=0,0,I763-H763-K763),4)</f>
        <v>0</v>
      </c>
      <c r="W763" s="67">
        <f>ROUND(+(V763*60%)*D763,4)</f>
        <v>0</v>
      </c>
      <c r="X763" s="148">
        <f>ROUND(+U763+W763,4)</f>
        <v>0</v>
      </c>
      <c r="Y763" s="68"/>
      <c r="Z763" s="148">
        <f>ROUND(IF(X763&gt;I763,X763,I763),4)</f>
        <v>0</v>
      </c>
    </row>
    <row r="764" spans="1:26" x14ac:dyDescent="0.2">
      <c r="A764" s="66"/>
      <c r="B764" s="66"/>
      <c r="C764" s="66"/>
      <c r="D764" s="144"/>
      <c r="E764" s="67"/>
      <c r="F764" s="67"/>
      <c r="G764" s="67"/>
      <c r="H764" s="67">
        <f>ROUND(+E764+G764,4)</f>
        <v>0</v>
      </c>
      <c r="I764" s="67"/>
      <c r="J764" s="67">
        <f>ROUND(+I764-H764,4)</f>
        <v>0</v>
      </c>
      <c r="K764" s="67">
        <f>ROUND(IF(F764="alluminio",0,I764*1.5%),4)</f>
        <v>0</v>
      </c>
      <c r="L764" s="67">
        <f>ROUND(IF(K764&lt;J764,K764,0),4)</f>
        <v>0</v>
      </c>
      <c r="M764" s="67">
        <f>ROUND(IF(J764&gt;K764,0,J764),4)</f>
        <v>0</v>
      </c>
      <c r="N764" s="67">
        <f>ROUND(+L764*D764,4)</f>
        <v>0</v>
      </c>
      <c r="O764" s="67">
        <f>ROUND(IF(F764="rame",0,+I764*3%),4)</f>
        <v>0</v>
      </c>
      <c r="P764" s="67">
        <f>ROUND(IF(O764&lt;J764,O764,0),4)</f>
        <v>0</v>
      </c>
      <c r="Q764" s="67">
        <f>ROUND(IF(J764&gt;O764,0,J764),4)</f>
        <v>0</v>
      </c>
      <c r="R764" s="67">
        <f>ROUND(+P764*D764,4)</f>
        <v>0</v>
      </c>
      <c r="S764" s="67">
        <f>ROUND(IF(K764=0,0,M764*D764),4)</f>
        <v>0</v>
      </c>
      <c r="T764" s="67">
        <f>ROUND(+IF(K764=0,Q764*D764,0),4)</f>
        <v>0</v>
      </c>
      <c r="U764" s="67">
        <f>ROUND(+N764+R764+S764+T764,4)</f>
        <v>0</v>
      </c>
      <c r="V764" s="67">
        <f>ROUND(IF(P764=0,0,I764-H764-O764)+IF(L764=0,0,I764-H764-K764),4)</f>
        <v>0</v>
      </c>
      <c r="W764" s="67">
        <f>ROUND(+(V764*60%)*D764,4)</f>
        <v>0</v>
      </c>
      <c r="X764" s="148">
        <f>ROUND(+U764+W764,4)</f>
        <v>0</v>
      </c>
      <c r="Y764" s="68"/>
      <c r="Z764" s="148">
        <f>ROUND(IF(X764&gt;I764,X764,I764),4)</f>
        <v>0</v>
      </c>
    </row>
    <row r="765" spans="1:26" x14ac:dyDescent="0.2">
      <c r="A765" s="66"/>
      <c r="B765" s="66"/>
      <c r="C765" s="66"/>
      <c r="D765" s="144"/>
      <c r="E765" s="67"/>
      <c r="F765" s="67"/>
      <c r="G765" s="67"/>
      <c r="H765" s="67">
        <f>ROUND(+E765+G765,4)</f>
        <v>0</v>
      </c>
      <c r="I765" s="67"/>
      <c r="J765" s="67">
        <f>ROUND(+I765-H765,4)</f>
        <v>0</v>
      </c>
      <c r="K765" s="67">
        <f>ROUND(IF(F765="alluminio",0,I765*1.5%),4)</f>
        <v>0</v>
      </c>
      <c r="L765" s="67">
        <f>ROUND(IF(K765&lt;J765,K765,0),4)</f>
        <v>0</v>
      </c>
      <c r="M765" s="67">
        <f>ROUND(IF(J765&gt;K765,0,J765),4)</f>
        <v>0</v>
      </c>
      <c r="N765" s="67">
        <f>ROUND(+L765*D765,4)</f>
        <v>0</v>
      </c>
      <c r="O765" s="67">
        <f>ROUND(IF(F765="rame",0,+I765*3%),4)</f>
        <v>0</v>
      </c>
      <c r="P765" s="67">
        <f>ROUND(IF(O765&lt;J765,O765,0),4)</f>
        <v>0</v>
      </c>
      <c r="Q765" s="67">
        <f>ROUND(IF(J765&gt;O765,0,J765),4)</f>
        <v>0</v>
      </c>
      <c r="R765" s="67">
        <f>ROUND(+P765*D765,4)</f>
        <v>0</v>
      </c>
      <c r="S765" s="67">
        <f>ROUND(IF(K765=0,0,M765*D765),4)</f>
        <v>0</v>
      </c>
      <c r="T765" s="67">
        <f>ROUND(+IF(K765=0,Q765*D765,0),4)</f>
        <v>0</v>
      </c>
      <c r="U765" s="67">
        <f>ROUND(+N765+R765+S765+T765,4)</f>
        <v>0</v>
      </c>
      <c r="V765" s="67">
        <f>ROUND(IF(P765=0,0,I765-H765-O765)+IF(L765=0,0,I765-H765-K765),4)</f>
        <v>0</v>
      </c>
      <c r="W765" s="67">
        <f>ROUND(+(V765*60%)*D765,4)</f>
        <v>0</v>
      </c>
      <c r="X765" s="148">
        <f>ROUND(+U765+W765,4)</f>
        <v>0</v>
      </c>
      <c r="Y765" s="68"/>
      <c r="Z765" s="148">
        <f>ROUND(IF(X765&gt;I765,X765,I765),4)</f>
        <v>0</v>
      </c>
    </row>
    <row r="766" spans="1:26" x14ac:dyDescent="0.2">
      <c r="A766" s="66"/>
      <c r="B766" s="66"/>
      <c r="C766" s="66"/>
      <c r="D766" s="144"/>
      <c r="E766" s="67"/>
      <c r="F766" s="67"/>
      <c r="G766" s="67"/>
      <c r="H766" s="67">
        <f>ROUND(+E766+G766,4)</f>
        <v>0</v>
      </c>
      <c r="I766" s="67"/>
      <c r="J766" s="67">
        <f>ROUND(+I766-H766,4)</f>
        <v>0</v>
      </c>
      <c r="K766" s="67">
        <f>ROUND(IF(F766="alluminio",0,I766*1.5%),4)</f>
        <v>0</v>
      </c>
      <c r="L766" s="67">
        <f>ROUND(IF(K766&lt;J766,K766,0),4)</f>
        <v>0</v>
      </c>
      <c r="M766" s="67">
        <f>ROUND(IF(J766&gt;K766,0,J766),4)</f>
        <v>0</v>
      </c>
      <c r="N766" s="67">
        <f>ROUND(+L766*D766,4)</f>
        <v>0</v>
      </c>
      <c r="O766" s="67">
        <f>ROUND(IF(F766="rame",0,+I766*3%),4)</f>
        <v>0</v>
      </c>
      <c r="P766" s="67">
        <f>ROUND(IF(O766&lt;J766,O766,0),4)</f>
        <v>0</v>
      </c>
      <c r="Q766" s="67">
        <f>ROUND(IF(J766&gt;O766,0,J766),4)</f>
        <v>0</v>
      </c>
      <c r="R766" s="67">
        <f>ROUND(+P766*D766,4)</f>
        <v>0</v>
      </c>
      <c r="S766" s="67">
        <f>ROUND(IF(K766=0,0,M766*D766),4)</f>
        <v>0</v>
      </c>
      <c r="T766" s="67">
        <f>ROUND(+IF(K766=0,Q766*D766,0),4)</f>
        <v>0</v>
      </c>
      <c r="U766" s="67">
        <f>ROUND(+N766+R766+S766+T766,4)</f>
        <v>0</v>
      </c>
      <c r="V766" s="67">
        <f>ROUND(IF(P766=0,0,I766-H766-O766)+IF(L766=0,0,I766-H766-K766),4)</f>
        <v>0</v>
      </c>
      <c r="W766" s="67">
        <f>ROUND(+(V766*60%)*D766,4)</f>
        <v>0</v>
      </c>
      <c r="X766" s="148">
        <f>ROUND(+U766+W766,4)</f>
        <v>0</v>
      </c>
      <c r="Y766" s="68"/>
      <c r="Z766" s="148">
        <f>ROUND(IF(X766&gt;I766,X766,I766),4)</f>
        <v>0</v>
      </c>
    </row>
    <row r="767" spans="1:26" x14ac:dyDescent="0.2">
      <c r="A767" s="66"/>
      <c r="B767" s="66"/>
      <c r="C767" s="66"/>
      <c r="D767" s="144"/>
      <c r="E767" s="67"/>
      <c r="F767" s="67"/>
      <c r="G767" s="67"/>
      <c r="H767" s="67">
        <f>ROUND(+E767+G767,4)</f>
        <v>0</v>
      </c>
      <c r="I767" s="67"/>
      <c r="J767" s="67">
        <f>ROUND(+I767-H767,4)</f>
        <v>0</v>
      </c>
      <c r="K767" s="67">
        <f>ROUND(IF(F767="alluminio",0,I767*1.5%),4)</f>
        <v>0</v>
      </c>
      <c r="L767" s="67">
        <f>ROUND(IF(K767&lt;J767,K767,0),4)</f>
        <v>0</v>
      </c>
      <c r="M767" s="67">
        <f>ROUND(IF(J767&gt;K767,0,J767),4)</f>
        <v>0</v>
      </c>
      <c r="N767" s="67">
        <f>ROUND(+L767*D767,4)</f>
        <v>0</v>
      </c>
      <c r="O767" s="67">
        <f>ROUND(IF(F767="rame",0,+I767*3%),4)</f>
        <v>0</v>
      </c>
      <c r="P767" s="67">
        <f>ROUND(IF(O767&lt;J767,O767,0),4)</f>
        <v>0</v>
      </c>
      <c r="Q767" s="67">
        <f>ROUND(IF(J767&gt;O767,0,J767),4)</f>
        <v>0</v>
      </c>
      <c r="R767" s="67">
        <f>ROUND(+P767*D767,4)</f>
        <v>0</v>
      </c>
      <c r="S767" s="67">
        <f>ROUND(IF(K767=0,0,M767*D767),4)</f>
        <v>0</v>
      </c>
      <c r="T767" s="67">
        <f>ROUND(+IF(K767=0,Q767*D767,0),4)</f>
        <v>0</v>
      </c>
      <c r="U767" s="67">
        <f>ROUND(+N767+R767+S767+T767,4)</f>
        <v>0</v>
      </c>
      <c r="V767" s="67">
        <f>ROUND(IF(P767=0,0,I767-H767-O767)+IF(L767=0,0,I767-H767-K767),4)</f>
        <v>0</v>
      </c>
      <c r="W767" s="67">
        <f>ROUND(+(V767*60%)*D767,4)</f>
        <v>0</v>
      </c>
      <c r="X767" s="148">
        <f>ROUND(+U767+W767,4)</f>
        <v>0</v>
      </c>
      <c r="Y767" s="68"/>
      <c r="Z767" s="148">
        <f>ROUND(IF(X767&gt;I767,X767,I767),4)</f>
        <v>0</v>
      </c>
    </row>
    <row r="768" spans="1:26" x14ac:dyDescent="0.2">
      <c r="A768" s="66"/>
      <c r="B768" s="66"/>
      <c r="C768" s="66"/>
      <c r="D768" s="144"/>
      <c r="E768" s="67"/>
      <c r="F768" s="67"/>
      <c r="G768" s="67"/>
      <c r="H768" s="67">
        <f>ROUND(+E768+G768,4)</f>
        <v>0</v>
      </c>
      <c r="I768" s="67"/>
      <c r="J768" s="67">
        <f>ROUND(+I768-H768,4)</f>
        <v>0</v>
      </c>
      <c r="K768" s="67">
        <f>ROUND(IF(F768="alluminio",0,I768*1.5%),4)</f>
        <v>0</v>
      </c>
      <c r="L768" s="67">
        <f>ROUND(IF(K768&lt;J768,K768,0),4)</f>
        <v>0</v>
      </c>
      <c r="M768" s="67">
        <f>ROUND(IF(J768&gt;K768,0,J768),4)</f>
        <v>0</v>
      </c>
      <c r="N768" s="67">
        <f>ROUND(+L768*D768,4)</f>
        <v>0</v>
      </c>
      <c r="O768" s="67">
        <f>ROUND(IF(F768="rame",0,+I768*3%),4)</f>
        <v>0</v>
      </c>
      <c r="P768" s="67">
        <f>ROUND(IF(O768&lt;J768,O768,0),4)</f>
        <v>0</v>
      </c>
      <c r="Q768" s="67">
        <f>ROUND(IF(J768&gt;O768,0,J768),4)</f>
        <v>0</v>
      </c>
      <c r="R768" s="67">
        <f>ROUND(+P768*D768,4)</f>
        <v>0</v>
      </c>
      <c r="S768" s="67">
        <f>ROUND(IF(K768=0,0,M768*D768),4)</f>
        <v>0</v>
      </c>
      <c r="T768" s="67">
        <f>ROUND(+IF(K768=0,Q768*D768,0),4)</f>
        <v>0</v>
      </c>
      <c r="U768" s="67">
        <f>ROUND(+N768+R768+S768+T768,4)</f>
        <v>0</v>
      </c>
      <c r="V768" s="67">
        <f>ROUND(IF(P768=0,0,I768-H768-O768)+IF(L768=0,0,I768-H768-K768),4)</f>
        <v>0</v>
      </c>
      <c r="W768" s="67">
        <f>ROUND(+(V768*60%)*D768,4)</f>
        <v>0</v>
      </c>
      <c r="X768" s="148">
        <f>ROUND(+U768+W768,4)</f>
        <v>0</v>
      </c>
      <c r="Y768" s="68"/>
      <c r="Z768" s="148">
        <f>ROUND(IF(X768&gt;I768,X768,I768),4)</f>
        <v>0</v>
      </c>
    </row>
    <row r="769" spans="1:26" x14ac:dyDescent="0.2">
      <c r="A769" s="66"/>
      <c r="B769" s="66"/>
      <c r="C769" s="66"/>
      <c r="D769" s="144"/>
      <c r="E769" s="67"/>
      <c r="F769" s="67"/>
      <c r="G769" s="67"/>
      <c r="H769" s="67">
        <f>ROUND(+E769+G769,4)</f>
        <v>0</v>
      </c>
      <c r="I769" s="67"/>
      <c r="J769" s="67">
        <f>ROUND(+I769-H769,4)</f>
        <v>0</v>
      </c>
      <c r="K769" s="67">
        <f>ROUND(IF(F769="alluminio",0,I769*1.5%),4)</f>
        <v>0</v>
      </c>
      <c r="L769" s="67">
        <f>ROUND(IF(K769&lt;J769,K769,0),4)</f>
        <v>0</v>
      </c>
      <c r="M769" s="67">
        <f>ROUND(IF(J769&gt;K769,0,J769),4)</f>
        <v>0</v>
      </c>
      <c r="N769" s="67">
        <f>ROUND(+L769*D769,4)</f>
        <v>0</v>
      </c>
      <c r="O769" s="67">
        <f>ROUND(IF(F769="rame",0,+I769*3%),4)</f>
        <v>0</v>
      </c>
      <c r="P769" s="67">
        <f>ROUND(IF(O769&lt;J769,O769,0),4)</f>
        <v>0</v>
      </c>
      <c r="Q769" s="67">
        <f>ROUND(IF(J769&gt;O769,0,J769),4)</f>
        <v>0</v>
      </c>
      <c r="R769" s="67">
        <f>ROUND(+P769*D769,4)</f>
        <v>0</v>
      </c>
      <c r="S769" s="67">
        <f>ROUND(IF(K769=0,0,M769*D769),4)</f>
        <v>0</v>
      </c>
      <c r="T769" s="67">
        <f>ROUND(+IF(K769=0,Q769*D769,0),4)</f>
        <v>0</v>
      </c>
      <c r="U769" s="67">
        <f>ROUND(+N769+R769+S769+T769,4)</f>
        <v>0</v>
      </c>
      <c r="V769" s="67">
        <f>ROUND(IF(P769=0,0,I769-H769-O769)+IF(L769=0,0,I769-H769-K769),4)</f>
        <v>0</v>
      </c>
      <c r="W769" s="67">
        <f>ROUND(+(V769*60%)*D769,4)</f>
        <v>0</v>
      </c>
      <c r="X769" s="148">
        <f>ROUND(+U769+W769,4)</f>
        <v>0</v>
      </c>
      <c r="Y769" s="68"/>
      <c r="Z769" s="148">
        <f>ROUND(IF(X769&gt;I769,X769,I769),4)</f>
        <v>0</v>
      </c>
    </row>
    <row r="770" spans="1:26" x14ac:dyDescent="0.2">
      <c r="A770" s="66"/>
      <c r="B770" s="66"/>
      <c r="C770" s="66"/>
      <c r="D770" s="144"/>
      <c r="E770" s="67"/>
      <c r="F770" s="67"/>
      <c r="G770" s="67"/>
      <c r="H770" s="67">
        <f>ROUND(+E770+G770,4)</f>
        <v>0</v>
      </c>
      <c r="I770" s="67"/>
      <c r="J770" s="67">
        <f>ROUND(+I770-H770,4)</f>
        <v>0</v>
      </c>
      <c r="K770" s="67">
        <f>ROUND(IF(F770="alluminio",0,I770*1.5%),4)</f>
        <v>0</v>
      </c>
      <c r="L770" s="67">
        <f>ROUND(IF(K770&lt;J770,K770,0),4)</f>
        <v>0</v>
      </c>
      <c r="M770" s="67">
        <f>ROUND(IF(J770&gt;K770,0,J770),4)</f>
        <v>0</v>
      </c>
      <c r="N770" s="67">
        <f>ROUND(+L770*D770,4)</f>
        <v>0</v>
      </c>
      <c r="O770" s="67">
        <f>ROUND(IF(F770="rame",0,+I770*3%),4)</f>
        <v>0</v>
      </c>
      <c r="P770" s="67">
        <f>ROUND(IF(O770&lt;J770,O770,0),4)</f>
        <v>0</v>
      </c>
      <c r="Q770" s="67">
        <f>ROUND(IF(J770&gt;O770,0,J770),4)</f>
        <v>0</v>
      </c>
      <c r="R770" s="67">
        <f>ROUND(+P770*D770,4)</f>
        <v>0</v>
      </c>
      <c r="S770" s="67">
        <f>ROUND(IF(K770=0,0,M770*D770),4)</f>
        <v>0</v>
      </c>
      <c r="T770" s="67">
        <f>ROUND(+IF(K770=0,Q770*D770,0),4)</f>
        <v>0</v>
      </c>
      <c r="U770" s="67">
        <f>ROUND(+N770+R770+S770+T770,4)</f>
        <v>0</v>
      </c>
      <c r="V770" s="67">
        <f>ROUND(IF(P770=0,0,I770-H770-O770)+IF(L770=0,0,I770-H770-K770),4)</f>
        <v>0</v>
      </c>
      <c r="W770" s="67">
        <f>ROUND(+(V770*60%)*D770,4)</f>
        <v>0</v>
      </c>
      <c r="X770" s="148">
        <f>ROUND(+U770+W770,4)</f>
        <v>0</v>
      </c>
      <c r="Y770" s="68"/>
      <c r="Z770" s="148">
        <f>ROUND(IF(X770&gt;I770,X770,I770),4)</f>
        <v>0</v>
      </c>
    </row>
    <row r="771" spans="1:26" x14ac:dyDescent="0.2">
      <c r="A771" s="66"/>
      <c r="B771" s="66"/>
      <c r="C771" s="66"/>
      <c r="D771" s="144"/>
      <c r="E771" s="67"/>
      <c r="F771" s="67"/>
      <c r="G771" s="67"/>
      <c r="H771" s="67">
        <f>ROUND(+E771+G771,4)</f>
        <v>0</v>
      </c>
      <c r="I771" s="67"/>
      <c r="J771" s="67">
        <f>ROUND(+I771-H771,4)</f>
        <v>0</v>
      </c>
      <c r="K771" s="67">
        <f>ROUND(IF(F771="alluminio",0,I771*1.5%),4)</f>
        <v>0</v>
      </c>
      <c r="L771" s="67">
        <f>ROUND(IF(K771&lt;J771,K771,0),4)</f>
        <v>0</v>
      </c>
      <c r="M771" s="67">
        <f>ROUND(IF(J771&gt;K771,0,J771),4)</f>
        <v>0</v>
      </c>
      <c r="N771" s="67">
        <f>ROUND(+L771*D771,4)</f>
        <v>0</v>
      </c>
      <c r="O771" s="67">
        <f>ROUND(IF(F771="rame",0,+I771*3%),4)</f>
        <v>0</v>
      </c>
      <c r="P771" s="67">
        <f>ROUND(IF(O771&lt;J771,O771,0),4)</f>
        <v>0</v>
      </c>
      <c r="Q771" s="67">
        <f>ROUND(IF(J771&gt;O771,0,J771),4)</f>
        <v>0</v>
      </c>
      <c r="R771" s="67">
        <f>ROUND(+P771*D771,4)</f>
        <v>0</v>
      </c>
      <c r="S771" s="67">
        <f>ROUND(IF(K771=0,0,M771*D771),4)</f>
        <v>0</v>
      </c>
      <c r="T771" s="67">
        <f>ROUND(+IF(K771=0,Q771*D771,0),4)</f>
        <v>0</v>
      </c>
      <c r="U771" s="67">
        <f>ROUND(+N771+R771+S771+T771,4)</f>
        <v>0</v>
      </c>
      <c r="V771" s="67">
        <f>ROUND(IF(P771=0,0,I771-H771-O771)+IF(L771=0,0,I771-H771-K771),4)</f>
        <v>0</v>
      </c>
      <c r="W771" s="67">
        <f>ROUND(+(V771*60%)*D771,4)</f>
        <v>0</v>
      </c>
      <c r="X771" s="148">
        <f>ROUND(+U771+W771,4)</f>
        <v>0</v>
      </c>
      <c r="Y771" s="68"/>
      <c r="Z771" s="148">
        <f>ROUND(IF(X771&gt;I771,X771,I771),4)</f>
        <v>0</v>
      </c>
    </row>
    <row r="772" spans="1:26" x14ac:dyDescent="0.2">
      <c r="A772" s="66"/>
      <c r="B772" s="66"/>
      <c r="C772" s="66"/>
      <c r="D772" s="144"/>
      <c r="E772" s="67"/>
      <c r="F772" s="67"/>
      <c r="G772" s="67"/>
      <c r="H772" s="67">
        <f>ROUND(+E772+G772,4)</f>
        <v>0</v>
      </c>
      <c r="I772" s="67"/>
      <c r="J772" s="67">
        <f>ROUND(+I772-H772,4)</f>
        <v>0</v>
      </c>
      <c r="K772" s="67">
        <f>ROUND(IF(F772="alluminio",0,I772*1.5%),4)</f>
        <v>0</v>
      </c>
      <c r="L772" s="67">
        <f>ROUND(IF(K772&lt;J772,K772,0),4)</f>
        <v>0</v>
      </c>
      <c r="M772" s="67">
        <f>ROUND(IF(J772&gt;K772,0,J772),4)</f>
        <v>0</v>
      </c>
      <c r="N772" s="67">
        <f>ROUND(+L772*D772,4)</f>
        <v>0</v>
      </c>
      <c r="O772" s="67">
        <f>ROUND(IF(F772="rame",0,+I772*3%),4)</f>
        <v>0</v>
      </c>
      <c r="P772" s="67">
        <f>ROUND(IF(O772&lt;J772,O772,0),4)</f>
        <v>0</v>
      </c>
      <c r="Q772" s="67">
        <f>ROUND(IF(J772&gt;O772,0,J772),4)</f>
        <v>0</v>
      </c>
      <c r="R772" s="67">
        <f>ROUND(+P772*D772,4)</f>
        <v>0</v>
      </c>
      <c r="S772" s="67">
        <f>ROUND(IF(K772=0,0,M772*D772),4)</f>
        <v>0</v>
      </c>
      <c r="T772" s="67">
        <f>ROUND(+IF(K772=0,Q772*D772,0),4)</f>
        <v>0</v>
      </c>
      <c r="U772" s="67">
        <f>ROUND(+N772+R772+S772+T772,4)</f>
        <v>0</v>
      </c>
      <c r="V772" s="67">
        <f>ROUND(IF(P772=0,0,I772-H772-O772)+IF(L772=0,0,I772-H772-K772),4)</f>
        <v>0</v>
      </c>
      <c r="W772" s="67">
        <f>ROUND(+(V772*60%)*D772,4)</f>
        <v>0</v>
      </c>
      <c r="X772" s="148">
        <f>ROUND(+U772+W772,4)</f>
        <v>0</v>
      </c>
      <c r="Y772" s="68"/>
      <c r="Z772" s="148">
        <f>ROUND(IF(X772&gt;I772,X772,I772),4)</f>
        <v>0</v>
      </c>
    </row>
    <row r="773" spans="1:26" x14ac:dyDescent="0.2">
      <c r="A773" s="66"/>
      <c r="B773" s="66"/>
      <c r="C773" s="66"/>
      <c r="D773" s="144"/>
      <c r="E773" s="67"/>
      <c r="F773" s="67"/>
      <c r="G773" s="67"/>
      <c r="H773" s="67">
        <f>ROUND(+E773+G773,4)</f>
        <v>0</v>
      </c>
      <c r="I773" s="67"/>
      <c r="J773" s="67">
        <f>ROUND(+I773-H773,4)</f>
        <v>0</v>
      </c>
      <c r="K773" s="67">
        <f>ROUND(IF(F773="alluminio",0,I773*1.5%),4)</f>
        <v>0</v>
      </c>
      <c r="L773" s="67">
        <f>ROUND(IF(K773&lt;J773,K773,0),4)</f>
        <v>0</v>
      </c>
      <c r="M773" s="67">
        <f>ROUND(IF(J773&gt;K773,0,J773),4)</f>
        <v>0</v>
      </c>
      <c r="N773" s="67">
        <f>ROUND(+L773*D773,4)</f>
        <v>0</v>
      </c>
      <c r="O773" s="67">
        <f>ROUND(IF(F773="rame",0,+I773*3%),4)</f>
        <v>0</v>
      </c>
      <c r="P773" s="67">
        <f>ROUND(IF(O773&lt;J773,O773,0),4)</f>
        <v>0</v>
      </c>
      <c r="Q773" s="67">
        <f>ROUND(IF(J773&gt;O773,0,J773),4)</f>
        <v>0</v>
      </c>
      <c r="R773" s="67">
        <f>ROUND(+P773*D773,4)</f>
        <v>0</v>
      </c>
      <c r="S773" s="67">
        <f>ROUND(IF(K773=0,0,M773*D773),4)</f>
        <v>0</v>
      </c>
      <c r="T773" s="67">
        <f>ROUND(+IF(K773=0,Q773*D773,0),4)</f>
        <v>0</v>
      </c>
      <c r="U773" s="67">
        <f>ROUND(+N773+R773+S773+T773,4)</f>
        <v>0</v>
      </c>
      <c r="V773" s="67">
        <f>ROUND(IF(P773=0,0,I773-H773-O773)+IF(L773=0,0,I773-H773-K773),4)</f>
        <v>0</v>
      </c>
      <c r="W773" s="67">
        <f>ROUND(+(V773*60%)*D773,4)</f>
        <v>0</v>
      </c>
      <c r="X773" s="148">
        <f>ROUND(+U773+W773,4)</f>
        <v>0</v>
      </c>
      <c r="Y773" s="68"/>
      <c r="Z773" s="148">
        <f>ROUND(IF(X773&gt;I773,X773,I773),4)</f>
        <v>0</v>
      </c>
    </row>
    <row r="774" spans="1:26" x14ac:dyDescent="0.2">
      <c r="A774" s="66"/>
      <c r="B774" s="66"/>
      <c r="C774" s="66"/>
      <c r="D774" s="144"/>
      <c r="E774" s="67"/>
      <c r="F774" s="67"/>
      <c r="G774" s="67"/>
      <c r="H774" s="67">
        <f>ROUND(+E774+G774,4)</f>
        <v>0</v>
      </c>
      <c r="I774" s="67"/>
      <c r="J774" s="67">
        <f>ROUND(+I774-H774,4)</f>
        <v>0</v>
      </c>
      <c r="K774" s="67">
        <f>ROUND(IF(F774="alluminio",0,I774*1.5%),4)</f>
        <v>0</v>
      </c>
      <c r="L774" s="67">
        <f>ROUND(IF(K774&lt;J774,K774,0),4)</f>
        <v>0</v>
      </c>
      <c r="M774" s="67">
        <f>ROUND(IF(J774&gt;K774,0,J774),4)</f>
        <v>0</v>
      </c>
      <c r="N774" s="67">
        <f>ROUND(+L774*D774,4)</f>
        <v>0</v>
      </c>
      <c r="O774" s="67">
        <f>ROUND(IF(F774="rame",0,+I774*3%),4)</f>
        <v>0</v>
      </c>
      <c r="P774" s="67">
        <f>ROUND(IF(O774&lt;J774,O774,0),4)</f>
        <v>0</v>
      </c>
      <c r="Q774" s="67">
        <f>ROUND(IF(J774&gt;O774,0,J774),4)</f>
        <v>0</v>
      </c>
      <c r="R774" s="67">
        <f>ROUND(+P774*D774,4)</f>
        <v>0</v>
      </c>
      <c r="S774" s="67">
        <f>ROUND(IF(K774=0,0,M774*D774),4)</f>
        <v>0</v>
      </c>
      <c r="T774" s="67">
        <f>ROUND(+IF(K774=0,Q774*D774,0),4)</f>
        <v>0</v>
      </c>
      <c r="U774" s="67">
        <f>ROUND(+N774+R774+S774+T774,4)</f>
        <v>0</v>
      </c>
      <c r="V774" s="67">
        <f>ROUND(IF(P774=0,0,I774-H774-O774)+IF(L774=0,0,I774-H774-K774),4)</f>
        <v>0</v>
      </c>
      <c r="W774" s="67">
        <f>ROUND(+(V774*60%)*D774,4)</f>
        <v>0</v>
      </c>
      <c r="X774" s="148">
        <f>ROUND(+U774+W774,4)</f>
        <v>0</v>
      </c>
      <c r="Y774" s="68"/>
      <c r="Z774" s="148">
        <f>ROUND(IF(X774&gt;I774,X774,I774),4)</f>
        <v>0</v>
      </c>
    </row>
    <row r="775" spans="1:26" x14ac:dyDescent="0.2">
      <c r="A775" s="66"/>
      <c r="B775" s="66"/>
      <c r="C775" s="66"/>
      <c r="D775" s="144"/>
      <c r="E775" s="67"/>
      <c r="F775" s="67"/>
      <c r="G775" s="67"/>
      <c r="H775" s="67">
        <f>ROUND(+E775+G775,4)</f>
        <v>0</v>
      </c>
      <c r="I775" s="67"/>
      <c r="J775" s="67">
        <f>ROUND(+I775-H775,4)</f>
        <v>0</v>
      </c>
      <c r="K775" s="67">
        <f>ROUND(IF(F775="alluminio",0,I775*1.5%),4)</f>
        <v>0</v>
      </c>
      <c r="L775" s="67">
        <f>ROUND(IF(K775&lt;J775,K775,0),4)</f>
        <v>0</v>
      </c>
      <c r="M775" s="67">
        <f>ROUND(IF(J775&gt;K775,0,J775),4)</f>
        <v>0</v>
      </c>
      <c r="N775" s="67">
        <f>ROUND(+L775*D775,4)</f>
        <v>0</v>
      </c>
      <c r="O775" s="67">
        <f>ROUND(IF(F775="rame",0,+I775*3%),4)</f>
        <v>0</v>
      </c>
      <c r="P775" s="67">
        <f>ROUND(IF(O775&lt;J775,O775,0),4)</f>
        <v>0</v>
      </c>
      <c r="Q775" s="67">
        <f>ROUND(IF(J775&gt;O775,0,J775),4)</f>
        <v>0</v>
      </c>
      <c r="R775" s="67">
        <f>ROUND(+P775*D775,4)</f>
        <v>0</v>
      </c>
      <c r="S775" s="67">
        <f>ROUND(IF(K775=0,0,M775*D775),4)</f>
        <v>0</v>
      </c>
      <c r="T775" s="67">
        <f>ROUND(+IF(K775=0,Q775*D775,0),4)</f>
        <v>0</v>
      </c>
      <c r="U775" s="67">
        <f>ROUND(+N775+R775+S775+T775,4)</f>
        <v>0</v>
      </c>
      <c r="V775" s="67">
        <f>ROUND(IF(P775=0,0,I775-H775-O775)+IF(L775=0,0,I775-H775-K775),4)</f>
        <v>0</v>
      </c>
      <c r="W775" s="67">
        <f>ROUND(+(V775*60%)*D775,4)</f>
        <v>0</v>
      </c>
      <c r="X775" s="148">
        <f>ROUND(+U775+W775,4)</f>
        <v>0</v>
      </c>
      <c r="Y775" s="68"/>
      <c r="Z775" s="148">
        <f>ROUND(IF(X775&gt;I775,X775,I775),4)</f>
        <v>0</v>
      </c>
    </row>
    <row r="776" spans="1:26" x14ac:dyDescent="0.2">
      <c r="A776" s="66"/>
      <c r="B776" s="66"/>
      <c r="C776" s="66"/>
      <c r="D776" s="144"/>
      <c r="E776" s="67"/>
      <c r="F776" s="67"/>
      <c r="G776" s="67"/>
      <c r="H776" s="67">
        <f>ROUND(+E776+G776,4)</f>
        <v>0</v>
      </c>
      <c r="I776" s="67"/>
      <c r="J776" s="67">
        <f>ROUND(+I776-H776,4)</f>
        <v>0</v>
      </c>
      <c r="K776" s="67">
        <f>ROUND(IF(F776="alluminio",0,I776*1.5%),4)</f>
        <v>0</v>
      </c>
      <c r="L776" s="67">
        <f>ROUND(IF(K776&lt;J776,K776,0),4)</f>
        <v>0</v>
      </c>
      <c r="M776" s="67">
        <f>ROUND(IF(J776&gt;K776,0,J776),4)</f>
        <v>0</v>
      </c>
      <c r="N776" s="67">
        <f>ROUND(+L776*D776,4)</f>
        <v>0</v>
      </c>
      <c r="O776" s="67">
        <f>ROUND(IF(F776="rame",0,+I776*3%),4)</f>
        <v>0</v>
      </c>
      <c r="P776" s="67">
        <f>ROUND(IF(O776&lt;J776,O776,0),4)</f>
        <v>0</v>
      </c>
      <c r="Q776" s="67">
        <f>ROUND(IF(J776&gt;O776,0,J776),4)</f>
        <v>0</v>
      </c>
      <c r="R776" s="67">
        <f>ROUND(+P776*D776,4)</f>
        <v>0</v>
      </c>
      <c r="S776" s="67">
        <f>ROUND(IF(K776=0,0,M776*D776),4)</f>
        <v>0</v>
      </c>
      <c r="T776" s="67">
        <f>ROUND(+IF(K776=0,Q776*D776,0),4)</f>
        <v>0</v>
      </c>
      <c r="U776" s="67">
        <f>ROUND(+N776+R776+S776+T776,4)</f>
        <v>0</v>
      </c>
      <c r="V776" s="67">
        <f>ROUND(IF(P776=0,0,I776-H776-O776)+IF(L776=0,0,I776-H776-K776),4)</f>
        <v>0</v>
      </c>
      <c r="W776" s="67">
        <f>ROUND(+(V776*60%)*D776,4)</f>
        <v>0</v>
      </c>
      <c r="X776" s="148">
        <f>ROUND(+U776+W776,4)</f>
        <v>0</v>
      </c>
      <c r="Y776" s="68"/>
      <c r="Z776" s="148">
        <f>ROUND(IF(X776&gt;I776,X776,I776),4)</f>
        <v>0</v>
      </c>
    </row>
    <row r="777" spans="1:26" x14ac:dyDescent="0.2">
      <c r="A777" s="66"/>
      <c r="B777" s="66"/>
      <c r="C777" s="66"/>
      <c r="D777" s="144"/>
      <c r="E777" s="67"/>
      <c r="F777" s="67"/>
      <c r="G777" s="67"/>
      <c r="H777" s="67">
        <f>ROUND(+E777+G777,4)</f>
        <v>0</v>
      </c>
      <c r="I777" s="67"/>
      <c r="J777" s="67">
        <f>ROUND(+I777-H777,4)</f>
        <v>0</v>
      </c>
      <c r="K777" s="67">
        <f>ROUND(IF(F777="alluminio",0,I777*1.5%),4)</f>
        <v>0</v>
      </c>
      <c r="L777" s="67">
        <f>ROUND(IF(K777&lt;J777,K777,0),4)</f>
        <v>0</v>
      </c>
      <c r="M777" s="67">
        <f>ROUND(IF(J777&gt;K777,0,J777),4)</f>
        <v>0</v>
      </c>
      <c r="N777" s="67">
        <f>ROUND(+L777*D777,4)</f>
        <v>0</v>
      </c>
      <c r="O777" s="67">
        <f>ROUND(IF(F777="rame",0,+I777*3%),4)</f>
        <v>0</v>
      </c>
      <c r="P777" s="67">
        <f>ROUND(IF(O777&lt;J777,O777,0),4)</f>
        <v>0</v>
      </c>
      <c r="Q777" s="67">
        <f>ROUND(IF(J777&gt;O777,0,J777),4)</f>
        <v>0</v>
      </c>
      <c r="R777" s="67">
        <f>ROUND(+P777*D777,4)</f>
        <v>0</v>
      </c>
      <c r="S777" s="67">
        <f>ROUND(IF(K777=0,0,M777*D777),4)</f>
        <v>0</v>
      </c>
      <c r="T777" s="67">
        <f>ROUND(+IF(K777=0,Q777*D777,0),4)</f>
        <v>0</v>
      </c>
      <c r="U777" s="67">
        <f>ROUND(+N777+R777+S777+T777,4)</f>
        <v>0</v>
      </c>
      <c r="V777" s="67">
        <f>ROUND(IF(P777=0,0,I777-H777-O777)+IF(L777=0,0,I777-H777-K777),4)</f>
        <v>0</v>
      </c>
      <c r="W777" s="67">
        <f>ROUND(+(V777*60%)*D777,4)</f>
        <v>0</v>
      </c>
      <c r="X777" s="148">
        <f>ROUND(+U777+W777,4)</f>
        <v>0</v>
      </c>
      <c r="Y777" s="68"/>
      <c r="Z777" s="148">
        <f>ROUND(IF(X777&gt;I777,X777,I777),4)</f>
        <v>0</v>
      </c>
    </row>
    <row r="778" spans="1:26" x14ac:dyDescent="0.2">
      <c r="A778" s="66"/>
      <c r="B778" s="66"/>
      <c r="C778" s="66"/>
      <c r="D778" s="144"/>
      <c r="E778" s="67"/>
      <c r="F778" s="67"/>
      <c r="G778" s="67"/>
      <c r="H778" s="67">
        <f>ROUND(+E778+G778,4)</f>
        <v>0</v>
      </c>
      <c r="I778" s="67"/>
      <c r="J778" s="67">
        <f>ROUND(+I778-H778,4)</f>
        <v>0</v>
      </c>
      <c r="K778" s="67">
        <f>ROUND(IF(F778="alluminio",0,I778*1.5%),4)</f>
        <v>0</v>
      </c>
      <c r="L778" s="67">
        <f>ROUND(IF(K778&lt;J778,K778,0),4)</f>
        <v>0</v>
      </c>
      <c r="M778" s="67">
        <f>ROUND(IF(J778&gt;K778,0,J778),4)</f>
        <v>0</v>
      </c>
      <c r="N778" s="67">
        <f>ROUND(+L778*D778,4)</f>
        <v>0</v>
      </c>
      <c r="O778" s="67">
        <f>ROUND(IF(F778="rame",0,+I778*3%),4)</f>
        <v>0</v>
      </c>
      <c r="P778" s="67">
        <f>ROUND(IF(O778&lt;J778,O778,0),4)</f>
        <v>0</v>
      </c>
      <c r="Q778" s="67">
        <f>ROUND(IF(J778&gt;O778,0,J778),4)</f>
        <v>0</v>
      </c>
      <c r="R778" s="67">
        <f>ROUND(+P778*D778,4)</f>
        <v>0</v>
      </c>
      <c r="S778" s="67">
        <f>ROUND(IF(K778=0,0,M778*D778),4)</f>
        <v>0</v>
      </c>
      <c r="T778" s="67">
        <f>ROUND(+IF(K778=0,Q778*D778,0),4)</f>
        <v>0</v>
      </c>
      <c r="U778" s="67">
        <f>ROUND(+N778+R778+S778+T778,4)</f>
        <v>0</v>
      </c>
      <c r="V778" s="67">
        <f>ROUND(IF(P778=0,0,I778-H778-O778)+IF(L778=0,0,I778-H778-K778),4)</f>
        <v>0</v>
      </c>
      <c r="W778" s="67">
        <f>ROUND(+(V778*60%)*D778,4)</f>
        <v>0</v>
      </c>
      <c r="X778" s="148">
        <f>ROUND(+U778+W778,4)</f>
        <v>0</v>
      </c>
      <c r="Y778" s="68"/>
      <c r="Z778" s="148">
        <f>ROUND(IF(X778&gt;I778,X778,I778),4)</f>
        <v>0</v>
      </c>
    </row>
    <row r="779" spans="1:26" x14ac:dyDescent="0.2">
      <c r="A779" s="66"/>
      <c r="B779" s="66"/>
      <c r="C779" s="66"/>
      <c r="D779" s="144"/>
      <c r="E779" s="67"/>
      <c r="F779" s="67"/>
      <c r="G779" s="67"/>
      <c r="H779" s="67">
        <f>ROUND(+E779+G779,4)</f>
        <v>0</v>
      </c>
      <c r="I779" s="67"/>
      <c r="J779" s="67">
        <f>ROUND(+I779-H779,4)</f>
        <v>0</v>
      </c>
      <c r="K779" s="67">
        <f>ROUND(IF(F779="alluminio",0,I779*1.5%),4)</f>
        <v>0</v>
      </c>
      <c r="L779" s="67">
        <f>ROUND(IF(K779&lt;J779,K779,0),4)</f>
        <v>0</v>
      </c>
      <c r="M779" s="67">
        <f>ROUND(IF(J779&gt;K779,0,J779),4)</f>
        <v>0</v>
      </c>
      <c r="N779" s="67">
        <f>ROUND(+L779*D779,4)</f>
        <v>0</v>
      </c>
      <c r="O779" s="67">
        <f>ROUND(IF(F779="rame",0,+I779*3%),4)</f>
        <v>0</v>
      </c>
      <c r="P779" s="67">
        <f>ROUND(IF(O779&lt;J779,O779,0),4)</f>
        <v>0</v>
      </c>
      <c r="Q779" s="67">
        <f>ROUND(IF(J779&gt;O779,0,J779),4)</f>
        <v>0</v>
      </c>
      <c r="R779" s="67">
        <f>ROUND(+P779*D779,4)</f>
        <v>0</v>
      </c>
      <c r="S779" s="67">
        <f>ROUND(IF(K779=0,0,M779*D779),4)</f>
        <v>0</v>
      </c>
      <c r="T779" s="67">
        <f>ROUND(+IF(K779=0,Q779*D779,0),4)</f>
        <v>0</v>
      </c>
      <c r="U779" s="67">
        <f>ROUND(+N779+R779+S779+T779,4)</f>
        <v>0</v>
      </c>
      <c r="V779" s="67">
        <f>ROUND(IF(P779=0,0,I779-H779-O779)+IF(L779=0,0,I779-H779-K779),4)</f>
        <v>0</v>
      </c>
      <c r="W779" s="67">
        <f>ROUND(+(V779*60%)*D779,4)</f>
        <v>0</v>
      </c>
      <c r="X779" s="148">
        <f>ROUND(+U779+W779,4)</f>
        <v>0</v>
      </c>
      <c r="Y779" s="68"/>
      <c r="Z779" s="148">
        <f>ROUND(IF(X779&gt;I779,X779,I779),4)</f>
        <v>0</v>
      </c>
    </row>
    <row r="780" spans="1:26" x14ac:dyDescent="0.2">
      <c r="A780" s="66"/>
      <c r="B780" s="66"/>
      <c r="C780" s="66"/>
      <c r="D780" s="144"/>
      <c r="E780" s="67"/>
      <c r="F780" s="67"/>
      <c r="G780" s="67"/>
      <c r="H780" s="67">
        <f>ROUND(+E780+G780,4)</f>
        <v>0</v>
      </c>
      <c r="I780" s="67"/>
      <c r="J780" s="67">
        <f>ROUND(+I780-H780,4)</f>
        <v>0</v>
      </c>
      <c r="K780" s="67">
        <f>ROUND(IF(F780="alluminio",0,I780*1.5%),4)</f>
        <v>0</v>
      </c>
      <c r="L780" s="67">
        <f>ROUND(IF(K780&lt;J780,K780,0),4)</f>
        <v>0</v>
      </c>
      <c r="M780" s="67">
        <f>ROUND(IF(J780&gt;K780,0,J780),4)</f>
        <v>0</v>
      </c>
      <c r="N780" s="67">
        <f>ROUND(+L780*D780,4)</f>
        <v>0</v>
      </c>
      <c r="O780" s="67">
        <f>ROUND(IF(F780="rame",0,+I780*3%),4)</f>
        <v>0</v>
      </c>
      <c r="P780" s="67">
        <f>ROUND(IF(O780&lt;J780,O780,0),4)</f>
        <v>0</v>
      </c>
      <c r="Q780" s="67">
        <f>ROUND(IF(J780&gt;O780,0,J780),4)</f>
        <v>0</v>
      </c>
      <c r="R780" s="67">
        <f>ROUND(+P780*D780,4)</f>
        <v>0</v>
      </c>
      <c r="S780" s="67">
        <f>ROUND(IF(K780=0,0,M780*D780),4)</f>
        <v>0</v>
      </c>
      <c r="T780" s="67">
        <f>ROUND(+IF(K780=0,Q780*D780,0),4)</f>
        <v>0</v>
      </c>
      <c r="U780" s="67">
        <f>ROUND(+N780+R780+S780+T780,4)</f>
        <v>0</v>
      </c>
      <c r="V780" s="67">
        <f>ROUND(IF(P780=0,0,I780-H780-O780)+IF(L780=0,0,I780-H780-K780),4)</f>
        <v>0</v>
      </c>
      <c r="W780" s="67">
        <f>ROUND(+(V780*60%)*D780,4)</f>
        <v>0</v>
      </c>
      <c r="X780" s="148">
        <f>ROUND(+U780+W780,4)</f>
        <v>0</v>
      </c>
      <c r="Y780" s="68"/>
      <c r="Z780" s="148">
        <f>ROUND(IF(X780&gt;I780,X780,I780),4)</f>
        <v>0</v>
      </c>
    </row>
    <row r="781" spans="1:26" x14ac:dyDescent="0.2">
      <c r="A781" s="66"/>
      <c r="B781" s="66"/>
      <c r="C781" s="66"/>
      <c r="D781" s="144"/>
      <c r="E781" s="67"/>
      <c r="F781" s="67"/>
      <c r="G781" s="67"/>
      <c r="H781" s="67">
        <f>ROUND(+E781+G781,4)</f>
        <v>0</v>
      </c>
      <c r="I781" s="67"/>
      <c r="J781" s="67">
        <f>ROUND(+I781-H781,4)</f>
        <v>0</v>
      </c>
      <c r="K781" s="67">
        <f>ROUND(IF(F781="alluminio",0,I781*1.5%),4)</f>
        <v>0</v>
      </c>
      <c r="L781" s="67">
        <f>ROUND(IF(K781&lt;J781,K781,0),4)</f>
        <v>0</v>
      </c>
      <c r="M781" s="67">
        <f>ROUND(IF(J781&gt;K781,0,J781),4)</f>
        <v>0</v>
      </c>
      <c r="N781" s="67">
        <f>ROUND(+L781*D781,4)</f>
        <v>0</v>
      </c>
      <c r="O781" s="67">
        <f>ROUND(IF(F781="rame",0,+I781*3%),4)</f>
        <v>0</v>
      </c>
      <c r="P781" s="67">
        <f>ROUND(IF(O781&lt;J781,O781,0),4)</f>
        <v>0</v>
      </c>
      <c r="Q781" s="67">
        <f>ROUND(IF(J781&gt;O781,0,J781),4)</f>
        <v>0</v>
      </c>
      <c r="R781" s="67">
        <f>ROUND(+P781*D781,4)</f>
        <v>0</v>
      </c>
      <c r="S781" s="67">
        <f>ROUND(IF(K781=0,0,M781*D781),4)</f>
        <v>0</v>
      </c>
      <c r="T781" s="67">
        <f>ROUND(+IF(K781=0,Q781*D781,0),4)</f>
        <v>0</v>
      </c>
      <c r="U781" s="67">
        <f>ROUND(+N781+R781+S781+T781,4)</f>
        <v>0</v>
      </c>
      <c r="V781" s="67">
        <f>ROUND(IF(P781=0,0,I781-H781-O781)+IF(L781=0,0,I781-H781-K781),4)</f>
        <v>0</v>
      </c>
      <c r="W781" s="67">
        <f>ROUND(+(V781*60%)*D781,4)</f>
        <v>0</v>
      </c>
      <c r="X781" s="148">
        <f>ROUND(+U781+W781,4)</f>
        <v>0</v>
      </c>
      <c r="Y781" s="68"/>
      <c r="Z781" s="148">
        <f>ROUND(IF(X781&gt;I781,X781,I781),4)</f>
        <v>0</v>
      </c>
    </row>
    <row r="782" spans="1:26" x14ac:dyDescent="0.2">
      <c r="A782" s="66"/>
      <c r="B782" s="66"/>
      <c r="C782" s="66"/>
      <c r="D782" s="144"/>
      <c r="E782" s="67"/>
      <c r="F782" s="67"/>
      <c r="G782" s="67"/>
      <c r="H782" s="67">
        <f>ROUND(+E782+G782,4)</f>
        <v>0</v>
      </c>
      <c r="I782" s="67"/>
      <c r="J782" s="67">
        <f>ROUND(+I782-H782,4)</f>
        <v>0</v>
      </c>
      <c r="K782" s="67">
        <f>ROUND(IF(F782="alluminio",0,I782*1.5%),4)</f>
        <v>0</v>
      </c>
      <c r="L782" s="67">
        <f>ROUND(IF(K782&lt;J782,K782,0),4)</f>
        <v>0</v>
      </c>
      <c r="M782" s="67">
        <f>ROUND(IF(J782&gt;K782,0,J782),4)</f>
        <v>0</v>
      </c>
      <c r="N782" s="67">
        <f>ROUND(+L782*D782,4)</f>
        <v>0</v>
      </c>
      <c r="O782" s="67">
        <f>ROUND(IF(F782="rame",0,+I782*3%),4)</f>
        <v>0</v>
      </c>
      <c r="P782" s="67">
        <f>ROUND(IF(O782&lt;J782,O782,0),4)</f>
        <v>0</v>
      </c>
      <c r="Q782" s="67">
        <f>ROUND(IF(J782&gt;O782,0,J782),4)</f>
        <v>0</v>
      </c>
      <c r="R782" s="67">
        <f>ROUND(+P782*D782,4)</f>
        <v>0</v>
      </c>
      <c r="S782" s="67">
        <f>ROUND(IF(K782=0,0,M782*D782),4)</f>
        <v>0</v>
      </c>
      <c r="T782" s="67">
        <f>ROUND(+IF(K782=0,Q782*D782,0),4)</f>
        <v>0</v>
      </c>
      <c r="U782" s="67">
        <f>ROUND(+N782+R782+S782+T782,4)</f>
        <v>0</v>
      </c>
      <c r="V782" s="67">
        <f>ROUND(IF(P782=0,0,I782-H782-O782)+IF(L782=0,0,I782-H782-K782),4)</f>
        <v>0</v>
      </c>
      <c r="W782" s="67">
        <f>ROUND(+(V782*60%)*D782,4)</f>
        <v>0</v>
      </c>
      <c r="X782" s="148">
        <f>ROUND(+U782+W782,4)</f>
        <v>0</v>
      </c>
      <c r="Y782" s="68"/>
      <c r="Z782" s="148">
        <f>ROUND(IF(X782&gt;I782,X782,I782),4)</f>
        <v>0</v>
      </c>
    </row>
    <row r="783" spans="1:26" x14ac:dyDescent="0.2">
      <c r="A783" s="66"/>
      <c r="B783" s="66"/>
      <c r="C783" s="66"/>
      <c r="D783" s="144"/>
      <c r="E783" s="67"/>
      <c r="F783" s="67"/>
      <c r="G783" s="67"/>
      <c r="H783" s="67">
        <f>ROUND(+E783+G783,4)</f>
        <v>0</v>
      </c>
      <c r="I783" s="67"/>
      <c r="J783" s="67">
        <f>ROUND(+I783-H783,4)</f>
        <v>0</v>
      </c>
      <c r="K783" s="67">
        <f>ROUND(IF(F783="alluminio",0,I783*1.5%),4)</f>
        <v>0</v>
      </c>
      <c r="L783" s="67">
        <f>ROUND(IF(K783&lt;J783,K783,0),4)</f>
        <v>0</v>
      </c>
      <c r="M783" s="67">
        <f>ROUND(IF(J783&gt;K783,0,J783),4)</f>
        <v>0</v>
      </c>
      <c r="N783" s="67">
        <f>ROUND(+L783*D783,4)</f>
        <v>0</v>
      </c>
      <c r="O783" s="67">
        <f>ROUND(IF(F783="rame",0,+I783*3%),4)</f>
        <v>0</v>
      </c>
      <c r="P783" s="67">
        <f>ROUND(IF(O783&lt;J783,O783,0),4)</f>
        <v>0</v>
      </c>
      <c r="Q783" s="67">
        <f>ROUND(IF(J783&gt;O783,0,J783),4)</f>
        <v>0</v>
      </c>
      <c r="R783" s="67">
        <f>ROUND(+P783*D783,4)</f>
        <v>0</v>
      </c>
      <c r="S783" s="67">
        <f>ROUND(IF(K783=0,0,M783*D783),4)</f>
        <v>0</v>
      </c>
      <c r="T783" s="67">
        <f>ROUND(+IF(K783=0,Q783*D783,0),4)</f>
        <v>0</v>
      </c>
      <c r="U783" s="67">
        <f>ROUND(+N783+R783+S783+T783,4)</f>
        <v>0</v>
      </c>
      <c r="V783" s="67">
        <f>ROUND(IF(P783=0,0,I783-H783-O783)+IF(L783=0,0,I783-H783-K783),4)</f>
        <v>0</v>
      </c>
      <c r="W783" s="67">
        <f>ROUND(+(V783*60%)*D783,4)</f>
        <v>0</v>
      </c>
      <c r="X783" s="148">
        <f>ROUND(+U783+W783,4)</f>
        <v>0</v>
      </c>
      <c r="Y783" s="68"/>
      <c r="Z783" s="148">
        <f>ROUND(IF(X783&gt;I783,X783,I783),4)</f>
        <v>0</v>
      </c>
    </row>
    <row r="784" spans="1:26" x14ac:dyDescent="0.2">
      <c r="A784" s="66"/>
      <c r="B784" s="66"/>
      <c r="C784" s="66"/>
      <c r="D784" s="144"/>
      <c r="E784" s="67"/>
      <c r="F784" s="67"/>
      <c r="G784" s="67"/>
      <c r="H784" s="67">
        <f>ROUND(+E784+G784,4)</f>
        <v>0</v>
      </c>
      <c r="I784" s="67"/>
      <c r="J784" s="67">
        <f>ROUND(+I784-H784,4)</f>
        <v>0</v>
      </c>
      <c r="K784" s="67">
        <f>ROUND(IF(F784="alluminio",0,I784*1.5%),4)</f>
        <v>0</v>
      </c>
      <c r="L784" s="67">
        <f>ROUND(IF(K784&lt;J784,K784,0),4)</f>
        <v>0</v>
      </c>
      <c r="M784" s="67">
        <f>ROUND(IF(J784&gt;K784,0,J784),4)</f>
        <v>0</v>
      </c>
      <c r="N784" s="67">
        <f>ROUND(+L784*D784,4)</f>
        <v>0</v>
      </c>
      <c r="O784" s="67">
        <f>ROUND(IF(F784="rame",0,+I784*3%),4)</f>
        <v>0</v>
      </c>
      <c r="P784" s="67">
        <f>ROUND(IF(O784&lt;J784,O784,0),4)</f>
        <v>0</v>
      </c>
      <c r="Q784" s="67">
        <f>ROUND(IF(J784&gt;O784,0,J784),4)</f>
        <v>0</v>
      </c>
      <c r="R784" s="67">
        <f>ROUND(+P784*D784,4)</f>
        <v>0</v>
      </c>
      <c r="S784" s="67">
        <f>ROUND(IF(K784=0,0,M784*D784),4)</f>
        <v>0</v>
      </c>
      <c r="T784" s="67">
        <f>ROUND(+IF(K784=0,Q784*D784,0),4)</f>
        <v>0</v>
      </c>
      <c r="U784" s="67">
        <f>ROUND(+N784+R784+S784+T784,4)</f>
        <v>0</v>
      </c>
      <c r="V784" s="67">
        <f>ROUND(IF(P784=0,0,I784-H784-O784)+IF(L784=0,0,I784-H784-K784),4)</f>
        <v>0</v>
      </c>
      <c r="W784" s="67">
        <f>ROUND(+(V784*60%)*D784,4)</f>
        <v>0</v>
      </c>
      <c r="X784" s="148">
        <f>ROUND(+U784+W784,4)</f>
        <v>0</v>
      </c>
      <c r="Y784" s="68"/>
      <c r="Z784" s="148">
        <f>ROUND(IF(X784&gt;I784,X784,I784),4)</f>
        <v>0</v>
      </c>
    </row>
    <row r="785" spans="1:26" x14ac:dyDescent="0.2">
      <c r="A785" s="66"/>
      <c r="B785" s="66"/>
      <c r="C785" s="66"/>
      <c r="D785" s="144"/>
      <c r="E785" s="67"/>
      <c r="F785" s="67"/>
      <c r="G785" s="67"/>
      <c r="H785" s="67">
        <f>ROUND(+E785+G785,4)</f>
        <v>0</v>
      </c>
      <c r="I785" s="67"/>
      <c r="J785" s="67">
        <f>ROUND(+I785-H785,4)</f>
        <v>0</v>
      </c>
      <c r="K785" s="67">
        <f>ROUND(IF(F785="alluminio",0,I785*1.5%),4)</f>
        <v>0</v>
      </c>
      <c r="L785" s="67">
        <f>ROUND(IF(K785&lt;J785,K785,0),4)</f>
        <v>0</v>
      </c>
      <c r="M785" s="67">
        <f>ROUND(IF(J785&gt;K785,0,J785),4)</f>
        <v>0</v>
      </c>
      <c r="N785" s="67">
        <f>ROUND(+L785*D785,4)</f>
        <v>0</v>
      </c>
      <c r="O785" s="67">
        <f>ROUND(IF(F785="rame",0,+I785*3%),4)</f>
        <v>0</v>
      </c>
      <c r="P785" s="67">
        <f>ROUND(IF(O785&lt;J785,O785,0),4)</f>
        <v>0</v>
      </c>
      <c r="Q785" s="67">
        <f>ROUND(IF(J785&gt;O785,0,J785),4)</f>
        <v>0</v>
      </c>
      <c r="R785" s="67">
        <f>ROUND(+P785*D785,4)</f>
        <v>0</v>
      </c>
      <c r="S785" s="67">
        <f>ROUND(IF(K785=0,0,M785*D785),4)</f>
        <v>0</v>
      </c>
      <c r="T785" s="67">
        <f>ROUND(+IF(K785=0,Q785*D785,0),4)</f>
        <v>0</v>
      </c>
      <c r="U785" s="67">
        <f>ROUND(+N785+R785+S785+T785,4)</f>
        <v>0</v>
      </c>
      <c r="V785" s="67">
        <f>ROUND(IF(P785=0,0,I785-H785-O785)+IF(L785=0,0,I785-H785-K785),4)</f>
        <v>0</v>
      </c>
      <c r="W785" s="67">
        <f>ROUND(+(V785*60%)*D785,4)</f>
        <v>0</v>
      </c>
      <c r="X785" s="148">
        <f>ROUND(+U785+W785,4)</f>
        <v>0</v>
      </c>
      <c r="Y785" s="68"/>
      <c r="Z785" s="148">
        <f>ROUND(IF(X785&gt;I785,X785,I785),4)</f>
        <v>0</v>
      </c>
    </row>
    <row r="786" spans="1:26" x14ac:dyDescent="0.2">
      <c r="A786" s="66"/>
      <c r="B786" s="66"/>
      <c r="C786" s="66"/>
      <c r="D786" s="144"/>
      <c r="E786" s="67"/>
      <c r="F786" s="67"/>
      <c r="G786" s="67"/>
      <c r="H786" s="67">
        <f>ROUND(+E786+G786,4)</f>
        <v>0</v>
      </c>
      <c r="I786" s="67"/>
      <c r="J786" s="67">
        <f>ROUND(+I786-H786,4)</f>
        <v>0</v>
      </c>
      <c r="K786" s="67">
        <f>ROUND(IF(F786="alluminio",0,I786*1.5%),4)</f>
        <v>0</v>
      </c>
      <c r="L786" s="67">
        <f>ROUND(IF(K786&lt;J786,K786,0),4)</f>
        <v>0</v>
      </c>
      <c r="M786" s="67">
        <f>ROUND(IF(J786&gt;K786,0,J786),4)</f>
        <v>0</v>
      </c>
      <c r="N786" s="67">
        <f>ROUND(+L786*D786,4)</f>
        <v>0</v>
      </c>
      <c r="O786" s="67">
        <f>ROUND(IF(F786="rame",0,+I786*3%),4)</f>
        <v>0</v>
      </c>
      <c r="P786" s="67">
        <f>ROUND(IF(O786&lt;J786,O786,0),4)</f>
        <v>0</v>
      </c>
      <c r="Q786" s="67">
        <f>ROUND(IF(J786&gt;O786,0,J786),4)</f>
        <v>0</v>
      </c>
      <c r="R786" s="67">
        <f>ROUND(+P786*D786,4)</f>
        <v>0</v>
      </c>
      <c r="S786" s="67">
        <f>ROUND(IF(K786=0,0,M786*D786),4)</f>
        <v>0</v>
      </c>
      <c r="T786" s="67">
        <f>ROUND(+IF(K786=0,Q786*D786,0),4)</f>
        <v>0</v>
      </c>
      <c r="U786" s="67">
        <f>ROUND(+N786+R786+S786+T786,4)</f>
        <v>0</v>
      </c>
      <c r="V786" s="67">
        <f>ROUND(IF(P786=0,0,I786-H786-O786)+IF(L786=0,0,I786-H786-K786),4)</f>
        <v>0</v>
      </c>
      <c r="W786" s="67">
        <f>ROUND(+(V786*60%)*D786,4)</f>
        <v>0</v>
      </c>
      <c r="X786" s="148">
        <f>ROUND(+U786+W786,4)</f>
        <v>0</v>
      </c>
      <c r="Y786" s="68"/>
      <c r="Z786" s="148">
        <f>ROUND(IF(X786&gt;I786,X786,I786),4)</f>
        <v>0</v>
      </c>
    </row>
    <row r="787" spans="1:26" x14ac:dyDescent="0.2">
      <c r="A787" s="66"/>
      <c r="B787" s="66"/>
      <c r="C787" s="66"/>
      <c r="D787" s="144"/>
      <c r="E787" s="67"/>
      <c r="F787" s="67"/>
      <c r="G787" s="67"/>
      <c r="H787" s="67">
        <f>ROUND(+E787+G787,4)</f>
        <v>0</v>
      </c>
      <c r="I787" s="67"/>
      <c r="J787" s="67">
        <f>ROUND(+I787-H787,4)</f>
        <v>0</v>
      </c>
      <c r="K787" s="67">
        <f>ROUND(IF(F787="alluminio",0,I787*1.5%),4)</f>
        <v>0</v>
      </c>
      <c r="L787" s="67">
        <f>ROUND(IF(K787&lt;J787,K787,0),4)</f>
        <v>0</v>
      </c>
      <c r="M787" s="67">
        <f>ROUND(IF(J787&gt;K787,0,J787),4)</f>
        <v>0</v>
      </c>
      <c r="N787" s="67">
        <f>ROUND(+L787*D787,4)</f>
        <v>0</v>
      </c>
      <c r="O787" s="67">
        <f>ROUND(IF(F787="rame",0,+I787*3%),4)</f>
        <v>0</v>
      </c>
      <c r="P787" s="67">
        <f>ROUND(IF(O787&lt;J787,O787,0),4)</f>
        <v>0</v>
      </c>
      <c r="Q787" s="67">
        <f>ROUND(IF(J787&gt;O787,0,J787),4)</f>
        <v>0</v>
      </c>
      <c r="R787" s="67">
        <f>ROUND(+P787*D787,4)</f>
        <v>0</v>
      </c>
      <c r="S787" s="67">
        <f>ROUND(IF(K787=0,0,M787*D787),4)</f>
        <v>0</v>
      </c>
      <c r="T787" s="67">
        <f>ROUND(+IF(K787=0,Q787*D787,0),4)</f>
        <v>0</v>
      </c>
      <c r="U787" s="67">
        <f>ROUND(+N787+R787+S787+T787,4)</f>
        <v>0</v>
      </c>
      <c r="V787" s="67">
        <f>ROUND(IF(P787=0,0,I787-H787-O787)+IF(L787=0,0,I787-H787-K787),4)</f>
        <v>0</v>
      </c>
      <c r="W787" s="67">
        <f>ROUND(+(V787*60%)*D787,4)</f>
        <v>0</v>
      </c>
      <c r="X787" s="148">
        <f>ROUND(+U787+W787,4)</f>
        <v>0</v>
      </c>
      <c r="Y787" s="68"/>
      <c r="Z787" s="148">
        <f>ROUND(IF(X787&gt;I787,X787,I787),4)</f>
        <v>0</v>
      </c>
    </row>
    <row r="788" spans="1:26" x14ac:dyDescent="0.2">
      <c r="A788" s="66"/>
      <c r="B788" s="66"/>
      <c r="C788" s="66"/>
      <c r="D788" s="144"/>
      <c r="E788" s="67"/>
      <c r="F788" s="67"/>
      <c r="G788" s="67"/>
      <c r="H788" s="67">
        <f>ROUND(+E788+G788,4)</f>
        <v>0</v>
      </c>
      <c r="I788" s="67"/>
      <c r="J788" s="67">
        <f>ROUND(+I788-H788,4)</f>
        <v>0</v>
      </c>
      <c r="K788" s="67">
        <f>ROUND(IF(F788="alluminio",0,I788*1.5%),4)</f>
        <v>0</v>
      </c>
      <c r="L788" s="67">
        <f>ROUND(IF(K788&lt;J788,K788,0),4)</f>
        <v>0</v>
      </c>
      <c r="M788" s="67">
        <f>ROUND(IF(J788&gt;K788,0,J788),4)</f>
        <v>0</v>
      </c>
      <c r="N788" s="67">
        <f>ROUND(+L788*D788,4)</f>
        <v>0</v>
      </c>
      <c r="O788" s="67">
        <f>ROUND(IF(F788="rame",0,+I788*3%),4)</f>
        <v>0</v>
      </c>
      <c r="P788" s="67">
        <f>ROUND(IF(O788&lt;J788,O788,0),4)</f>
        <v>0</v>
      </c>
      <c r="Q788" s="67">
        <f>ROUND(IF(J788&gt;O788,0,J788),4)</f>
        <v>0</v>
      </c>
      <c r="R788" s="67">
        <f>ROUND(+P788*D788,4)</f>
        <v>0</v>
      </c>
      <c r="S788" s="67">
        <f>ROUND(IF(K788=0,0,M788*D788),4)</f>
        <v>0</v>
      </c>
      <c r="T788" s="67">
        <f>ROUND(+IF(K788=0,Q788*D788,0),4)</f>
        <v>0</v>
      </c>
      <c r="U788" s="67">
        <f>ROUND(+N788+R788+S788+T788,4)</f>
        <v>0</v>
      </c>
      <c r="V788" s="67">
        <f>ROUND(IF(P788=0,0,I788-H788-O788)+IF(L788=0,0,I788-H788-K788),4)</f>
        <v>0</v>
      </c>
      <c r="W788" s="67">
        <f>ROUND(+(V788*60%)*D788,4)</f>
        <v>0</v>
      </c>
      <c r="X788" s="148">
        <f>ROUND(+U788+W788,4)</f>
        <v>0</v>
      </c>
      <c r="Y788" s="68"/>
      <c r="Z788" s="148">
        <f>ROUND(IF(X788&gt;I788,X788,I788),4)</f>
        <v>0</v>
      </c>
    </row>
    <row r="789" spans="1:26" x14ac:dyDescent="0.2">
      <c r="A789" s="66"/>
      <c r="B789" s="66"/>
      <c r="C789" s="66"/>
      <c r="D789" s="144"/>
      <c r="E789" s="67"/>
      <c r="F789" s="67"/>
      <c r="G789" s="67"/>
      <c r="H789" s="67">
        <f>ROUND(+E789+G789,4)</f>
        <v>0</v>
      </c>
      <c r="I789" s="67"/>
      <c r="J789" s="67">
        <f>ROUND(+I789-H789,4)</f>
        <v>0</v>
      </c>
      <c r="K789" s="67">
        <f>ROUND(IF(F789="alluminio",0,I789*1.5%),4)</f>
        <v>0</v>
      </c>
      <c r="L789" s="67">
        <f>ROUND(IF(K789&lt;J789,K789,0),4)</f>
        <v>0</v>
      </c>
      <c r="M789" s="67">
        <f>ROUND(IF(J789&gt;K789,0,J789),4)</f>
        <v>0</v>
      </c>
      <c r="N789" s="67">
        <f>ROUND(+L789*D789,4)</f>
        <v>0</v>
      </c>
      <c r="O789" s="67">
        <f>ROUND(IF(F789="rame",0,+I789*3%),4)</f>
        <v>0</v>
      </c>
      <c r="P789" s="67">
        <f>ROUND(IF(O789&lt;J789,O789,0),4)</f>
        <v>0</v>
      </c>
      <c r="Q789" s="67">
        <f>ROUND(IF(J789&gt;O789,0,J789),4)</f>
        <v>0</v>
      </c>
      <c r="R789" s="67">
        <f>ROUND(+P789*D789,4)</f>
        <v>0</v>
      </c>
      <c r="S789" s="67">
        <f>ROUND(IF(K789=0,0,M789*D789),4)</f>
        <v>0</v>
      </c>
      <c r="T789" s="67">
        <f>ROUND(+IF(K789=0,Q789*D789,0),4)</f>
        <v>0</v>
      </c>
      <c r="U789" s="67">
        <f>ROUND(+N789+R789+S789+T789,4)</f>
        <v>0</v>
      </c>
      <c r="V789" s="67">
        <f>ROUND(IF(P789=0,0,I789-H789-O789)+IF(L789=0,0,I789-H789-K789),4)</f>
        <v>0</v>
      </c>
      <c r="W789" s="67">
        <f>ROUND(+(V789*60%)*D789,4)</f>
        <v>0</v>
      </c>
      <c r="X789" s="148">
        <f>ROUND(+U789+W789,4)</f>
        <v>0</v>
      </c>
      <c r="Y789" s="68"/>
      <c r="Z789" s="148">
        <f>ROUND(IF(X789&gt;I789,X789,I789),4)</f>
        <v>0</v>
      </c>
    </row>
    <row r="790" spans="1:26" x14ac:dyDescent="0.2">
      <c r="A790" s="66"/>
      <c r="B790" s="66"/>
      <c r="C790" s="66"/>
      <c r="D790" s="144"/>
      <c r="E790" s="67"/>
      <c r="F790" s="67"/>
      <c r="G790" s="67"/>
      <c r="H790" s="67">
        <f>ROUND(+E790+G790,4)</f>
        <v>0</v>
      </c>
      <c r="I790" s="67"/>
      <c r="J790" s="67">
        <f>ROUND(+I790-H790,4)</f>
        <v>0</v>
      </c>
      <c r="K790" s="67">
        <f>ROUND(IF(F790="alluminio",0,I790*1.5%),4)</f>
        <v>0</v>
      </c>
      <c r="L790" s="67">
        <f>ROUND(IF(K790&lt;J790,K790,0),4)</f>
        <v>0</v>
      </c>
      <c r="M790" s="67">
        <f>ROUND(IF(J790&gt;K790,0,J790),4)</f>
        <v>0</v>
      </c>
      <c r="N790" s="67">
        <f>ROUND(+L790*D790,4)</f>
        <v>0</v>
      </c>
      <c r="O790" s="67">
        <f>ROUND(IF(F790="rame",0,+I790*3%),4)</f>
        <v>0</v>
      </c>
      <c r="P790" s="67">
        <f>ROUND(IF(O790&lt;J790,O790,0),4)</f>
        <v>0</v>
      </c>
      <c r="Q790" s="67">
        <f>ROUND(IF(J790&gt;O790,0,J790),4)</f>
        <v>0</v>
      </c>
      <c r="R790" s="67">
        <f>ROUND(+P790*D790,4)</f>
        <v>0</v>
      </c>
      <c r="S790" s="67">
        <f>ROUND(IF(K790=0,0,M790*D790),4)</f>
        <v>0</v>
      </c>
      <c r="T790" s="67">
        <f>ROUND(+IF(K790=0,Q790*D790,0),4)</f>
        <v>0</v>
      </c>
      <c r="U790" s="67">
        <f>ROUND(+N790+R790+S790+T790,4)</f>
        <v>0</v>
      </c>
      <c r="V790" s="67">
        <f>ROUND(IF(P790=0,0,I790-H790-O790)+IF(L790=0,0,I790-H790-K790),4)</f>
        <v>0</v>
      </c>
      <c r="W790" s="67">
        <f>ROUND(+(V790*60%)*D790,4)</f>
        <v>0</v>
      </c>
      <c r="X790" s="148">
        <f>ROUND(+U790+W790,4)</f>
        <v>0</v>
      </c>
      <c r="Y790" s="68"/>
      <c r="Z790" s="148">
        <f>ROUND(IF(X790&gt;I790,X790,I790),4)</f>
        <v>0</v>
      </c>
    </row>
    <row r="791" spans="1:26" x14ac:dyDescent="0.2">
      <c r="A791" s="66"/>
      <c r="B791" s="66"/>
      <c r="C791" s="66"/>
      <c r="D791" s="144"/>
      <c r="E791" s="67"/>
      <c r="F791" s="67"/>
      <c r="G791" s="67"/>
      <c r="H791" s="67">
        <f>ROUND(+E791+G791,4)</f>
        <v>0</v>
      </c>
      <c r="I791" s="67"/>
      <c r="J791" s="67">
        <f>ROUND(+I791-H791,4)</f>
        <v>0</v>
      </c>
      <c r="K791" s="67">
        <f>ROUND(IF(F791="alluminio",0,I791*1.5%),4)</f>
        <v>0</v>
      </c>
      <c r="L791" s="67">
        <f>ROUND(IF(K791&lt;J791,K791,0),4)</f>
        <v>0</v>
      </c>
      <c r="M791" s="67">
        <f>ROUND(IF(J791&gt;K791,0,J791),4)</f>
        <v>0</v>
      </c>
      <c r="N791" s="67">
        <f>ROUND(+L791*D791,4)</f>
        <v>0</v>
      </c>
      <c r="O791" s="67">
        <f>ROUND(IF(F791="rame",0,+I791*3%),4)</f>
        <v>0</v>
      </c>
      <c r="P791" s="67">
        <f>ROUND(IF(O791&lt;J791,O791,0),4)</f>
        <v>0</v>
      </c>
      <c r="Q791" s="67">
        <f>ROUND(IF(J791&gt;O791,0,J791),4)</f>
        <v>0</v>
      </c>
      <c r="R791" s="67">
        <f>ROUND(+P791*D791,4)</f>
        <v>0</v>
      </c>
      <c r="S791" s="67">
        <f>ROUND(IF(K791=0,0,M791*D791),4)</f>
        <v>0</v>
      </c>
      <c r="T791" s="67">
        <f>ROUND(+IF(K791=0,Q791*D791,0),4)</f>
        <v>0</v>
      </c>
      <c r="U791" s="67">
        <f>ROUND(+N791+R791+S791+T791,4)</f>
        <v>0</v>
      </c>
      <c r="V791" s="67">
        <f>ROUND(IF(P791=0,0,I791-H791-O791)+IF(L791=0,0,I791-H791-K791),4)</f>
        <v>0</v>
      </c>
      <c r="W791" s="67">
        <f>ROUND(+(V791*60%)*D791,4)</f>
        <v>0</v>
      </c>
      <c r="X791" s="148">
        <f>ROUND(+U791+W791,4)</f>
        <v>0</v>
      </c>
      <c r="Y791" s="68"/>
      <c r="Z791" s="148">
        <f>ROUND(IF(X791&gt;I791,X791,I791),4)</f>
        <v>0</v>
      </c>
    </row>
    <row r="792" spans="1:26" x14ac:dyDescent="0.2">
      <c r="A792" s="66"/>
      <c r="B792" s="66"/>
      <c r="C792" s="66"/>
      <c r="D792" s="144"/>
      <c r="E792" s="67"/>
      <c r="F792" s="67"/>
      <c r="G792" s="67"/>
      <c r="H792" s="67">
        <f>ROUND(+E792+G792,4)</f>
        <v>0</v>
      </c>
      <c r="I792" s="67"/>
      <c r="J792" s="67">
        <f>ROUND(+I792-H792,4)</f>
        <v>0</v>
      </c>
      <c r="K792" s="67">
        <f>ROUND(IF(F792="alluminio",0,I792*1.5%),4)</f>
        <v>0</v>
      </c>
      <c r="L792" s="67">
        <f>ROUND(IF(K792&lt;J792,K792,0),4)</f>
        <v>0</v>
      </c>
      <c r="M792" s="67">
        <f>ROUND(IF(J792&gt;K792,0,J792),4)</f>
        <v>0</v>
      </c>
      <c r="N792" s="67">
        <f>ROUND(+L792*D792,4)</f>
        <v>0</v>
      </c>
      <c r="O792" s="67">
        <f>ROUND(IF(F792="rame",0,+I792*3%),4)</f>
        <v>0</v>
      </c>
      <c r="P792" s="67">
        <f>ROUND(IF(O792&lt;J792,O792,0),4)</f>
        <v>0</v>
      </c>
      <c r="Q792" s="67">
        <f>ROUND(IF(J792&gt;O792,0,J792),4)</f>
        <v>0</v>
      </c>
      <c r="R792" s="67">
        <f>ROUND(+P792*D792,4)</f>
        <v>0</v>
      </c>
      <c r="S792" s="67">
        <f>ROUND(IF(K792=0,0,M792*D792),4)</f>
        <v>0</v>
      </c>
      <c r="T792" s="67">
        <f>ROUND(+IF(K792=0,Q792*D792,0),4)</f>
        <v>0</v>
      </c>
      <c r="U792" s="67">
        <f>ROUND(+N792+R792+S792+T792,4)</f>
        <v>0</v>
      </c>
      <c r="V792" s="67">
        <f>ROUND(IF(P792=0,0,I792-H792-O792)+IF(L792=0,0,I792-H792-K792),4)</f>
        <v>0</v>
      </c>
      <c r="W792" s="67">
        <f>ROUND(+(V792*60%)*D792,4)</f>
        <v>0</v>
      </c>
      <c r="X792" s="148">
        <f>ROUND(+U792+W792,4)</f>
        <v>0</v>
      </c>
      <c r="Y792" s="68"/>
      <c r="Z792" s="148">
        <f>ROUND(IF(X792&gt;I792,X792,I792),4)</f>
        <v>0</v>
      </c>
    </row>
    <row r="793" spans="1:26" x14ac:dyDescent="0.2">
      <c r="A793" s="66"/>
      <c r="B793" s="66"/>
      <c r="C793" s="66"/>
      <c r="D793" s="144"/>
      <c r="E793" s="67"/>
      <c r="F793" s="67"/>
      <c r="G793" s="67"/>
      <c r="H793" s="67">
        <f>ROUND(+E793+G793,4)</f>
        <v>0</v>
      </c>
      <c r="I793" s="67"/>
      <c r="J793" s="67">
        <f>ROUND(+I793-H793,4)</f>
        <v>0</v>
      </c>
      <c r="K793" s="67">
        <f>ROUND(IF(F793="alluminio",0,I793*1.5%),4)</f>
        <v>0</v>
      </c>
      <c r="L793" s="67">
        <f>ROUND(IF(K793&lt;J793,K793,0),4)</f>
        <v>0</v>
      </c>
      <c r="M793" s="67">
        <f>ROUND(IF(J793&gt;K793,0,J793),4)</f>
        <v>0</v>
      </c>
      <c r="N793" s="67">
        <f>ROUND(+L793*D793,4)</f>
        <v>0</v>
      </c>
      <c r="O793" s="67">
        <f>ROUND(IF(F793="rame",0,+I793*3%),4)</f>
        <v>0</v>
      </c>
      <c r="P793" s="67">
        <f>ROUND(IF(O793&lt;J793,O793,0),4)</f>
        <v>0</v>
      </c>
      <c r="Q793" s="67">
        <f>ROUND(IF(J793&gt;O793,0,J793),4)</f>
        <v>0</v>
      </c>
      <c r="R793" s="67">
        <f>ROUND(+P793*D793,4)</f>
        <v>0</v>
      </c>
      <c r="S793" s="67">
        <f>ROUND(IF(K793=0,0,M793*D793),4)</f>
        <v>0</v>
      </c>
      <c r="T793" s="67">
        <f>ROUND(+IF(K793=0,Q793*D793,0),4)</f>
        <v>0</v>
      </c>
      <c r="U793" s="67">
        <f>ROUND(+N793+R793+S793+T793,4)</f>
        <v>0</v>
      </c>
      <c r="V793" s="67">
        <f>ROUND(IF(P793=0,0,I793-H793-O793)+IF(L793=0,0,I793-H793-K793),4)</f>
        <v>0</v>
      </c>
      <c r="W793" s="67">
        <f>ROUND(+(V793*60%)*D793,4)</f>
        <v>0</v>
      </c>
      <c r="X793" s="148">
        <f>ROUND(+U793+W793,4)</f>
        <v>0</v>
      </c>
      <c r="Y793" s="68"/>
      <c r="Z793" s="148">
        <f>ROUND(IF(X793&gt;I793,X793,I793),4)</f>
        <v>0</v>
      </c>
    </row>
    <row r="794" spans="1:26" x14ac:dyDescent="0.2">
      <c r="A794" s="66"/>
      <c r="B794" s="66"/>
      <c r="C794" s="66"/>
      <c r="D794" s="144"/>
      <c r="E794" s="67"/>
      <c r="F794" s="67"/>
      <c r="G794" s="67"/>
      <c r="H794" s="67">
        <f>ROUND(+E794+G794,4)</f>
        <v>0</v>
      </c>
      <c r="I794" s="67"/>
      <c r="J794" s="67">
        <f>ROUND(+I794-H794,4)</f>
        <v>0</v>
      </c>
      <c r="K794" s="67">
        <f>ROUND(IF(F794="alluminio",0,I794*1.5%),4)</f>
        <v>0</v>
      </c>
      <c r="L794" s="67">
        <f>ROUND(IF(K794&lt;J794,K794,0),4)</f>
        <v>0</v>
      </c>
      <c r="M794" s="67">
        <f>ROUND(IF(J794&gt;K794,0,J794),4)</f>
        <v>0</v>
      </c>
      <c r="N794" s="67">
        <f>ROUND(+L794*D794,4)</f>
        <v>0</v>
      </c>
      <c r="O794" s="67">
        <f>ROUND(IF(F794="rame",0,+I794*3%),4)</f>
        <v>0</v>
      </c>
      <c r="P794" s="67">
        <f>ROUND(IF(O794&lt;J794,O794,0),4)</f>
        <v>0</v>
      </c>
      <c r="Q794" s="67">
        <f>ROUND(IF(J794&gt;O794,0,J794),4)</f>
        <v>0</v>
      </c>
      <c r="R794" s="67">
        <f>ROUND(+P794*D794,4)</f>
        <v>0</v>
      </c>
      <c r="S794" s="67">
        <f>ROUND(IF(K794=0,0,M794*D794),4)</f>
        <v>0</v>
      </c>
      <c r="T794" s="67">
        <f>ROUND(+IF(K794=0,Q794*D794,0),4)</f>
        <v>0</v>
      </c>
      <c r="U794" s="67">
        <f>ROUND(+N794+R794+S794+T794,4)</f>
        <v>0</v>
      </c>
      <c r="V794" s="67">
        <f>ROUND(IF(P794=0,0,I794-H794-O794)+IF(L794=0,0,I794-H794-K794),4)</f>
        <v>0</v>
      </c>
      <c r="W794" s="67">
        <f>ROUND(+(V794*60%)*D794,4)</f>
        <v>0</v>
      </c>
      <c r="X794" s="148">
        <f>ROUND(+U794+W794,4)</f>
        <v>0</v>
      </c>
      <c r="Y794" s="68"/>
      <c r="Z794" s="148">
        <f>ROUND(IF(X794&gt;I794,X794,I794),4)</f>
        <v>0</v>
      </c>
    </row>
    <row r="795" spans="1:26" x14ac:dyDescent="0.2">
      <c r="A795" s="66"/>
      <c r="B795" s="66"/>
      <c r="C795" s="66"/>
      <c r="D795" s="144"/>
      <c r="E795" s="67"/>
      <c r="F795" s="67"/>
      <c r="G795" s="67"/>
      <c r="H795" s="67">
        <f>ROUND(+E795+G795,4)</f>
        <v>0</v>
      </c>
      <c r="I795" s="67"/>
      <c r="J795" s="67">
        <f>ROUND(+I795-H795,4)</f>
        <v>0</v>
      </c>
      <c r="K795" s="67">
        <f>ROUND(IF(F795="alluminio",0,I795*1.5%),4)</f>
        <v>0</v>
      </c>
      <c r="L795" s="67">
        <f>ROUND(IF(K795&lt;J795,K795,0),4)</f>
        <v>0</v>
      </c>
      <c r="M795" s="67">
        <f>ROUND(IF(J795&gt;K795,0,J795),4)</f>
        <v>0</v>
      </c>
      <c r="N795" s="67">
        <f>ROUND(+L795*D795,4)</f>
        <v>0</v>
      </c>
      <c r="O795" s="67">
        <f>ROUND(IF(F795="rame",0,+I795*3%),4)</f>
        <v>0</v>
      </c>
      <c r="P795" s="67">
        <f>ROUND(IF(O795&lt;J795,O795,0),4)</f>
        <v>0</v>
      </c>
      <c r="Q795" s="67">
        <f>ROUND(IF(J795&gt;O795,0,J795),4)</f>
        <v>0</v>
      </c>
      <c r="R795" s="67">
        <f>ROUND(+P795*D795,4)</f>
        <v>0</v>
      </c>
      <c r="S795" s="67">
        <f>ROUND(IF(K795=0,0,M795*D795),4)</f>
        <v>0</v>
      </c>
      <c r="T795" s="67">
        <f>ROUND(+IF(K795=0,Q795*D795,0),4)</f>
        <v>0</v>
      </c>
      <c r="U795" s="67">
        <f>ROUND(+N795+R795+S795+T795,4)</f>
        <v>0</v>
      </c>
      <c r="V795" s="67">
        <f>ROUND(IF(P795=0,0,I795-H795-O795)+IF(L795=0,0,I795-H795-K795),4)</f>
        <v>0</v>
      </c>
      <c r="W795" s="67">
        <f>ROUND(+(V795*60%)*D795,4)</f>
        <v>0</v>
      </c>
      <c r="X795" s="148">
        <f>ROUND(+U795+W795,4)</f>
        <v>0</v>
      </c>
      <c r="Y795" s="68"/>
      <c r="Z795" s="148">
        <f>ROUND(IF(X795&gt;I795,X795,I795),4)</f>
        <v>0</v>
      </c>
    </row>
    <row r="796" spans="1:26" x14ac:dyDescent="0.2">
      <c r="A796" s="66"/>
      <c r="B796" s="66"/>
      <c r="C796" s="66"/>
      <c r="D796" s="144"/>
      <c r="E796" s="67"/>
      <c r="F796" s="67"/>
      <c r="G796" s="67"/>
      <c r="H796" s="67">
        <f>ROUND(+E796+G796,4)</f>
        <v>0</v>
      </c>
      <c r="I796" s="67"/>
      <c r="J796" s="67">
        <f>ROUND(+I796-H796,4)</f>
        <v>0</v>
      </c>
      <c r="K796" s="67">
        <f>ROUND(IF(F796="alluminio",0,I796*1.5%),4)</f>
        <v>0</v>
      </c>
      <c r="L796" s="67">
        <f>ROUND(IF(K796&lt;J796,K796,0),4)</f>
        <v>0</v>
      </c>
      <c r="M796" s="67">
        <f>ROUND(IF(J796&gt;K796,0,J796),4)</f>
        <v>0</v>
      </c>
      <c r="N796" s="67">
        <f>ROUND(+L796*D796,4)</f>
        <v>0</v>
      </c>
      <c r="O796" s="67">
        <f>ROUND(IF(F796="rame",0,+I796*3%),4)</f>
        <v>0</v>
      </c>
      <c r="P796" s="67">
        <f>ROUND(IF(O796&lt;J796,O796,0),4)</f>
        <v>0</v>
      </c>
      <c r="Q796" s="67">
        <f>ROUND(IF(J796&gt;O796,0,J796),4)</f>
        <v>0</v>
      </c>
      <c r="R796" s="67">
        <f>ROUND(+P796*D796,4)</f>
        <v>0</v>
      </c>
      <c r="S796" s="67">
        <f>ROUND(IF(K796=0,0,M796*D796),4)</f>
        <v>0</v>
      </c>
      <c r="T796" s="67">
        <f>ROUND(+IF(K796=0,Q796*D796,0),4)</f>
        <v>0</v>
      </c>
      <c r="U796" s="67">
        <f>ROUND(+N796+R796+S796+T796,4)</f>
        <v>0</v>
      </c>
      <c r="V796" s="67">
        <f>ROUND(IF(P796=0,0,I796-H796-O796)+IF(L796=0,0,I796-H796-K796),4)</f>
        <v>0</v>
      </c>
      <c r="W796" s="67">
        <f>ROUND(+(V796*60%)*D796,4)</f>
        <v>0</v>
      </c>
      <c r="X796" s="148">
        <f>ROUND(+U796+W796,4)</f>
        <v>0</v>
      </c>
      <c r="Y796" s="68"/>
      <c r="Z796" s="148">
        <f>ROUND(IF(X796&gt;I796,X796,I796),4)</f>
        <v>0</v>
      </c>
    </row>
    <row r="797" spans="1:26" x14ac:dyDescent="0.2">
      <c r="A797" s="66"/>
      <c r="B797" s="66"/>
      <c r="C797" s="66"/>
      <c r="D797" s="144"/>
      <c r="E797" s="67"/>
      <c r="F797" s="67"/>
      <c r="G797" s="67"/>
      <c r="H797" s="67">
        <f>ROUND(+E797+G797,4)</f>
        <v>0</v>
      </c>
      <c r="I797" s="67"/>
      <c r="J797" s="67">
        <f>ROUND(+I797-H797,4)</f>
        <v>0</v>
      </c>
      <c r="K797" s="67">
        <f>ROUND(IF(F797="alluminio",0,I797*1.5%),4)</f>
        <v>0</v>
      </c>
      <c r="L797" s="67">
        <f>ROUND(IF(K797&lt;J797,K797,0),4)</f>
        <v>0</v>
      </c>
      <c r="M797" s="67">
        <f>ROUND(IF(J797&gt;K797,0,J797),4)</f>
        <v>0</v>
      </c>
      <c r="N797" s="67">
        <f>ROUND(+L797*D797,4)</f>
        <v>0</v>
      </c>
      <c r="O797" s="67">
        <f>ROUND(IF(F797="rame",0,+I797*3%),4)</f>
        <v>0</v>
      </c>
      <c r="P797" s="67">
        <f>ROUND(IF(O797&lt;J797,O797,0),4)</f>
        <v>0</v>
      </c>
      <c r="Q797" s="67">
        <f>ROUND(IF(J797&gt;O797,0,J797),4)</f>
        <v>0</v>
      </c>
      <c r="R797" s="67">
        <f>ROUND(+P797*D797,4)</f>
        <v>0</v>
      </c>
      <c r="S797" s="67">
        <f>ROUND(IF(K797=0,0,M797*D797),4)</f>
        <v>0</v>
      </c>
      <c r="T797" s="67">
        <f>ROUND(+IF(K797=0,Q797*D797,0),4)</f>
        <v>0</v>
      </c>
      <c r="U797" s="67">
        <f>ROUND(+N797+R797+S797+T797,4)</f>
        <v>0</v>
      </c>
      <c r="V797" s="67">
        <f>ROUND(IF(P797=0,0,I797-H797-O797)+IF(L797=0,0,I797-H797-K797),4)</f>
        <v>0</v>
      </c>
      <c r="W797" s="67">
        <f>ROUND(+(V797*60%)*D797,4)</f>
        <v>0</v>
      </c>
      <c r="X797" s="148">
        <f>ROUND(+U797+W797,4)</f>
        <v>0</v>
      </c>
      <c r="Y797" s="68"/>
      <c r="Z797" s="148">
        <f>ROUND(IF(X797&gt;I797,X797,I797),4)</f>
        <v>0</v>
      </c>
    </row>
    <row r="798" spans="1:26" x14ac:dyDescent="0.2">
      <c r="A798" s="66"/>
      <c r="B798" s="66"/>
      <c r="C798" s="66"/>
      <c r="D798" s="144"/>
      <c r="E798" s="67"/>
      <c r="F798" s="67"/>
      <c r="G798" s="67"/>
      <c r="H798" s="67">
        <f>ROUND(+E798+G798,4)</f>
        <v>0</v>
      </c>
      <c r="I798" s="67"/>
      <c r="J798" s="67">
        <f>ROUND(+I798-H798,4)</f>
        <v>0</v>
      </c>
      <c r="K798" s="67">
        <f>ROUND(IF(F798="alluminio",0,I798*1.5%),4)</f>
        <v>0</v>
      </c>
      <c r="L798" s="67">
        <f>ROUND(IF(K798&lt;J798,K798,0),4)</f>
        <v>0</v>
      </c>
      <c r="M798" s="67">
        <f>ROUND(IF(J798&gt;K798,0,J798),4)</f>
        <v>0</v>
      </c>
      <c r="N798" s="67">
        <f>ROUND(+L798*D798,4)</f>
        <v>0</v>
      </c>
      <c r="O798" s="67">
        <f>ROUND(IF(F798="rame",0,+I798*3%),4)</f>
        <v>0</v>
      </c>
      <c r="P798" s="67">
        <f>ROUND(IF(O798&lt;J798,O798,0),4)</f>
        <v>0</v>
      </c>
      <c r="Q798" s="67">
        <f>ROUND(IF(J798&gt;O798,0,J798),4)</f>
        <v>0</v>
      </c>
      <c r="R798" s="67">
        <f>ROUND(+P798*D798,4)</f>
        <v>0</v>
      </c>
      <c r="S798" s="67">
        <f>ROUND(IF(K798=0,0,M798*D798),4)</f>
        <v>0</v>
      </c>
      <c r="T798" s="67">
        <f>ROUND(+IF(K798=0,Q798*D798,0),4)</f>
        <v>0</v>
      </c>
      <c r="U798" s="67">
        <f>ROUND(+N798+R798+S798+T798,4)</f>
        <v>0</v>
      </c>
      <c r="V798" s="67">
        <f>ROUND(IF(P798=0,0,I798-H798-O798)+IF(L798=0,0,I798-H798-K798),4)</f>
        <v>0</v>
      </c>
      <c r="W798" s="67">
        <f>ROUND(+(V798*60%)*D798,4)</f>
        <v>0</v>
      </c>
      <c r="X798" s="148">
        <f>ROUND(+U798+W798,4)</f>
        <v>0</v>
      </c>
      <c r="Y798" s="68"/>
      <c r="Z798" s="148">
        <f>ROUND(IF(X798&gt;I798,X798,I798),4)</f>
        <v>0</v>
      </c>
    </row>
    <row r="799" spans="1:26" x14ac:dyDescent="0.2">
      <c r="A799" s="66"/>
      <c r="B799" s="66"/>
      <c r="C799" s="66"/>
      <c r="D799" s="144"/>
      <c r="E799" s="67"/>
      <c r="F799" s="67"/>
      <c r="G799" s="67"/>
      <c r="H799" s="67">
        <f>ROUND(+E799+G799,4)</f>
        <v>0</v>
      </c>
      <c r="I799" s="67"/>
      <c r="J799" s="67">
        <f>ROUND(+I799-H799,4)</f>
        <v>0</v>
      </c>
      <c r="K799" s="67">
        <f>ROUND(IF(F799="alluminio",0,I799*1.5%),4)</f>
        <v>0</v>
      </c>
      <c r="L799" s="67">
        <f>ROUND(IF(K799&lt;J799,K799,0),4)</f>
        <v>0</v>
      </c>
      <c r="M799" s="67">
        <f>ROUND(IF(J799&gt;K799,0,J799),4)</f>
        <v>0</v>
      </c>
      <c r="N799" s="67">
        <f>ROUND(+L799*D799,4)</f>
        <v>0</v>
      </c>
      <c r="O799" s="67">
        <f>ROUND(IF(F799="rame",0,+I799*3%),4)</f>
        <v>0</v>
      </c>
      <c r="P799" s="67">
        <f>ROUND(IF(O799&lt;J799,O799,0),4)</f>
        <v>0</v>
      </c>
      <c r="Q799" s="67">
        <f>ROUND(IF(J799&gt;O799,0,J799),4)</f>
        <v>0</v>
      </c>
      <c r="R799" s="67">
        <f>ROUND(+P799*D799,4)</f>
        <v>0</v>
      </c>
      <c r="S799" s="67">
        <f>ROUND(IF(K799=0,0,M799*D799),4)</f>
        <v>0</v>
      </c>
      <c r="T799" s="67">
        <f>ROUND(+IF(K799=0,Q799*D799,0),4)</f>
        <v>0</v>
      </c>
      <c r="U799" s="67">
        <f>ROUND(+N799+R799+S799+T799,4)</f>
        <v>0</v>
      </c>
      <c r="V799" s="67">
        <f>ROUND(IF(P799=0,0,I799-H799-O799)+IF(L799=0,0,I799-H799-K799),4)</f>
        <v>0</v>
      </c>
      <c r="W799" s="67">
        <f>ROUND(+(V799*60%)*D799,4)</f>
        <v>0</v>
      </c>
      <c r="X799" s="148">
        <f>ROUND(+U799+W799,4)</f>
        <v>0</v>
      </c>
      <c r="Y799" s="68"/>
      <c r="Z799" s="148">
        <f>ROUND(IF(X799&gt;I799,X799,I799),4)</f>
        <v>0</v>
      </c>
    </row>
    <row r="800" spans="1:26" x14ac:dyDescent="0.2">
      <c r="A800" s="66"/>
      <c r="B800" s="66"/>
      <c r="C800" s="66"/>
      <c r="D800" s="144"/>
      <c r="E800" s="67"/>
      <c r="F800" s="67"/>
      <c r="G800" s="67"/>
      <c r="H800" s="67">
        <f>ROUND(+E800+G800,4)</f>
        <v>0</v>
      </c>
      <c r="I800" s="67"/>
      <c r="J800" s="67">
        <f>ROUND(+I800-H800,4)</f>
        <v>0</v>
      </c>
      <c r="K800" s="67">
        <f>ROUND(IF(F800="alluminio",0,I800*1.5%),4)</f>
        <v>0</v>
      </c>
      <c r="L800" s="67">
        <f>ROUND(IF(K800&lt;J800,K800,0),4)</f>
        <v>0</v>
      </c>
      <c r="M800" s="67">
        <f>ROUND(IF(J800&gt;K800,0,J800),4)</f>
        <v>0</v>
      </c>
      <c r="N800" s="67">
        <f>ROUND(+L800*D800,4)</f>
        <v>0</v>
      </c>
      <c r="O800" s="67">
        <f>ROUND(IF(F800="rame",0,+I800*3%),4)</f>
        <v>0</v>
      </c>
      <c r="P800" s="67">
        <f>ROUND(IF(O800&lt;J800,O800,0),4)</f>
        <v>0</v>
      </c>
      <c r="Q800" s="67">
        <f>ROUND(IF(J800&gt;O800,0,J800),4)</f>
        <v>0</v>
      </c>
      <c r="R800" s="67">
        <f>ROUND(+P800*D800,4)</f>
        <v>0</v>
      </c>
      <c r="S800" s="67">
        <f>ROUND(IF(K800=0,0,M800*D800),4)</f>
        <v>0</v>
      </c>
      <c r="T800" s="67">
        <f>ROUND(+IF(K800=0,Q800*D800,0),4)</f>
        <v>0</v>
      </c>
      <c r="U800" s="67">
        <f>ROUND(+N800+R800+S800+T800,4)</f>
        <v>0</v>
      </c>
      <c r="V800" s="67">
        <f>ROUND(IF(P800=0,0,I800-H800-O800)+IF(L800=0,0,I800-H800-K800),4)</f>
        <v>0</v>
      </c>
      <c r="W800" s="67">
        <f>ROUND(+(V800*60%)*D800,4)</f>
        <v>0</v>
      </c>
      <c r="X800" s="148">
        <f>ROUND(+U800+W800,4)</f>
        <v>0</v>
      </c>
      <c r="Y800" s="68"/>
      <c r="Z800" s="148">
        <f>ROUND(IF(X800&gt;I800,X800,I800),4)</f>
        <v>0</v>
      </c>
    </row>
    <row r="801" spans="1:26" x14ac:dyDescent="0.2">
      <c r="A801" s="66"/>
      <c r="B801" s="66"/>
      <c r="C801" s="66"/>
      <c r="D801" s="144"/>
      <c r="E801" s="67"/>
      <c r="F801" s="67"/>
      <c r="G801" s="67"/>
      <c r="H801" s="67">
        <f>ROUND(+E801+G801,4)</f>
        <v>0</v>
      </c>
      <c r="I801" s="67"/>
      <c r="J801" s="67">
        <f>ROUND(+I801-H801,4)</f>
        <v>0</v>
      </c>
      <c r="K801" s="67">
        <f>ROUND(IF(F801="alluminio",0,I801*1.5%),4)</f>
        <v>0</v>
      </c>
      <c r="L801" s="67">
        <f>ROUND(IF(K801&lt;J801,K801,0),4)</f>
        <v>0</v>
      </c>
      <c r="M801" s="67">
        <f>ROUND(IF(J801&gt;K801,0,J801),4)</f>
        <v>0</v>
      </c>
      <c r="N801" s="67">
        <f>ROUND(+L801*D801,4)</f>
        <v>0</v>
      </c>
      <c r="O801" s="67">
        <f>ROUND(IF(F801="rame",0,+I801*3%),4)</f>
        <v>0</v>
      </c>
      <c r="P801" s="67">
        <f>ROUND(IF(O801&lt;J801,O801,0),4)</f>
        <v>0</v>
      </c>
      <c r="Q801" s="67">
        <f>ROUND(IF(J801&gt;O801,0,J801),4)</f>
        <v>0</v>
      </c>
      <c r="R801" s="67">
        <f>ROUND(+P801*D801,4)</f>
        <v>0</v>
      </c>
      <c r="S801" s="67">
        <f>ROUND(IF(K801=0,0,M801*D801),4)</f>
        <v>0</v>
      </c>
      <c r="T801" s="67">
        <f>ROUND(+IF(K801=0,Q801*D801,0),4)</f>
        <v>0</v>
      </c>
      <c r="U801" s="67">
        <f>ROUND(+N801+R801+S801+T801,4)</f>
        <v>0</v>
      </c>
      <c r="V801" s="67">
        <f>ROUND(IF(P801=0,0,I801-H801-O801)+IF(L801=0,0,I801-H801-K801),4)</f>
        <v>0</v>
      </c>
      <c r="W801" s="67">
        <f>ROUND(+(V801*60%)*D801,4)</f>
        <v>0</v>
      </c>
      <c r="X801" s="148">
        <f>ROUND(+U801+W801,4)</f>
        <v>0</v>
      </c>
      <c r="Y801" s="68"/>
      <c r="Z801" s="148">
        <f>ROUND(IF(X801&gt;I801,X801,I801),4)</f>
        <v>0</v>
      </c>
    </row>
    <row r="802" spans="1:26" x14ac:dyDescent="0.2">
      <c r="A802" s="66"/>
      <c r="B802" s="66"/>
      <c r="C802" s="66"/>
      <c r="D802" s="144"/>
      <c r="E802" s="67"/>
      <c r="F802" s="67"/>
      <c r="G802" s="67"/>
      <c r="H802" s="67">
        <f>ROUND(+E802+G802,4)</f>
        <v>0</v>
      </c>
      <c r="I802" s="67"/>
      <c r="J802" s="67">
        <f>ROUND(+I802-H802,4)</f>
        <v>0</v>
      </c>
      <c r="K802" s="67">
        <f>ROUND(IF(F802="alluminio",0,I802*1.5%),4)</f>
        <v>0</v>
      </c>
      <c r="L802" s="67">
        <f>ROUND(IF(K802&lt;J802,K802,0),4)</f>
        <v>0</v>
      </c>
      <c r="M802" s="67">
        <f>ROUND(IF(J802&gt;K802,0,J802),4)</f>
        <v>0</v>
      </c>
      <c r="N802" s="67">
        <f>ROUND(+L802*D802,4)</f>
        <v>0</v>
      </c>
      <c r="O802" s="67">
        <f>ROUND(IF(F802="rame",0,+I802*3%),4)</f>
        <v>0</v>
      </c>
      <c r="P802" s="67">
        <f>ROUND(IF(O802&lt;J802,O802,0),4)</f>
        <v>0</v>
      </c>
      <c r="Q802" s="67">
        <f>ROUND(IF(J802&gt;O802,0,J802),4)</f>
        <v>0</v>
      </c>
      <c r="R802" s="67">
        <f>ROUND(+P802*D802,4)</f>
        <v>0</v>
      </c>
      <c r="S802" s="67">
        <f>ROUND(IF(K802=0,0,M802*D802),4)</f>
        <v>0</v>
      </c>
      <c r="T802" s="67">
        <f>ROUND(+IF(K802=0,Q802*D802,0),4)</f>
        <v>0</v>
      </c>
      <c r="U802" s="67">
        <f>ROUND(+N802+R802+S802+T802,4)</f>
        <v>0</v>
      </c>
      <c r="V802" s="67">
        <f>ROUND(IF(P802=0,0,I802-H802-O802)+IF(L802=0,0,I802-H802-K802),4)</f>
        <v>0</v>
      </c>
      <c r="W802" s="67">
        <f>ROUND(+(V802*60%)*D802,4)</f>
        <v>0</v>
      </c>
      <c r="X802" s="148">
        <f>ROUND(+U802+W802,4)</f>
        <v>0</v>
      </c>
      <c r="Y802" s="68"/>
      <c r="Z802" s="148">
        <f>ROUND(IF(X802&gt;I802,X802,I802),4)</f>
        <v>0</v>
      </c>
    </row>
    <row r="803" spans="1:26" x14ac:dyDescent="0.2">
      <c r="A803" s="66"/>
      <c r="B803" s="66"/>
      <c r="C803" s="66"/>
      <c r="D803" s="144"/>
      <c r="E803" s="67"/>
      <c r="F803" s="67"/>
      <c r="G803" s="67"/>
      <c r="H803" s="67">
        <f>ROUND(+E803+G803,4)</f>
        <v>0</v>
      </c>
      <c r="I803" s="67"/>
      <c r="J803" s="67">
        <f>ROUND(+I803-H803,4)</f>
        <v>0</v>
      </c>
      <c r="K803" s="67">
        <f>ROUND(IF(F803="alluminio",0,I803*1.5%),4)</f>
        <v>0</v>
      </c>
      <c r="L803" s="67">
        <f>ROUND(IF(K803&lt;J803,K803,0),4)</f>
        <v>0</v>
      </c>
      <c r="M803" s="67">
        <f>ROUND(IF(J803&gt;K803,0,J803),4)</f>
        <v>0</v>
      </c>
      <c r="N803" s="67">
        <f>ROUND(+L803*D803,4)</f>
        <v>0</v>
      </c>
      <c r="O803" s="67">
        <f>ROUND(IF(F803="rame",0,+I803*3%),4)</f>
        <v>0</v>
      </c>
      <c r="P803" s="67">
        <f>ROUND(IF(O803&lt;J803,O803,0),4)</f>
        <v>0</v>
      </c>
      <c r="Q803" s="67">
        <f>ROUND(IF(J803&gt;O803,0,J803),4)</f>
        <v>0</v>
      </c>
      <c r="R803" s="67">
        <f>ROUND(+P803*D803,4)</f>
        <v>0</v>
      </c>
      <c r="S803" s="67">
        <f>ROUND(IF(K803=0,0,M803*D803),4)</f>
        <v>0</v>
      </c>
      <c r="T803" s="67">
        <f>ROUND(+IF(K803=0,Q803*D803,0),4)</f>
        <v>0</v>
      </c>
      <c r="U803" s="67">
        <f>ROUND(+N803+R803+S803+T803,4)</f>
        <v>0</v>
      </c>
      <c r="V803" s="67">
        <f>ROUND(IF(P803=0,0,I803-H803-O803)+IF(L803=0,0,I803-H803-K803),4)</f>
        <v>0</v>
      </c>
      <c r="W803" s="67">
        <f>ROUND(+(V803*60%)*D803,4)</f>
        <v>0</v>
      </c>
      <c r="X803" s="148">
        <f>ROUND(+U803+W803,4)</f>
        <v>0</v>
      </c>
      <c r="Y803" s="68"/>
      <c r="Z803" s="148">
        <f>ROUND(IF(X803&gt;I803,X803,I803),4)</f>
        <v>0</v>
      </c>
    </row>
    <row r="804" spans="1:26" x14ac:dyDescent="0.2">
      <c r="A804" s="66"/>
      <c r="B804" s="66"/>
      <c r="C804" s="66"/>
      <c r="D804" s="144"/>
      <c r="E804" s="67"/>
      <c r="F804" s="67"/>
      <c r="G804" s="67"/>
      <c r="H804" s="67">
        <f>ROUND(+E804+G804,4)</f>
        <v>0</v>
      </c>
      <c r="I804" s="67"/>
      <c r="J804" s="67">
        <f>ROUND(+I804-H804,4)</f>
        <v>0</v>
      </c>
      <c r="K804" s="67">
        <f>ROUND(IF(F804="alluminio",0,I804*1.5%),4)</f>
        <v>0</v>
      </c>
      <c r="L804" s="67">
        <f>ROUND(IF(K804&lt;J804,K804,0),4)</f>
        <v>0</v>
      </c>
      <c r="M804" s="67">
        <f>ROUND(IF(J804&gt;K804,0,J804),4)</f>
        <v>0</v>
      </c>
      <c r="N804" s="67">
        <f>ROUND(+L804*D804,4)</f>
        <v>0</v>
      </c>
      <c r="O804" s="67">
        <f>ROUND(IF(F804="rame",0,+I804*3%),4)</f>
        <v>0</v>
      </c>
      <c r="P804" s="67">
        <f>ROUND(IF(O804&lt;J804,O804,0),4)</f>
        <v>0</v>
      </c>
      <c r="Q804" s="67">
        <f>ROUND(IF(J804&gt;O804,0,J804),4)</f>
        <v>0</v>
      </c>
      <c r="R804" s="67">
        <f>ROUND(+P804*D804,4)</f>
        <v>0</v>
      </c>
      <c r="S804" s="67">
        <f>ROUND(IF(K804=0,0,M804*D804),4)</f>
        <v>0</v>
      </c>
      <c r="T804" s="67">
        <f>ROUND(+IF(K804=0,Q804*D804,0),4)</f>
        <v>0</v>
      </c>
      <c r="U804" s="67">
        <f>ROUND(+N804+R804+S804+T804,4)</f>
        <v>0</v>
      </c>
      <c r="V804" s="67">
        <f>ROUND(IF(P804=0,0,I804-H804-O804)+IF(L804=0,0,I804-H804-K804),4)</f>
        <v>0</v>
      </c>
      <c r="W804" s="67">
        <f>ROUND(+(V804*60%)*D804,4)</f>
        <v>0</v>
      </c>
      <c r="X804" s="148">
        <f>ROUND(+U804+W804,4)</f>
        <v>0</v>
      </c>
      <c r="Y804" s="68"/>
      <c r="Z804" s="148">
        <f>ROUND(IF(X804&gt;I804,X804,I804),4)</f>
        <v>0</v>
      </c>
    </row>
    <row r="805" spans="1:26" x14ac:dyDescent="0.2">
      <c r="A805" s="66"/>
      <c r="B805" s="66"/>
      <c r="C805" s="66"/>
      <c r="D805" s="144"/>
      <c r="E805" s="67"/>
      <c r="F805" s="67"/>
      <c r="G805" s="67"/>
      <c r="H805" s="67">
        <f>ROUND(+E805+G805,4)</f>
        <v>0</v>
      </c>
      <c r="I805" s="67"/>
      <c r="J805" s="67">
        <f>ROUND(+I805-H805,4)</f>
        <v>0</v>
      </c>
      <c r="K805" s="67">
        <f>ROUND(IF(F805="alluminio",0,I805*1.5%),4)</f>
        <v>0</v>
      </c>
      <c r="L805" s="67">
        <f>ROUND(IF(K805&lt;J805,K805,0),4)</f>
        <v>0</v>
      </c>
      <c r="M805" s="67">
        <f>ROUND(IF(J805&gt;K805,0,J805),4)</f>
        <v>0</v>
      </c>
      <c r="N805" s="67">
        <f>ROUND(+L805*D805,4)</f>
        <v>0</v>
      </c>
      <c r="O805" s="67">
        <f>ROUND(IF(F805="rame",0,+I805*3%),4)</f>
        <v>0</v>
      </c>
      <c r="P805" s="67">
        <f>ROUND(IF(O805&lt;J805,O805,0),4)</f>
        <v>0</v>
      </c>
      <c r="Q805" s="67">
        <f>ROUND(IF(J805&gt;O805,0,J805),4)</f>
        <v>0</v>
      </c>
      <c r="R805" s="67">
        <f>ROUND(+P805*D805,4)</f>
        <v>0</v>
      </c>
      <c r="S805" s="67">
        <f>ROUND(IF(K805=0,0,M805*D805),4)</f>
        <v>0</v>
      </c>
      <c r="T805" s="67">
        <f>ROUND(+IF(K805=0,Q805*D805,0),4)</f>
        <v>0</v>
      </c>
      <c r="U805" s="67">
        <f>ROUND(+N805+R805+S805+T805,4)</f>
        <v>0</v>
      </c>
      <c r="V805" s="67">
        <f>ROUND(IF(P805=0,0,I805-H805-O805)+IF(L805=0,0,I805-H805-K805),4)</f>
        <v>0</v>
      </c>
      <c r="W805" s="67">
        <f>ROUND(+(V805*60%)*D805,4)</f>
        <v>0</v>
      </c>
      <c r="X805" s="148">
        <f>ROUND(+U805+W805,4)</f>
        <v>0</v>
      </c>
      <c r="Y805" s="68"/>
      <c r="Z805" s="148">
        <f>ROUND(IF(X805&gt;I805,X805,I805),4)</f>
        <v>0</v>
      </c>
    </row>
    <row r="806" spans="1:26" x14ac:dyDescent="0.2">
      <c r="A806" s="66"/>
      <c r="B806" s="66"/>
      <c r="C806" s="66"/>
      <c r="D806" s="144"/>
      <c r="E806" s="67"/>
      <c r="F806" s="67"/>
      <c r="G806" s="67"/>
      <c r="H806" s="67">
        <f>ROUND(+E806+G806,4)</f>
        <v>0</v>
      </c>
      <c r="I806" s="67"/>
      <c r="J806" s="67">
        <f>ROUND(+I806-H806,4)</f>
        <v>0</v>
      </c>
      <c r="K806" s="67">
        <f>ROUND(IF(F806="alluminio",0,I806*1.5%),4)</f>
        <v>0</v>
      </c>
      <c r="L806" s="67">
        <f>ROUND(IF(K806&lt;J806,K806,0),4)</f>
        <v>0</v>
      </c>
      <c r="M806" s="67">
        <f>ROUND(IF(J806&gt;K806,0,J806),4)</f>
        <v>0</v>
      </c>
      <c r="N806" s="67">
        <f>ROUND(+L806*D806,4)</f>
        <v>0</v>
      </c>
      <c r="O806" s="67">
        <f>ROUND(IF(F806="rame",0,+I806*3%),4)</f>
        <v>0</v>
      </c>
      <c r="P806" s="67">
        <f>ROUND(IF(O806&lt;J806,O806,0),4)</f>
        <v>0</v>
      </c>
      <c r="Q806" s="67">
        <f>ROUND(IF(J806&gt;O806,0,J806),4)</f>
        <v>0</v>
      </c>
      <c r="R806" s="67">
        <f>ROUND(+P806*D806,4)</f>
        <v>0</v>
      </c>
      <c r="S806" s="67">
        <f>ROUND(IF(K806=0,0,M806*D806),4)</f>
        <v>0</v>
      </c>
      <c r="T806" s="67">
        <f>ROUND(+IF(K806=0,Q806*D806,0),4)</f>
        <v>0</v>
      </c>
      <c r="U806" s="67">
        <f>ROUND(+N806+R806+S806+T806,4)</f>
        <v>0</v>
      </c>
      <c r="V806" s="67">
        <f>ROUND(IF(P806=0,0,I806-H806-O806)+IF(L806=0,0,I806-H806-K806),4)</f>
        <v>0</v>
      </c>
      <c r="W806" s="67">
        <f>ROUND(+(V806*60%)*D806,4)</f>
        <v>0</v>
      </c>
      <c r="X806" s="148">
        <f>ROUND(+U806+W806,4)</f>
        <v>0</v>
      </c>
      <c r="Y806" s="68"/>
      <c r="Z806" s="148">
        <f>ROUND(IF(X806&gt;I806,X806,I806),4)</f>
        <v>0</v>
      </c>
    </row>
    <row r="807" spans="1:26" x14ac:dyDescent="0.2">
      <c r="A807" s="66"/>
      <c r="B807" s="66"/>
      <c r="C807" s="66"/>
      <c r="D807" s="144"/>
      <c r="E807" s="67"/>
      <c r="F807" s="67"/>
      <c r="G807" s="67"/>
      <c r="H807" s="67">
        <f>ROUND(+E807+G807,4)</f>
        <v>0</v>
      </c>
      <c r="I807" s="67"/>
      <c r="J807" s="67">
        <f>ROUND(+I807-H807,4)</f>
        <v>0</v>
      </c>
      <c r="K807" s="67">
        <f>ROUND(IF(F807="alluminio",0,I807*1.5%),4)</f>
        <v>0</v>
      </c>
      <c r="L807" s="67">
        <f>ROUND(IF(K807&lt;J807,K807,0),4)</f>
        <v>0</v>
      </c>
      <c r="M807" s="67">
        <f>ROUND(IF(J807&gt;K807,0,J807),4)</f>
        <v>0</v>
      </c>
      <c r="N807" s="67">
        <f>ROUND(+L807*D807,4)</f>
        <v>0</v>
      </c>
      <c r="O807" s="67">
        <f>ROUND(IF(F807="rame",0,+I807*3%),4)</f>
        <v>0</v>
      </c>
      <c r="P807" s="67">
        <f>ROUND(IF(O807&lt;J807,O807,0),4)</f>
        <v>0</v>
      </c>
      <c r="Q807" s="67">
        <f>ROUND(IF(J807&gt;O807,0,J807),4)</f>
        <v>0</v>
      </c>
      <c r="R807" s="67">
        <f>ROUND(+P807*D807,4)</f>
        <v>0</v>
      </c>
      <c r="S807" s="67">
        <f>ROUND(IF(K807=0,0,M807*D807),4)</f>
        <v>0</v>
      </c>
      <c r="T807" s="67">
        <f>ROUND(+IF(K807=0,Q807*D807,0),4)</f>
        <v>0</v>
      </c>
      <c r="U807" s="67">
        <f>ROUND(+N807+R807+S807+T807,4)</f>
        <v>0</v>
      </c>
      <c r="V807" s="67">
        <f>ROUND(IF(P807=0,0,I807-H807-O807)+IF(L807=0,0,I807-H807-K807),4)</f>
        <v>0</v>
      </c>
      <c r="W807" s="67">
        <f>ROUND(+(V807*60%)*D807,4)</f>
        <v>0</v>
      </c>
      <c r="X807" s="148">
        <f>ROUND(+U807+W807,4)</f>
        <v>0</v>
      </c>
      <c r="Y807" s="68"/>
      <c r="Z807" s="148">
        <f>ROUND(IF(X807&gt;I807,X807,I807),4)</f>
        <v>0</v>
      </c>
    </row>
    <row r="808" spans="1:26" x14ac:dyDescent="0.2">
      <c r="A808" s="66"/>
      <c r="B808" s="66"/>
      <c r="C808" s="66"/>
      <c r="D808" s="144"/>
      <c r="E808" s="67"/>
      <c r="F808" s="67"/>
      <c r="G808" s="67"/>
      <c r="H808" s="67">
        <f>ROUND(+E808+G808,4)</f>
        <v>0</v>
      </c>
      <c r="I808" s="67"/>
      <c r="J808" s="67">
        <f>ROUND(+I808-H808,4)</f>
        <v>0</v>
      </c>
      <c r="K808" s="67">
        <f>ROUND(IF(F808="alluminio",0,I808*1.5%),4)</f>
        <v>0</v>
      </c>
      <c r="L808" s="67">
        <f>ROUND(IF(K808&lt;J808,K808,0),4)</f>
        <v>0</v>
      </c>
      <c r="M808" s="67">
        <f>ROUND(IF(J808&gt;K808,0,J808),4)</f>
        <v>0</v>
      </c>
      <c r="N808" s="67">
        <f>ROUND(+L808*D808,4)</f>
        <v>0</v>
      </c>
      <c r="O808" s="67">
        <f>ROUND(IF(F808="rame",0,+I808*3%),4)</f>
        <v>0</v>
      </c>
      <c r="P808" s="67">
        <f>ROUND(IF(O808&lt;J808,O808,0),4)</f>
        <v>0</v>
      </c>
      <c r="Q808" s="67">
        <f>ROUND(IF(J808&gt;O808,0,J808),4)</f>
        <v>0</v>
      </c>
      <c r="R808" s="67">
        <f>ROUND(+P808*D808,4)</f>
        <v>0</v>
      </c>
      <c r="S808" s="67">
        <f>ROUND(IF(K808=0,0,M808*D808),4)</f>
        <v>0</v>
      </c>
      <c r="T808" s="67">
        <f>ROUND(+IF(K808=0,Q808*D808,0),4)</f>
        <v>0</v>
      </c>
      <c r="U808" s="67">
        <f>ROUND(+N808+R808+S808+T808,4)</f>
        <v>0</v>
      </c>
      <c r="V808" s="67">
        <f>ROUND(IF(P808=0,0,I808-H808-O808)+IF(L808=0,0,I808-H808-K808),4)</f>
        <v>0</v>
      </c>
      <c r="W808" s="67">
        <f>ROUND(+(V808*60%)*D808,4)</f>
        <v>0</v>
      </c>
      <c r="X808" s="148">
        <f>ROUND(+U808+W808,4)</f>
        <v>0</v>
      </c>
      <c r="Y808" s="68"/>
      <c r="Z808" s="148">
        <f>ROUND(IF(X808&gt;I808,X808,I808),4)</f>
        <v>0</v>
      </c>
    </row>
    <row r="809" spans="1:26" x14ac:dyDescent="0.2">
      <c r="A809" s="66"/>
      <c r="B809" s="66"/>
      <c r="C809" s="66"/>
      <c r="D809" s="144"/>
      <c r="E809" s="67"/>
      <c r="F809" s="67"/>
      <c r="G809" s="67"/>
      <c r="H809" s="67">
        <f>ROUND(+E809+G809,4)</f>
        <v>0</v>
      </c>
      <c r="I809" s="67"/>
      <c r="J809" s="67">
        <f>ROUND(+I809-H809,4)</f>
        <v>0</v>
      </c>
      <c r="K809" s="67">
        <f>ROUND(IF(F809="alluminio",0,I809*1.5%),4)</f>
        <v>0</v>
      </c>
      <c r="L809" s="67">
        <f>ROUND(IF(K809&lt;J809,K809,0),4)</f>
        <v>0</v>
      </c>
      <c r="M809" s="67">
        <f>ROUND(IF(J809&gt;K809,0,J809),4)</f>
        <v>0</v>
      </c>
      <c r="N809" s="67">
        <f>ROUND(+L809*D809,4)</f>
        <v>0</v>
      </c>
      <c r="O809" s="67">
        <f>ROUND(IF(F809="rame",0,+I809*3%),4)</f>
        <v>0</v>
      </c>
      <c r="P809" s="67">
        <f>ROUND(IF(O809&lt;J809,O809,0),4)</f>
        <v>0</v>
      </c>
      <c r="Q809" s="67">
        <f>ROUND(IF(J809&gt;O809,0,J809),4)</f>
        <v>0</v>
      </c>
      <c r="R809" s="67">
        <f>ROUND(+P809*D809,4)</f>
        <v>0</v>
      </c>
      <c r="S809" s="67">
        <f>ROUND(IF(K809=0,0,M809*D809),4)</f>
        <v>0</v>
      </c>
      <c r="T809" s="67">
        <f>ROUND(+IF(K809=0,Q809*D809,0),4)</f>
        <v>0</v>
      </c>
      <c r="U809" s="67">
        <f>ROUND(+N809+R809+S809+T809,4)</f>
        <v>0</v>
      </c>
      <c r="V809" s="67">
        <f>ROUND(IF(P809=0,0,I809-H809-O809)+IF(L809=0,0,I809-H809-K809),4)</f>
        <v>0</v>
      </c>
      <c r="W809" s="67">
        <f>ROUND(+(V809*60%)*D809,4)</f>
        <v>0</v>
      </c>
      <c r="X809" s="148">
        <f>ROUND(+U809+W809,4)</f>
        <v>0</v>
      </c>
      <c r="Y809" s="68"/>
      <c r="Z809" s="148">
        <f>ROUND(IF(X809&gt;I809,X809,I809),4)</f>
        <v>0</v>
      </c>
    </row>
    <row r="810" spans="1:26" x14ac:dyDescent="0.2">
      <c r="A810" s="66"/>
      <c r="B810" s="66"/>
      <c r="C810" s="66"/>
      <c r="D810" s="144"/>
      <c r="E810" s="67"/>
      <c r="F810" s="67"/>
      <c r="G810" s="67"/>
      <c r="H810" s="67">
        <f>ROUND(+E810+G810,4)</f>
        <v>0</v>
      </c>
      <c r="I810" s="67"/>
      <c r="J810" s="67">
        <f>ROUND(+I810-H810,4)</f>
        <v>0</v>
      </c>
      <c r="K810" s="67">
        <f>ROUND(IF(F810="alluminio",0,I810*1.5%),4)</f>
        <v>0</v>
      </c>
      <c r="L810" s="67">
        <f>ROUND(IF(K810&lt;J810,K810,0),4)</f>
        <v>0</v>
      </c>
      <c r="M810" s="67">
        <f>ROUND(IF(J810&gt;K810,0,J810),4)</f>
        <v>0</v>
      </c>
      <c r="N810" s="67">
        <f>ROUND(+L810*D810,4)</f>
        <v>0</v>
      </c>
      <c r="O810" s="67">
        <f>ROUND(IF(F810="rame",0,+I810*3%),4)</f>
        <v>0</v>
      </c>
      <c r="P810" s="67">
        <f>ROUND(IF(O810&lt;J810,O810,0),4)</f>
        <v>0</v>
      </c>
      <c r="Q810" s="67">
        <f>ROUND(IF(J810&gt;O810,0,J810),4)</f>
        <v>0</v>
      </c>
      <c r="R810" s="67">
        <f>ROUND(+P810*D810,4)</f>
        <v>0</v>
      </c>
      <c r="S810" s="67">
        <f>ROUND(IF(K810=0,0,M810*D810),4)</f>
        <v>0</v>
      </c>
      <c r="T810" s="67">
        <f>ROUND(+IF(K810=0,Q810*D810,0),4)</f>
        <v>0</v>
      </c>
      <c r="U810" s="67">
        <f>ROUND(+N810+R810+S810+T810,4)</f>
        <v>0</v>
      </c>
      <c r="V810" s="67">
        <f>ROUND(IF(P810=0,0,I810-H810-O810)+IF(L810=0,0,I810-H810-K810),4)</f>
        <v>0</v>
      </c>
      <c r="W810" s="67">
        <f>ROUND(+(V810*60%)*D810,4)</f>
        <v>0</v>
      </c>
      <c r="X810" s="148">
        <f>ROUND(+U810+W810,4)</f>
        <v>0</v>
      </c>
      <c r="Y810" s="68"/>
      <c r="Z810" s="148">
        <f>ROUND(IF(X810&gt;I810,X810,I810),4)</f>
        <v>0</v>
      </c>
    </row>
    <row r="811" spans="1:26" x14ac:dyDescent="0.2">
      <c r="A811" s="66"/>
      <c r="B811" s="66"/>
      <c r="C811" s="66"/>
      <c r="D811" s="144"/>
      <c r="E811" s="67"/>
      <c r="F811" s="67"/>
      <c r="G811" s="67"/>
      <c r="H811" s="67">
        <f>ROUND(+E811+G811,4)</f>
        <v>0</v>
      </c>
      <c r="I811" s="67"/>
      <c r="J811" s="67">
        <f>ROUND(+I811-H811,4)</f>
        <v>0</v>
      </c>
      <c r="K811" s="67">
        <f>ROUND(IF(F811="alluminio",0,I811*1.5%),4)</f>
        <v>0</v>
      </c>
      <c r="L811" s="67">
        <f>ROUND(IF(K811&lt;J811,K811,0),4)</f>
        <v>0</v>
      </c>
      <c r="M811" s="67">
        <f>ROUND(IF(J811&gt;K811,0,J811),4)</f>
        <v>0</v>
      </c>
      <c r="N811" s="67">
        <f>ROUND(+L811*D811,4)</f>
        <v>0</v>
      </c>
      <c r="O811" s="67">
        <f>ROUND(IF(F811="rame",0,+I811*3%),4)</f>
        <v>0</v>
      </c>
      <c r="P811" s="67">
        <f>ROUND(IF(O811&lt;J811,O811,0),4)</f>
        <v>0</v>
      </c>
      <c r="Q811" s="67">
        <f>ROUND(IF(J811&gt;O811,0,J811),4)</f>
        <v>0</v>
      </c>
      <c r="R811" s="67">
        <f>ROUND(+P811*D811,4)</f>
        <v>0</v>
      </c>
      <c r="S811" s="67">
        <f>ROUND(IF(K811=0,0,M811*D811),4)</f>
        <v>0</v>
      </c>
      <c r="T811" s="67">
        <f>ROUND(+IF(K811=0,Q811*D811,0),4)</f>
        <v>0</v>
      </c>
      <c r="U811" s="67">
        <f>ROUND(+N811+R811+S811+T811,4)</f>
        <v>0</v>
      </c>
      <c r="V811" s="67">
        <f>ROUND(IF(P811=0,0,I811-H811-O811)+IF(L811=0,0,I811-H811-K811),4)</f>
        <v>0</v>
      </c>
      <c r="W811" s="67">
        <f>ROUND(+(V811*60%)*D811,4)</f>
        <v>0</v>
      </c>
      <c r="X811" s="148">
        <f>ROUND(+U811+W811,4)</f>
        <v>0</v>
      </c>
      <c r="Y811" s="68"/>
      <c r="Z811" s="148">
        <f>ROUND(IF(X811&gt;I811,X811,I811),4)</f>
        <v>0</v>
      </c>
    </row>
    <row r="812" spans="1:26" x14ac:dyDescent="0.2">
      <c r="A812" s="66"/>
      <c r="B812" s="66"/>
      <c r="C812" s="66"/>
      <c r="D812" s="144"/>
      <c r="E812" s="67"/>
      <c r="F812" s="67"/>
      <c r="G812" s="67"/>
      <c r="H812" s="67">
        <f>ROUND(+E812+G812,4)</f>
        <v>0</v>
      </c>
      <c r="I812" s="67"/>
      <c r="J812" s="67">
        <f>ROUND(+I812-H812,4)</f>
        <v>0</v>
      </c>
      <c r="K812" s="67">
        <f>ROUND(IF(F812="alluminio",0,I812*1.5%),4)</f>
        <v>0</v>
      </c>
      <c r="L812" s="67">
        <f>ROUND(IF(K812&lt;J812,K812,0),4)</f>
        <v>0</v>
      </c>
      <c r="M812" s="67">
        <f>ROUND(IF(J812&gt;K812,0,J812),4)</f>
        <v>0</v>
      </c>
      <c r="N812" s="67">
        <f>ROUND(+L812*D812,4)</f>
        <v>0</v>
      </c>
      <c r="O812" s="67">
        <f>ROUND(IF(F812="rame",0,+I812*3%),4)</f>
        <v>0</v>
      </c>
      <c r="P812" s="67">
        <f>ROUND(IF(O812&lt;J812,O812,0),4)</f>
        <v>0</v>
      </c>
      <c r="Q812" s="67">
        <f>ROUND(IF(J812&gt;O812,0,J812),4)</f>
        <v>0</v>
      </c>
      <c r="R812" s="67">
        <f>ROUND(+P812*D812,4)</f>
        <v>0</v>
      </c>
      <c r="S812" s="67">
        <f>ROUND(IF(K812=0,0,M812*D812),4)</f>
        <v>0</v>
      </c>
      <c r="T812" s="67">
        <f>ROUND(+IF(K812=0,Q812*D812,0),4)</f>
        <v>0</v>
      </c>
      <c r="U812" s="67">
        <f>ROUND(+N812+R812+S812+T812,4)</f>
        <v>0</v>
      </c>
      <c r="V812" s="67">
        <f>ROUND(IF(P812=0,0,I812-H812-O812)+IF(L812=0,0,I812-H812-K812),4)</f>
        <v>0</v>
      </c>
      <c r="W812" s="67">
        <f>ROUND(+(V812*60%)*D812,4)</f>
        <v>0</v>
      </c>
      <c r="X812" s="148">
        <f>ROUND(+U812+W812,4)</f>
        <v>0</v>
      </c>
      <c r="Y812" s="68"/>
      <c r="Z812" s="148">
        <f>ROUND(IF(X812&gt;I812,X812,I812),4)</f>
        <v>0</v>
      </c>
    </row>
    <row r="813" spans="1:26" x14ac:dyDescent="0.2">
      <c r="A813" s="66"/>
      <c r="B813" s="66"/>
      <c r="C813" s="66"/>
      <c r="D813" s="144"/>
      <c r="E813" s="67"/>
      <c r="F813" s="67"/>
      <c r="G813" s="67"/>
      <c r="H813" s="67">
        <f>ROUND(+E813+G813,4)</f>
        <v>0</v>
      </c>
      <c r="I813" s="67"/>
      <c r="J813" s="67">
        <f>ROUND(+I813-H813,4)</f>
        <v>0</v>
      </c>
      <c r="K813" s="67">
        <f>ROUND(IF(F813="alluminio",0,I813*1.5%),4)</f>
        <v>0</v>
      </c>
      <c r="L813" s="67">
        <f>ROUND(IF(K813&lt;J813,K813,0),4)</f>
        <v>0</v>
      </c>
      <c r="M813" s="67">
        <f>ROUND(IF(J813&gt;K813,0,J813),4)</f>
        <v>0</v>
      </c>
      <c r="N813" s="67">
        <f>ROUND(+L813*D813,4)</f>
        <v>0</v>
      </c>
      <c r="O813" s="67">
        <f>ROUND(IF(F813="rame",0,+I813*3%),4)</f>
        <v>0</v>
      </c>
      <c r="P813" s="67">
        <f>ROUND(IF(O813&lt;J813,O813,0),4)</f>
        <v>0</v>
      </c>
      <c r="Q813" s="67">
        <f>ROUND(IF(J813&gt;O813,0,J813),4)</f>
        <v>0</v>
      </c>
      <c r="R813" s="67">
        <f>ROUND(+P813*D813,4)</f>
        <v>0</v>
      </c>
      <c r="S813" s="67">
        <f>ROUND(IF(K813=0,0,M813*D813),4)</f>
        <v>0</v>
      </c>
      <c r="T813" s="67">
        <f>ROUND(+IF(K813=0,Q813*D813,0),4)</f>
        <v>0</v>
      </c>
      <c r="U813" s="67">
        <f>ROUND(+N813+R813+S813+T813,4)</f>
        <v>0</v>
      </c>
      <c r="V813" s="67">
        <f>ROUND(IF(P813=0,0,I813-H813-O813)+IF(L813=0,0,I813-H813-K813),4)</f>
        <v>0</v>
      </c>
      <c r="W813" s="67">
        <f>ROUND(+(V813*60%)*D813,4)</f>
        <v>0</v>
      </c>
      <c r="X813" s="148">
        <f>ROUND(+U813+W813,4)</f>
        <v>0</v>
      </c>
      <c r="Y813" s="68"/>
      <c r="Z813" s="148">
        <f>ROUND(IF(X813&gt;I813,X813,I813),4)</f>
        <v>0</v>
      </c>
    </row>
    <row r="814" spans="1:26" x14ac:dyDescent="0.2">
      <c r="A814" s="66"/>
      <c r="B814" s="66"/>
      <c r="C814" s="66"/>
      <c r="D814" s="144"/>
      <c r="E814" s="67"/>
      <c r="F814" s="67"/>
      <c r="G814" s="67"/>
      <c r="H814" s="67">
        <f>ROUND(+E814+G814,4)</f>
        <v>0</v>
      </c>
      <c r="I814" s="67"/>
      <c r="J814" s="67">
        <f>ROUND(+I814-H814,4)</f>
        <v>0</v>
      </c>
      <c r="K814" s="67">
        <f>ROUND(IF(F814="alluminio",0,I814*1.5%),4)</f>
        <v>0</v>
      </c>
      <c r="L814" s="67">
        <f>ROUND(IF(K814&lt;J814,K814,0),4)</f>
        <v>0</v>
      </c>
      <c r="M814" s="67">
        <f>ROUND(IF(J814&gt;K814,0,J814),4)</f>
        <v>0</v>
      </c>
      <c r="N814" s="67">
        <f>ROUND(+L814*D814,4)</f>
        <v>0</v>
      </c>
      <c r="O814" s="67">
        <f>ROUND(IF(F814="rame",0,+I814*3%),4)</f>
        <v>0</v>
      </c>
      <c r="P814" s="67">
        <f>ROUND(IF(O814&lt;J814,O814,0),4)</f>
        <v>0</v>
      </c>
      <c r="Q814" s="67">
        <f>ROUND(IF(J814&gt;O814,0,J814),4)</f>
        <v>0</v>
      </c>
      <c r="R814" s="67">
        <f>ROUND(+P814*D814,4)</f>
        <v>0</v>
      </c>
      <c r="S814" s="67">
        <f>ROUND(IF(K814=0,0,M814*D814),4)</f>
        <v>0</v>
      </c>
      <c r="T814" s="67">
        <f>ROUND(+IF(K814=0,Q814*D814,0),4)</f>
        <v>0</v>
      </c>
      <c r="U814" s="67">
        <f>ROUND(+N814+R814+S814+T814,4)</f>
        <v>0</v>
      </c>
      <c r="V814" s="67">
        <f>ROUND(IF(P814=0,0,I814-H814-O814)+IF(L814=0,0,I814-H814-K814),4)</f>
        <v>0</v>
      </c>
      <c r="W814" s="67">
        <f>ROUND(+(V814*60%)*D814,4)</f>
        <v>0</v>
      </c>
      <c r="X814" s="148">
        <f>ROUND(+U814+W814,4)</f>
        <v>0</v>
      </c>
      <c r="Y814" s="68"/>
      <c r="Z814" s="148">
        <f>ROUND(IF(X814&gt;I814,X814,I814),4)</f>
        <v>0</v>
      </c>
    </row>
    <row r="815" spans="1:26" x14ac:dyDescent="0.2">
      <c r="A815" s="66"/>
      <c r="B815" s="66"/>
      <c r="C815" s="66"/>
      <c r="D815" s="144"/>
      <c r="E815" s="67"/>
      <c r="F815" s="67"/>
      <c r="G815" s="67"/>
      <c r="H815" s="67">
        <f>ROUND(+E815+G815,4)</f>
        <v>0</v>
      </c>
      <c r="I815" s="67"/>
      <c r="J815" s="67">
        <f>ROUND(+I815-H815,4)</f>
        <v>0</v>
      </c>
      <c r="K815" s="67">
        <f>ROUND(IF(F815="alluminio",0,I815*1.5%),4)</f>
        <v>0</v>
      </c>
      <c r="L815" s="67">
        <f>ROUND(IF(K815&lt;J815,K815,0),4)</f>
        <v>0</v>
      </c>
      <c r="M815" s="67">
        <f>ROUND(IF(J815&gt;K815,0,J815),4)</f>
        <v>0</v>
      </c>
      <c r="N815" s="67">
        <f>ROUND(+L815*D815,4)</f>
        <v>0</v>
      </c>
      <c r="O815" s="67">
        <f>ROUND(IF(F815="rame",0,+I815*3%),4)</f>
        <v>0</v>
      </c>
      <c r="P815" s="67">
        <f>ROUND(IF(O815&lt;J815,O815,0),4)</f>
        <v>0</v>
      </c>
      <c r="Q815" s="67">
        <f>ROUND(IF(J815&gt;O815,0,J815),4)</f>
        <v>0</v>
      </c>
      <c r="R815" s="67">
        <f>ROUND(+P815*D815,4)</f>
        <v>0</v>
      </c>
      <c r="S815" s="67">
        <f>ROUND(IF(K815=0,0,M815*D815),4)</f>
        <v>0</v>
      </c>
      <c r="T815" s="67">
        <f>ROUND(+IF(K815=0,Q815*D815,0),4)</f>
        <v>0</v>
      </c>
      <c r="U815" s="67">
        <f>ROUND(+N815+R815+S815+T815,4)</f>
        <v>0</v>
      </c>
      <c r="V815" s="67">
        <f>ROUND(IF(P815=0,0,I815-H815-O815)+IF(L815=0,0,I815-H815-K815),4)</f>
        <v>0</v>
      </c>
      <c r="W815" s="67">
        <f>ROUND(+(V815*60%)*D815,4)</f>
        <v>0</v>
      </c>
      <c r="X815" s="148">
        <f>ROUND(+U815+W815,4)</f>
        <v>0</v>
      </c>
      <c r="Y815" s="68"/>
      <c r="Z815" s="148">
        <f>ROUND(IF(X815&gt;I815,X815,I815),4)</f>
        <v>0</v>
      </c>
    </row>
    <row r="816" spans="1:26" x14ac:dyDescent="0.2">
      <c r="A816" s="66"/>
      <c r="B816" s="66"/>
      <c r="C816" s="66"/>
      <c r="D816" s="144"/>
      <c r="E816" s="67"/>
      <c r="F816" s="67"/>
      <c r="G816" s="67"/>
      <c r="H816" s="67">
        <f>ROUND(+E816+G816,4)</f>
        <v>0</v>
      </c>
      <c r="I816" s="67"/>
      <c r="J816" s="67">
        <f>ROUND(+I816-H816,4)</f>
        <v>0</v>
      </c>
      <c r="K816" s="67">
        <f>ROUND(IF(F816="alluminio",0,I816*1.5%),4)</f>
        <v>0</v>
      </c>
      <c r="L816" s="67">
        <f>ROUND(IF(K816&lt;J816,K816,0),4)</f>
        <v>0</v>
      </c>
      <c r="M816" s="67">
        <f>ROUND(IF(J816&gt;K816,0,J816),4)</f>
        <v>0</v>
      </c>
      <c r="N816" s="67">
        <f>ROUND(+L816*D816,4)</f>
        <v>0</v>
      </c>
      <c r="O816" s="67">
        <f>ROUND(IF(F816="rame",0,+I816*3%),4)</f>
        <v>0</v>
      </c>
      <c r="P816" s="67">
        <f>ROUND(IF(O816&lt;J816,O816,0),4)</f>
        <v>0</v>
      </c>
      <c r="Q816" s="67">
        <f>ROUND(IF(J816&gt;O816,0,J816),4)</f>
        <v>0</v>
      </c>
      <c r="R816" s="67">
        <f>ROUND(+P816*D816,4)</f>
        <v>0</v>
      </c>
      <c r="S816" s="67">
        <f>ROUND(IF(K816=0,0,M816*D816),4)</f>
        <v>0</v>
      </c>
      <c r="T816" s="67">
        <f>ROUND(+IF(K816=0,Q816*D816,0),4)</f>
        <v>0</v>
      </c>
      <c r="U816" s="67">
        <f>ROUND(+N816+R816+S816+T816,4)</f>
        <v>0</v>
      </c>
      <c r="V816" s="67">
        <f>ROUND(IF(P816=0,0,I816-H816-O816)+IF(L816=0,0,I816-H816-K816),4)</f>
        <v>0</v>
      </c>
      <c r="W816" s="67">
        <f>ROUND(+(V816*60%)*D816,4)</f>
        <v>0</v>
      </c>
      <c r="X816" s="148">
        <f>ROUND(+U816+W816,4)</f>
        <v>0</v>
      </c>
      <c r="Y816" s="68"/>
      <c r="Z816" s="148">
        <f>ROUND(IF(X816&gt;I816,X816,I816),4)</f>
        <v>0</v>
      </c>
    </row>
    <row r="817" spans="1:26" x14ac:dyDescent="0.2">
      <c r="A817" s="66"/>
      <c r="B817" s="66"/>
      <c r="C817" s="66"/>
      <c r="D817" s="144"/>
      <c r="E817" s="67"/>
      <c r="F817" s="67"/>
      <c r="G817" s="67"/>
      <c r="H817" s="67">
        <f>ROUND(+E817+G817,4)</f>
        <v>0</v>
      </c>
      <c r="I817" s="67"/>
      <c r="J817" s="67">
        <f>ROUND(+I817-H817,4)</f>
        <v>0</v>
      </c>
      <c r="K817" s="67">
        <f>ROUND(IF(F817="alluminio",0,I817*1.5%),4)</f>
        <v>0</v>
      </c>
      <c r="L817" s="67">
        <f>ROUND(IF(K817&lt;J817,K817,0),4)</f>
        <v>0</v>
      </c>
      <c r="M817" s="67">
        <f>ROUND(IF(J817&gt;K817,0,J817),4)</f>
        <v>0</v>
      </c>
      <c r="N817" s="67">
        <f>ROUND(+L817*D817,4)</f>
        <v>0</v>
      </c>
      <c r="O817" s="67">
        <f>ROUND(IF(F817="rame",0,+I817*3%),4)</f>
        <v>0</v>
      </c>
      <c r="P817" s="67">
        <f>ROUND(IF(O817&lt;J817,O817,0),4)</f>
        <v>0</v>
      </c>
      <c r="Q817" s="67">
        <f>ROUND(IF(J817&gt;O817,0,J817),4)</f>
        <v>0</v>
      </c>
      <c r="R817" s="67">
        <f>ROUND(+P817*D817,4)</f>
        <v>0</v>
      </c>
      <c r="S817" s="67">
        <f>ROUND(IF(K817=0,0,M817*D817),4)</f>
        <v>0</v>
      </c>
      <c r="T817" s="67">
        <f>ROUND(+IF(K817=0,Q817*D817,0),4)</f>
        <v>0</v>
      </c>
      <c r="U817" s="67">
        <f>ROUND(+N817+R817+S817+T817,4)</f>
        <v>0</v>
      </c>
      <c r="V817" s="67">
        <f>ROUND(IF(P817=0,0,I817-H817-O817)+IF(L817=0,0,I817-H817-K817),4)</f>
        <v>0</v>
      </c>
      <c r="W817" s="67">
        <f>ROUND(+(V817*60%)*D817,4)</f>
        <v>0</v>
      </c>
      <c r="X817" s="148">
        <f>ROUND(+U817+W817,4)</f>
        <v>0</v>
      </c>
      <c r="Y817" s="68"/>
      <c r="Z817" s="148">
        <f>ROUND(IF(X817&gt;I817,X817,I817),4)</f>
        <v>0</v>
      </c>
    </row>
    <row r="818" spans="1:26" x14ac:dyDescent="0.2">
      <c r="A818" s="66"/>
      <c r="B818" s="66"/>
      <c r="C818" s="66"/>
      <c r="D818" s="144"/>
      <c r="E818" s="67"/>
      <c r="F818" s="67"/>
      <c r="G818" s="67"/>
      <c r="H818" s="67">
        <f>ROUND(+E818+G818,4)</f>
        <v>0</v>
      </c>
      <c r="I818" s="67"/>
      <c r="J818" s="67">
        <f>ROUND(+I818-H818,4)</f>
        <v>0</v>
      </c>
      <c r="K818" s="67">
        <f>ROUND(IF(F818="alluminio",0,I818*1.5%),4)</f>
        <v>0</v>
      </c>
      <c r="L818" s="67">
        <f>ROUND(IF(K818&lt;J818,K818,0),4)</f>
        <v>0</v>
      </c>
      <c r="M818" s="67">
        <f>ROUND(IF(J818&gt;K818,0,J818),4)</f>
        <v>0</v>
      </c>
      <c r="N818" s="67">
        <f>ROUND(+L818*D818,4)</f>
        <v>0</v>
      </c>
      <c r="O818" s="67">
        <f>ROUND(IF(F818="rame",0,+I818*3%),4)</f>
        <v>0</v>
      </c>
      <c r="P818" s="67">
        <f>ROUND(IF(O818&lt;J818,O818,0),4)</f>
        <v>0</v>
      </c>
      <c r="Q818" s="67">
        <f>ROUND(IF(J818&gt;O818,0,J818),4)</f>
        <v>0</v>
      </c>
      <c r="R818" s="67">
        <f>ROUND(+P818*D818,4)</f>
        <v>0</v>
      </c>
      <c r="S818" s="67">
        <f>ROUND(IF(K818=0,0,M818*D818),4)</f>
        <v>0</v>
      </c>
      <c r="T818" s="67">
        <f>ROUND(+IF(K818=0,Q818*D818,0),4)</f>
        <v>0</v>
      </c>
      <c r="U818" s="67">
        <f>ROUND(+N818+R818+S818+T818,4)</f>
        <v>0</v>
      </c>
      <c r="V818" s="67">
        <f>ROUND(IF(P818=0,0,I818-H818-O818)+IF(L818=0,0,I818-H818-K818),4)</f>
        <v>0</v>
      </c>
      <c r="W818" s="67">
        <f>ROUND(+(V818*60%)*D818,4)</f>
        <v>0</v>
      </c>
      <c r="X818" s="148">
        <f>ROUND(+U818+W818,4)</f>
        <v>0</v>
      </c>
      <c r="Y818" s="68"/>
      <c r="Z818" s="148">
        <f>ROUND(IF(X818&gt;I818,X818,I818),4)</f>
        <v>0</v>
      </c>
    </row>
    <row r="819" spans="1:26" x14ac:dyDescent="0.2">
      <c r="A819" s="66"/>
      <c r="B819" s="66"/>
      <c r="C819" s="66"/>
      <c r="D819" s="144"/>
      <c r="E819" s="67"/>
      <c r="F819" s="67"/>
      <c r="G819" s="67"/>
      <c r="H819" s="67">
        <f>ROUND(+E819+G819,4)</f>
        <v>0</v>
      </c>
      <c r="I819" s="67"/>
      <c r="J819" s="67">
        <f>ROUND(+I819-H819,4)</f>
        <v>0</v>
      </c>
      <c r="K819" s="67">
        <f>ROUND(IF(F819="alluminio",0,I819*1.5%),4)</f>
        <v>0</v>
      </c>
      <c r="L819" s="67">
        <f>ROUND(IF(K819&lt;J819,K819,0),4)</f>
        <v>0</v>
      </c>
      <c r="M819" s="67">
        <f>ROUND(IF(J819&gt;K819,0,J819),4)</f>
        <v>0</v>
      </c>
      <c r="N819" s="67">
        <f>ROUND(+L819*D819,4)</f>
        <v>0</v>
      </c>
      <c r="O819" s="67">
        <f>ROUND(IF(F819="rame",0,+I819*3%),4)</f>
        <v>0</v>
      </c>
      <c r="P819" s="67">
        <f>ROUND(IF(O819&lt;J819,O819,0),4)</f>
        <v>0</v>
      </c>
      <c r="Q819" s="67">
        <f>ROUND(IF(J819&gt;O819,0,J819),4)</f>
        <v>0</v>
      </c>
      <c r="R819" s="67">
        <f>ROUND(+P819*D819,4)</f>
        <v>0</v>
      </c>
      <c r="S819" s="67">
        <f>ROUND(IF(K819=0,0,M819*D819),4)</f>
        <v>0</v>
      </c>
      <c r="T819" s="67">
        <f>ROUND(+IF(K819=0,Q819*D819,0),4)</f>
        <v>0</v>
      </c>
      <c r="U819" s="67">
        <f>ROUND(+N819+R819+S819+T819,4)</f>
        <v>0</v>
      </c>
      <c r="V819" s="67">
        <f>ROUND(IF(P819=0,0,I819-H819-O819)+IF(L819=0,0,I819-H819-K819),4)</f>
        <v>0</v>
      </c>
      <c r="W819" s="67">
        <f>ROUND(+(V819*60%)*D819,4)</f>
        <v>0</v>
      </c>
      <c r="X819" s="148">
        <f>ROUND(+U819+W819,4)</f>
        <v>0</v>
      </c>
      <c r="Y819" s="68"/>
      <c r="Z819" s="148">
        <f>ROUND(IF(X819&gt;I819,X819,I819),4)</f>
        <v>0</v>
      </c>
    </row>
    <row r="820" spans="1:26" x14ac:dyDescent="0.2">
      <c r="A820" s="66"/>
      <c r="B820" s="66"/>
      <c r="C820" s="66"/>
      <c r="D820" s="144"/>
      <c r="E820" s="67"/>
      <c r="F820" s="67"/>
      <c r="G820" s="67"/>
      <c r="H820" s="67">
        <f>ROUND(+E820+G820,4)</f>
        <v>0</v>
      </c>
      <c r="I820" s="67"/>
      <c r="J820" s="67">
        <f>ROUND(+I820-H820,4)</f>
        <v>0</v>
      </c>
      <c r="K820" s="67">
        <f>ROUND(IF(F820="alluminio",0,I820*1.5%),4)</f>
        <v>0</v>
      </c>
      <c r="L820" s="67">
        <f>ROUND(IF(K820&lt;J820,K820,0),4)</f>
        <v>0</v>
      </c>
      <c r="M820" s="67">
        <f>ROUND(IF(J820&gt;K820,0,J820),4)</f>
        <v>0</v>
      </c>
      <c r="N820" s="67">
        <f>ROUND(+L820*D820,4)</f>
        <v>0</v>
      </c>
      <c r="O820" s="67">
        <f>ROUND(IF(F820="rame",0,+I820*3%),4)</f>
        <v>0</v>
      </c>
      <c r="P820" s="67">
        <f>ROUND(IF(O820&lt;J820,O820,0),4)</f>
        <v>0</v>
      </c>
      <c r="Q820" s="67">
        <f>ROUND(IF(J820&gt;O820,0,J820),4)</f>
        <v>0</v>
      </c>
      <c r="R820" s="67">
        <f>ROUND(+P820*D820,4)</f>
        <v>0</v>
      </c>
      <c r="S820" s="67">
        <f>ROUND(IF(K820=0,0,M820*D820),4)</f>
        <v>0</v>
      </c>
      <c r="T820" s="67">
        <f>ROUND(+IF(K820=0,Q820*D820,0),4)</f>
        <v>0</v>
      </c>
      <c r="U820" s="67">
        <f>ROUND(+N820+R820+S820+T820,4)</f>
        <v>0</v>
      </c>
      <c r="V820" s="67">
        <f>ROUND(IF(P820=0,0,I820-H820-O820)+IF(L820=0,0,I820-H820-K820),4)</f>
        <v>0</v>
      </c>
      <c r="W820" s="67">
        <f>ROUND(+(V820*60%)*D820,4)</f>
        <v>0</v>
      </c>
      <c r="X820" s="148">
        <f>ROUND(+U820+W820,4)</f>
        <v>0</v>
      </c>
      <c r="Y820" s="68"/>
      <c r="Z820" s="148">
        <f>ROUND(IF(X820&gt;I820,X820,I820),4)</f>
        <v>0</v>
      </c>
    </row>
    <row r="821" spans="1:26" x14ac:dyDescent="0.2">
      <c r="A821" s="66"/>
      <c r="B821" s="66"/>
      <c r="C821" s="66"/>
      <c r="D821" s="144"/>
      <c r="E821" s="67"/>
      <c r="F821" s="67"/>
      <c r="G821" s="67"/>
      <c r="H821" s="67">
        <f>ROUND(+E821+G821,4)</f>
        <v>0</v>
      </c>
      <c r="I821" s="67"/>
      <c r="J821" s="67">
        <f>ROUND(+I821-H821,4)</f>
        <v>0</v>
      </c>
      <c r="K821" s="67">
        <f>ROUND(IF(F821="alluminio",0,I821*1.5%),4)</f>
        <v>0</v>
      </c>
      <c r="L821" s="67">
        <f>ROUND(IF(K821&lt;J821,K821,0),4)</f>
        <v>0</v>
      </c>
      <c r="M821" s="67">
        <f>ROUND(IF(J821&gt;K821,0,J821),4)</f>
        <v>0</v>
      </c>
      <c r="N821" s="67">
        <f>ROUND(+L821*D821,4)</f>
        <v>0</v>
      </c>
      <c r="O821" s="67">
        <f>ROUND(IF(F821="rame",0,+I821*3%),4)</f>
        <v>0</v>
      </c>
      <c r="P821" s="67">
        <f>ROUND(IF(O821&lt;J821,O821,0),4)</f>
        <v>0</v>
      </c>
      <c r="Q821" s="67">
        <f>ROUND(IF(J821&gt;O821,0,J821),4)</f>
        <v>0</v>
      </c>
      <c r="R821" s="67">
        <f>ROUND(+P821*D821,4)</f>
        <v>0</v>
      </c>
      <c r="S821" s="67">
        <f>ROUND(IF(K821=0,0,M821*D821),4)</f>
        <v>0</v>
      </c>
      <c r="T821" s="67">
        <f>ROUND(+IF(K821=0,Q821*D821,0),4)</f>
        <v>0</v>
      </c>
      <c r="U821" s="67">
        <f>ROUND(+N821+R821+S821+T821,4)</f>
        <v>0</v>
      </c>
      <c r="V821" s="67">
        <f>ROUND(IF(P821=0,0,I821-H821-O821)+IF(L821=0,0,I821-H821-K821),4)</f>
        <v>0</v>
      </c>
      <c r="W821" s="67">
        <f>ROUND(+(V821*60%)*D821,4)</f>
        <v>0</v>
      </c>
      <c r="X821" s="148">
        <f>ROUND(+U821+W821,4)</f>
        <v>0</v>
      </c>
      <c r="Y821" s="68"/>
      <c r="Z821" s="148">
        <f>ROUND(IF(X821&gt;I821,X821,I821),4)</f>
        <v>0</v>
      </c>
    </row>
    <row r="822" spans="1:26" x14ac:dyDescent="0.2">
      <c r="A822" s="66"/>
      <c r="B822" s="66"/>
      <c r="C822" s="66"/>
      <c r="D822" s="144"/>
      <c r="E822" s="67"/>
      <c r="F822" s="67"/>
      <c r="G822" s="67"/>
      <c r="H822" s="67">
        <f>ROUND(+E822+G822,4)</f>
        <v>0</v>
      </c>
      <c r="I822" s="67"/>
      <c r="J822" s="67">
        <f>ROUND(+I822-H822,4)</f>
        <v>0</v>
      </c>
      <c r="K822" s="67">
        <f>ROUND(IF(F822="alluminio",0,I822*1.5%),4)</f>
        <v>0</v>
      </c>
      <c r="L822" s="67">
        <f>ROUND(IF(K822&lt;J822,K822,0),4)</f>
        <v>0</v>
      </c>
      <c r="M822" s="67">
        <f>ROUND(IF(J822&gt;K822,0,J822),4)</f>
        <v>0</v>
      </c>
      <c r="N822" s="67">
        <f>ROUND(+L822*D822,4)</f>
        <v>0</v>
      </c>
      <c r="O822" s="67">
        <f>ROUND(IF(F822="rame",0,+I822*3%),4)</f>
        <v>0</v>
      </c>
      <c r="P822" s="67">
        <f>ROUND(IF(O822&lt;J822,O822,0),4)</f>
        <v>0</v>
      </c>
      <c r="Q822" s="67">
        <f>ROUND(IF(J822&gt;O822,0,J822),4)</f>
        <v>0</v>
      </c>
      <c r="R822" s="67">
        <f>ROUND(+P822*D822,4)</f>
        <v>0</v>
      </c>
      <c r="S822" s="67">
        <f>ROUND(IF(K822=0,0,M822*D822),4)</f>
        <v>0</v>
      </c>
      <c r="T822" s="67">
        <f>ROUND(+IF(K822=0,Q822*D822,0),4)</f>
        <v>0</v>
      </c>
      <c r="U822" s="67">
        <f>ROUND(+N822+R822+S822+T822,4)</f>
        <v>0</v>
      </c>
      <c r="V822" s="67">
        <f>ROUND(IF(P822=0,0,I822-H822-O822)+IF(L822=0,0,I822-H822-K822),4)</f>
        <v>0</v>
      </c>
      <c r="W822" s="67">
        <f>ROUND(+(V822*60%)*D822,4)</f>
        <v>0</v>
      </c>
      <c r="X822" s="148">
        <f>ROUND(+U822+W822,4)</f>
        <v>0</v>
      </c>
      <c r="Y822" s="68"/>
      <c r="Z822" s="148">
        <f>ROUND(IF(X822&gt;I822,X822,I822),4)</f>
        <v>0</v>
      </c>
    </row>
    <row r="823" spans="1:26" x14ac:dyDescent="0.2">
      <c r="A823" s="66"/>
      <c r="B823" s="66"/>
      <c r="C823" s="66"/>
      <c r="D823" s="144"/>
      <c r="E823" s="67"/>
      <c r="F823" s="67"/>
      <c r="G823" s="67"/>
      <c r="H823" s="67">
        <f>ROUND(+E823+G823,4)</f>
        <v>0</v>
      </c>
      <c r="I823" s="67"/>
      <c r="J823" s="67">
        <f>ROUND(+I823-H823,4)</f>
        <v>0</v>
      </c>
      <c r="K823" s="67">
        <f>ROUND(IF(F823="alluminio",0,I823*1.5%),4)</f>
        <v>0</v>
      </c>
      <c r="L823" s="67">
        <f>ROUND(IF(K823&lt;J823,K823,0),4)</f>
        <v>0</v>
      </c>
      <c r="M823" s="67">
        <f>ROUND(IF(J823&gt;K823,0,J823),4)</f>
        <v>0</v>
      </c>
      <c r="N823" s="67">
        <f>ROUND(+L823*D823,4)</f>
        <v>0</v>
      </c>
      <c r="O823" s="67">
        <f>ROUND(IF(F823="rame",0,+I823*3%),4)</f>
        <v>0</v>
      </c>
      <c r="P823" s="67">
        <f>ROUND(IF(O823&lt;J823,O823,0),4)</f>
        <v>0</v>
      </c>
      <c r="Q823" s="67">
        <f>ROUND(IF(J823&gt;O823,0,J823),4)</f>
        <v>0</v>
      </c>
      <c r="R823" s="67">
        <f>ROUND(+P823*D823,4)</f>
        <v>0</v>
      </c>
      <c r="S823" s="67">
        <f>ROUND(IF(K823=0,0,M823*D823),4)</f>
        <v>0</v>
      </c>
      <c r="T823" s="67">
        <f>ROUND(+IF(K823=0,Q823*D823,0),4)</f>
        <v>0</v>
      </c>
      <c r="U823" s="67">
        <f>ROUND(+N823+R823+S823+T823,4)</f>
        <v>0</v>
      </c>
      <c r="V823" s="67">
        <f>ROUND(IF(P823=0,0,I823-H823-O823)+IF(L823=0,0,I823-H823-K823),4)</f>
        <v>0</v>
      </c>
      <c r="W823" s="67">
        <f>ROUND(+(V823*60%)*D823,4)</f>
        <v>0</v>
      </c>
      <c r="X823" s="148">
        <f>ROUND(+U823+W823,4)</f>
        <v>0</v>
      </c>
      <c r="Y823" s="68"/>
      <c r="Z823" s="148">
        <f>ROUND(IF(X823&gt;I823,X823,I823),4)</f>
        <v>0</v>
      </c>
    </row>
    <row r="824" spans="1:26" x14ac:dyDescent="0.2">
      <c r="A824" s="66"/>
      <c r="B824" s="66"/>
      <c r="C824" s="66"/>
      <c r="D824" s="144"/>
      <c r="E824" s="67"/>
      <c r="F824" s="67"/>
      <c r="G824" s="67"/>
      <c r="H824" s="67">
        <f>ROUND(+E824+G824,4)</f>
        <v>0</v>
      </c>
      <c r="I824" s="67"/>
      <c r="J824" s="67">
        <f>ROUND(+I824-H824,4)</f>
        <v>0</v>
      </c>
      <c r="K824" s="67">
        <f>ROUND(IF(F824="alluminio",0,I824*1.5%),4)</f>
        <v>0</v>
      </c>
      <c r="L824" s="67">
        <f>ROUND(IF(K824&lt;J824,K824,0),4)</f>
        <v>0</v>
      </c>
      <c r="M824" s="67">
        <f>ROUND(IF(J824&gt;K824,0,J824),4)</f>
        <v>0</v>
      </c>
      <c r="N824" s="67">
        <f>ROUND(+L824*D824,4)</f>
        <v>0</v>
      </c>
      <c r="O824" s="67">
        <f>ROUND(IF(F824="rame",0,+I824*3%),4)</f>
        <v>0</v>
      </c>
      <c r="P824" s="67">
        <f>ROUND(IF(O824&lt;J824,O824,0),4)</f>
        <v>0</v>
      </c>
      <c r="Q824" s="67">
        <f>ROUND(IF(J824&gt;O824,0,J824),4)</f>
        <v>0</v>
      </c>
      <c r="R824" s="67">
        <f>ROUND(+P824*D824,4)</f>
        <v>0</v>
      </c>
      <c r="S824" s="67">
        <f>ROUND(IF(K824=0,0,M824*D824),4)</f>
        <v>0</v>
      </c>
      <c r="T824" s="67">
        <f>ROUND(+IF(K824=0,Q824*D824,0),4)</f>
        <v>0</v>
      </c>
      <c r="U824" s="67">
        <f>ROUND(+N824+R824+S824+T824,4)</f>
        <v>0</v>
      </c>
      <c r="V824" s="67">
        <f>ROUND(IF(P824=0,0,I824-H824-O824)+IF(L824=0,0,I824-H824-K824),4)</f>
        <v>0</v>
      </c>
      <c r="W824" s="67">
        <f>ROUND(+(V824*60%)*D824,4)</f>
        <v>0</v>
      </c>
      <c r="X824" s="148">
        <f>ROUND(+U824+W824,4)</f>
        <v>0</v>
      </c>
      <c r="Y824" s="68"/>
      <c r="Z824" s="148">
        <f>ROUND(IF(X824&gt;I824,X824,I824),4)</f>
        <v>0</v>
      </c>
    </row>
    <row r="825" spans="1:26" x14ac:dyDescent="0.2">
      <c r="A825" s="66"/>
      <c r="B825" s="66"/>
      <c r="C825" s="66"/>
      <c r="D825" s="144"/>
      <c r="E825" s="67"/>
      <c r="F825" s="67"/>
      <c r="G825" s="67"/>
      <c r="H825" s="67">
        <f>ROUND(+E825+G825,4)</f>
        <v>0</v>
      </c>
      <c r="I825" s="67"/>
      <c r="J825" s="67">
        <f>ROUND(+I825-H825,4)</f>
        <v>0</v>
      </c>
      <c r="K825" s="67">
        <f>ROUND(IF(F825="alluminio",0,I825*1.5%),4)</f>
        <v>0</v>
      </c>
      <c r="L825" s="67">
        <f>ROUND(IF(K825&lt;J825,K825,0),4)</f>
        <v>0</v>
      </c>
      <c r="M825" s="67">
        <f>ROUND(IF(J825&gt;K825,0,J825),4)</f>
        <v>0</v>
      </c>
      <c r="N825" s="67">
        <f>ROUND(+L825*D825,4)</f>
        <v>0</v>
      </c>
      <c r="O825" s="67">
        <f>ROUND(IF(F825="rame",0,+I825*3%),4)</f>
        <v>0</v>
      </c>
      <c r="P825" s="67">
        <f>ROUND(IF(O825&lt;J825,O825,0),4)</f>
        <v>0</v>
      </c>
      <c r="Q825" s="67">
        <f>ROUND(IF(J825&gt;O825,0,J825),4)</f>
        <v>0</v>
      </c>
      <c r="R825" s="67">
        <f>ROUND(+P825*D825,4)</f>
        <v>0</v>
      </c>
      <c r="S825" s="67">
        <f>ROUND(IF(K825=0,0,M825*D825),4)</f>
        <v>0</v>
      </c>
      <c r="T825" s="67">
        <f>ROUND(+IF(K825=0,Q825*D825,0),4)</f>
        <v>0</v>
      </c>
      <c r="U825" s="67">
        <f>ROUND(+N825+R825+S825+T825,4)</f>
        <v>0</v>
      </c>
      <c r="V825" s="67">
        <f>ROUND(IF(P825=0,0,I825-H825-O825)+IF(L825=0,0,I825-H825-K825),4)</f>
        <v>0</v>
      </c>
      <c r="W825" s="67">
        <f>ROUND(+(V825*60%)*D825,4)</f>
        <v>0</v>
      </c>
      <c r="X825" s="148">
        <f>ROUND(+U825+W825,4)</f>
        <v>0</v>
      </c>
      <c r="Y825" s="68"/>
      <c r="Z825" s="148">
        <f>ROUND(IF(X825&gt;I825,X825,I825),4)</f>
        <v>0</v>
      </c>
    </row>
    <row r="826" spans="1:26" x14ac:dyDescent="0.2">
      <c r="A826" s="66"/>
      <c r="B826" s="66"/>
      <c r="C826" s="66"/>
      <c r="D826" s="144"/>
      <c r="E826" s="67"/>
      <c r="F826" s="67"/>
      <c r="G826" s="67"/>
      <c r="H826" s="67">
        <f>ROUND(+E826+G826,4)</f>
        <v>0</v>
      </c>
      <c r="I826" s="67"/>
      <c r="J826" s="67">
        <f>ROUND(+I826-H826,4)</f>
        <v>0</v>
      </c>
      <c r="K826" s="67">
        <f>ROUND(IF(F826="alluminio",0,I826*1.5%),4)</f>
        <v>0</v>
      </c>
      <c r="L826" s="67">
        <f>ROUND(IF(K826&lt;J826,K826,0),4)</f>
        <v>0</v>
      </c>
      <c r="M826" s="67">
        <f>ROUND(IF(J826&gt;K826,0,J826),4)</f>
        <v>0</v>
      </c>
      <c r="N826" s="67">
        <f>ROUND(+L826*D826,4)</f>
        <v>0</v>
      </c>
      <c r="O826" s="67">
        <f>ROUND(IF(F826="rame",0,+I826*3%),4)</f>
        <v>0</v>
      </c>
      <c r="P826" s="67">
        <f>ROUND(IF(O826&lt;J826,O826,0),4)</f>
        <v>0</v>
      </c>
      <c r="Q826" s="67">
        <f>ROUND(IF(J826&gt;O826,0,J826),4)</f>
        <v>0</v>
      </c>
      <c r="R826" s="67">
        <f>ROUND(+P826*D826,4)</f>
        <v>0</v>
      </c>
      <c r="S826" s="67">
        <f>ROUND(IF(K826=0,0,M826*D826),4)</f>
        <v>0</v>
      </c>
      <c r="T826" s="67">
        <f>ROUND(+IF(K826=0,Q826*D826,0),4)</f>
        <v>0</v>
      </c>
      <c r="U826" s="67">
        <f>ROUND(+N826+R826+S826+T826,4)</f>
        <v>0</v>
      </c>
      <c r="V826" s="67">
        <f>ROUND(IF(P826=0,0,I826-H826-O826)+IF(L826=0,0,I826-H826-K826),4)</f>
        <v>0</v>
      </c>
      <c r="W826" s="67">
        <f>ROUND(+(V826*60%)*D826,4)</f>
        <v>0</v>
      </c>
      <c r="X826" s="148">
        <f>ROUND(+U826+W826,4)</f>
        <v>0</v>
      </c>
      <c r="Y826" s="68"/>
      <c r="Z826" s="148">
        <f>ROUND(IF(X826&gt;I826,X826,I826),4)</f>
        <v>0</v>
      </c>
    </row>
    <row r="827" spans="1:26" x14ac:dyDescent="0.2">
      <c r="A827" s="66"/>
      <c r="B827" s="66"/>
      <c r="C827" s="66"/>
      <c r="D827" s="144"/>
      <c r="E827" s="67"/>
      <c r="F827" s="67"/>
      <c r="G827" s="67"/>
      <c r="H827" s="67">
        <f>ROUND(+E827+G827,4)</f>
        <v>0</v>
      </c>
      <c r="I827" s="67"/>
      <c r="J827" s="67">
        <f>ROUND(+I827-H827,4)</f>
        <v>0</v>
      </c>
      <c r="K827" s="67">
        <f>ROUND(IF(F827="alluminio",0,I827*1.5%),4)</f>
        <v>0</v>
      </c>
      <c r="L827" s="67">
        <f>ROUND(IF(K827&lt;J827,K827,0),4)</f>
        <v>0</v>
      </c>
      <c r="M827" s="67">
        <f>ROUND(IF(J827&gt;K827,0,J827),4)</f>
        <v>0</v>
      </c>
      <c r="N827" s="67">
        <f>ROUND(+L827*D827,4)</f>
        <v>0</v>
      </c>
      <c r="O827" s="67">
        <f>ROUND(IF(F827="rame",0,+I827*3%),4)</f>
        <v>0</v>
      </c>
      <c r="P827" s="67">
        <f>ROUND(IF(O827&lt;J827,O827,0),4)</f>
        <v>0</v>
      </c>
      <c r="Q827" s="67">
        <f>ROUND(IF(J827&gt;O827,0,J827),4)</f>
        <v>0</v>
      </c>
      <c r="R827" s="67">
        <f>ROUND(+P827*D827,4)</f>
        <v>0</v>
      </c>
      <c r="S827" s="67">
        <f>ROUND(IF(K827=0,0,M827*D827),4)</f>
        <v>0</v>
      </c>
      <c r="T827" s="67">
        <f>ROUND(+IF(K827=0,Q827*D827,0),4)</f>
        <v>0</v>
      </c>
      <c r="U827" s="67">
        <f>ROUND(+N827+R827+S827+T827,4)</f>
        <v>0</v>
      </c>
      <c r="V827" s="67">
        <f>ROUND(IF(P827=0,0,I827-H827-O827)+IF(L827=0,0,I827-H827-K827),4)</f>
        <v>0</v>
      </c>
      <c r="W827" s="67">
        <f>ROUND(+(V827*60%)*D827,4)</f>
        <v>0</v>
      </c>
      <c r="X827" s="148">
        <f>ROUND(+U827+W827,4)</f>
        <v>0</v>
      </c>
      <c r="Y827" s="68"/>
      <c r="Z827" s="148">
        <f>ROUND(IF(X827&gt;I827,X827,I827),4)</f>
        <v>0</v>
      </c>
    </row>
    <row r="828" spans="1:26" x14ac:dyDescent="0.2">
      <c r="A828" s="66"/>
      <c r="B828" s="66"/>
      <c r="C828" s="66"/>
      <c r="D828" s="144"/>
      <c r="E828" s="67"/>
      <c r="F828" s="67"/>
      <c r="G828" s="67"/>
      <c r="H828" s="67">
        <f>ROUND(+E828+G828,4)</f>
        <v>0</v>
      </c>
      <c r="I828" s="67"/>
      <c r="J828" s="67">
        <f>ROUND(+I828-H828,4)</f>
        <v>0</v>
      </c>
      <c r="K828" s="67">
        <f>ROUND(IF(F828="alluminio",0,I828*1.5%),4)</f>
        <v>0</v>
      </c>
      <c r="L828" s="67">
        <f>ROUND(IF(K828&lt;J828,K828,0),4)</f>
        <v>0</v>
      </c>
      <c r="M828" s="67">
        <f>ROUND(IF(J828&gt;K828,0,J828),4)</f>
        <v>0</v>
      </c>
      <c r="N828" s="67">
        <f>ROUND(+L828*D828,4)</f>
        <v>0</v>
      </c>
      <c r="O828" s="67">
        <f>ROUND(IF(F828="rame",0,+I828*3%),4)</f>
        <v>0</v>
      </c>
      <c r="P828" s="67">
        <f>ROUND(IF(O828&lt;J828,O828,0),4)</f>
        <v>0</v>
      </c>
      <c r="Q828" s="67">
        <f>ROUND(IF(J828&gt;O828,0,J828),4)</f>
        <v>0</v>
      </c>
      <c r="R828" s="67">
        <f>ROUND(+P828*D828,4)</f>
        <v>0</v>
      </c>
      <c r="S828" s="67">
        <f>ROUND(IF(K828=0,0,M828*D828),4)</f>
        <v>0</v>
      </c>
      <c r="T828" s="67">
        <f>ROUND(+IF(K828=0,Q828*D828,0),4)</f>
        <v>0</v>
      </c>
      <c r="U828" s="67">
        <f>ROUND(+N828+R828+S828+T828,4)</f>
        <v>0</v>
      </c>
      <c r="V828" s="67">
        <f>ROUND(IF(P828=0,0,I828-H828-O828)+IF(L828=0,0,I828-H828-K828),4)</f>
        <v>0</v>
      </c>
      <c r="W828" s="67">
        <f>ROUND(+(V828*60%)*D828,4)</f>
        <v>0</v>
      </c>
      <c r="X828" s="148">
        <f>ROUND(+U828+W828,4)</f>
        <v>0</v>
      </c>
      <c r="Y828" s="68"/>
      <c r="Z828" s="148">
        <f>ROUND(IF(X828&gt;I828,X828,I828),4)</f>
        <v>0</v>
      </c>
    </row>
    <row r="829" spans="1:26" x14ac:dyDescent="0.2">
      <c r="A829" s="66"/>
      <c r="B829" s="66"/>
      <c r="C829" s="66"/>
      <c r="D829" s="144"/>
      <c r="E829" s="67"/>
      <c r="F829" s="67"/>
      <c r="G829" s="67"/>
      <c r="H829" s="67">
        <f>ROUND(+E829+G829,4)</f>
        <v>0</v>
      </c>
      <c r="I829" s="67"/>
      <c r="J829" s="67">
        <f>ROUND(+I829-H829,4)</f>
        <v>0</v>
      </c>
      <c r="K829" s="67">
        <f>ROUND(IF(F829="alluminio",0,I829*1.5%),4)</f>
        <v>0</v>
      </c>
      <c r="L829" s="67">
        <f>ROUND(IF(K829&lt;J829,K829,0),4)</f>
        <v>0</v>
      </c>
      <c r="M829" s="67">
        <f>ROUND(IF(J829&gt;K829,0,J829),4)</f>
        <v>0</v>
      </c>
      <c r="N829" s="67">
        <f>ROUND(+L829*D829,4)</f>
        <v>0</v>
      </c>
      <c r="O829" s="67">
        <f>ROUND(IF(F829="rame",0,+I829*3%),4)</f>
        <v>0</v>
      </c>
      <c r="P829" s="67">
        <f>ROUND(IF(O829&lt;J829,O829,0),4)</f>
        <v>0</v>
      </c>
      <c r="Q829" s="67">
        <f>ROUND(IF(J829&gt;O829,0,J829),4)</f>
        <v>0</v>
      </c>
      <c r="R829" s="67">
        <f>ROUND(+P829*D829,4)</f>
        <v>0</v>
      </c>
      <c r="S829" s="67">
        <f>ROUND(IF(K829=0,0,M829*D829),4)</f>
        <v>0</v>
      </c>
      <c r="T829" s="67">
        <f>ROUND(+IF(K829=0,Q829*D829,0),4)</f>
        <v>0</v>
      </c>
      <c r="U829" s="67">
        <f>ROUND(+N829+R829+S829+T829,4)</f>
        <v>0</v>
      </c>
      <c r="V829" s="67">
        <f>ROUND(IF(P829=0,0,I829-H829-O829)+IF(L829=0,0,I829-H829-K829),4)</f>
        <v>0</v>
      </c>
      <c r="W829" s="67">
        <f>ROUND(+(V829*60%)*D829,4)</f>
        <v>0</v>
      </c>
      <c r="X829" s="148">
        <f>ROUND(+U829+W829,4)</f>
        <v>0</v>
      </c>
      <c r="Y829" s="68"/>
      <c r="Z829" s="148">
        <f>ROUND(IF(X829&gt;I829,X829,I829),4)</f>
        <v>0</v>
      </c>
    </row>
    <row r="830" spans="1:26" x14ac:dyDescent="0.2">
      <c r="A830" s="66"/>
      <c r="B830" s="66"/>
      <c r="C830" s="66"/>
      <c r="D830" s="144"/>
      <c r="E830" s="67"/>
      <c r="F830" s="67"/>
      <c r="G830" s="67"/>
      <c r="H830" s="67">
        <f>ROUND(+E830+G830,4)</f>
        <v>0</v>
      </c>
      <c r="I830" s="67"/>
      <c r="J830" s="67">
        <f>ROUND(+I830-H830,4)</f>
        <v>0</v>
      </c>
      <c r="K830" s="67">
        <f>ROUND(IF(F830="alluminio",0,I830*1.5%),4)</f>
        <v>0</v>
      </c>
      <c r="L830" s="67">
        <f>ROUND(IF(K830&lt;J830,K830,0),4)</f>
        <v>0</v>
      </c>
      <c r="M830" s="67">
        <f>ROUND(IF(J830&gt;K830,0,J830),4)</f>
        <v>0</v>
      </c>
      <c r="N830" s="67">
        <f>ROUND(+L830*D830,4)</f>
        <v>0</v>
      </c>
      <c r="O830" s="67">
        <f>ROUND(IF(F830="rame",0,+I830*3%),4)</f>
        <v>0</v>
      </c>
      <c r="P830" s="67">
        <f>ROUND(IF(O830&lt;J830,O830,0),4)</f>
        <v>0</v>
      </c>
      <c r="Q830" s="67">
        <f>ROUND(IF(J830&gt;O830,0,J830),4)</f>
        <v>0</v>
      </c>
      <c r="R830" s="67">
        <f>ROUND(+P830*D830,4)</f>
        <v>0</v>
      </c>
      <c r="S830" s="67">
        <f>ROUND(IF(K830=0,0,M830*D830),4)</f>
        <v>0</v>
      </c>
      <c r="T830" s="67">
        <f>ROUND(+IF(K830=0,Q830*D830,0),4)</f>
        <v>0</v>
      </c>
      <c r="U830" s="67">
        <f>ROUND(+N830+R830+S830+T830,4)</f>
        <v>0</v>
      </c>
      <c r="V830" s="67">
        <f>ROUND(IF(P830=0,0,I830-H830-O830)+IF(L830=0,0,I830-H830-K830),4)</f>
        <v>0</v>
      </c>
      <c r="W830" s="67">
        <f>ROUND(+(V830*60%)*D830,4)</f>
        <v>0</v>
      </c>
      <c r="X830" s="148">
        <f>ROUND(+U830+W830,4)</f>
        <v>0</v>
      </c>
      <c r="Y830" s="68"/>
      <c r="Z830" s="148">
        <f>ROUND(IF(X830&gt;I830,X830,I830),4)</f>
        <v>0</v>
      </c>
    </row>
    <row r="831" spans="1:26" x14ac:dyDescent="0.2">
      <c r="A831" s="66"/>
      <c r="B831" s="66"/>
      <c r="C831" s="66"/>
      <c r="D831" s="144"/>
      <c r="E831" s="67"/>
      <c r="F831" s="67"/>
      <c r="G831" s="67"/>
      <c r="H831" s="67">
        <f>ROUND(+E831+G831,4)</f>
        <v>0</v>
      </c>
      <c r="I831" s="67"/>
      <c r="J831" s="67">
        <f>ROUND(+I831-H831,4)</f>
        <v>0</v>
      </c>
      <c r="K831" s="67">
        <f>ROUND(IF(F831="alluminio",0,I831*1.5%),4)</f>
        <v>0</v>
      </c>
      <c r="L831" s="67">
        <f>ROUND(IF(K831&lt;J831,K831,0),4)</f>
        <v>0</v>
      </c>
      <c r="M831" s="67">
        <f>ROUND(IF(J831&gt;K831,0,J831),4)</f>
        <v>0</v>
      </c>
      <c r="N831" s="67">
        <f>ROUND(+L831*D831,4)</f>
        <v>0</v>
      </c>
      <c r="O831" s="67">
        <f>ROUND(IF(F831="rame",0,+I831*3%),4)</f>
        <v>0</v>
      </c>
      <c r="P831" s="67">
        <f>ROUND(IF(O831&lt;J831,O831,0),4)</f>
        <v>0</v>
      </c>
      <c r="Q831" s="67">
        <f>ROUND(IF(J831&gt;O831,0,J831),4)</f>
        <v>0</v>
      </c>
      <c r="R831" s="67">
        <f>ROUND(+P831*D831,4)</f>
        <v>0</v>
      </c>
      <c r="S831" s="67">
        <f>ROUND(IF(K831=0,0,M831*D831),4)</f>
        <v>0</v>
      </c>
      <c r="T831" s="67">
        <f>ROUND(+IF(K831=0,Q831*D831,0),4)</f>
        <v>0</v>
      </c>
      <c r="U831" s="67">
        <f>ROUND(+N831+R831+S831+T831,4)</f>
        <v>0</v>
      </c>
      <c r="V831" s="67">
        <f>ROUND(IF(P831=0,0,I831-H831-O831)+IF(L831=0,0,I831-H831-K831),4)</f>
        <v>0</v>
      </c>
      <c r="W831" s="67">
        <f>ROUND(+(V831*60%)*D831,4)</f>
        <v>0</v>
      </c>
      <c r="X831" s="148">
        <f>ROUND(+U831+W831,4)</f>
        <v>0</v>
      </c>
      <c r="Y831" s="68"/>
      <c r="Z831" s="148">
        <f>ROUND(IF(X831&gt;I831,X831,I831),4)</f>
        <v>0</v>
      </c>
    </row>
    <row r="832" spans="1:26" x14ac:dyDescent="0.2">
      <c r="A832" s="66"/>
      <c r="B832" s="66"/>
      <c r="C832" s="66"/>
      <c r="D832" s="144"/>
      <c r="E832" s="67"/>
      <c r="F832" s="67"/>
      <c r="G832" s="67"/>
      <c r="H832" s="67">
        <f>ROUND(+E832+G832,4)</f>
        <v>0</v>
      </c>
      <c r="I832" s="67"/>
      <c r="J832" s="67">
        <f>ROUND(+I832-H832,4)</f>
        <v>0</v>
      </c>
      <c r="K832" s="67">
        <f>ROUND(IF(F832="alluminio",0,I832*1.5%),4)</f>
        <v>0</v>
      </c>
      <c r="L832" s="67">
        <f>ROUND(IF(K832&lt;J832,K832,0),4)</f>
        <v>0</v>
      </c>
      <c r="M832" s="67">
        <f>ROUND(IF(J832&gt;K832,0,J832),4)</f>
        <v>0</v>
      </c>
      <c r="N832" s="67">
        <f>ROUND(+L832*D832,4)</f>
        <v>0</v>
      </c>
      <c r="O832" s="67">
        <f>ROUND(IF(F832="rame",0,+I832*3%),4)</f>
        <v>0</v>
      </c>
      <c r="P832" s="67">
        <f>ROUND(IF(O832&lt;J832,O832,0),4)</f>
        <v>0</v>
      </c>
      <c r="Q832" s="67">
        <f>ROUND(IF(J832&gt;O832,0,J832),4)</f>
        <v>0</v>
      </c>
      <c r="R832" s="67">
        <f>ROUND(+P832*D832,4)</f>
        <v>0</v>
      </c>
      <c r="S832" s="67">
        <f>ROUND(IF(K832=0,0,M832*D832),4)</f>
        <v>0</v>
      </c>
      <c r="T832" s="67">
        <f>ROUND(+IF(K832=0,Q832*D832,0),4)</f>
        <v>0</v>
      </c>
      <c r="U832" s="67">
        <f>ROUND(+N832+R832+S832+T832,4)</f>
        <v>0</v>
      </c>
      <c r="V832" s="67">
        <f>ROUND(IF(P832=0,0,I832-H832-O832)+IF(L832=0,0,I832-H832-K832),4)</f>
        <v>0</v>
      </c>
      <c r="W832" s="67">
        <f>ROUND(+(V832*60%)*D832,4)</f>
        <v>0</v>
      </c>
      <c r="X832" s="148">
        <f>ROUND(+U832+W832,4)</f>
        <v>0</v>
      </c>
      <c r="Y832" s="68"/>
      <c r="Z832" s="148">
        <f>ROUND(IF(X832&gt;I832,X832,I832),4)</f>
        <v>0</v>
      </c>
    </row>
    <row r="833" spans="1:26" x14ac:dyDescent="0.2">
      <c r="A833" s="66"/>
      <c r="B833" s="66"/>
      <c r="C833" s="66"/>
      <c r="D833" s="144"/>
      <c r="E833" s="67"/>
      <c r="F833" s="67"/>
      <c r="G833" s="67"/>
      <c r="H833" s="67">
        <f>ROUND(+E833+G833,4)</f>
        <v>0</v>
      </c>
      <c r="I833" s="67"/>
      <c r="J833" s="67">
        <f>ROUND(+I833-H833,4)</f>
        <v>0</v>
      </c>
      <c r="K833" s="67">
        <f>ROUND(IF(F833="alluminio",0,I833*1.5%),4)</f>
        <v>0</v>
      </c>
      <c r="L833" s="67">
        <f>ROUND(IF(K833&lt;J833,K833,0),4)</f>
        <v>0</v>
      </c>
      <c r="M833" s="67">
        <f>ROUND(IF(J833&gt;K833,0,J833),4)</f>
        <v>0</v>
      </c>
      <c r="N833" s="67">
        <f>ROUND(+L833*D833,4)</f>
        <v>0</v>
      </c>
      <c r="O833" s="67">
        <f>ROUND(IF(F833="rame",0,+I833*3%),4)</f>
        <v>0</v>
      </c>
      <c r="P833" s="67">
        <f>ROUND(IF(O833&lt;J833,O833,0),4)</f>
        <v>0</v>
      </c>
      <c r="Q833" s="67">
        <f>ROUND(IF(J833&gt;O833,0,J833),4)</f>
        <v>0</v>
      </c>
      <c r="R833" s="67">
        <f>ROUND(+P833*D833,4)</f>
        <v>0</v>
      </c>
      <c r="S833" s="67">
        <f>ROUND(IF(K833=0,0,M833*D833),4)</f>
        <v>0</v>
      </c>
      <c r="T833" s="67">
        <f>ROUND(+IF(K833=0,Q833*D833,0),4)</f>
        <v>0</v>
      </c>
      <c r="U833" s="67">
        <f>ROUND(+N833+R833+S833+T833,4)</f>
        <v>0</v>
      </c>
      <c r="V833" s="67">
        <f>ROUND(IF(P833=0,0,I833-H833-O833)+IF(L833=0,0,I833-H833-K833),4)</f>
        <v>0</v>
      </c>
      <c r="W833" s="67">
        <f>ROUND(+(V833*60%)*D833,4)</f>
        <v>0</v>
      </c>
      <c r="X833" s="148">
        <f>ROUND(+U833+W833,4)</f>
        <v>0</v>
      </c>
      <c r="Y833" s="68"/>
      <c r="Z833" s="148">
        <f>ROUND(IF(X833&gt;I833,X833,I833),4)</f>
        <v>0</v>
      </c>
    </row>
    <row r="834" spans="1:26" x14ac:dyDescent="0.2">
      <c r="A834" s="66"/>
      <c r="B834" s="66"/>
      <c r="C834" s="66"/>
      <c r="D834" s="144"/>
      <c r="E834" s="67"/>
      <c r="F834" s="67"/>
      <c r="G834" s="67"/>
      <c r="H834" s="67">
        <f>ROUND(+E834+G834,4)</f>
        <v>0</v>
      </c>
      <c r="I834" s="67"/>
      <c r="J834" s="67">
        <f>ROUND(+I834-H834,4)</f>
        <v>0</v>
      </c>
      <c r="K834" s="67">
        <f>ROUND(IF(F834="alluminio",0,I834*1.5%),4)</f>
        <v>0</v>
      </c>
      <c r="L834" s="67">
        <f>ROUND(IF(K834&lt;J834,K834,0),4)</f>
        <v>0</v>
      </c>
      <c r="M834" s="67">
        <f>ROUND(IF(J834&gt;K834,0,J834),4)</f>
        <v>0</v>
      </c>
      <c r="N834" s="67">
        <f>ROUND(+L834*D834,4)</f>
        <v>0</v>
      </c>
      <c r="O834" s="67">
        <f>ROUND(IF(F834="rame",0,+I834*3%),4)</f>
        <v>0</v>
      </c>
      <c r="P834" s="67">
        <f>ROUND(IF(O834&lt;J834,O834,0),4)</f>
        <v>0</v>
      </c>
      <c r="Q834" s="67">
        <f>ROUND(IF(J834&gt;O834,0,J834),4)</f>
        <v>0</v>
      </c>
      <c r="R834" s="67">
        <f>ROUND(+P834*D834,4)</f>
        <v>0</v>
      </c>
      <c r="S834" s="67">
        <f>ROUND(IF(K834=0,0,M834*D834),4)</f>
        <v>0</v>
      </c>
      <c r="T834" s="67">
        <f>ROUND(+IF(K834=0,Q834*D834,0),4)</f>
        <v>0</v>
      </c>
      <c r="U834" s="67">
        <f>ROUND(+N834+R834+S834+T834,4)</f>
        <v>0</v>
      </c>
      <c r="V834" s="67">
        <f>ROUND(IF(P834=0,0,I834-H834-O834)+IF(L834=0,0,I834-H834-K834),4)</f>
        <v>0</v>
      </c>
      <c r="W834" s="67">
        <f>ROUND(+(V834*60%)*D834,4)</f>
        <v>0</v>
      </c>
      <c r="X834" s="148">
        <f>ROUND(+U834+W834,4)</f>
        <v>0</v>
      </c>
      <c r="Y834" s="68"/>
      <c r="Z834" s="148">
        <f>ROUND(IF(X834&gt;I834,X834,I834),4)</f>
        <v>0</v>
      </c>
    </row>
    <row r="835" spans="1:26" x14ac:dyDescent="0.2">
      <c r="A835" s="66"/>
      <c r="B835" s="66"/>
      <c r="C835" s="66"/>
      <c r="D835" s="144"/>
      <c r="E835" s="67"/>
      <c r="F835" s="67"/>
      <c r="G835" s="67"/>
      <c r="H835" s="67">
        <f>ROUND(+E835+G835,4)</f>
        <v>0</v>
      </c>
      <c r="I835" s="67"/>
      <c r="J835" s="67">
        <f>ROUND(+I835-H835,4)</f>
        <v>0</v>
      </c>
      <c r="K835" s="67">
        <f>ROUND(IF(F835="alluminio",0,I835*1.5%),4)</f>
        <v>0</v>
      </c>
      <c r="L835" s="67">
        <f>ROUND(IF(K835&lt;J835,K835,0),4)</f>
        <v>0</v>
      </c>
      <c r="M835" s="67">
        <f>ROUND(IF(J835&gt;K835,0,J835),4)</f>
        <v>0</v>
      </c>
      <c r="N835" s="67">
        <f>ROUND(+L835*D835,4)</f>
        <v>0</v>
      </c>
      <c r="O835" s="67">
        <f>ROUND(IF(F835="rame",0,+I835*3%),4)</f>
        <v>0</v>
      </c>
      <c r="P835" s="67">
        <f>ROUND(IF(O835&lt;J835,O835,0),4)</f>
        <v>0</v>
      </c>
      <c r="Q835" s="67">
        <f>ROUND(IF(J835&gt;O835,0,J835),4)</f>
        <v>0</v>
      </c>
      <c r="R835" s="67">
        <f>ROUND(+P835*D835,4)</f>
        <v>0</v>
      </c>
      <c r="S835" s="67">
        <f>ROUND(IF(K835=0,0,M835*D835),4)</f>
        <v>0</v>
      </c>
      <c r="T835" s="67">
        <f>ROUND(+IF(K835=0,Q835*D835,0),4)</f>
        <v>0</v>
      </c>
      <c r="U835" s="67">
        <f>ROUND(+N835+R835+S835+T835,4)</f>
        <v>0</v>
      </c>
      <c r="V835" s="67">
        <f>ROUND(IF(P835=0,0,I835-H835-O835)+IF(L835=0,0,I835-H835-K835),4)</f>
        <v>0</v>
      </c>
      <c r="W835" s="67">
        <f>ROUND(+(V835*60%)*D835,4)</f>
        <v>0</v>
      </c>
      <c r="X835" s="148">
        <f>ROUND(+U835+W835,4)</f>
        <v>0</v>
      </c>
      <c r="Y835" s="68"/>
      <c r="Z835" s="148">
        <f>ROUND(IF(X835&gt;I835,X835,I835),4)</f>
        <v>0</v>
      </c>
    </row>
    <row r="836" spans="1:26" x14ac:dyDescent="0.2">
      <c r="A836" s="66"/>
      <c r="B836" s="66"/>
      <c r="C836" s="66"/>
      <c r="D836" s="144"/>
      <c r="E836" s="67"/>
      <c r="F836" s="67"/>
      <c r="G836" s="67"/>
      <c r="H836" s="67">
        <f>ROUND(+E836+G836,4)</f>
        <v>0</v>
      </c>
      <c r="I836" s="67"/>
      <c r="J836" s="67">
        <f>ROUND(+I836-H836,4)</f>
        <v>0</v>
      </c>
      <c r="K836" s="67">
        <f>ROUND(IF(F836="alluminio",0,I836*1.5%),4)</f>
        <v>0</v>
      </c>
      <c r="L836" s="67">
        <f>ROUND(IF(K836&lt;J836,K836,0),4)</f>
        <v>0</v>
      </c>
      <c r="M836" s="67">
        <f>ROUND(IF(J836&gt;K836,0,J836),4)</f>
        <v>0</v>
      </c>
      <c r="N836" s="67">
        <f>ROUND(+L836*D836,4)</f>
        <v>0</v>
      </c>
      <c r="O836" s="67">
        <f>ROUND(IF(F836="rame",0,+I836*3%),4)</f>
        <v>0</v>
      </c>
      <c r="P836" s="67">
        <f>ROUND(IF(O836&lt;J836,O836,0),4)</f>
        <v>0</v>
      </c>
      <c r="Q836" s="67">
        <f>ROUND(IF(J836&gt;O836,0,J836),4)</f>
        <v>0</v>
      </c>
      <c r="R836" s="67">
        <f>ROUND(+P836*D836,4)</f>
        <v>0</v>
      </c>
      <c r="S836" s="67">
        <f>ROUND(IF(K836=0,0,M836*D836),4)</f>
        <v>0</v>
      </c>
      <c r="T836" s="67">
        <f>ROUND(+IF(K836=0,Q836*D836,0),4)</f>
        <v>0</v>
      </c>
      <c r="U836" s="67">
        <f>ROUND(+N836+R836+S836+T836,4)</f>
        <v>0</v>
      </c>
      <c r="V836" s="67">
        <f>ROUND(IF(P836=0,0,I836-H836-O836)+IF(L836=0,0,I836-H836-K836),4)</f>
        <v>0</v>
      </c>
      <c r="W836" s="67">
        <f>ROUND(+(V836*60%)*D836,4)</f>
        <v>0</v>
      </c>
      <c r="X836" s="148">
        <f>ROUND(+U836+W836,4)</f>
        <v>0</v>
      </c>
      <c r="Y836" s="68"/>
      <c r="Z836" s="148">
        <f>ROUND(IF(X836&gt;I836,X836,I836),4)</f>
        <v>0</v>
      </c>
    </row>
    <row r="837" spans="1:26" x14ac:dyDescent="0.2">
      <c r="A837" s="66"/>
      <c r="B837" s="66"/>
      <c r="C837" s="66"/>
      <c r="D837" s="144"/>
      <c r="E837" s="67"/>
      <c r="F837" s="67"/>
      <c r="G837" s="67"/>
      <c r="H837" s="67">
        <f>ROUND(+E837+G837,4)</f>
        <v>0</v>
      </c>
      <c r="I837" s="67"/>
      <c r="J837" s="67">
        <f>ROUND(+I837-H837,4)</f>
        <v>0</v>
      </c>
      <c r="K837" s="67">
        <f>ROUND(IF(F837="alluminio",0,I837*1.5%),4)</f>
        <v>0</v>
      </c>
      <c r="L837" s="67">
        <f>ROUND(IF(K837&lt;J837,K837,0),4)</f>
        <v>0</v>
      </c>
      <c r="M837" s="67">
        <f>ROUND(IF(J837&gt;K837,0,J837),4)</f>
        <v>0</v>
      </c>
      <c r="N837" s="67">
        <f>ROUND(+L837*D837,4)</f>
        <v>0</v>
      </c>
      <c r="O837" s="67">
        <f>ROUND(IF(F837="rame",0,+I837*3%),4)</f>
        <v>0</v>
      </c>
      <c r="P837" s="67">
        <f>ROUND(IF(O837&lt;J837,O837,0),4)</f>
        <v>0</v>
      </c>
      <c r="Q837" s="67">
        <f>ROUND(IF(J837&gt;O837,0,J837),4)</f>
        <v>0</v>
      </c>
      <c r="R837" s="67">
        <f>ROUND(+P837*D837,4)</f>
        <v>0</v>
      </c>
      <c r="S837" s="67">
        <f>ROUND(IF(K837=0,0,M837*D837),4)</f>
        <v>0</v>
      </c>
      <c r="T837" s="67">
        <f>ROUND(+IF(K837=0,Q837*D837,0),4)</f>
        <v>0</v>
      </c>
      <c r="U837" s="67">
        <f>ROUND(+N837+R837+S837+T837,4)</f>
        <v>0</v>
      </c>
      <c r="V837" s="67">
        <f>ROUND(IF(P837=0,0,I837-H837-O837)+IF(L837=0,0,I837-H837-K837),4)</f>
        <v>0</v>
      </c>
      <c r="W837" s="67">
        <f>ROUND(+(V837*60%)*D837,4)</f>
        <v>0</v>
      </c>
      <c r="X837" s="148">
        <f>ROUND(+U837+W837,4)</f>
        <v>0</v>
      </c>
      <c r="Y837" s="68"/>
      <c r="Z837" s="148">
        <f>ROUND(IF(X837&gt;I837,X837,I837),4)</f>
        <v>0</v>
      </c>
    </row>
    <row r="838" spans="1:26" x14ac:dyDescent="0.2">
      <c r="A838" s="66"/>
      <c r="B838" s="66"/>
      <c r="C838" s="66"/>
      <c r="D838" s="144"/>
      <c r="E838" s="67"/>
      <c r="F838" s="67"/>
      <c r="G838" s="67"/>
      <c r="H838" s="67">
        <f>ROUND(+E838+G838,4)</f>
        <v>0</v>
      </c>
      <c r="I838" s="67"/>
      <c r="J838" s="67">
        <f>ROUND(+I838-H838,4)</f>
        <v>0</v>
      </c>
      <c r="K838" s="67">
        <f>ROUND(IF(F838="alluminio",0,I838*1.5%),4)</f>
        <v>0</v>
      </c>
      <c r="L838" s="67">
        <f>ROUND(IF(K838&lt;J838,K838,0),4)</f>
        <v>0</v>
      </c>
      <c r="M838" s="67">
        <f>ROUND(IF(J838&gt;K838,0,J838),4)</f>
        <v>0</v>
      </c>
      <c r="N838" s="67">
        <f>ROUND(+L838*D838,4)</f>
        <v>0</v>
      </c>
      <c r="O838" s="67">
        <f>ROUND(IF(F838="rame",0,+I838*3%),4)</f>
        <v>0</v>
      </c>
      <c r="P838" s="67">
        <f>ROUND(IF(O838&lt;J838,O838,0),4)</f>
        <v>0</v>
      </c>
      <c r="Q838" s="67">
        <f>ROUND(IF(J838&gt;O838,0,J838),4)</f>
        <v>0</v>
      </c>
      <c r="R838" s="67">
        <f>ROUND(+P838*D838,4)</f>
        <v>0</v>
      </c>
      <c r="S838" s="67">
        <f>ROUND(IF(K838=0,0,M838*D838),4)</f>
        <v>0</v>
      </c>
      <c r="T838" s="67">
        <f>ROUND(+IF(K838=0,Q838*D838,0),4)</f>
        <v>0</v>
      </c>
      <c r="U838" s="67">
        <f>ROUND(+N838+R838+S838+T838,4)</f>
        <v>0</v>
      </c>
      <c r="V838" s="67">
        <f>ROUND(IF(P838=0,0,I838-H838-O838)+IF(L838=0,0,I838-H838-K838),4)</f>
        <v>0</v>
      </c>
      <c r="W838" s="67">
        <f>ROUND(+(V838*60%)*D838,4)</f>
        <v>0</v>
      </c>
      <c r="X838" s="148">
        <f>ROUND(+U838+W838,4)</f>
        <v>0</v>
      </c>
      <c r="Y838" s="68"/>
      <c r="Z838" s="148">
        <f>ROUND(IF(X838&gt;I838,X838,I838),4)</f>
        <v>0</v>
      </c>
    </row>
    <row r="839" spans="1:26" x14ac:dyDescent="0.2">
      <c r="A839" s="66"/>
      <c r="B839" s="66"/>
      <c r="C839" s="66"/>
      <c r="D839" s="144"/>
      <c r="E839" s="67"/>
      <c r="F839" s="67"/>
      <c r="G839" s="67"/>
      <c r="H839" s="67">
        <f>ROUND(+E839+G839,4)</f>
        <v>0</v>
      </c>
      <c r="I839" s="67"/>
      <c r="J839" s="67">
        <f>ROUND(+I839-H839,4)</f>
        <v>0</v>
      </c>
      <c r="K839" s="67">
        <f>ROUND(IF(F839="alluminio",0,I839*1.5%),4)</f>
        <v>0</v>
      </c>
      <c r="L839" s="67">
        <f>ROUND(IF(K839&lt;J839,K839,0),4)</f>
        <v>0</v>
      </c>
      <c r="M839" s="67">
        <f>ROUND(IF(J839&gt;K839,0,J839),4)</f>
        <v>0</v>
      </c>
      <c r="N839" s="67">
        <f>ROUND(+L839*D839,4)</f>
        <v>0</v>
      </c>
      <c r="O839" s="67">
        <f>ROUND(IF(F839="rame",0,+I839*3%),4)</f>
        <v>0</v>
      </c>
      <c r="P839" s="67">
        <f>ROUND(IF(O839&lt;J839,O839,0),4)</f>
        <v>0</v>
      </c>
      <c r="Q839" s="67">
        <f>ROUND(IF(J839&gt;O839,0,J839),4)</f>
        <v>0</v>
      </c>
      <c r="R839" s="67">
        <f>ROUND(+P839*D839,4)</f>
        <v>0</v>
      </c>
      <c r="S839" s="67">
        <f>ROUND(IF(K839=0,0,M839*D839),4)</f>
        <v>0</v>
      </c>
      <c r="T839" s="67">
        <f>ROUND(+IF(K839=0,Q839*D839,0),4)</f>
        <v>0</v>
      </c>
      <c r="U839" s="67">
        <f>ROUND(+N839+R839+S839+T839,4)</f>
        <v>0</v>
      </c>
      <c r="V839" s="67">
        <f>ROUND(IF(P839=0,0,I839-H839-O839)+IF(L839=0,0,I839-H839-K839),4)</f>
        <v>0</v>
      </c>
      <c r="W839" s="67">
        <f>ROUND(+(V839*60%)*D839,4)</f>
        <v>0</v>
      </c>
      <c r="X839" s="148">
        <f>ROUND(+U839+W839,4)</f>
        <v>0</v>
      </c>
      <c r="Y839" s="68"/>
      <c r="Z839" s="148">
        <f>ROUND(IF(X839&gt;I839,X839,I839),4)</f>
        <v>0</v>
      </c>
    </row>
    <row r="840" spans="1:26" x14ac:dyDescent="0.2">
      <c r="A840" s="66"/>
      <c r="B840" s="66"/>
      <c r="C840" s="66"/>
      <c r="D840" s="144"/>
      <c r="E840" s="67"/>
      <c r="F840" s="67"/>
      <c r="G840" s="67"/>
      <c r="H840" s="67">
        <f>ROUND(+E840+G840,4)</f>
        <v>0</v>
      </c>
      <c r="I840" s="67"/>
      <c r="J840" s="67">
        <f>ROUND(+I840-H840,4)</f>
        <v>0</v>
      </c>
      <c r="K840" s="67">
        <f>ROUND(IF(F840="alluminio",0,I840*1.5%),4)</f>
        <v>0</v>
      </c>
      <c r="L840" s="67">
        <f>ROUND(IF(K840&lt;J840,K840,0),4)</f>
        <v>0</v>
      </c>
      <c r="M840" s="67">
        <f>ROUND(IF(J840&gt;K840,0,J840),4)</f>
        <v>0</v>
      </c>
      <c r="N840" s="67">
        <f>ROUND(+L840*D840,4)</f>
        <v>0</v>
      </c>
      <c r="O840" s="67">
        <f>ROUND(IF(F840="rame",0,+I840*3%),4)</f>
        <v>0</v>
      </c>
      <c r="P840" s="67">
        <f>ROUND(IF(O840&lt;J840,O840,0),4)</f>
        <v>0</v>
      </c>
      <c r="Q840" s="67">
        <f>ROUND(IF(J840&gt;O840,0,J840),4)</f>
        <v>0</v>
      </c>
      <c r="R840" s="67">
        <f>ROUND(+P840*D840,4)</f>
        <v>0</v>
      </c>
      <c r="S840" s="67">
        <f>ROUND(IF(K840=0,0,M840*D840),4)</f>
        <v>0</v>
      </c>
      <c r="T840" s="67">
        <f>ROUND(+IF(K840=0,Q840*D840,0),4)</f>
        <v>0</v>
      </c>
      <c r="U840" s="67">
        <f>ROUND(+N840+R840+S840+T840,4)</f>
        <v>0</v>
      </c>
      <c r="V840" s="67">
        <f>ROUND(IF(P840=0,0,I840-H840-O840)+IF(L840=0,0,I840-H840-K840),4)</f>
        <v>0</v>
      </c>
      <c r="W840" s="67">
        <f>ROUND(+(V840*60%)*D840,4)</f>
        <v>0</v>
      </c>
      <c r="X840" s="148">
        <f>ROUND(+U840+W840,4)</f>
        <v>0</v>
      </c>
      <c r="Y840" s="68"/>
      <c r="Z840" s="148">
        <f>ROUND(IF(X840&gt;I840,X840,I840),4)</f>
        <v>0</v>
      </c>
    </row>
    <row r="841" spans="1:26" x14ac:dyDescent="0.2">
      <c r="A841" s="66"/>
      <c r="B841" s="66"/>
      <c r="C841" s="66"/>
      <c r="D841" s="144"/>
      <c r="E841" s="67"/>
      <c r="F841" s="67"/>
      <c r="G841" s="67"/>
      <c r="H841" s="67">
        <f>ROUND(+E841+G841,4)</f>
        <v>0</v>
      </c>
      <c r="I841" s="67"/>
      <c r="J841" s="67">
        <f>ROUND(+I841-H841,4)</f>
        <v>0</v>
      </c>
      <c r="K841" s="67">
        <f>ROUND(IF(F841="alluminio",0,I841*1.5%),4)</f>
        <v>0</v>
      </c>
      <c r="L841" s="67">
        <f>ROUND(IF(K841&lt;J841,K841,0),4)</f>
        <v>0</v>
      </c>
      <c r="M841" s="67">
        <f>ROUND(IF(J841&gt;K841,0,J841),4)</f>
        <v>0</v>
      </c>
      <c r="N841" s="67">
        <f>ROUND(+L841*D841,4)</f>
        <v>0</v>
      </c>
      <c r="O841" s="67">
        <f>ROUND(IF(F841="rame",0,+I841*3%),4)</f>
        <v>0</v>
      </c>
      <c r="P841" s="67">
        <f>ROUND(IF(O841&lt;J841,O841,0),4)</f>
        <v>0</v>
      </c>
      <c r="Q841" s="67">
        <f>ROUND(IF(J841&gt;O841,0,J841),4)</f>
        <v>0</v>
      </c>
      <c r="R841" s="67">
        <f>ROUND(+P841*D841,4)</f>
        <v>0</v>
      </c>
      <c r="S841" s="67">
        <f>ROUND(IF(K841=0,0,M841*D841),4)</f>
        <v>0</v>
      </c>
      <c r="T841" s="67">
        <f>ROUND(+IF(K841=0,Q841*D841,0),4)</f>
        <v>0</v>
      </c>
      <c r="U841" s="67">
        <f>ROUND(+N841+R841+S841+T841,4)</f>
        <v>0</v>
      </c>
      <c r="V841" s="67">
        <f>ROUND(IF(P841=0,0,I841-H841-O841)+IF(L841=0,0,I841-H841-K841),4)</f>
        <v>0</v>
      </c>
      <c r="W841" s="67">
        <f>ROUND(+(V841*60%)*D841,4)</f>
        <v>0</v>
      </c>
      <c r="X841" s="148">
        <f>ROUND(+U841+W841,4)</f>
        <v>0</v>
      </c>
      <c r="Y841" s="68"/>
      <c r="Z841" s="148">
        <f>ROUND(IF(X841&gt;I841,X841,I841),4)</f>
        <v>0</v>
      </c>
    </row>
    <row r="842" spans="1:26" x14ac:dyDescent="0.2">
      <c r="A842" s="66"/>
      <c r="B842" s="66"/>
      <c r="C842" s="66"/>
      <c r="D842" s="144"/>
      <c r="E842" s="67"/>
      <c r="F842" s="67"/>
      <c r="G842" s="67"/>
      <c r="H842" s="67">
        <f>ROUND(+E842+G842,4)</f>
        <v>0</v>
      </c>
      <c r="I842" s="67"/>
      <c r="J842" s="67">
        <f>ROUND(+I842-H842,4)</f>
        <v>0</v>
      </c>
      <c r="K842" s="67">
        <f>ROUND(IF(F842="alluminio",0,I842*1.5%),4)</f>
        <v>0</v>
      </c>
      <c r="L842" s="67">
        <f>ROUND(IF(K842&lt;J842,K842,0),4)</f>
        <v>0</v>
      </c>
      <c r="M842" s="67">
        <f>ROUND(IF(J842&gt;K842,0,J842),4)</f>
        <v>0</v>
      </c>
      <c r="N842" s="67">
        <f>ROUND(+L842*D842,4)</f>
        <v>0</v>
      </c>
      <c r="O842" s="67">
        <f>ROUND(IF(F842="rame",0,+I842*3%),4)</f>
        <v>0</v>
      </c>
      <c r="P842" s="67">
        <f>ROUND(IF(O842&lt;J842,O842,0),4)</f>
        <v>0</v>
      </c>
      <c r="Q842" s="67">
        <f>ROUND(IF(J842&gt;O842,0,J842),4)</f>
        <v>0</v>
      </c>
      <c r="R842" s="67">
        <f>ROUND(+P842*D842,4)</f>
        <v>0</v>
      </c>
      <c r="S842" s="67">
        <f>ROUND(IF(K842=0,0,M842*D842),4)</f>
        <v>0</v>
      </c>
      <c r="T842" s="67">
        <f>ROUND(+IF(K842=0,Q842*D842,0),4)</f>
        <v>0</v>
      </c>
      <c r="U842" s="67">
        <f>ROUND(+N842+R842+S842+T842,4)</f>
        <v>0</v>
      </c>
      <c r="V842" s="67">
        <f>ROUND(IF(P842=0,0,I842-H842-O842)+IF(L842=0,0,I842-H842-K842),4)</f>
        <v>0</v>
      </c>
      <c r="W842" s="67">
        <f>ROUND(+(V842*60%)*D842,4)</f>
        <v>0</v>
      </c>
      <c r="X842" s="148">
        <f>ROUND(+U842+W842,4)</f>
        <v>0</v>
      </c>
      <c r="Y842" s="68"/>
      <c r="Z842" s="148">
        <f>ROUND(IF(X842&gt;I842,X842,I842),4)</f>
        <v>0</v>
      </c>
    </row>
    <row r="843" spans="1:26" x14ac:dyDescent="0.2">
      <c r="A843" s="66"/>
      <c r="B843" s="66"/>
      <c r="C843" s="66"/>
      <c r="D843" s="144"/>
      <c r="E843" s="67"/>
      <c r="F843" s="67"/>
      <c r="G843" s="67"/>
      <c r="H843" s="67">
        <f>ROUND(+E843+G843,4)</f>
        <v>0</v>
      </c>
      <c r="I843" s="67"/>
      <c r="J843" s="67">
        <f>ROUND(+I843-H843,4)</f>
        <v>0</v>
      </c>
      <c r="K843" s="67">
        <f>ROUND(IF(F843="alluminio",0,I843*1.5%),4)</f>
        <v>0</v>
      </c>
      <c r="L843" s="67">
        <f>ROUND(IF(K843&lt;J843,K843,0),4)</f>
        <v>0</v>
      </c>
      <c r="M843" s="67">
        <f>ROUND(IF(J843&gt;K843,0,J843),4)</f>
        <v>0</v>
      </c>
      <c r="N843" s="67">
        <f>ROUND(+L843*D843,4)</f>
        <v>0</v>
      </c>
      <c r="O843" s="67">
        <f>ROUND(IF(F843="rame",0,+I843*3%),4)</f>
        <v>0</v>
      </c>
      <c r="P843" s="67">
        <f>ROUND(IF(O843&lt;J843,O843,0),4)</f>
        <v>0</v>
      </c>
      <c r="Q843" s="67">
        <f>ROUND(IF(J843&gt;O843,0,J843),4)</f>
        <v>0</v>
      </c>
      <c r="R843" s="67">
        <f>ROUND(+P843*D843,4)</f>
        <v>0</v>
      </c>
      <c r="S843" s="67">
        <f>ROUND(IF(K843=0,0,M843*D843),4)</f>
        <v>0</v>
      </c>
      <c r="T843" s="67">
        <f>ROUND(+IF(K843=0,Q843*D843,0),4)</f>
        <v>0</v>
      </c>
      <c r="U843" s="67">
        <f>ROUND(+N843+R843+S843+T843,4)</f>
        <v>0</v>
      </c>
      <c r="V843" s="67">
        <f>ROUND(IF(P843=0,0,I843-H843-O843)+IF(L843=0,0,I843-H843-K843),4)</f>
        <v>0</v>
      </c>
      <c r="W843" s="67">
        <f>ROUND(+(V843*60%)*D843,4)</f>
        <v>0</v>
      </c>
      <c r="X843" s="148">
        <f>ROUND(+U843+W843,4)</f>
        <v>0</v>
      </c>
      <c r="Y843" s="68"/>
      <c r="Z843" s="148">
        <f>ROUND(IF(X843&gt;I843,X843,I843),4)</f>
        <v>0</v>
      </c>
    </row>
    <row r="844" spans="1:26" x14ac:dyDescent="0.2">
      <c r="A844" s="66"/>
      <c r="B844" s="66"/>
      <c r="C844" s="66"/>
      <c r="D844" s="144"/>
      <c r="E844" s="67"/>
      <c r="F844" s="67"/>
      <c r="G844" s="67"/>
      <c r="H844" s="67">
        <f>ROUND(+E844+G844,4)</f>
        <v>0</v>
      </c>
      <c r="I844" s="67"/>
      <c r="J844" s="67">
        <f>ROUND(+I844-H844,4)</f>
        <v>0</v>
      </c>
      <c r="K844" s="67">
        <f>ROUND(IF(F844="alluminio",0,I844*1.5%),4)</f>
        <v>0</v>
      </c>
      <c r="L844" s="67">
        <f>ROUND(IF(K844&lt;J844,K844,0),4)</f>
        <v>0</v>
      </c>
      <c r="M844" s="67">
        <f>ROUND(IF(J844&gt;K844,0,J844),4)</f>
        <v>0</v>
      </c>
      <c r="N844" s="67">
        <f>ROUND(+L844*D844,4)</f>
        <v>0</v>
      </c>
      <c r="O844" s="67">
        <f>ROUND(IF(F844="rame",0,+I844*3%),4)</f>
        <v>0</v>
      </c>
      <c r="P844" s="67">
        <f>ROUND(IF(O844&lt;J844,O844,0),4)</f>
        <v>0</v>
      </c>
      <c r="Q844" s="67">
        <f>ROUND(IF(J844&gt;O844,0,J844),4)</f>
        <v>0</v>
      </c>
      <c r="R844" s="67">
        <f>ROUND(+P844*D844,4)</f>
        <v>0</v>
      </c>
      <c r="S844" s="67">
        <f>ROUND(IF(K844=0,0,M844*D844),4)</f>
        <v>0</v>
      </c>
      <c r="T844" s="67">
        <f>ROUND(+IF(K844=0,Q844*D844,0),4)</f>
        <v>0</v>
      </c>
      <c r="U844" s="67">
        <f>ROUND(+N844+R844+S844+T844,4)</f>
        <v>0</v>
      </c>
      <c r="V844" s="67">
        <f>ROUND(IF(P844=0,0,I844-H844-O844)+IF(L844=0,0,I844-H844-K844),4)</f>
        <v>0</v>
      </c>
      <c r="W844" s="67">
        <f>ROUND(+(V844*60%)*D844,4)</f>
        <v>0</v>
      </c>
      <c r="X844" s="148">
        <f>ROUND(+U844+W844,4)</f>
        <v>0</v>
      </c>
      <c r="Y844" s="68"/>
      <c r="Z844" s="148">
        <f>ROUND(IF(X844&gt;I844,X844,I844),4)</f>
        <v>0</v>
      </c>
    </row>
    <row r="845" spans="1:26" x14ac:dyDescent="0.2">
      <c r="A845" s="66"/>
      <c r="B845" s="66"/>
      <c r="C845" s="66"/>
      <c r="D845" s="144"/>
      <c r="E845" s="67"/>
      <c r="F845" s="67"/>
      <c r="G845" s="67"/>
      <c r="H845" s="67">
        <f>ROUND(+E845+G845,4)</f>
        <v>0</v>
      </c>
      <c r="I845" s="67"/>
      <c r="J845" s="67">
        <f>ROUND(+I845-H845,4)</f>
        <v>0</v>
      </c>
      <c r="K845" s="67">
        <f>ROUND(IF(F845="alluminio",0,I845*1.5%),4)</f>
        <v>0</v>
      </c>
      <c r="L845" s="67">
        <f>ROUND(IF(K845&lt;J845,K845,0),4)</f>
        <v>0</v>
      </c>
      <c r="M845" s="67">
        <f>ROUND(IF(J845&gt;K845,0,J845),4)</f>
        <v>0</v>
      </c>
      <c r="N845" s="67">
        <f>ROUND(+L845*D845,4)</f>
        <v>0</v>
      </c>
      <c r="O845" s="67">
        <f>ROUND(IF(F845="rame",0,+I845*3%),4)</f>
        <v>0</v>
      </c>
      <c r="P845" s="67">
        <f>ROUND(IF(O845&lt;J845,O845,0),4)</f>
        <v>0</v>
      </c>
      <c r="Q845" s="67">
        <f>ROUND(IF(J845&gt;O845,0,J845),4)</f>
        <v>0</v>
      </c>
      <c r="R845" s="67">
        <f>ROUND(+P845*D845,4)</f>
        <v>0</v>
      </c>
      <c r="S845" s="67">
        <f>ROUND(IF(K845=0,0,M845*D845),4)</f>
        <v>0</v>
      </c>
      <c r="T845" s="67">
        <f>ROUND(+IF(K845=0,Q845*D845,0),4)</f>
        <v>0</v>
      </c>
      <c r="U845" s="67">
        <f>ROUND(+N845+R845+S845+T845,4)</f>
        <v>0</v>
      </c>
      <c r="V845" s="67">
        <f>ROUND(IF(P845=0,0,I845-H845-O845)+IF(L845=0,0,I845-H845-K845),4)</f>
        <v>0</v>
      </c>
      <c r="W845" s="67">
        <f>ROUND(+(V845*60%)*D845,4)</f>
        <v>0</v>
      </c>
      <c r="X845" s="148">
        <f>ROUND(+U845+W845,4)</f>
        <v>0</v>
      </c>
      <c r="Y845" s="68"/>
      <c r="Z845" s="148">
        <f>ROUND(IF(X845&gt;I845,X845,I845),4)</f>
        <v>0</v>
      </c>
    </row>
    <row r="846" spans="1:26" x14ac:dyDescent="0.2">
      <c r="A846" s="66"/>
      <c r="B846" s="66"/>
      <c r="C846" s="66"/>
      <c r="D846" s="144"/>
      <c r="E846" s="67"/>
      <c r="F846" s="67"/>
      <c r="G846" s="67"/>
      <c r="H846" s="67">
        <f>ROUND(+E846+G846,4)</f>
        <v>0</v>
      </c>
      <c r="I846" s="67"/>
      <c r="J846" s="67">
        <f>ROUND(+I846-H846,4)</f>
        <v>0</v>
      </c>
      <c r="K846" s="67">
        <f>ROUND(IF(F846="alluminio",0,I846*1.5%),4)</f>
        <v>0</v>
      </c>
      <c r="L846" s="67">
        <f>ROUND(IF(K846&lt;J846,K846,0),4)</f>
        <v>0</v>
      </c>
      <c r="M846" s="67">
        <f>ROUND(IF(J846&gt;K846,0,J846),4)</f>
        <v>0</v>
      </c>
      <c r="N846" s="67">
        <f>ROUND(+L846*D846,4)</f>
        <v>0</v>
      </c>
      <c r="O846" s="67">
        <f>ROUND(IF(F846="rame",0,+I846*3%),4)</f>
        <v>0</v>
      </c>
      <c r="P846" s="67">
        <f>ROUND(IF(O846&lt;J846,O846,0),4)</f>
        <v>0</v>
      </c>
      <c r="Q846" s="67">
        <f>ROUND(IF(J846&gt;O846,0,J846),4)</f>
        <v>0</v>
      </c>
      <c r="R846" s="67">
        <f>ROUND(+P846*D846,4)</f>
        <v>0</v>
      </c>
      <c r="S846" s="67">
        <f>ROUND(IF(K846=0,0,M846*D846),4)</f>
        <v>0</v>
      </c>
      <c r="T846" s="67">
        <f>ROUND(+IF(K846=0,Q846*D846,0),4)</f>
        <v>0</v>
      </c>
      <c r="U846" s="67">
        <f>ROUND(+N846+R846+S846+T846,4)</f>
        <v>0</v>
      </c>
      <c r="V846" s="67">
        <f>ROUND(IF(P846=0,0,I846-H846-O846)+IF(L846=0,0,I846-H846-K846),4)</f>
        <v>0</v>
      </c>
      <c r="W846" s="67">
        <f>ROUND(+(V846*60%)*D846,4)</f>
        <v>0</v>
      </c>
      <c r="X846" s="148">
        <f>ROUND(+U846+W846,4)</f>
        <v>0</v>
      </c>
      <c r="Y846" s="68"/>
      <c r="Z846" s="148">
        <f>ROUND(IF(X846&gt;I846,X846,I846),4)</f>
        <v>0</v>
      </c>
    </row>
    <row r="847" spans="1:26" x14ac:dyDescent="0.2">
      <c r="A847" s="66"/>
      <c r="B847" s="66"/>
      <c r="C847" s="66"/>
      <c r="D847" s="144"/>
      <c r="E847" s="67"/>
      <c r="F847" s="67"/>
      <c r="G847" s="67"/>
      <c r="H847" s="67">
        <f>ROUND(+E847+G847,4)</f>
        <v>0</v>
      </c>
      <c r="I847" s="67"/>
      <c r="J847" s="67">
        <f>ROUND(+I847-H847,4)</f>
        <v>0</v>
      </c>
      <c r="K847" s="67">
        <f>ROUND(IF(F847="alluminio",0,I847*1.5%),4)</f>
        <v>0</v>
      </c>
      <c r="L847" s="67">
        <f>ROUND(IF(K847&lt;J847,K847,0),4)</f>
        <v>0</v>
      </c>
      <c r="M847" s="67">
        <f>ROUND(IF(J847&gt;K847,0,J847),4)</f>
        <v>0</v>
      </c>
      <c r="N847" s="67">
        <f>ROUND(+L847*D847,4)</f>
        <v>0</v>
      </c>
      <c r="O847" s="67">
        <f>ROUND(IF(F847="rame",0,+I847*3%),4)</f>
        <v>0</v>
      </c>
      <c r="P847" s="67">
        <f>ROUND(IF(O847&lt;J847,O847,0),4)</f>
        <v>0</v>
      </c>
      <c r="Q847" s="67">
        <f>ROUND(IF(J847&gt;O847,0,J847),4)</f>
        <v>0</v>
      </c>
      <c r="R847" s="67">
        <f>ROUND(+P847*D847,4)</f>
        <v>0</v>
      </c>
      <c r="S847" s="67">
        <f>ROUND(IF(K847=0,0,M847*D847),4)</f>
        <v>0</v>
      </c>
      <c r="T847" s="67">
        <f>ROUND(+IF(K847=0,Q847*D847,0),4)</f>
        <v>0</v>
      </c>
      <c r="U847" s="67">
        <f>ROUND(+N847+R847+S847+T847,4)</f>
        <v>0</v>
      </c>
      <c r="V847" s="67">
        <f>ROUND(IF(P847=0,0,I847-H847-O847)+IF(L847=0,0,I847-H847-K847),4)</f>
        <v>0</v>
      </c>
      <c r="W847" s="67">
        <f>ROUND(+(V847*60%)*D847,4)</f>
        <v>0</v>
      </c>
      <c r="X847" s="148">
        <f>ROUND(+U847+W847,4)</f>
        <v>0</v>
      </c>
      <c r="Y847" s="68"/>
      <c r="Z847" s="148">
        <f>ROUND(IF(X847&gt;I847,X847,I847),4)</f>
        <v>0</v>
      </c>
    </row>
    <row r="848" spans="1:26" x14ac:dyDescent="0.2">
      <c r="A848" s="66"/>
      <c r="B848" s="66"/>
      <c r="C848" s="66"/>
      <c r="D848" s="144"/>
      <c r="E848" s="67"/>
      <c r="F848" s="67"/>
      <c r="G848" s="67"/>
      <c r="H848" s="67">
        <f>ROUND(+E848+G848,4)</f>
        <v>0</v>
      </c>
      <c r="I848" s="67"/>
      <c r="J848" s="67">
        <f>ROUND(+I848-H848,4)</f>
        <v>0</v>
      </c>
      <c r="K848" s="67">
        <f>ROUND(IF(F848="alluminio",0,I848*1.5%),4)</f>
        <v>0</v>
      </c>
      <c r="L848" s="67">
        <f>ROUND(IF(K848&lt;J848,K848,0),4)</f>
        <v>0</v>
      </c>
      <c r="M848" s="67">
        <f>ROUND(IF(J848&gt;K848,0,J848),4)</f>
        <v>0</v>
      </c>
      <c r="N848" s="67">
        <f>ROUND(+L848*D848,4)</f>
        <v>0</v>
      </c>
      <c r="O848" s="67">
        <f>ROUND(IF(F848="rame",0,+I848*3%),4)</f>
        <v>0</v>
      </c>
      <c r="P848" s="67">
        <f>ROUND(IF(O848&lt;J848,O848,0),4)</f>
        <v>0</v>
      </c>
      <c r="Q848" s="67">
        <f>ROUND(IF(J848&gt;O848,0,J848),4)</f>
        <v>0</v>
      </c>
      <c r="R848" s="67">
        <f>ROUND(+P848*D848,4)</f>
        <v>0</v>
      </c>
      <c r="S848" s="67">
        <f>ROUND(IF(K848=0,0,M848*D848),4)</f>
        <v>0</v>
      </c>
      <c r="T848" s="67">
        <f>ROUND(+IF(K848=0,Q848*D848,0),4)</f>
        <v>0</v>
      </c>
      <c r="U848" s="67">
        <f>ROUND(+N848+R848+S848+T848,4)</f>
        <v>0</v>
      </c>
      <c r="V848" s="67">
        <f>ROUND(IF(P848=0,0,I848-H848-O848)+IF(L848=0,0,I848-H848-K848),4)</f>
        <v>0</v>
      </c>
      <c r="W848" s="67">
        <f>ROUND(+(V848*60%)*D848,4)</f>
        <v>0</v>
      </c>
      <c r="X848" s="148">
        <f>ROUND(+U848+W848,4)</f>
        <v>0</v>
      </c>
      <c r="Y848" s="68"/>
      <c r="Z848" s="148">
        <f>ROUND(IF(X848&gt;I848,X848,I848),4)</f>
        <v>0</v>
      </c>
    </row>
    <row r="849" spans="1:26" x14ac:dyDescent="0.2">
      <c r="A849" s="66"/>
      <c r="B849" s="66"/>
      <c r="C849" s="66"/>
      <c r="D849" s="144"/>
      <c r="E849" s="67"/>
      <c r="F849" s="67"/>
      <c r="G849" s="67"/>
      <c r="H849" s="67">
        <f>ROUND(+E849+G849,4)</f>
        <v>0</v>
      </c>
      <c r="I849" s="67"/>
      <c r="J849" s="67">
        <f>ROUND(+I849-H849,4)</f>
        <v>0</v>
      </c>
      <c r="K849" s="67">
        <f>ROUND(IF(F849="alluminio",0,I849*1.5%),4)</f>
        <v>0</v>
      </c>
      <c r="L849" s="67">
        <f>ROUND(IF(K849&lt;J849,K849,0),4)</f>
        <v>0</v>
      </c>
      <c r="M849" s="67">
        <f>ROUND(IF(J849&gt;K849,0,J849),4)</f>
        <v>0</v>
      </c>
      <c r="N849" s="67">
        <f>ROUND(+L849*D849,4)</f>
        <v>0</v>
      </c>
      <c r="O849" s="67">
        <f>ROUND(IF(F849="rame",0,+I849*3%),4)</f>
        <v>0</v>
      </c>
      <c r="P849" s="67">
        <f>ROUND(IF(O849&lt;J849,O849,0),4)</f>
        <v>0</v>
      </c>
      <c r="Q849" s="67">
        <f>ROUND(IF(J849&gt;O849,0,J849),4)</f>
        <v>0</v>
      </c>
      <c r="R849" s="67">
        <f>ROUND(+P849*D849,4)</f>
        <v>0</v>
      </c>
      <c r="S849" s="67">
        <f>ROUND(IF(K849=0,0,M849*D849),4)</f>
        <v>0</v>
      </c>
      <c r="T849" s="67">
        <f>ROUND(+IF(K849=0,Q849*D849,0),4)</f>
        <v>0</v>
      </c>
      <c r="U849" s="67">
        <f>ROUND(+N849+R849+S849+T849,4)</f>
        <v>0</v>
      </c>
      <c r="V849" s="67">
        <f>ROUND(IF(P849=0,0,I849-H849-O849)+IF(L849=0,0,I849-H849-K849),4)</f>
        <v>0</v>
      </c>
      <c r="W849" s="67">
        <f>ROUND(+(V849*60%)*D849,4)</f>
        <v>0</v>
      </c>
      <c r="X849" s="148">
        <f>ROUND(+U849+W849,4)</f>
        <v>0</v>
      </c>
      <c r="Y849" s="68"/>
      <c r="Z849" s="148">
        <f>ROUND(IF(X849&gt;I849,X849,I849),4)</f>
        <v>0</v>
      </c>
    </row>
    <row r="850" spans="1:26" x14ac:dyDescent="0.2">
      <c r="A850" s="66"/>
      <c r="B850" s="66"/>
      <c r="C850" s="66"/>
      <c r="D850" s="144"/>
      <c r="E850" s="67"/>
      <c r="F850" s="67"/>
      <c r="G850" s="67"/>
      <c r="H850" s="67">
        <f>ROUND(+E850+G850,4)</f>
        <v>0</v>
      </c>
      <c r="I850" s="67"/>
      <c r="J850" s="67">
        <f>ROUND(+I850-H850,4)</f>
        <v>0</v>
      </c>
      <c r="K850" s="67">
        <f>ROUND(IF(F850="alluminio",0,I850*1.5%),4)</f>
        <v>0</v>
      </c>
      <c r="L850" s="67">
        <f>ROUND(IF(K850&lt;J850,K850,0),4)</f>
        <v>0</v>
      </c>
      <c r="M850" s="67">
        <f>ROUND(IF(J850&gt;K850,0,J850),4)</f>
        <v>0</v>
      </c>
      <c r="N850" s="67">
        <f>ROUND(+L850*D850,4)</f>
        <v>0</v>
      </c>
      <c r="O850" s="67">
        <f>ROUND(IF(F850="rame",0,+I850*3%),4)</f>
        <v>0</v>
      </c>
      <c r="P850" s="67">
        <f>ROUND(IF(O850&lt;J850,O850,0),4)</f>
        <v>0</v>
      </c>
      <c r="Q850" s="67">
        <f>ROUND(IF(J850&gt;O850,0,J850),4)</f>
        <v>0</v>
      </c>
      <c r="R850" s="67">
        <f>ROUND(+P850*D850,4)</f>
        <v>0</v>
      </c>
      <c r="S850" s="67">
        <f>ROUND(IF(K850=0,0,M850*D850),4)</f>
        <v>0</v>
      </c>
      <c r="T850" s="67">
        <f>ROUND(+IF(K850=0,Q850*D850,0),4)</f>
        <v>0</v>
      </c>
      <c r="U850" s="67">
        <f>ROUND(+N850+R850+S850+T850,4)</f>
        <v>0</v>
      </c>
      <c r="V850" s="67">
        <f>ROUND(IF(P850=0,0,I850-H850-O850)+IF(L850=0,0,I850-H850-K850),4)</f>
        <v>0</v>
      </c>
      <c r="W850" s="67">
        <f>ROUND(+(V850*60%)*D850,4)</f>
        <v>0</v>
      </c>
      <c r="X850" s="148">
        <f>ROUND(+U850+W850,4)</f>
        <v>0</v>
      </c>
      <c r="Y850" s="68"/>
      <c r="Z850" s="148">
        <f>ROUND(IF(X850&gt;I850,X850,I850),4)</f>
        <v>0</v>
      </c>
    </row>
    <row r="851" spans="1:26" x14ac:dyDescent="0.2">
      <c r="A851" s="66"/>
      <c r="B851" s="66"/>
      <c r="C851" s="66"/>
      <c r="D851" s="144"/>
      <c r="E851" s="67"/>
      <c r="F851" s="67"/>
      <c r="G851" s="67"/>
      <c r="H851" s="67">
        <f>ROUND(+E851+G851,4)</f>
        <v>0</v>
      </c>
      <c r="I851" s="67"/>
      <c r="J851" s="67">
        <f>ROUND(+I851-H851,4)</f>
        <v>0</v>
      </c>
      <c r="K851" s="67">
        <f>ROUND(IF(F851="alluminio",0,I851*1.5%),4)</f>
        <v>0</v>
      </c>
      <c r="L851" s="67">
        <f>ROUND(IF(K851&lt;J851,K851,0),4)</f>
        <v>0</v>
      </c>
      <c r="M851" s="67">
        <f>ROUND(IF(J851&gt;K851,0,J851),4)</f>
        <v>0</v>
      </c>
      <c r="N851" s="67">
        <f>ROUND(+L851*D851,4)</f>
        <v>0</v>
      </c>
      <c r="O851" s="67">
        <f>ROUND(IF(F851="rame",0,+I851*3%),4)</f>
        <v>0</v>
      </c>
      <c r="P851" s="67">
        <f>ROUND(IF(O851&lt;J851,O851,0),4)</f>
        <v>0</v>
      </c>
      <c r="Q851" s="67">
        <f>ROUND(IF(J851&gt;O851,0,J851),4)</f>
        <v>0</v>
      </c>
      <c r="R851" s="67">
        <f>ROUND(+P851*D851,4)</f>
        <v>0</v>
      </c>
      <c r="S851" s="67">
        <f>ROUND(IF(K851=0,0,M851*D851),4)</f>
        <v>0</v>
      </c>
      <c r="T851" s="67">
        <f>ROUND(+IF(K851=0,Q851*D851,0),4)</f>
        <v>0</v>
      </c>
      <c r="U851" s="67">
        <f>ROUND(+N851+R851+S851+T851,4)</f>
        <v>0</v>
      </c>
      <c r="V851" s="67">
        <f>ROUND(IF(P851=0,0,I851-H851-O851)+IF(L851=0,0,I851-H851-K851),4)</f>
        <v>0</v>
      </c>
      <c r="W851" s="67">
        <f>ROUND(+(V851*60%)*D851,4)</f>
        <v>0</v>
      </c>
      <c r="X851" s="148">
        <f>ROUND(+U851+W851,4)</f>
        <v>0</v>
      </c>
      <c r="Y851" s="68"/>
      <c r="Z851" s="148">
        <f>ROUND(IF(X851&gt;I851,X851,I851),4)</f>
        <v>0</v>
      </c>
    </row>
    <row r="852" spans="1:26" x14ac:dyDescent="0.2">
      <c r="A852" s="66"/>
      <c r="B852" s="66"/>
      <c r="C852" s="66"/>
      <c r="D852" s="144"/>
      <c r="E852" s="67"/>
      <c r="F852" s="67"/>
      <c r="G852" s="67"/>
      <c r="H852" s="67">
        <f>ROUND(+E852+G852,4)</f>
        <v>0</v>
      </c>
      <c r="I852" s="67"/>
      <c r="J852" s="67">
        <f>ROUND(+I852-H852,4)</f>
        <v>0</v>
      </c>
      <c r="K852" s="67">
        <f>ROUND(IF(F852="alluminio",0,I852*1.5%),4)</f>
        <v>0</v>
      </c>
      <c r="L852" s="67">
        <f>ROUND(IF(K852&lt;J852,K852,0),4)</f>
        <v>0</v>
      </c>
      <c r="M852" s="67">
        <f>ROUND(IF(J852&gt;K852,0,J852),4)</f>
        <v>0</v>
      </c>
      <c r="N852" s="67">
        <f>ROUND(+L852*D852,4)</f>
        <v>0</v>
      </c>
      <c r="O852" s="67">
        <f>ROUND(IF(F852="rame",0,+I852*3%),4)</f>
        <v>0</v>
      </c>
      <c r="P852" s="67">
        <f>ROUND(IF(O852&lt;J852,O852,0),4)</f>
        <v>0</v>
      </c>
      <c r="Q852" s="67">
        <f>ROUND(IF(J852&gt;O852,0,J852),4)</f>
        <v>0</v>
      </c>
      <c r="R852" s="67">
        <f>ROUND(+P852*D852,4)</f>
        <v>0</v>
      </c>
      <c r="S852" s="67">
        <f>ROUND(IF(K852=0,0,M852*D852),4)</f>
        <v>0</v>
      </c>
      <c r="T852" s="67">
        <f>ROUND(+IF(K852=0,Q852*D852,0),4)</f>
        <v>0</v>
      </c>
      <c r="U852" s="67">
        <f>ROUND(+N852+R852+S852+T852,4)</f>
        <v>0</v>
      </c>
      <c r="V852" s="67">
        <f>ROUND(IF(P852=0,0,I852-H852-O852)+IF(L852=0,0,I852-H852-K852),4)</f>
        <v>0</v>
      </c>
      <c r="W852" s="67">
        <f>ROUND(+(V852*60%)*D852,4)</f>
        <v>0</v>
      </c>
      <c r="X852" s="148">
        <f>ROUND(+U852+W852,4)</f>
        <v>0</v>
      </c>
      <c r="Y852" s="68"/>
      <c r="Z852" s="148">
        <f>ROUND(IF(X852&gt;I852,X852,I852),4)</f>
        <v>0</v>
      </c>
    </row>
    <row r="853" spans="1:26" x14ac:dyDescent="0.2">
      <c r="A853" s="66"/>
      <c r="B853" s="66"/>
      <c r="C853" s="66"/>
      <c r="D853" s="144"/>
      <c r="E853" s="67"/>
      <c r="F853" s="67"/>
      <c r="G853" s="67"/>
      <c r="H853" s="67">
        <f>ROUND(+E853+G853,4)</f>
        <v>0</v>
      </c>
      <c r="I853" s="67"/>
      <c r="J853" s="67">
        <f>ROUND(+I853-H853,4)</f>
        <v>0</v>
      </c>
      <c r="K853" s="67">
        <f>ROUND(IF(F853="alluminio",0,I853*1.5%),4)</f>
        <v>0</v>
      </c>
      <c r="L853" s="67">
        <f>ROUND(IF(K853&lt;J853,K853,0),4)</f>
        <v>0</v>
      </c>
      <c r="M853" s="67">
        <f>ROUND(IF(J853&gt;K853,0,J853),4)</f>
        <v>0</v>
      </c>
      <c r="N853" s="67">
        <f>ROUND(+L853*D853,4)</f>
        <v>0</v>
      </c>
      <c r="O853" s="67">
        <f>ROUND(IF(F853="rame",0,+I853*3%),4)</f>
        <v>0</v>
      </c>
      <c r="P853" s="67">
        <f>ROUND(IF(O853&lt;J853,O853,0),4)</f>
        <v>0</v>
      </c>
      <c r="Q853" s="67">
        <f>ROUND(IF(J853&gt;O853,0,J853),4)</f>
        <v>0</v>
      </c>
      <c r="R853" s="67">
        <f>ROUND(+P853*D853,4)</f>
        <v>0</v>
      </c>
      <c r="S853" s="67">
        <f>ROUND(IF(K853=0,0,M853*D853),4)</f>
        <v>0</v>
      </c>
      <c r="T853" s="67">
        <f>ROUND(+IF(K853=0,Q853*D853,0),4)</f>
        <v>0</v>
      </c>
      <c r="U853" s="67">
        <f>ROUND(+N853+R853+S853+T853,4)</f>
        <v>0</v>
      </c>
      <c r="V853" s="67">
        <f>ROUND(IF(P853=0,0,I853-H853-O853)+IF(L853=0,0,I853-H853-K853),4)</f>
        <v>0</v>
      </c>
      <c r="W853" s="67">
        <f>ROUND(+(V853*60%)*D853,4)</f>
        <v>0</v>
      </c>
      <c r="X853" s="148">
        <f>ROUND(+U853+W853,4)</f>
        <v>0</v>
      </c>
      <c r="Y853" s="68"/>
      <c r="Z853" s="148">
        <f>ROUND(IF(X853&gt;I853,X853,I853),4)</f>
        <v>0</v>
      </c>
    </row>
    <row r="854" spans="1:26" x14ac:dyDescent="0.2">
      <c r="A854" s="66"/>
      <c r="B854" s="66"/>
      <c r="C854" s="66"/>
      <c r="D854" s="144"/>
      <c r="E854" s="67"/>
      <c r="F854" s="67"/>
      <c r="G854" s="67"/>
      <c r="H854" s="67">
        <f>ROUND(+E854+G854,4)</f>
        <v>0</v>
      </c>
      <c r="I854" s="67"/>
      <c r="J854" s="67">
        <f>ROUND(+I854-H854,4)</f>
        <v>0</v>
      </c>
      <c r="K854" s="67">
        <f>ROUND(IF(F854="alluminio",0,I854*1.5%),4)</f>
        <v>0</v>
      </c>
      <c r="L854" s="67">
        <f>ROUND(IF(K854&lt;J854,K854,0),4)</f>
        <v>0</v>
      </c>
      <c r="M854" s="67">
        <f>ROUND(IF(J854&gt;K854,0,J854),4)</f>
        <v>0</v>
      </c>
      <c r="N854" s="67">
        <f>ROUND(+L854*D854,4)</f>
        <v>0</v>
      </c>
      <c r="O854" s="67">
        <f>ROUND(IF(F854="rame",0,+I854*3%),4)</f>
        <v>0</v>
      </c>
      <c r="P854" s="67">
        <f>ROUND(IF(O854&lt;J854,O854,0),4)</f>
        <v>0</v>
      </c>
      <c r="Q854" s="67">
        <f>ROUND(IF(J854&gt;O854,0,J854),4)</f>
        <v>0</v>
      </c>
      <c r="R854" s="67">
        <f>ROUND(+P854*D854,4)</f>
        <v>0</v>
      </c>
      <c r="S854" s="67">
        <f>ROUND(IF(K854=0,0,M854*D854),4)</f>
        <v>0</v>
      </c>
      <c r="T854" s="67">
        <f>ROUND(+IF(K854=0,Q854*D854,0),4)</f>
        <v>0</v>
      </c>
      <c r="U854" s="67">
        <f>ROUND(+N854+R854+S854+T854,4)</f>
        <v>0</v>
      </c>
      <c r="V854" s="67">
        <f>ROUND(IF(P854=0,0,I854-H854-O854)+IF(L854=0,0,I854-H854-K854),4)</f>
        <v>0</v>
      </c>
      <c r="W854" s="67">
        <f>ROUND(+(V854*60%)*D854,4)</f>
        <v>0</v>
      </c>
      <c r="X854" s="148">
        <f>ROUND(+U854+W854,4)</f>
        <v>0</v>
      </c>
      <c r="Y854" s="68"/>
      <c r="Z854" s="148">
        <f>ROUND(IF(X854&gt;I854,X854,I854),4)</f>
        <v>0</v>
      </c>
    </row>
    <row r="855" spans="1:26" x14ac:dyDescent="0.2">
      <c r="A855" s="66"/>
      <c r="B855" s="66"/>
      <c r="C855" s="66"/>
      <c r="D855" s="144"/>
      <c r="E855" s="67"/>
      <c r="F855" s="67"/>
      <c r="G855" s="67"/>
      <c r="H855" s="67">
        <f>ROUND(+E855+G855,4)</f>
        <v>0</v>
      </c>
      <c r="I855" s="67"/>
      <c r="J855" s="67">
        <f>ROUND(+I855-H855,4)</f>
        <v>0</v>
      </c>
      <c r="K855" s="67">
        <f>ROUND(IF(F855="alluminio",0,I855*1.5%),4)</f>
        <v>0</v>
      </c>
      <c r="L855" s="67">
        <f>ROUND(IF(K855&lt;J855,K855,0),4)</f>
        <v>0</v>
      </c>
      <c r="M855" s="67">
        <f>ROUND(IF(J855&gt;K855,0,J855),4)</f>
        <v>0</v>
      </c>
      <c r="N855" s="67">
        <f>ROUND(+L855*D855,4)</f>
        <v>0</v>
      </c>
      <c r="O855" s="67">
        <f>ROUND(IF(F855="rame",0,+I855*3%),4)</f>
        <v>0</v>
      </c>
      <c r="P855" s="67">
        <f>ROUND(IF(O855&lt;J855,O855,0),4)</f>
        <v>0</v>
      </c>
      <c r="Q855" s="67">
        <f>ROUND(IF(J855&gt;O855,0,J855),4)</f>
        <v>0</v>
      </c>
      <c r="R855" s="67">
        <f>ROUND(+P855*D855,4)</f>
        <v>0</v>
      </c>
      <c r="S855" s="67">
        <f>ROUND(IF(K855=0,0,M855*D855),4)</f>
        <v>0</v>
      </c>
      <c r="T855" s="67">
        <f>ROUND(+IF(K855=0,Q855*D855,0),4)</f>
        <v>0</v>
      </c>
      <c r="U855" s="67">
        <f>ROUND(+N855+R855+S855+T855,4)</f>
        <v>0</v>
      </c>
      <c r="V855" s="67">
        <f>ROUND(IF(P855=0,0,I855-H855-O855)+IF(L855=0,0,I855-H855-K855),4)</f>
        <v>0</v>
      </c>
      <c r="W855" s="67">
        <f>ROUND(+(V855*60%)*D855,4)</f>
        <v>0</v>
      </c>
      <c r="X855" s="148">
        <f>ROUND(+U855+W855,4)</f>
        <v>0</v>
      </c>
      <c r="Y855" s="68"/>
      <c r="Z855" s="148">
        <f>ROUND(IF(X855&gt;I855,X855,I855),4)</f>
        <v>0</v>
      </c>
    </row>
    <row r="856" spans="1:26" x14ac:dyDescent="0.2">
      <c r="A856" s="66"/>
      <c r="B856" s="66"/>
      <c r="C856" s="66"/>
      <c r="D856" s="144"/>
      <c r="E856" s="67"/>
      <c r="F856" s="67"/>
      <c r="G856" s="67"/>
      <c r="H856" s="67">
        <f>ROUND(+E856+G856,4)</f>
        <v>0</v>
      </c>
      <c r="I856" s="67"/>
      <c r="J856" s="67">
        <f>ROUND(+I856-H856,4)</f>
        <v>0</v>
      </c>
      <c r="K856" s="67">
        <f>ROUND(IF(F856="alluminio",0,I856*1.5%),4)</f>
        <v>0</v>
      </c>
      <c r="L856" s="67">
        <f>ROUND(IF(K856&lt;J856,K856,0),4)</f>
        <v>0</v>
      </c>
      <c r="M856" s="67">
        <f>ROUND(IF(J856&gt;K856,0,J856),4)</f>
        <v>0</v>
      </c>
      <c r="N856" s="67">
        <f>ROUND(+L856*D856,4)</f>
        <v>0</v>
      </c>
      <c r="O856" s="67">
        <f>ROUND(IF(F856="rame",0,+I856*3%),4)</f>
        <v>0</v>
      </c>
      <c r="P856" s="67">
        <f>ROUND(IF(O856&lt;J856,O856,0),4)</f>
        <v>0</v>
      </c>
      <c r="Q856" s="67">
        <f>ROUND(IF(J856&gt;O856,0,J856),4)</f>
        <v>0</v>
      </c>
      <c r="R856" s="67">
        <f>ROUND(+P856*D856,4)</f>
        <v>0</v>
      </c>
      <c r="S856" s="67">
        <f>ROUND(IF(K856=0,0,M856*D856),4)</f>
        <v>0</v>
      </c>
      <c r="T856" s="67">
        <f>ROUND(+IF(K856=0,Q856*D856,0),4)</f>
        <v>0</v>
      </c>
      <c r="U856" s="67">
        <f>ROUND(+N856+R856+S856+T856,4)</f>
        <v>0</v>
      </c>
      <c r="V856" s="67">
        <f>ROUND(IF(P856=0,0,I856-H856-O856)+IF(L856=0,0,I856-H856-K856),4)</f>
        <v>0</v>
      </c>
      <c r="W856" s="67">
        <f>ROUND(+(V856*60%)*D856,4)</f>
        <v>0</v>
      </c>
      <c r="X856" s="148">
        <f>ROUND(+U856+W856,4)</f>
        <v>0</v>
      </c>
      <c r="Y856" s="68"/>
      <c r="Z856" s="148">
        <f>ROUND(IF(X856&gt;I856,X856,I856),4)</f>
        <v>0</v>
      </c>
    </row>
    <row r="857" spans="1:26" x14ac:dyDescent="0.2">
      <c r="A857" s="66"/>
      <c r="B857" s="66"/>
      <c r="C857" s="66"/>
      <c r="D857" s="144"/>
      <c r="E857" s="67"/>
      <c r="F857" s="67"/>
      <c r="G857" s="67"/>
      <c r="H857" s="67">
        <f>ROUND(+E857+G857,4)</f>
        <v>0</v>
      </c>
      <c r="I857" s="67"/>
      <c r="J857" s="67">
        <f>ROUND(+I857-H857,4)</f>
        <v>0</v>
      </c>
      <c r="K857" s="67">
        <f>ROUND(IF(F857="alluminio",0,I857*1.5%),4)</f>
        <v>0</v>
      </c>
      <c r="L857" s="67">
        <f>ROUND(IF(K857&lt;J857,K857,0),4)</f>
        <v>0</v>
      </c>
      <c r="M857" s="67">
        <f>ROUND(IF(J857&gt;K857,0,J857),4)</f>
        <v>0</v>
      </c>
      <c r="N857" s="67">
        <f>ROUND(+L857*D857,4)</f>
        <v>0</v>
      </c>
      <c r="O857" s="67">
        <f>ROUND(IF(F857="rame",0,+I857*3%),4)</f>
        <v>0</v>
      </c>
      <c r="P857" s="67">
        <f>ROUND(IF(O857&lt;J857,O857,0),4)</f>
        <v>0</v>
      </c>
      <c r="Q857" s="67">
        <f>ROUND(IF(J857&gt;O857,0,J857),4)</f>
        <v>0</v>
      </c>
      <c r="R857" s="67">
        <f>ROUND(+P857*D857,4)</f>
        <v>0</v>
      </c>
      <c r="S857" s="67">
        <f>ROUND(IF(K857=0,0,M857*D857),4)</f>
        <v>0</v>
      </c>
      <c r="T857" s="67">
        <f>ROUND(+IF(K857=0,Q857*D857,0),4)</f>
        <v>0</v>
      </c>
      <c r="U857" s="67">
        <f>ROUND(+N857+R857+S857+T857,4)</f>
        <v>0</v>
      </c>
      <c r="V857" s="67">
        <f>ROUND(IF(P857=0,0,I857-H857-O857)+IF(L857=0,0,I857-H857-K857),4)</f>
        <v>0</v>
      </c>
      <c r="W857" s="67">
        <f>ROUND(+(V857*60%)*D857,4)</f>
        <v>0</v>
      </c>
      <c r="X857" s="148">
        <f>ROUND(+U857+W857,4)</f>
        <v>0</v>
      </c>
      <c r="Y857" s="68"/>
      <c r="Z857" s="148">
        <f>ROUND(IF(X857&gt;I857,X857,I857),4)</f>
        <v>0</v>
      </c>
    </row>
    <row r="858" spans="1:26" x14ac:dyDescent="0.2">
      <c r="A858" s="66"/>
      <c r="B858" s="66"/>
      <c r="C858" s="66"/>
      <c r="D858" s="144"/>
      <c r="E858" s="67"/>
      <c r="F858" s="67"/>
      <c r="G858" s="67"/>
      <c r="H858" s="67">
        <f>ROUND(+E858+G858,4)</f>
        <v>0</v>
      </c>
      <c r="I858" s="67"/>
      <c r="J858" s="67">
        <f>ROUND(+I858-H858,4)</f>
        <v>0</v>
      </c>
      <c r="K858" s="67">
        <f>ROUND(IF(F858="alluminio",0,I858*1.5%),4)</f>
        <v>0</v>
      </c>
      <c r="L858" s="67">
        <f>ROUND(IF(K858&lt;J858,K858,0),4)</f>
        <v>0</v>
      </c>
      <c r="M858" s="67">
        <f>ROUND(IF(J858&gt;K858,0,J858),4)</f>
        <v>0</v>
      </c>
      <c r="N858" s="67">
        <f>ROUND(+L858*D858,4)</f>
        <v>0</v>
      </c>
      <c r="O858" s="67">
        <f>ROUND(IF(F858="rame",0,+I858*3%),4)</f>
        <v>0</v>
      </c>
      <c r="P858" s="67">
        <f>ROUND(IF(O858&lt;J858,O858,0),4)</f>
        <v>0</v>
      </c>
      <c r="Q858" s="67">
        <f>ROUND(IF(J858&gt;O858,0,J858),4)</f>
        <v>0</v>
      </c>
      <c r="R858" s="67">
        <f>ROUND(+P858*D858,4)</f>
        <v>0</v>
      </c>
      <c r="S858" s="67">
        <f>ROUND(IF(K858=0,0,M858*D858),4)</f>
        <v>0</v>
      </c>
      <c r="T858" s="67">
        <f>ROUND(+IF(K858=0,Q858*D858,0),4)</f>
        <v>0</v>
      </c>
      <c r="U858" s="67">
        <f>ROUND(+N858+R858+S858+T858,4)</f>
        <v>0</v>
      </c>
      <c r="V858" s="67">
        <f>ROUND(IF(P858=0,0,I858-H858-O858)+IF(L858=0,0,I858-H858-K858),4)</f>
        <v>0</v>
      </c>
      <c r="W858" s="67">
        <f>ROUND(+(V858*60%)*D858,4)</f>
        <v>0</v>
      </c>
      <c r="X858" s="148">
        <f>ROUND(+U858+W858,4)</f>
        <v>0</v>
      </c>
      <c r="Y858" s="68"/>
      <c r="Z858" s="148">
        <f>ROUND(IF(X858&gt;I858,X858,I858),4)</f>
        <v>0</v>
      </c>
    </row>
    <row r="859" spans="1:26" x14ac:dyDescent="0.2">
      <c r="A859" s="66"/>
      <c r="B859" s="66"/>
      <c r="C859" s="66"/>
      <c r="D859" s="144"/>
      <c r="E859" s="67"/>
      <c r="F859" s="67"/>
      <c r="G859" s="67"/>
      <c r="H859" s="67">
        <f>ROUND(+E859+G859,4)</f>
        <v>0</v>
      </c>
      <c r="I859" s="67"/>
      <c r="J859" s="67">
        <f>ROUND(+I859-H859,4)</f>
        <v>0</v>
      </c>
      <c r="K859" s="67">
        <f>ROUND(IF(F859="alluminio",0,I859*1.5%),4)</f>
        <v>0</v>
      </c>
      <c r="L859" s="67">
        <f>ROUND(IF(K859&lt;J859,K859,0),4)</f>
        <v>0</v>
      </c>
      <c r="M859" s="67">
        <f>ROUND(IF(J859&gt;K859,0,J859),4)</f>
        <v>0</v>
      </c>
      <c r="N859" s="67">
        <f>ROUND(+L859*D859,4)</f>
        <v>0</v>
      </c>
      <c r="O859" s="67">
        <f>ROUND(IF(F859="rame",0,+I859*3%),4)</f>
        <v>0</v>
      </c>
      <c r="P859" s="67">
        <f>ROUND(IF(O859&lt;J859,O859,0),4)</f>
        <v>0</v>
      </c>
      <c r="Q859" s="67">
        <f>ROUND(IF(J859&gt;O859,0,J859),4)</f>
        <v>0</v>
      </c>
      <c r="R859" s="67">
        <f>ROUND(+P859*D859,4)</f>
        <v>0</v>
      </c>
      <c r="S859" s="67">
        <f>ROUND(IF(K859=0,0,M859*D859),4)</f>
        <v>0</v>
      </c>
      <c r="T859" s="67">
        <f>ROUND(+IF(K859=0,Q859*D859,0),4)</f>
        <v>0</v>
      </c>
      <c r="U859" s="67">
        <f>ROUND(+N859+R859+S859+T859,4)</f>
        <v>0</v>
      </c>
      <c r="V859" s="67">
        <f>ROUND(IF(P859=0,0,I859-H859-O859)+IF(L859=0,0,I859-H859-K859),4)</f>
        <v>0</v>
      </c>
      <c r="W859" s="67">
        <f>ROUND(+(V859*60%)*D859,4)</f>
        <v>0</v>
      </c>
      <c r="X859" s="148">
        <f>ROUND(+U859+W859,4)</f>
        <v>0</v>
      </c>
      <c r="Y859" s="68"/>
      <c r="Z859" s="148">
        <f>ROUND(IF(X859&gt;I859,X859,I859),4)</f>
        <v>0</v>
      </c>
    </row>
    <row r="860" spans="1:26" x14ac:dyDescent="0.2">
      <c r="A860" s="66"/>
      <c r="B860" s="66"/>
      <c r="C860" s="66"/>
      <c r="D860" s="144"/>
      <c r="E860" s="67"/>
      <c r="F860" s="67"/>
      <c r="G860" s="67"/>
      <c r="H860" s="67">
        <f>ROUND(+E860+G860,4)</f>
        <v>0</v>
      </c>
      <c r="I860" s="67"/>
      <c r="J860" s="67">
        <f>ROUND(+I860-H860,4)</f>
        <v>0</v>
      </c>
      <c r="K860" s="67">
        <f>ROUND(IF(F860="alluminio",0,I860*1.5%),4)</f>
        <v>0</v>
      </c>
      <c r="L860" s="67">
        <f>ROUND(IF(K860&lt;J860,K860,0),4)</f>
        <v>0</v>
      </c>
      <c r="M860" s="67">
        <f>ROUND(IF(J860&gt;K860,0,J860),4)</f>
        <v>0</v>
      </c>
      <c r="N860" s="67">
        <f>ROUND(+L860*D860,4)</f>
        <v>0</v>
      </c>
      <c r="O860" s="67">
        <f>ROUND(IF(F860="rame",0,+I860*3%),4)</f>
        <v>0</v>
      </c>
      <c r="P860" s="67">
        <f>ROUND(IF(O860&lt;J860,O860,0),4)</f>
        <v>0</v>
      </c>
      <c r="Q860" s="67">
        <f>ROUND(IF(J860&gt;O860,0,J860),4)</f>
        <v>0</v>
      </c>
      <c r="R860" s="67">
        <f>ROUND(+P860*D860,4)</f>
        <v>0</v>
      </c>
      <c r="S860" s="67">
        <f>ROUND(IF(K860=0,0,M860*D860),4)</f>
        <v>0</v>
      </c>
      <c r="T860" s="67">
        <f>ROUND(+IF(K860=0,Q860*D860,0),4)</f>
        <v>0</v>
      </c>
      <c r="U860" s="67">
        <f>ROUND(+N860+R860+S860+T860,4)</f>
        <v>0</v>
      </c>
      <c r="V860" s="67">
        <f>ROUND(IF(P860=0,0,I860-H860-O860)+IF(L860=0,0,I860-H860-K860),4)</f>
        <v>0</v>
      </c>
      <c r="W860" s="67">
        <f>ROUND(+(V860*60%)*D860,4)</f>
        <v>0</v>
      </c>
      <c r="X860" s="148">
        <f>ROUND(+U860+W860,4)</f>
        <v>0</v>
      </c>
      <c r="Y860" s="68"/>
      <c r="Z860" s="148">
        <f>ROUND(IF(X860&gt;I860,X860,I860),4)</f>
        <v>0</v>
      </c>
    </row>
    <row r="861" spans="1:26" x14ac:dyDescent="0.2">
      <c r="A861" s="66"/>
      <c r="B861" s="66"/>
      <c r="C861" s="66"/>
      <c r="D861" s="144"/>
      <c r="E861" s="67"/>
      <c r="F861" s="67"/>
      <c r="G861" s="67"/>
      <c r="H861" s="67">
        <f>ROUND(+E861+G861,4)</f>
        <v>0</v>
      </c>
      <c r="I861" s="67"/>
      <c r="J861" s="67">
        <f>ROUND(+I861-H861,4)</f>
        <v>0</v>
      </c>
      <c r="K861" s="67">
        <f>ROUND(IF(F861="alluminio",0,I861*1.5%),4)</f>
        <v>0</v>
      </c>
      <c r="L861" s="67">
        <f>ROUND(IF(K861&lt;J861,K861,0),4)</f>
        <v>0</v>
      </c>
      <c r="M861" s="67">
        <f>ROUND(IF(J861&gt;K861,0,J861),4)</f>
        <v>0</v>
      </c>
      <c r="N861" s="67">
        <f>ROUND(+L861*D861,4)</f>
        <v>0</v>
      </c>
      <c r="O861" s="67">
        <f>ROUND(IF(F861="rame",0,+I861*3%),4)</f>
        <v>0</v>
      </c>
      <c r="P861" s="67">
        <f>ROUND(IF(O861&lt;J861,O861,0),4)</f>
        <v>0</v>
      </c>
      <c r="Q861" s="67">
        <f>ROUND(IF(J861&gt;O861,0,J861),4)</f>
        <v>0</v>
      </c>
      <c r="R861" s="67">
        <f>ROUND(+P861*D861,4)</f>
        <v>0</v>
      </c>
      <c r="S861" s="67">
        <f>ROUND(IF(K861=0,0,M861*D861),4)</f>
        <v>0</v>
      </c>
      <c r="T861" s="67">
        <f>ROUND(+IF(K861=0,Q861*D861,0),4)</f>
        <v>0</v>
      </c>
      <c r="U861" s="67">
        <f>ROUND(+N861+R861+S861+T861,4)</f>
        <v>0</v>
      </c>
      <c r="V861" s="67">
        <f>ROUND(IF(P861=0,0,I861-H861-O861)+IF(L861=0,0,I861-H861-K861),4)</f>
        <v>0</v>
      </c>
      <c r="W861" s="67">
        <f>ROUND(+(V861*60%)*D861,4)</f>
        <v>0</v>
      </c>
      <c r="X861" s="148">
        <f>ROUND(+U861+W861,4)</f>
        <v>0</v>
      </c>
      <c r="Y861" s="68"/>
      <c r="Z861" s="148">
        <f>ROUND(IF(X861&gt;I861,X861,I861),4)</f>
        <v>0</v>
      </c>
    </row>
    <row r="862" spans="1:26" x14ac:dyDescent="0.2">
      <c r="A862" s="66"/>
      <c r="B862" s="66"/>
      <c r="C862" s="66"/>
      <c r="D862" s="144"/>
      <c r="E862" s="67"/>
      <c r="F862" s="67"/>
      <c r="G862" s="67"/>
      <c r="H862" s="67">
        <f>ROUND(+E862+G862,4)</f>
        <v>0</v>
      </c>
      <c r="I862" s="67"/>
      <c r="J862" s="67">
        <f>ROUND(+I862-H862,4)</f>
        <v>0</v>
      </c>
      <c r="K862" s="67">
        <f>ROUND(IF(F862="alluminio",0,I862*1.5%),4)</f>
        <v>0</v>
      </c>
      <c r="L862" s="67">
        <f>ROUND(IF(K862&lt;J862,K862,0),4)</f>
        <v>0</v>
      </c>
      <c r="M862" s="67">
        <f>ROUND(IF(J862&gt;K862,0,J862),4)</f>
        <v>0</v>
      </c>
      <c r="N862" s="67">
        <f>ROUND(+L862*D862,4)</f>
        <v>0</v>
      </c>
      <c r="O862" s="67">
        <f>ROUND(IF(F862="rame",0,+I862*3%),4)</f>
        <v>0</v>
      </c>
      <c r="P862" s="67">
        <f>ROUND(IF(O862&lt;J862,O862,0),4)</f>
        <v>0</v>
      </c>
      <c r="Q862" s="67">
        <f>ROUND(IF(J862&gt;O862,0,J862),4)</f>
        <v>0</v>
      </c>
      <c r="R862" s="67">
        <f>ROUND(+P862*D862,4)</f>
        <v>0</v>
      </c>
      <c r="S862" s="67">
        <f>ROUND(IF(K862=0,0,M862*D862),4)</f>
        <v>0</v>
      </c>
      <c r="T862" s="67">
        <f>ROUND(+IF(K862=0,Q862*D862,0),4)</f>
        <v>0</v>
      </c>
      <c r="U862" s="67">
        <f>ROUND(+N862+R862+S862+T862,4)</f>
        <v>0</v>
      </c>
      <c r="V862" s="67">
        <f>ROUND(IF(P862=0,0,I862-H862-O862)+IF(L862=0,0,I862-H862-K862),4)</f>
        <v>0</v>
      </c>
      <c r="W862" s="67">
        <f>ROUND(+(V862*60%)*D862,4)</f>
        <v>0</v>
      </c>
      <c r="X862" s="148">
        <f>ROUND(+U862+W862,4)</f>
        <v>0</v>
      </c>
      <c r="Y862" s="68"/>
      <c r="Z862" s="148">
        <f>ROUND(IF(X862&gt;I862,X862,I862),4)</f>
        <v>0</v>
      </c>
    </row>
    <row r="863" spans="1:26" x14ac:dyDescent="0.2">
      <c r="A863" s="66"/>
      <c r="B863" s="66"/>
      <c r="C863" s="66"/>
      <c r="D863" s="144"/>
      <c r="E863" s="67"/>
      <c r="F863" s="67"/>
      <c r="G863" s="67"/>
      <c r="H863" s="67">
        <f>ROUND(+E863+G863,4)</f>
        <v>0</v>
      </c>
      <c r="I863" s="67"/>
      <c r="J863" s="67">
        <f>ROUND(+I863-H863,4)</f>
        <v>0</v>
      </c>
      <c r="K863" s="67">
        <f>ROUND(IF(F863="alluminio",0,I863*1.5%),4)</f>
        <v>0</v>
      </c>
      <c r="L863" s="67">
        <f>ROUND(IF(K863&lt;J863,K863,0),4)</f>
        <v>0</v>
      </c>
      <c r="M863" s="67">
        <f>ROUND(IF(J863&gt;K863,0,J863),4)</f>
        <v>0</v>
      </c>
      <c r="N863" s="67">
        <f>ROUND(+L863*D863,4)</f>
        <v>0</v>
      </c>
      <c r="O863" s="67">
        <f>ROUND(IF(F863="rame",0,+I863*3%),4)</f>
        <v>0</v>
      </c>
      <c r="P863" s="67">
        <f>ROUND(IF(O863&lt;J863,O863,0),4)</f>
        <v>0</v>
      </c>
      <c r="Q863" s="67">
        <f>ROUND(IF(J863&gt;O863,0,J863),4)</f>
        <v>0</v>
      </c>
      <c r="R863" s="67">
        <f>ROUND(+P863*D863,4)</f>
        <v>0</v>
      </c>
      <c r="S863" s="67">
        <f>ROUND(IF(K863=0,0,M863*D863),4)</f>
        <v>0</v>
      </c>
      <c r="T863" s="67">
        <f>ROUND(+IF(K863=0,Q863*D863,0),4)</f>
        <v>0</v>
      </c>
      <c r="U863" s="67">
        <f>ROUND(+N863+R863+S863+T863,4)</f>
        <v>0</v>
      </c>
      <c r="V863" s="67">
        <f>ROUND(IF(P863=0,0,I863-H863-O863)+IF(L863=0,0,I863-H863-K863),4)</f>
        <v>0</v>
      </c>
      <c r="W863" s="67">
        <f>ROUND(+(V863*60%)*D863,4)</f>
        <v>0</v>
      </c>
      <c r="X863" s="148">
        <f>ROUND(+U863+W863,4)</f>
        <v>0</v>
      </c>
      <c r="Y863" s="68"/>
      <c r="Z863" s="148">
        <f>ROUND(IF(X863&gt;I863,X863,I863),4)</f>
        <v>0</v>
      </c>
    </row>
    <row r="864" spans="1:26" x14ac:dyDescent="0.2">
      <c r="A864" s="66"/>
      <c r="B864" s="66"/>
      <c r="C864" s="66"/>
      <c r="D864" s="144"/>
      <c r="E864" s="67"/>
      <c r="F864" s="67"/>
      <c r="G864" s="67"/>
      <c r="H864" s="67">
        <f>ROUND(+E864+G864,4)</f>
        <v>0</v>
      </c>
      <c r="I864" s="67"/>
      <c r="J864" s="67">
        <f>ROUND(+I864-H864,4)</f>
        <v>0</v>
      </c>
      <c r="K864" s="67">
        <f>ROUND(IF(F864="alluminio",0,I864*1.5%),4)</f>
        <v>0</v>
      </c>
      <c r="L864" s="67">
        <f>ROUND(IF(K864&lt;J864,K864,0),4)</f>
        <v>0</v>
      </c>
      <c r="M864" s="67">
        <f>ROUND(IF(J864&gt;K864,0,J864),4)</f>
        <v>0</v>
      </c>
      <c r="N864" s="67">
        <f>ROUND(+L864*D864,4)</f>
        <v>0</v>
      </c>
      <c r="O864" s="67">
        <f>ROUND(IF(F864="rame",0,+I864*3%),4)</f>
        <v>0</v>
      </c>
      <c r="P864" s="67">
        <f>ROUND(IF(O864&lt;J864,O864,0),4)</f>
        <v>0</v>
      </c>
      <c r="Q864" s="67">
        <f>ROUND(IF(J864&gt;O864,0,J864),4)</f>
        <v>0</v>
      </c>
      <c r="R864" s="67">
        <f>ROUND(+P864*D864,4)</f>
        <v>0</v>
      </c>
      <c r="S864" s="67">
        <f>ROUND(IF(K864=0,0,M864*D864),4)</f>
        <v>0</v>
      </c>
      <c r="T864" s="67">
        <f>ROUND(+IF(K864=0,Q864*D864,0),4)</f>
        <v>0</v>
      </c>
      <c r="U864" s="67">
        <f>ROUND(+N864+R864+S864+T864,4)</f>
        <v>0</v>
      </c>
      <c r="V864" s="67">
        <f>ROUND(IF(P864=0,0,I864-H864-O864)+IF(L864=0,0,I864-H864-K864),4)</f>
        <v>0</v>
      </c>
      <c r="W864" s="67">
        <f>ROUND(+(V864*60%)*D864,4)</f>
        <v>0</v>
      </c>
      <c r="X864" s="148">
        <f>ROUND(+U864+W864,4)</f>
        <v>0</v>
      </c>
      <c r="Y864" s="68"/>
      <c r="Z864" s="148">
        <f>ROUND(IF(X864&gt;I864,X864,I864),4)</f>
        <v>0</v>
      </c>
    </row>
    <row r="865" spans="1:26" x14ac:dyDescent="0.2">
      <c r="A865" s="66"/>
      <c r="B865" s="66"/>
      <c r="C865" s="66"/>
      <c r="D865" s="144"/>
      <c r="E865" s="67"/>
      <c r="F865" s="67"/>
      <c r="G865" s="67"/>
      <c r="H865" s="67">
        <f>ROUND(+E865+G865,4)</f>
        <v>0</v>
      </c>
      <c r="I865" s="67"/>
      <c r="J865" s="67">
        <f>ROUND(+I865-H865,4)</f>
        <v>0</v>
      </c>
      <c r="K865" s="67">
        <f>ROUND(IF(F865="alluminio",0,I865*1.5%),4)</f>
        <v>0</v>
      </c>
      <c r="L865" s="67">
        <f>ROUND(IF(K865&lt;J865,K865,0),4)</f>
        <v>0</v>
      </c>
      <c r="M865" s="67">
        <f>ROUND(IF(J865&gt;K865,0,J865),4)</f>
        <v>0</v>
      </c>
      <c r="N865" s="67">
        <f>ROUND(+L865*D865,4)</f>
        <v>0</v>
      </c>
      <c r="O865" s="67">
        <f>ROUND(IF(F865="rame",0,+I865*3%),4)</f>
        <v>0</v>
      </c>
      <c r="P865" s="67">
        <f>ROUND(IF(O865&lt;J865,O865,0),4)</f>
        <v>0</v>
      </c>
      <c r="Q865" s="67">
        <f>ROUND(IF(J865&gt;O865,0,J865),4)</f>
        <v>0</v>
      </c>
      <c r="R865" s="67">
        <f>ROUND(+P865*D865,4)</f>
        <v>0</v>
      </c>
      <c r="S865" s="67">
        <f>ROUND(IF(K865=0,0,M865*D865),4)</f>
        <v>0</v>
      </c>
      <c r="T865" s="67">
        <f>ROUND(+IF(K865=0,Q865*D865,0),4)</f>
        <v>0</v>
      </c>
      <c r="U865" s="67">
        <f>ROUND(+N865+R865+S865+T865,4)</f>
        <v>0</v>
      </c>
      <c r="V865" s="67">
        <f>ROUND(IF(P865=0,0,I865-H865-O865)+IF(L865=0,0,I865-H865-K865),4)</f>
        <v>0</v>
      </c>
      <c r="W865" s="67">
        <f>ROUND(+(V865*60%)*D865,4)</f>
        <v>0</v>
      </c>
      <c r="X865" s="148">
        <f>ROUND(+U865+W865,4)</f>
        <v>0</v>
      </c>
      <c r="Y865" s="68"/>
      <c r="Z865" s="148">
        <f>ROUND(IF(X865&gt;I865,X865,I865),4)</f>
        <v>0</v>
      </c>
    </row>
    <row r="866" spans="1:26" x14ac:dyDescent="0.2">
      <c r="A866" s="66"/>
      <c r="B866" s="66"/>
      <c r="C866" s="66"/>
      <c r="D866" s="144"/>
      <c r="E866" s="67"/>
      <c r="F866" s="67"/>
      <c r="G866" s="67"/>
      <c r="H866" s="67">
        <f>ROUND(+E866+G866,4)</f>
        <v>0</v>
      </c>
      <c r="I866" s="67"/>
      <c r="J866" s="67">
        <f>ROUND(+I866-H866,4)</f>
        <v>0</v>
      </c>
      <c r="K866" s="67">
        <f>ROUND(IF(F866="alluminio",0,I866*1.5%),4)</f>
        <v>0</v>
      </c>
      <c r="L866" s="67">
        <f>ROUND(IF(K866&lt;J866,K866,0),4)</f>
        <v>0</v>
      </c>
      <c r="M866" s="67">
        <f>ROUND(IF(J866&gt;K866,0,J866),4)</f>
        <v>0</v>
      </c>
      <c r="N866" s="67">
        <f>ROUND(+L866*D866,4)</f>
        <v>0</v>
      </c>
      <c r="O866" s="67">
        <f>ROUND(IF(F866="rame",0,+I866*3%),4)</f>
        <v>0</v>
      </c>
      <c r="P866" s="67">
        <f>ROUND(IF(O866&lt;J866,O866,0),4)</f>
        <v>0</v>
      </c>
      <c r="Q866" s="67">
        <f>ROUND(IF(J866&gt;O866,0,J866),4)</f>
        <v>0</v>
      </c>
      <c r="R866" s="67">
        <f>ROUND(+P866*D866,4)</f>
        <v>0</v>
      </c>
      <c r="S866" s="67">
        <f>ROUND(IF(K866=0,0,M866*D866),4)</f>
        <v>0</v>
      </c>
      <c r="T866" s="67">
        <f>ROUND(+IF(K866=0,Q866*D866,0),4)</f>
        <v>0</v>
      </c>
      <c r="U866" s="67">
        <f>ROUND(+N866+R866+S866+T866,4)</f>
        <v>0</v>
      </c>
      <c r="V866" s="67">
        <f>ROUND(IF(P866=0,0,I866-H866-O866)+IF(L866=0,0,I866-H866-K866),4)</f>
        <v>0</v>
      </c>
      <c r="W866" s="67">
        <f>ROUND(+(V866*60%)*D866,4)</f>
        <v>0</v>
      </c>
      <c r="X866" s="148">
        <f>ROUND(+U866+W866,4)</f>
        <v>0</v>
      </c>
      <c r="Y866" s="68"/>
      <c r="Z866" s="148">
        <f>ROUND(IF(X866&gt;I866,X866,I866),4)</f>
        <v>0</v>
      </c>
    </row>
    <row r="867" spans="1:26" x14ac:dyDescent="0.2">
      <c r="A867" s="66"/>
      <c r="B867" s="66"/>
      <c r="C867" s="66"/>
      <c r="D867" s="144"/>
      <c r="E867" s="67"/>
      <c r="F867" s="67"/>
      <c r="G867" s="67"/>
      <c r="H867" s="67">
        <f>ROUND(+E867+G867,4)</f>
        <v>0</v>
      </c>
      <c r="I867" s="67"/>
      <c r="J867" s="67">
        <f>ROUND(+I867-H867,4)</f>
        <v>0</v>
      </c>
      <c r="K867" s="67">
        <f>ROUND(IF(F867="alluminio",0,I867*1.5%),4)</f>
        <v>0</v>
      </c>
      <c r="L867" s="67">
        <f>ROUND(IF(K867&lt;J867,K867,0),4)</f>
        <v>0</v>
      </c>
      <c r="M867" s="67">
        <f>ROUND(IF(J867&gt;K867,0,J867),4)</f>
        <v>0</v>
      </c>
      <c r="N867" s="67">
        <f>ROUND(+L867*D867,4)</f>
        <v>0</v>
      </c>
      <c r="O867" s="67">
        <f>ROUND(IF(F867="rame",0,+I867*3%),4)</f>
        <v>0</v>
      </c>
      <c r="P867" s="67">
        <f>ROUND(IF(O867&lt;J867,O867,0),4)</f>
        <v>0</v>
      </c>
      <c r="Q867" s="67">
        <f>ROUND(IF(J867&gt;O867,0,J867),4)</f>
        <v>0</v>
      </c>
      <c r="R867" s="67">
        <f>ROUND(+P867*D867,4)</f>
        <v>0</v>
      </c>
      <c r="S867" s="67">
        <f>ROUND(IF(K867=0,0,M867*D867),4)</f>
        <v>0</v>
      </c>
      <c r="T867" s="67">
        <f>ROUND(+IF(K867=0,Q867*D867,0),4)</f>
        <v>0</v>
      </c>
      <c r="U867" s="67">
        <f>ROUND(+N867+R867+S867+T867,4)</f>
        <v>0</v>
      </c>
      <c r="V867" s="67">
        <f>ROUND(IF(P867=0,0,I867-H867-O867)+IF(L867=0,0,I867-H867-K867),4)</f>
        <v>0</v>
      </c>
      <c r="W867" s="67">
        <f>ROUND(+(V867*60%)*D867,4)</f>
        <v>0</v>
      </c>
      <c r="X867" s="148">
        <f>ROUND(+U867+W867,4)</f>
        <v>0</v>
      </c>
      <c r="Y867" s="68"/>
      <c r="Z867" s="148">
        <f>ROUND(IF(X867&gt;I867,X867,I867),4)</f>
        <v>0</v>
      </c>
    </row>
    <row r="868" spans="1:26" x14ac:dyDescent="0.2">
      <c r="A868" s="66"/>
      <c r="B868" s="66"/>
      <c r="C868" s="66"/>
      <c r="D868" s="144"/>
      <c r="E868" s="67"/>
      <c r="F868" s="67"/>
      <c r="G868" s="67"/>
      <c r="H868" s="67">
        <f>ROUND(+E868+G868,4)</f>
        <v>0</v>
      </c>
      <c r="I868" s="67"/>
      <c r="J868" s="67">
        <f>ROUND(+I868-H868,4)</f>
        <v>0</v>
      </c>
      <c r="K868" s="67">
        <f>ROUND(IF(F868="alluminio",0,I868*1.5%),4)</f>
        <v>0</v>
      </c>
      <c r="L868" s="67">
        <f>ROUND(IF(K868&lt;J868,K868,0),4)</f>
        <v>0</v>
      </c>
      <c r="M868" s="67">
        <f>ROUND(IF(J868&gt;K868,0,J868),4)</f>
        <v>0</v>
      </c>
      <c r="N868" s="67">
        <f>ROUND(+L868*D868,4)</f>
        <v>0</v>
      </c>
      <c r="O868" s="67">
        <f>ROUND(IF(F868="rame",0,+I868*3%),4)</f>
        <v>0</v>
      </c>
      <c r="P868" s="67">
        <f>ROUND(IF(O868&lt;J868,O868,0),4)</f>
        <v>0</v>
      </c>
      <c r="Q868" s="67">
        <f>ROUND(IF(J868&gt;O868,0,J868),4)</f>
        <v>0</v>
      </c>
      <c r="R868" s="67">
        <f>ROUND(+P868*D868,4)</f>
        <v>0</v>
      </c>
      <c r="S868" s="67">
        <f>ROUND(IF(K868=0,0,M868*D868),4)</f>
        <v>0</v>
      </c>
      <c r="T868" s="67">
        <f>ROUND(+IF(K868=0,Q868*D868,0),4)</f>
        <v>0</v>
      </c>
      <c r="U868" s="67">
        <f>ROUND(+N868+R868+S868+T868,4)</f>
        <v>0</v>
      </c>
      <c r="V868" s="67">
        <f>ROUND(IF(P868=0,0,I868-H868-O868)+IF(L868=0,0,I868-H868-K868),4)</f>
        <v>0</v>
      </c>
      <c r="W868" s="67">
        <f>ROUND(+(V868*60%)*D868,4)</f>
        <v>0</v>
      </c>
      <c r="X868" s="148">
        <f>ROUND(+U868+W868,4)</f>
        <v>0</v>
      </c>
      <c r="Y868" s="68"/>
      <c r="Z868" s="148">
        <f>ROUND(IF(X868&gt;I868,X868,I868),4)</f>
        <v>0</v>
      </c>
    </row>
    <row r="869" spans="1:26" x14ac:dyDescent="0.2">
      <c r="A869" s="66"/>
      <c r="B869" s="66"/>
      <c r="C869" s="66"/>
      <c r="D869" s="144"/>
      <c r="E869" s="67"/>
      <c r="F869" s="67"/>
      <c r="G869" s="67"/>
      <c r="H869" s="67">
        <f>ROUND(+E869+G869,4)</f>
        <v>0</v>
      </c>
      <c r="I869" s="67"/>
      <c r="J869" s="67">
        <f>ROUND(+I869-H869,4)</f>
        <v>0</v>
      </c>
      <c r="K869" s="67">
        <f>ROUND(IF(F869="alluminio",0,I869*1.5%),4)</f>
        <v>0</v>
      </c>
      <c r="L869" s="67">
        <f>ROUND(IF(K869&lt;J869,K869,0),4)</f>
        <v>0</v>
      </c>
      <c r="M869" s="67">
        <f>ROUND(IF(J869&gt;K869,0,J869),4)</f>
        <v>0</v>
      </c>
      <c r="N869" s="67">
        <f>ROUND(+L869*D869,4)</f>
        <v>0</v>
      </c>
      <c r="O869" s="67">
        <f>ROUND(IF(F869="rame",0,+I869*3%),4)</f>
        <v>0</v>
      </c>
      <c r="P869" s="67">
        <f>ROUND(IF(O869&lt;J869,O869,0),4)</f>
        <v>0</v>
      </c>
      <c r="Q869" s="67">
        <f>ROUND(IF(J869&gt;O869,0,J869),4)</f>
        <v>0</v>
      </c>
      <c r="R869" s="67">
        <f>ROUND(+P869*D869,4)</f>
        <v>0</v>
      </c>
      <c r="S869" s="67">
        <f>ROUND(IF(K869=0,0,M869*D869),4)</f>
        <v>0</v>
      </c>
      <c r="T869" s="67">
        <f>ROUND(+IF(K869=0,Q869*D869,0),4)</f>
        <v>0</v>
      </c>
      <c r="U869" s="67">
        <f>ROUND(+N869+R869+S869+T869,4)</f>
        <v>0</v>
      </c>
      <c r="V869" s="67">
        <f>ROUND(IF(P869=0,0,I869-H869-O869)+IF(L869=0,0,I869-H869-K869),4)</f>
        <v>0</v>
      </c>
      <c r="W869" s="67">
        <f>ROUND(+(V869*60%)*D869,4)</f>
        <v>0</v>
      </c>
      <c r="X869" s="148">
        <f>ROUND(+U869+W869,4)</f>
        <v>0</v>
      </c>
      <c r="Y869" s="68"/>
      <c r="Z869" s="148">
        <f>ROUND(IF(X869&gt;I869,X869,I869),4)</f>
        <v>0</v>
      </c>
    </row>
    <row r="870" spans="1:26" x14ac:dyDescent="0.2">
      <c r="A870" s="66"/>
      <c r="B870" s="66"/>
      <c r="C870" s="66"/>
      <c r="D870" s="144"/>
      <c r="E870" s="67"/>
      <c r="F870" s="67"/>
      <c r="G870" s="67"/>
      <c r="H870" s="67">
        <f>ROUND(+E870+G870,4)</f>
        <v>0</v>
      </c>
      <c r="I870" s="67"/>
      <c r="J870" s="67">
        <f>ROUND(+I870-H870,4)</f>
        <v>0</v>
      </c>
      <c r="K870" s="67">
        <f>ROUND(IF(F870="alluminio",0,I870*1.5%),4)</f>
        <v>0</v>
      </c>
      <c r="L870" s="67">
        <f>ROUND(IF(K870&lt;J870,K870,0),4)</f>
        <v>0</v>
      </c>
      <c r="M870" s="67">
        <f>ROUND(IF(J870&gt;K870,0,J870),4)</f>
        <v>0</v>
      </c>
      <c r="N870" s="67">
        <f>ROUND(+L870*D870,4)</f>
        <v>0</v>
      </c>
      <c r="O870" s="67">
        <f>ROUND(IF(F870="rame",0,+I870*3%),4)</f>
        <v>0</v>
      </c>
      <c r="P870" s="67">
        <f>ROUND(IF(O870&lt;J870,O870,0),4)</f>
        <v>0</v>
      </c>
      <c r="Q870" s="67">
        <f>ROUND(IF(J870&gt;O870,0,J870),4)</f>
        <v>0</v>
      </c>
      <c r="R870" s="67">
        <f>ROUND(+P870*D870,4)</f>
        <v>0</v>
      </c>
      <c r="S870" s="67">
        <f>ROUND(IF(K870=0,0,M870*D870),4)</f>
        <v>0</v>
      </c>
      <c r="T870" s="67">
        <f>ROUND(+IF(K870=0,Q870*D870,0),4)</f>
        <v>0</v>
      </c>
      <c r="U870" s="67">
        <f>ROUND(+N870+R870+S870+T870,4)</f>
        <v>0</v>
      </c>
      <c r="V870" s="67">
        <f>ROUND(IF(P870=0,0,I870-H870-O870)+IF(L870=0,0,I870-H870-K870),4)</f>
        <v>0</v>
      </c>
      <c r="W870" s="67">
        <f>ROUND(+(V870*60%)*D870,4)</f>
        <v>0</v>
      </c>
      <c r="X870" s="148">
        <f>ROUND(+U870+W870,4)</f>
        <v>0</v>
      </c>
      <c r="Y870" s="68"/>
      <c r="Z870" s="148">
        <f>ROUND(IF(X870&gt;I870,X870,I870),4)</f>
        <v>0</v>
      </c>
    </row>
    <row r="871" spans="1:26" x14ac:dyDescent="0.2">
      <c r="A871" s="66"/>
      <c r="B871" s="66"/>
      <c r="C871" s="66"/>
      <c r="D871" s="144"/>
      <c r="E871" s="67"/>
      <c r="F871" s="67"/>
      <c r="G871" s="67"/>
      <c r="H871" s="67">
        <f>ROUND(+E871+G871,4)</f>
        <v>0</v>
      </c>
      <c r="I871" s="67"/>
      <c r="J871" s="67">
        <f>ROUND(+I871-H871,4)</f>
        <v>0</v>
      </c>
      <c r="K871" s="67">
        <f>ROUND(IF(F871="alluminio",0,I871*1.5%),4)</f>
        <v>0</v>
      </c>
      <c r="L871" s="67">
        <f>ROUND(IF(K871&lt;J871,K871,0),4)</f>
        <v>0</v>
      </c>
      <c r="M871" s="67">
        <f>ROUND(IF(J871&gt;K871,0,J871),4)</f>
        <v>0</v>
      </c>
      <c r="N871" s="67">
        <f>ROUND(+L871*D871,4)</f>
        <v>0</v>
      </c>
      <c r="O871" s="67">
        <f>ROUND(IF(F871="rame",0,+I871*3%),4)</f>
        <v>0</v>
      </c>
      <c r="P871" s="67">
        <f>ROUND(IF(O871&lt;J871,O871,0),4)</f>
        <v>0</v>
      </c>
      <c r="Q871" s="67">
        <f>ROUND(IF(J871&gt;O871,0,J871),4)</f>
        <v>0</v>
      </c>
      <c r="R871" s="67">
        <f>ROUND(+P871*D871,4)</f>
        <v>0</v>
      </c>
      <c r="S871" s="67">
        <f>ROUND(IF(K871=0,0,M871*D871),4)</f>
        <v>0</v>
      </c>
      <c r="T871" s="67">
        <f>ROUND(+IF(K871=0,Q871*D871,0),4)</f>
        <v>0</v>
      </c>
      <c r="U871" s="67">
        <f>ROUND(+N871+R871+S871+T871,4)</f>
        <v>0</v>
      </c>
      <c r="V871" s="67">
        <f>ROUND(IF(P871=0,0,I871-H871-O871)+IF(L871=0,0,I871-H871-K871),4)</f>
        <v>0</v>
      </c>
      <c r="W871" s="67">
        <f>ROUND(+(V871*60%)*D871,4)</f>
        <v>0</v>
      </c>
      <c r="X871" s="148">
        <f>ROUND(+U871+W871,4)</f>
        <v>0</v>
      </c>
      <c r="Y871" s="68"/>
      <c r="Z871" s="148">
        <f>ROUND(IF(X871&gt;I871,X871,I871),4)</f>
        <v>0</v>
      </c>
    </row>
    <row r="872" spans="1:26" x14ac:dyDescent="0.2">
      <c r="A872" s="66"/>
      <c r="B872" s="66"/>
      <c r="C872" s="66"/>
      <c r="D872" s="144"/>
      <c r="E872" s="67"/>
      <c r="F872" s="67"/>
      <c r="G872" s="67"/>
      <c r="H872" s="67">
        <f>ROUND(+E872+G872,4)</f>
        <v>0</v>
      </c>
      <c r="I872" s="67"/>
      <c r="J872" s="67">
        <f>ROUND(+I872-H872,4)</f>
        <v>0</v>
      </c>
      <c r="K872" s="67">
        <f>ROUND(IF(F872="alluminio",0,I872*1.5%),4)</f>
        <v>0</v>
      </c>
      <c r="L872" s="67">
        <f>ROUND(IF(K872&lt;J872,K872,0),4)</f>
        <v>0</v>
      </c>
      <c r="M872" s="67">
        <f>ROUND(IF(J872&gt;K872,0,J872),4)</f>
        <v>0</v>
      </c>
      <c r="N872" s="67">
        <f>ROUND(+L872*D872,4)</f>
        <v>0</v>
      </c>
      <c r="O872" s="67">
        <f>ROUND(IF(F872="rame",0,+I872*3%),4)</f>
        <v>0</v>
      </c>
      <c r="P872" s="67">
        <f>ROUND(IF(O872&lt;J872,O872,0),4)</f>
        <v>0</v>
      </c>
      <c r="Q872" s="67">
        <f>ROUND(IF(J872&gt;O872,0,J872),4)</f>
        <v>0</v>
      </c>
      <c r="R872" s="67">
        <f>ROUND(+P872*D872,4)</f>
        <v>0</v>
      </c>
      <c r="S872" s="67">
        <f>ROUND(IF(K872=0,0,M872*D872),4)</f>
        <v>0</v>
      </c>
      <c r="T872" s="67">
        <f>ROUND(+IF(K872=0,Q872*D872,0),4)</f>
        <v>0</v>
      </c>
      <c r="U872" s="67">
        <f>ROUND(+N872+R872+S872+T872,4)</f>
        <v>0</v>
      </c>
      <c r="V872" s="67">
        <f>ROUND(IF(P872=0,0,I872-H872-O872)+IF(L872=0,0,I872-H872-K872),4)</f>
        <v>0</v>
      </c>
      <c r="W872" s="67">
        <f>ROUND(+(V872*60%)*D872,4)</f>
        <v>0</v>
      </c>
      <c r="X872" s="148">
        <f>ROUND(+U872+W872,4)</f>
        <v>0</v>
      </c>
      <c r="Y872" s="68"/>
      <c r="Z872" s="148">
        <f>ROUND(IF(X872&gt;I872,X872,I872),4)</f>
        <v>0</v>
      </c>
    </row>
    <row r="873" spans="1:26" x14ac:dyDescent="0.2">
      <c r="A873" s="66"/>
      <c r="B873" s="66"/>
      <c r="C873" s="66"/>
      <c r="D873" s="144"/>
      <c r="E873" s="67"/>
      <c r="F873" s="67"/>
      <c r="G873" s="67"/>
      <c r="H873" s="67">
        <f>ROUND(+E873+G873,4)</f>
        <v>0</v>
      </c>
      <c r="I873" s="67"/>
      <c r="J873" s="67">
        <f>ROUND(+I873-H873,4)</f>
        <v>0</v>
      </c>
      <c r="K873" s="67">
        <f>ROUND(IF(F873="alluminio",0,I873*1.5%),4)</f>
        <v>0</v>
      </c>
      <c r="L873" s="67">
        <f>ROUND(IF(K873&lt;J873,K873,0),4)</f>
        <v>0</v>
      </c>
      <c r="M873" s="67">
        <f>ROUND(IF(J873&gt;K873,0,J873),4)</f>
        <v>0</v>
      </c>
      <c r="N873" s="67">
        <f>ROUND(+L873*D873,4)</f>
        <v>0</v>
      </c>
      <c r="O873" s="67">
        <f>ROUND(IF(F873="rame",0,+I873*3%),4)</f>
        <v>0</v>
      </c>
      <c r="P873" s="67">
        <f>ROUND(IF(O873&lt;J873,O873,0),4)</f>
        <v>0</v>
      </c>
      <c r="Q873" s="67">
        <f>ROUND(IF(J873&gt;O873,0,J873),4)</f>
        <v>0</v>
      </c>
      <c r="R873" s="67">
        <f>ROUND(+P873*D873,4)</f>
        <v>0</v>
      </c>
      <c r="S873" s="67">
        <f>ROUND(IF(K873=0,0,M873*D873),4)</f>
        <v>0</v>
      </c>
      <c r="T873" s="67">
        <f>ROUND(+IF(K873=0,Q873*D873,0),4)</f>
        <v>0</v>
      </c>
      <c r="U873" s="67">
        <f>ROUND(+N873+R873+S873+T873,4)</f>
        <v>0</v>
      </c>
      <c r="V873" s="67">
        <f>ROUND(IF(P873=0,0,I873-H873-O873)+IF(L873=0,0,I873-H873-K873),4)</f>
        <v>0</v>
      </c>
      <c r="W873" s="67">
        <f>ROUND(+(V873*60%)*D873,4)</f>
        <v>0</v>
      </c>
      <c r="X873" s="148">
        <f>ROUND(+U873+W873,4)</f>
        <v>0</v>
      </c>
      <c r="Y873" s="68"/>
      <c r="Z873" s="148">
        <f>ROUND(IF(X873&gt;I873,X873,I873),4)</f>
        <v>0</v>
      </c>
    </row>
    <row r="874" spans="1:26" x14ac:dyDescent="0.2">
      <c r="A874" s="66"/>
      <c r="B874" s="66"/>
      <c r="C874" s="66"/>
      <c r="D874" s="144"/>
      <c r="E874" s="67"/>
      <c r="F874" s="67"/>
      <c r="G874" s="67"/>
      <c r="H874" s="67">
        <f>ROUND(+E874+G874,4)</f>
        <v>0</v>
      </c>
      <c r="I874" s="67"/>
      <c r="J874" s="67">
        <f>ROUND(+I874-H874,4)</f>
        <v>0</v>
      </c>
      <c r="K874" s="67">
        <f>ROUND(IF(F874="alluminio",0,I874*1.5%),4)</f>
        <v>0</v>
      </c>
      <c r="L874" s="67">
        <f>ROUND(IF(K874&lt;J874,K874,0),4)</f>
        <v>0</v>
      </c>
      <c r="M874" s="67">
        <f>ROUND(IF(J874&gt;K874,0,J874),4)</f>
        <v>0</v>
      </c>
      <c r="N874" s="67">
        <f>ROUND(+L874*D874,4)</f>
        <v>0</v>
      </c>
      <c r="O874" s="67">
        <f>ROUND(IF(F874="rame",0,+I874*3%),4)</f>
        <v>0</v>
      </c>
      <c r="P874" s="67">
        <f>ROUND(IF(O874&lt;J874,O874,0),4)</f>
        <v>0</v>
      </c>
      <c r="Q874" s="67">
        <f>ROUND(IF(J874&gt;O874,0,J874),4)</f>
        <v>0</v>
      </c>
      <c r="R874" s="67">
        <f>ROUND(+P874*D874,4)</f>
        <v>0</v>
      </c>
      <c r="S874" s="67">
        <f>ROUND(IF(K874=0,0,M874*D874),4)</f>
        <v>0</v>
      </c>
      <c r="T874" s="67">
        <f>ROUND(+IF(K874=0,Q874*D874,0),4)</f>
        <v>0</v>
      </c>
      <c r="U874" s="67">
        <f>ROUND(+N874+R874+S874+T874,4)</f>
        <v>0</v>
      </c>
      <c r="V874" s="67">
        <f>ROUND(IF(P874=0,0,I874-H874-O874)+IF(L874=0,0,I874-H874-K874),4)</f>
        <v>0</v>
      </c>
      <c r="W874" s="67">
        <f>ROUND(+(V874*60%)*D874,4)</f>
        <v>0</v>
      </c>
      <c r="X874" s="148">
        <f>ROUND(+U874+W874,4)</f>
        <v>0</v>
      </c>
      <c r="Y874" s="68"/>
      <c r="Z874" s="148">
        <f>ROUND(IF(X874&gt;I874,X874,I874),4)</f>
        <v>0</v>
      </c>
    </row>
    <row r="875" spans="1:26" x14ac:dyDescent="0.2">
      <c r="A875" s="66"/>
      <c r="B875" s="66"/>
      <c r="C875" s="66"/>
      <c r="D875" s="144"/>
      <c r="E875" s="67"/>
      <c r="F875" s="67"/>
      <c r="G875" s="67"/>
      <c r="H875" s="67">
        <f>ROUND(+E875+G875,4)</f>
        <v>0</v>
      </c>
      <c r="I875" s="67"/>
      <c r="J875" s="67">
        <f>ROUND(+I875-H875,4)</f>
        <v>0</v>
      </c>
      <c r="K875" s="67">
        <f>ROUND(IF(F875="alluminio",0,I875*1.5%),4)</f>
        <v>0</v>
      </c>
      <c r="L875" s="67">
        <f>ROUND(IF(K875&lt;J875,K875,0),4)</f>
        <v>0</v>
      </c>
      <c r="M875" s="67">
        <f>ROUND(IF(J875&gt;K875,0,J875),4)</f>
        <v>0</v>
      </c>
      <c r="N875" s="67">
        <f>ROUND(+L875*D875,4)</f>
        <v>0</v>
      </c>
      <c r="O875" s="67">
        <f>ROUND(IF(F875="rame",0,+I875*3%),4)</f>
        <v>0</v>
      </c>
      <c r="P875" s="67">
        <f>ROUND(IF(O875&lt;J875,O875,0),4)</f>
        <v>0</v>
      </c>
      <c r="Q875" s="67">
        <f>ROUND(IF(J875&gt;O875,0,J875),4)</f>
        <v>0</v>
      </c>
      <c r="R875" s="67">
        <f>ROUND(+P875*D875,4)</f>
        <v>0</v>
      </c>
      <c r="S875" s="67">
        <f>ROUND(IF(K875=0,0,M875*D875),4)</f>
        <v>0</v>
      </c>
      <c r="T875" s="67">
        <f>ROUND(+IF(K875=0,Q875*D875,0),4)</f>
        <v>0</v>
      </c>
      <c r="U875" s="67">
        <f>ROUND(+N875+R875+S875+T875,4)</f>
        <v>0</v>
      </c>
      <c r="V875" s="67">
        <f>ROUND(IF(P875=0,0,I875-H875-O875)+IF(L875=0,0,I875-H875-K875),4)</f>
        <v>0</v>
      </c>
      <c r="W875" s="67">
        <f>ROUND(+(V875*60%)*D875,4)</f>
        <v>0</v>
      </c>
      <c r="X875" s="148">
        <f>ROUND(+U875+W875,4)</f>
        <v>0</v>
      </c>
      <c r="Y875" s="68"/>
      <c r="Z875" s="148">
        <f>ROUND(IF(X875&gt;I875,X875,I875),4)</f>
        <v>0</v>
      </c>
    </row>
    <row r="876" spans="1:26" x14ac:dyDescent="0.2">
      <c r="A876" s="66"/>
      <c r="B876" s="66"/>
      <c r="C876" s="66"/>
      <c r="D876" s="144"/>
      <c r="E876" s="67"/>
      <c r="F876" s="67"/>
      <c r="G876" s="67"/>
      <c r="H876" s="67">
        <f>ROUND(+E876+G876,4)</f>
        <v>0</v>
      </c>
      <c r="I876" s="67"/>
      <c r="J876" s="67">
        <f>ROUND(+I876-H876,4)</f>
        <v>0</v>
      </c>
      <c r="K876" s="67">
        <f>ROUND(IF(F876="alluminio",0,I876*1.5%),4)</f>
        <v>0</v>
      </c>
      <c r="L876" s="67">
        <f>ROUND(IF(K876&lt;J876,K876,0),4)</f>
        <v>0</v>
      </c>
      <c r="M876" s="67">
        <f>ROUND(IF(J876&gt;K876,0,J876),4)</f>
        <v>0</v>
      </c>
      <c r="N876" s="67">
        <f>ROUND(+L876*D876,4)</f>
        <v>0</v>
      </c>
      <c r="O876" s="67">
        <f>ROUND(IF(F876="rame",0,+I876*3%),4)</f>
        <v>0</v>
      </c>
      <c r="P876" s="67">
        <f>ROUND(IF(O876&lt;J876,O876,0),4)</f>
        <v>0</v>
      </c>
      <c r="Q876" s="67">
        <f>ROUND(IF(J876&gt;O876,0,J876),4)</f>
        <v>0</v>
      </c>
      <c r="R876" s="67">
        <f>ROUND(+P876*D876,4)</f>
        <v>0</v>
      </c>
      <c r="S876" s="67">
        <f>ROUND(IF(K876=0,0,M876*D876),4)</f>
        <v>0</v>
      </c>
      <c r="T876" s="67">
        <f>ROUND(+IF(K876=0,Q876*D876,0),4)</f>
        <v>0</v>
      </c>
      <c r="U876" s="67">
        <f>ROUND(+N876+R876+S876+T876,4)</f>
        <v>0</v>
      </c>
      <c r="V876" s="67">
        <f>ROUND(IF(P876=0,0,I876-H876-O876)+IF(L876=0,0,I876-H876-K876),4)</f>
        <v>0</v>
      </c>
      <c r="W876" s="67">
        <f>ROUND(+(V876*60%)*D876,4)</f>
        <v>0</v>
      </c>
      <c r="X876" s="148">
        <f>ROUND(+U876+W876,4)</f>
        <v>0</v>
      </c>
      <c r="Y876" s="68"/>
      <c r="Z876" s="148">
        <f>ROUND(IF(X876&gt;I876,X876,I876),4)</f>
        <v>0</v>
      </c>
    </row>
    <row r="877" spans="1:26" x14ac:dyDescent="0.2">
      <c r="A877" s="66"/>
      <c r="B877" s="66"/>
      <c r="C877" s="66"/>
      <c r="D877" s="144"/>
      <c r="E877" s="67"/>
      <c r="F877" s="67"/>
      <c r="G877" s="67"/>
      <c r="H877" s="67">
        <f>ROUND(+E877+G877,4)</f>
        <v>0</v>
      </c>
      <c r="I877" s="67"/>
      <c r="J877" s="67">
        <f>ROUND(+I877-H877,4)</f>
        <v>0</v>
      </c>
      <c r="K877" s="67">
        <f>ROUND(IF(F877="alluminio",0,I877*1.5%),4)</f>
        <v>0</v>
      </c>
      <c r="L877" s="67">
        <f>ROUND(IF(K877&lt;J877,K877,0),4)</f>
        <v>0</v>
      </c>
      <c r="M877" s="67">
        <f>ROUND(IF(J877&gt;K877,0,J877),4)</f>
        <v>0</v>
      </c>
      <c r="N877" s="67">
        <f>ROUND(+L877*D877,4)</f>
        <v>0</v>
      </c>
      <c r="O877" s="67">
        <f>ROUND(IF(F877="rame",0,+I877*3%),4)</f>
        <v>0</v>
      </c>
      <c r="P877" s="67">
        <f>ROUND(IF(O877&lt;J877,O877,0),4)</f>
        <v>0</v>
      </c>
      <c r="Q877" s="67">
        <f>ROUND(IF(J877&gt;O877,0,J877),4)</f>
        <v>0</v>
      </c>
      <c r="R877" s="67">
        <f>ROUND(+P877*D877,4)</f>
        <v>0</v>
      </c>
      <c r="S877" s="67">
        <f>ROUND(IF(K877=0,0,M877*D877),4)</f>
        <v>0</v>
      </c>
      <c r="T877" s="67">
        <f>ROUND(+IF(K877=0,Q877*D877,0),4)</f>
        <v>0</v>
      </c>
      <c r="U877" s="67">
        <f>ROUND(+N877+R877+S877+T877,4)</f>
        <v>0</v>
      </c>
      <c r="V877" s="67">
        <f>ROUND(IF(P877=0,0,I877-H877-O877)+IF(L877=0,0,I877-H877-K877),4)</f>
        <v>0</v>
      </c>
      <c r="W877" s="67">
        <f>ROUND(+(V877*60%)*D877,4)</f>
        <v>0</v>
      </c>
      <c r="X877" s="148">
        <f>ROUND(+U877+W877,4)</f>
        <v>0</v>
      </c>
      <c r="Y877" s="68"/>
      <c r="Z877" s="148">
        <f>ROUND(IF(X877&gt;I877,X877,I877),4)</f>
        <v>0</v>
      </c>
    </row>
    <row r="878" spans="1:26" x14ac:dyDescent="0.2">
      <c r="A878" s="66"/>
      <c r="B878" s="66"/>
      <c r="C878" s="66"/>
      <c r="D878" s="144"/>
      <c r="E878" s="67"/>
      <c r="F878" s="67"/>
      <c r="G878" s="67"/>
      <c r="H878" s="67">
        <f>ROUND(+E878+G878,4)</f>
        <v>0</v>
      </c>
      <c r="I878" s="67"/>
      <c r="J878" s="67">
        <f>ROUND(+I878-H878,4)</f>
        <v>0</v>
      </c>
      <c r="K878" s="67">
        <f>ROUND(IF(F878="alluminio",0,I878*1.5%),4)</f>
        <v>0</v>
      </c>
      <c r="L878" s="67">
        <f>ROUND(IF(K878&lt;J878,K878,0),4)</f>
        <v>0</v>
      </c>
      <c r="M878" s="67">
        <f>ROUND(IF(J878&gt;K878,0,J878),4)</f>
        <v>0</v>
      </c>
      <c r="N878" s="67">
        <f>ROUND(+L878*D878,4)</f>
        <v>0</v>
      </c>
      <c r="O878" s="67">
        <f>ROUND(IF(F878="rame",0,+I878*3%),4)</f>
        <v>0</v>
      </c>
      <c r="P878" s="67">
        <f>ROUND(IF(O878&lt;J878,O878,0),4)</f>
        <v>0</v>
      </c>
      <c r="Q878" s="67">
        <f>ROUND(IF(J878&gt;O878,0,J878),4)</f>
        <v>0</v>
      </c>
      <c r="R878" s="67">
        <f>ROUND(+P878*D878,4)</f>
        <v>0</v>
      </c>
      <c r="S878" s="67">
        <f>ROUND(IF(K878=0,0,M878*D878),4)</f>
        <v>0</v>
      </c>
      <c r="T878" s="67">
        <f>ROUND(+IF(K878=0,Q878*D878,0),4)</f>
        <v>0</v>
      </c>
      <c r="U878" s="67">
        <f>ROUND(+N878+R878+S878+T878,4)</f>
        <v>0</v>
      </c>
      <c r="V878" s="67">
        <f>ROUND(IF(P878=0,0,I878-H878-O878)+IF(L878=0,0,I878-H878-K878),4)</f>
        <v>0</v>
      </c>
      <c r="W878" s="67">
        <f>ROUND(+(V878*60%)*D878,4)</f>
        <v>0</v>
      </c>
      <c r="X878" s="148">
        <f>ROUND(+U878+W878,4)</f>
        <v>0</v>
      </c>
      <c r="Y878" s="68"/>
      <c r="Z878" s="148">
        <f>ROUND(IF(X878&gt;I878,X878,I878),4)</f>
        <v>0</v>
      </c>
    </row>
    <row r="879" spans="1:26" x14ac:dyDescent="0.2">
      <c r="A879" s="66"/>
      <c r="B879" s="66"/>
      <c r="C879" s="66"/>
      <c r="D879" s="144"/>
      <c r="E879" s="67"/>
      <c r="F879" s="67"/>
      <c r="G879" s="67"/>
      <c r="H879" s="67">
        <f>ROUND(+E879+G879,4)</f>
        <v>0</v>
      </c>
      <c r="I879" s="67"/>
      <c r="J879" s="67">
        <f>ROUND(+I879-H879,4)</f>
        <v>0</v>
      </c>
      <c r="K879" s="67">
        <f>ROUND(IF(F879="alluminio",0,I879*1.5%),4)</f>
        <v>0</v>
      </c>
      <c r="L879" s="67">
        <f>ROUND(IF(K879&lt;J879,K879,0),4)</f>
        <v>0</v>
      </c>
      <c r="M879" s="67">
        <f>ROUND(IF(J879&gt;K879,0,J879),4)</f>
        <v>0</v>
      </c>
      <c r="N879" s="67">
        <f>ROUND(+L879*D879,4)</f>
        <v>0</v>
      </c>
      <c r="O879" s="67">
        <f>ROUND(IF(F879="rame",0,+I879*3%),4)</f>
        <v>0</v>
      </c>
      <c r="P879" s="67">
        <f>ROUND(IF(O879&lt;J879,O879,0),4)</f>
        <v>0</v>
      </c>
      <c r="Q879" s="67">
        <f>ROUND(IF(J879&gt;O879,0,J879),4)</f>
        <v>0</v>
      </c>
      <c r="R879" s="67">
        <f>ROUND(+P879*D879,4)</f>
        <v>0</v>
      </c>
      <c r="S879" s="67">
        <f>ROUND(IF(K879=0,0,M879*D879),4)</f>
        <v>0</v>
      </c>
      <c r="T879" s="67">
        <f>ROUND(+IF(K879=0,Q879*D879,0),4)</f>
        <v>0</v>
      </c>
      <c r="U879" s="67">
        <f>ROUND(+N879+R879+S879+T879,4)</f>
        <v>0</v>
      </c>
      <c r="V879" s="67">
        <f>ROUND(IF(P879=0,0,I879-H879-O879)+IF(L879=0,0,I879-H879-K879),4)</f>
        <v>0</v>
      </c>
      <c r="W879" s="67">
        <f>ROUND(+(V879*60%)*D879,4)</f>
        <v>0</v>
      </c>
      <c r="X879" s="148">
        <f>ROUND(+U879+W879,4)</f>
        <v>0</v>
      </c>
      <c r="Y879" s="68"/>
      <c r="Z879" s="148">
        <f>ROUND(IF(X879&gt;I879,X879,I879),4)</f>
        <v>0</v>
      </c>
    </row>
    <row r="880" spans="1:26" x14ac:dyDescent="0.2">
      <c r="A880" s="66"/>
      <c r="B880" s="66"/>
      <c r="C880" s="66"/>
      <c r="D880" s="144"/>
      <c r="E880" s="67"/>
      <c r="F880" s="67"/>
      <c r="G880" s="67"/>
      <c r="H880" s="67">
        <f>ROUND(+E880+G880,4)</f>
        <v>0</v>
      </c>
      <c r="I880" s="67"/>
      <c r="J880" s="67">
        <f>ROUND(+I880-H880,4)</f>
        <v>0</v>
      </c>
      <c r="K880" s="67">
        <f>ROUND(IF(F880="alluminio",0,I880*1.5%),4)</f>
        <v>0</v>
      </c>
      <c r="L880" s="67">
        <f>ROUND(IF(K880&lt;J880,K880,0),4)</f>
        <v>0</v>
      </c>
      <c r="M880" s="67">
        <f>ROUND(IF(J880&gt;K880,0,J880),4)</f>
        <v>0</v>
      </c>
      <c r="N880" s="67">
        <f>ROUND(+L880*D880,4)</f>
        <v>0</v>
      </c>
      <c r="O880" s="67">
        <f>ROUND(IF(F880="rame",0,+I880*3%),4)</f>
        <v>0</v>
      </c>
      <c r="P880" s="67">
        <f>ROUND(IF(O880&lt;J880,O880,0),4)</f>
        <v>0</v>
      </c>
      <c r="Q880" s="67">
        <f>ROUND(IF(J880&gt;O880,0,J880),4)</f>
        <v>0</v>
      </c>
      <c r="R880" s="67">
        <f>ROUND(+P880*D880,4)</f>
        <v>0</v>
      </c>
      <c r="S880" s="67">
        <f>ROUND(IF(K880=0,0,M880*D880),4)</f>
        <v>0</v>
      </c>
      <c r="T880" s="67">
        <f>ROUND(+IF(K880=0,Q880*D880,0),4)</f>
        <v>0</v>
      </c>
      <c r="U880" s="67">
        <f>ROUND(+N880+R880+S880+T880,4)</f>
        <v>0</v>
      </c>
      <c r="V880" s="67">
        <f>ROUND(IF(P880=0,0,I880-H880-O880)+IF(L880=0,0,I880-H880-K880),4)</f>
        <v>0</v>
      </c>
      <c r="W880" s="67">
        <f>ROUND(+(V880*60%)*D880,4)</f>
        <v>0</v>
      </c>
      <c r="X880" s="148">
        <f>ROUND(+U880+W880,4)</f>
        <v>0</v>
      </c>
      <c r="Y880" s="68"/>
      <c r="Z880" s="148">
        <f>ROUND(IF(X880&gt;I880,X880,I880),4)</f>
        <v>0</v>
      </c>
    </row>
    <row r="881" spans="1:26" x14ac:dyDescent="0.2">
      <c r="A881" s="66"/>
      <c r="B881" s="66"/>
      <c r="C881" s="66"/>
      <c r="D881" s="144"/>
      <c r="E881" s="67"/>
      <c r="F881" s="67"/>
      <c r="G881" s="67"/>
      <c r="H881" s="67">
        <f>ROUND(+E881+G881,4)</f>
        <v>0</v>
      </c>
      <c r="I881" s="67"/>
      <c r="J881" s="67">
        <f>ROUND(+I881-H881,4)</f>
        <v>0</v>
      </c>
      <c r="K881" s="67">
        <f>ROUND(IF(F881="alluminio",0,I881*1.5%),4)</f>
        <v>0</v>
      </c>
      <c r="L881" s="67">
        <f>ROUND(IF(K881&lt;J881,K881,0),4)</f>
        <v>0</v>
      </c>
      <c r="M881" s="67">
        <f>ROUND(IF(J881&gt;K881,0,J881),4)</f>
        <v>0</v>
      </c>
      <c r="N881" s="67">
        <f>ROUND(+L881*D881,4)</f>
        <v>0</v>
      </c>
      <c r="O881" s="67">
        <f>ROUND(IF(F881="rame",0,+I881*3%),4)</f>
        <v>0</v>
      </c>
      <c r="P881" s="67">
        <f>ROUND(IF(O881&lt;J881,O881,0),4)</f>
        <v>0</v>
      </c>
      <c r="Q881" s="67">
        <f>ROUND(IF(J881&gt;O881,0,J881),4)</f>
        <v>0</v>
      </c>
      <c r="R881" s="67">
        <f>ROUND(+P881*D881,4)</f>
        <v>0</v>
      </c>
      <c r="S881" s="67">
        <f>ROUND(IF(K881=0,0,M881*D881),4)</f>
        <v>0</v>
      </c>
      <c r="T881" s="67">
        <f>ROUND(+IF(K881=0,Q881*D881,0),4)</f>
        <v>0</v>
      </c>
      <c r="U881" s="67">
        <f>ROUND(+N881+R881+S881+T881,4)</f>
        <v>0</v>
      </c>
      <c r="V881" s="67">
        <f>ROUND(IF(P881=0,0,I881-H881-O881)+IF(L881=0,0,I881-H881-K881),4)</f>
        <v>0</v>
      </c>
      <c r="W881" s="67">
        <f>ROUND(+(V881*60%)*D881,4)</f>
        <v>0</v>
      </c>
      <c r="X881" s="148">
        <f>ROUND(+U881+W881,4)</f>
        <v>0</v>
      </c>
      <c r="Y881" s="68"/>
      <c r="Z881" s="148">
        <f>ROUND(IF(X881&gt;I881,X881,I881),4)</f>
        <v>0</v>
      </c>
    </row>
    <row r="882" spans="1:26" x14ac:dyDescent="0.2">
      <c r="A882" s="66"/>
      <c r="B882" s="66"/>
      <c r="C882" s="66"/>
      <c r="D882" s="144"/>
      <c r="E882" s="67"/>
      <c r="F882" s="67"/>
      <c r="G882" s="67"/>
      <c r="H882" s="67">
        <f>ROUND(+E882+G882,4)</f>
        <v>0</v>
      </c>
      <c r="I882" s="67"/>
      <c r="J882" s="67">
        <f>ROUND(+I882-H882,4)</f>
        <v>0</v>
      </c>
      <c r="K882" s="67">
        <f>ROUND(IF(F882="alluminio",0,I882*1.5%),4)</f>
        <v>0</v>
      </c>
      <c r="L882" s="67">
        <f>ROUND(IF(K882&lt;J882,K882,0),4)</f>
        <v>0</v>
      </c>
      <c r="M882" s="67">
        <f>ROUND(IF(J882&gt;K882,0,J882),4)</f>
        <v>0</v>
      </c>
      <c r="N882" s="67">
        <f>ROUND(+L882*D882,4)</f>
        <v>0</v>
      </c>
      <c r="O882" s="67">
        <f>ROUND(IF(F882="rame",0,+I882*3%),4)</f>
        <v>0</v>
      </c>
      <c r="P882" s="67">
        <f>ROUND(IF(O882&lt;J882,O882,0),4)</f>
        <v>0</v>
      </c>
      <c r="Q882" s="67">
        <f>ROUND(IF(J882&gt;O882,0,J882),4)</f>
        <v>0</v>
      </c>
      <c r="R882" s="67">
        <f>ROUND(+P882*D882,4)</f>
        <v>0</v>
      </c>
      <c r="S882" s="67">
        <f>ROUND(IF(K882=0,0,M882*D882),4)</f>
        <v>0</v>
      </c>
      <c r="T882" s="67">
        <f>ROUND(+IF(K882=0,Q882*D882,0),4)</f>
        <v>0</v>
      </c>
      <c r="U882" s="67">
        <f>ROUND(+N882+R882+S882+T882,4)</f>
        <v>0</v>
      </c>
      <c r="V882" s="67">
        <f>ROUND(IF(P882=0,0,I882-H882-O882)+IF(L882=0,0,I882-H882-K882),4)</f>
        <v>0</v>
      </c>
      <c r="W882" s="67">
        <f>ROUND(+(V882*60%)*D882,4)</f>
        <v>0</v>
      </c>
      <c r="X882" s="148">
        <f>ROUND(+U882+W882,4)</f>
        <v>0</v>
      </c>
      <c r="Y882" s="68"/>
      <c r="Z882" s="148">
        <f>ROUND(IF(X882&gt;I882,X882,I882),4)</f>
        <v>0</v>
      </c>
    </row>
    <row r="883" spans="1:26" x14ac:dyDescent="0.2">
      <c r="A883" s="66"/>
      <c r="B883" s="66"/>
      <c r="C883" s="66"/>
      <c r="D883" s="144"/>
      <c r="E883" s="67"/>
      <c r="F883" s="67"/>
      <c r="G883" s="67"/>
      <c r="H883" s="67">
        <f>ROUND(+E883+G883,4)</f>
        <v>0</v>
      </c>
      <c r="I883" s="67"/>
      <c r="J883" s="67">
        <f>ROUND(+I883-H883,4)</f>
        <v>0</v>
      </c>
      <c r="K883" s="67">
        <f>ROUND(IF(F883="alluminio",0,I883*1.5%),4)</f>
        <v>0</v>
      </c>
      <c r="L883" s="67">
        <f>ROUND(IF(K883&lt;J883,K883,0),4)</f>
        <v>0</v>
      </c>
      <c r="M883" s="67">
        <f>ROUND(IF(J883&gt;K883,0,J883),4)</f>
        <v>0</v>
      </c>
      <c r="N883" s="67">
        <f>ROUND(+L883*D883,4)</f>
        <v>0</v>
      </c>
      <c r="O883" s="67">
        <f>ROUND(IF(F883="rame",0,+I883*3%),4)</f>
        <v>0</v>
      </c>
      <c r="P883" s="67">
        <f>ROUND(IF(O883&lt;J883,O883,0),4)</f>
        <v>0</v>
      </c>
      <c r="Q883" s="67">
        <f>ROUND(IF(J883&gt;O883,0,J883),4)</f>
        <v>0</v>
      </c>
      <c r="R883" s="67">
        <f>ROUND(+P883*D883,4)</f>
        <v>0</v>
      </c>
      <c r="S883" s="67">
        <f>ROUND(IF(K883=0,0,M883*D883),4)</f>
        <v>0</v>
      </c>
      <c r="T883" s="67">
        <f>ROUND(+IF(K883=0,Q883*D883,0),4)</f>
        <v>0</v>
      </c>
      <c r="U883" s="67">
        <f>ROUND(+N883+R883+S883+T883,4)</f>
        <v>0</v>
      </c>
      <c r="V883" s="67">
        <f>ROUND(IF(P883=0,0,I883-H883-O883)+IF(L883=0,0,I883-H883-K883),4)</f>
        <v>0</v>
      </c>
      <c r="W883" s="67">
        <f>ROUND(+(V883*60%)*D883,4)</f>
        <v>0</v>
      </c>
      <c r="X883" s="148">
        <f>ROUND(+U883+W883,4)</f>
        <v>0</v>
      </c>
      <c r="Y883" s="68"/>
      <c r="Z883" s="148">
        <f>ROUND(IF(X883&gt;I883,X883,I883),4)</f>
        <v>0</v>
      </c>
    </row>
    <row r="884" spans="1:26" x14ac:dyDescent="0.2">
      <c r="A884" s="66"/>
      <c r="B884" s="66"/>
      <c r="C884" s="66"/>
      <c r="D884" s="144"/>
      <c r="E884" s="67"/>
      <c r="F884" s="67"/>
      <c r="G884" s="67"/>
      <c r="H884" s="67">
        <f>ROUND(+E884+G884,4)</f>
        <v>0</v>
      </c>
      <c r="I884" s="67"/>
      <c r="J884" s="67">
        <f>ROUND(+I884-H884,4)</f>
        <v>0</v>
      </c>
      <c r="K884" s="67">
        <f>ROUND(IF(F884="alluminio",0,I884*1.5%),4)</f>
        <v>0</v>
      </c>
      <c r="L884" s="67">
        <f>ROUND(IF(K884&lt;J884,K884,0),4)</f>
        <v>0</v>
      </c>
      <c r="M884" s="67">
        <f>ROUND(IF(J884&gt;K884,0,J884),4)</f>
        <v>0</v>
      </c>
      <c r="N884" s="67">
        <f>ROUND(+L884*D884,4)</f>
        <v>0</v>
      </c>
      <c r="O884" s="67">
        <f>ROUND(IF(F884="rame",0,+I884*3%),4)</f>
        <v>0</v>
      </c>
      <c r="P884" s="67">
        <f>ROUND(IF(O884&lt;J884,O884,0),4)</f>
        <v>0</v>
      </c>
      <c r="Q884" s="67">
        <f>ROUND(IF(J884&gt;O884,0,J884),4)</f>
        <v>0</v>
      </c>
      <c r="R884" s="67">
        <f>ROUND(+P884*D884,4)</f>
        <v>0</v>
      </c>
      <c r="S884" s="67">
        <f>ROUND(IF(K884=0,0,M884*D884),4)</f>
        <v>0</v>
      </c>
      <c r="T884" s="67">
        <f>ROUND(+IF(K884=0,Q884*D884,0),4)</f>
        <v>0</v>
      </c>
      <c r="U884" s="67">
        <f>ROUND(+N884+R884+S884+T884,4)</f>
        <v>0</v>
      </c>
      <c r="V884" s="67">
        <f>ROUND(IF(P884=0,0,I884-H884-O884)+IF(L884=0,0,I884-H884-K884),4)</f>
        <v>0</v>
      </c>
      <c r="W884" s="67">
        <f>ROUND(+(V884*60%)*D884,4)</f>
        <v>0</v>
      </c>
      <c r="X884" s="148">
        <f>ROUND(+U884+W884,4)</f>
        <v>0</v>
      </c>
      <c r="Y884" s="68"/>
      <c r="Z884" s="148">
        <f>ROUND(IF(X884&gt;I884,X884,I884),4)</f>
        <v>0</v>
      </c>
    </row>
    <row r="885" spans="1:26" x14ac:dyDescent="0.2">
      <c r="A885" s="66"/>
      <c r="B885" s="66"/>
      <c r="C885" s="66"/>
      <c r="D885" s="144"/>
      <c r="E885" s="67"/>
      <c r="F885" s="67"/>
      <c r="G885" s="67"/>
      <c r="H885" s="67">
        <f>ROUND(+E885+G885,4)</f>
        <v>0</v>
      </c>
      <c r="I885" s="67"/>
      <c r="J885" s="67">
        <f>ROUND(+I885-H885,4)</f>
        <v>0</v>
      </c>
      <c r="K885" s="67">
        <f>ROUND(IF(F885="alluminio",0,I885*1.5%),4)</f>
        <v>0</v>
      </c>
      <c r="L885" s="67">
        <f>ROUND(IF(K885&lt;J885,K885,0),4)</f>
        <v>0</v>
      </c>
      <c r="M885" s="67">
        <f>ROUND(IF(J885&gt;K885,0,J885),4)</f>
        <v>0</v>
      </c>
      <c r="N885" s="67">
        <f>ROUND(+L885*D885,4)</f>
        <v>0</v>
      </c>
      <c r="O885" s="67">
        <f>ROUND(IF(F885="rame",0,+I885*3%),4)</f>
        <v>0</v>
      </c>
      <c r="P885" s="67">
        <f>ROUND(IF(O885&lt;J885,O885,0),4)</f>
        <v>0</v>
      </c>
      <c r="Q885" s="67">
        <f>ROUND(IF(J885&gt;O885,0,J885),4)</f>
        <v>0</v>
      </c>
      <c r="R885" s="67">
        <f>ROUND(+P885*D885,4)</f>
        <v>0</v>
      </c>
      <c r="S885" s="67">
        <f>ROUND(IF(K885=0,0,M885*D885),4)</f>
        <v>0</v>
      </c>
      <c r="T885" s="67">
        <f>ROUND(+IF(K885=0,Q885*D885,0),4)</f>
        <v>0</v>
      </c>
      <c r="U885" s="67">
        <f>ROUND(+N885+R885+S885+T885,4)</f>
        <v>0</v>
      </c>
      <c r="V885" s="67">
        <f>ROUND(IF(P885=0,0,I885-H885-O885)+IF(L885=0,0,I885-H885-K885),4)</f>
        <v>0</v>
      </c>
      <c r="W885" s="67">
        <f>ROUND(+(V885*60%)*D885,4)</f>
        <v>0</v>
      </c>
      <c r="X885" s="148">
        <f>ROUND(+U885+W885,4)</f>
        <v>0</v>
      </c>
      <c r="Y885" s="68"/>
      <c r="Z885" s="148">
        <f>ROUND(IF(X885&gt;I885,X885,I885),4)</f>
        <v>0</v>
      </c>
    </row>
    <row r="886" spans="1:26" x14ac:dyDescent="0.2">
      <c r="A886" s="66"/>
      <c r="B886" s="66"/>
      <c r="C886" s="66"/>
      <c r="D886" s="144"/>
      <c r="E886" s="67"/>
      <c r="F886" s="67"/>
      <c r="G886" s="67"/>
      <c r="H886" s="67">
        <f>ROUND(+E886+G886,4)</f>
        <v>0</v>
      </c>
      <c r="I886" s="67"/>
      <c r="J886" s="67">
        <f>ROUND(+I886-H886,4)</f>
        <v>0</v>
      </c>
      <c r="K886" s="67">
        <f>ROUND(IF(F886="alluminio",0,I886*1.5%),4)</f>
        <v>0</v>
      </c>
      <c r="L886" s="67">
        <f>ROUND(IF(K886&lt;J886,K886,0),4)</f>
        <v>0</v>
      </c>
      <c r="M886" s="67">
        <f>ROUND(IF(J886&gt;K886,0,J886),4)</f>
        <v>0</v>
      </c>
      <c r="N886" s="67">
        <f>ROUND(+L886*D886,4)</f>
        <v>0</v>
      </c>
      <c r="O886" s="67">
        <f>ROUND(IF(F886="rame",0,+I886*3%),4)</f>
        <v>0</v>
      </c>
      <c r="P886" s="67">
        <f>ROUND(IF(O886&lt;J886,O886,0),4)</f>
        <v>0</v>
      </c>
      <c r="Q886" s="67">
        <f>ROUND(IF(J886&gt;O886,0,J886),4)</f>
        <v>0</v>
      </c>
      <c r="R886" s="67">
        <f>ROUND(+P886*D886,4)</f>
        <v>0</v>
      </c>
      <c r="S886" s="67">
        <f>ROUND(IF(K886=0,0,M886*D886),4)</f>
        <v>0</v>
      </c>
      <c r="T886" s="67">
        <f>ROUND(+IF(K886=0,Q886*D886,0),4)</f>
        <v>0</v>
      </c>
      <c r="U886" s="67">
        <f>ROUND(+N886+R886+S886+T886,4)</f>
        <v>0</v>
      </c>
      <c r="V886" s="67">
        <f>ROUND(IF(P886=0,0,I886-H886-O886)+IF(L886=0,0,I886-H886-K886),4)</f>
        <v>0</v>
      </c>
      <c r="W886" s="67">
        <f>ROUND(+(V886*60%)*D886,4)</f>
        <v>0</v>
      </c>
      <c r="X886" s="148">
        <f>ROUND(+U886+W886,4)</f>
        <v>0</v>
      </c>
      <c r="Y886" s="68"/>
      <c r="Z886" s="148">
        <f>ROUND(IF(X886&gt;I886,X886,I886),4)</f>
        <v>0</v>
      </c>
    </row>
    <row r="887" spans="1:26" x14ac:dyDescent="0.2">
      <c r="A887" s="66"/>
      <c r="B887" s="66"/>
      <c r="C887" s="66"/>
      <c r="D887" s="144"/>
      <c r="E887" s="67"/>
      <c r="F887" s="67"/>
      <c r="G887" s="67"/>
      <c r="H887" s="67">
        <f>ROUND(+E887+G887,4)</f>
        <v>0</v>
      </c>
      <c r="I887" s="67"/>
      <c r="J887" s="67">
        <f>ROUND(+I887-H887,4)</f>
        <v>0</v>
      </c>
      <c r="K887" s="67">
        <f>ROUND(IF(F887="alluminio",0,I887*1.5%),4)</f>
        <v>0</v>
      </c>
      <c r="L887" s="67">
        <f>ROUND(IF(K887&lt;J887,K887,0),4)</f>
        <v>0</v>
      </c>
      <c r="M887" s="67">
        <f>ROUND(IF(J887&gt;K887,0,J887),4)</f>
        <v>0</v>
      </c>
      <c r="N887" s="67">
        <f>ROUND(+L887*D887,4)</f>
        <v>0</v>
      </c>
      <c r="O887" s="67">
        <f>ROUND(IF(F887="rame",0,+I887*3%),4)</f>
        <v>0</v>
      </c>
      <c r="P887" s="67">
        <f>ROUND(IF(O887&lt;J887,O887,0),4)</f>
        <v>0</v>
      </c>
      <c r="Q887" s="67">
        <f>ROUND(IF(J887&gt;O887,0,J887),4)</f>
        <v>0</v>
      </c>
      <c r="R887" s="67">
        <f>ROUND(+P887*D887,4)</f>
        <v>0</v>
      </c>
      <c r="S887" s="67">
        <f>ROUND(IF(K887=0,0,M887*D887),4)</f>
        <v>0</v>
      </c>
      <c r="T887" s="67">
        <f>ROUND(+IF(K887=0,Q887*D887,0),4)</f>
        <v>0</v>
      </c>
      <c r="U887" s="67">
        <f>ROUND(+N887+R887+S887+T887,4)</f>
        <v>0</v>
      </c>
      <c r="V887" s="67">
        <f>ROUND(IF(P887=0,0,I887-H887-O887)+IF(L887=0,0,I887-H887-K887),4)</f>
        <v>0</v>
      </c>
      <c r="W887" s="67">
        <f>ROUND(+(V887*60%)*D887,4)</f>
        <v>0</v>
      </c>
      <c r="X887" s="148">
        <f>ROUND(+U887+W887,4)</f>
        <v>0</v>
      </c>
      <c r="Y887" s="68"/>
      <c r="Z887" s="148">
        <f>ROUND(IF(X887&gt;I887,X887,I887),4)</f>
        <v>0</v>
      </c>
    </row>
    <row r="888" spans="1:26" x14ac:dyDescent="0.2">
      <c r="A888" s="66"/>
      <c r="B888" s="66"/>
      <c r="C888" s="66"/>
      <c r="D888" s="144"/>
      <c r="E888" s="67"/>
      <c r="F888" s="67"/>
      <c r="G888" s="67"/>
      <c r="H888" s="67">
        <f>ROUND(+E888+G888,4)</f>
        <v>0</v>
      </c>
      <c r="I888" s="67"/>
      <c r="J888" s="67">
        <f>ROUND(+I888-H888,4)</f>
        <v>0</v>
      </c>
      <c r="K888" s="67">
        <f>ROUND(IF(F888="alluminio",0,I888*1.5%),4)</f>
        <v>0</v>
      </c>
      <c r="L888" s="67">
        <f>ROUND(IF(K888&lt;J888,K888,0),4)</f>
        <v>0</v>
      </c>
      <c r="M888" s="67">
        <f>ROUND(IF(J888&gt;K888,0,J888),4)</f>
        <v>0</v>
      </c>
      <c r="N888" s="67">
        <f>ROUND(+L888*D888,4)</f>
        <v>0</v>
      </c>
      <c r="O888" s="67">
        <f>ROUND(IF(F888="rame",0,+I888*3%),4)</f>
        <v>0</v>
      </c>
      <c r="P888" s="67">
        <f>ROUND(IF(O888&lt;J888,O888,0),4)</f>
        <v>0</v>
      </c>
      <c r="Q888" s="67">
        <f>ROUND(IF(J888&gt;O888,0,J888),4)</f>
        <v>0</v>
      </c>
      <c r="R888" s="67">
        <f>ROUND(+P888*D888,4)</f>
        <v>0</v>
      </c>
      <c r="S888" s="67">
        <f>ROUND(IF(K888=0,0,M888*D888),4)</f>
        <v>0</v>
      </c>
      <c r="T888" s="67">
        <f>ROUND(+IF(K888=0,Q888*D888,0),4)</f>
        <v>0</v>
      </c>
      <c r="U888" s="67">
        <f>ROUND(+N888+R888+S888+T888,4)</f>
        <v>0</v>
      </c>
      <c r="V888" s="67">
        <f>ROUND(IF(P888=0,0,I888-H888-O888)+IF(L888=0,0,I888-H888-K888),4)</f>
        <v>0</v>
      </c>
      <c r="W888" s="67">
        <f>ROUND(+(V888*60%)*D888,4)</f>
        <v>0</v>
      </c>
      <c r="X888" s="148">
        <f>ROUND(+U888+W888,4)</f>
        <v>0</v>
      </c>
      <c r="Y888" s="68"/>
      <c r="Z888" s="148">
        <f>ROUND(IF(X888&gt;I888,X888,I888),4)</f>
        <v>0</v>
      </c>
    </row>
    <row r="889" spans="1:26" x14ac:dyDescent="0.2">
      <c r="A889" s="66"/>
      <c r="B889" s="66"/>
      <c r="C889" s="66"/>
      <c r="D889" s="144"/>
      <c r="E889" s="67"/>
      <c r="F889" s="67"/>
      <c r="G889" s="67"/>
      <c r="H889" s="67">
        <f>ROUND(+E889+G889,4)</f>
        <v>0</v>
      </c>
      <c r="I889" s="67"/>
      <c r="J889" s="67">
        <f>ROUND(+I889-H889,4)</f>
        <v>0</v>
      </c>
      <c r="K889" s="67">
        <f>ROUND(IF(F889="alluminio",0,I889*1.5%),4)</f>
        <v>0</v>
      </c>
      <c r="L889" s="67">
        <f>ROUND(IF(K889&lt;J889,K889,0),4)</f>
        <v>0</v>
      </c>
      <c r="M889" s="67">
        <f>ROUND(IF(J889&gt;K889,0,J889),4)</f>
        <v>0</v>
      </c>
      <c r="N889" s="67">
        <f>ROUND(+L889*D889,4)</f>
        <v>0</v>
      </c>
      <c r="O889" s="67">
        <f>ROUND(IF(F889="rame",0,+I889*3%),4)</f>
        <v>0</v>
      </c>
      <c r="P889" s="67">
        <f>ROUND(IF(O889&lt;J889,O889,0),4)</f>
        <v>0</v>
      </c>
      <c r="Q889" s="67">
        <f>ROUND(IF(J889&gt;O889,0,J889),4)</f>
        <v>0</v>
      </c>
      <c r="R889" s="67">
        <f>ROUND(+P889*D889,4)</f>
        <v>0</v>
      </c>
      <c r="S889" s="67">
        <f>ROUND(IF(K889=0,0,M889*D889),4)</f>
        <v>0</v>
      </c>
      <c r="T889" s="67">
        <f>ROUND(+IF(K889=0,Q889*D889,0),4)</f>
        <v>0</v>
      </c>
      <c r="U889" s="67">
        <f>ROUND(+N889+R889+S889+T889,4)</f>
        <v>0</v>
      </c>
      <c r="V889" s="67">
        <f>ROUND(IF(P889=0,0,I889-H889-O889)+IF(L889=0,0,I889-H889-K889),4)</f>
        <v>0</v>
      </c>
      <c r="W889" s="67">
        <f>ROUND(+(V889*60%)*D889,4)</f>
        <v>0</v>
      </c>
      <c r="X889" s="148">
        <f>ROUND(+U889+W889,4)</f>
        <v>0</v>
      </c>
      <c r="Y889" s="68"/>
      <c r="Z889" s="148">
        <f>ROUND(IF(X889&gt;I889,X889,I889),4)</f>
        <v>0</v>
      </c>
    </row>
    <row r="890" spans="1:26" x14ac:dyDescent="0.2">
      <c r="A890" s="66"/>
      <c r="B890" s="66"/>
      <c r="C890" s="66"/>
      <c r="D890" s="144"/>
      <c r="E890" s="67"/>
      <c r="F890" s="67"/>
      <c r="G890" s="67"/>
      <c r="H890" s="67">
        <f>ROUND(+E890+G890,4)</f>
        <v>0</v>
      </c>
      <c r="I890" s="67"/>
      <c r="J890" s="67">
        <f>ROUND(+I890-H890,4)</f>
        <v>0</v>
      </c>
      <c r="K890" s="67">
        <f>ROUND(IF(F890="alluminio",0,I890*1.5%),4)</f>
        <v>0</v>
      </c>
      <c r="L890" s="67">
        <f>ROUND(IF(K890&lt;J890,K890,0),4)</f>
        <v>0</v>
      </c>
      <c r="M890" s="67">
        <f>ROUND(IF(J890&gt;K890,0,J890),4)</f>
        <v>0</v>
      </c>
      <c r="N890" s="67">
        <f>ROUND(+L890*D890,4)</f>
        <v>0</v>
      </c>
      <c r="O890" s="67">
        <f>ROUND(IF(F890="rame",0,+I890*3%),4)</f>
        <v>0</v>
      </c>
      <c r="P890" s="67">
        <f>ROUND(IF(O890&lt;J890,O890,0),4)</f>
        <v>0</v>
      </c>
      <c r="Q890" s="67">
        <f>ROUND(IF(J890&gt;O890,0,J890),4)</f>
        <v>0</v>
      </c>
      <c r="R890" s="67">
        <f>ROUND(+P890*D890,4)</f>
        <v>0</v>
      </c>
      <c r="S890" s="67">
        <f>ROUND(IF(K890=0,0,M890*D890),4)</f>
        <v>0</v>
      </c>
      <c r="T890" s="67">
        <f>ROUND(+IF(K890=0,Q890*D890,0),4)</f>
        <v>0</v>
      </c>
      <c r="U890" s="67">
        <f>ROUND(+N890+R890+S890+T890,4)</f>
        <v>0</v>
      </c>
      <c r="V890" s="67">
        <f>ROUND(IF(P890=0,0,I890-H890-O890)+IF(L890=0,0,I890-H890-K890),4)</f>
        <v>0</v>
      </c>
      <c r="W890" s="67">
        <f>ROUND(+(V890*60%)*D890,4)</f>
        <v>0</v>
      </c>
      <c r="X890" s="148">
        <f>ROUND(+U890+W890,4)</f>
        <v>0</v>
      </c>
      <c r="Y890" s="68"/>
      <c r="Z890" s="148">
        <f>ROUND(IF(X890&gt;I890,X890,I890),4)</f>
        <v>0</v>
      </c>
    </row>
    <row r="891" spans="1:26" x14ac:dyDescent="0.2">
      <c r="A891" s="66"/>
      <c r="B891" s="66"/>
      <c r="C891" s="66"/>
      <c r="D891" s="144"/>
      <c r="E891" s="67"/>
      <c r="F891" s="67"/>
      <c r="G891" s="67"/>
      <c r="H891" s="67">
        <f>ROUND(+E891+G891,4)</f>
        <v>0</v>
      </c>
      <c r="I891" s="67"/>
      <c r="J891" s="67">
        <f>ROUND(+I891-H891,4)</f>
        <v>0</v>
      </c>
      <c r="K891" s="67">
        <f>ROUND(IF(F891="alluminio",0,I891*1.5%),4)</f>
        <v>0</v>
      </c>
      <c r="L891" s="67">
        <f>ROUND(IF(K891&lt;J891,K891,0),4)</f>
        <v>0</v>
      </c>
      <c r="M891" s="67">
        <f>ROUND(IF(J891&gt;K891,0,J891),4)</f>
        <v>0</v>
      </c>
      <c r="N891" s="67">
        <f>ROUND(+L891*D891,4)</f>
        <v>0</v>
      </c>
      <c r="O891" s="67">
        <f>ROUND(IF(F891="rame",0,+I891*3%),4)</f>
        <v>0</v>
      </c>
      <c r="P891" s="67">
        <f>ROUND(IF(O891&lt;J891,O891,0),4)</f>
        <v>0</v>
      </c>
      <c r="Q891" s="67">
        <f>ROUND(IF(J891&gt;O891,0,J891),4)</f>
        <v>0</v>
      </c>
      <c r="R891" s="67">
        <f>ROUND(+P891*D891,4)</f>
        <v>0</v>
      </c>
      <c r="S891" s="67">
        <f>ROUND(IF(K891=0,0,M891*D891),4)</f>
        <v>0</v>
      </c>
      <c r="T891" s="67">
        <f>ROUND(+IF(K891=0,Q891*D891,0),4)</f>
        <v>0</v>
      </c>
      <c r="U891" s="67">
        <f>ROUND(+N891+R891+S891+T891,4)</f>
        <v>0</v>
      </c>
      <c r="V891" s="67">
        <f>ROUND(IF(P891=0,0,I891-H891-O891)+IF(L891=0,0,I891-H891-K891),4)</f>
        <v>0</v>
      </c>
      <c r="W891" s="67">
        <f>ROUND(+(V891*60%)*D891,4)</f>
        <v>0</v>
      </c>
      <c r="X891" s="148">
        <f>ROUND(+U891+W891,4)</f>
        <v>0</v>
      </c>
      <c r="Y891" s="68"/>
      <c r="Z891" s="148">
        <f>ROUND(IF(X891&gt;I891,X891,I891),4)</f>
        <v>0</v>
      </c>
    </row>
    <row r="892" spans="1:26" x14ac:dyDescent="0.2">
      <c r="A892" s="66"/>
      <c r="B892" s="66"/>
      <c r="C892" s="66"/>
      <c r="D892" s="144"/>
      <c r="E892" s="67"/>
      <c r="F892" s="67"/>
      <c r="G892" s="67"/>
      <c r="H892" s="67">
        <f>ROUND(+E892+G892,4)</f>
        <v>0</v>
      </c>
      <c r="I892" s="67"/>
      <c r="J892" s="67">
        <f>ROUND(+I892-H892,4)</f>
        <v>0</v>
      </c>
      <c r="K892" s="67">
        <f>ROUND(IF(F892="alluminio",0,I892*1.5%),4)</f>
        <v>0</v>
      </c>
      <c r="L892" s="67">
        <f>ROUND(IF(K892&lt;J892,K892,0),4)</f>
        <v>0</v>
      </c>
      <c r="M892" s="67">
        <f>ROUND(IF(J892&gt;K892,0,J892),4)</f>
        <v>0</v>
      </c>
      <c r="N892" s="67">
        <f>ROUND(+L892*D892,4)</f>
        <v>0</v>
      </c>
      <c r="O892" s="67">
        <f>ROUND(IF(F892="rame",0,+I892*3%),4)</f>
        <v>0</v>
      </c>
      <c r="P892" s="67">
        <f>ROUND(IF(O892&lt;J892,O892,0),4)</f>
        <v>0</v>
      </c>
      <c r="Q892" s="67">
        <f>ROUND(IF(J892&gt;O892,0,J892),4)</f>
        <v>0</v>
      </c>
      <c r="R892" s="67">
        <f>ROUND(+P892*D892,4)</f>
        <v>0</v>
      </c>
      <c r="S892" s="67">
        <f>ROUND(IF(K892=0,0,M892*D892),4)</f>
        <v>0</v>
      </c>
      <c r="T892" s="67">
        <f>ROUND(+IF(K892=0,Q892*D892,0),4)</f>
        <v>0</v>
      </c>
      <c r="U892" s="67">
        <f>ROUND(+N892+R892+S892+T892,4)</f>
        <v>0</v>
      </c>
      <c r="V892" s="67">
        <f>ROUND(IF(P892=0,0,I892-H892-O892)+IF(L892=0,0,I892-H892-K892),4)</f>
        <v>0</v>
      </c>
      <c r="W892" s="67">
        <f>ROUND(+(V892*60%)*D892,4)</f>
        <v>0</v>
      </c>
      <c r="X892" s="148">
        <f>ROUND(+U892+W892,4)</f>
        <v>0</v>
      </c>
      <c r="Y892" s="68"/>
      <c r="Z892" s="148">
        <f>ROUND(IF(X892&gt;I892,X892,I892),4)</f>
        <v>0</v>
      </c>
    </row>
    <row r="893" spans="1:26" x14ac:dyDescent="0.2">
      <c r="A893" s="66"/>
      <c r="B893" s="66"/>
      <c r="C893" s="66"/>
      <c r="D893" s="144"/>
      <c r="E893" s="67"/>
      <c r="F893" s="67"/>
      <c r="G893" s="67"/>
      <c r="H893" s="67">
        <f>ROUND(+E893+G893,4)</f>
        <v>0</v>
      </c>
      <c r="I893" s="67"/>
      <c r="J893" s="67">
        <f>ROUND(+I893-H893,4)</f>
        <v>0</v>
      </c>
      <c r="K893" s="67">
        <f>ROUND(IF(F893="alluminio",0,I893*1.5%),4)</f>
        <v>0</v>
      </c>
      <c r="L893" s="67">
        <f>ROUND(IF(K893&lt;J893,K893,0),4)</f>
        <v>0</v>
      </c>
      <c r="M893" s="67">
        <f>ROUND(IF(J893&gt;K893,0,J893),4)</f>
        <v>0</v>
      </c>
      <c r="N893" s="67">
        <f>ROUND(+L893*D893,4)</f>
        <v>0</v>
      </c>
      <c r="O893" s="67">
        <f>ROUND(IF(F893="rame",0,+I893*3%),4)</f>
        <v>0</v>
      </c>
      <c r="P893" s="67">
        <f>ROUND(IF(O893&lt;J893,O893,0),4)</f>
        <v>0</v>
      </c>
      <c r="Q893" s="67">
        <f>ROUND(IF(J893&gt;O893,0,J893),4)</f>
        <v>0</v>
      </c>
      <c r="R893" s="67">
        <f>ROUND(+P893*D893,4)</f>
        <v>0</v>
      </c>
      <c r="S893" s="67">
        <f>ROUND(IF(K893=0,0,M893*D893),4)</f>
        <v>0</v>
      </c>
      <c r="T893" s="67">
        <f>ROUND(+IF(K893=0,Q893*D893,0),4)</f>
        <v>0</v>
      </c>
      <c r="U893" s="67">
        <f>ROUND(+N893+R893+S893+T893,4)</f>
        <v>0</v>
      </c>
      <c r="V893" s="67">
        <f>ROUND(IF(P893=0,0,I893-H893-O893)+IF(L893=0,0,I893-H893-K893),4)</f>
        <v>0</v>
      </c>
      <c r="W893" s="67">
        <f>ROUND(+(V893*60%)*D893,4)</f>
        <v>0</v>
      </c>
      <c r="X893" s="148">
        <f>ROUND(+U893+W893,4)</f>
        <v>0</v>
      </c>
      <c r="Y893" s="68"/>
      <c r="Z893" s="148">
        <f>ROUND(IF(X893&gt;I893,X893,I893),4)</f>
        <v>0</v>
      </c>
    </row>
    <row r="894" spans="1:26" x14ac:dyDescent="0.2">
      <c r="A894" s="66"/>
      <c r="B894" s="66"/>
      <c r="C894" s="66"/>
      <c r="D894" s="144"/>
      <c r="E894" s="67"/>
      <c r="F894" s="67"/>
      <c r="G894" s="67"/>
      <c r="H894" s="67">
        <f>ROUND(+E894+G894,4)</f>
        <v>0</v>
      </c>
      <c r="I894" s="67"/>
      <c r="J894" s="67">
        <f>ROUND(+I894-H894,4)</f>
        <v>0</v>
      </c>
      <c r="K894" s="67">
        <f>ROUND(IF(F894="alluminio",0,I894*1.5%),4)</f>
        <v>0</v>
      </c>
      <c r="L894" s="67">
        <f>ROUND(IF(K894&lt;J894,K894,0),4)</f>
        <v>0</v>
      </c>
      <c r="M894" s="67">
        <f>ROUND(IF(J894&gt;K894,0,J894),4)</f>
        <v>0</v>
      </c>
      <c r="N894" s="67">
        <f>ROUND(+L894*D894,4)</f>
        <v>0</v>
      </c>
      <c r="O894" s="67">
        <f>ROUND(IF(F894="rame",0,+I894*3%),4)</f>
        <v>0</v>
      </c>
      <c r="P894" s="67">
        <f>ROUND(IF(O894&lt;J894,O894,0),4)</f>
        <v>0</v>
      </c>
      <c r="Q894" s="67">
        <f>ROUND(IF(J894&gt;O894,0,J894),4)</f>
        <v>0</v>
      </c>
      <c r="R894" s="67">
        <f>ROUND(+P894*D894,4)</f>
        <v>0</v>
      </c>
      <c r="S894" s="67">
        <f>ROUND(IF(K894=0,0,M894*D894),4)</f>
        <v>0</v>
      </c>
      <c r="T894" s="67">
        <f>ROUND(+IF(K894=0,Q894*D894,0),4)</f>
        <v>0</v>
      </c>
      <c r="U894" s="67">
        <f>ROUND(+N894+R894+S894+T894,4)</f>
        <v>0</v>
      </c>
      <c r="V894" s="67">
        <f>ROUND(IF(P894=0,0,I894-H894-O894)+IF(L894=0,0,I894-H894-K894),4)</f>
        <v>0</v>
      </c>
      <c r="W894" s="67">
        <f>ROUND(+(V894*60%)*D894,4)</f>
        <v>0</v>
      </c>
      <c r="X894" s="148">
        <f>ROUND(+U894+W894,4)</f>
        <v>0</v>
      </c>
      <c r="Y894" s="68"/>
      <c r="Z894" s="148">
        <f>ROUND(IF(X894&gt;I894,X894,I894),4)</f>
        <v>0</v>
      </c>
    </row>
    <row r="895" spans="1:26" x14ac:dyDescent="0.2">
      <c r="A895" s="66"/>
      <c r="B895" s="66"/>
      <c r="C895" s="66"/>
      <c r="D895" s="144"/>
      <c r="E895" s="67"/>
      <c r="F895" s="67"/>
      <c r="G895" s="67"/>
      <c r="H895" s="67">
        <f>ROUND(+E895+G895,4)</f>
        <v>0</v>
      </c>
      <c r="I895" s="67"/>
      <c r="J895" s="67">
        <f>ROUND(+I895-H895,4)</f>
        <v>0</v>
      </c>
      <c r="K895" s="67">
        <f>ROUND(IF(F895="alluminio",0,I895*1.5%),4)</f>
        <v>0</v>
      </c>
      <c r="L895" s="67">
        <f>ROUND(IF(K895&lt;J895,K895,0),4)</f>
        <v>0</v>
      </c>
      <c r="M895" s="67">
        <f>ROUND(IF(J895&gt;K895,0,J895),4)</f>
        <v>0</v>
      </c>
      <c r="N895" s="67">
        <f>ROUND(+L895*D895,4)</f>
        <v>0</v>
      </c>
      <c r="O895" s="67">
        <f>ROUND(IF(F895="rame",0,+I895*3%),4)</f>
        <v>0</v>
      </c>
      <c r="P895" s="67">
        <f>ROUND(IF(O895&lt;J895,O895,0),4)</f>
        <v>0</v>
      </c>
      <c r="Q895" s="67">
        <f>ROUND(IF(J895&gt;O895,0,J895),4)</f>
        <v>0</v>
      </c>
      <c r="R895" s="67">
        <f>ROUND(+P895*D895,4)</f>
        <v>0</v>
      </c>
      <c r="S895" s="67">
        <f>ROUND(IF(K895=0,0,M895*D895),4)</f>
        <v>0</v>
      </c>
      <c r="T895" s="67">
        <f>ROUND(+IF(K895=0,Q895*D895,0),4)</f>
        <v>0</v>
      </c>
      <c r="U895" s="67">
        <f>ROUND(+N895+R895+S895+T895,4)</f>
        <v>0</v>
      </c>
      <c r="V895" s="67">
        <f>ROUND(IF(P895=0,0,I895-H895-O895)+IF(L895=0,0,I895-H895-K895),4)</f>
        <v>0</v>
      </c>
      <c r="W895" s="67">
        <f>ROUND(+(V895*60%)*D895,4)</f>
        <v>0</v>
      </c>
      <c r="X895" s="148">
        <f>ROUND(+U895+W895,4)</f>
        <v>0</v>
      </c>
      <c r="Y895" s="68"/>
      <c r="Z895" s="148">
        <f>ROUND(IF(X895&gt;I895,X895,I895),4)</f>
        <v>0</v>
      </c>
    </row>
    <row r="896" spans="1:26" x14ac:dyDescent="0.2">
      <c r="A896" s="66"/>
      <c r="B896" s="66"/>
      <c r="C896" s="66"/>
      <c r="D896" s="144"/>
      <c r="E896" s="67"/>
      <c r="F896" s="67"/>
      <c r="G896" s="67"/>
      <c r="H896" s="67">
        <f>ROUND(+E896+G896,4)</f>
        <v>0</v>
      </c>
      <c r="I896" s="67"/>
      <c r="J896" s="67">
        <f>ROUND(+I896-H896,4)</f>
        <v>0</v>
      </c>
      <c r="K896" s="67">
        <f>ROUND(IF(F896="alluminio",0,I896*1.5%),4)</f>
        <v>0</v>
      </c>
      <c r="L896" s="67">
        <f>ROUND(IF(K896&lt;J896,K896,0),4)</f>
        <v>0</v>
      </c>
      <c r="M896" s="67">
        <f>ROUND(IF(J896&gt;K896,0,J896),4)</f>
        <v>0</v>
      </c>
      <c r="N896" s="67">
        <f>ROUND(+L896*D896,4)</f>
        <v>0</v>
      </c>
      <c r="O896" s="67">
        <f>ROUND(IF(F896="rame",0,+I896*3%),4)</f>
        <v>0</v>
      </c>
      <c r="P896" s="67">
        <f>ROUND(IF(O896&lt;J896,O896,0),4)</f>
        <v>0</v>
      </c>
      <c r="Q896" s="67">
        <f>ROUND(IF(J896&gt;O896,0,J896),4)</f>
        <v>0</v>
      </c>
      <c r="R896" s="67">
        <f>ROUND(+P896*D896,4)</f>
        <v>0</v>
      </c>
      <c r="S896" s="67">
        <f>ROUND(IF(K896=0,0,M896*D896),4)</f>
        <v>0</v>
      </c>
      <c r="T896" s="67">
        <f>ROUND(+IF(K896=0,Q896*D896,0),4)</f>
        <v>0</v>
      </c>
      <c r="U896" s="67">
        <f>ROUND(+N896+R896+S896+T896,4)</f>
        <v>0</v>
      </c>
      <c r="V896" s="67">
        <f>ROUND(IF(P896=0,0,I896-H896-O896)+IF(L896=0,0,I896-H896-K896),4)</f>
        <v>0</v>
      </c>
      <c r="W896" s="67">
        <f>ROUND(+(V896*60%)*D896,4)</f>
        <v>0</v>
      </c>
      <c r="X896" s="148">
        <f>ROUND(+U896+W896,4)</f>
        <v>0</v>
      </c>
      <c r="Y896" s="68"/>
      <c r="Z896" s="148">
        <f>ROUND(IF(X896&gt;I896,X896,I896),4)</f>
        <v>0</v>
      </c>
    </row>
    <row r="897" spans="1:26" x14ac:dyDescent="0.2">
      <c r="A897" s="66"/>
      <c r="B897" s="66"/>
      <c r="C897" s="66"/>
      <c r="D897" s="144"/>
      <c r="E897" s="67"/>
      <c r="F897" s="67"/>
      <c r="G897" s="67"/>
      <c r="H897" s="67">
        <f>ROUND(+E897+G897,4)</f>
        <v>0</v>
      </c>
      <c r="I897" s="67"/>
      <c r="J897" s="67">
        <f>ROUND(+I897-H897,4)</f>
        <v>0</v>
      </c>
      <c r="K897" s="67">
        <f>ROUND(IF(F897="alluminio",0,I897*1.5%),4)</f>
        <v>0</v>
      </c>
      <c r="L897" s="67">
        <f>ROUND(IF(K897&lt;J897,K897,0),4)</f>
        <v>0</v>
      </c>
      <c r="M897" s="67">
        <f>ROUND(IF(J897&gt;K897,0,J897),4)</f>
        <v>0</v>
      </c>
      <c r="N897" s="67">
        <f>ROUND(+L897*D897,4)</f>
        <v>0</v>
      </c>
      <c r="O897" s="67">
        <f>ROUND(IF(F897="rame",0,+I897*3%),4)</f>
        <v>0</v>
      </c>
      <c r="P897" s="67">
        <f>ROUND(IF(O897&lt;J897,O897,0),4)</f>
        <v>0</v>
      </c>
      <c r="Q897" s="67">
        <f>ROUND(IF(J897&gt;O897,0,J897),4)</f>
        <v>0</v>
      </c>
      <c r="R897" s="67">
        <f>ROUND(+P897*D897,4)</f>
        <v>0</v>
      </c>
      <c r="S897" s="67">
        <f>ROUND(IF(K897=0,0,M897*D897),4)</f>
        <v>0</v>
      </c>
      <c r="T897" s="67">
        <f>ROUND(+IF(K897=0,Q897*D897,0),4)</f>
        <v>0</v>
      </c>
      <c r="U897" s="67">
        <f>ROUND(+N897+R897+S897+T897,4)</f>
        <v>0</v>
      </c>
      <c r="V897" s="67">
        <f>ROUND(IF(P897=0,0,I897-H897-O897)+IF(L897=0,0,I897-H897-K897),4)</f>
        <v>0</v>
      </c>
      <c r="W897" s="67">
        <f>ROUND(+(V897*60%)*D897,4)</f>
        <v>0</v>
      </c>
      <c r="X897" s="148">
        <f>ROUND(+U897+W897,4)</f>
        <v>0</v>
      </c>
      <c r="Y897" s="68"/>
      <c r="Z897" s="148">
        <f>ROUND(IF(X897&gt;I897,X897,I897),4)</f>
        <v>0</v>
      </c>
    </row>
    <row r="898" spans="1:26" x14ac:dyDescent="0.2">
      <c r="A898" s="66"/>
      <c r="B898" s="66"/>
      <c r="C898" s="66"/>
      <c r="D898" s="144"/>
      <c r="E898" s="67"/>
      <c r="F898" s="67"/>
      <c r="G898" s="67"/>
      <c r="H898" s="67">
        <f>ROUND(+E898+G898,4)</f>
        <v>0</v>
      </c>
      <c r="I898" s="67"/>
      <c r="J898" s="67">
        <f>ROUND(+I898-H898,4)</f>
        <v>0</v>
      </c>
      <c r="K898" s="67">
        <f>ROUND(IF(F898="alluminio",0,I898*1.5%),4)</f>
        <v>0</v>
      </c>
      <c r="L898" s="67">
        <f>ROUND(IF(K898&lt;J898,K898,0),4)</f>
        <v>0</v>
      </c>
      <c r="M898" s="67">
        <f>ROUND(IF(J898&gt;K898,0,J898),4)</f>
        <v>0</v>
      </c>
      <c r="N898" s="67">
        <f>ROUND(+L898*D898,4)</f>
        <v>0</v>
      </c>
      <c r="O898" s="67">
        <f>ROUND(IF(F898="rame",0,+I898*3%),4)</f>
        <v>0</v>
      </c>
      <c r="P898" s="67">
        <f>ROUND(IF(O898&lt;J898,O898,0),4)</f>
        <v>0</v>
      </c>
      <c r="Q898" s="67">
        <f>ROUND(IF(J898&gt;O898,0,J898),4)</f>
        <v>0</v>
      </c>
      <c r="R898" s="67">
        <f>ROUND(+P898*D898,4)</f>
        <v>0</v>
      </c>
      <c r="S898" s="67">
        <f>ROUND(IF(K898=0,0,M898*D898),4)</f>
        <v>0</v>
      </c>
      <c r="T898" s="67">
        <f>ROUND(+IF(K898=0,Q898*D898,0),4)</f>
        <v>0</v>
      </c>
      <c r="U898" s="67">
        <f>ROUND(+N898+R898+S898+T898,4)</f>
        <v>0</v>
      </c>
      <c r="V898" s="67">
        <f>ROUND(IF(P898=0,0,I898-H898-O898)+IF(L898=0,0,I898-H898-K898),4)</f>
        <v>0</v>
      </c>
      <c r="W898" s="67">
        <f>ROUND(+(V898*60%)*D898,4)</f>
        <v>0</v>
      </c>
      <c r="X898" s="148">
        <f>ROUND(+U898+W898,4)</f>
        <v>0</v>
      </c>
      <c r="Y898" s="68"/>
      <c r="Z898" s="148">
        <f>ROUND(IF(X898&gt;I898,X898,I898),4)</f>
        <v>0</v>
      </c>
    </row>
    <row r="899" spans="1:26" x14ac:dyDescent="0.2">
      <c r="A899" s="66"/>
      <c r="B899" s="66"/>
      <c r="C899" s="66"/>
      <c r="D899" s="144"/>
      <c r="E899" s="67"/>
      <c r="F899" s="67"/>
      <c r="G899" s="67"/>
      <c r="H899" s="67">
        <f>ROUND(+E899+G899,4)</f>
        <v>0</v>
      </c>
      <c r="I899" s="67"/>
      <c r="J899" s="67">
        <f>ROUND(+I899-H899,4)</f>
        <v>0</v>
      </c>
      <c r="K899" s="67">
        <f>ROUND(IF(F899="alluminio",0,I899*1.5%),4)</f>
        <v>0</v>
      </c>
      <c r="L899" s="67">
        <f>ROUND(IF(K899&lt;J899,K899,0),4)</f>
        <v>0</v>
      </c>
      <c r="M899" s="67">
        <f>ROUND(IF(J899&gt;K899,0,J899),4)</f>
        <v>0</v>
      </c>
      <c r="N899" s="67">
        <f>ROUND(+L899*D899,4)</f>
        <v>0</v>
      </c>
      <c r="O899" s="67">
        <f>ROUND(IF(F899="rame",0,+I899*3%),4)</f>
        <v>0</v>
      </c>
      <c r="P899" s="67">
        <f>ROUND(IF(O899&lt;J899,O899,0),4)</f>
        <v>0</v>
      </c>
      <c r="Q899" s="67">
        <f>ROUND(IF(J899&gt;O899,0,J899),4)</f>
        <v>0</v>
      </c>
      <c r="R899" s="67">
        <f>ROUND(+P899*D899,4)</f>
        <v>0</v>
      </c>
      <c r="S899" s="67">
        <f>ROUND(IF(K899=0,0,M899*D899),4)</f>
        <v>0</v>
      </c>
      <c r="T899" s="67">
        <f>ROUND(+IF(K899=0,Q899*D899,0),4)</f>
        <v>0</v>
      </c>
      <c r="U899" s="67">
        <f>ROUND(+N899+R899+S899+T899,4)</f>
        <v>0</v>
      </c>
      <c r="V899" s="67">
        <f>ROUND(IF(P899=0,0,I899-H899-O899)+IF(L899=0,0,I899-H899-K899),4)</f>
        <v>0</v>
      </c>
      <c r="W899" s="67">
        <f>ROUND(+(V899*60%)*D899,4)</f>
        <v>0</v>
      </c>
      <c r="X899" s="148">
        <f>ROUND(+U899+W899,4)</f>
        <v>0</v>
      </c>
      <c r="Y899" s="68"/>
      <c r="Z899" s="148">
        <f>ROUND(IF(X899&gt;I899,X899,I899),4)</f>
        <v>0</v>
      </c>
    </row>
    <row r="900" spans="1:26" x14ac:dyDescent="0.2">
      <c r="A900" s="66"/>
      <c r="B900" s="66"/>
      <c r="C900" s="66"/>
      <c r="D900" s="144"/>
      <c r="E900" s="67"/>
      <c r="F900" s="67"/>
      <c r="G900" s="67"/>
      <c r="H900" s="67">
        <f>ROUND(+E900+G900,4)</f>
        <v>0</v>
      </c>
      <c r="I900" s="67"/>
      <c r="J900" s="67">
        <f>ROUND(+I900-H900,4)</f>
        <v>0</v>
      </c>
      <c r="K900" s="67">
        <f>ROUND(IF(F900="alluminio",0,I900*1.5%),4)</f>
        <v>0</v>
      </c>
      <c r="L900" s="67">
        <f>ROUND(IF(K900&lt;J900,K900,0),4)</f>
        <v>0</v>
      </c>
      <c r="M900" s="67">
        <f>ROUND(IF(J900&gt;K900,0,J900),4)</f>
        <v>0</v>
      </c>
      <c r="N900" s="67">
        <f>ROUND(+L900*D900,4)</f>
        <v>0</v>
      </c>
      <c r="O900" s="67">
        <f>ROUND(IF(F900="rame",0,+I900*3%),4)</f>
        <v>0</v>
      </c>
      <c r="P900" s="67">
        <f>ROUND(IF(O900&lt;J900,O900,0),4)</f>
        <v>0</v>
      </c>
      <c r="Q900" s="67">
        <f>ROUND(IF(J900&gt;O900,0,J900),4)</f>
        <v>0</v>
      </c>
      <c r="R900" s="67">
        <f>ROUND(+P900*D900,4)</f>
        <v>0</v>
      </c>
      <c r="S900" s="67">
        <f>ROUND(IF(K900=0,0,M900*D900),4)</f>
        <v>0</v>
      </c>
      <c r="T900" s="67">
        <f>ROUND(+IF(K900=0,Q900*D900,0),4)</f>
        <v>0</v>
      </c>
      <c r="U900" s="67">
        <f>ROUND(+N900+R900+S900+T900,4)</f>
        <v>0</v>
      </c>
      <c r="V900" s="67">
        <f>ROUND(IF(P900=0,0,I900-H900-O900)+IF(L900=0,0,I900-H900-K900),4)</f>
        <v>0</v>
      </c>
      <c r="W900" s="67">
        <f>ROUND(+(V900*60%)*D900,4)</f>
        <v>0</v>
      </c>
      <c r="X900" s="148">
        <f>ROUND(+U900+W900,4)</f>
        <v>0</v>
      </c>
      <c r="Y900" s="68"/>
      <c r="Z900" s="148">
        <f>ROUND(IF(X900&gt;I900,X900,I900),4)</f>
        <v>0</v>
      </c>
    </row>
    <row r="901" spans="1:26" x14ac:dyDescent="0.2">
      <c r="A901" s="66"/>
      <c r="B901" s="66"/>
      <c r="C901" s="66"/>
      <c r="D901" s="144"/>
      <c r="E901" s="67"/>
      <c r="F901" s="67"/>
      <c r="G901" s="67"/>
      <c r="H901" s="67">
        <f>ROUND(+E901+G901,4)</f>
        <v>0</v>
      </c>
      <c r="I901" s="67"/>
      <c r="J901" s="67">
        <f>ROUND(+I901-H901,4)</f>
        <v>0</v>
      </c>
      <c r="K901" s="67">
        <f>ROUND(IF(F901="alluminio",0,I901*1.5%),4)</f>
        <v>0</v>
      </c>
      <c r="L901" s="67">
        <f>ROUND(IF(K901&lt;J901,K901,0),4)</f>
        <v>0</v>
      </c>
      <c r="M901" s="67">
        <f>ROUND(IF(J901&gt;K901,0,J901),4)</f>
        <v>0</v>
      </c>
      <c r="N901" s="67">
        <f>ROUND(+L901*D901,4)</f>
        <v>0</v>
      </c>
      <c r="O901" s="67">
        <f>ROUND(IF(F901="rame",0,+I901*3%),4)</f>
        <v>0</v>
      </c>
      <c r="P901" s="67">
        <f>ROUND(IF(O901&lt;J901,O901,0),4)</f>
        <v>0</v>
      </c>
      <c r="Q901" s="67">
        <f>ROUND(IF(J901&gt;O901,0,J901),4)</f>
        <v>0</v>
      </c>
      <c r="R901" s="67">
        <f>ROUND(+P901*D901,4)</f>
        <v>0</v>
      </c>
      <c r="S901" s="67">
        <f>ROUND(IF(K901=0,0,M901*D901),4)</f>
        <v>0</v>
      </c>
      <c r="T901" s="67">
        <f>ROUND(+IF(K901=0,Q901*D901,0),4)</f>
        <v>0</v>
      </c>
      <c r="U901" s="67">
        <f>ROUND(+N901+R901+S901+T901,4)</f>
        <v>0</v>
      </c>
      <c r="V901" s="67">
        <f>ROUND(IF(P901=0,0,I901-H901-O901)+IF(L901=0,0,I901-H901-K901),4)</f>
        <v>0</v>
      </c>
      <c r="W901" s="67">
        <f>ROUND(+(V901*60%)*D901,4)</f>
        <v>0</v>
      </c>
      <c r="X901" s="148">
        <f>ROUND(+U901+W901,4)</f>
        <v>0</v>
      </c>
      <c r="Y901" s="68"/>
      <c r="Z901" s="148">
        <f>ROUND(IF(X901&gt;I901,X901,I901),4)</f>
        <v>0</v>
      </c>
    </row>
    <row r="902" spans="1:26" x14ac:dyDescent="0.2">
      <c r="A902" s="66"/>
      <c r="B902" s="66"/>
      <c r="C902" s="66"/>
      <c r="D902" s="144"/>
      <c r="E902" s="67"/>
      <c r="F902" s="67"/>
      <c r="G902" s="67"/>
      <c r="H902" s="67">
        <f>ROUND(+E902+G902,4)</f>
        <v>0</v>
      </c>
      <c r="I902" s="67"/>
      <c r="J902" s="67">
        <f>ROUND(+I902-H902,4)</f>
        <v>0</v>
      </c>
      <c r="K902" s="67">
        <f>ROUND(IF(F902="alluminio",0,I902*1.5%),4)</f>
        <v>0</v>
      </c>
      <c r="L902" s="67">
        <f>ROUND(IF(K902&lt;J902,K902,0),4)</f>
        <v>0</v>
      </c>
      <c r="M902" s="67">
        <f>ROUND(IF(J902&gt;K902,0,J902),4)</f>
        <v>0</v>
      </c>
      <c r="N902" s="67">
        <f>ROUND(+L902*D902,4)</f>
        <v>0</v>
      </c>
      <c r="O902" s="67">
        <f>ROUND(IF(F902="rame",0,+I902*3%),4)</f>
        <v>0</v>
      </c>
      <c r="P902" s="67">
        <f>ROUND(IF(O902&lt;J902,O902,0),4)</f>
        <v>0</v>
      </c>
      <c r="Q902" s="67">
        <f>ROUND(IF(J902&gt;O902,0,J902),4)</f>
        <v>0</v>
      </c>
      <c r="R902" s="67">
        <f>ROUND(+P902*D902,4)</f>
        <v>0</v>
      </c>
      <c r="S902" s="67">
        <f>ROUND(IF(K902=0,0,M902*D902),4)</f>
        <v>0</v>
      </c>
      <c r="T902" s="67">
        <f>ROUND(+IF(K902=0,Q902*D902,0),4)</f>
        <v>0</v>
      </c>
      <c r="U902" s="67">
        <f>ROUND(+N902+R902+S902+T902,4)</f>
        <v>0</v>
      </c>
      <c r="V902" s="67">
        <f>ROUND(IF(P902=0,0,I902-H902-O902)+IF(L902=0,0,I902-H902-K902),4)</f>
        <v>0</v>
      </c>
      <c r="W902" s="67">
        <f>ROUND(+(V902*60%)*D902,4)</f>
        <v>0</v>
      </c>
      <c r="X902" s="148">
        <f>ROUND(+U902+W902,4)</f>
        <v>0</v>
      </c>
      <c r="Y902" s="68"/>
      <c r="Z902" s="148">
        <f>ROUND(IF(X902&gt;I902,X902,I902),4)</f>
        <v>0</v>
      </c>
    </row>
    <row r="903" spans="1:26" x14ac:dyDescent="0.2">
      <c r="A903" s="66"/>
      <c r="B903" s="66"/>
      <c r="C903" s="66"/>
      <c r="D903" s="144"/>
      <c r="E903" s="67"/>
      <c r="F903" s="67"/>
      <c r="G903" s="67"/>
      <c r="H903" s="67">
        <f>ROUND(+E903+G903,4)</f>
        <v>0</v>
      </c>
      <c r="I903" s="67"/>
      <c r="J903" s="67">
        <f>ROUND(+I903-H903,4)</f>
        <v>0</v>
      </c>
      <c r="K903" s="67">
        <f>ROUND(IF(F903="alluminio",0,I903*1.5%),4)</f>
        <v>0</v>
      </c>
      <c r="L903" s="67">
        <f>ROUND(IF(K903&lt;J903,K903,0),4)</f>
        <v>0</v>
      </c>
      <c r="M903" s="67">
        <f>ROUND(IF(J903&gt;K903,0,J903),4)</f>
        <v>0</v>
      </c>
      <c r="N903" s="67">
        <f>ROUND(+L903*D903,4)</f>
        <v>0</v>
      </c>
      <c r="O903" s="67">
        <f>ROUND(IF(F903="rame",0,+I903*3%),4)</f>
        <v>0</v>
      </c>
      <c r="P903" s="67">
        <f>ROUND(IF(O903&lt;J903,O903,0),4)</f>
        <v>0</v>
      </c>
      <c r="Q903" s="67">
        <f>ROUND(IF(J903&gt;O903,0,J903),4)</f>
        <v>0</v>
      </c>
      <c r="R903" s="67">
        <f>ROUND(+P903*D903,4)</f>
        <v>0</v>
      </c>
      <c r="S903" s="67">
        <f>ROUND(IF(K903=0,0,M903*D903),4)</f>
        <v>0</v>
      </c>
      <c r="T903" s="67">
        <f>ROUND(+IF(K903=0,Q903*D903,0),4)</f>
        <v>0</v>
      </c>
      <c r="U903" s="67">
        <f>ROUND(+N903+R903+S903+T903,4)</f>
        <v>0</v>
      </c>
      <c r="V903" s="67">
        <f>ROUND(IF(P903=0,0,I903-H903-O903)+IF(L903=0,0,I903-H903-K903),4)</f>
        <v>0</v>
      </c>
      <c r="W903" s="67">
        <f>ROUND(+(V903*60%)*D903,4)</f>
        <v>0</v>
      </c>
      <c r="X903" s="148">
        <f>ROUND(+U903+W903,4)</f>
        <v>0</v>
      </c>
      <c r="Y903" s="68"/>
      <c r="Z903" s="148">
        <f>ROUND(IF(X903&gt;I903,X903,I903),4)</f>
        <v>0</v>
      </c>
    </row>
    <row r="904" spans="1:26" x14ac:dyDescent="0.2">
      <c r="A904" s="66"/>
      <c r="B904" s="66"/>
      <c r="C904" s="66"/>
      <c r="D904" s="144"/>
      <c r="E904" s="67"/>
      <c r="F904" s="67"/>
      <c r="G904" s="67"/>
      <c r="H904" s="67">
        <f>ROUND(+E904+G904,4)</f>
        <v>0</v>
      </c>
      <c r="I904" s="67"/>
      <c r="J904" s="67">
        <f>ROUND(+I904-H904,4)</f>
        <v>0</v>
      </c>
      <c r="K904" s="67">
        <f>ROUND(IF(F904="alluminio",0,I904*1.5%),4)</f>
        <v>0</v>
      </c>
      <c r="L904" s="67">
        <f>ROUND(IF(K904&lt;J904,K904,0),4)</f>
        <v>0</v>
      </c>
      <c r="M904" s="67">
        <f>ROUND(IF(J904&gt;K904,0,J904),4)</f>
        <v>0</v>
      </c>
      <c r="N904" s="67">
        <f>ROUND(+L904*D904,4)</f>
        <v>0</v>
      </c>
      <c r="O904" s="67">
        <f>ROUND(IF(F904="rame",0,+I904*3%),4)</f>
        <v>0</v>
      </c>
      <c r="P904" s="67">
        <f>ROUND(IF(O904&lt;J904,O904,0),4)</f>
        <v>0</v>
      </c>
      <c r="Q904" s="67">
        <f>ROUND(IF(J904&gt;O904,0,J904),4)</f>
        <v>0</v>
      </c>
      <c r="R904" s="67">
        <f>ROUND(+P904*D904,4)</f>
        <v>0</v>
      </c>
      <c r="S904" s="67">
        <f>ROUND(IF(K904=0,0,M904*D904),4)</f>
        <v>0</v>
      </c>
      <c r="T904" s="67">
        <f>ROUND(+IF(K904=0,Q904*D904,0),4)</f>
        <v>0</v>
      </c>
      <c r="U904" s="67">
        <f>ROUND(+N904+R904+S904+T904,4)</f>
        <v>0</v>
      </c>
      <c r="V904" s="67">
        <f>ROUND(IF(P904=0,0,I904-H904-O904)+IF(L904=0,0,I904-H904-K904),4)</f>
        <v>0</v>
      </c>
      <c r="W904" s="67">
        <f>ROUND(+(V904*60%)*D904,4)</f>
        <v>0</v>
      </c>
      <c r="X904" s="148">
        <f>ROUND(+U904+W904,4)</f>
        <v>0</v>
      </c>
      <c r="Y904" s="68"/>
      <c r="Z904" s="148">
        <f>ROUND(IF(X904&gt;I904,X904,I904),4)</f>
        <v>0</v>
      </c>
    </row>
    <row r="905" spans="1:26" x14ac:dyDescent="0.2">
      <c r="A905" s="66"/>
      <c r="B905" s="66"/>
      <c r="C905" s="66"/>
      <c r="D905" s="144"/>
      <c r="E905" s="67"/>
      <c r="F905" s="67"/>
      <c r="G905" s="67"/>
      <c r="H905" s="67">
        <f>ROUND(+E905+G905,4)</f>
        <v>0</v>
      </c>
      <c r="I905" s="67"/>
      <c r="J905" s="67">
        <f>ROUND(+I905-H905,4)</f>
        <v>0</v>
      </c>
      <c r="K905" s="67">
        <f>ROUND(IF(F905="alluminio",0,I905*1.5%),4)</f>
        <v>0</v>
      </c>
      <c r="L905" s="67">
        <f>ROUND(IF(K905&lt;J905,K905,0),4)</f>
        <v>0</v>
      </c>
      <c r="M905" s="67">
        <f>ROUND(IF(J905&gt;K905,0,J905),4)</f>
        <v>0</v>
      </c>
      <c r="N905" s="67">
        <f>ROUND(+L905*D905,4)</f>
        <v>0</v>
      </c>
      <c r="O905" s="67">
        <f>ROUND(IF(F905="rame",0,+I905*3%),4)</f>
        <v>0</v>
      </c>
      <c r="P905" s="67">
        <f>ROUND(IF(O905&lt;J905,O905,0),4)</f>
        <v>0</v>
      </c>
      <c r="Q905" s="67">
        <f>ROUND(IF(J905&gt;O905,0,J905),4)</f>
        <v>0</v>
      </c>
      <c r="R905" s="67">
        <f>ROUND(+P905*D905,4)</f>
        <v>0</v>
      </c>
      <c r="S905" s="67">
        <f>ROUND(IF(K905=0,0,M905*D905),4)</f>
        <v>0</v>
      </c>
      <c r="T905" s="67">
        <f>ROUND(+IF(K905=0,Q905*D905,0),4)</f>
        <v>0</v>
      </c>
      <c r="U905" s="67">
        <f>ROUND(+N905+R905+S905+T905,4)</f>
        <v>0</v>
      </c>
      <c r="V905" s="67">
        <f>ROUND(IF(P905=0,0,I905-H905-O905)+IF(L905=0,0,I905-H905-K905),4)</f>
        <v>0</v>
      </c>
      <c r="W905" s="67">
        <f>ROUND(+(V905*60%)*D905,4)</f>
        <v>0</v>
      </c>
      <c r="X905" s="148">
        <f>ROUND(+U905+W905,4)</f>
        <v>0</v>
      </c>
      <c r="Y905" s="68"/>
      <c r="Z905" s="148">
        <f>ROUND(IF(X905&gt;I905,X905,I905),4)</f>
        <v>0</v>
      </c>
    </row>
    <row r="906" spans="1:26" x14ac:dyDescent="0.2">
      <c r="A906" s="66"/>
      <c r="B906" s="66"/>
      <c r="C906" s="66"/>
      <c r="D906" s="144"/>
      <c r="E906" s="67"/>
      <c r="F906" s="67"/>
      <c r="G906" s="67"/>
      <c r="H906" s="67">
        <f>ROUND(+E906+G906,4)</f>
        <v>0</v>
      </c>
      <c r="I906" s="67"/>
      <c r="J906" s="67">
        <f>ROUND(+I906-H906,4)</f>
        <v>0</v>
      </c>
      <c r="K906" s="67">
        <f>ROUND(IF(F906="alluminio",0,I906*1.5%),4)</f>
        <v>0</v>
      </c>
      <c r="L906" s="67">
        <f>ROUND(IF(K906&lt;J906,K906,0),4)</f>
        <v>0</v>
      </c>
      <c r="M906" s="67">
        <f>ROUND(IF(J906&gt;K906,0,J906),4)</f>
        <v>0</v>
      </c>
      <c r="N906" s="67">
        <f>ROUND(+L906*D906,4)</f>
        <v>0</v>
      </c>
      <c r="O906" s="67">
        <f>ROUND(IF(F906="rame",0,+I906*3%),4)</f>
        <v>0</v>
      </c>
      <c r="P906" s="67">
        <f>ROUND(IF(O906&lt;J906,O906,0),4)</f>
        <v>0</v>
      </c>
      <c r="Q906" s="67">
        <f>ROUND(IF(J906&gt;O906,0,J906),4)</f>
        <v>0</v>
      </c>
      <c r="R906" s="67">
        <f>ROUND(+P906*D906,4)</f>
        <v>0</v>
      </c>
      <c r="S906" s="67">
        <f>ROUND(IF(K906=0,0,M906*D906),4)</f>
        <v>0</v>
      </c>
      <c r="T906" s="67">
        <f>ROUND(+IF(K906=0,Q906*D906,0),4)</f>
        <v>0</v>
      </c>
      <c r="U906" s="67">
        <f>ROUND(+N906+R906+S906+T906,4)</f>
        <v>0</v>
      </c>
      <c r="V906" s="67">
        <f>ROUND(IF(P906=0,0,I906-H906-O906)+IF(L906=0,0,I906-H906-K906),4)</f>
        <v>0</v>
      </c>
      <c r="W906" s="67">
        <f>ROUND(+(V906*60%)*D906,4)</f>
        <v>0</v>
      </c>
      <c r="X906" s="148">
        <f>ROUND(+U906+W906,4)</f>
        <v>0</v>
      </c>
      <c r="Y906" s="68"/>
      <c r="Z906" s="148">
        <f>ROUND(IF(X906&gt;I906,X906,I906),4)</f>
        <v>0</v>
      </c>
    </row>
    <row r="907" spans="1:26" x14ac:dyDescent="0.2">
      <c r="A907" s="66"/>
      <c r="B907" s="66"/>
      <c r="C907" s="66"/>
      <c r="D907" s="144"/>
      <c r="E907" s="67"/>
      <c r="F907" s="67"/>
      <c r="G907" s="67"/>
      <c r="H907" s="67">
        <f>ROUND(+E907+G907,4)</f>
        <v>0</v>
      </c>
      <c r="I907" s="67"/>
      <c r="J907" s="67">
        <f>ROUND(+I907-H907,4)</f>
        <v>0</v>
      </c>
      <c r="K907" s="67">
        <f>ROUND(IF(F907="alluminio",0,I907*1.5%),4)</f>
        <v>0</v>
      </c>
      <c r="L907" s="67">
        <f>ROUND(IF(K907&lt;J907,K907,0),4)</f>
        <v>0</v>
      </c>
      <c r="M907" s="67">
        <f>ROUND(IF(J907&gt;K907,0,J907),4)</f>
        <v>0</v>
      </c>
      <c r="N907" s="67">
        <f>ROUND(+L907*D907,4)</f>
        <v>0</v>
      </c>
      <c r="O907" s="67">
        <f>ROUND(IF(F907="rame",0,+I907*3%),4)</f>
        <v>0</v>
      </c>
      <c r="P907" s="67">
        <f>ROUND(IF(O907&lt;J907,O907,0),4)</f>
        <v>0</v>
      </c>
      <c r="Q907" s="67">
        <f>ROUND(IF(J907&gt;O907,0,J907),4)</f>
        <v>0</v>
      </c>
      <c r="R907" s="67">
        <f>ROUND(+P907*D907,4)</f>
        <v>0</v>
      </c>
      <c r="S907" s="67">
        <f>ROUND(IF(K907=0,0,M907*D907),4)</f>
        <v>0</v>
      </c>
      <c r="T907" s="67">
        <f>ROUND(+IF(K907=0,Q907*D907,0),4)</f>
        <v>0</v>
      </c>
      <c r="U907" s="67">
        <f>ROUND(+N907+R907+S907+T907,4)</f>
        <v>0</v>
      </c>
      <c r="V907" s="67">
        <f>ROUND(IF(P907=0,0,I907-H907-O907)+IF(L907=0,0,I907-H907-K907),4)</f>
        <v>0</v>
      </c>
      <c r="W907" s="67">
        <f>ROUND(+(V907*60%)*D907,4)</f>
        <v>0</v>
      </c>
      <c r="X907" s="148">
        <f>ROUND(+U907+W907,4)</f>
        <v>0</v>
      </c>
      <c r="Y907" s="68"/>
      <c r="Z907" s="148">
        <f>ROUND(IF(X907&gt;I907,X907,I907),4)</f>
        <v>0</v>
      </c>
    </row>
    <row r="908" spans="1:26" x14ac:dyDescent="0.2">
      <c r="A908" s="66"/>
      <c r="B908" s="66"/>
      <c r="C908" s="66"/>
      <c r="D908" s="144"/>
      <c r="E908" s="67"/>
      <c r="F908" s="67"/>
      <c r="G908" s="67"/>
      <c r="H908" s="67">
        <f>ROUND(+E908+G908,4)</f>
        <v>0</v>
      </c>
      <c r="I908" s="67"/>
      <c r="J908" s="67">
        <f>ROUND(+I908-H908,4)</f>
        <v>0</v>
      </c>
      <c r="K908" s="67">
        <f>ROUND(IF(F908="alluminio",0,I908*1.5%),4)</f>
        <v>0</v>
      </c>
      <c r="L908" s="67">
        <f>ROUND(IF(K908&lt;J908,K908,0),4)</f>
        <v>0</v>
      </c>
      <c r="M908" s="67">
        <f>ROUND(IF(J908&gt;K908,0,J908),4)</f>
        <v>0</v>
      </c>
      <c r="N908" s="67">
        <f>ROUND(+L908*D908,4)</f>
        <v>0</v>
      </c>
      <c r="O908" s="67">
        <f>ROUND(IF(F908="rame",0,+I908*3%),4)</f>
        <v>0</v>
      </c>
      <c r="P908" s="67">
        <f>ROUND(IF(O908&lt;J908,O908,0),4)</f>
        <v>0</v>
      </c>
      <c r="Q908" s="67">
        <f>ROUND(IF(J908&gt;O908,0,J908),4)</f>
        <v>0</v>
      </c>
      <c r="R908" s="67">
        <f>ROUND(+P908*D908,4)</f>
        <v>0</v>
      </c>
      <c r="S908" s="67">
        <f>ROUND(IF(K908=0,0,M908*D908),4)</f>
        <v>0</v>
      </c>
      <c r="T908" s="67">
        <f>ROUND(+IF(K908=0,Q908*D908,0),4)</f>
        <v>0</v>
      </c>
      <c r="U908" s="67">
        <f>ROUND(+N908+R908+S908+T908,4)</f>
        <v>0</v>
      </c>
      <c r="V908" s="67">
        <f>ROUND(IF(P908=0,0,I908-H908-O908)+IF(L908=0,0,I908-H908-K908),4)</f>
        <v>0</v>
      </c>
      <c r="W908" s="67">
        <f>ROUND(+(V908*60%)*D908,4)</f>
        <v>0</v>
      </c>
      <c r="X908" s="148">
        <f>ROUND(+U908+W908,4)</f>
        <v>0</v>
      </c>
      <c r="Y908" s="68"/>
      <c r="Z908" s="148">
        <f>ROUND(IF(X908&gt;I908,X908,I908),4)</f>
        <v>0</v>
      </c>
    </row>
    <row r="909" spans="1:26" x14ac:dyDescent="0.2">
      <c r="A909" s="66"/>
      <c r="B909" s="66"/>
      <c r="C909" s="66"/>
      <c r="D909" s="144"/>
      <c r="E909" s="67"/>
      <c r="F909" s="67"/>
      <c r="G909" s="67"/>
      <c r="H909" s="67">
        <f>ROUND(+E909+G909,4)</f>
        <v>0</v>
      </c>
      <c r="I909" s="67"/>
      <c r="J909" s="67">
        <f>ROUND(+I909-H909,4)</f>
        <v>0</v>
      </c>
      <c r="K909" s="67">
        <f>ROUND(IF(F909="alluminio",0,I909*1.5%),4)</f>
        <v>0</v>
      </c>
      <c r="L909" s="67">
        <f>ROUND(IF(K909&lt;J909,K909,0),4)</f>
        <v>0</v>
      </c>
      <c r="M909" s="67">
        <f>ROUND(IF(J909&gt;K909,0,J909),4)</f>
        <v>0</v>
      </c>
      <c r="N909" s="67">
        <f>ROUND(+L909*D909,4)</f>
        <v>0</v>
      </c>
      <c r="O909" s="67">
        <f>ROUND(IF(F909="rame",0,+I909*3%),4)</f>
        <v>0</v>
      </c>
      <c r="P909" s="67">
        <f>ROUND(IF(O909&lt;J909,O909,0),4)</f>
        <v>0</v>
      </c>
      <c r="Q909" s="67">
        <f>ROUND(IF(J909&gt;O909,0,J909),4)</f>
        <v>0</v>
      </c>
      <c r="R909" s="67">
        <f>ROUND(+P909*D909,4)</f>
        <v>0</v>
      </c>
      <c r="S909" s="67">
        <f>ROUND(IF(K909=0,0,M909*D909),4)</f>
        <v>0</v>
      </c>
      <c r="T909" s="67">
        <f>ROUND(+IF(K909=0,Q909*D909,0),4)</f>
        <v>0</v>
      </c>
      <c r="U909" s="67">
        <f>ROUND(+N909+R909+S909+T909,4)</f>
        <v>0</v>
      </c>
      <c r="V909" s="67">
        <f>ROUND(IF(P909=0,0,I909-H909-O909)+IF(L909=0,0,I909-H909-K909),4)</f>
        <v>0</v>
      </c>
      <c r="W909" s="67">
        <f>ROUND(+(V909*60%)*D909,4)</f>
        <v>0</v>
      </c>
      <c r="X909" s="148">
        <f>ROUND(+U909+W909,4)</f>
        <v>0</v>
      </c>
      <c r="Y909" s="68"/>
      <c r="Z909" s="148">
        <f>ROUND(IF(X909&gt;I909,X909,I909),4)</f>
        <v>0</v>
      </c>
    </row>
    <row r="910" spans="1:26" x14ac:dyDescent="0.2">
      <c r="A910" s="66"/>
      <c r="B910" s="66"/>
      <c r="C910" s="66"/>
      <c r="D910" s="144"/>
      <c r="E910" s="67"/>
      <c r="F910" s="67"/>
      <c r="G910" s="67"/>
      <c r="H910" s="67">
        <f>ROUND(+E910+G910,4)</f>
        <v>0</v>
      </c>
      <c r="I910" s="67"/>
      <c r="J910" s="67">
        <f>ROUND(+I910-H910,4)</f>
        <v>0</v>
      </c>
      <c r="K910" s="67">
        <f>ROUND(IF(F910="alluminio",0,I910*1.5%),4)</f>
        <v>0</v>
      </c>
      <c r="L910" s="67">
        <f>ROUND(IF(K910&lt;J910,K910,0),4)</f>
        <v>0</v>
      </c>
      <c r="M910" s="67">
        <f>ROUND(IF(J910&gt;K910,0,J910),4)</f>
        <v>0</v>
      </c>
      <c r="N910" s="67">
        <f>ROUND(+L910*D910,4)</f>
        <v>0</v>
      </c>
      <c r="O910" s="67">
        <f>ROUND(IF(F910="rame",0,+I910*3%),4)</f>
        <v>0</v>
      </c>
      <c r="P910" s="67">
        <f>ROUND(IF(O910&lt;J910,O910,0),4)</f>
        <v>0</v>
      </c>
      <c r="Q910" s="67">
        <f>ROUND(IF(J910&gt;O910,0,J910),4)</f>
        <v>0</v>
      </c>
      <c r="R910" s="67">
        <f>ROUND(+P910*D910,4)</f>
        <v>0</v>
      </c>
      <c r="S910" s="67">
        <f>ROUND(IF(K910=0,0,M910*D910),4)</f>
        <v>0</v>
      </c>
      <c r="T910" s="67">
        <f>ROUND(+IF(K910=0,Q910*D910,0),4)</f>
        <v>0</v>
      </c>
      <c r="U910" s="67">
        <f>ROUND(+N910+R910+S910+T910,4)</f>
        <v>0</v>
      </c>
      <c r="V910" s="67">
        <f>ROUND(IF(P910=0,0,I910-H910-O910)+IF(L910=0,0,I910-H910-K910),4)</f>
        <v>0</v>
      </c>
      <c r="W910" s="67">
        <f>ROUND(+(V910*60%)*D910,4)</f>
        <v>0</v>
      </c>
      <c r="X910" s="148">
        <f>ROUND(+U910+W910,4)</f>
        <v>0</v>
      </c>
      <c r="Y910" s="68"/>
      <c r="Z910" s="148">
        <f>ROUND(IF(X910&gt;I910,X910,I910),4)</f>
        <v>0</v>
      </c>
    </row>
    <row r="911" spans="1:26" x14ac:dyDescent="0.2">
      <c r="A911" s="66"/>
      <c r="B911" s="66"/>
      <c r="C911" s="66"/>
      <c r="D911" s="144"/>
      <c r="E911" s="67"/>
      <c r="F911" s="67"/>
      <c r="G911" s="67"/>
      <c r="H911" s="67">
        <f>ROUND(+E911+G911,4)</f>
        <v>0</v>
      </c>
      <c r="I911" s="67"/>
      <c r="J911" s="67">
        <f>ROUND(+I911-H911,4)</f>
        <v>0</v>
      </c>
      <c r="K911" s="67">
        <f>ROUND(IF(F911="alluminio",0,I911*1.5%),4)</f>
        <v>0</v>
      </c>
      <c r="L911" s="67">
        <f>ROUND(IF(K911&lt;J911,K911,0),4)</f>
        <v>0</v>
      </c>
      <c r="M911" s="67">
        <f>ROUND(IF(J911&gt;K911,0,J911),4)</f>
        <v>0</v>
      </c>
      <c r="N911" s="67">
        <f>ROUND(+L911*D911,4)</f>
        <v>0</v>
      </c>
      <c r="O911" s="67">
        <f>ROUND(IF(F911="rame",0,+I911*3%),4)</f>
        <v>0</v>
      </c>
      <c r="P911" s="67">
        <f>ROUND(IF(O911&lt;J911,O911,0),4)</f>
        <v>0</v>
      </c>
      <c r="Q911" s="67">
        <f>ROUND(IF(J911&gt;O911,0,J911),4)</f>
        <v>0</v>
      </c>
      <c r="R911" s="67">
        <f>ROUND(+P911*D911,4)</f>
        <v>0</v>
      </c>
      <c r="S911" s="67">
        <f>ROUND(IF(K911=0,0,M911*D911),4)</f>
        <v>0</v>
      </c>
      <c r="T911" s="67">
        <f>ROUND(+IF(K911=0,Q911*D911,0),4)</f>
        <v>0</v>
      </c>
      <c r="U911" s="67">
        <f>ROUND(+N911+R911+S911+T911,4)</f>
        <v>0</v>
      </c>
      <c r="V911" s="67">
        <f>ROUND(IF(P911=0,0,I911-H911-O911)+IF(L911=0,0,I911-H911-K911),4)</f>
        <v>0</v>
      </c>
      <c r="W911" s="67">
        <f>ROUND(+(V911*60%)*D911,4)</f>
        <v>0</v>
      </c>
      <c r="X911" s="148">
        <f>ROUND(+U911+W911,4)</f>
        <v>0</v>
      </c>
      <c r="Y911" s="68"/>
      <c r="Z911" s="148">
        <f>ROUND(IF(X911&gt;I911,X911,I911),4)</f>
        <v>0</v>
      </c>
    </row>
    <row r="912" spans="1:26" x14ac:dyDescent="0.2">
      <c r="A912" s="66"/>
      <c r="B912" s="66"/>
      <c r="C912" s="66"/>
      <c r="D912" s="144"/>
      <c r="E912" s="67"/>
      <c r="F912" s="67"/>
      <c r="G912" s="67"/>
      <c r="H912" s="67">
        <f>ROUND(+E912+G912,4)</f>
        <v>0</v>
      </c>
      <c r="I912" s="67"/>
      <c r="J912" s="67">
        <f>ROUND(+I912-H912,4)</f>
        <v>0</v>
      </c>
      <c r="K912" s="67">
        <f>ROUND(IF(F912="alluminio",0,I912*1.5%),4)</f>
        <v>0</v>
      </c>
      <c r="L912" s="67">
        <f>ROUND(IF(K912&lt;J912,K912,0),4)</f>
        <v>0</v>
      </c>
      <c r="M912" s="67">
        <f>ROUND(IF(J912&gt;K912,0,J912),4)</f>
        <v>0</v>
      </c>
      <c r="N912" s="67">
        <f>ROUND(+L912*D912,4)</f>
        <v>0</v>
      </c>
      <c r="O912" s="67">
        <f>ROUND(IF(F912="rame",0,+I912*3%),4)</f>
        <v>0</v>
      </c>
      <c r="P912" s="67">
        <f>ROUND(IF(O912&lt;J912,O912,0),4)</f>
        <v>0</v>
      </c>
      <c r="Q912" s="67">
        <f>ROUND(IF(J912&gt;O912,0,J912),4)</f>
        <v>0</v>
      </c>
      <c r="R912" s="67">
        <f>ROUND(+P912*D912,4)</f>
        <v>0</v>
      </c>
      <c r="S912" s="67">
        <f>ROUND(IF(K912=0,0,M912*D912),4)</f>
        <v>0</v>
      </c>
      <c r="T912" s="67">
        <f>ROUND(+IF(K912=0,Q912*D912,0),4)</f>
        <v>0</v>
      </c>
      <c r="U912" s="67">
        <f>ROUND(+N912+R912+S912+T912,4)</f>
        <v>0</v>
      </c>
      <c r="V912" s="67">
        <f>ROUND(IF(P912=0,0,I912-H912-O912)+IF(L912=0,0,I912-H912-K912),4)</f>
        <v>0</v>
      </c>
      <c r="W912" s="67">
        <f>ROUND(+(V912*60%)*D912,4)</f>
        <v>0</v>
      </c>
      <c r="X912" s="148">
        <f>ROUND(+U912+W912,4)</f>
        <v>0</v>
      </c>
      <c r="Y912" s="68"/>
      <c r="Z912" s="148">
        <f>ROUND(IF(X912&gt;I912,X912,I912),4)</f>
        <v>0</v>
      </c>
    </row>
    <row r="913" spans="1:26" x14ac:dyDescent="0.2">
      <c r="A913" s="66"/>
      <c r="B913" s="66"/>
      <c r="C913" s="66"/>
      <c r="D913" s="144"/>
      <c r="E913" s="67"/>
      <c r="F913" s="67"/>
      <c r="G913" s="67"/>
      <c r="H913" s="67">
        <f>ROUND(+E913+G913,4)</f>
        <v>0</v>
      </c>
      <c r="I913" s="67"/>
      <c r="J913" s="67">
        <f>ROUND(+I913-H913,4)</f>
        <v>0</v>
      </c>
      <c r="K913" s="67">
        <f>ROUND(IF(F913="alluminio",0,I913*1.5%),4)</f>
        <v>0</v>
      </c>
      <c r="L913" s="67">
        <f>ROUND(IF(K913&lt;J913,K913,0),4)</f>
        <v>0</v>
      </c>
      <c r="M913" s="67">
        <f>ROUND(IF(J913&gt;K913,0,J913),4)</f>
        <v>0</v>
      </c>
      <c r="N913" s="67">
        <f>ROUND(+L913*D913,4)</f>
        <v>0</v>
      </c>
      <c r="O913" s="67">
        <f>ROUND(IF(F913="rame",0,+I913*3%),4)</f>
        <v>0</v>
      </c>
      <c r="P913" s="67">
        <f>ROUND(IF(O913&lt;J913,O913,0),4)</f>
        <v>0</v>
      </c>
      <c r="Q913" s="67">
        <f>ROUND(IF(J913&gt;O913,0,J913),4)</f>
        <v>0</v>
      </c>
      <c r="R913" s="67">
        <f>ROUND(+P913*D913,4)</f>
        <v>0</v>
      </c>
      <c r="S913" s="67">
        <f>ROUND(IF(K913=0,0,M913*D913),4)</f>
        <v>0</v>
      </c>
      <c r="T913" s="67">
        <f>ROUND(+IF(K913=0,Q913*D913,0),4)</f>
        <v>0</v>
      </c>
      <c r="U913" s="67">
        <f>ROUND(+N913+R913+S913+T913,4)</f>
        <v>0</v>
      </c>
      <c r="V913" s="67">
        <f>ROUND(IF(P913=0,0,I913-H913-O913)+IF(L913=0,0,I913-H913-K913),4)</f>
        <v>0</v>
      </c>
      <c r="W913" s="67">
        <f>ROUND(+(V913*60%)*D913,4)</f>
        <v>0</v>
      </c>
      <c r="X913" s="148">
        <f>ROUND(+U913+W913,4)</f>
        <v>0</v>
      </c>
      <c r="Y913" s="68"/>
      <c r="Z913" s="148">
        <f>ROUND(IF(X913&gt;I913,X913,I913),4)</f>
        <v>0</v>
      </c>
    </row>
    <row r="914" spans="1:26" x14ac:dyDescent="0.2">
      <c r="A914" s="66"/>
      <c r="B914" s="66"/>
      <c r="C914" s="66"/>
      <c r="D914" s="144"/>
      <c r="E914" s="67"/>
      <c r="F914" s="67"/>
      <c r="G914" s="67"/>
      <c r="H914" s="67">
        <f>ROUND(+E914+G914,4)</f>
        <v>0</v>
      </c>
      <c r="I914" s="67"/>
      <c r="J914" s="67">
        <f>ROUND(+I914-H914,4)</f>
        <v>0</v>
      </c>
      <c r="K914" s="67">
        <f>ROUND(IF(F914="alluminio",0,I914*1.5%),4)</f>
        <v>0</v>
      </c>
      <c r="L914" s="67">
        <f>ROUND(IF(K914&lt;J914,K914,0),4)</f>
        <v>0</v>
      </c>
      <c r="M914" s="67">
        <f>ROUND(IF(J914&gt;K914,0,J914),4)</f>
        <v>0</v>
      </c>
      <c r="N914" s="67">
        <f>ROUND(+L914*D914,4)</f>
        <v>0</v>
      </c>
      <c r="O914" s="67">
        <f>ROUND(IF(F914="rame",0,+I914*3%),4)</f>
        <v>0</v>
      </c>
      <c r="P914" s="67">
        <f>ROUND(IF(O914&lt;J914,O914,0),4)</f>
        <v>0</v>
      </c>
      <c r="Q914" s="67">
        <f>ROUND(IF(J914&gt;O914,0,J914),4)</f>
        <v>0</v>
      </c>
      <c r="R914" s="67">
        <f>ROUND(+P914*D914,4)</f>
        <v>0</v>
      </c>
      <c r="S914" s="67">
        <f>ROUND(IF(K914=0,0,M914*D914),4)</f>
        <v>0</v>
      </c>
      <c r="T914" s="67">
        <f>ROUND(+IF(K914=0,Q914*D914,0),4)</f>
        <v>0</v>
      </c>
      <c r="U914" s="67">
        <f>ROUND(+N914+R914+S914+T914,4)</f>
        <v>0</v>
      </c>
      <c r="V914" s="67">
        <f>ROUND(IF(P914=0,0,I914-H914-O914)+IF(L914=0,0,I914-H914-K914),4)</f>
        <v>0</v>
      </c>
      <c r="W914" s="67">
        <f>ROUND(+(V914*60%)*D914,4)</f>
        <v>0</v>
      </c>
      <c r="X914" s="148">
        <f>ROUND(+U914+W914,4)</f>
        <v>0</v>
      </c>
      <c r="Y914" s="68"/>
      <c r="Z914" s="148">
        <f>ROUND(IF(X914&gt;I914,X914,I914),4)</f>
        <v>0</v>
      </c>
    </row>
    <row r="915" spans="1:26" x14ac:dyDescent="0.2">
      <c r="A915" s="66"/>
      <c r="B915" s="66"/>
      <c r="C915" s="66"/>
      <c r="D915" s="144"/>
      <c r="E915" s="67"/>
      <c r="F915" s="67"/>
      <c r="G915" s="67"/>
      <c r="H915" s="67">
        <f>ROUND(+E915+G915,4)</f>
        <v>0</v>
      </c>
      <c r="I915" s="67"/>
      <c r="J915" s="67">
        <f>ROUND(+I915-H915,4)</f>
        <v>0</v>
      </c>
      <c r="K915" s="67">
        <f>ROUND(IF(F915="alluminio",0,I915*1.5%),4)</f>
        <v>0</v>
      </c>
      <c r="L915" s="67">
        <f>ROUND(IF(K915&lt;J915,K915,0),4)</f>
        <v>0</v>
      </c>
      <c r="M915" s="67">
        <f>ROUND(IF(J915&gt;K915,0,J915),4)</f>
        <v>0</v>
      </c>
      <c r="N915" s="67">
        <f>ROUND(+L915*D915,4)</f>
        <v>0</v>
      </c>
      <c r="O915" s="67">
        <f>ROUND(IF(F915="rame",0,+I915*3%),4)</f>
        <v>0</v>
      </c>
      <c r="P915" s="67">
        <f>ROUND(IF(O915&lt;J915,O915,0),4)</f>
        <v>0</v>
      </c>
      <c r="Q915" s="67">
        <f>ROUND(IF(J915&gt;O915,0,J915),4)</f>
        <v>0</v>
      </c>
      <c r="R915" s="67">
        <f>ROUND(+P915*D915,4)</f>
        <v>0</v>
      </c>
      <c r="S915" s="67">
        <f>ROUND(IF(K915=0,0,M915*D915),4)</f>
        <v>0</v>
      </c>
      <c r="T915" s="67">
        <f>ROUND(+IF(K915=0,Q915*D915,0),4)</f>
        <v>0</v>
      </c>
      <c r="U915" s="67">
        <f>ROUND(+N915+R915+S915+T915,4)</f>
        <v>0</v>
      </c>
      <c r="V915" s="67">
        <f>ROUND(IF(P915=0,0,I915-H915-O915)+IF(L915=0,0,I915-H915-K915),4)</f>
        <v>0</v>
      </c>
      <c r="W915" s="67">
        <f>ROUND(+(V915*60%)*D915,4)</f>
        <v>0</v>
      </c>
      <c r="X915" s="148">
        <f>ROUND(+U915+W915,4)</f>
        <v>0</v>
      </c>
      <c r="Y915" s="68"/>
      <c r="Z915" s="148">
        <f>ROUND(IF(X915&gt;I915,X915,I915),4)</f>
        <v>0</v>
      </c>
    </row>
    <row r="916" spans="1:26" x14ac:dyDescent="0.2">
      <c r="A916" s="66"/>
      <c r="B916" s="66"/>
      <c r="C916" s="66"/>
      <c r="D916" s="144"/>
      <c r="E916" s="67"/>
      <c r="F916" s="67"/>
      <c r="G916" s="67"/>
      <c r="H916" s="67">
        <f>ROUND(+E916+G916,4)</f>
        <v>0</v>
      </c>
      <c r="I916" s="67"/>
      <c r="J916" s="67">
        <f>ROUND(+I916-H916,4)</f>
        <v>0</v>
      </c>
      <c r="K916" s="67">
        <f>ROUND(IF(F916="alluminio",0,I916*1.5%),4)</f>
        <v>0</v>
      </c>
      <c r="L916" s="67">
        <f>ROUND(IF(K916&lt;J916,K916,0),4)</f>
        <v>0</v>
      </c>
      <c r="M916" s="67">
        <f>ROUND(IF(J916&gt;K916,0,J916),4)</f>
        <v>0</v>
      </c>
      <c r="N916" s="67">
        <f>ROUND(+L916*D916,4)</f>
        <v>0</v>
      </c>
      <c r="O916" s="67">
        <f>ROUND(IF(F916="rame",0,+I916*3%),4)</f>
        <v>0</v>
      </c>
      <c r="P916" s="67">
        <f>ROUND(IF(O916&lt;J916,O916,0),4)</f>
        <v>0</v>
      </c>
      <c r="Q916" s="67">
        <f>ROUND(IF(J916&gt;O916,0,J916),4)</f>
        <v>0</v>
      </c>
      <c r="R916" s="67">
        <f>ROUND(+P916*D916,4)</f>
        <v>0</v>
      </c>
      <c r="S916" s="67">
        <f>ROUND(IF(K916=0,0,M916*D916),4)</f>
        <v>0</v>
      </c>
      <c r="T916" s="67">
        <f>ROUND(+IF(K916=0,Q916*D916,0),4)</f>
        <v>0</v>
      </c>
      <c r="U916" s="67">
        <f>ROUND(+N916+R916+S916+T916,4)</f>
        <v>0</v>
      </c>
      <c r="V916" s="67">
        <f>ROUND(IF(P916=0,0,I916-H916-O916)+IF(L916=0,0,I916-H916-K916),4)</f>
        <v>0</v>
      </c>
      <c r="W916" s="67">
        <f>ROUND(+(V916*60%)*D916,4)</f>
        <v>0</v>
      </c>
      <c r="X916" s="148">
        <f>ROUND(+U916+W916,4)</f>
        <v>0</v>
      </c>
      <c r="Y916" s="68"/>
      <c r="Z916" s="148">
        <f>ROUND(IF(X916&gt;I916,X916,I916),4)</f>
        <v>0</v>
      </c>
    </row>
    <row r="917" spans="1:26" x14ac:dyDescent="0.2">
      <c r="A917" s="66"/>
      <c r="B917" s="66"/>
      <c r="C917" s="66"/>
      <c r="D917" s="144"/>
      <c r="E917" s="67"/>
      <c r="F917" s="67"/>
      <c r="G917" s="67"/>
      <c r="H917" s="67">
        <f>ROUND(+E917+G917,4)</f>
        <v>0</v>
      </c>
      <c r="I917" s="67"/>
      <c r="J917" s="67">
        <f>ROUND(+I917-H917,4)</f>
        <v>0</v>
      </c>
      <c r="K917" s="67">
        <f>ROUND(IF(F917="alluminio",0,I917*1.5%),4)</f>
        <v>0</v>
      </c>
      <c r="L917" s="67">
        <f>ROUND(IF(K917&lt;J917,K917,0),4)</f>
        <v>0</v>
      </c>
      <c r="M917" s="67">
        <f>ROUND(IF(J917&gt;K917,0,J917),4)</f>
        <v>0</v>
      </c>
      <c r="N917" s="67">
        <f>ROUND(+L917*D917,4)</f>
        <v>0</v>
      </c>
      <c r="O917" s="67">
        <f>ROUND(IF(F917="rame",0,+I917*3%),4)</f>
        <v>0</v>
      </c>
      <c r="P917" s="67">
        <f>ROUND(IF(O917&lt;J917,O917,0),4)</f>
        <v>0</v>
      </c>
      <c r="Q917" s="67">
        <f>ROUND(IF(J917&gt;O917,0,J917),4)</f>
        <v>0</v>
      </c>
      <c r="R917" s="67">
        <f>ROUND(+P917*D917,4)</f>
        <v>0</v>
      </c>
      <c r="S917" s="67">
        <f>ROUND(IF(K917=0,0,M917*D917),4)</f>
        <v>0</v>
      </c>
      <c r="T917" s="67">
        <f>ROUND(+IF(K917=0,Q917*D917,0),4)</f>
        <v>0</v>
      </c>
      <c r="U917" s="67">
        <f>ROUND(+N917+R917+S917+T917,4)</f>
        <v>0</v>
      </c>
      <c r="V917" s="67">
        <f>ROUND(IF(P917=0,0,I917-H917-O917)+IF(L917=0,0,I917-H917-K917),4)</f>
        <v>0</v>
      </c>
      <c r="W917" s="67">
        <f>ROUND(+(V917*60%)*D917,4)</f>
        <v>0</v>
      </c>
      <c r="X917" s="148">
        <f>ROUND(+U917+W917,4)</f>
        <v>0</v>
      </c>
      <c r="Y917" s="68"/>
      <c r="Z917" s="148">
        <f>ROUND(IF(X917&gt;I917,X917,I917),4)</f>
        <v>0</v>
      </c>
    </row>
    <row r="918" spans="1:26" x14ac:dyDescent="0.2">
      <c r="A918" s="66"/>
      <c r="B918" s="66"/>
      <c r="C918" s="66"/>
      <c r="D918" s="144"/>
      <c r="E918" s="67"/>
      <c r="F918" s="67"/>
      <c r="G918" s="67"/>
      <c r="H918" s="67">
        <f>ROUND(+E918+G918,4)</f>
        <v>0</v>
      </c>
      <c r="I918" s="67"/>
      <c r="J918" s="67">
        <f>ROUND(+I918-H918,4)</f>
        <v>0</v>
      </c>
      <c r="K918" s="67">
        <f>ROUND(IF(F918="alluminio",0,I918*1.5%),4)</f>
        <v>0</v>
      </c>
      <c r="L918" s="67">
        <f>ROUND(IF(K918&lt;J918,K918,0),4)</f>
        <v>0</v>
      </c>
      <c r="M918" s="67">
        <f>ROUND(IF(J918&gt;K918,0,J918),4)</f>
        <v>0</v>
      </c>
      <c r="N918" s="67">
        <f>ROUND(+L918*D918,4)</f>
        <v>0</v>
      </c>
      <c r="O918" s="67">
        <f>ROUND(IF(F918="rame",0,+I918*3%),4)</f>
        <v>0</v>
      </c>
      <c r="P918" s="67">
        <f>ROUND(IF(O918&lt;J918,O918,0),4)</f>
        <v>0</v>
      </c>
      <c r="Q918" s="67">
        <f>ROUND(IF(J918&gt;O918,0,J918),4)</f>
        <v>0</v>
      </c>
      <c r="R918" s="67">
        <f>ROUND(+P918*D918,4)</f>
        <v>0</v>
      </c>
      <c r="S918" s="67">
        <f>ROUND(IF(K918=0,0,M918*D918),4)</f>
        <v>0</v>
      </c>
      <c r="T918" s="67">
        <f>ROUND(+IF(K918=0,Q918*D918,0),4)</f>
        <v>0</v>
      </c>
      <c r="U918" s="67">
        <f>ROUND(+N918+R918+S918+T918,4)</f>
        <v>0</v>
      </c>
      <c r="V918" s="67">
        <f>ROUND(IF(P918=0,0,I918-H918-O918)+IF(L918=0,0,I918-H918-K918),4)</f>
        <v>0</v>
      </c>
      <c r="W918" s="67">
        <f>ROUND(+(V918*60%)*D918,4)</f>
        <v>0</v>
      </c>
      <c r="X918" s="148">
        <f>ROUND(+U918+W918,4)</f>
        <v>0</v>
      </c>
      <c r="Y918" s="68"/>
      <c r="Z918" s="148">
        <f>ROUND(IF(X918&gt;I918,X918,I918),4)</f>
        <v>0</v>
      </c>
    </row>
    <row r="919" spans="1:26" x14ac:dyDescent="0.2">
      <c r="A919" s="66"/>
      <c r="B919" s="66"/>
      <c r="C919" s="66"/>
      <c r="D919" s="144"/>
      <c r="E919" s="67"/>
      <c r="F919" s="67"/>
      <c r="G919" s="67"/>
      <c r="H919" s="67">
        <f>ROUND(+E919+G919,4)</f>
        <v>0</v>
      </c>
      <c r="I919" s="67"/>
      <c r="J919" s="67">
        <f>ROUND(+I919-H919,4)</f>
        <v>0</v>
      </c>
      <c r="K919" s="67">
        <f>ROUND(IF(F919="alluminio",0,I919*1.5%),4)</f>
        <v>0</v>
      </c>
      <c r="L919" s="67">
        <f>ROUND(IF(K919&lt;J919,K919,0),4)</f>
        <v>0</v>
      </c>
      <c r="M919" s="67">
        <f>ROUND(IF(J919&gt;K919,0,J919),4)</f>
        <v>0</v>
      </c>
      <c r="N919" s="67">
        <f>ROUND(+L919*D919,4)</f>
        <v>0</v>
      </c>
      <c r="O919" s="67">
        <f>ROUND(IF(F919="rame",0,+I919*3%),4)</f>
        <v>0</v>
      </c>
      <c r="P919" s="67">
        <f>ROUND(IF(O919&lt;J919,O919,0),4)</f>
        <v>0</v>
      </c>
      <c r="Q919" s="67">
        <f>ROUND(IF(J919&gt;O919,0,J919),4)</f>
        <v>0</v>
      </c>
      <c r="R919" s="67">
        <f>ROUND(+P919*D919,4)</f>
        <v>0</v>
      </c>
      <c r="S919" s="67">
        <f>ROUND(IF(K919=0,0,M919*D919),4)</f>
        <v>0</v>
      </c>
      <c r="T919" s="67">
        <f>ROUND(+IF(K919=0,Q919*D919,0),4)</f>
        <v>0</v>
      </c>
      <c r="U919" s="67">
        <f>ROUND(+N919+R919+S919+T919,4)</f>
        <v>0</v>
      </c>
      <c r="V919" s="67">
        <f>ROUND(IF(P919=0,0,I919-H919-O919)+IF(L919=0,0,I919-H919-K919),4)</f>
        <v>0</v>
      </c>
      <c r="W919" s="67">
        <f>ROUND(+(V919*60%)*D919,4)</f>
        <v>0</v>
      </c>
      <c r="X919" s="148">
        <f>ROUND(+U919+W919,4)</f>
        <v>0</v>
      </c>
      <c r="Y919" s="68"/>
      <c r="Z919" s="148">
        <f>ROUND(IF(X919&gt;I919,X919,I919),4)</f>
        <v>0</v>
      </c>
    </row>
    <row r="920" spans="1:26" x14ac:dyDescent="0.2">
      <c r="A920" s="66"/>
      <c r="B920" s="66"/>
      <c r="C920" s="66"/>
      <c r="D920" s="144"/>
      <c r="E920" s="67"/>
      <c r="F920" s="67"/>
      <c r="G920" s="67"/>
      <c r="H920" s="67">
        <f>ROUND(+E920+G920,4)</f>
        <v>0</v>
      </c>
      <c r="I920" s="67"/>
      <c r="J920" s="67">
        <f>ROUND(+I920-H920,4)</f>
        <v>0</v>
      </c>
      <c r="K920" s="67">
        <f>ROUND(IF(F920="alluminio",0,I920*1.5%),4)</f>
        <v>0</v>
      </c>
      <c r="L920" s="67">
        <f>ROUND(IF(K920&lt;J920,K920,0),4)</f>
        <v>0</v>
      </c>
      <c r="M920" s="67">
        <f>ROUND(IF(J920&gt;K920,0,J920),4)</f>
        <v>0</v>
      </c>
      <c r="N920" s="67">
        <f>ROUND(+L920*D920,4)</f>
        <v>0</v>
      </c>
      <c r="O920" s="67">
        <f>ROUND(IF(F920="rame",0,+I920*3%),4)</f>
        <v>0</v>
      </c>
      <c r="P920" s="67">
        <f>ROUND(IF(O920&lt;J920,O920,0),4)</f>
        <v>0</v>
      </c>
      <c r="Q920" s="67">
        <f>ROUND(IF(J920&gt;O920,0,J920),4)</f>
        <v>0</v>
      </c>
      <c r="R920" s="67">
        <f>ROUND(+P920*D920,4)</f>
        <v>0</v>
      </c>
      <c r="S920" s="67">
        <f>ROUND(IF(K920=0,0,M920*D920),4)</f>
        <v>0</v>
      </c>
      <c r="T920" s="67">
        <f>ROUND(+IF(K920=0,Q920*D920,0),4)</f>
        <v>0</v>
      </c>
      <c r="U920" s="67">
        <f>ROUND(+N920+R920+S920+T920,4)</f>
        <v>0</v>
      </c>
      <c r="V920" s="67">
        <f>ROUND(IF(P920=0,0,I920-H920-O920)+IF(L920=0,0,I920-H920-K920),4)</f>
        <v>0</v>
      </c>
      <c r="W920" s="67">
        <f>ROUND(+(V920*60%)*D920,4)</f>
        <v>0</v>
      </c>
      <c r="X920" s="148">
        <f>ROUND(+U920+W920,4)</f>
        <v>0</v>
      </c>
      <c r="Y920" s="68"/>
      <c r="Z920" s="148">
        <f>ROUND(IF(X920&gt;I920,X920,I920),4)</f>
        <v>0</v>
      </c>
    </row>
    <row r="921" spans="1:26" x14ac:dyDescent="0.2">
      <c r="A921" s="66"/>
      <c r="B921" s="66"/>
      <c r="C921" s="66"/>
      <c r="D921" s="144"/>
      <c r="E921" s="67"/>
      <c r="F921" s="67"/>
      <c r="G921" s="67"/>
      <c r="H921" s="67">
        <f>ROUND(+E921+G921,4)</f>
        <v>0</v>
      </c>
      <c r="I921" s="67"/>
      <c r="J921" s="67">
        <f>ROUND(+I921-H921,4)</f>
        <v>0</v>
      </c>
      <c r="K921" s="67">
        <f>ROUND(IF(F921="alluminio",0,I921*1.5%),4)</f>
        <v>0</v>
      </c>
      <c r="L921" s="67">
        <f>ROUND(IF(K921&lt;J921,K921,0),4)</f>
        <v>0</v>
      </c>
      <c r="M921" s="67">
        <f>ROUND(IF(J921&gt;K921,0,J921),4)</f>
        <v>0</v>
      </c>
      <c r="N921" s="67">
        <f>ROUND(+L921*D921,4)</f>
        <v>0</v>
      </c>
      <c r="O921" s="67">
        <f>ROUND(IF(F921="rame",0,+I921*3%),4)</f>
        <v>0</v>
      </c>
      <c r="P921" s="67">
        <f>ROUND(IF(O921&lt;J921,O921,0),4)</f>
        <v>0</v>
      </c>
      <c r="Q921" s="67">
        <f>ROUND(IF(J921&gt;O921,0,J921),4)</f>
        <v>0</v>
      </c>
      <c r="R921" s="67">
        <f>ROUND(+P921*D921,4)</f>
        <v>0</v>
      </c>
      <c r="S921" s="67">
        <f>ROUND(IF(K921=0,0,M921*D921),4)</f>
        <v>0</v>
      </c>
      <c r="T921" s="67">
        <f>ROUND(+IF(K921=0,Q921*D921,0),4)</f>
        <v>0</v>
      </c>
      <c r="U921" s="67">
        <f>ROUND(+N921+R921+S921+T921,4)</f>
        <v>0</v>
      </c>
      <c r="V921" s="67">
        <f>ROUND(IF(P921=0,0,I921-H921-O921)+IF(L921=0,0,I921-H921-K921),4)</f>
        <v>0</v>
      </c>
      <c r="W921" s="67">
        <f>ROUND(+(V921*60%)*D921,4)</f>
        <v>0</v>
      </c>
      <c r="X921" s="148">
        <f>ROUND(+U921+W921,4)</f>
        <v>0</v>
      </c>
      <c r="Y921" s="68"/>
      <c r="Z921" s="148">
        <f>ROUND(IF(X921&gt;I921,X921,I921),4)</f>
        <v>0</v>
      </c>
    </row>
    <row r="922" spans="1:26" x14ac:dyDescent="0.2">
      <c r="A922" s="66"/>
      <c r="B922" s="66"/>
      <c r="C922" s="66"/>
      <c r="D922" s="144"/>
      <c r="E922" s="67"/>
      <c r="F922" s="67"/>
      <c r="G922" s="67"/>
      <c r="H922" s="67">
        <f>ROUND(+E922+G922,4)</f>
        <v>0</v>
      </c>
      <c r="I922" s="67"/>
      <c r="J922" s="67">
        <f>ROUND(+I922-H922,4)</f>
        <v>0</v>
      </c>
      <c r="K922" s="67">
        <f>ROUND(IF(F922="alluminio",0,I922*1.5%),4)</f>
        <v>0</v>
      </c>
      <c r="L922" s="67">
        <f>ROUND(IF(K922&lt;J922,K922,0),4)</f>
        <v>0</v>
      </c>
      <c r="M922" s="67">
        <f>ROUND(IF(J922&gt;K922,0,J922),4)</f>
        <v>0</v>
      </c>
      <c r="N922" s="67">
        <f>ROUND(+L922*D922,4)</f>
        <v>0</v>
      </c>
      <c r="O922" s="67">
        <f>ROUND(IF(F922="rame",0,+I922*3%),4)</f>
        <v>0</v>
      </c>
      <c r="P922" s="67">
        <f>ROUND(IF(O922&lt;J922,O922,0),4)</f>
        <v>0</v>
      </c>
      <c r="Q922" s="67">
        <f>ROUND(IF(J922&gt;O922,0,J922),4)</f>
        <v>0</v>
      </c>
      <c r="R922" s="67">
        <f>ROUND(+P922*D922,4)</f>
        <v>0</v>
      </c>
      <c r="S922" s="67">
        <f>ROUND(IF(K922=0,0,M922*D922),4)</f>
        <v>0</v>
      </c>
      <c r="T922" s="67">
        <f>ROUND(+IF(K922=0,Q922*D922,0),4)</f>
        <v>0</v>
      </c>
      <c r="U922" s="67">
        <f>ROUND(+N922+R922+S922+T922,4)</f>
        <v>0</v>
      </c>
      <c r="V922" s="67">
        <f>ROUND(IF(P922=0,0,I922-H922-O922)+IF(L922=0,0,I922-H922-K922),4)</f>
        <v>0</v>
      </c>
      <c r="W922" s="67">
        <f>ROUND(+(V922*60%)*D922,4)</f>
        <v>0</v>
      </c>
      <c r="X922" s="148">
        <f>ROUND(+U922+W922,4)</f>
        <v>0</v>
      </c>
      <c r="Y922" s="68"/>
      <c r="Z922" s="148">
        <f>ROUND(IF(X922&gt;I922,X922,I922),4)</f>
        <v>0</v>
      </c>
    </row>
    <row r="923" spans="1:26" x14ac:dyDescent="0.2">
      <c r="A923" s="66"/>
      <c r="B923" s="66"/>
      <c r="C923" s="66"/>
      <c r="D923" s="144"/>
      <c r="E923" s="67"/>
      <c r="F923" s="67"/>
      <c r="G923" s="67"/>
      <c r="H923" s="67">
        <f>ROUND(+E923+G923,4)</f>
        <v>0</v>
      </c>
      <c r="I923" s="67"/>
      <c r="J923" s="67">
        <f>ROUND(+I923-H923,4)</f>
        <v>0</v>
      </c>
      <c r="K923" s="67">
        <f>ROUND(IF(F923="alluminio",0,I923*1.5%),4)</f>
        <v>0</v>
      </c>
      <c r="L923" s="67">
        <f>ROUND(IF(K923&lt;J923,K923,0),4)</f>
        <v>0</v>
      </c>
      <c r="M923" s="67">
        <f>ROUND(IF(J923&gt;K923,0,J923),4)</f>
        <v>0</v>
      </c>
      <c r="N923" s="67">
        <f>ROUND(+L923*D923,4)</f>
        <v>0</v>
      </c>
      <c r="O923" s="67">
        <f>ROUND(IF(F923="rame",0,+I923*3%),4)</f>
        <v>0</v>
      </c>
      <c r="P923" s="67">
        <f>ROUND(IF(O923&lt;J923,O923,0),4)</f>
        <v>0</v>
      </c>
      <c r="Q923" s="67">
        <f>ROUND(IF(J923&gt;O923,0,J923),4)</f>
        <v>0</v>
      </c>
      <c r="R923" s="67">
        <f>ROUND(+P923*D923,4)</f>
        <v>0</v>
      </c>
      <c r="S923" s="67">
        <f>ROUND(IF(K923=0,0,M923*D923),4)</f>
        <v>0</v>
      </c>
      <c r="T923" s="67">
        <f>ROUND(+IF(K923=0,Q923*D923,0),4)</f>
        <v>0</v>
      </c>
      <c r="U923" s="67">
        <f>ROUND(+N923+R923+S923+T923,4)</f>
        <v>0</v>
      </c>
      <c r="V923" s="67">
        <f>ROUND(IF(P923=0,0,I923-H923-O923)+IF(L923=0,0,I923-H923-K923),4)</f>
        <v>0</v>
      </c>
      <c r="W923" s="67">
        <f>ROUND(+(V923*60%)*D923,4)</f>
        <v>0</v>
      </c>
      <c r="X923" s="148">
        <f>ROUND(+U923+W923,4)</f>
        <v>0</v>
      </c>
      <c r="Y923" s="68"/>
      <c r="Z923" s="148">
        <f>ROUND(IF(X923&gt;I923,X923,I923),4)</f>
        <v>0</v>
      </c>
    </row>
    <row r="924" spans="1:26" x14ac:dyDescent="0.2">
      <c r="A924" s="66"/>
      <c r="B924" s="66"/>
      <c r="C924" s="66"/>
      <c r="D924" s="144"/>
      <c r="E924" s="67"/>
      <c r="F924" s="67"/>
      <c r="G924" s="67"/>
      <c r="H924" s="67">
        <f>ROUND(+E924+G924,4)</f>
        <v>0</v>
      </c>
      <c r="I924" s="67"/>
      <c r="J924" s="67">
        <f>ROUND(+I924-H924,4)</f>
        <v>0</v>
      </c>
      <c r="K924" s="67">
        <f>ROUND(IF(F924="alluminio",0,I924*1.5%),4)</f>
        <v>0</v>
      </c>
      <c r="L924" s="67">
        <f>ROUND(IF(K924&lt;J924,K924,0),4)</f>
        <v>0</v>
      </c>
      <c r="M924" s="67">
        <f>ROUND(IF(J924&gt;K924,0,J924),4)</f>
        <v>0</v>
      </c>
      <c r="N924" s="67">
        <f>ROUND(+L924*D924,4)</f>
        <v>0</v>
      </c>
      <c r="O924" s="67">
        <f>ROUND(IF(F924="rame",0,+I924*3%),4)</f>
        <v>0</v>
      </c>
      <c r="P924" s="67">
        <f>ROUND(IF(O924&lt;J924,O924,0),4)</f>
        <v>0</v>
      </c>
      <c r="Q924" s="67">
        <f>ROUND(IF(J924&gt;O924,0,J924),4)</f>
        <v>0</v>
      </c>
      <c r="R924" s="67">
        <f>ROUND(+P924*D924,4)</f>
        <v>0</v>
      </c>
      <c r="S924" s="67">
        <f>ROUND(IF(K924=0,0,M924*D924),4)</f>
        <v>0</v>
      </c>
      <c r="T924" s="67">
        <f>ROUND(+IF(K924=0,Q924*D924,0),4)</f>
        <v>0</v>
      </c>
      <c r="U924" s="67">
        <f>ROUND(+N924+R924+S924+T924,4)</f>
        <v>0</v>
      </c>
      <c r="V924" s="67">
        <f>ROUND(IF(P924=0,0,I924-H924-O924)+IF(L924=0,0,I924-H924-K924),4)</f>
        <v>0</v>
      </c>
      <c r="W924" s="67">
        <f>ROUND(+(V924*60%)*D924,4)</f>
        <v>0</v>
      </c>
      <c r="X924" s="148">
        <f>ROUND(+U924+W924,4)</f>
        <v>0</v>
      </c>
      <c r="Y924" s="68"/>
      <c r="Z924" s="148">
        <f>ROUND(IF(X924&gt;I924,X924,I924),4)</f>
        <v>0</v>
      </c>
    </row>
    <row r="925" spans="1:26" x14ac:dyDescent="0.2">
      <c r="A925" s="66"/>
      <c r="B925" s="66"/>
      <c r="C925" s="66"/>
      <c r="D925" s="144"/>
      <c r="E925" s="67"/>
      <c r="F925" s="67"/>
      <c r="G925" s="67"/>
      <c r="H925" s="67">
        <f>ROUND(+E925+G925,4)</f>
        <v>0</v>
      </c>
      <c r="I925" s="67"/>
      <c r="J925" s="67">
        <f>ROUND(+I925-H925,4)</f>
        <v>0</v>
      </c>
      <c r="K925" s="67">
        <f>ROUND(IF(F925="alluminio",0,I925*1.5%),4)</f>
        <v>0</v>
      </c>
      <c r="L925" s="67">
        <f>ROUND(IF(K925&lt;J925,K925,0),4)</f>
        <v>0</v>
      </c>
      <c r="M925" s="67">
        <f>ROUND(IF(J925&gt;K925,0,J925),4)</f>
        <v>0</v>
      </c>
      <c r="N925" s="67">
        <f>ROUND(+L925*D925,4)</f>
        <v>0</v>
      </c>
      <c r="O925" s="67">
        <f>ROUND(IF(F925="rame",0,+I925*3%),4)</f>
        <v>0</v>
      </c>
      <c r="P925" s="67">
        <f>ROUND(IF(O925&lt;J925,O925,0),4)</f>
        <v>0</v>
      </c>
      <c r="Q925" s="67">
        <f>ROUND(IF(J925&gt;O925,0,J925),4)</f>
        <v>0</v>
      </c>
      <c r="R925" s="67">
        <f>ROUND(+P925*D925,4)</f>
        <v>0</v>
      </c>
      <c r="S925" s="67">
        <f>ROUND(IF(K925=0,0,M925*D925),4)</f>
        <v>0</v>
      </c>
      <c r="T925" s="67">
        <f>ROUND(+IF(K925=0,Q925*D925,0),4)</f>
        <v>0</v>
      </c>
      <c r="U925" s="67">
        <f>ROUND(+N925+R925+S925+T925,4)</f>
        <v>0</v>
      </c>
      <c r="V925" s="67">
        <f>ROUND(IF(P925=0,0,I925-H925-O925)+IF(L925=0,0,I925-H925-K925),4)</f>
        <v>0</v>
      </c>
      <c r="W925" s="67">
        <f>ROUND(+(V925*60%)*D925,4)</f>
        <v>0</v>
      </c>
      <c r="X925" s="148">
        <f>ROUND(+U925+W925,4)</f>
        <v>0</v>
      </c>
      <c r="Y925" s="68"/>
      <c r="Z925" s="148">
        <f>ROUND(IF(X925&gt;I925,X925,I925),4)</f>
        <v>0</v>
      </c>
    </row>
    <row r="926" spans="1:26" x14ac:dyDescent="0.2">
      <c r="A926" s="66"/>
      <c r="B926" s="66"/>
      <c r="C926" s="66"/>
      <c r="D926" s="144"/>
      <c r="E926" s="67"/>
      <c r="F926" s="67"/>
      <c r="G926" s="67"/>
      <c r="H926" s="67">
        <f>ROUND(+E926+G926,4)</f>
        <v>0</v>
      </c>
      <c r="I926" s="67"/>
      <c r="J926" s="67">
        <f>ROUND(+I926-H926,4)</f>
        <v>0</v>
      </c>
      <c r="K926" s="67">
        <f>ROUND(IF(F926="alluminio",0,I926*1.5%),4)</f>
        <v>0</v>
      </c>
      <c r="L926" s="67">
        <f>ROUND(IF(K926&lt;J926,K926,0),4)</f>
        <v>0</v>
      </c>
      <c r="M926" s="67">
        <f>ROUND(IF(J926&gt;K926,0,J926),4)</f>
        <v>0</v>
      </c>
      <c r="N926" s="67">
        <f>ROUND(+L926*D926,4)</f>
        <v>0</v>
      </c>
      <c r="O926" s="67">
        <f>ROUND(IF(F926="rame",0,+I926*3%),4)</f>
        <v>0</v>
      </c>
      <c r="P926" s="67">
        <f>ROUND(IF(O926&lt;J926,O926,0),4)</f>
        <v>0</v>
      </c>
      <c r="Q926" s="67">
        <f>ROUND(IF(J926&gt;O926,0,J926),4)</f>
        <v>0</v>
      </c>
      <c r="R926" s="67">
        <f>ROUND(+P926*D926,4)</f>
        <v>0</v>
      </c>
      <c r="S926" s="67">
        <f>ROUND(IF(K926=0,0,M926*D926),4)</f>
        <v>0</v>
      </c>
      <c r="T926" s="67">
        <f>ROUND(+IF(K926=0,Q926*D926,0),4)</f>
        <v>0</v>
      </c>
      <c r="U926" s="67">
        <f>ROUND(+N926+R926+S926+T926,4)</f>
        <v>0</v>
      </c>
      <c r="V926" s="67">
        <f>ROUND(IF(P926=0,0,I926-H926-O926)+IF(L926=0,0,I926-H926-K926),4)</f>
        <v>0</v>
      </c>
      <c r="W926" s="67">
        <f>ROUND(+(V926*60%)*D926,4)</f>
        <v>0</v>
      </c>
      <c r="X926" s="148">
        <f>ROUND(+U926+W926,4)</f>
        <v>0</v>
      </c>
      <c r="Y926" s="68"/>
      <c r="Z926" s="148">
        <f>ROUND(IF(X926&gt;I926,X926,I926),4)</f>
        <v>0</v>
      </c>
    </row>
    <row r="927" spans="1:26" x14ac:dyDescent="0.2">
      <c r="A927" s="66"/>
      <c r="B927" s="66"/>
      <c r="C927" s="66"/>
      <c r="D927" s="144"/>
      <c r="E927" s="67"/>
      <c r="F927" s="67"/>
      <c r="G927" s="67"/>
      <c r="H927" s="67">
        <f>ROUND(+E927+G927,4)</f>
        <v>0</v>
      </c>
      <c r="I927" s="67"/>
      <c r="J927" s="67">
        <f>ROUND(+I927-H927,4)</f>
        <v>0</v>
      </c>
      <c r="K927" s="67">
        <f>ROUND(IF(F927="alluminio",0,I927*1.5%),4)</f>
        <v>0</v>
      </c>
      <c r="L927" s="67">
        <f>ROUND(IF(K927&lt;J927,K927,0),4)</f>
        <v>0</v>
      </c>
      <c r="M927" s="67">
        <f>ROUND(IF(J927&gt;K927,0,J927),4)</f>
        <v>0</v>
      </c>
      <c r="N927" s="67">
        <f>ROUND(+L927*D927,4)</f>
        <v>0</v>
      </c>
      <c r="O927" s="67">
        <f>ROUND(IF(F927="rame",0,+I927*3%),4)</f>
        <v>0</v>
      </c>
      <c r="P927" s="67">
        <f>ROUND(IF(O927&lt;J927,O927,0),4)</f>
        <v>0</v>
      </c>
      <c r="Q927" s="67">
        <f>ROUND(IF(J927&gt;O927,0,J927),4)</f>
        <v>0</v>
      </c>
      <c r="R927" s="67">
        <f>ROUND(+P927*D927,4)</f>
        <v>0</v>
      </c>
      <c r="S927" s="67">
        <f>ROUND(IF(K927=0,0,M927*D927),4)</f>
        <v>0</v>
      </c>
      <c r="T927" s="67">
        <f>ROUND(+IF(K927=0,Q927*D927,0),4)</f>
        <v>0</v>
      </c>
      <c r="U927" s="67">
        <f>ROUND(+N927+R927+S927+T927,4)</f>
        <v>0</v>
      </c>
      <c r="V927" s="67">
        <f>ROUND(IF(P927=0,0,I927-H927-O927)+IF(L927=0,0,I927-H927-K927),4)</f>
        <v>0</v>
      </c>
      <c r="W927" s="67">
        <f>ROUND(+(V927*60%)*D927,4)</f>
        <v>0</v>
      </c>
      <c r="X927" s="148">
        <f>ROUND(+U927+W927,4)</f>
        <v>0</v>
      </c>
      <c r="Y927" s="68"/>
      <c r="Z927" s="148">
        <f>ROUND(IF(X927&gt;I927,X927,I927),4)</f>
        <v>0</v>
      </c>
    </row>
    <row r="928" spans="1:26" x14ac:dyDescent="0.2">
      <c r="A928" s="66"/>
      <c r="B928" s="66"/>
      <c r="C928" s="66"/>
      <c r="D928" s="144"/>
      <c r="E928" s="67"/>
      <c r="F928" s="67"/>
      <c r="G928" s="67"/>
      <c r="H928" s="67">
        <f>ROUND(+E928+G928,4)</f>
        <v>0</v>
      </c>
      <c r="I928" s="67"/>
      <c r="J928" s="67">
        <f>ROUND(+I928-H928,4)</f>
        <v>0</v>
      </c>
      <c r="K928" s="67">
        <f>ROUND(IF(F928="alluminio",0,I928*1.5%),4)</f>
        <v>0</v>
      </c>
      <c r="L928" s="67">
        <f>ROUND(IF(K928&lt;J928,K928,0),4)</f>
        <v>0</v>
      </c>
      <c r="M928" s="67">
        <f>ROUND(IF(J928&gt;K928,0,J928),4)</f>
        <v>0</v>
      </c>
      <c r="N928" s="67">
        <f>ROUND(+L928*D928,4)</f>
        <v>0</v>
      </c>
      <c r="O928" s="67">
        <f>ROUND(IF(F928="rame",0,+I928*3%),4)</f>
        <v>0</v>
      </c>
      <c r="P928" s="67">
        <f>ROUND(IF(O928&lt;J928,O928,0),4)</f>
        <v>0</v>
      </c>
      <c r="Q928" s="67">
        <f>ROUND(IF(J928&gt;O928,0,J928),4)</f>
        <v>0</v>
      </c>
      <c r="R928" s="67">
        <f>ROUND(+P928*D928,4)</f>
        <v>0</v>
      </c>
      <c r="S928" s="67">
        <f>ROUND(IF(K928=0,0,M928*D928),4)</f>
        <v>0</v>
      </c>
      <c r="T928" s="67">
        <f>ROUND(+IF(K928=0,Q928*D928,0),4)</f>
        <v>0</v>
      </c>
      <c r="U928" s="67">
        <f>ROUND(+N928+R928+S928+T928,4)</f>
        <v>0</v>
      </c>
      <c r="V928" s="67">
        <f>ROUND(IF(P928=0,0,I928-H928-O928)+IF(L928=0,0,I928-H928-K928),4)</f>
        <v>0</v>
      </c>
      <c r="W928" s="67">
        <f>ROUND(+(V928*60%)*D928,4)</f>
        <v>0</v>
      </c>
      <c r="X928" s="148">
        <f>ROUND(+U928+W928,4)</f>
        <v>0</v>
      </c>
      <c r="Y928" s="68"/>
      <c r="Z928" s="148">
        <f>ROUND(IF(X928&gt;I928,X928,I928),4)</f>
        <v>0</v>
      </c>
    </row>
    <row r="929" spans="1:26" x14ac:dyDescent="0.2">
      <c r="A929" s="66"/>
      <c r="B929" s="66"/>
      <c r="C929" s="66"/>
      <c r="D929" s="144"/>
      <c r="E929" s="67"/>
      <c r="F929" s="67"/>
      <c r="G929" s="67"/>
      <c r="H929" s="67">
        <f>ROUND(+E929+G929,4)</f>
        <v>0</v>
      </c>
      <c r="I929" s="67"/>
      <c r="J929" s="67">
        <f>ROUND(+I929-H929,4)</f>
        <v>0</v>
      </c>
      <c r="K929" s="67">
        <f>ROUND(IF(F929="alluminio",0,I929*1.5%),4)</f>
        <v>0</v>
      </c>
      <c r="L929" s="67">
        <f>ROUND(IF(K929&lt;J929,K929,0),4)</f>
        <v>0</v>
      </c>
      <c r="M929" s="67">
        <f>ROUND(IF(J929&gt;K929,0,J929),4)</f>
        <v>0</v>
      </c>
      <c r="N929" s="67">
        <f>ROUND(+L929*D929,4)</f>
        <v>0</v>
      </c>
      <c r="O929" s="67">
        <f>ROUND(IF(F929="rame",0,+I929*3%),4)</f>
        <v>0</v>
      </c>
      <c r="P929" s="67">
        <f>ROUND(IF(O929&lt;J929,O929,0),4)</f>
        <v>0</v>
      </c>
      <c r="Q929" s="67">
        <f>ROUND(IF(J929&gt;O929,0,J929),4)</f>
        <v>0</v>
      </c>
      <c r="R929" s="67">
        <f>ROUND(+P929*D929,4)</f>
        <v>0</v>
      </c>
      <c r="S929" s="67">
        <f>ROUND(IF(K929=0,0,M929*D929),4)</f>
        <v>0</v>
      </c>
      <c r="T929" s="67">
        <f>ROUND(+IF(K929=0,Q929*D929,0),4)</f>
        <v>0</v>
      </c>
      <c r="U929" s="67">
        <f>ROUND(+N929+R929+S929+T929,4)</f>
        <v>0</v>
      </c>
      <c r="V929" s="67">
        <f>ROUND(IF(P929=0,0,I929-H929-O929)+IF(L929=0,0,I929-H929-K929),4)</f>
        <v>0</v>
      </c>
      <c r="W929" s="67">
        <f>ROUND(+(V929*60%)*D929,4)</f>
        <v>0</v>
      </c>
      <c r="X929" s="148">
        <f>ROUND(+U929+W929,4)</f>
        <v>0</v>
      </c>
      <c r="Y929" s="68"/>
      <c r="Z929" s="148">
        <f>ROUND(IF(X929&gt;I929,X929,I929),4)</f>
        <v>0</v>
      </c>
    </row>
    <row r="930" spans="1:26" x14ac:dyDescent="0.2">
      <c r="A930" s="66"/>
      <c r="B930" s="66"/>
      <c r="C930" s="66"/>
      <c r="D930" s="144"/>
      <c r="E930" s="67"/>
      <c r="F930" s="67"/>
      <c r="G930" s="67"/>
      <c r="H930" s="67">
        <f>ROUND(+E930+G930,4)</f>
        <v>0</v>
      </c>
      <c r="I930" s="67"/>
      <c r="J930" s="67">
        <f>ROUND(+I930-H930,4)</f>
        <v>0</v>
      </c>
      <c r="K930" s="67">
        <f>ROUND(IF(F930="alluminio",0,I930*1.5%),4)</f>
        <v>0</v>
      </c>
      <c r="L930" s="67">
        <f>ROUND(IF(K930&lt;J930,K930,0),4)</f>
        <v>0</v>
      </c>
      <c r="M930" s="67">
        <f>ROUND(IF(J930&gt;K930,0,J930),4)</f>
        <v>0</v>
      </c>
      <c r="N930" s="67">
        <f>ROUND(+L930*D930,4)</f>
        <v>0</v>
      </c>
      <c r="O930" s="67">
        <f>ROUND(IF(F930="rame",0,+I930*3%),4)</f>
        <v>0</v>
      </c>
      <c r="P930" s="67">
        <f>ROUND(IF(O930&lt;J930,O930,0),4)</f>
        <v>0</v>
      </c>
      <c r="Q930" s="67">
        <f>ROUND(IF(J930&gt;O930,0,J930),4)</f>
        <v>0</v>
      </c>
      <c r="R930" s="67">
        <f>ROUND(+P930*D930,4)</f>
        <v>0</v>
      </c>
      <c r="S930" s="67">
        <f>ROUND(IF(K930=0,0,M930*D930),4)</f>
        <v>0</v>
      </c>
      <c r="T930" s="67">
        <f>ROUND(+IF(K930=0,Q930*D930,0),4)</f>
        <v>0</v>
      </c>
      <c r="U930" s="67">
        <f>ROUND(+N930+R930+S930+T930,4)</f>
        <v>0</v>
      </c>
      <c r="V930" s="67">
        <f>ROUND(IF(P930=0,0,I930-H930-O930)+IF(L930=0,0,I930-H930-K930),4)</f>
        <v>0</v>
      </c>
      <c r="W930" s="67">
        <f>ROUND(+(V930*60%)*D930,4)</f>
        <v>0</v>
      </c>
      <c r="X930" s="148">
        <f>ROUND(+U930+W930,4)</f>
        <v>0</v>
      </c>
      <c r="Y930" s="68"/>
      <c r="Z930" s="148">
        <f>ROUND(IF(X930&gt;I930,X930,I930),4)</f>
        <v>0</v>
      </c>
    </row>
    <row r="931" spans="1:26" x14ac:dyDescent="0.2">
      <c r="A931" s="66"/>
      <c r="B931" s="66"/>
      <c r="C931" s="66"/>
      <c r="D931" s="144"/>
      <c r="E931" s="67"/>
      <c r="F931" s="67"/>
      <c r="G931" s="67"/>
      <c r="H931" s="67">
        <f>ROUND(+E931+G931,4)</f>
        <v>0</v>
      </c>
      <c r="I931" s="67"/>
      <c r="J931" s="67">
        <f>ROUND(+I931-H931,4)</f>
        <v>0</v>
      </c>
      <c r="K931" s="67">
        <f>ROUND(IF(F931="alluminio",0,I931*1.5%),4)</f>
        <v>0</v>
      </c>
      <c r="L931" s="67">
        <f>ROUND(IF(K931&lt;J931,K931,0),4)</f>
        <v>0</v>
      </c>
      <c r="M931" s="67">
        <f>ROUND(IF(J931&gt;K931,0,J931),4)</f>
        <v>0</v>
      </c>
      <c r="N931" s="67">
        <f>ROUND(+L931*D931,4)</f>
        <v>0</v>
      </c>
      <c r="O931" s="67">
        <f>ROUND(IF(F931="rame",0,+I931*3%),4)</f>
        <v>0</v>
      </c>
      <c r="P931" s="67">
        <f>ROUND(IF(O931&lt;J931,O931,0),4)</f>
        <v>0</v>
      </c>
      <c r="Q931" s="67">
        <f>ROUND(IF(J931&gt;O931,0,J931),4)</f>
        <v>0</v>
      </c>
      <c r="R931" s="67">
        <f>ROUND(+P931*D931,4)</f>
        <v>0</v>
      </c>
      <c r="S931" s="67">
        <f>ROUND(IF(K931=0,0,M931*D931),4)</f>
        <v>0</v>
      </c>
      <c r="T931" s="67">
        <f>ROUND(+IF(K931=0,Q931*D931,0),4)</f>
        <v>0</v>
      </c>
      <c r="U931" s="67">
        <f>ROUND(+N931+R931+S931+T931,4)</f>
        <v>0</v>
      </c>
      <c r="V931" s="67">
        <f>ROUND(IF(P931=0,0,I931-H931-O931)+IF(L931=0,0,I931-H931-K931),4)</f>
        <v>0</v>
      </c>
      <c r="W931" s="67">
        <f>ROUND(+(V931*60%)*D931,4)</f>
        <v>0</v>
      </c>
      <c r="X931" s="148">
        <f>ROUND(+U931+W931,4)</f>
        <v>0</v>
      </c>
      <c r="Y931" s="68"/>
      <c r="Z931" s="148">
        <f>ROUND(IF(X931&gt;I931,X931,I931),4)</f>
        <v>0</v>
      </c>
    </row>
    <row r="932" spans="1:26" x14ac:dyDescent="0.2">
      <c r="A932" s="66"/>
      <c r="B932" s="66"/>
      <c r="C932" s="66"/>
      <c r="D932" s="144"/>
      <c r="E932" s="67"/>
      <c r="F932" s="67"/>
      <c r="G932" s="67"/>
      <c r="H932" s="67">
        <f>ROUND(+E932+G932,4)</f>
        <v>0</v>
      </c>
      <c r="I932" s="67"/>
      <c r="J932" s="67">
        <f>ROUND(+I932-H932,4)</f>
        <v>0</v>
      </c>
      <c r="K932" s="67">
        <f>ROUND(IF(F932="alluminio",0,I932*1.5%),4)</f>
        <v>0</v>
      </c>
      <c r="L932" s="67">
        <f>ROUND(IF(K932&lt;J932,K932,0),4)</f>
        <v>0</v>
      </c>
      <c r="M932" s="67">
        <f>ROUND(IF(J932&gt;K932,0,J932),4)</f>
        <v>0</v>
      </c>
      <c r="N932" s="67">
        <f>ROUND(+L932*D932,4)</f>
        <v>0</v>
      </c>
      <c r="O932" s="67">
        <f>ROUND(IF(F932="rame",0,+I932*3%),4)</f>
        <v>0</v>
      </c>
      <c r="P932" s="67">
        <f>ROUND(IF(O932&lt;J932,O932,0),4)</f>
        <v>0</v>
      </c>
      <c r="Q932" s="67">
        <f>ROUND(IF(J932&gt;O932,0,J932),4)</f>
        <v>0</v>
      </c>
      <c r="R932" s="67">
        <f>ROUND(+P932*D932,4)</f>
        <v>0</v>
      </c>
      <c r="S932" s="67">
        <f>ROUND(IF(K932=0,0,M932*D932),4)</f>
        <v>0</v>
      </c>
      <c r="T932" s="67">
        <f>ROUND(+IF(K932=0,Q932*D932,0),4)</f>
        <v>0</v>
      </c>
      <c r="U932" s="67">
        <f>ROUND(+N932+R932+S932+T932,4)</f>
        <v>0</v>
      </c>
      <c r="V932" s="67">
        <f>ROUND(IF(P932=0,0,I932-H932-O932)+IF(L932=0,0,I932-H932-K932),4)</f>
        <v>0</v>
      </c>
      <c r="W932" s="67">
        <f>ROUND(+(V932*60%)*D932,4)</f>
        <v>0</v>
      </c>
      <c r="X932" s="148">
        <f>ROUND(+U932+W932,4)</f>
        <v>0</v>
      </c>
      <c r="Y932" s="68"/>
      <c r="Z932" s="148">
        <f>ROUND(IF(X932&gt;I932,X932,I932),4)</f>
        <v>0</v>
      </c>
    </row>
    <row r="933" spans="1:26" x14ac:dyDescent="0.2">
      <c r="A933" s="66"/>
      <c r="B933" s="66"/>
      <c r="C933" s="66"/>
      <c r="D933" s="144"/>
      <c r="E933" s="67"/>
      <c r="F933" s="67"/>
      <c r="G933" s="67"/>
      <c r="H933" s="67">
        <f>ROUND(+E933+G933,4)</f>
        <v>0</v>
      </c>
      <c r="I933" s="67"/>
      <c r="J933" s="67">
        <f>ROUND(+I933-H933,4)</f>
        <v>0</v>
      </c>
      <c r="K933" s="67">
        <f>ROUND(IF(F933="alluminio",0,I933*1.5%),4)</f>
        <v>0</v>
      </c>
      <c r="L933" s="67">
        <f>ROUND(IF(K933&lt;J933,K933,0),4)</f>
        <v>0</v>
      </c>
      <c r="M933" s="67">
        <f>ROUND(IF(J933&gt;K933,0,J933),4)</f>
        <v>0</v>
      </c>
      <c r="N933" s="67">
        <f>ROUND(+L933*D933,4)</f>
        <v>0</v>
      </c>
      <c r="O933" s="67">
        <f>ROUND(IF(F933="rame",0,+I933*3%),4)</f>
        <v>0</v>
      </c>
      <c r="P933" s="67">
        <f>ROUND(IF(O933&lt;J933,O933,0),4)</f>
        <v>0</v>
      </c>
      <c r="Q933" s="67">
        <f>ROUND(IF(J933&gt;O933,0,J933),4)</f>
        <v>0</v>
      </c>
      <c r="R933" s="67">
        <f>ROUND(+P933*D933,4)</f>
        <v>0</v>
      </c>
      <c r="S933" s="67">
        <f>ROUND(IF(K933=0,0,M933*D933),4)</f>
        <v>0</v>
      </c>
      <c r="T933" s="67">
        <f>ROUND(+IF(K933=0,Q933*D933,0),4)</f>
        <v>0</v>
      </c>
      <c r="U933" s="67">
        <f>ROUND(+N933+R933+S933+T933,4)</f>
        <v>0</v>
      </c>
      <c r="V933" s="67">
        <f>ROUND(IF(P933=0,0,I933-H933-O933)+IF(L933=0,0,I933-H933-K933),4)</f>
        <v>0</v>
      </c>
      <c r="W933" s="67">
        <f>ROUND(+(V933*60%)*D933,4)</f>
        <v>0</v>
      </c>
      <c r="X933" s="148">
        <f>ROUND(+U933+W933,4)</f>
        <v>0</v>
      </c>
      <c r="Y933" s="68"/>
      <c r="Z933" s="148">
        <f>ROUND(IF(X933&gt;I933,X933,I933),4)</f>
        <v>0</v>
      </c>
    </row>
    <row r="934" spans="1:26" x14ac:dyDescent="0.2">
      <c r="A934" s="66"/>
      <c r="B934" s="66"/>
      <c r="C934" s="66"/>
      <c r="D934" s="144"/>
      <c r="E934" s="67"/>
      <c r="F934" s="67"/>
      <c r="G934" s="67"/>
      <c r="H934" s="67">
        <f>ROUND(+E934+G934,4)</f>
        <v>0</v>
      </c>
      <c r="I934" s="67"/>
      <c r="J934" s="67">
        <f>ROUND(+I934-H934,4)</f>
        <v>0</v>
      </c>
      <c r="K934" s="67">
        <f>ROUND(IF(F934="alluminio",0,I934*1.5%),4)</f>
        <v>0</v>
      </c>
      <c r="L934" s="67">
        <f>ROUND(IF(K934&lt;J934,K934,0),4)</f>
        <v>0</v>
      </c>
      <c r="M934" s="67">
        <f>ROUND(IF(J934&gt;K934,0,J934),4)</f>
        <v>0</v>
      </c>
      <c r="N934" s="67">
        <f>ROUND(+L934*D934,4)</f>
        <v>0</v>
      </c>
      <c r="O934" s="67">
        <f>ROUND(IF(F934="rame",0,+I934*3%),4)</f>
        <v>0</v>
      </c>
      <c r="P934" s="67">
        <f>ROUND(IF(O934&lt;J934,O934,0),4)</f>
        <v>0</v>
      </c>
      <c r="Q934" s="67">
        <f>ROUND(IF(J934&gt;O934,0,J934),4)</f>
        <v>0</v>
      </c>
      <c r="R934" s="67">
        <f>ROUND(+P934*D934,4)</f>
        <v>0</v>
      </c>
      <c r="S934" s="67">
        <f>ROUND(IF(K934=0,0,M934*D934),4)</f>
        <v>0</v>
      </c>
      <c r="T934" s="67">
        <f>ROUND(+IF(K934=0,Q934*D934,0),4)</f>
        <v>0</v>
      </c>
      <c r="U934" s="67">
        <f>ROUND(+N934+R934+S934+T934,4)</f>
        <v>0</v>
      </c>
      <c r="V934" s="67">
        <f>ROUND(IF(P934=0,0,I934-H934-O934)+IF(L934=0,0,I934-H934-K934),4)</f>
        <v>0</v>
      </c>
      <c r="W934" s="67">
        <f>ROUND(+(V934*60%)*D934,4)</f>
        <v>0</v>
      </c>
      <c r="X934" s="148">
        <f>ROUND(+U934+W934,4)</f>
        <v>0</v>
      </c>
      <c r="Y934" s="68"/>
      <c r="Z934" s="148">
        <f>ROUND(IF(X934&gt;I934,X934,I934),4)</f>
        <v>0</v>
      </c>
    </row>
    <row r="935" spans="1:26" x14ac:dyDescent="0.2">
      <c r="A935" s="66"/>
      <c r="B935" s="66"/>
      <c r="C935" s="66"/>
      <c r="D935" s="144"/>
      <c r="E935" s="67"/>
      <c r="F935" s="67"/>
      <c r="G935" s="67"/>
      <c r="H935" s="67">
        <f>ROUND(+E935+G935,4)</f>
        <v>0</v>
      </c>
      <c r="I935" s="67"/>
      <c r="J935" s="67">
        <f>ROUND(+I935-H935,4)</f>
        <v>0</v>
      </c>
      <c r="K935" s="67">
        <f>ROUND(IF(F935="alluminio",0,I935*1.5%),4)</f>
        <v>0</v>
      </c>
      <c r="L935" s="67">
        <f>ROUND(IF(K935&lt;J935,K935,0),4)</f>
        <v>0</v>
      </c>
      <c r="M935" s="67">
        <f>ROUND(IF(J935&gt;K935,0,J935),4)</f>
        <v>0</v>
      </c>
      <c r="N935" s="67">
        <f>ROUND(+L935*D935,4)</f>
        <v>0</v>
      </c>
      <c r="O935" s="67">
        <f>ROUND(IF(F935="rame",0,+I935*3%),4)</f>
        <v>0</v>
      </c>
      <c r="P935" s="67">
        <f>ROUND(IF(O935&lt;J935,O935,0),4)</f>
        <v>0</v>
      </c>
      <c r="Q935" s="67">
        <f>ROUND(IF(J935&gt;O935,0,J935),4)</f>
        <v>0</v>
      </c>
      <c r="R935" s="67">
        <f>ROUND(+P935*D935,4)</f>
        <v>0</v>
      </c>
      <c r="S935" s="67">
        <f>ROUND(IF(K935=0,0,M935*D935),4)</f>
        <v>0</v>
      </c>
      <c r="T935" s="67">
        <f>ROUND(+IF(K935=0,Q935*D935,0),4)</f>
        <v>0</v>
      </c>
      <c r="U935" s="67">
        <f>ROUND(+N935+R935+S935+T935,4)</f>
        <v>0</v>
      </c>
      <c r="V935" s="67">
        <f>ROUND(IF(P935=0,0,I935-H935-O935)+IF(L935=0,0,I935-H935-K935),4)</f>
        <v>0</v>
      </c>
      <c r="W935" s="67">
        <f>ROUND(+(V935*60%)*D935,4)</f>
        <v>0</v>
      </c>
      <c r="X935" s="148">
        <f>ROUND(+U935+W935,4)</f>
        <v>0</v>
      </c>
      <c r="Y935" s="68"/>
      <c r="Z935" s="148">
        <f>ROUND(IF(X935&gt;I935,X935,I935),4)</f>
        <v>0</v>
      </c>
    </row>
    <row r="936" spans="1:26" x14ac:dyDescent="0.2">
      <c r="A936" s="66"/>
      <c r="B936" s="66"/>
      <c r="C936" s="66"/>
      <c r="D936" s="144"/>
      <c r="E936" s="67"/>
      <c r="F936" s="67"/>
      <c r="G936" s="67"/>
      <c r="H936" s="67">
        <f>ROUND(+E936+G936,4)</f>
        <v>0</v>
      </c>
      <c r="I936" s="67"/>
      <c r="J936" s="67">
        <f>ROUND(+I936-H936,4)</f>
        <v>0</v>
      </c>
      <c r="K936" s="67">
        <f>ROUND(IF(F936="alluminio",0,I936*1.5%),4)</f>
        <v>0</v>
      </c>
      <c r="L936" s="67">
        <f>ROUND(IF(K936&lt;J936,K936,0),4)</f>
        <v>0</v>
      </c>
      <c r="M936" s="67">
        <f>ROUND(IF(J936&gt;K936,0,J936),4)</f>
        <v>0</v>
      </c>
      <c r="N936" s="67">
        <f>ROUND(+L936*D936,4)</f>
        <v>0</v>
      </c>
      <c r="O936" s="67">
        <f>ROUND(IF(F936="rame",0,+I936*3%),4)</f>
        <v>0</v>
      </c>
      <c r="P936" s="67">
        <f>ROUND(IF(O936&lt;J936,O936,0),4)</f>
        <v>0</v>
      </c>
      <c r="Q936" s="67">
        <f>ROUND(IF(J936&gt;O936,0,J936),4)</f>
        <v>0</v>
      </c>
      <c r="R936" s="67">
        <f>ROUND(+P936*D936,4)</f>
        <v>0</v>
      </c>
      <c r="S936" s="67">
        <f>ROUND(IF(K936=0,0,M936*D936),4)</f>
        <v>0</v>
      </c>
      <c r="T936" s="67">
        <f>ROUND(+IF(K936=0,Q936*D936,0),4)</f>
        <v>0</v>
      </c>
      <c r="U936" s="67">
        <f>ROUND(+N936+R936+S936+T936,4)</f>
        <v>0</v>
      </c>
      <c r="V936" s="67">
        <f>ROUND(IF(P936=0,0,I936-H936-O936)+IF(L936=0,0,I936-H936-K936),4)</f>
        <v>0</v>
      </c>
      <c r="W936" s="67">
        <f>ROUND(+(V936*60%)*D936,4)</f>
        <v>0</v>
      </c>
      <c r="X936" s="148">
        <f>ROUND(+U936+W936,4)</f>
        <v>0</v>
      </c>
      <c r="Y936" s="68"/>
      <c r="Z936" s="148">
        <f>ROUND(IF(X936&gt;I936,X936,I936),4)</f>
        <v>0</v>
      </c>
    </row>
    <row r="937" spans="1:26" x14ac:dyDescent="0.2">
      <c r="A937" s="66"/>
      <c r="B937" s="66"/>
      <c r="C937" s="66"/>
      <c r="D937" s="144"/>
      <c r="E937" s="67"/>
      <c r="F937" s="67"/>
      <c r="G937" s="67"/>
      <c r="H937" s="67">
        <f>ROUND(+E937+G937,4)</f>
        <v>0</v>
      </c>
      <c r="I937" s="67"/>
      <c r="J937" s="67">
        <f>ROUND(+I937-H937,4)</f>
        <v>0</v>
      </c>
      <c r="K937" s="67">
        <f>ROUND(IF(F937="alluminio",0,I937*1.5%),4)</f>
        <v>0</v>
      </c>
      <c r="L937" s="67">
        <f>ROUND(IF(K937&lt;J937,K937,0),4)</f>
        <v>0</v>
      </c>
      <c r="M937" s="67">
        <f>ROUND(IF(J937&gt;K937,0,J937),4)</f>
        <v>0</v>
      </c>
      <c r="N937" s="67">
        <f>ROUND(+L937*D937,4)</f>
        <v>0</v>
      </c>
      <c r="O937" s="67">
        <f>ROUND(IF(F937="rame",0,+I937*3%),4)</f>
        <v>0</v>
      </c>
      <c r="P937" s="67">
        <f>ROUND(IF(O937&lt;J937,O937,0),4)</f>
        <v>0</v>
      </c>
      <c r="Q937" s="67">
        <f>ROUND(IF(J937&gt;O937,0,J937),4)</f>
        <v>0</v>
      </c>
      <c r="R937" s="67">
        <f>ROUND(+P937*D937,4)</f>
        <v>0</v>
      </c>
      <c r="S937" s="67">
        <f>ROUND(IF(K937=0,0,M937*D937),4)</f>
        <v>0</v>
      </c>
      <c r="T937" s="67">
        <f>ROUND(+IF(K937=0,Q937*D937,0),4)</f>
        <v>0</v>
      </c>
      <c r="U937" s="67">
        <f>ROUND(+N937+R937+S937+T937,4)</f>
        <v>0</v>
      </c>
      <c r="V937" s="67">
        <f>ROUND(IF(P937=0,0,I937-H937-O937)+IF(L937=0,0,I937-H937-K937),4)</f>
        <v>0</v>
      </c>
      <c r="W937" s="67">
        <f>ROUND(+(V937*60%)*D937,4)</f>
        <v>0</v>
      </c>
      <c r="X937" s="148">
        <f>ROUND(+U937+W937,4)</f>
        <v>0</v>
      </c>
      <c r="Y937" s="68"/>
      <c r="Z937" s="148">
        <f>ROUND(IF(X937&gt;I937,X937,I937),4)</f>
        <v>0</v>
      </c>
    </row>
    <row r="938" spans="1:26" x14ac:dyDescent="0.2">
      <c r="A938" s="66"/>
      <c r="B938" s="66"/>
      <c r="C938" s="66"/>
      <c r="D938" s="144"/>
      <c r="E938" s="67"/>
      <c r="F938" s="67"/>
      <c r="G938" s="67"/>
      <c r="H938" s="67">
        <f>ROUND(+E938+G938,4)</f>
        <v>0</v>
      </c>
      <c r="I938" s="67"/>
      <c r="J938" s="67">
        <f>ROUND(+I938-H938,4)</f>
        <v>0</v>
      </c>
      <c r="K938" s="67">
        <f>ROUND(IF(F938="alluminio",0,I938*1.5%),4)</f>
        <v>0</v>
      </c>
      <c r="L938" s="67">
        <f>ROUND(IF(K938&lt;J938,K938,0),4)</f>
        <v>0</v>
      </c>
      <c r="M938" s="67">
        <f>ROUND(IF(J938&gt;K938,0,J938),4)</f>
        <v>0</v>
      </c>
      <c r="N938" s="67">
        <f>ROUND(+L938*D938,4)</f>
        <v>0</v>
      </c>
      <c r="O938" s="67">
        <f>ROUND(IF(F938="rame",0,+I938*3%),4)</f>
        <v>0</v>
      </c>
      <c r="P938" s="67">
        <f>ROUND(IF(O938&lt;J938,O938,0),4)</f>
        <v>0</v>
      </c>
      <c r="Q938" s="67">
        <f>ROUND(IF(J938&gt;O938,0,J938),4)</f>
        <v>0</v>
      </c>
      <c r="R938" s="67">
        <f>ROUND(+P938*D938,4)</f>
        <v>0</v>
      </c>
      <c r="S938" s="67">
        <f>ROUND(IF(K938=0,0,M938*D938),4)</f>
        <v>0</v>
      </c>
      <c r="T938" s="67">
        <f>ROUND(+IF(K938=0,Q938*D938,0),4)</f>
        <v>0</v>
      </c>
      <c r="U938" s="67">
        <f>ROUND(+N938+R938+S938+T938,4)</f>
        <v>0</v>
      </c>
      <c r="V938" s="67">
        <f>ROUND(IF(P938=0,0,I938-H938-O938)+IF(L938=0,0,I938-H938-K938),4)</f>
        <v>0</v>
      </c>
      <c r="W938" s="67">
        <f>ROUND(+(V938*60%)*D938,4)</f>
        <v>0</v>
      </c>
      <c r="X938" s="148">
        <f>ROUND(+U938+W938,4)</f>
        <v>0</v>
      </c>
      <c r="Y938" s="68"/>
      <c r="Z938" s="148">
        <f>ROUND(IF(X938&gt;I938,X938,I938),4)</f>
        <v>0</v>
      </c>
    </row>
    <row r="939" spans="1:26" x14ac:dyDescent="0.2">
      <c r="A939" s="66"/>
      <c r="B939" s="66"/>
      <c r="C939" s="66"/>
      <c r="D939" s="144"/>
      <c r="E939" s="67"/>
      <c r="F939" s="67"/>
      <c r="G939" s="67"/>
      <c r="H939" s="67">
        <f>ROUND(+E939+G939,4)</f>
        <v>0</v>
      </c>
      <c r="I939" s="67"/>
      <c r="J939" s="67">
        <f>ROUND(+I939-H939,4)</f>
        <v>0</v>
      </c>
      <c r="K939" s="67">
        <f>ROUND(IF(F939="alluminio",0,I939*1.5%),4)</f>
        <v>0</v>
      </c>
      <c r="L939" s="67">
        <f>ROUND(IF(K939&lt;J939,K939,0),4)</f>
        <v>0</v>
      </c>
      <c r="M939" s="67">
        <f>ROUND(IF(J939&gt;K939,0,J939),4)</f>
        <v>0</v>
      </c>
      <c r="N939" s="67">
        <f>ROUND(+L939*D939,4)</f>
        <v>0</v>
      </c>
      <c r="O939" s="67">
        <f>ROUND(IF(F939="rame",0,+I939*3%),4)</f>
        <v>0</v>
      </c>
      <c r="P939" s="67">
        <f>ROUND(IF(O939&lt;J939,O939,0),4)</f>
        <v>0</v>
      </c>
      <c r="Q939" s="67">
        <f>ROUND(IF(J939&gt;O939,0,J939),4)</f>
        <v>0</v>
      </c>
      <c r="R939" s="67">
        <f>ROUND(+P939*D939,4)</f>
        <v>0</v>
      </c>
      <c r="S939" s="67">
        <f>ROUND(IF(K939=0,0,M939*D939),4)</f>
        <v>0</v>
      </c>
      <c r="T939" s="67">
        <f>ROUND(+IF(K939=0,Q939*D939,0),4)</f>
        <v>0</v>
      </c>
      <c r="U939" s="67">
        <f>ROUND(+N939+R939+S939+T939,4)</f>
        <v>0</v>
      </c>
      <c r="V939" s="67">
        <f>ROUND(IF(P939=0,0,I939-H939-O939)+IF(L939=0,0,I939-H939-K939),4)</f>
        <v>0</v>
      </c>
      <c r="W939" s="67">
        <f>ROUND(+(V939*60%)*D939,4)</f>
        <v>0</v>
      </c>
      <c r="X939" s="148">
        <f>ROUND(+U939+W939,4)</f>
        <v>0</v>
      </c>
      <c r="Y939" s="68"/>
      <c r="Z939" s="148">
        <f>ROUND(IF(X939&gt;I939,X939,I939),4)</f>
        <v>0</v>
      </c>
    </row>
    <row r="940" spans="1:26" x14ac:dyDescent="0.2">
      <c r="A940" s="66"/>
      <c r="B940" s="66"/>
      <c r="C940" s="66"/>
      <c r="D940" s="144"/>
      <c r="E940" s="67"/>
      <c r="F940" s="67"/>
      <c r="G940" s="67"/>
      <c r="H940" s="67">
        <f>ROUND(+E940+G940,4)</f>
        <v>0</v>
      </c>
      <c r="I940" s="67"/>
      <c r="J940" s="67">
        <f>ROUND(+I940-H940,4)</f>
        <v>0</v>
      </c>
      <c r="K940" s="67">
        <f>ROUND(IF(F940="alluminio",0,I940*1.5%),4)</f>
        <v>0</v>
      </c>
      <c r="L940" s="67">
        <f>ROUND(IF(K940&lt;J940,K940,0),4)</f>
        <v>0</v>
      </c>
      <c r="M940" s="67">
        <f>ROUND(IF(J940&gt;K940,0,J940),4)</f>
        <v>0</v>
      </c>
      <c r="N940" s="67">
        <f>ROUND(+L940*D940,4)</f>
        <v>0</v>
      </c>
      <c r="O940" s="67">
        <f>ROUND(IF(F940="rame",0,+I940*3%),4)</f>
        <v>0</v>
      </c>
      <c r="P940" s="67">
        <f>ROUND(IF(O940&lt;J940,O940,0),4)</f>
        <v>0</v>
      </c>
      <c r="Q940" s="67">
        <f>ROUND(IF(J940&gt;O940,0,J940),4)</f>
        <v>0</v>
      </c>
      <c r="R940" s="67">
        <f>ROUND(+P940*D940,4)</f>
        <v>0</v>
      </c>
      <c r="S940" s="67">
        <f>ROUND(IF(K940=0,0,M940*D940),4)</f>
        <v>0</v>
      </c>
      <c r="T940" s="67">
        <f>ROUND(+IF(K940=0,Q940*D940,0),4)</f>
        <v>0</v>
      </c>
      <c r="U940" s="67">
        <f>ROUND(+N940+R940+S940+T940,4)</f>
        <v>0</v>
      </c>
      <c r="V940" s="67">
        <f>ROUND(IF(P940=0,0,I940-H940-O940)+IF(L940=0,0,I940-H940-K940),4)</f>
        <v>0</v>
      </c>
      <c r="W940" s="67">
        <f>ROUND(+(V940*60%)*D940,4)</f>
        <v>0</v>
      </c>
      <c r="X940" s="148">
        <f>ROUND(+U940+W940,4)</f>
        <v>0</v>
      </c>
      <c r="Y940" s="68"/>
      <c r="Z940" s="148">
        <f>ROUND(IF(X940&gt;I940,X940,I940),4)</f>
        <v>0</v>
      </c>
    </row>
    <row r="941" spans="1:26" x14ac:dyDescent="0.2">
      <c r="A941" s="66"/>
      <c r="B941" s="66"/>
      <c r="C941" s="66"/>
      <c r="D941" s="144"/>
      <c r="E941" s="67"/>
      <c r="F941" s="67"/>
      <c r="G941" s="67"/>
      <c r="H941" s="67">
        <f>ROUND(+E941+G941,4)</f>
        <v>0</v>
      </c>
      <c r="I941" s="67"/>
      <c r="J941" s="67">
        <f>ROUND(+I941-H941,4)</f>
        <v>0</v>
      </c>
      <c r="K941" s="67">
        <f>ROUND(IF(F941="alluminio",0,I941*1.5%),4)</f>
        <v>0</v>
      </c>
      <c r="L941" s="67">
        <f>ROUND(IF(K941&lt;J941,K941,0),4)</f>
        <v>0</v>
      </c>
      <c r="M941" s="67">
        <f>ROUND(IF(J941&gt;K941,0,J941),4)</f>
        <v>0</v>
      </c>
      <c r="N941" s="67">
        <f>ROUND(+L941*D941,4)</f>
        <v>0</v>
      </c>
      <c r="O941" s="67">
        <f>ROUND(IF(F941="rame",0,+I941*3%),4)</f>
        <v>0</v>
      </c>
      <c r="P941" s="67">
        <f>ROUND(IF(O941&lt;J941,O941,0),4)</f>
        <v>0</v>
      </c>
      <c r="Q941" s="67">
        <f>ROUND(IF(J941&gt;O941,0,J941),4)</f>
        <v>0</v>
      </c>
      <c r="R941" s="67">
        <f>ROUND(+P941*D941,4)</f>
        <v>0</v>
      </c>
      <c r="S941" s="67">
        <f>ROUND(IF(K941=0,0,M941*D941),4)</f>
        <v>0</v>
      </c>
      <c r="T941" s="67">
        <f>ROUND(+IF(K941=0,Q941*D941,0),4)</f>
        <v>0</v>
      </c>
      <c r="U941" s="67">
        <f>ROUND(+N941+R941+S941+T941,4)</f>
        <v>0</v>
      </c>
      <c r="V941" s="67">
        <f>ROUND(IF(P941=0,0,I941-H941-O941)+IF(L941=0,0,I941-H941-K941),4)</f>
        <v>0</v>
      </c>
      <c r="W941" s="67">
        <f>ROUND(+(V941*60%)*D941,4)</f>
        <v>0</v>
      </c>
      <c r="X941" s="148">
        <f>ROUND(+U941+W941,4)</f>
        <v>0</v>
      </c>
      <c r="Y941" s="68"/>
      <c r="Z941" s="148">
        <f>ROUND(IF(X941&gt;I941,X941,I941),4)</f>
        <v>0</v>
      </c>
    </row>
    <row r="942" spans="1:26" x14ac:dyDescent="0.2">
      <c r="A942" s="66"/>
      <c r="B942" s="66"/>
      <c r="C942" s="66"/>
      <c r="D942" s="144"/>
      <c r="E942" s="67"/>
      <c r="F942" s="67"/>
      <c r="G942" s="67"/>
      <c r="H942" s="67">
        <f>ROUND(+E942+G942,4)</f>
        <v>0</v>
      </c>
      <c r="I942" s="67"/>
      <c r="J942" s="67">
        <f>ROUND(+I942-H942,4)</f>
        <v>0</v>
      </c>
      <c r="K942" s="67">
        <f>ROUND(IF(F942="alluminio",0,I942*1.5%),4)</f>
        <v>0</v>
      </c>
      <c r="L942" s="67">
        <f>ROUND(IF(K942&lt;J942,K942,0),4)</f>
        <v>0</v>
      </c>
      <c r="M942" s="67">
        <f>ROUND(IF(J942&gt;K942,0,J942),4)</f>
        <v>0</v>
      </c>
      <c r="N942" s="67">
        <f>ROUND(+L942*D942,4)</f>
        <v>0</v>
      </c>
      <c r="O942" s="67">
        <f>ROUND(IF(F942="rame",0,+I942*3%),4)</f>
        <v>0</v>
      </c>
      <c r="P942" s="67">
        <f>ROUND(IF(O942&lt;J942,O942,0),4)</f>
        <v>0</v>
      </c>
      <c r="Q942" s="67">
        <f>ROUND(IF(J942&gt;O942,0,J942),4)</f>
        <v>0</v>
      </c>
      <c r="R942" s="67">
        <f>ROUND(+P942*D942,4)</f>
        <v>0</v>
      </c>
      <c r="S942" s="67">
        <f>ROUND(IF(K942=0,0,M942*D942),4)</f>
        <v>0</v>
      </c>
      <c r="T942" s="67">
        <f>ROUND(+IF(K942=0,Q942*D942,0),4)</f>
        <v>0</v>
      </c>
      <c r="U942" s="67">
        <f>ROUND(+N942+R942+S942+T942,4)</f>
        <v>0</v>
      </c>
      <c r="V942" s="67">
        <f>ROUND(IF(P942=0,0,I942-H942-O942)+IF(L942=0,0,I942-H942-K942),4)</f>
        <v>0</v>
      </c>
      <c r="W942" s="67">
        <f>ROUND(+(V942*60%)*D942,4)</f>
        <v>0</v>
      </c>
      <c r="X942" s="148">
        <f>ROUND(+U942+W942,4)</f>
        <v>0</v>
      </c>
      <c r="Y942" s="68"/>
      <c r="Z942" s="148">
        <f>ROUND(IF(X942&gt;I942,X942,I942),4)</f>
        <v>0</v>
      </c>
    </row>
    <row r="943" spans="1:26" x14ac:dyDescent="0.2">
      <c r="A943" s="66"/>
      <c r="B943" s="66"/>
      <c r="C943" s="66"/>
      <c r="D943" s="144"/>
      <c r="E943" s="67"/>
      <c r="F943" s="67"/>
      <c r="G943" s="67"/>
      <c r="H943" s="67">
        <f>ROUND(+E943+G943,4)</f>
        <v>0</v>
      </c>
      <c r="I943" s="67"/>
      <c r="J943" s="67">
        <f>ROUND(+I943-H943,4)</f>
        <v>0</v>
      </c>
      <c r="K943" s="67">
        <f>ROUND(IF(F943="alluminio",0,I943*1.5%),4)</f>
        <v>0</v>
      </c>
      <c r="L943" s="67">
        <f>ROUND(IF(K943&lt;J943,K943,0),4)</f>
        <v>0</v>
      </c>
      <c r="M943" s="67">
        <f>ROUND(IF(J943&gt;K943,0,J943),4)</f>
        <v>0</v>
      </c>
      <c r="N943" s="67">
        <f>ROUND(+L943*D943,4)</f>
        <v>0</v>
      </c>
      <c r="O943" s="67">
        <f>ROUND(IF(F943="rame",0,+I943*3%),4)</f>
        <v>0</v>
      </c>
      <c r="P943" s="67">
        <f>ROUND(IF(O943&lt;J943,O943,0),4)</f>
        <v>0</v>
      </c>
      <c r="Q943" s="67">
        <f>ROUND(IF(J943&gt;O943,0,J943),4)</f>
        <v>0</v>
      </c>
      <c r="R943" s="67">
        <f>ROUND(+P943*D943,4)</f>
        <v>0</v>
      </c>
      <c r="S943" s="67">
        <f>ROUND(IF(K943=0,0,M943*D943),4)</f>
        <v>0</v>
      </c>
      <c r="T943" s="67">
        <f>ROUND(+IF(K943=0,Q943*D943,0),4)</f>
        <v>0</v>
      </c>
      <c r="U943" s="67">
        <f>ROUND(+N943+R943+S943+T943,4)</f>
        <v>0</v>
      </c>
      <c r="V943" s="67">
        <f>ROUND(IF(P943=0,0,I943-H943-O943)+IF(L943=0,0,I943-H943-K943),4)</f>
        <v>0</v>
      </c>
      <c r="W943" s="67">
        <f>ROUND(+(V943*60%)*D943,4)</f>
        <v>0</v>
      </c>
      <c r="X943" s="148">
        <f>ROUND(+U943+W943,4)</f>
        <v>0</v>
      </c>
      <c r="Y943" s="68"/>
      <c r="Z943" s="148">
        <f>ROUND(IF(X943&gt;I943,X943,I943),4)</f>
        <v>0</v>
      </c>
    </row>
    <row r="944" spans="1:26" x14ac:dyDescent="0.2">
      <c r="A944" s="66"/>
      <c r="B944" s="66"/>
      <c r="C944" s="66"/>
      <c r="D944" s="144"/>
      <c r="E944" s="67"/>
      <c r="F944" s="67"/>
      <c r="G944" s="67"/>
      <c r="H944" s="67">
        <f>ROUND(+E944+G944,4)</f>
        <v>0</v>
      </c>
      <c r="I944" s="67"/>
      <c r="J944" s="67">
        <f>ROUND(+I944-H944,4)</f>
        <v>0</v>
      </c>
      <c r="K944" s="67">
        <f>ROUND(IF(F944="alluminio",0,I944*1.5%),4)</f>
        <v>0</v>
      </c>
      <c r="L944" s="67">
        <f>ROUND(IF(K944&lt;J944,K944,0),4)</f>
        <v>0</v>
      </c>
      <c r="M944" s="67">
        <f>ROUND(IF(J944&gt;K944,0,J944),4)</f>
        <v>0</v>
      </c>
      <c r="N944" s="67">
        <f>ROUND(+L944*D944,4)</f>
        <v>0</v>
      </c>
      <c r="O944" s="67">
        <f>ROUND(IF(F944="rame",0,+I944*3%),4)</f>
        <v>0</v>
      </c>
      <c r="P944" s="67">
        <f>ROUND(IF(O944&lt;J944,O944,0),4)</f>
        <v>0</v>
      </c>
      <c r="Q944" s="67">
        <f>ROUND(IF(J944&gt;O944,0,J944),4)</f>
        <v>0</v>
      </c>
      <c r="R944" s="67">
        <f>ROUND(+P944*D944,4)</f>
        <v>0</v>
      </c>
      <c r="S944" s="67">
        <f>ROUND(IF(K944=0,0,M944*D944),4)</f>
        <v>0</v>
      </c>
      <c r="T944" s="67">
        <f>ROUND(+IF(K944=0,Q944*D944,0),4)</f>
        <v>0</v>
      </c>
      <c r="U944" s="67">
        <f>ROUND(+N944+R944+S944+T944,4)</f>
        <v>0</v>
      </c>
      <c r="V944" s="67">
        <f>ROUND(IF(P944=0,0,I944-H944-O944)+IF(L944=0,0,I944-H944-K944),4)</f>
        <v>0</v>
      </c>
      <c r="W944" s="67">
        <f>ROUND(+(V944*60%)*D944,4)</f>
        <v>0</v>
      </c>
      <c r="X944" s="148">
        <f>ROUND(+U944+W944,4)</f>
        <v>0</v>
      </c>
      <c r="Y944" s="68"/>
      <c r="Z944" s="148">
        <f>ROUND(IF(X944&gt;I944,X944,I944),4)</f>
        <v>0</v>
      </c>
    </row>
    <row r="945" spans="1:26" x14ac:dyDescent="0.2">
      <c r="A945" s="66"/>
      <c r="B945" s="66"/>
      <c r="C945" s="66"/>
      <c r="D945" s="144"/>
      <c r="E945" s="67"/>
      <c r="F945" s="67"/>
      <c r="G945" s="67"/>
      <c r="H945" s="67">
        <f>ROUND(+E945+G945,4)</f>
        <v>0</v>
      </c>
      <c r="I945" s="67"/>
      <c r="J945" s="67">
        <f>ROUND(+I945-H945,4)</f>
        <v>0</v>
      </c>
      <c r="K945" s="67">
        <f>ROUND(IF(F945="alluminio",0,I945*1.5%),4)</f>
        <v>0</v>
      </c>
      <c r="L945" s="67">
        <f>ROUND(IF(K945&lt;J945,K945,0),4)</f>
        <v>0</v>
      </c>
      <c r="M945" s="67">
        <f>ROUND(IF(J945&gt;K945,0,J945),4)</f>
        <v>0</v>
      </c>
      <c r="N945" s="67">
        <f>ROUND(+L945*D945,4)</f>
        <v>0</v>
      </c>
      <c r="O945" s="67">
        <f>ROUND(IF(F945="rame",0,+I945*3%),4)</f>
        <v>0</v>
      </c>
      <c r="P945" s="67">
        <f>ROUND(IF(O945&lt;J945,O945,0),4)</f>
        <v>0</v>
      </c>
      <c r="Q945" s="67">
        <f>ROUND(IF(J945&gt;O945,0,J945),4)</f>
        <v>0</v>
      </c>
      <c r="R945" s="67">
        <f>ROUND(+P945*D945,4)</f>
        <v>0</v>
      </c>
      <c r="S945" s="67">
        <f>ROUND(IF(K945=0,0,M945*D945),4)</f>
        <v>0</v>
      </c>
      <c r="T945" s="67">
        <f>ROUND(+IF(K945=0,Q945*D945,0),4)</f>
        <v>0</v>
      </c>
      <c r="U945" s="67">
        <f>ROUND(+N945+R945+S945+T945,4)</f>
        <v>0</v>
      </c>
      <c r="V945" s="67">
        <f>ROUND(IF(P945=0,0,I945-H945-O945)+IF(L945=0,0,I945-H945-K945),4)</f>
        <v>0</v>
      </c>
      <c r="W945" s="67">
        <f>ROUND(+(V945*60%)*D945,4)</f>
        <v>0</v>
      </c>
      <c r="X945" s="148">
        <f>ROUND(+U945+W945,4)</f>
        <v>0</v>
      </c>
      <c r="Y945" s="68"/>
      <c r="Z945" s="148">
        <f>ROUND(IF(X945&gt;I945,X945,I945),4)</f>
        <v>0</v>
      </c>
    </row>
    <row r="946" spans="1:26" x14ac:dyDescent="0.2">
      <c r="A946" s="66"/>
      <c r="B946" s="66"/>
      <c r="C946" s="66"/>
      <c r="D946" s="144"/>
      <c r="E946" s="67"/>
      <c r="F946" s="67"/>
      <c r="G946" s="67"/>
      <c r="H946" s="67">
        <f>ROUND(+E946+G946,4)</f>
        <v>0</v>
      </c>
      <c r="I946" s="67"/>
      <c r="J946" s="67">
        <f>ROUND(+I946-H946,4)</f>
        <v>0</v>
      </c>
      <c r="K946" s="67">
        <f>ROUND(IF(F946="alluminio",0,I946*1.5%),4)</f>
        <v>0</v>
      </c>
      <c r="L946" s="67">
        <f>ROUND(IF(K946&lt;J946,K946,0),4)</f>
        <v>0</v>
      </c>
      <c r="M946" s="67">
        <f>ROUND(IF(J946&gt;K946,0,J946),4)</f>
        <v>0</v>
      </c>
      <c r="N946" s="67">
        <f>ROUND(+L946*D946,4)</f>
        <v>0</v>
      </c>
      <c r="O946" s="67">
        <f>ROUND(IF(F946="rame",0,+I946*3%),4)</f>
        <v>0</v>
      </c>
      <c r="P946" s="67">
        <f>ROUND(IF(O946&lt;J946,O946,0),4)</f>
        <v>0</v>
      </c>
      <c r="Q946" s="67">
        <f>ROUND(IF(J946&gt;O946,0,J946),4)</f>
        <v>0</v>
      </c>
      <c r="R946" s="67">
        <f>ROUND(+P946*D946,4)</f>
        <v>0</v>
      </c>
      <c r="S946" s="67">
        <f>ROUND(IF(K946=0,0,M946*D946),4)</f>
        <v>0</v>
      </c>
      <c r="T946" s="67">
        <f>ROUND(+IF(K946=0,Q946*D946,0),4)</f>
        <v>0</v>
      </c>
      <c r="U946" s="67">
        <f>ROUND(+N946+R946+S946+T946,4)</f>
        <v>0</v>
      </c>
      <c r="V946" s="67">
        <f>ROUND(IF(P946=0,0,I946-H946-O946)+IF(L946=0,0,I946-H946-K946),4)</f>
        <v>0</v>
      </c>
      <c r="W946" s="67">
        <f>ROUND(+(V946*60%)*D946,4)</f>
        <v>0</v>
      </c>
      <c r="X946" s="148">
        <f>ROUND(+U946+W946,4)</f>
        <v>0</v>
      </c>
      <c r="Y946" s="68"/>
      <c r="Z946" s="148">
        <f>ROUND(IF(X946&gt;I946,X946,I946),4)</f>
        <v>0</v>
      </c>
    </row>
    <row r="947" spans="1:26" x14ac:dyDescent="0.2">
      <c r="A947" s="66"/>
      <c r="B947" s="66"/>
      <c r="C947" s="66"/>
      <c r="D947" s="144"/>
      <c r="E947" s="67"/>
      <c r="F947" s="67"/>
      <c r="G947" s="67"/>
      <c r="H947" s="67">
        <f>ROUND(+E947+G947,4)</f>
        <v>0</v>
      </c>
      <c r="I947" s="67"/>
      <c r="J947" s="67">
        <f>ROUND(+I947-H947,4)</f>
        <v>0</v>
      </c>
      <c r="K947" s="67">
        <f>ROUND(IF(F947="alluminio",0,I947*1.5%),4)</f>
        <v>0</v>
      </c>
      <c r="L947" s="67">
        <f>ROUND(IF(K947&lt;J947,K947,0),4)</f>
        <v>0</v>
      </c>
      <c r="M947" s="67">
        <f>ROUND(IF(J947&gt;K947,0,J947),4)</f>
        <v>0</v>
      </c>
      <c r="N947" s="67">
        <f>ROUND(+L947*D947,4)</f>
        <v>0</v>
      </c>
      <c r="O947" s="67">
        <f>ROUND(IF(F947="rame",0,+I947*3%),4)</f>
        <v>0</v>
      </c>
      <c r="P947" s="67">
        <f>ROUND(IF(O947&lt;J947,O947,0),4)</f>
        <v>0</v>
      </c>
      <c r="Q947" s="67">
        <f>ROUND(IF(J947&gt;O947,0,J947),4)</f>
        <v>0</v>
      </c>
      <c r="R947" s="67">
        <f>ROUND(+P947*D947,4)</f>
        <v>0</v>
      </c>
      <c r="S947" s="67">
        <f>ROUND(IF(K947=0,0,M947*D947),4)</f>
        <v>0</v>
      </c>
      <c r="T947" s="67">
        <f>ROUND(+IF(K947=0,Q947*D947,0),4)</f>
        <v>0</v>
      </c>
      <c r="U947" s="67">
        <f>ROUND(+N947+R947+S947+T947,4)</f>
        <v>0</v>
      </c>
      <c r="V947" s="67">
        <f>ROUND(IF(P947=0,0,I947-H947-O947)+IF(L947=0,0,I947-H947-K947),4)</f>
        <v>0</v>
      </c>
      <c r="W947" s="67">
        <f>ROUND(+(V947*60%)*D947,4)</f>
        <v>0</v>
      </c>
      <c r="X947" s="148">
        <f>ROUND(+U947+W947,4)</f>
        <v>0</v>
      </c>
      <c r="Y947" s="68"/>
      <c r="Z947" s="148">
        <f>ROUND(IF(X947&gt;I947,X947,I947),4)</f>
        <v>0</v>
      </c>
    </row>
    <row r="948" spans="1:26" x14ac:dyDescent="0.2">
      <c r="A948" s="66"/>
      <c r="B948" s="66"/>
      <c r="C948" s="66"/>
      <c r="D948" s="144"/>
      <c r="E948" s="67"/>
      <c r="F948" s="67"/>
      <c r="G948" s="67"/>
      <c r="H948" s="67">
        <f>ROUND(+E948+G948,4)</f>
        <v>0</v>
      </c>
      <c r="I948" s="67"/>
      <c r="J948" s="67">
        <f>ROUND(+I948-H948,4)</f>
        <v>0</v>
      </c>
      <c r="K948" s="67">
        <f>ROUND(IF(F948="alluminio",0,I948*1.5%),4)</f>
        <v>0</v>
      </c>
      <c r="L948" s="67">
        <f>ROUND(IF(K948&lt;J948,K948,0),4)</f>
        <v>0</v>
      </c>
      <c r="M948" s="67">
        <f>ROUND(IF(J948&gt;K948,0,J948),4)</f>
        <v>0</v>
      </c>
      <c r="N948" s="67">
        <f>ROUND(+L948*D948,4)</f>
        <v>0</v>
      </c>
      <c r="O948" s="67">
        <f>ROUND(IF(F948="rame",0,+I948*3%),4)</f>
        <v>0</v>
      </c>
      <c r="P948" s="67">
        <f>ROUND(IF(O948&lt;J948,O948,0),4)</f>
        <v>0</v>
      </c>
      <c r="Q948" s="67">
        <f>ROUND(IF(J948&gt;O948,0,J948),4)</f>
        <v>0</v>
      </c>
      <c r="R948" s="67">
        <f>ROUND(+P948*D948,4)</f>
        <v>0</v>
      </c>
      <c r="S948" s="67">
        <f>ROUND(IF(K948=0,0,M948*D948),4)</f>
        <v>0</v>
      </c>
      <c r="T948" s="67">
        <f>ROUND(+IF(K948=0,Q948*D948,0),4)</f>
        <v>0</v>
      </c>
      <c r="U948" s="67">
        <f>ROUND(+N948+R948+S948+T948,4)</f>
        <v>0</v>
      </c>
      <c r="V948" s="67">
        <f>ROUND(IF(P948=0,0,I948-H948-O948)+IF(L948=0,0,I948-H948-K948),4)</f>
        <v>0</v>
      </c>
      <c r="W948" s="67">
        <f>ROUND(+(V948*60%)*D948,4)</f>
        <v>0</v>
      </c>
      <c r="X948" s="148">
        <f>ROUND(+U948+W948,4)</f>
        <v>0</v>
      </c>
      <c r="Y948" s="68"/>
      <c r="Z948" s="148">
        <f>ROUND(IF(X948&gt;I948,X948,I948),4)</f>
        <v>0</v>
      </c>
    </row>
    <row r="949" spans="1:26" x14ac:dyDescent="0.2">
      <c r="A949" s="66"/>
      <c r="B949" s="66"/>
      <c r="C949" s="66"/>
      <c r="D949" s="144"/>
      <c r="E949" s="67"/>
      <c r="F949" s="67"/>
      <c r="G949" s="67"/>
      <c r="H949" s="67">
        <f>ROUND(+E949+G949,4)</f>
        <v>0</v>
      </c>
      <c r="I949" s="67"/>
      <c r="J949" s="67">
        <f>ROUND(+I949-H949,4)</f>
        <v>0</v>
      </c>
      <c r="K949" s="67">
        <f>ROUND(IF(F949="alluminio",0,I949*1.5%),4)</f>
        <v>0</v>
      </c>
      <c r="L949" s="67">
        <f>ROUND(IF(K949&lt;J949,K949,0),4)</f>
        <v>0</v>
      </c>
      <c r="M949" s="67">
        <f>ROUND(IF(J949&gt;K949,0,J949),4)</f>
        <v>0</v>
      </c>
      <c r="N949" s="67">
        <f>ROUND(+L949*D949,4)</f>
        <v>0</v>
      </c>
      <c r="O949" s="67">
        <f>ROUND(IF(F949="rame",0,+I949*3%),4)</f>
        <v>0</v>
      </c>
      <c r="P949" s="67">
        <f>ROUND(IF(O949&lt;J949,O949,0),4)</f>
        <v>0</v>
      </c>
      <c r="Q949" s="67">
        <f>ROUND(IF(J949&gt;O949,0,J949),4)</f>
        <v>0</v>
      </c>
      <c r="R949" s="67">
        <f>ROUND(+P949*D949,4)</f>
        <v>0</v>
      </c>
      <c r="S949" s="67">
        <f>ROUND(IF(K949=0,0,M949*D949),4)</f>
        <v>0</v>
      </c>
      <c r="T949" s="67">
        <f>ROUND(+IF(K949=0,Q949*D949,0),4)</f>
        <v>0</v>
      </c>
      <c r="U949" s="67">
        <f>ROUND(+N949+R949+S949+T949,4)</f>
        <v>0</v>
      </c>
      <c r="V949" s="67">
        <f>ROUND(IF(P949=0,0,I949-H949-O949)+IF(L949=0,0,I949-H949-K949),4)</f>
        <v>0</v>
      </c>
      <c r="W949" s="67">
        <f>ROUND(+(V949*60%)*D949,4)</f>
        <v>0</v>
      </c>
      <c r="X949" s="148">
        <f>ROUND(+U949+W949,4)</f>
        <v>0</v>
      </c>
      <c r="Y949" s="68"/>
      <c r="Z949" s="148">
        <f>ROUND(IF(X949&gt;I949,X949,I949),4)</f>
        <v>0</v>
      </c>
    </row>
    <row r="950" spans="1:26" x14ac:dyDescent="0.2">
      <c r="A950" s="66"/>
      <c r="B950" s="66"/>
      <c r="C950" s="66"/>
      <c r="D950" s="144"/>
      <c r="E950" s="67"/>
      <c r="F950" s="67"/>
      <c r="G950" s="67"/>
      <c r="H950" s="67">
        <f>ROUND(+E950+G950,4)</f>
        <v>0</v>
      </c>
      <c r="I950" s="67"/>
      <c r="J950" s="67">
        <f>ROUND(+I950-H950,4)</f>
        <v>0</v>
      </c>
      <c r="K950" s="67">
        <f>ROUND(IF(F950="alluminio",0,I950*1.5%),4)</f>
        <v>0</v>
      </c>
      <c r="L950" s="67">
        <f>ROUND(IF(K950&lt;J950,K950,0),4)</f>
        <v>0</v>
      </c>
      <c r="M950" s="67">
        <f>ROUND(IF(J950&gt;K950,0,J950),4)</f>
        <v>0</v>
      </c>
      <c r="N950" s="67">
        <f>ROUND(+L950*D950,4)</f>
        <v>0</v>
      </c>
      <c r="O950" s="67">
        <f>ROUND(IF(F950="rame",0,+I950*3%),4)</f>
        <v>0</v>
      </c>
      <c r="P950" s="67">
        <f>ROUND(IF(O950&lt;J950,O950,0),4)</f>
        <v>0</v>
      </c>
      <c r="Q950" s="67">
        <f>ROUND(IF(J950&gt;O950,0,J950),4)</f>
        <v>0</v>
      </c>
      <c r="R950" s="67">
        <f>ROUND(+P950*D950,4)</f>
        <v>0</v>
      </c>
      <c r="S950" s="67">
        <f>ROUND(IF(K950=0,0,M950*D950),4)</f>
        <v>0</v>
      </c>
      <c r="T950" s="67">
        <f>ROUND(+IF(K950=0,Q950*D950,0),4)</f>
        <v>0</v>
      </c>
      <c r="U950" s="67">
        <f>ROUND(+N950+R950+S950+T950,4)</f>
        <v>0</v>
      </c>
      <c r="V950" s="67">
        <f>ROUND(IF(P950=0,0,I950-H950-O950)+IF(L950=0,0,I950-H950-K950),4)</f>
        <v>0</v>
      </c>
      <c r="W950" s="67">
        <f>ROUND(+(V950*60%)*D950,4)</f>
        <v>0</v>
      </c>
      <c r="X950" s="148">
        <f>ROUND(+U950+W950,4)</f>
        <v>0</v>
      </c>
      <c r="Y950" s="68"/>
      <c r="Z950" s="148">
        <f>ROUND(IF(X950&gt;I950,X950,I950),4)</f>
        <v>0</v>
      </c>
    </row>
    <row r="951" spans="1:26" x14ac:dyDescent="0.2">
      <c r="A951" s="66"/>
      <c r="B951" s="66"/>
      <c r="C951" s="66"/>
      <c r="D951" s="144"/>
      <c r="E951" s="67"/>
      <c r="F951" s="67"/>
      <c r="G951" s="67"/>
      <c r="H951" s="67">
        <f>ROUND(+E951+G951,4)</f>
        <v>0</v>
      </c>
      <c r="I951" s="67"/>
      <c r="J951" s="67">
        <f>ROUND(+I951-H951,4)</f>
        <v>0</v>
      </c>
      <c r="K951" s="67">
        <f>ROUND(IF(F951="alluminio",0,I951*1.5%),4)</f>
        <v>0</v>
      </c>
      <c r="L951" s="67">
        <f>ROUND(IF(K951&lt;J951,K951,0),4)</f>
        <v>0</v>
      </c>
      <c r="M951" s="67">
        <f>ROUND(IF(J951&gt;K951,0,J951),4)</f>
        <v>0</v>
      </c>
      <c r="N951" s="67">
        <f>ROUND(+L951*D951,4)</f>
        <v>0</v>
      </c>
      <c r="O951" s="67">
        <f>ROUND(IF(F951="rame",0,+I951*3%),4)</f>
        <v>0</v>
      </c>
      <c r="P951" s="67">
        <f>ROUND(IF(O951&lt;J951,O951,0),4)</f>
        <v>0</v>
      </c>
      <c r="Q951" s="67">
        <f>ROUND(IF(J951&gt;O951,0,J951),4)</f>
        <v>0</v>
      </c>
      <c r="R951" s="67">
        <f>ROUND(+P951*D951,4)</f>
        <v>0</v>
      </c>
      <c r="S951" s="67">
        <f>ROUND(IF(K951=0,0,M951*D951),4)</f>
        <v>0</v>
      </c>
      <c r="T951" s="67">
        <f>ROUND(+IF(K951=0,Q951*D951,0),4)</f>
        <v>0</v>
      </c>
      <c r="U951" s="67">
        <f>ROUND(+N951+R951+S951+T951,4)</f>
        <v>0</v>
      </c>
      <c r="V951" s="67">
        <f>ROUND(IF(P951=0,0,I951-H951-O951)+IF(L951=0,0,I951-H951-K951),4)</f>
        <v>0</v>
      </c>
      <c r="W951" s="67">
        <f>ROUND(+(V951*60%)*D951,4)</f>
        <v>0</v>
      </c>
      <c r="X951" s="148">
        <f>ROUND(+U951+W951,4)</f>
        <v>0</v>
      </c>
      <c r="Y951" s="68"/>
      <c r="Z951" s="148">
        <f>ROUND(IF(X951&gt;I951,X951,I951),4)</f>
        <v>0</v>
      </c>
    </row>
    <row r="952" spans="1:26" x14ac:dyDescent="0.2">
      <c r="A952" s="66"/>
      <c r="B952" s="66"/>
      <c r="C952" s="66"/>
      <c r="D952" s="144"/>
      <c r="E952" s="67"/>
      <c r="F952" s="67"/>
      <c r="G952" s="67"/>
      <c r="H952" s="67">
        <f>ROUND(+E952+G952,4)</f>
        <v>0</v>
      </c>
      <c r="I952" s="67"/>
      <c r="J952" s="67">
        <f>ROUND(+I952-H952,4)</f>
        <v>0</v>
      </c>
      <c r="K952" s="67">
        <f>ROUND(IF(F952="alluminio",0,I952*1.5%),4)</f>
        <v>0</v>
      </c>
      <c r="L952" s="67">
        <f>ROUND(IF(K952&lt;J952,K952,0),4)</f>
        <v>0</v>
      </c>
      <c r="M952" s="67">
        <f>ROUND(IF(J952&gt;K952,0,J952),4)</f>
        <v>0</v>
      </c>
      <c r="N952" s="67">
        <f>ROUND(+L952*D952,4)</f>
        <v>0</v>
      </c>
      <c r="O952" s="67">
        <f>ROUND(IF(F952="rame",0,+I952*3%),4)</f>
        <v>0</v>
      </c>
      <c r="P952" s="67">
        <f>ROUND(IF(O952&lt;J952,O952,0),4)</f>
        <v>0</v>
      </c>
      <c r="Q952" s="67">
        <f>ROUND(IF(J952&gt;O952,0,J952),4)</f>
        <v>0</v>
      </c>
      <c r="R952" s="67">
        <f>ROUND(+P952*D952,4)</f>
        <v>0</v>
      </c>
      <c r="S952" s="67">
        <f>ROUND(IF(K952=0,0,M952*D952),4)</f>
        <v>0</v>
      </c>
      <c r="T952" s="67">
        <f>ROUND(+IF(K952=0,Q952*D952,0),4)</f>
        <v>0</v>
      </c>
      <c r="U952" s="67">
        <f>ROUND(+N952+R952+S952+T952,4)</f>
        <v>0</v>
      </c>
      <c r="V952" s="67">
        <f>ROUND(IF(P952=0,0,I952-H952-O952)+IF(L952=0,0,I952-H952-K952),4)</f>
        <v>0</v>
      </c>
      <c r="W952" s="67">
        <f>ROUND(+(V952*60%)*D952,4)</f>
        <v>0</v>
      </c>
      <c r="X952" s="148">
        <f>ROUND(+U952+W952,4)</f>
        <v>0</v>
      </c>
      <c r="Y952" s="68"/>
      <c r="Z952" s="148">
        <f>ROUND(IF(X952&gt;I952,X952,I952),4)</f>
        <v>0</v>
      </c>
    </row>
    <row r="953" spans="1:26" x14ac:dyDescent="0.2">
      <c r="A953" s="66"/>
      <c r="B953" s="66"/>
      <c r="C953" s="66"/>
      <c r="D953" s="144"/>
      <c r="E953" s="67"/>
      <c r="F953" s="67"/>
      <c r="G953" s="67"/>
      <c r="H953" s="67">
        <f>ROUND(+E953+G953,4)</f>
        <v>0</v>
      </c>
      <c r="I953" s="67"/>
      <c r="J953" s="67">
        <f>ROUND(+I953-H953,4)</f>
        <v>0</v>
      </c>
      <c r="K953" s="67">
        <f>ROUND(IF(F953="alluminio",0,I953*1.5%),4)</f>
        <v>0</v>
      </c>
      <c r="L953" s="67">
        <f>ROUND(IF(K953&lt;J953,K953,0),4)</f>
        <v>0</v>
      </c>
      <c r="M953" s="67">
        <f>ROUND(IF(J953&gt;K953,0,J953),4)</f>
        <v>0</v>
      </c>
      <c r="N953" s="67">
        <f>ROUND(+L953*D953,4)</f>
        <v>0</v>
      </c>
      <c r="O953" s="67">
        <f>ROUND(IF(F953="rame",0,+I953*3%),4)</f>
        <v>0</v>
      </c>
      <c r="P953" s="67">
        <f>ROUND(IF(O953&lt;J953,O953,0),4)</f>
        <v>0</v>
      </c>
      <c r="Q953" s="67">
        <f>ROUND(IF(J953&gt;O953,0,J953),4)</f>
        <v>0</v>
      </c>
      <c r="R953" s="67">
        <f>ROUND(+P953*D953,4)</f>
        <v>0</v>
      </c>
      <c r="S953" s="67">
        <f>ROUND(IF(K953=0,0,M953*D953),4)</f>
        <v>0</v>
      </c>
      <c r="T953" s="67">
        <f>ROUND(+IF(K953=0,Q953*D953,0),4)</f>
        <v>0</v>
      </c>
      <c r="U953" s="67">
        <f>ROUND(+N953+R953+S953+T953,4)</f>
        <v>0</v>
      </c>
      <c r="V953" s="67">
        <f>ROUND(IF(P953=0,0,I953-H953-O953)+IF(L953=0,0,I953-H953-K953),4)</f>
        <v>0</v>
      </c>
      <c r="W953" s="67">
        <f>ROUND(+(V953*60%)*D953,4)</f>
        <v>0</v>
      </c>
      <c r="X953" s="148">
        <f>ROUND(+U953+W953,4)</f>
        <v>0</v>
      </c>
      <c r="Y953" s="68"/>
      <c r="Z953" s="148">
        <f>ROUND(IF(X953&gt;I953,X953,I953),4)</f>
        <v>0</v>
      </c>
    </row>
    <row r="954" spans="1:26" x14ac:dyDescent="0.2">
      <c r="A954" s="66"/>
      <c r="B954" s="66"/>
      <c r="C954" s="66"/>
      <c r="D954" s="144"/>
      <c r="E954" s="67"/>
      <c r="F954" s="67"/>
      <c r="G954" s="67"/>
      <c r="H954" s="67">
        <f>ROUND(+E954+G954,4)</f>
        <v>0</v>
      </c>
      <c r="I954" s="67"/>
      <c r="J954" s="67">
        <f>ROUND(+I954-H954,4)</f>
        <v>0</v>
      </c>
      <c r="K954" s="67">
        <f>ROUND(IF(F954="alluminio",0,I954*1.5%),4)</f>
        <v>0</v>
      </c>
      <c r="L954" s="67">
        <f>ROUND(IF(K954&lt;J954,K954,0),4)</f>
        <v>0</v>
      </c>
      <c r="M954" s="67">
        <f>ROUND(IF(J954&gt;K954,0,J954),4)</f>
        <v>0</v>
      </c>
      <c r="N954" s="67">
        <f>ROUND(+L954*D954,4)</f>
        <v>0</v>
      </c>
      <c r="O954" s="67">
        <f>ROUND(IF(F954="rame",0,+I954*3%),4)</f>
        <v>0</v>
      </c>
      <c r="P954" s="67">
        <f>ROUND(IF(O954&lt;J954,O954,0),4)</f>
        <v>0</v>
      </c>
      <c r="Q954" s="67">
        <f>ROUND(IF(J954&gt;O954,0,J954),4)</f>
        <v>0</v>
      </c>
      <c r="R954" s="67">
        <f>ROUND(+P954*D954,4)</f>
        <v>0</v>
      </c>
      <c r="S954" s="67">
        <f>ROUND(IF(K954=0,0,M954*D954),4)</f>
        <v>0</v>
      </c>
      <c r="T954" s="67">
        <f>ROUND(+IF(K954=0,Q954*D954,0),4)</f>
        <v>0</v>
      </c>
      <c r="U954" s="67">
        <f>ROUND(+N954+R954+S954+T954,4)</f>
        <v>0</v>
      </c>
      <c r="V954" s="67">
        <f>ROUND(IF(P954=0,0,I954-H954-O954)+IF(L954=0,0,I954-H954-K954),4)</f>
        <v>0</v>
      </c>
      <c r="W954" s="67">
        <f>ROUND(+(V954*60%)*D954,4)</f>
        <v>0</v>
      </c>
      <c r="X954" s="148">
        <f>ROUND(+U954+W954,4)</f>
        <v>0</v>
      </c>
      <c r="Y954" s="68"/>
      <c r="Z954" s="148">
        <f>ROUND(IF(X954&gt;I954,X954,I954),4)</f>
        <v>0</v>
      </c>
    </row>
    <row r="955" spans="1:26" x14ac:dyDescent="0.2">
      <c r="A955" s="66"/>
      <c r="B955" s="66"/>
      <c r="C955" s="66"/>
      <c r="D955" s="144"/>
      <c r="E955" s="67"/>
      <c r="F955" s="67"/>
      <c r="G955" s="67"/>
      <c r="H955" s="67">
        <f>ROUND(+E955+G955,4)</f>
        <v>0</v>
      </c>
      <c r="I955" s="67"/>
      <c r="J955" s="67">
        <f>ROUND(+I955-H955,4)</f>
        <v>0</v>
      </c>
      <c r="K955" s="67">
        <f>ROUND(IF(F955="alluminio",0,I955*1.5%),4)</f>
        <v>0</v>
      </c>
      <c r="L955" s="67">
        <f>ROUND(IF(K955&lt;J955,K955,0),4)</f>
        <v>0</v>
      </c>
      <c r="M955" s="67">
        <f>ROUND(IF(J955&gt;K955,0,J955),4)</f>
        <v>0</v>
      </c>
      <c r="N955" s="67">
        <f>ROUND(+L955*D955,4)</f>
        <v>0</v>
      </c>
      <c r="O955" s="67">
        <f>ROUND(IF(F955="rame",0,+I955*3%),4)</f>
        <v>0</v>
      </c>
      <c r="P955" s="67">
        <f>ROUND(IF(O955&lt;J955,O955,0),4)</f>
        <v>0</v>
      </c>
      <c r="Q955" s="67">
        <f>ROUND(IF(J955&gt;O955,0,J955),4)</f>
        <v>0</v>
      </c>
      <c r="R955" s="67">
        <f>ROUND(+P955*D955,4)</f>
        <v>0</v>
      </c>
      <c r="S955" s="67">
        <f>ROUND(IF(K955=0,0,M955*D955),4)</f>
        <v>0</v>
      </c>
      <c r="T955" s="67">
        <f>ROUND(+IF(K955=0,Q955*D955,0),4)</f>
        <v>0</v>
      </c>
      <c r="U955" s="67">
        <f>ROUND(+N955+R955+S955+T955,4)</f>
        <v>0</v>
      </c>
      <c r="V955" s="67">
        <f>ROUND(IF(P955=0,0,I955-H955-O955)+IF(L955=0,0,I955-H955-K955),4)</f>
        <v>0</v>
      </c>
      <c r="W955" s="67">
        <f>ROUND(+(V955*60%)*D955,4)</f>
        <v>0</v>
      </c>
      <c r="X955" s="148">
        <f>ROUND(+U955+W955,4)</f>
        <v>0</v>
      </c>
      <c r="Y955" s="68"/>
      <c r="Z955" s="148">
        <f>ROUND(IF(X955&gt;I955,X955,I955),4)</f>
        <v>0</v>
      </c>
    </row>
    <row r="956" spans="1:26" x14ac:dyDescent="0.2">
      <c r="A956" s="66"/>
      <c r="B956" s="66"/>
      <c r="C956" s="66"/>
      <c r="D956" s="144"/>
      <c r="E956" s="67"/>
      <c r="F956" s="67"/>
      <c r="G956" s="67"/>
      <c r="H956" s="67">
        <f>ROUND(+E956+G956,4)</f>
        <v>0</v>
      </c>
      <c r="I956" s="67"/>
      <c r="J956" s="67">
        <f>ROUND(+I956-H956,4)</f>
        <v>0</v>
      </c>
      <c r="K956" s="67">
        <f>ROUND(IF(F956="alluminio",0,I956*1.5%),4)</f>
        <v>0</v>
      </c>
      <c r="L956" s="67">
        <f>ROUND(IF(K956&lt;J956,K956,0),4)</f>
        <v>0</v>
      </c>
      <c r="M956" s="67">
        <f>ROUND(IF(J956&gt;K956,0,J956),4)</f>
        <v>0</v>
      </c>
      <c r="N956" s="67">
        <f>ROUND(+L956*D956,4)</f>
        <v>0</v>
      </c>
      <c r="O956" s="67">
        <f>ROUND(IF(F956="rame",0,+I956*3%),4)</f>
        <v>0</v>
      </c>
      <c r="P956" s="67">
        <f>ROUND(IF(O956&lt;J956,O956,0),4)</f>
        <v>0</v>
      </c>
      <c r="Q956" s="67">
        <f>ROUND(IF(J956&gt;O956,0,J956),4)</f>
        <v>0</v>
      </c>
      <c r="R956" s="67">
        <f>ROUND(+P956*D956,4)</f>
        <v>0</v>
      </c>
      <c r="S956" s="67">
        <f>ROUND(IF(K956=0,0,M956*D956),4)</f>
        <v>0</v>
      </c>
      <c r="T956" s="67">
        <f>ROUND(+IF(K956=0,Q956*D956,0),4)</f>
        <v>0</v>
      </c>
      <c r="U956" s="67">
        <f>ROUND(+N956+R956+S956+T956,4)</f>
        <v>0</v>
      </c>
      <c r="V956" s="67">
        <f>ROUND(IF(P956=0,0,I956-H956-O956)+IF(L956=0,0,I956-H956-K956),4)</f>
        <v>0</v>
      </c>
      <c r="W956" s="67">
        <f>ROUND(+(V956*60%)*D956,4)</f>
        <v>0</v>
      </c>
      <c r="X956" s="148">
        <f>ROUND(+U956+W956,4)</f>
        <v>0</v>
      </c>
      <c r="Y956" s="68"/>
      <c r="Z956" s="148">
        <f>ROUND(IF(X956&gt;I956,X956,I956),4)</f>
        <v>0</v>
      </c>
    </row>
    <row r="957" spans="1:26" x14ac:dyDescent="0.2">
      <c r="A957" s="66"/>
      <c r="B957" s="66"/>
      <c r="C957" s="66"/>
      <c r="D957" s="144"/>
      <c r="E957" s="67"/>
      <c r="F957" s="67"/>
      <c r="G957" s="67"/>
      <c r="H957" s="67">
        <f>ROUND(+E957+G957,4)</f>
        <v>0</v>
      </c>
      <c r="I957" s="67"/>
      <c r="J957" s="67">
        <f>ROUND(+I957-H957,4)</f>
        <v>0</v>
      </c>
      <c r="K957" s="67">
        <f>ROUND(IF(F957="alluminio",0,I957*1.5%),4)</f>
        <v>0</v>
      </c>
      <c r="L957" s="67">
        <f>ROUND(IF(K957&lt;J957,K957,0),4)</f>
        <v>0</v>
      </c>
      <c r="M957" s="67">
        <f>ROUND(IF(J957&gt;K957,0,J957),4)</f>
        <v>0</v>
      </c>
      <c r="N957" s="67">
        <f>ROUND(+L957*D957,4)</f>
        <v>0</v>
      </c>
      <c r="O957" s="67">
        <f>ROUND(IF(F957="rame",0,+I957*3%),4)</f>
        <v>0</v>
      </c>
      <c r="P957" s="67">
        <f>ROUND(IF(O957&lt;J957,O957,0),4)</f>
        <v>0</v>
      </c>
      <c r="Q957" s="67">
        <f>ROUND(IF(J957&gt;O957,0,J957),4)</f>
        <v>0</v>
      </c>
      <c r="R957" s="67">
        <f>ROUND(+P957*D957,4)</f>
        <v>0</v>
      </c>
      <c r="S957" s="67">
        <f>ROUND(IF(K957=0,0,M957*D957),4)</f>
        <v>0</v>
      </c>
      <c r="T957" s="67">
        <f>ROUND(+IF(K957=0,Q957*D957,0),4)</f>
        <v>0</v>
      </c>
      <c r="U957" s="67">
        <f>ROUND(+N957+R957+S957+T957,4)</f>
        <v>0</v>
      </c>
      <c r="V957" s="67">
        <f>ROUND(IF(P957=0,0,I957-H957-O957)+IF(L957=0,0,I957-H957-K957),4)</f>
        <v>0</v>
      </c>
      <c r="W957" s="67">
        <f>ROUND(+(V957*60%)*D957,4)</f>
        <v>0</v>
      </c>
      <c r="X957" s="148">
        <f>ROUND(+U957+W957,4)</f>
        <v>0</v>
      </c>
      <c r="Y957" s="68"/>
      <c r="Z957" s="148">
        <f>ROUND(IF(X957&gt;I957,X957,I957),4)</f>
        <v>0</v>
      </c>
    </row>
    <row r="958" spans="1:26" x14ac:dyDescent="0.2">
      <c r="A958" s="66"/>
      <c r="B958" s="66"/>
      <c r="C958" s="66"/>
      <c r="D958" s="144"/>
      <c r="E958" s="67"/>
      <c r="F958" s="67"/>
      <c r="G958" s="67"/>
      <c r="H958" s="67">
        <f>ROUND(+E958+G958,4)</f>
        <v>0</v>
      </c>
      <c r="I958" s="67"/>
      <c r="J958" s="67">
        <f>ROUND(+I958-H958,4)</f>
        <v>0</v>
      </c>
      <c r="K958" s="67">
        <f>ROUND(IF(F958="alluminio",0,I958*1.5%),4)</f>
        <v>0</v>
      </c>
      <c r="L958" s="67">
        <f>ROUND(IF(K958&lt;J958,K958,0),4)</f>
        <v>0</v>
      </c>
      <c r="M958" s="67">
        <f>ROUND(IF(J958&gt;K958,0,J958),4)</f>
        <v>0</v>
      </c>
      <c r="N958" s="67">
        <f>ROUND(+L958*D958,4)</f>
        <v>0</v>
      </c>
      <c r="O958" s="67">
        <f>ROUND(IF(F958="rame",0,+I958*3%),4)</f>
        <v>0</v>
      </c>
      <c r="P958" s="67">
        <f>ROUND(IF(O958&lt;J958,O958,0),4)</f>
        <v>0</v>
      </c>
      <c r="Q958" s="67">
        <f>ROUND(IF(J958&gt;O958,0,J958),4)</f>
        <v>0</v>
      </c>
      <c r="R958" s="67">
        <f>ROUND(+P958*D958,4)</f>
        <v>0</v>
      </c>
      <c r="S958" s="67">
        <f>ROUND(IF(K958=0,0,M958*D958),4)</f>
        <v>0</v>
      </c>
      <c r="T958" s="67">
        <f>ROUND(+IF(K958=0,Q958*D958,0),4)</f>
        <v>0</v>
      </c>
      <c r="U958" s="67">
        <f>ROUND(+N958+R958+S958+T958,4)</f>
        <v>0</v>
      </c>
      <c r="V958" s="67">
        <f>ROUND(IF(P958=0,0,I958-H958-O958)+IF(L958=0,0,I958-H958-K958),4)</f>
        <v>0</v>
      </c>
      <c r="W958" s="67">
        <f>ROUND(+(V958*60%)*D958,4)</f>
        <v>0</v>
      </c>
      <c r="X958" s="148">
        <f>ROUND(+U958+W958,4)</f>
        <v>0</v>
      </c>
      <c r="Y958" s="68"/>
      <c r="Z958" s="148">
        <f>ROUND(IF(X958&gt;I958,X958,I958),4)</f>
        <v>0</v>
      </c>
    </row>
    <row r="959" spans="1:26" x14ac:dyDescent="0.2">
      <c r="A959" s="66"/>
      <c r="B959" s="66"/>
      <c r="C959" s="66"/>
      <c r="D959" s="144"/>
      <c r="E959" s="67"/>
      <c r="F959" s="67"/>
      <c r="G959" s="67"/>
      <c r="H959" s="67">
        <f>ROUND(+E959+G959,4)</f>
        <v>0</v>
      </c>
      <c r="I959" s="67"/>
      <c r="J959" s="67">
        <f>ROUND(+I959-H959,4)</f>
        <v>0</v>
      </c>
      <c r="K959" s="67">
        <f>ROUND(IF(F959="alluminio",0,I959*1.5%),4)</f>
        <v>0</v>
      </c>
      <c r="L959" s="67">
        <f>ROUND(IF(K959&lt;J959,K959,0),4)</f>
        <v>0</v>
      </c>
      <c r="M959" s="67">
        <f>ROUND(IF(J959&gt;K959,0,J959),4)</f>
        <v>0</v>
      </c>
      <c r="N959" s="67">
        <f>ROUND(+L959*D959,4)</f>
        <v>0</v>
      </c>
      <c r="O959" s="67">
        <f>ROUND(IF(F959="rame",0,+I959*3%),4)</f>
        <v>0</v>
      </c>
      <c r="P959" s="67">
        <f>ROUND(IF(O959&lt;J959,O959,0),4)</f>
        <v>0</v>
      </c>
      <c r="Q959" s="67">
        <f>ROUND(IF(J959&gt;O959,0,J959),4)</f>
        <v>0</v>
      </c>
      <c r="R959" s="67">
        <f>ROUND(+P959*D959,4)</f>
        <v>0</v>
      </c>
      <c r="S959" s="67">
        <f>ROUND(IF(K959=0,0,M959*D959),4)</f>
        <v>0</v>
      </c>
      <c r="T959" s="67">
        <f>ROUND(+IF(K959=0,Q959*D959,0),4)</f>
        <v>0</v>
      </c>
      <c r="U959" s="67">
        <f>ROUND(+N959+R959+S959+T959,4)</f>
        <v>0</v>
      </c>
      <c r="V959" s="67">
        <f>ROUND(IF(P959=0,0,I959-H959-O959)+IF(L959=0,0,I959-H959-K959),4)</f>
        <v>0</v>
      </c>
      <c r="W959" s="67">
        <f>ROUND(+(V959*60%)*D959,4)</f>
        <v>0</v>
      </c>
      <c r="X959" s="148">
        <f>ROUND(+U959+W959,4)</f>
        <v>0</v>
      </c>
      <c r="Y959" s="68"/>
      <c r="Z959" s="148">
        <f>ROUND(IF(X959&gt;I959,X959,I959),4)</f>
        <v>0</v>
      </c>
    </row>
    <row r="960" spans="1:26" x14ac:dyDescent="0.2">
      <c r="A960" s="66"/>
      <c r="B960" s="66"/>
      <c r="C960" s="66"/>
      <c r="D960" s="144"/>
      <c r="E960" s="67"/>
      <c r="F960" s="67"/>
      <c r="G960" s="67"/>
      <c r="H960" s="67">
        <f>ROUND(+E960+G960,4)</f>
        <v>0</v>
      </c>
      <c r="I960" s="67"/>
      <c r="J960" s="67">
        <f>ROUND(+I960-H960,4)</f>
        <v>0</v>
      </c>
      <c r="K960" s="67">
        <f>ROUND(IF(F960="alluminio",0,I960*1.5%),4)</f>
        <v>0</v>
      </c>
      <c r="L960" s="67">
        <f>ROUND(IF(K960&lt;J960,K960,0),4)</f>
        <v>0</v>
      </c>
      <c r="M960" s="67">
        <f>ROUND(IF(J960&gt;K960,0,J960),4)</f>
        <v>0</v>
      </c>
      <c r="N960" s="67">
        <f>ROUND(+L960*D960,4)</f>
        <v>0</v>
      </c>
      <c r="O960" s="67">
        <f>ROUND(IF(F960="rame",0,+I960*3%),4)</f>
        <v>0</v>
      </c>
      <c r="P960" s="67">
        <f>ROUND(IF(O960&lt;J960,O960,0),4)</f>
        <v>0</v>
      </c>
      <c r="Q960" s="67">
        <f>ROUND(IF(J960&gt;O960,0,J960),4)</f>
        <v>0</v>
      </c>
      <c r="R960" s="67">
        <f>ROUND(+P960*D960,4)</f>
        <v>0</v>
      </c>
      <c r="S960" s="67">
        <f>ROUND(IF(K960=0,0,M960*D960),4)</f>
        <v>0</v>
      </c>
      <c r="T960" s="67">
        <f>ROUND(+IF(K960=0,Q960*D960,0),4)</f>
        <v>0</v>
      </c>
      <c r="U960" s="67">
        <f>ROUND(+N960+R960+S960+T960,4)</f>
        <v>0</v>
      </c>
      <c r="V960" s="67">
        <f>ROUND(IF(P960=0,0,I960-H960-O960)+IF(L960=0,0,I960-H960-K960),4)</f>
        <v>0</v>
      </c>
      <c r="W960" s="67">
        <f>ROUND(+(V960*60%)*D960,4)</f>
        <v>0</v>
      </c>
      <c r="X960" s="148">
        <f>ROUND(+U960+W960,4)</f>
        <v>0</v>
      </c>
      <c r="Y960" s="68"/>
      <c r="Z960" s="148">
        <f>ROUND(IF(X960&gt;I960,X960,I960),4)</f>
        <v>0</v>
      </c>
    </row>
    <row r="961" spans="1:26" x14ac:dyDescent="0.2">
      <c r="A961" s="66"/>
      <c r="B961" s="66"/>
      <c r="C961" s="66"/>
      <c r="D961" s="144"/>
      <c r="E961" s="67"/>
      <c r="F961" s="67"/>
      <c r="G961" s="67"/>
      <c r="H961" s="67">
        <f>ROUND(+E961+G961,4)</f>
        <v>0</v>
      </c>
      <c r="I961" s="67"/>
      <c r="J961" s="67">
        <f>ROUND(+I961-H961,4)</f>
        <v>0</v>
      </c>
      <c r="K961" s="67">
        <f>ROUND(IF(F961="alluminio",0,I961*1.5%),4)</f>
        <v>0</v>
      </c>
      <c r="L961" s="67">
        <f>ROUND(IF(K961&lt;J961,K961,0),4)</f>
        <v>0</v>
      </c>
      <c r="M961" s="67">
        <f>ROUND(IF(J961&gt;K961,0,J961),4)</f>
        <v>0</v>
      </c>
      <c r="N961" s="67">
        <f>ROUND(+L961*D961,4)</f>
        <v>0</v>
      </c>
      <c r="O961" s="67">
        <f>ROUND(IF(F961="rame",0,+I961*3%),4)</f>
        <v>0</v>
      </c>
      <c r="P961" s="67">
        <f>ROUND(IF(O961&lt;J961,O961,0),4)</f>
        <v>0</v>
      </c>
      <c r="Q961" s="67">
        <f>ROUND(IF(J961&gt;O961,0,J961),4)</f>
        <v>0</v>
      </c>
      <c r="R961" s="67">
        <f>ROUND(+P961*D961,4)</f>
        <v>0</v>
      </c>
      <c r="S961" s="67">
        <f>ROUND(IF(K961=0,0,M961*D961),4)</f>
        <v>0</v>
      </c>
      <c r="T961" s="67">
        <f>ROUND(+IF(K961=0,Q961*D961,0),4)</f>
        <v>0</v>
      </c>
      <c r="U961" s="67">
        <f>ROUND(+N961+R961+S961+T961,4)</f>
        <v>0</v>
      </c>
      <c r="V961" s="67">
        <f>ROUND(IF(P961=0,0,I961-H961-O961)+IF(L961=0,0,I961-H961-K961),4)</f>
        <v>0</v>
      </c>
      <c r="W961" s="67">
        <f>ROUND(+(V961*60%)*D961,4)</f>
        <v>0</v>
      </c>
      <c r="X961" s="148">
        <f>ROUND(+U961+W961,4)</f>
        <v>0</v>
      </c>
      <c r="Y961" s="68"/>
      <c r="Z961" s="148">
        <f>ROUND(IF(X961&gt;I961,X961,I961),4)</f>
        <v>0</v>
      </c>
    </row>
    <row r="962" spans="1:26" x14ac:dyDescent="0.2">
      <c r="A962" s="66"/>
      <c r="B962" s="66"/>
      <c r="C962" s="66"/>
      <c r="D962" s="144"/>
      <c r="E962" s="67"/>
      <c r="F962" s="67"/>
      <c r="G962" s="67"/>
      <c r="H962" s="67">
        <f>ROUND(+E962+G962,4)</f>
        <v>0</v>
      </c>
      <c r="I962" s="67"/>
      <c r="J962" s="67">
        <f>ROUND(+I962-H962,4)</f>
        <v>0</v>
      </c>
      <c r="K962" s="67">
        <f>ROUND(IF(F962="alluminio",0,I962*1.5%),4)</f>
        <v>0</v>
      </c>
      <c r="L962" s="67">
        <f>ROUND(IF(K962&lt;J962,K962,0),4)</f>
        <v>0</v>
      </c>
      <c r="M962" s="67">
        <f>ROUND(IF(J962&gt;K962,0,J962),4)</f>
        <v>0</v>
      </c>
      <c r="N962" s="67">
        <f>ROUND(+L962*D962,4)</f>
        <v>0</v>
      </c>
      <c r="O962" s="67">
        <f>ROUND(IF(F962="rame",0,+I962*3%),4)</f>
        <v>0</v>
      </c>
      <c r="P962" s="67">
        <f>ROUND(IF(O962&lt;J962,O962,0),4)</f>
        <v>0</v>
      </c>
      <c r="Q962" s="67">
        <f>ROUND(IF(J962&gt;O962,0,J962),4)</f>
        <v>0</v>
      </c>
      <c r="R962" s="67">
        <f>ROUND(+P962*D962,4)</f>
        <v>0</v>
      </c>
      <c r="S962" s="67">
        <f>ROUND(IF(K962=0,0,M962*D962),4)</f>
        <v>0</v>
      </c>
      <c r="T962" s="67">
        <f>ROUND(+IF(K962=0,Q962*D962,0),4)</f>
        <v>0</v>
      </c>
      <c r="U962" s="67">
        <f>ROUND(+N962+R962+S962+T962,4)</f>
        <v>0</v>
      </c>
      <c r="V962" s="67">
        <f>ROUND(IF(P962=0,0,I962-H962-O962)+IF(L962=0,0,I962-H962-K962),4)</f>
        <v>0</v>
      </c>
      <c r="W962" s="67">
        <f>ROUND(+(V962*60%)*D962,4)</f>
        <v>0</v>
      </c>
      <c r="X962" s="148">
        <f>ROUND(+U962+W962,4)</f>
        <v>0</v>
      </c>
      <c r="Y962" s="68"/>
      <c r="Z962" s="148">
        <f>ROUND(IF(X962&gt;I962,X962,I962),4)</f>
        <v>0</v>
      </c>
    </row>
    <row r="963" spans="1:26" x14ac:dyDescent="0.2">
      <c r="A963" s="66"/>
      <c r="B963" s="66"/>
      <c r="C963" s="66"/>
      <c r="D963" s="144"/>
      <c r="E963" s="67"/>
      <c r="F963" s="67"/>
      <c r="G963" s="67"/>
      <c r="H963" s="67">
        <f>ROUND(+E963+G963,4)</f>
        <v>0</v>
      </c>
      <c r="I963" s="67"/>
      <c r="J963" s="67">
        <f>ROUND(+I963-H963,4)</f>
        <v>0</v>
      </c>
      <c r="K963" s="67">
        <f>ROUND(IF(F963="alluminio",0,I963*1.5%),4)</f>
        <v>0</v>
      </c>
      <c r="L963" s="67">
        <f>ROUND(IF(K963&lt;J963,K963,0),4)</f>
        <v>0</v>
      </c>
      <c r="M963" s="67">
        <f>ROUND(IF(J963&gt;K963,0,J963),4)</f>
        <v>0</v>
      </c>
      <c r="N963" s="67">
        <f>ROUND(+L963*D963,4)</f>
        <v>0</v>
      </c>
      <c r="O963" s="67">
        <f>ROUND(IF(F963="rame",0,+I963*3%),4)</f>
        <v>0</v>
      </c>
      <c r="P963" s="67">
        <f>ROUND(IF(O963&lt;J963,O963,0),4)</f>
        <v>0</v>
      </c>
      <c r="Q963" s="67">
        <f>ROUND(IF(J963&gt;O963,0,J963),4)</f>
        <v>0</v>
      </c>
      <c r="R963" s="67">
        <f>ROUND(+P963*D963,4)</f>
        <v>0</v>
      </c>
      <c r="S963" s="67">
        <f>ROUND(IF(K963=0,0,M963*D963),4)</f>
        <v>0</v>
      </c>
      <c r="T963" s="67">
        <f>ROUND(+IF(K963=0,Q963*D963,0),4)</f>
        <v>0</v>
      </c>
      <c r="U963" s="67">
        <f>ROUND(+N963+R963+S963+T963,4)</f>
        <v>0</v>
      </c>
      <c r="V963" s="67">
        <f>ROUND(IF(P963=0,0,I963-H963-O963)+IF(L963=0,0,I963-H963-K963),4)</f>
        <v>0</v>
      </c>
      <c r="W963" s="67">
        <f>ROUND(+(V963*60%)*D963,4)</f>
        <v>0</v>
      </c>
      <c r="X963" s="148">
        <f>ROUND(+U963+W963,4)</f>
        <v>0</v>
      </c>
      <c r="Y963" s="68"/>
      <c r="Z963" s="148">
        <f>ROUND(IF(X963&gt;I963,X963,I963),4)</f>
        <v>0</v>
      </c>
    </row>
    <row r="964" spans="1:26" x14ac:dyDescent="0.2">
      <c r="A964" s="66"/>
      <c r="B964" s="66"/>
      <c r="C964" s="66"/>
      <c r="D964" s="144"/>
      <c r="E964" s="67"/>
      <c r="F964" s="67"/>
      <c r="G964" s="67"/>
      <c r="H964" s="67">
        <f>ROUND(+E964+G964,4)</f>
        <v>0</v>
      </c>
      <c r="I964" s="67"/>
      <c r="J964" s="67">
        <f>ROUND(+I964-H964,4)</f>
        <v>0</v>
      </c>
      <c r="K964" s="67">
        <f>ROUND(IF(F964="alluminio",0,I964*1.5%),4)</f>
        <v>0</v>
      </c>
      <c r="L964" s="67">
        <f>ROUND(IF(K964&lt;J964,K964,0),4)</f>
        <v>0</v>
      </c>
      <c r="M964" s="67">
        <f>ROUND(IF(J964&gt;K964,0,J964),4)</f>
        <v>0</v>
      </c>
      <c r="N964" s="67">
        <f>ROUND(+L964*D964,4)</f>
        <v>0</v>
      </c>
      <c r="O964" s="67">
        <f>ROUND(IF(F964="rame",0,+I964*3%),4)</f>
        <v>0</v>
      </c>
      <c r="P964" s="67">
        <f>ROUND(IF(O964&lt;J964,O964,0),4)</f>
        <v>0</v>
      </c>
      <c r="Q964" s="67">
        <f>ROUND(IF(J964&gt;O964,0,J964),4)</f>
        <v>0</v>
      </c>
      <c r="R964" s="67">
        <f>ROUND(+P964*D964,4)</f>
        <v>0</v>
      </c>
      <c r="S964" s="67">
        <f>ROUND(IF(K964=0,0,M964*D964),4)</f>
        <v>0</v>
      </c>
      <c r="T964" s="67">
        <f>ROUND(+IF(K964=0,Q964*D964,0),4)</f>
        <v>0</v>
      </c>
      <c r="U964" s="67">
        <f>ROUND(+N964+R964+S964+T964,4)</f>
        <v>0</v>
      </c>
      <c r="V964" s="67">
        <f>ROUND(IF(P964=0,0,I964-H964-O964)+IF(L964=0,0,I964-H964-K964),4)</f>
        <v>0</v>
      </c>
      <c r="W964" s="67">
        <f>ROUND(+(V964*60%)*D964,4)</f>
        <v>0</v>
      </c>
      <c r="X964" s="148">
        <f>ROUND(+U964+W964,4)</f>
        <v>0</v>
      </c>
      <c r="Y964" s="68"/>
      <c r="Z964" s="148">
        <f>ROUND(IF(X964&gt;I964,X964,I964),4)</f>
        <v>0</v>
      </c>
    </row>
    <row r="965" spans="1:26" x14ac:dyDescent="0.2">
      <c r="A965" s="66"/>
      <c r="B965" s="66"/>
      <c r="C965" s="66"/>
      <c r="D965" s="144"/>
      <c r="E965" s="67"/>
      <c r="F965" s="67"/>
      <c r="G965" s="67"/>
      <c r="H965" s="67">
        <f>ROUND(+E965+G965,4)</f>
        <v>0</v>
      </c>
      <c r="I965" s="67"/>
      <c r="J965" s="67">
        <f>ROUND(+I965-H965,4)</f>
        <v>0</v>
      </c>
      <c r="K965" s="67">
        <f>ROUND(IF(F965="alluminio",0,I965*1.5%),4)</f>
        <v>0</v>
      </c>
      <c r="L965" s="67">
        <f>ROUND(IF(K965&lt;J965,K965,0),4)</f>
        <v>0</v>
      </c>
      <c r="M965" s="67">
        <f>ROUND(IF(J965&gt;K965,0,J965),4)</f>
        <v>0</v>
      </c>
      <c r="N965" s="67">
        <f>ROUND(+L965*D965,4)</f>
        <v>0</v>
      </c>
      <c r="O965" s="67">
        <f>ROUND(IF(F965="rame",0,+I965*3%),4)</f>
        <v>0</v>
      </c>
      <c r="P965" s="67">
        <f>ROUND(IF(O965&lt;J965,O965,0),4)</f>
        <v>0</v>
      </c>
      <c r="Q965" s="67">
        <f>ROUND(IF(J965&gt;O965,0,J965),4)</f>
        <v>0</v>
      </c>
      <c r="R965" s="67">
        <f>ROUND(+P965*D965,4)</f>
        <v>0</v>
      </c>
      <c r="S965" s="67">
        <f>ROUND(IF(K965=0,0,M965*D965),4)</f>
        <v>0</v>
      </c>
      <c r="T965" s="67">
        <f>ROUND(+IF(K965=0,Q965*D965,0),4)</f>
        <v>0</v>
      </c>
      <c r="U965" s="67">
        <f>ROUND(+N965+R965+S965+T965,4)</f>
        <v>0</v>
      </c>
      <c r="V965" s="67">
        <f>ROUND(IF(P965=0,0,I965-H965-O965)+IF(L965=0,0,I965-H965-K965),4)</f>
        <v>0</v>
      </c>
      <c r="W965" s="67">
        <f>ROUND(+(V965*60%)*D965,4)</f>
        <v>0</v>
      </c>
      <c r="X965" s="148">
        <f>ROUND(+U965+W965,4)</f>
        <v>0</v>
      </c>
      <c r="Y965" s="68"/>
      <c r="Z965" s="148">
        <f>ROUND(IF(X965&gt;I965,X965,I965),4)</f>
        <v>0</v>
      </c>
    </row>
    <row r="966" spans="1:26" x14ac:dyDescent="0.2">
      <c r="A966" s="66"/>
      <c r="B966" s="66"/>
      <c r="C966" s="66"/>
      <c r="D966" s="144"/>
      <c r="E966" s="67"/>
      <c r="F966" s="67"/>
      <c r="G966" s="67"/>
      <c r="H966" s="67">
        <f>ROUND(+E966+G966,4)</f>
        <v>0</v>
      </c>
      <c r="I966" s="67"/>
      <c r="J966" s="67">
        <f>ROUND(+I966-H966,4)</f>
        <v>0</v>
      </c>
      <c r="K966" s="67">
        <f>ROUND(IF(F966="alluminio",0,I966*1.5%),4)</f>
        <v>0</v>
      </c>
      <c r="L966" s="67">
        <f>ROUND(IF(K966&lt;J966,K966,0),4)</f>
        <v>0</v>
      </c>
      <c r="M966" s="67">
        <f>ROUND(IF(J966&gt;K966,0,J966),4)</f>
        <v>0</v>
      </c>
      <c r="N966" s="67">
        <f>ROUND(+L966*D966,4)</f>
        <v>0</v>
      </c>
      <c r="O966" s="67">
        <f>ROUND(IF(F966="rame",0,+I966*3%),4)</f>
        <v>0</v>
      </c>
      <c r="P966" s="67">
        <f>ROUND(IF(O966&lt;J966,O966,0),4)</f>
        <v>0</v>
      </c>
      <c r="Q966" s="67">
        <f>ROUND(IF(J966&gt;O966,0,J966),4)</f>
        <v>0</v>
      </c>
      <c r="R966" s="67">
        <f>ROUND(+P966*D966,4)</f>
        <v>0</v>
      </c>
      <c r="S966" s="67">
        <f>ROUND(IF(K966=0,0,M966*D966),4)</f>
        <v>0</v>
      </c>
      <c r="T966" s="67">
        <f>ROUND(+IF(K966=0,Q966*D966,0),4)</f>
        <v>0</v>
      </c>
      <c r="U966" s="67">
        <f>ROUND(+N966+R966+S966+T966,4)</f>
        <v>0</v>
      </c>
      <c r="V966" s="67">
        <f>ROUND(IF(P966=0,0,I966-H966-O966)+IF(L966=0,0,I966-H966-K966),4)</f>
        <v>0</v>
      </c>
      <c r="W966" s="67">
        <f>ROUND(+(V966*60%)*D966,4)</f>
        <v>0</v>
      </c>
      <c r="X966" s="148">
        <f>ROUND(+U966+W966,4)</f>
        <v>0</v>
      </c>
      <c r="Y966" s="68"/>
      <c r="Z966" s="148">
        <f>ROUND(IF(X966&gt;I966,X966,I966),4)</f>
        <v>0</v>
      </c>
    </row>
    <row r="967" spans="1:26" x14ac:dyDescent="0.2">
      <c r="A967" s="66"/>
      <c r="B967" s="66"/>
      <c r="C967" s="66"/>
      <c r="D967" s="144"/>
      <c r="E967" s="67"/>
      <c r="F967" s="67"/>
      <c r="G967" s="67"/>
      <c r="H967" s="67">
        <f>ROUND(+E967+G967,4)</f>
        <v>0</v>
      </c>
      <c r="I967" s="67"/>
      <c r="J967" s="67">
        <f>ROUND(+I967-H967,4)</f>
        <v>0</v>
      </c>
      <c r="K967" s="67">
        <f>ROUND(IF(F967="alluminio",0,I967*1.5%),4)</f>
        <v>0</v>
      </c>
      <c r="L967" s="67">
        <f>ROUND(IF(K967&lt;J967,K967,0),4)</f>
        <v>0</v>
      </c>
      <c r="M967" s="67">
        <f>ROUND(IF(J967&gt;K967,0,J967),4)</f>
        <v>0</v>
      </c>
      <c r="N967" s="67">
        <f>ROUND(+L967*D967,4)</f>
        <v>0</v>
      </c>
      <c r="O967" s="67">
        <f>ROUND(IF(F967="rame",0,+I967*3%),4)</f>
        <v>0</v>
      </c>
      <c r="P967" s="67">
        <f>ROUND(IF(O967&lt;J967,O967,0),4)</f>
        <v>0</v>
      </c>
      <c r="Q967" s="67">
        <f>ROUND(IF(J967&gt;O967,0,J967),4)</f>
        <v>0</v>
      </c>
      <c r="R967" s="67">
        <f>ROUND(+P967*D967,4)</f>
        <v>0</v>
      </c>
      <c r="S967" s="67">
        <f>ROUND(IF(K967=0,0,M967*D967),4)</f>
        <v>0</v>
      </c>
      <c r="T967" s="67">
        <f>ROUND(+IF(K967=0,Q967*D967,0),4)</f>
        <v>0</v>
      </c>
      <c r="U967" s="67">
        <f>ROUND(+N967+R967+S967+T967,4)</f>
        <v>0</v>
      </c>
      <c r="V967" s="67">
        <f>ROUND(IF(P967=0,0,I967-H967-O967)+IF(L967=0,0,I967-H967-K967),4)</f>
        <v>0</v>
      </c>
      <c r="W967" s="67">
        <f>ROUND(+(V967*60%)*D967,4)</f>
        <v>0</v>
      </c>
      <c r="X967" s="148">
        <f>ROUND(+U967+W967,4)</f>
        <v>0</v>
      </c>
      <c r="Y967" s="68"/>
      <c r="Z967" s="148">
        <f>ROUND(IF(X967&gt;I967,X967,I967),4)</f>
        <v>0</v>
      </c>
    </row>
    <row r="968" spans="1:26" x14ac:dyDescent="0.2">
      <c r="A968" s="66"/>
      <c r="B968" s="66"/>
      <c r="C968" s="66"/>
      <c r="D968" s="144"/>
      <c r="E968" s="67"/>
      <c r="F968" s="67"/>
      <c r="G968" s="67"/>
      <c r="H968" s="67">
        <f>ROUND(+E968+G968,4)</f>
        <v>0</v>
      </c>
      <c r="I968" s="67"/>
      <c r="J968" s="67">
        <f>ROUND(+I968-H968,4)</f>
        <v>0</v>
      </c>
      <c r="K968" s="67">
        <f>ROUND(IF(F968="alluminio",0,I968*1.5%),4)</f>
        <v>0</v>
      </c>
      <c r="L968" s="67">
        <f>ROUND(IF(K968&lt;J968,K968,0),4)</f>
        <v>0</v>
      </c>
      <c r="M968" s="67">
        <f>ROUND(IF(J968&gt;K968,0,J968),4)</f>
        <v>0</v>
      </c>
      <c r="N968" s="67">
        <f>ROUND(+L968*D968,4)</f>
        <v>0</v>
      </c>
      <c r="O968" s="67">
        <f>ROUND(IF(F968="rame",0,+I968*3%),4)</f>
        <v>0</v>
      </c>
      <c r="P968" s="67">
        <f>ROUND(IF(O968&lt;J968,O968,0),4)</f>
        <v>0</v>
      </c>
      <c r="Q968" s="67">
        <f>ROUND(IF(J968&gt;O968,0,J968),4)</f>
        <v>0</v>
      </c>
      <c r="R968" s="67">
        <f>ROUND(+P968*D968,4)</f>
        <v>0</v>
      </c>
      <c r="S968" s="67">
        <f>ROUND(IF(K968=0,0,M968*D968),4)</f>
        <v>0</v>
      </c>
      <c r="T968" s="67">
        <f>ROUND(+IF(K968=0,Q968*D968,0),4)</f>
        <v>0</v>
      </c>
      <c r="U968" s="67">
        <f>ROUND(+N968+R968+S968+T968,4)</f>
        <v>0</v>
      </c>
      <c r="V968" s="67">
        <f>ROUND(IF(P968=0,0,I968-H968-O968)+IF(L968=0,0,I968-H968-K968),4)</f>
        <v>0</v>
      </c>
      <c r="W968" s="67">
        <f>ROUND(+(V968*60%)*D968,4)</f>
        <v>0</v>
      </c>
      <c r="X968" s="148">
        <f>ROUND(+U968+W968,4)</f>
        <v>0</v>
      </c>
      <c r="Y968" s="68"/>
      <c r="Z968" s="148">
        <f>ROUND(IF(X968&gt;I968,X968,I968),4)</f>
        <v>0</v>
      </c>
    </row>
    <row r="969" spans="1:26" x14ac:dyDescent="0.2">
      <c r="A969" s="66"/>
      <c r="B969" s="66"/>
      <c r="C969" s="66"/>
      <c r="D969" s="144"/>
      <c r="E969" s="67"/>
      <c r="F969" s="67"/>
      <c r="G969" s="67"/>
      <c r="H969" s="67">
        <f>ROUND(+E969+G969,4)</f>
        <v>0</v>
      </c>
      <c r="I969" s="67"/>
      <c r="J969" s="67">
        <f>ROUND(+I969-H969,4)</f>
        <v>0</v>
      </c>
      <c r="K969" s="67">
        <f>ROUND(IF(F969="alluminio",0,I969*1.5%),4)</f>
        <v>0</v>
      </c>
      <c r="L969" s="67">
        <f>ROUND(IF(K969&lt;J969,K969,0),4)</f>
        <v>0</v>
      </c>
      <c r="M969" s="67">
        <f>ROUND(IF(J969&gt;K969,0,J969),4)</f>
        <v>0</v>
      </c>
      <c r="N969" s="67">
        <f>ROUND(+L969*D969,4)</f>
        <v>0</v>
      </c>
      <c r="O969" s="67">
        <f>ROUND(IF(F969="rame",0,+I969*3%),4)</f>
        <v>0</v>
      </c>
      <c r="P969" s="67">
        <f>ROUND(IF(O969&lt;J969,O969,0),4)</f>
        <v>0</v>
      </c>
      <c r="Q969" s="67">
        <f>ROUND(IF(J969&gt;O969,0,J969),4)</f>
        <v>0</v>
      </c>
      <c r="R969" s="67">
        <f>ROUND(+P969*D969,4)</f>
        <v>0</v>
      </c>
      <c r="S969" s="67">
        <f>ROUND(IF(K969=0,0,M969*D969),4)</f>
        <v>0</v>
      </c>
      <c r="T969" s="67">
        <f>ROUND(+IF(K969=0,Q969*D969,0),4)</f>
        <v>0</v>
      </c>
      <c r="U969" s="67">
        <f>ROUND(+N969+R969+S969+T969,4)</f>
        <v>0</v>
      </c>
      <c r="V969" s="67">
        <f>ROUND(IF(P969=0,0,I969-H969-O969)+IF(L969=0,0,I969-H969-K969),4)</f>
        <v>0</v>
      </c>
      <c r="W969" s="67">
        <f>ROUND(+(V969*60%)*D969,4)</f>
        <v>0</v>
      </c>
      <c r="X969" s="148">
        <f>ROUND(+U969+W969,4)</f>
        <v>0</v>
      </c>
      <c r="Y969" s="68"/>
      <c r="Z969" s="148">
        <f>ROUND(IF(X969&gt;I969,X969,I969),4)</f>
        <v>0</v>
      </c>
    </row>
    <row r="970" spans="1:26" x14ac:dyDescent="0.2">
      <c r="A970" s="66"/>
      <c r="B970" s="66"/>
      <c r="C970" s="66"/>
      <c r="D970" s="144"/>
      <c r="E970" s="67"/>
      <c r="F970" s="67"/>
      <c r="G970" s="67"/>
      <c r="H970" s="67">
        <f>ROUND(+E970+G970,4)</f>
        <v>0</v>
      </c>
      <c r="I970" s="67"/>
      <c r="J970" s="67">
        <f>ROUND(+I970-H970,4)</f>
        <v>0</v>
      </c>
      <c r="K970" s="67">
        <f>ROUND(IF(F970="alluminio",0,I970*1.5%),4)</f>
        <v>0</v>
      </c>
      <c r="L970" s="67">
        <f>ROUND(IF(K970&lt;J970,K970,0),4)</f>
        <v>0</v>
      </c>
      <c r="M970" s="67">
        <f>ROUND(IF(J970&gt;K970,0,J970),4)</f>
        <v>0</v>
      </c>
      <c r="N970" s="67">
        <f>ROUND(+L970*D970,4)</f>
        <v>0</v>
      </c>
      <c r="O970" s="67">
        <f>ROUND(IF(F970="rame",0,+I970*3%),4)</f>
        <v>0</v>
      </c>
      <c r="P970" s="67">
        <f>ROUND(IF(O970&lt;J970,O970,0),4)</f>
        <v>0</v>
      </c>
      <c r="Q970" s="67">
        <f>ROUND(IF(J970&gt;O970,0,J970),4)</f>
        <v>0</v>
      </c>
      <c r="R970" s="67">
        <f>ROUND(+P970*D970,4)</f>
        <v>0</v>
      </c>
      <c r="S970" s="67">
        <f>ROUND(IF(K970=0,0,M970*D970),4)</f>
        <v>0</v>
      </c>
      <c r="T970" s="67">
        <f>ROUND(+IF(K970=0,Q970*D970,0),4)</f>
        <v>0</v>
      </c>
      <c r="U970" s="67">
        <f>ROUND(+N970+R970+S970+T970,4)</f>
        <v>0</v>
      </c>
      <c r="V970" s="67">
        <f>ROUND(IF(P970=0,0,I970-H970-O970)+IF(L970=0,0,I970-H970-K970),4)</f>
        <v>0</v>
      </c>
      <c r="W970" s="67">
        <f>ROUND(+(V970*60%)*D970,4)</f>
        <v>0</v>
      </c>
      <c r="X970" s="148">
        <f>ROUND(+U970+W970,4)</f>
        <v>0</v>
      </c>
      <c r="Y970" s="68"/>
      <c r="Z970" s="148">
        <f>ROUND(IF(X970&gt;I970,X970,I970),4)</f>
        <v>0</v>
      </c>
    </row>
    <row r="971" spans="1:26" x14ac:dyDescent="0.2">
      <c r="A971" s="66"/>
      <c r="B971" s="66"/>
      <c r="C971" s="66"/>
      <c r="D971" s="144"/>
      <c r="E971" s="67"/>
      <c r="F971" s="67"/>
      <c r="G971" s="67"/>
      <c r="H971" s="67">
        <f>ROUND(+E971+G971,4)</f>
        <v>0</v>
      </c>
      <c r="I971" s="67"/>
      <c r="J971" s="67">
        <f>ROUND(+I971-H971,4)</f>
        <v>0</v>
      </c>
      <c r="K971" s="67">
        <f>ROUND(IF(F971="alluminio",0,I971*1.5%),4)</f>
        <v>0</v>
      </c>
      <c r="L971" s="67">
        <f>ROUND(IF(K971&lt;J971,K971,0),4)</f>
        <v>0</v>
      </c>
      <c r="M971" s="67">
        <f>ROUND(IF(J971&gt;K971,0,J971),4)</f>
        <v>0</v>
      </c>
      <c r="N971" s="67">
        <f>ROUND(+L971*D971,4)</f>
        <v>0</v>
      </c>
      <c r="O971" s="67">
        <f>ROUND(IF(F971="rame",0,+I971*3%),4)</f>
        <v>0</v>
      </c>
      <c r="P971" s="67">
        <f>ROUND(IF(O971&lt;J971,O971,0),4)</f>
        <v>0</v>
      </c>
      <c r="Q971" s="67">
        <f>ROUND(IF(J971&gt;O971,0,J971),4)</f>
        <v>0</v>
      </c>
      <c r="R971" s="67">
        <f>ROUND(+P971*D971,4)</f>
        <v>0</v>
      </c>
      <c r="S971" s="67">
        <f>ROUND(IF(K971=0,0,M971*D971),4)</f>
        <v>0</v>
      </c>
      <c r="T971" s="67">
        <f>ROUND(+IF(K971=0,Q971*D971,0),4)</f>
        <v>0</v>
      </c>
      <c r="U971" s="67">
        <f>ROUND(+N971+R971+S971+T971,4)</f>
        <v>0</v>
      </c>
      <c r="V971" s="67">
        <f>ROUND(IF(P971=0,0,I971-H971-O971)+IF(L971=0,0,I971-H971-K971),4)</f>
        <v>0</v>
      </c>
      <c r="W971" s="67">
        <f>ROUND(+(V971*60%)*D971,4)</f>
        <v>0</v>
      </c>
      <c r="X971" s="148">
        <f>ROUND(+U971+W971,4)</f>
        <v>0</v>
      </c>
      <c r="Y971" s="68"/>
      <c r="Z971" s="148">
        <f>ROUND(IF(X971&gt;I971,X971,I971),4)</f>
        <v>0</v>
      </c>
    </row>
    <row r="972" spans="1:26" x14ac:dyDescent="0.2">
      <c r="A972" s="66"/>
      <c r="B972" s="66"/>
      <c r="C972" s="66"/>
      <c r="D972" s="144"/>
      <c r="E972" s="67"/>
      <c r="F972" s="67"/>
      <c r="G972" s="67"/>
      <c r="H972" s="67">
        <f>ROUND(+E972+G972,4)</f>
        <v>0</v>
      </c>
      <c r="I972" s="67"/>
      <c r="J972" s="67">
        <f>ROUND(+I972-H972,4)</f>
        <v>0</v>
      </c>
      <c r="K972" s="67">
        <f>ROUND(IF(F972="alluminio",0,I972*1.5%),4)</f>
        <v>0</v>
      </c>
      <c r="L972" s="67">
        <f>ROUND(IF(K972&lt;J972,K972,0),4)</f>
        <v>0</v>
      </c>
      <c r="M972" s="67">
        <f>ROUND(IF(J972&gt;K972,0,J972),4)</f>
        <v>0</v>
      </c>
      <c r="N972" s="67">
        <f>ROUND(+L972*D972,4)</f>
        <v>0</v>
      </c>
      <c r="O972" s="67">
        <f>ROUND(IF(F972="rame",0,+I972*3%),4)</f>
        <v>0</v>
      </c>
      <c r="P972" s="67">
        <f>ROUND(IF(O972&lt;J972,O972,0),4)</f>
        <v>0</v>
      </c>
      <c r="Q972" s="67">
        <f>ROUND(IF(J972&gt;O972,0,J972),4)</f>
        <v>0</v>
      </c>
      <c r="R972" s="67">
        <f>ROUND(+P972*D972,4)</f>
        <v>0</v>
      </c>
      <c r="S972" s="67">
        <f>ROUND(IF(K972=0,0,M972*D972),4)</f>
        <v>0</v>
      </c>
      <c r="T972" s="67">
        <f>ROUND(+IF(K972=0,Q972*D972,0),4)</f>
        <v>0</v>
      </c>
      <c r="U972" s="67">
        <f>ROUND(+N972+R972+S972+T972,4)</f>
        <v>0</v>
      </c>
      <c r="V972" s="67">
        <f>ROUND(IF(P972=0,0,I972-H972-O972)+IF(L972=0,0,I972-H972-K972),4)</f>
        <v>0</v>
      </c>
      <c r="W972" s="67">
        <f>ROUND(+(V972*60%)*D972,4)</f>
        <v>0</v>
      </c>
      <c r="X972" s="148">
        <f>ROUND(+U972+W972,4)</f>
        <v>0</v>
      </c>
      <c r="Y972" s="68"/>
      <c r="Z972" s="148">
        <f>ROUND(IF(X972&gt;I972,X972,I972),4)</f>
        <v>0</v>
      </c>
    </row>
    <row r="973" spans="1:26" x14ac:dyDescent="0.2">
      <c r="A973" s="66"/>
      <c r="B973" s="66"/>
      <c r="C973" s="66"/>
      <c r="D973" s="144"/>
      <c r="E973" s="67"/>
      <c r="F973" s="67"/>
      <c r="G973" s="67"/>
      <c r="H973" s="67">
        <f>ROUND(+E973+G973,4)</f>
        <v>0</v>
      </c>
      <c r="I973" s="67"/>
      <c r="J973" s="67">
        <f>ROUND(+I973-H973,4)</f>
        <v>0</v>
      </c>
      <c r="K973" s="67">
        <f>ROUND(IF(F973="alluminio",0,I973*1.5%),4)</f>
        <v>0</v>
      </c>
      <c r="L973" s="67">
        <f>ROUND(IF(K973&lt;J973,K973,0),4)</f>
        <v>0</v>
      </c>
      <c r="M973" s="67">
        <f>ROUND(IF(J973&gt;K973,0,J973),4)</f>
        <v>0</v>
      </c>
      <c r="N973" s="67">
        <f>ROUND(+L973*D973,4)</f>
        <v>0</v>
      </c>
      <c r="O973" s="67">
        <f>ROUND(IF(F973="rame",0,+I973*3%),4)</f>
        <v>0</v>
      </c>
      <c r="P973" s="67">
        <f>ROUND(IF(O973&lt;J973,O973,0),4)</f>
        <v>0</v>
      </c>
      <c r="Q973" s="67">
        <f>ROUND(IF(J973&gt;O973,0,J973),4)</f>
        <v>0</v>
      </c>
      <c r="R973" s="67">
        <f>ROUND(+P973*D973,4)</f>
        <v>0</v>
      </c>
      <c r="S973" s="67">
        <f>ROUND(IF(K973=0,0,M973*D973),4)</f>
        <v>0</v>
      </c>
      <c r="T973" s="67">
        <f>ROUND(+IF(K973=0,Q973*D973,0),4)</f>
        <v>0</v>
      </c>
      <c r="U973" s="67">
        <f>ROUND(+N973+R973+S973+T973,4)</f>
        <v>0</v>
      </c>
      <c r="V973" s="67">
        <f>ROUND(IF(P973=0,0,I973-H973-O973)+IF(L973=0,0,I973-H973-K973),4)</f>
        <v>0</v>
      </c>
      <c r="W973" s="67">
        <f>ROUND(+(V973*60%)*D973,4)</f>
        <v>0</v>
      </c>
      <c r="X973" s="148">
        <f>ROUND(+U973+W973,4)</f>
        <v>0</v>
      </c>
      <c r="Y973" s="68"/>
      <c r="Z973" s="148">
        <f>ROUND(IF(X973&gt;I973,X973,I973),4)</f>
        <v>0</v>
      </c>
    </row>
    <row r="974" spans="1:26" x14ac:dyDescent="0.2">
      <c r="A974" s="66"/>
      <c r="B974" s="66"/>
      <c r="C974" s="66"/>
      <c r="D974" s="144"/>
      <c r="E974" s="67"/>
      <c r="F974" s="67"/>
      <c r="G974" s="67"/>
      <c r="H974" s="67">
        <f>ROUND(+E974+G974,4)</f>
        <v>0</v>
      </c>
      <c r="I974" s="67"/>
      <c r="J974" s="67">
        <f>ROUND(+I974-H974,4)</f>
        <v>0</v>
      </c>
      <c r="K974" s="67">
        <f>ROUND(IF(F974="alluminio",0,I974*1.5%),4)</f>
        <v>0</v>
      </c>
      <c r="L974" s="67">
        <f>ROUND(IF(K974&lt;J974,K974,0),4)</f>
        <v>0</v>
      </c>
      <c r="M974" s="67">
        <f>ROUND(IF(J974&gt;K974,0,J974),4)</f>
        <v>0</v>
      </c>
      <c r="N974" s="67">
        <f>ROUND(+L974*D974,4)</f>
        <v>0</v>
      </c>
      <c r="O974" s="67">
        <f>ROUND(IF(F974="rame",0,+I974*3%),4)</f>
        <v>0</v>
      </c>
      <c r="P974" s="67">
        <f>ROUND(IF(O974&lt;J974,O974,0),4)</f>
        <v>0</v>
      </c>
      <c r="Q974" s="67">
        <f>ROUND(IF(J974&gt;O974,0,J974),4)</f>
        <v>0</v>
      </c>
      <c r="R974" s="67">
        <f>ROUND(+P974*D974,4)</f>
        <v>0</v>
      </c>
      <c r="S974" s="67">
        <f>ROUND(IF(K974=0,0,M974*D974),4)</f>
        <v>0</v>
      </c>
      <c r="T974" s="67">
        <f>ROUND(+IF(K974=0,Q974*D974,0),4)</f>
        <v>0</v>
      </c>
      <c r="U974" s="67">
        <f>ROUND(+N974+R974+S974+T974,4)</f>
        <v>0</v>
      </c>
      <c r="V974" s="67">
        <f>ROUND(IF(P974=0,0,I974-H974-O974)+IF(L974=0,0,I974-H974-K974),4)</f>
        <v>0</v>
      </c>
      <c r="W974" s="67">
        <f>ROUND(+(V974*60%)*D974,4)</f>
        <v>0</v>
      </c>
      <c r="X974" s="148">
        <f>ROUND(+U974+W974,4)</f>
        <v>0</v>
      </c>
      <c r="Y974" s="68"/>
      <c r="Z974" s="148">
        <f>ROUND(IF(X974&gt;I974,X974,I974),4)</f>
        <v>0</v>
      </c>
    </row>
    <row r="975" spans="1:26" x14ac:dyDescent="0.2">
      <c r="A975" s="66"/>
      <c r="B975" s="66"/>
      <c r="C975" s="66"/>
      <c r="D975" s="144"/>
      <c r="E975" s="67"/>
      <c r="F975" s="67"/>
      <c r="G975" s="67"/>
      <c r="H975" s="67">
        <f>ROUND(+E975+G975,4)</f>
        <v>0</v>
      </c>
      <c r="I975" s="67"/>
      <c r="J975" s="67">
        <f>ROUND(+I975-H975,4)</f>
        <v>0</v>
      </c>
      <c r="K975" s="67">
        <f>ROUND(IF(F975="alluminio",0,I975*1.5%),4)</f>
        <v>0</v>
      </c>
      <c r="L975" s="67">
        <f>ROUND(IF(K975&lt;J975,K975,0),4)</f>
        <v>0</v>
      </c>
      <c r="M975" s="67">
        <f>ROUND(IF(J975&gt;K975,0,J975),4)</f>
        <v>0</v>
      </c>
      <c r="N975" s="67">
        <f>ROUND(+L975*D975,4)</f>
        <v>0</v>
      </c>
      <c r="O975" s="67">
        <f>ROUND(IF(F975="rame",0,+I975*3%),4)</f>
        <v>0</v>
      </c>
      <c r="P975" s="67">
        <f>ROUND(IF(O975&lt;J975,O975,0),4)</f>
        <v>0</v>
      </c>
      <c r="Q975" s="67">
        <f>ROUND(IF(J975&gt;O975,0,J975),4)</f>
        <v>0</v>
      </c>
      <c r="R975" s="67">
        <f>ROUND(+P975*D975,4)</f>
        <v>0</v>
      </c>
      <c r="S975" s="67">
        <f>ROUND(IF(K975=0,0,M975*D975),4)</f>
        <v>0</v>
      </c>
      <c r="T975" s="67">
        <f>ROUND(+IF(K975=0,Q975*D975,0),4)</f>
        <v>0</v>
      </c>
      <c r="U975" s="67">
        <f>ROUND(+N975+R975+S975+T975,4)</f>
        <v>0</v>
      </c>
      <c r="V975" s="67">
        <f>ROUND(IF(P975=0,0,I975-H975-O975)+IF(L975=0,0,I975-H975-K975),4)</f>
        <v>0</v>
      </c>
      <c r="W975" s="67">
        <f>ROUND(+(V975*60%)*D975,4)</f>
        <v>0</v>
      </c>
      <c r="X975" s="148">
        <f>ROUND(+U975+W975,4)</f>
        <v>0</v>
      </c>
      <c r="Y975" s="68"/>
      <c r="Z975" s="148">
        <f>ROUND(IF(X975&gt;I975,X975,I975),4)</f>
        <v>0</v>
      </c>
    </row>
    <row r="976" spans="1:26" x14ac:dyDescent="0.2">
      <c r="A976" s="66"/>
      <c r="B976" s="66"/>
      <c r="C976" s="66"/>
      <c r="D976" s="144"/>
      <c r="E976" s="67"/>
      <c r="F976" s="67"/>
      <c r="G976" s="67"/>
      <c r="H976" s="67">
        <f>ROUND(+E976+G976,4)</f>
        <v>0</v>
      </c>
      <c r="I976" s="67"/>
      <c r="J976" s="67">
        <f>ROUND(+I976-H976,4)</f>
        <v>0</v>
      </c>
      <c r="K976" s="67">
        <f>ROUND(IF(F976="alluminio",0,I976*1.5%),4)</f>
        <v>0</v>
      </c>
      <c r="L976" s="67">
        <f>ROUND(IF(K976&lt;J976,K976,0),4)</f>
        <v>0</v>
      </c>
      <c r="M976" s="67">
        <f>ROUND(IF(J976&gt;K976,0,J976),4)</f>
        <v>0</v>
      </c>
      <c r="N976" s="67">
        <f>ROUND(+L976*D976,4)</f>
        <v>0</v>
      </c>
      <c r="O976" s="67">
        <f>ROUND(IF(F976="rame",0,+I976*3%),4)</f>
        <v>0</v>
      </c>
      <c r="P976" s="67">
        <f>ROUND(IF(O976&lt;J976,O976,0),4)</f>
        <v>0</v>
      </c>
      <c r="Q976" s="67">
        <f>ROUND(IF(J976&gt;O976,0,J976),4)</f>
        <v>0</v>
      </c>
      <c r="R976" s="67">
        <f>ROUND(+P976*D976,4)</f>
        <v>0</v>
      </c>
      <c r="S976" s="67">
        <f>ROUND(IF(K976=0,0,M976*D976),4)</f>
        <v>0</v>
      </c>
      <c r="T976" s="67">
        <f>ROUND(+IF(K976=0,Q976*D976,0),4)</f>
        <v>0</v>
      </c>
      <c r="U976" s="67">
        <f>ROUND(+N976+R976+S976+T976,4)</f>
        <v>0</v>
      </c>
      <c r="V976" s="67">
        <f>ROUND(IF(P976=0,0,I976-H976-O976)+IF(L976=0,0,I976-H976-K976),4)</f>
        <v>0</v>
      </c>
      <c r="W976" s="67">
        <f>ROUND(+(V976*60%)*D976,4)</f>
        <v>0</v>
      </c>
      <c r="X976" s="148">
        <f>ROUND(+U976+W976,4)</f>
        <v>0</v>
      </c>
      <c r="Y976" s="68"/>
      <c r="Z976" s="148">
        <f>ROUND(IF(X976&gt;I976,X976,I976),4)</f>
        <v>0</v>
      </c>
    </row>
    <row r="977" spans="1:26" x14ac:dyDescent="0.2">
      <c r="A977" s="66"/>
      <c r="B977" s="66"/>
      <c r="C977" s="66"/>
      <c r="D977" s="144"/>
      <c r="E977" s="67"/>
      <c r="F977" s="67"/>
      <c r="G977" s="67"/>
      <c r="H977" s="67">
        <f>ROUND(+E977+G977,4)</f>
        <v>0</v>
      </c>
      <c r="I977" s="67"/>
      <c r="J977" s="67">
        <f>ROUND(+I977-H977,4)</f>
        <v>0</v>
      </c>
      <c r="K977" s="67">
        <f>ROUND(IF(F977="alluminio",0,I977*1.5%),4)</f>
        <v>0</v>
      </c>
      <c r="L977" s="67">
        <f>ROUND(IF(K977&lt;J977,K977,0),4)</f>
        <v>0</v>
      </c>
      <c r="M977" s="67">
        <f>ROUND(IF(J977&gt;K977,0,J977),4)</f>
        <v>0</v>
      </c>
      <c r="N977" s="67">
        <f>ROUND(+L977*D977,4)</f>
        <v>0</v>
      </c>
      <c r="O977" s="67">
        <f>ROUND(IF(F977="rame",0,+I977*3%),4)</f>
        <v>0</v>
      </c>
      <c r="P977" s="67">
        <f>ROUND(IF(O977&lt;J977,O977,0),4)</f>
        <v>0</v>
      </c>
      <c r="Q977" s="67">
        <f>ROUND(IF(J977&gt;O977,0,J977),4)</f>
        <v>0</v>
      </c>
      <c r="R977" s="67">
        <f>ROUND(+P977*D977,4)</f>
        <v>0</v>
      </c>
      <c r="S977" s="67">
        <f>ROUND(IF(K977=0,0,M977*D977),4)</f>
        <v>0</v>
      </c>
      <c r="T977" s="67">
        <f>ROUND(+IF(K977=0,Q977*D977,0),4)</f>
        <v>0</v>
      </c>
      <c r="U977" s="67">
        <f>ROUND(+N977+R977+S977+T977,4)</f>
        <v>0</v>
      </c>
      <c r="V977" s="67">
        <f>ROUND(IF(P977=0,0,I977-H977-O977)+IF(L977=0,0,I977-H977-K977),4)</f>
        <v>0</v>
      </c>
      <c r="W977" s="67">
        <f>ROUND(+(V977*60%)*D977,4)</f>
        <v>0</v>
      </c>
      <c r="X977" s="148">
        <f>ROUND(+U977+W977,4)</f>
        <v>0</v>
      </c>
      <c r="Y977" s="68"/>
      <c r="Z977" s="148">
        <f>ROUND(IF(X977&gt;I977,X977,I977),4)</f>
        <v>0</v>
      </c>
    </row>
    <row r="978" spans="1:26" x14ac:dyDescent="0.2">
      <c r="A978" s="66"/>
      <c r="B978" s="66"/>
      <c r="C978" s="66"/>
      <c r="D978" s="144"/>
      <c r="E978" s="67"/>
      <c r="F978" s="67"/>
      <c r="G978" s="67"/>
      <c r="H978" s="67">
        <f>ROUND(+E978+G978,4)</f>
        <v>0</v>
      </c>
      <c r="I978" s="67"/>
      <c r="J978" s="67">
        <f>ROUND(+I978-H978,4)</f>
        <v>0</v>
      </c>
      <c r="K978" s="67">
        <f>ROUND(IF(F978="alluminio",0,I978*1.5%),4)</f>
        <v>0</v>
      </c>
      <c r="L978" s="67">
        <f>ROUND(IF(K978&lt;J978,K978,0),4)</f>
        <v>0</v>
      </c>
      <c r="M978" s="67">
        <f>ROUND(IF(J978&gt;K978,0,J978),4)</f>
        <v>0</v>
      </c>
      <c r="N978" s="67">
        <f>ROUND(+L978*D978,4)</f>
        <v>0</v>
      </c>
      <c r="O978" s="67">
        <f>ROUND(IF(F978="rame",0,+I978*3%),4)</f>
        <v>0</v>
      </c>
      <c r="P978" s="67">
        <f>ROUND(IF(O978&lt;J978,O978,0),4)</f>
        <v>0</v>
      </c>
      <c r="Q978" s="67">
        <f>ROUND(IF(J978&gt;O978,0,J978),4)</f>
        <v>0</v>
      </c>
      <c r="R978" s="67">
        <f>ROUND(+P978*D978,4)</f>
        <v>0</v>
      </c>
      <c r="S978" s="67">
        <f>ROUND(IF(K978=0,0,M978*D978),4)</f>
        <v>0</v>
      </c>
      <c r="T978" s="67">
        <f>ROUND(+IF(K978=0,Q978*D978,0),4)</f>
        <v>0</v>
      </c>
      <c r="U978" s="67">
        <f>ROUND(+N978+R978+S978+T978,4)</f>
        <v>0</v>
      </c>
      <c r="V978" s="67">
        <f>ROUND(IF(P978=0,0,I978-H978-O978)+IF(L978=0,0,I978-H978-K978),4)</f>
        <v>0</v>
      </c>
      <c r="W978" s="67">
        <f>ROUND(+(V978*60%)*D978,4)</f>
        <v>0</v>
      </c>
      <c r="X978" s="148">
        <f>ROUND(+U978+W978,4)</f>
        <v>0</v>
      </c>
      <c r="Y978" s="68"/>
      <c r="Z978" s="148">
        <f>ROUND(IF(X978&gt;I978,X978,I978),4)</f>
        <v>0</v>
      </c>
    </row>
    <row r="979" spans="1:26" x14ac:dyDescent="0.2">
      <c r="A979" s="66"/>
      <c r="B979" s="66"/>
      <c r="C979" s="66"/>
      <c r="D979" s="144"/>
      <c r="E979" s="67"/>
      <c r="F979" s="67"/>
      <c r="G979" s="67"/>
      <c r="H979" s="67">
        <f>ROUND(+E979+G979,4)</f>
        <v>0</v>
      </c>
      <c r="I979" s="67"/>
      <c r="J979" s="67">
        <f>ROUND(+I979-H979,4)</f>
        <v>0</v>
      </c>
      <c r="K979" s="67">
        <f>ROUND(IF(F979="alluminio",0,I979*1.5%),4)</f>
        <v>0</v>
      </c>
      <c r="L979" s="67">
        <f>ROUND(IF(K979&lt;J979,K979,0),4)</f>
        <v>0</v>
      </c>
      <c r="M979" s="67">
        <f>ROUND(IF(J979&gt;K979,0,J979),4)</f>
        <v>0</v>
      </c>
      <c r="N979" s="67">
        <f>ROUND(+L979*D979,4)</f>
        <v>0</v>
      </c>
      <c r="O979" s="67">
        <f>ROUND(IF(F979="rame",0,+I979*3%),4)</f>
        <v>0</v>
      </c>
      <c r="P979" s="67">
        <f>ROUND(IF(O979&lt;J979,O979,0),4)</f>
        <v>0</v>
      </c>
      <c r="Q979" s="67">
        <f>ROUND(IF(J979&gt;O979,0,J979),4)</f>
        <v>0</v>
      </c>
      <c r="R979" s="67">
        <f>ROUND(+P979*D979,4)</f>
        <v>0</v>
      </c>
      <c r="S979" s="67">
        <f>ROUND(IF(K979=0,0,M979*D979),4)</f>
        <v>0</v>
      </c>
      <c r="T979" s="67">
        <f>ROUND(+IF(K979=0,Q979*D979,0),4)</f>
        <v>0</v>
      </c>
      <c r="U979" s="67">
        <f>ROUND(+N979+R979+S979+T979,4)</f>
        <v>0</v>
      </c>
      <c r="V979" s="67">
        <f>ROUND(IF(P979=0,0,I979-H979-O979)+IF(L979=0,0,I979-H979-K979),4)</f>
        <v>0</v>
      </c>
      <c r="W979" s="67">
        <f>ROUND(+(V979*60%)*D979,4)</f>
        <v>0</v>
      </c>
      <c r="X979" s="148">
        <f>ROUND(+U979+W979,4)</f>
        <v>0</v>
      </c>
      <c r="Y979" s="68"/>
      <c r="Z979" s="148">
        <f>ROUND(IF(X979&gt;I979,X979,I979),4)</f>
        <v>0</v>
      </c>
    </row>
    <row r="980" spans="1:26" x14ac:dyDescent="0.2">
      <c r="A980" s="66"/>
      <c r="B980" s="66"/>
      <c r="C980" s="66"/>
      <c r="D980" s="144"/>
      <c r="E980" s="67"/>
      <c r="F980" s="67"/>
      <c r="G980" s="67"/>
      <c r="H980" s="67">
        <f>ROUND(+E980+G980,4)</f>
        <v>0</v>
      </c>
      <c r="I980" s="67"/>
      <c r="J980" s="67">
        <f>ROUND(+I980-H980,4)</f>
        <v>0</v>
      </c>
      <c r="K980" s="67">
        <f>ROUND(IF(F980="alluminio",0,I980*1.5%),4)</f>
        <v>0</v>
      </c>
      <c r="L980" s="67">
        <f>ROUND(IF(K980&lt;J980,K980,0),4)</f>
        <v>0</v>
      </c>
      <c r="M980" s="67">
        <f>ROUND(IF(J980&gt;K980,0,J980),4)</f>
        <v>0</v>
      </c>
      <c r="N980" s="67">
        <f>ROUND(+L980*D980,4)</f>
        <v>0</v>
      </c>
      <c r="O980" s="67">
        <f>ROUND(IF(F980="rame",0,+I980*3%),4)</f>
        <v>0</v>
      </c>
      <c r="P980" s="67">
        <f>ROUND(IF(O980&lt;J980,O980,0),4)</f>
        <v>0</v>
      </c>
      <c r="Q980" s="67">
        <f>ROUND(IF(J980&gt;O980,0,J980),4)</f>
        <v>0</v>
      </c>
      <c r="R980" s="67">
        <f>ROUND(+P980*D980,4)</f>
        <v>0</v>
      </c>
      <c r="S980" s="67">
        <f>ROUND(IF(K980=0,0,M980*D980),4)</f>
        <v>0</v>
      </c>
      <c r="T980" s="67">
        <f>ROUND(+IF(K980=0,Q980*D980,0),4)</f>
        <v>0</v>
      </c>
      <c r="U980" s="67">
        <f>ROUND(+N980+R980+S980+T980,4)</f>
        <v>0</v>
      </c>
      <c r="V980" s="67">
        <f>ROUND(IF(P980=0,0,I980-H980-O980)+IF(L980=0,0,I980-H980-K980),4)</f>
        <v>0</v>
      </c>
      <c r="W980" s="67">
        <f>ROUND(+(V980*60%)*D980,4)</f>
        <v>0</v>
      </c>
      <c r="X980" s="148">
        <f>ROUND(+U980+W980,4)</f>
        <v>0</v>
      </c>
      <c r="Y980" s="68"/>
      <c r="Z980" s="148">
        <f>ROUND(IF(X980&gt;I980,X980,I980),4)</f>
        <v>0</v>
      </c>
    </row>
    <row r="981" spans="1:26" x14ac:dyDescent="0.2">
      <c r="A981" s="66"/>
      <c r="B981" s="66"/>
      <c r="C981" s="66"/>
      <c r="D981" s="144"/>
      <c r="E981" s="67"/>
      <c r="F981" s="67"/>
      <c r="G981" s="67"/>
      <c r="H981" s="67">
        <f>ROUND(+E981+G981,4)</f>
        <v>0</v>
      </c>
      <c r="I981" s="67"/>
      <c r="J981" s="67">
        <f>ROUND(+I981-H981,4)</f>
        <v>0</v>
      </c>
      <c r="K981" s="67">
        <f>ROUND(IF(F981="alluminio",0,I981*1.5%),4)</f>
        <v>0</v>
      </c>
      <c r="L981" s="67">
        <f>ROUND(IF(K981&lt;J981,K981,0),4)</f>
        <v>0</v>
      </c>
      <c r="M981" s="67">
        <f>ROUND(IF(J981&gt;K981,0,J981),4)</f>
        <v>0</v>
      </c>
      <c r="N981" s="67">
        <f>ROUND(+L981*D981,4)</f>
        <v>0</v>
      </c>
      <c r="O981" s="67">
        <f>ROUND(IF(F981="rame",0,+I981*3%),4)</f>
        <v>0</v>
      </c>
      <c r="P981" s="67">
        <f>ROUND(IF(O981&lt;J981,O981,0),4)</f>
        <v>0</v>
      </c>
      <c r="Q981" s="67">
        <f>ROUND(IF(J981&gt;O981,0,J981),4)</f>
        <v>0</v>
      </c>
      <c r="R981" s="67">
        <f>ROUND(+P981*D981,4)</f>
        <v>0</v>
      </c>
      <c r="S981" s="67">
        <f>ROUND(IF(K981=0,0,M981*D981),4)</f>
        <v>0</v>
      </c>
      <c r="T981" s="67">
        <f>ROUND(+IF(K981=0,Q981*D981,0),4)</f>
        <v>0</v>
      </c>
      <c r="U981" s="67">
        <f>ROUND(+N981+R981+S981+T981,4)</f>
        <v>0</v>
      </c>
      <c r="V981" s="67">
        <f>ROUND(IF(P981=0,0,I981-H981-O981)+IF(L981=0,0,I981-H981-K981),4)</f>
        <v>0</v>
      </c>
      <c r="W981" s="67">
        <f>ROUND(+(V981*60%)*D981,4)</f>
        <v>0</v>
      </c>
      <c r="X981" s="148">
        <f>ROUND(+U981+W981,4)</f>
        <v>0</v>
      </c>
      <c r="Y981" s="68"/>
      <c r="Z981" s="148">
        <f>ROUND(IF(X981&gt;I981,X981,I981),4)</f>
        <v>0</v>
      </c>
    </row>
    <row r="982" spans="1:26" x14ac:dyDescent="0.2">
      <c r="A982" s="66"/>
      <c r="B982" s="66"/>
      <c r="C982" s="66"/>
      <c r="D982" s="144"/>
      <c r="E982" s="67"/>
      <c r="F982" s="67"/>
      <c r="G982" s="67"/>
      <c r="H982" s="67">
        <f>ROUND(+E982+G982,4)</f>
        <v>0</v>
      </c>
      <c r="I982" s="67"/>
      <c r="J982" s="67">
        <f>ROUND(+I982-H982,4)</f>
        <v>0</v>
      </c>
      <c r="K982" s="67">
        <f>ROUND(IF(F982="alluminio",0,I982*1.5%),4)</f>
        <v>0</v>
      </c>
      <c r="L982" s="67">
        <f>ROUND(IF(K982&lt;J982,K982,0),4)</f>
        <v>0</v>
      </c>
      <c r="M982" s="67">
        <f>ROUND(IF(J982&gt;K982,0,J982),4)</f>
        <v>0</v>
      </c>
      <c r="N982" s="67">
        <f>ROUND(+L982*D982,4)</f>
        <v>0</v>
      </c>
      <c r="O982" s="67">
        <f>ROUND(IF(F982="rame",0,+I982*3%),4)</f>
        <v>0</v>
      </c>
      <c r="P982" s="67">
        <f>ROUND(IF(O982&lt;J982,O982,0),4)</f>
        <v>0</v>
      </c>
      <c r="Q982" s="67">
        <f>ROUND(IF(J982&gt;O982,0,J982),4)</f>
        <v>0</v>
      </c>
      <c r="R982" s="67">
        <f>ROUND(+P982*D982,4)</f>
        <v>0</v>
      </c>
      <c r="S982" s="67">
        <f>ROUND(IF(K982=0,0,M982*D982),4)</f>
        <v>0</v>
      </c>
      <c r="T982" s="67">
        <f>ROUND(+IF(K982=0,Q982*D982,0),4)</f>
        <v>0</v>
      </c>
      <c r="U982" s="67">
        <f>ROUND(+N982+R982+S982+T982,4)</f>
        <v>0</v>
      </c>
      <c r="V982" s="67">
        <f>ROUND(IF(P982=0,0,I982-H982-O982)+IF(L982=0,0,I982-H982-K982),4)</f>
        <v>0</v>
      </c>
      <c r="W982" s="67">
        <f>ROUND(+(V982*60%)*D982,4)</f>
        <v>0</v>
      </c>
      <c r="X982" s="148">
        <f>ROUND(+U982+W982,4)</f>
        <v>0</v>
      </c>
      <c r="Y982" s="68"/>
      <c r="Z982" s="148">
        <f>ROUND(IF(X982&gt;I982,X982,I982),4)</f>
        <v>0</v>
      </c>
    </row>
    <row r="983" spans="1:26" x14ac:dyDescent="0.2">
      <c r="A983" s="66"/>
      <c r="B983" s="66"/>
      <c r="C983" s="66"/>
      <c r="D983" s="144"/>
      <c r="E983" s="67"/>
      <c r="F983" s="67"/>
      <c r="G983" s="67"/>
      <c r="H983" s="67">
        <f>ROUND(+E983+G983,4)</f>
        <v>0</v>
      </c>
      <c r="I983" s="67"/>
      <c r="J983" s="67">
        <f>ROUND(+I983-H983,4)</f>
        <v>0</v>
      </c>
      <c r="K983" s="67">
        <f>ROUND(IF(F983="alluminio",0,I983*1.5%),4)</f>
        <v>0</v>
      </c>
      <c r="L983" s="67">
        <f>ROUND(IF(K983&lt;J983,K983,0),4)</f>
        <v>0</v>
      </c>
      <c r="M983" s="67">
        <f>ROUND(IF(J983&gt;K983,0,J983),4)</f>
        <v>0</v>
      </c>
      <c r="N983" s="67">
        <f>ROUND(+L983*D983,4)</f>
        <v>0</v>
      </c>
      <c r="O983" s="67">
        <f>ROUND(IF(F983="rame",0,+I983*3%),4)</f>
        <v>0</v>
      </c>
      <c r="P983" s="67">
        <f>ROUND(IF(O983&lt;J983,O983,0),4)</f>
        <v>0</v>
      </c>
      <c r="Q983" s="67">
        <f>ROUND(IF(J983&gt;O983,0,J983),4)</f>
        <v>0</v>
      </c>
      <c r="R983" s="67">
        <f>ROUND(+P983*D983,4)</f>
        <v>0</v>
      </c>
      <c r="S983" s="67">
        <f>ROUND(IF(K983=0,0,M983*D983),4)</f>
        <v>0</v>
      </c>
      <c r="T983" s="67">
        <f>ROUND(+IF(K983=0,Q983*D983,0),4)</f>
        <v>0</v>
      </c>
      <c r="U983" s="67">
        <f>ROUND(+N983+R983+S983+T983,4)</f>
        <v>0</v>
      </c>
      <c r="V983" s="67">
        <f>ROUND(IF(P983=0,0,I983-H983-O983)+IF(L983=0,0,I983-H983-K983),4)</f>
        <v>0</v>
      </c>
      <c r="W983" s="67">
        <f>ROUND(+(V983*60%)*D983,4)</f>
        <v>0</v>
      </c>
      <c r="X983" s="148">
        <f>ROUND(+U983+W983,4)</f>
        <v>0</v>
      </c>
      <c r="Y983" s="68"/>
      <c r="Z983" s="148">
        <f>ROUND(IF(X983&gt;I983,X983,I983),4)</f>
        <v>0</v>
      </c>
    </row>
    <row r="984" spans="1:26" x14ac:dyDescent="0.2">
      <c r="A984" s="66"/>
      <c r="B984" s="66"/>
      <c r="C984" s="66"/>
      <c r="D984" s="144"/>
      <c r="E984" s="67"/>
      <c r="F984" s="67"/>
      <c r="G984" s="67"/>
      <c r="H984" s="67">
        <f>ROUND(+E984+G984,4)</f>
        <v>0</v>
      </c>
      <c r="I984" s="67"/>
      <c r="J984" s="67">
        <f>ROUND(+I984-H984,4)</f>
        <v>0</v>
      </c>
      <c r="K984" s="67">
        <f>ROUND(IF(F984="alluminio",0,I984*1.5%),4)</f>
        <v>0</v>
      </c>
      <c r="L984" s="67">
        <f>ROUND(IF(K984&lt;J984,K984,0),4)</f>
        <v>0</v>
      </c>
      <c r="M984" s="67">
        <f>ROUND(IF(J984&gt;K984,0,J984),4)</f>
        <v>0</v>
      </c>
      <c r="N984" s="67">
        <f>ROUND(+L984*D984,4)</f>
        <v>0</v>
      </c>
      <c r="O984" s="67">
        <f>ROUND(IF(F984="rame",0,+I984*3%),4)</f>
        <v>0</v>
      </c>
      <c r="P984" s="67">
        <f>ROUND(IF(O984&lt;J984,O984,0),4)</f>
        <v>0</v>
      </c>
      <c r="Q984" s="67">
        <f>ROUND(IF(J984&gt;O984,0,J984),4)</f>
        <v>0</v>
      </c>
      <c r="R984" s="67">
        <f>ROUND(+P984*D984,4)</f>
        <v>0</v>
      </c>
      <c r="S984" s="67">
        <f>ROUND(IF(K984=0,0,M984*D984),4)</f>
        <v>0</v>
      </c>
      <c r="T984" s="67">
        <f>ROUND(+IF(K984=0,Q984*D984,0),4)</f>
        <v>0</v>
      </c>
      <c r="U984" s="67">
        <f>ROUND(+N984+R984+S984+T984,4)</f>
        <v>0</v>
      </c>
      <c r="V984" s="67">
        <f>ROUND(IF(P984=0,0,I984-H984-O984)+IF(L984=0,0,I984-H984-K984),4)</f>
        <v>0</v>
      </c>
      <c r="W984" s="67">
        <f>ROUND(+(V984*60%)*D984,4)</f>
        <v>0</v>
      </c>
      <c r="X984" s="148">
        <f>ROUND(+U984+W984,4)</f>
        <v>0</v>
      </c>
      <c r="Y984" s="68"/>
      <c r="Z984" s="148">
        <f>ROUND(IF(X984&gt;I984,X984,I984),4)</f>
        <v>0</v>
      </c>
    </row>
    <row r="985" spans="1:26" x14ac:dyDescent="0.2">
      <c r="A985" s="66"/>
      <c r="B985" s="66"/>
      <c r="C985" s="66"/>
      <c r="D985" s="144"/>
      <c r="E985" s="67"/>
      <c r="F985" s="67"/>
      <c r="G985" s="67"/>
      <c r="H985" s="67">
        <f>ROUND(+E985+G985,4)</f>
        <v>0</v>
      </c>
      <c r="I985" s="67"/>
      <c r="J985" s="67">
        <f>ROUND(+I985-H985,4)</f>
        <v>0</v>
      </c>
      <c r="K985" s="67">
        <f>ROUND(IF(F985="alluminio",0,I985*1.5%),4)</f>
        <v>0</v>
      </c>
      <c r="L985" s="67">
        <f>ROUND(IF(K985&lt;J985,K985,0),4)</f>
        <v>0</v>
      </c>
      <c r="M985" s="67">
        <f>ROUND(IF(J985&gt;K985,0,J985),4)</f>
        <v>0</v>
      </c>
      <c r="N985" s="67">
        <f>ROUND(+L985*D985,4)</f>
        <v>0</v>
      </c>
      <c r="O985" s="67">
        <f>ROUND(IF(F985="rame",0,+I985*3%),4)</f>
        <v>0</v>
      </c>
      <c r="P985" s="67">
        <f>ROUND(IF(O985&lt;J985,O985,0),4)</f>
        <v>0</v>
      </c>
      <c r="Q985" s="67">
        <f>ROUND(IF(J985&gt;O985,0,J985),4)</f>
        <v>0</v>
      </c>
      <c r="R985" s="67">
        <f>ROUND(+P985*D985,4)</f>
        <v>0</v>
      </c>
      <c r="S985" s="67">
        <f>ROUND(IF(K985=0,0,M985*D985),4)</f>
        <v>0</v>
      </c>
      <c r="T985" s="67">
        <f>ROUND(+IF(K985=0,Q985*D985,0),4)</f>
        <v>0</v>
      </c>
      <c r="U985" s="67">
        <f>ROUND(+N985+R985+S985+T985,4)</f>
        <v>0</v>
      </c>
      <c r="V985" s="67">
        <f>ROUND(IF(P985=0,0,I985-H985-O985)+IF(L985=0,0,I985-H985-K985),4)</f>
        <v>0</v>
      </c>
      <c r="W985" s="67">
        <f>ROUND(+(V985*60%)*D985,4)</f>
        <v>0</v>
      </c>
      <c r="X985" s="148">
        <f>ROUND(+U985+W985,4)</f>
        <v>0</v>
      </c>
      <c r="Y985" s="68"/>
      <c r="Z985" s="148">
        <f>ROUND(IF(X985&gt;I985,X985,I985),4)</f>
        <v>0</v>
      </c>
    </row>
    <row r="986" spans="1:26" x14ac:dyDescent="0.2">
      <c r="A986" s="66"/>
      <c r="B986" s="66"/>
      <c r="C986" s="66"/>
      <c r="D986" s="144"/>
      <c r="E986" s="67"/>
      <c r="F986" s="67"/>
      <c r="G986" s="67"/>
      <c r="H986" s="67">
        <f>ROUND(+E986+G986,4)</f>
        <v>0</v>
      </c>
      <c r="I986" s="67"/>
      <c r="J986" s="67">
        <f>ROUND(+I986-H986,4)</f>
        <v>0</v>
      </c>
      <c r="K986" s="67">
        <f>ROUND(IF(F986="alluminio",0,I986*1.5%),4)</f>
        <v>0</v>
      </c>
      <c r="L986" s="67">
        <f>ROUND(IF(K986&lt;J986,K986,0),4)</f>
        <v>0</v>
      </c>
      <c r="M986" s="67">
        <f>ROUND(IF(J986&gt;K986,0,J986),4)</f>
        <v>0</v>
      </c>
      <c r="N986" s="67">
        <f>ROUND(+L986*D986,4)</f>
        <v>0</v>
      </c>
      <c r="O986" s="67">
        <f>ROUND(IF(F986="rame",0,+I986*3%),4)</f>
        <v>0</v>
      </c>
      <c r="P986" s="67">
        <f>ROUND(IF(O986&lt;J986,O986,0),4)</f>
        <v>0</v>
      </c>
      <c r="Q986" s="67">
        <f>ROUND(IF(J986&gt;O986,0,J986),4)</f>
        <v>0</v>
      </c>
      <c r="R986" s="67">
        <f>ROUND(+P986*D986,4)</f>
        <v>0</v>
      </c>
      <c r="S986" s="67">
        <f>ROUND(IF(K986=0,0,M986*D986),4)</f>
        <v>0</v>
      </c>
      <c r="T986" s="67">
        <f>ROUND(+IF(K986=0,Q986*D986,0),4)</f>
        <v>0</v>
      </c>
      <c r="U986" s="67">
        <f>ROUND(+N986+R986+S986+T986,4)</f>
        <v>0</v>
      </c>
      <c r="V986" s="67">
        <f>ROUND(IF(P986=0,0,I986-H986-O986)+IF(L986=0,0,I986-H986-K986),4)</f>
        <v>0</v>
      </c>
      <c r="W986" s="67">
        <f>ROUND(+(V986*60%)*D986,4)</f>
        <v>0</v>
      </c>
      <c r="X986" s="148">
        <f>ROUND(+U986+W986,4)</f>
        <v>0</v>
      </c>
      <c r="Y986" s="68"/>
      <c r="Z986" s="148">
        <f>ROUND(IF(X986&gt;I986,X986,I986),4)</f>
        <v>0</v>
      </c>
    </row>
    <row r="987" spans="1:26" x14ac:dyDescent="0.2">
      <c r="A987" s="66"/>
      <c r="B987" s="66"/>
      <c r="C987" s="66"/>
      <c r="D987" s="144"/>
      <c r="E987" s="67"/>
      <c r="F987" s="67"/>
      <c r="G987" s="67"/>
      <c r="H987" s="67">
        <f>ROUND(+E987+G987,4)</f>
        <v>0</v>
      </c>
      <c r="I987" s="67"/>
      <c r="J987" s="67">
        <f>ROUND(+I987-H987,4)</f>
        <v>0</v>
      </c>
      <c r="K987" s="67">
        <f>ROUND(IF(F987="alluminio",0,I987*1.5%),4)</f>
        <v>0</v>
      </c>
      <c r="L987" s="67">
        <f>ROUND(IF(K987&lt;J987,K987,0),4)</f>
        <v>0</v>
      </c>
      <c r="M987" s="67">
        <f>ROUND(IF(J987&gt;K987,0,J987),4)</f>
        <v>0</v>
      </c>
      <c r="N987" s="67">
        <f>ROUND(+L987*D987,4)</f>
        <v>0</v>
      </c>
      <c r="O987" s="67">
        <f>ROUND(IF(F987="rame",0,+I987*3%),4)</f>
        <v>0</v>
      </c>
      <c r="P987" s="67">
        <f>ROUND(IF(O987&lt;J987,O987,0),4)</f>
        <v>0</v>
      </c>
      <c r="Q987" s="67">
        <f>ROUND(IF(J987&gt;O987,0,J987),4)</f>
        <v>0</v>
      </c>
      <c r="R987" s="67">
        <f>ROUND(+P987*D987,4)</f>
        <v>0</v>
      </c>
      <c r="S987" s="67">
        <f>ROUND(IF(K987=0,0,M987*D987),4)</f>
        <v>0</v>
      </c>
      <c r="T987" s="67">
        <f>ROUND(+IF(K987=0,Q987*D987,0),4)</f>
        <v>0</v>
      </c>
      <c r="U987" s="67">
        <f>ROUND(+N987+R987+S987+T987,4)</f>
        <v>0</v>
      </c>
      <c r="V987" s="67">
        <f>ROUND(IF(P987=0,0,I987-H987-O987)+IF(L987=0,0,I987-H987-K987),4)</f>
        <v>0</v>
      </c>
      <c r="W987" s="67">
        <f>ROUND(+(V987*60%)*D987,4)</f>
        <v>0</v>
      </c>
      <c r="X987" s="148">
        <f>ROUND(+U987+W987,4)</f>
        <v>0</v>
      </c>
      <c r="Y987" s="68"/>
      <c r="Z987" s="148">
        <f>ROUND(IF(X987&gt;I987,X987,I987),4)</f>
        <v>0</v>
      </c>
    </row>
    <row r="988" spans="1:26" x14ac:dyDescent="0.2">
      <c r="A988" s="66"/>
      <c r="B988" s="66"/>
      <c r="C988" s="66"/>
      <c r="D988" s="144"/>
      <c r="E988" s="67"/>
      <c r="F988" s="67"/>
      <c r="G988" s="67"/>
      <c r="H988" s="67">
        <f>ROUND(+E988+G988,4)</f>
        <v>0</v>
      </c>
      <c r="I988" s="67"/>
      <c r="J988" s="67">
        <f>ROUND(+I988-H988,4)</f>
        <v>0</v>
      </c>
      <c r="K988" s="67">
        <f>ROUND(IF(F988="alluminio",0,I988*1.5%),4)</f>
        <v>0</v>
      </c>
      <c r="L988" s="67">
        <f>ROUND(IF(K988&lt;J988,K988,0),4)</f>
        <v>0</v>
      </c>
      <c r="M988" s="67">
        <f>ROUND(IF(J988&gt;K988,0,J988),4)</f>
        <v>0</v>
      </c>
      <c r="N988" s="67">
        <f>ROUND(+L988*D988,4)</f>
        <v>0</v>
      </c>
      <c r="O988" s="67">
        <f>ROUND(IF(F988="rame",0,+I988*3%),4)</f>
        <v>0</v>
      </c>
      <c r="P988" s="67">
        <f>ROUND(IF(O988&lt;J988,O988,0),4)</f>
        <v>0</v>
      </c>
      <c r="Q988" s="67">
        <f>ROUND(IF(J988&gt;O988,0,J988),4)</f>
        <v>0</v>
      </c>
      <c r="R988" s="67">
        <f>ROUND(+P988*D988,4)</f>
        <v>0</v>
      </c>
      <c r="S988" s="67">
        <f>ROUND(IF(K988=0,0,M988*D988),4)</f>
        <v>0</v>
      </c>
      <c r="T988" s="67">
        <f>ROUND(+IF(K988=0,Q988*D988,0),4)</f>
        <v>0</v>
      </c>
      <c r="U988" s="67">
        <f>ROUND(+N988+R988+S988+T988,4)</f>
        <v>0</v>
      </c>
      <c r="V988" s="67">
        <f>ROUND(IF(P988=0,0,I988-H988-O988)+IF(L988=0,0,I988-H988-K988),4)</f>
        <v>0</v>
      </c>
      <c r="W988" s="67">
        <f>ROUND(+(V988*60%)*D988,4)</f>
        <v>0</v>
      </c>
      <c r="X988" s="148">
        <f>ROUND(+U988+W988,4)</f>
        <v>0</v>
      </c>
      <c r="Y988" s="68"/>
      <c r="Z988" s="148">
        <f>ROUND(IF(X988&gt;I988,X988,I988),4)</f>
        <v>0</v>
      </c>
    </row>
    <row r="989" spans="1:26" x14ac:dyDescent="0.2">
      <c r="A989" s="66"/>
      <c r="B989" s="66"/>
      <c r="C989" s="66"/>
      <c r="D989" s="144"/>
      <c r="E989" s="67"/>
      <c r="F989" s="67"/>
      <c r="G989" s="67"/>
      <c r="H989" s="67">
        <f>ROUND(+E989+G989,4)</f>
        <v>0</v>
      </c>
      <c r="I989" s="67"/>
      <c r="J989" s="67">
        <f>ROUND(+I989-H989,4)</f>
        <v>0</v>
      </c>
      <c r="K989" s="67">
        <f>ROUND(IF(F989="alluminio",0,I989*1.5%),4)</f>
        <v>0</v>
      </c>
      <c r="L989" s="67">
        <f>ROUND(IF(K989&lt;J989,K989,0),4)</f>
        <v>0</v>
      </c>
      <c r="M989" s="67">
        <f>ROUND(IF(J989&gt;K989,0,J989),4)</f>
        <v>0</v>
      </c>
      <c r="N989" s="67">
        <f>ROUND(+L989*D989,4)</f>
        <v>0</v>
      </c>
      <c r="O989" s="67">
        <f>ROUND(IF(F989="rame",0,+I989*3%),4)</f>
        <v>0</v>
      </c>
      <c r="P989" s="67">
        <f>ROUND(IF(O989&lt;J989,O989,0),4)</f>
        <v>0</v>
      </c>
      <c r="Q989" s="67">
        <f>ROUND(IF(J989&gt;O989,0,J989),4)</f>
        <v>0</v>
      </c>
      <c r="R989" s="67">
        <f>ROUND(+P989*D989,4)</f>
        <v>0</v>
      </c>
      <c r="S989" s="67">
        <f>ROUND(IF(K989=0,0,M989*D989),4)</f>
        <v>0</v>
      </c>
      <c r="T989" s="67">
        <f>ROUND(+IF(K989=0,Q989*D989,0),4)</f>
        <v>0</v>
      </c>
      <c r="U989" s="67">
        <f>ROUND(+N989+R989+S989+T989,4)</f>
        <v>0</v>
      </c>
      <c r="V989" s="67">
        <f>ROUND(IF(P989=0,0,I989-H989-O989)+IF(L989=0,0,I989-H989-K989),4)</f>
        <v>0</v>
      </c>
      <c r="W989" s="67">
        <f>ROUND(+(V989*60%)*D989,4)</f>
        <v>0</v>
      </c>
      <c r="X989" s="148">
        <f>ROUND(+U989+W989,4)</f>
        <v>0</v>
      </c>
      <c r="Y989" s="68"/>
      <c r="Z989" s="148">
        <f>ROUND(IF(X989&gt;I989,X989,I989),4)</f>
        <v>0</v>
      </c>
    </row>
    <row r="990" spans="1:26" x14ac:dyDescent="0.2">
      <c r="A990" s="66"/>
      <c r="B990" s="66"/>
      <c r="C990" s="66"/>
      <c r="D990" s="144"/>
      <c r="E990" s="67"/>
      <c r="F990" s="67"/>
      <c r="G990" s="67"/>
      <c r="H990" s="67">
        <f>ROUND(+E990+G990,4)</f>
        <v>0</v>
      </c>
      <c r="I990" s="67"/>
      <c r="J990" s="67">
        <f>ROUND(+I990-H990,4)</f>
        <v>0</v>
      </c>
      <c r="K990" s="67">
        <f>ROUND(IF(F990="alluminio",0,I990*1.5%),4)</f>
        <v>0</v>
      </c>
      <c r="L990" s="67">
        <f>ROUND(IF(K990&lt;J990,K990,0),4)</f>
        <v>0</v>
      </c>
      <c r="M990" s="67">
        <f>ROUND(IF(J990&gt;K990,0,J990),4)</f>
        <v>0</v>
      </c>
      <c r="N990" s="67">
        <f>ROUND(+L990*D990,4)</f>
        <v>0</v>
      </c>
      <c r="O990" s="67">
        <f>ROUND(IF(F990="rame",0,+I990*3%),4)</f>
        <v>0</v>
      </c>
      <c r="P990" s="67">
        <f>ROUND(IF(O990&lt;J990,O990,0),4)</f>
        <v>0</v>
      </c>
      <c r="Q990" s="67">
        <f>ROUND(IF(J990&gt;O990,0,J990),4)</f>
        <v>0</v>
      </c>
      <c r="R990" s="67">
        <f>ROUND(+P990*D990,4)</f>
        <v>0</v>
      </c>
      <c r="S990" s="67">
        <f>ROUND(IF(K990=0,0,M990*D990),4)</f>
        <v>0</v>
      </c>
      <c r="T990" s="67">
        <f>ROUND(+IF(K990=0,Q990*D990,0),4)</f>
        <v>0</v>
      </c>
      <c r="U990" s="67">
        <f>ROUND(+N990+R990+S990+T990,4)</f>
        <v>0</v>
      </c>
      <c r="V990" s="67">
        <f>ROUND(IF(P990=0,0,I990-H990-O990)+IF(L990=0,0,I990-H990-K990),4)</f>
        <v>0</v>
      </c>
      <c r="W990" s="67">
        <f>ROUND(+(V990*60%)*D990,4)</f>
        <v>0</v>
      </c>
      <c r="X990" s="148">
        <f>ROUND(+U990+W990,4)</f>
        <v>0</v>
      </c>
      <c r="Y990" s="68"/>
      <c r="Z990" s="148">
        <f>ROUND(IF(X990&gt;I990,X990,I990),4)</f>
        <v>0</v>
      </c>
    </row>
    <row r="991" spans="1:26" x14ac:dyDescent="0.2">
      <c r="A991" s="66"/>
      <c r="B991" s="66"/>
      <c r="C991" s="66"/>
      <c r="D991" s="144"/>
      <c r="E991" s="67"/>
      <c r="F991" s="67"/>
      <c r="G991" s="67"/>
      <c r="H991" s="67">
        <f>ROUND(+E991+G991,4)</f>
        <v>0</v>
      </c>
      <c r="I991" s="67"/>
      <c r="J991" s="67">
        <f>ROUND(+I991-H991,4)</f>
        <v>0</v>
      </c>
      <c r="K991" s="67">
        <f>ROUND(IF(F991="alluminio",0,I991*1.5%),4)</f>
        <v>0</v>
      </c>
      <c r="L991" s="67">
        <f>ROUND(IF(K991&lt;J991,K991,0),4)</f>
        <v>0</v>
      </c>
      <c r="M991" s="67">
        <f>ROUND(IF(J991&gt;K991,0,J991),4)</f>
        <v>0</v>
      </c>
      <c r="N991" s="67">
        <f>ROUND(+L991*D991,4)</f>
        <v>0</v>
      </c>
      <c r="O991" s="67">
        <f>ROUND(IF(F991="rame",0,+I991*3%),4)</f>
        <v>0</v>
      </c>
      <c r="P991" s="67">
        <f>ROUND(IF(O991&lt;J991,O991,0),4)</f>
        <v>0</v>
      </c>
      <c r="Q991" s="67">
        <f>ROUND(IF(J991&gt;O991,0,J991),4)</f>
        <v>0</v>
      </c>
      <c r="R991" s="67">
        <f>ROUND(+P991*D991,4)</f>
        <v>0</v>
      </c>
      <c r="S991" s="67">
        <f>ROUND(IF(K991=0,0,M991*D991),4)</f>
        <v>0</v>
      </c>
      <c r="T991" s="67">
        <f>ROUND(+IF(K991=0,Q991*D991,0),4)</f>
        <v>0</v>
      </c>
      <c r="U991" s="67">
        <f>ROUND(+N991+R991+S991+T991,4)</f>
        <v>0</v>
      </c>
      <c r="V991" s="67">
        <f>ROUND(IF(P991=0,0,I991-H991-O991)+IF(L991=0,0,I991-H991-K991),4)</f>
        <v>0</v>
      </c>
      <c r="W991" s="67">
        <f>ROUND(+(V991*60%)*D991,4)</f>
        <v>0</v>
      </c>
      <c r="X991" s="148">
        <f>ROUND(+U991+W991,4)</f>
        <v>0</v>
      </c>
      <c r="Y991" s="68"/>
      <c r="Z991" s="148">
        <f>ROUND(IF(X991&gt;I991,X991,I991),4)</f>
        <v>0</v>
      </c>
    </row>
    <row r="992" spans="1:26" x14ac:dyDescent="0.2">
      <c r="A992" s="66"/>
      <c r="B992" s="66"/>
      <c r="C992" s="66"/>
      <c r="D992" s="144"/>
      <c r="E992" s="67"/>
      <c r="F992" s="67"/>
      <c r="G992" s="67"/>
      <c r="H992" s="67">
        <f>ROUND(+E992+G992,4)</f>
        <v>0</v>
      </c>
      <c r="I992" s="67"/>
      <c r="J992" s="67">
        <f>ROUND(+I992-H992,4)</f>
        <v>0</v>
      </c>
      <c r="K992" s="67">
        <f>ROUND(IF(F992="alluminio",0,I992*1.5%),4)</f>
        <v>0</v>
      </c>
      <c r="L992" s="67">
        <f>ROUND(IF(K992&lt;J992,K992,0),4)</f>
        <v>0</v>
      </c>
      <c r="M992" s="67">
        <f>ROUND(IF(J992&gt;K992,0,J992),4)</f>
        <v>0</v>
      </c>
      <c r="N992" s="67">
        <f>ROUND(+L992*D992,4)</f>
        <v>0</v>
      </c>
      <c r="O992" s="67">
        <f>ROUND(IF(F992="rame",0,+I992*3%),4)</f>
        <v>0</v>
      </c>
      <c r="P992" s="67">
        <f>ROUND(IF(O992&lt;J992,O992,0),4)</f>
        <v>0</v>
      </c>
      <c r="Q992" s="67">
        <f>ROUND(IF(J992&gt;O992,0,J992),4)</f>
        <v>0</v>
      </c>
      <c r="R992" s="67">
        <f>ROUND(+P992*D992,4)</f>
        <v>0</v>
      </c>
      <c r="S992" s="67">
        <f>ROUND(IF(K992=0,0,M992*D992),4)</f>
        <v>0</v>
      </c>
      <c r="T992" s="67">
        <f>ROUND(+IF(K992=0,Q992*D992,0),4)</f>
        <v>0</v>
      </c>
      <c r="U992" s="67">
        <f>ROUND(+N992+R992+S992+T992,4)</f>
        <v>0</v>
      </c>
      <c r="V992" s="67">
        <f>ROUND(IF(P992=0,0,I992-H992-O992)+IF(L992=0,0,I992-H992-K992),4)</f>
        <v>0</v>
      </c>
      <c r="W992" s="67">
        <f>ROUND(+(V992*60%)*D992,4)</f>
        <v>0</v>
      </c>
      <c r="X992" s="148">
        <f>ROUND(+U992+W992,4)</f>
        <v>0</v>
      </c>
      <c r="Y992" s="68"/>
      <c r="Z992" s="148">
        <f>ROUND(IF(X992&gt;I992,X992,I992),4)</f>
        <v>0</v>
      </c>
    </row>
    <row r="993" spans="1:26" x14ac:dyDescent="0.2">
      <c r="A993" s="66"/>
      <c r="B993" s="66"/>
      <c r="C993" s="66"/>
      <c r="D993" s="144"/>
      <c r="E993" s="67"/>
      <c r="F993" s="67"/>
      <c r="G993" s="67"/>
      <c r="H993" s="67">
        <f>ROUND(+E993+G993,4)</f>
        <v>0</v>
      </c>
      <c r="I993" s="67"/>
      <c r="J993" s="67">
        <f>ROUND(+I993-H993,4)</f>
        <v>0</v>
      </c>
      <c r="K993" s="67">
        <f>ROUND(IF(F993="alluminio",0,I993*1.5%),4)</f>
        <v>0</v>
      </c>
      <c r="L993" s="67">
        <f>ROUND(IF(K993&lt;J993,K993,0),4)</f>
        <v>0</v>
      </c>
      <c r="M993" s="67">
        <f>ROUND(IF(J993&gt;K993,0,J993),4)</f>
        <v>0</v>
      </c>
      <c r="N993" s="67">
        <f>ROUND(+L993*D993,4)</f>
        <v>0</v>
      </c>
      <c r="O993" s="67">
        <f>ROUND(IF(F993="rame",0,+I993*3%),4)</f>
        <v>0</v>
      </c>
      <c r="P993" s="67">
        <f>ROUND(IF(O993&lt;J993,O993,0),4)</f>
        <v>0</v>
      </c>
      <c r="Q993" s="67">
        <f>ROUND(IF(J993&gt;O993,0,J993),4)</f>
        <v>0</v>
      </c>
      <c r="R993" s="67">
        <f>ROUND(+P993*D993,4)</f>
        <v>0</v>
      </c>
      <c r="S993" s="67">
        <f>ROUND(IF(K993=0,0,M993*D993),4)</f>
        <v>0</v>
      </c>
      <c r="T993" s="67">
        <f>ROUND(+IF(K993=0,Q993*D993,0),4)</f>
        <v>0</v>
      </c>
      <c r="U993" s="67">
        <f>ROUND(+N993+R993+S993+T993,4)</f>
        <v>0</v>
      </c>
      <c r="V993" s="67">
        <f>ROUND(IF(P993=0,0,I993-H993-O993)+IF(L993=0,0,I993-H993-K993),4)</f>
        <v>0</v>
      </c>
      <c r="W993" s="67">
        <f>ROUND(+(V993*60%)*D993,4)</f>
        <v>0</v>
      </c>
      <c r="X993" s="148">
        <f>ROUND(+U993+W993,4)</f>
        <v>0</v>
      </c>
      <c r="Y993" s="68"/>
      <c r="Z993" s="148">
        <f>ROUND(IF(X993&gt;I993,X993,I993),4)</f>
        <v>0</v>
      </c>
    </row>
    <row r="994" spans="1:26" x14ac:dyDescent="0.2">
      <c r="A994" s="66"/>
      <c r="B994" s="66"/>
      <c r="C994" s="66"/>
      <c r="D994" s="144"/>
      <c r="E994" s="67"/>
      <c r="F994" s="67"/>
      <c r="G994" s="67"/>
      <c r="H994" s="67">
        <f>ROUND(+E994+G994,4)</f>
        <v>0</v>
      </c>
      <c r="I994" s="67"/>
      <c r="J994" s="67">
        <f>ROUND(+I994-H994,4)</f>
        <v>0</v>
      </c>
      <c r="K994" s="67">
        <f>ROUND(IF(F994="alluminio",0,I994*1.5%),4)</f>
        <v>0</v>
      </c>
      <c r="L994" s="67">
        <f>ROUND(IF(K994&lt;J994,K994,0),4)</f>
        <v>0</v>
      </c>
      <c r="M994" s="67">
        <f>ROUND(IF(J994&gt;K994,0,J994),4)</f>
        <v>0</v>
      </c>
      <c r="N994" s="67">
        <f>ROUND(+L994*D994,4)</f>
        <v>0</v>
      </c>
      <c r="O994" s="67">
        <f>ROUND(IF(F994="rame",0,+I994*3%),4)</f>
        <v>0</v>
      </c>
      <c r="P994" s="67">
        <f>ROUND(IF(O994&lt;J994,O994,0),4)</f>
        <v>0</v>
      </c>
      <c r="Q994" s="67">
        <f>ROUND(IF(J994&gt;O994,0,J994),4)</f>
        <v>0</v>
      </c>
      <c r="R994" s="67">
        <f>ROUND(+P994*D994,4)</f>
        <v>0</v>
      </c>
      <c r="S994" s="67">
        <f>ROUND(IF(K994=0,0,M994*D994),4)</f>
        <v>0</v>
      </c>
      <c r="T994" s="67">
        <f>ROUND(+IF(K994=0,Q994*D994,0),4)</f>
        <v>0</v>
      </c>
      <c r="U994" s="67">
        <f>ROUND(+N994+R994+S994+T994,4)</f>
        <v>0</v>
      </c>
      <c r="V994" s="67">
        <f>ROUND(IF(P994=0,0,I994-H994-O994)+IF(L994=0,0,I994-H994-K994),4)</f>
        <v>0</v>
      </c>
      <c r="W994" s="67">
        <f>ROUND(+(V994*60%)*D994,4)</f>
        <v>0</v>
      </c>
      <c r="X994" s="148">
        <f>ROUND(+U994+W994,4)</f>
        <v>0</v>
      </c>
      <c r="Y994" s="68"/>
      <c r="Z994" s="148">
        <f>ROUND(IF(X994&gt;I994,X994,I994),4)</f>
        <v>0</v>
      </c>
    </row>
    <row r="995" spans="1:26" x14ac:dyDescent="0.2">
      <c r="A995" s="66"/>
      <c r="B995" s="66"/>
      <c r="C995" s="66"/>
      <c r="D995" s="144"/>
      <c r="E995" s="67"/>
      <c r="F995" s="67"/>
      <c r="G995" s="67"/>
      <c r="H995" s="67">
        <f>ROUND(+E995+G995,4)</f>
        <v>0</v>
      </c>
      <c r="I995" s="67"/>
      <c r="J995" s="67">
        <f>ROUND(+I995-H995,4)</f>
        <v>0</v>
      </c>
      <c r="K995" s="67">
        <f>ROUND(IF(F995="alluminio",0,I995*1.5%),4)</f>
        <v>0</v>
      </c>
      <c r="L995" s="67">
        <f>ROUND(IF(K995&lt;J995,K995,0),4)</f>
        <v>0</v>
      </c>
      <c r="M995" s="67">
        <f>ROUND(IF(J995&gt;K995,0,J995),4)</f>
        <v>0</v>
      </c>
      <c r="N995" s="67">
        <f>ROUND(+L995*D995,4)</f>
        <v>0</v>
      </c>
      <c r="O995" s="67">
        <f>ROUND(IF(F995="rame",0,+I995*3%),4)</f>
        <v>0</v>
      </c>
      <c r="P995" s="67">
        <f>ROUND(IF(O995&lt;J995,O995,0),4)</f>
        <v>0</v>
      </c>
      <c r="Q995" s="67">
        <f>ROUND(IF(J995&gt;O995,0,J995),4)</f>
        <v>0</v>
      </c>
      <c r="R995" s="67">
        <f>ROUND(+P995*D995,4)</f>
        <v>0</v>
      </c>
      <c r="S995" s="67">
        <f>ROUND(IF(K995=0,0,M995*D995),4)</f>
        <v>0</v>
      </c>
      <c r="T995" s="67">
        <f>ROUND(+IF(K995=0,Q995*D995,0),4)</f>
        <v>0</v>
      </c>
      <c r="U995" s="67">
        <f>ROUND(+N995+R995+S995+T995,4)</f>
        <v>0</v>
      </c>
      <c r="V995" s="67">
        <f>ROUND(IF(P995=0,0,I995-H995-O995)+IF(L995=0,0,I995-H995-K995),4)</f>
        <v>0</v>
      </c>
      <c r="W995" s="67">
        <f>ROUND(+(V995*60%)*D995,4)</f>
        <v>0</v>
      </c>
      <c r="X995" s="148">
        <f>ROUND(+U995+W995,4)</f>
        <v>0</v>
      </c>
      <c r="Y995" s="68"/>
      <c r="Z995" s="148">
        <f>ROUND(IF(X995&gt;I995,X995,I995),4)</f>
        <v>0</v>
      </c>
    </row>
    <row r="996" spans="1:26" x14ac:dyDescent="0.2">
      <c r="A996" s="66"/>
      <c r="B996" s="66"/>
      <c r="C996" s="66"/>
      <c r="D996" s="144"/>
      <c r="E996" s="67"/>
      <c r="F996" s="67"/>
      <c r="G996" s="67"/>
      <c r="H996" s="67">
        <f>ROUND(+E996+G996,4)</f>
        <v>0</v>
      </c>
      <c r="I996" s="67"/>
      <c r="J996" s="67">
        <f>ROUND(+I996-H996,4)</f>
        <v>0</v>
      </c>
      <c r="K996" s="67">
        <f>ROUND(IF(F996="alluminio",0,I996*1.5%),4)</f>
        <v>0</v>
      </c>
      <c r="L996" s="67">
        <f>ROUND(IF(K996&lt;J996,K996,0),4)</f>
        <v>0</v>
      </c>
      <c r="M996" s="67">
        <f>ROUND(IF(J996&gt;K996,0,J996),4)</f>
        <v>0</v>
      </c>
      <c r="N996" s="67">
        <f>ROUND(+L996*D996,4)</f>
        <v>0</v>
      </c>
      <c r="O996" s="67">
        <f>ROUND(IF(F996="rame",0,+I996*3%),4)</f>
        <v>0</v>
      </c>
      <c r="P996" s="67">
        <f>ROUND(IF(O996&lt;J996,O996,0),4)</f>
        <v>0</v>
      </c>
      <c r="Q996" s="67">
        <f>ROUND(IF(J996&gt;O996,0,J996),4)</f>
        <v>0</v>
      </c>
      <c r="R996" s="67">
        <f>ROUND(+P996*D996,4)</f>
        <v>0</v>
      </c>
      <c r="S996" s="67">
        <f>ROUND(IF(K996=0,0,M996*D996),4)</f>
        <v>0</v>
      </c>
      <c r="T996" s="67">
        <f>ROUND(+IF(K996=0,Q996*D996,0),4)</f>
        <v>0</v>
      </c>
      <c r="U996" s="67">
        <f>ROUND(+N996+R996+S996+T996,4)</f>
        <v>0</v>
      </c>
      <c r="V996" s="67">
        <f>ROUND(IF(P996=0,0,I996-H996-O996)+IF(L996=0,0,I996-H996-K996),4)</f>
        <v>0</v>
      </c>
      <c r="W996" s="67">
        <f>ROUND(+(V996*60%)*D996,4)</f>
        <v>0</v>
      </c>
      <c r="X996" s="148">
        <f>ROUND(+U996+W996,4)</f>
        <v>0</v>
      </c>
      <c r="Y996" s="68"/>
      <c r="Z996" s="148">
        <f>ROUND(IF(X996&gt;I996,X996,I996),4)</f>
        <v>0</v>
      </c>
    </row>
    <row r="997" spans="1:26" x14ac:dyDescent="0.2">
      <c r="A997" s="66"/>
      <c r="B997" s="66"/>
      <c r="C997" s="66"/>
      <c r="D997" s="144"/>
      <c r="E997" s="67"/>
      <c r="F997" s="67"/>
      <c r="G997" s="67"/>
      <c r="H997" s="67">
        <f>ROUND(+E997+G997,4)</f>
        <v>0</v>
      </c>
      <c r="I997" s="67"/>
      <c r="J997" s="67">
        <f>ROUND(+I997-H997,4)</f>
        <v>0</v>
      </c>
      <c r="K997" s="67">
        <f>ROUND(IF(F997="alluminio",0,I997*1.5%),4)</f>
        <v>0</v>
      </c>
      <c r="L997" s="67">
        <f>ROUND(IF(K997&lt;J997,K997,0),4)</f>
        <v>0</v>
      </c>
      <c r="M997" s="67">
        <f>ROUND(IF(J997&gt;K997,0,J997),4)</f>
        <v>0</v>
      </c>
      <c r="N997" s="67">
        <f>ROUND(+L997*D997,4)</f>
        <v>0</v>
      </c>
      <c r="O997" s="67">
        <f>ROUND(IF(F997="rame",0,+I997*3%),4)</f>
        <v>0</v>
      </c>
      <c r="P997" s="67">
        <f>ROUND(IF(O997&lt;J997,O997,0),4)</f>
        <v>0</v>
      </c>
      <c r="Q997" s="67">
        <f>ROUND(IF(J997&gt;O997,0,J997),4)</f>
        <v>0</v>
      </c>
      <c r="R997" s="67">
        <f>ROUND(+P997*D997,4)</f>
        <v>0</v>
      </c>
      <c r="S997" s="67">
        <f>ROUND(IF(K997=0,0,M997*D997),4)</f>
        <v>0</v>
      </c>
      <c r="T997" s="67">
        <f>ROUND(+IF(K997=0,Q997*D997,0),4)</f>
        <v>0</v>
      </c>
      <c r="U997" s="67">
        <f>ROUND(+N997+R997+S997+T997,4)</f>
        <v>0</v>
      </c>
      <c r="V997" s="67">
        <f>ROUND(IF(P997=0,0,I997-H997-O997)+IF(L997=0,0,I997-H997-K997),4)</f>
        <v>0</v>
      </c>
      <c r="W997" s="67">
        <f>ROUND(+(V997*60%)*D997,4)</f>
        <v>0</v>
      </c>
      <c r="X997" s="148">
        <f>ROUND(+U997+W997,4)</f>
        <v>0</v>
      </c>
      <c r="Y997" s="68"/>
      <c r="Z997" s="148">
        <f>ROUND(IF(X997&gt;I997,X997,I997),4)</f>
        <v>0</v>
      </c>
    </row>
    <row r="998" spans="1:26" x14ac:dyDescent="0.2">
      <c r="A998" s="66"/>
      <c r="B998" s="66"/>
      <c r="C998" s="66"/>
      <c r="D998" s="144"/>
      <c r="E998" s="67"/>
      <c r="F998" s="67"/>
      <c r="G998" s="67"/>
      <c r="H998" s="67">
        <f>ROUND(+E998+G998,4)</f>
        <v>0</v>
      </c>
      <c r="I998" s="67"/>
      <c r="J998" s="67">
        <f>ROUND(+I998-H998,4)</f>
        <v>0</v>
      </c>
      <c r="K998" s="67">
        <f>ROUND(IF(F998="alluminio",0,I998*1.5%),4)</f>
        <v>0</v>
      </c>
      <c r="L998" s="67">
        <f>ROUND(IF(K998&lt;J998,K998,0),4)</f>
        <v>0</v>
      </c>
      <c r="M998" s="67">
        <f>ROUND(IF(J998&gt;K998,0,J998),4)</f>
        <v>0</v>
      </c>
      <c r="N998" s="67">
        <f>ROUND(+L998*D998,4)</f>
        <v>0</v>
      </c>
      <c r="O998" s="67">
        <f>ROUND(IF(F998="rame",0,+I998*3%),4)</f>
        <v>0</v>
      </c>
      <c r="P998" s="67">
        <f>ROUND(IF(O998&lt;J998,O998,0),4)</f>
        <v>0</v>
      </c>
      <c r="Q998" s="67">
        <f>ROUND(IF(J998&gt;O998,0,J998),4)</f>
        <v>0</v>
      </c>
      <c r="R998" s="67">
        <f>ROUND(+P998*D998,4)</f>
        <v>0</v>
      </c>
      <c r="S998" s="67">
        <f>ROUND(IF(K998=0,0,M998*D998),4)</f>
        <v>0</v>
      </c>
      <c r="T998" s="67">
        <f>ROUND(+IF(K998=0,Q998*D998,0),4)</f>
        <v>0</v>
      </c>
      <c r="U998" s="67">
        <f>ROUND(+N998+R998+S998+T998,4)</f>
        <v>0</v>
      </c>
      <c r="V998" s="67">
        <f>ROUND(IF(P998=0,0,I998-H998-O998)+IF(L998=0,0,I998-H998-K998),4)</f>
        <v>0</v>
      </c>
      <c r="W998" s="67">
        <f>ROUND(+(V998*60%)*D998,4)</f>
        <v>0</v>
      </c>
      <c r="X998" s="148">
        <f>ROUND(+U998+W998,4)</f>
        <v>0</v>
      </c>
      <c r="Y998" s="68"/>
      <c r="Z998" s="148">
        <f>ROUND(IF(X998&gt;I998,X998,I998),4)</f>
        <v>0</v>
      </c>
    </row>
    <row r="999" spans="1:26" x14ac:dyDescent="0.2">
      <c r="A999" s="66"/>
      <c r="B999" s="66"/>
      <c r="C999" s="66"/>
      <c r="D999" s="144"/>
      <c r="E999" s="67"/>
      <c r="F999" s="67"/>
      <c r="G999" s="67"/>
      <c r="H999" s="67">
        <f>ROUND(+E999+G999,4)</f>
        <v>0</v>
      </c>
      <c r="I999" s="67"/>
      <c r="J999" s="67">
        <f>ROUND(+I999-H999,4)</f>
        <v>0</v>
      </c>
      <c r="K999" s="67">
        <f>ROUND(IF(F999="alluminio",0,I999*1.5%),4)</f>
        <v>0</v>
      </c>
      <c r="L999" s="67">
        <f>ROUND(IF(K999&lt;J999,K999,0),4)</f>
        <v>0</v>
      </c>
      <c r="M999" s="67">
        <f>ROUND(IF(J999&gt;K999,0,J999),4)</f>
        <v>0</v>
      </c>
      <c r="N999" s="67">
        <f>ROUND(+L999*D999,4)</f>
        <v>0</v>
      </c>
      <c r="O999" s="67">
        <f>ROUND(IF(F999="rame",0,+I999*3%),4)</f>
        <v>0</v>
      </c>
      <c r="P999" s="67">
        <f>ROUND(IF(O999&lt;J999,O999,0),4)</f>
        <v>0</v>
      </c>
      <c r="Q999" s="67">
        <f>ROUND(IF(J999&gt;O999,0,J999),4)</f>
        <v>0</v>
      </c>
      <c r="R999" s="67">
        <f>ROUND(+P999*D999,4)</f>
        <v>0</v>
      </c>
      <c r="S999" s="67">
        <f>ROUND(IF(K999=0,0,M999*D999),4)</f>
        <v>0</v>
      </c>
      <c r="T999" s="67">
        <f>ROUND(+IF(K999=0,Q999*D999,0),4)</f>
        <v>0</v>
      </c>
      <c r="U999" s="67">
        <f>ROUND(+N999+R999+S999+T999,4)</f>
        <v>0</v>
      </c>
      <c r="V999" s="67">
        <f>ROUND(IF(P999=0,0,I999-H999-O999)+IF(L999=0,0,I999-H999-K999),4)</f>
        <v>0</v>
      </c>
      <c r="W999" s="67">
        <f>ROUND(+(V999*60%)*D999,4)</f>
        <v>0</v>
      </c>
      <c r="X999" s="148">
        <f>ROUND(+U999+W999,4)</f>
        <v>0</v>
      </c>
      <c r="Y999" s="68"/>
      <c r="Z999" s="148">
        <f>ROUND(IF(X999&gt;I999,X999,I999),4)</f>
        <v>0</v>
      </c>
    </row>
    <row r="1000" spans="1:26" x14ac:dyDescent="0.2">
      <c r="A1000" s="66"/>
      <c r="B1000" s="66"/>
      <c r="C1000" s="66"/>
      <c r="D1000" s="144"/>
      <c r="E1000" s="67"/>
      <c r="F1000" s="67"/>
      <c r="G1000" s="67"/>
      <c r="H1000" s="67">
        <f>ROUND(+E1000+G1000,4)</f>
        <v>0</v>
      </c>
      <c r="I1000" s="67"/>
      <c r="J1000" s="67">
        <f>ROUND(+I1000-H1000,4)</f>
        <v>0</v>
      </c>
      <c r="K1000" s="67">
        <f>ROUND(IF(F1000="alluminio",0,I1000*1.5%),4)</f>
        <v>0</v>
      </c>
      <c r="L1000" s="67">
        <f>ROUND(IF(K1000&lt;J1000,K1000,0),4)</f>
        <v>0</v>
      </c>
      <c r="M1000" s="67">
        <f>ROUND(IF(J1000&gt;K1000,0,J1000),4)</f>
        <v>0</v>
      </c>
      <c r="N1000" s="67">
        <f>ROUND(+L1000*D1000,4)</f>
        <v>0</v>
      </c>
      <c r="O1000" s="67">
        <f>ROUND(IF(F1000="rame",0,+I1000*3%),4)</f>
        <v>0</v>
      </c>
      <c r="P1000" s="67">
        <f>ROUND(IF(O1000&lt;J1000,O1000,0),4)</f>
        <v>0</v>
      </c>
      <c r="Q1000" s="67">
        <f>ROUND(IF(J1000&gt;O1000,0,J1000),4)</f>
        <v>0</v>
      </c>
      <c r="R1000" s="67">
        <f>ROUND(+P1000*D1000,4)</f>
        <v>0</v>
      </c>
      <c r="S1000" s="67">
        <f>ROUND(IF(K1000=0,0,M1000*D1000),4)</f>
        <v>0</v>
      </c>
      <c r="T1000" s="67">
        <f>ROUND(+IF(K1000=0,Q1000*D1000,0),4)</f>
        <v>0</v>
      </c>
      <c r="U1000" s="67">
        <f>ROUND(+N1000+R1000+S1000+T1000,4)</f>
        <v>0</v>
      </c>
      <c r="V1000" s="67">
        <f>ROUND(IF(P1000=0,0,I1000-H1000-O1000)+IF(L1000=0,0,I1000-H1000-K1000),4)</f>
        <v>0</v>
      </c>
      <c r="W1000" s="67">
        <f>ROUND(+(V1000*60%)*D1000,4)</f>
        <v>0</v>
      </c>
      <c r="X1000" s="148">
        <f>ROUND(+U1000+W1000,4)</f>
        <v>0</v>
      </c>
      <c r="Y1000" s="68"/>
      <c r="Z1000" s="148">
        <f>ROUND(IF(X1000&gt;I1000,X1000,I1000),4)</f>
        <v>0</v>
      </c>
    </row>
    <row r="1001" spans="1:26" x14ac:dyDescent="0.2">
      <c r="A1001" s="66"/>
      <c r="B1001" s="66"/>
      <c r="C1001" s="66"/>
      <c r="D1001" s="144"/>
      <c r="E1001" s="67"/>
      <c r="F1001" s="67"/>
      <c r="G1001" s="67"/>
      <c r="H1001" s="67">
        <f>ROUND(+E1001+G1001,4)</f>
        <v>0</v>
      </c>
      <c r="I1001" s="67"/>
      <c r="J1001" s="67">
        <f>ROUND(+I1001-H1001,4)</f>
        <v>0</v>
      </c>
      <c r="K1001" s="67">
        <f>ROUND(IF(F1001="alluminio",0,I1001*1.5%),4)</f>
        <v>0</v>
      </c>
      <c r="L1001" s="67">
        <f>ROUND(IF(K1001&lt;J1001,K1001,0),4)</f>
        <v>0</v>
      </c>
      <c r="M1001" s="67">
        <f>ROUND(IF(J1001&gt;K1001,0,J1001),4)</f>
        <v>0</v>
      </c>
      <c r="N1001" s="67">
        <f>ROUND(+L1001*D1001,4)</f>
        <v>0</v>
      </c>
      <c r="O1001" s="67">
        <f>ROUND(IF(F1001="rame",0,+I1001*3%),4)</f>
        <v>0</v>
      </c>
      <c r="P1001" s="67">
        <f>ROUND(IF(O1001&lt;J1001,O1001,0),4)</f>
        <v>0</v>
      </c>
      <c r="Q1001" s="67">
        <f>ROUND(IF(J1001&gt;O1001,0,J1001),4)</f>
        <v>0</v>
      </c>
      <c r="R1001" s="67">
        <f>ROUND(+P1001*D1001,4)</f>
        <v>0</v>
      </c>
      <c r="S1001" s="67">
        <f>ROUND(IF(K1001=0,0,M1001*D1001),4)</f>
        <v>0</v>
      </c>
      <c r="T1001" s="67">
        <f>ROUND(+IF(K1001=0,Q1001*D1001,0),4)</f>
        <v>0</v>
      </c>
      <c r="U1001" s="67">
        <f>ROUND(+N1001+R1001+S1001+T1001,4)</f>
        <v>0</v>
      </c>
      <c r="V1001" s="67">
        <f>ROUND(IF(P1001=0,0,I1001-H1001-O1001)+IF(L1001=0,0,I1001-H1001-K1001),4)</f>
        <v>0</v>
      </c>
      <c r="W1001" s="67">
        <f>ROUND(+(V1001*60%)*D1001,4)</f>
        <v>0</v>
      </c>
      <c r="X1001" s="148">
        <f>ROUND(+U1001+W1001,4)</f>
        <v>0</v>
      </c>
      <c r="Y1001" s="68"/>
      <c r="Z1001" s="148">
        <f>ROUND(IF(X1001&gt;I1001,X1001,I1001),4)</f>
        <v>0</v>
      </c>
    </row>
    <row r="1002" spans="1:26" x14ac:dyDescent="0.2">
      <c r="A1002" s="66"/>
      <c r="B1002" s="66"/>
      <c r="C1002" s="66"/>
      <c r="D1002" s="144"/>
      <c r="E1002" s="67"/>
      <c r="F1002" s="67"/>
      <c r="G1002" s="67"/>
      <c r="H1002" s="67">
        <f>ROUND(+E1002+G1002,4)</f>
        <v>0</v>
      </c>
      <c r="I1002" s="67"/>
      <c r="J1002" s="67">
        <f>ROUND(+I1002-H1002,4)</f>
        <v>0</v>
      </c>
      <c r="K1002" s="67">
        <f>ROUND(IF(F1002="alluminio",0,I1002*1.5%),4)</f>
        <v>0</v>
      </c>
      <c r="L1002" s="67">
        <f>ROUND(IF(K1002&lt;J1002,K1002,0),4)</f>
        <v>0</v>
      </c>
      <c r="M1002" s="67">
        <f>ROUND(IF(J1002&gt;K1002,0,J1002),4)</f>
        <v>0</v>
      </c>
      <c r="N1002" s="67">
        <f>ROUND(+L1002*D1002,4)</f>
        <v>0</v>
      </c>
      <c r="O1002" s="67">
        <f>ROUND(IF(F1002="rame",0,+I1002*3%),4)</f>
        <v>0</v>
      </c>
      <c r="P1002" s="67">
        <f>ROUND(IF(O1002&lt;J1002,O1002,0),4)</f>
        <v>0</v>
      </c>
      <c r="Q1002" s="67">
        <f>ROUND(IF(J1002&gt;O1002,0,J1002),4)</f>
        <v>0</v>
      </c>
      <c r="R1002" s="67">
        <f>ROUND(+P1002*D1002,4)</f>
        <v>0</v>
      </c>
      <c r="S1002" s="67">
        <f>ROUND(IF(K1002=0,0,M1002*D1002),4)</f>
        <v>0</v>
      </c>
      <c r="T1002" s="67">
        <f>ROUND(+IF(K1002=0,Q1002*D1002,0),4)</f>
        <v>0</v>
      </c>
      <c r="U1002" s="67">
        <f>ROUND(+N1002+R1002+S1002+T1002,4)</f>
        <v>0</v>
      </c>
      <c r="V1002" s="67">
        <f>ROUND(IF(P1002=0,0,I1002-H1002-O1002)+IF(L1002=0,0,I1002-H1002-K1002),4)</f>
        <v>0</v>
      </c>
      <c r="W1002" s="67">
        <f>ROUND(+(V1002*60%)*D1002,4)</f>
        <v>0</v>
      </c>
      <c r="X1002" s="148">
        <f>ROUND(+U1002+W1002,4)</f>
        <v>0</v>
      </c>
      <c r="Y1002" s="68"/>
      <c r="Z1002" s="148">
        <f>ROUND(IF(X1002&gt;I1002,X1002,I1002),4)</f>
        <v>0</v>
      </c>
    </row>
    <row r="1003" spans="1:26" x14ac:dyDescent="0.2">
      <c r="A1003" s="66"/>
      <c r="B1003" s="66"/>
      <c r="C1003" s="66"/>
      <c r="D1003" s="144"/>
      <c r="E1003" s="67"/>
      <c r="F1003" s="67"/>
      <c r="G1003" s="67"/>
      <c r="H1003" s="67">
        <f>ROUND(+E1003+G1003,4)</f>
        <v>0</v>
      </c>
      <c r="I1003" s="67"/>
      <c r="J1003" s="67">
        <f>ROUND(+I1003-H1003,4)</f>
        <v>0</v>
      </c>
      <c r="K1003" s="67">
        <f>ROUND(IF(F1003="alluminio",0,I1003*1.5%),4)</f>
        <v>0</v>
      </c>
      <c r="L1003" s="67">
        <f>ROUND(IF(K1003&lt;J1003,K1003,0),4)</f>
        <v>0</v>
      </c>
      <c r="M1003" s="67">
        <f>ROUND(IF(J1003&gt;K1003,0,J1003),4)</f>
        <v>0</v>
      </c>
      <c r="N1003" s="67">
        <f>ROUND(+L1003*D1003,4)</f>
        <v>0</v>
      </c>
      <c r="O1003" s="67">
        <f>ROUND(IF(F1003="rame",0,+I1003*3%),4)</f>
        <v>0</v>
      </c>
      <c r="P1003" s="67">
        <f>ROUND(IF(O1003&lt;J1003,O1003,0),4)</f>
        <v>0</v>
      </c>
      <c r="Q1003" s="67">
        <f>ROUND(IF(J1003&gt;O1003,0,J1003),4)</f>
        <v>0</v>
      </c>
      <c r="R1003" s="67">
        <f>ROUND(+P1003*D1003,4)</f>
        <v>0</v>
      </c>
      <c r="S1003" s="67">
        <f>ROUND(IF(K1003=0,0,M1003*D1003),4)</f>
        <v>0</v>
      </c>
      <c r="T1003" s="67">
        <f>ROUND(+IF(K1003=0,Q1003*D1003,0),4)</f>
        <v>0</v>
      </c>
      <c r="U1003" s="67">
        <f>ROUND(+N1003+R1003+S1003+T1003,4)</f>
        <v>0</v>
      </c>
      <c r="V1003" s="67">
        <f>ROUND(IF(P1003=0,0,I1003-H1003-O1003)+IF(L1003=0,0,I1003-H1003-K1003),4)</f>
        <v>0</v>
      </c>
      <c r="W1003" s="67">
        <f>ROUND(+(V1003*60%)*D1003,4)</f>
        <v>0</v>
      </c>
      <c r="X1003" s="148">
        <f>ROUND(+U1003+W1003,4)</f>
        <v>0</v>
      </c>
      <c r="Y1003" s="68"/>
      <c r="Z1003" s="148">
        <f>ROUND(IF(X1003&gt;I1003,X1003,I1003),4)</f>
        <v>0</v>
      </c>
    </row>
    <row r="1004" spans="1:26" x14ac:dyDescent="0.2">
      <c r="A1004" s="66"/>
      <c r="B1004" s="66"/>
      <c r="C1004" s="66"/>
      <c r="D1004" s="144"/>
      <c r="E1004" s="67"/>
      <c r="F1004" s="67"/>
      <c r="G1004" s="67"/>
      <c r="H1004" s="67">
        <f>ROUND(+E1004+G1004,4)</f>
        <v>0</v>
      </c>
      <c r="I1004" s="67"/>
      <c r="J1004" s="67">
        <f>ROUND(+I1004-H1004,4)</f>
        <v>0</v>
      </c>
      <c r="K1004" s="67">
        <f>ROUND(IF(F1004="alluminio",0,I1004*1.5%),4)</f>
        <v>0</v>
      </c>
      <c r="L1004" s="67">
        <f>ROUND(IF(K1004&lt;J1004,K1004,0),4)</f>
        <v>0</v>
      </c>
      <c r="M1004" s="67">
        <f>ROUND(IF(J1004&gt;K1004,0,J1004),4)</f>
        <v>0</v>
      </c>
      <c r="N1004" s="67">
        <f>ROUND(+L1004*D1004,4)</f>
        <v>0</v>
      </c>
      <c r="O1004" s="67">
        <f>ROUND(IF(F1004="rame",0,+I1004*3%),4)</f>
        <v>0</v>
      </c>
      <c r="P1004" s="67">
        <f>ROUND(IF(O1004&lt;J1004,O1004,0),4)</f>
        <v>0</v>
      </c>
      <c r="Q1004" s="67">
        <f>ROUND(IF(J1004&gt;O1004,0,J1004),4)</f>
        <v>0</v>
      </c>
      <c r="R1004" s="67">
        <f>ROUND(+P1004*D1004,4)</f>
        <v>0</v>
      </c>
      <c r="S1004" s="67">
        <f>ROUND(IF(K1004=0,0,M1004*D1004),4)</f>
        <v>0</v>
      </c>
      <c r="T1004" s="67">
        <f>ROUND(+IF(K1004=0,Q1004*D1004,0),4)</f>
        <v>0</v>
      </c>
      <c r="U1004" s="67">
        <f>ROUND(+N1004+R1004+S1004+T1004,4)</f>
        <v>0</v>
      </c>
      <c r="V1004" s="67">
        <f>ROUND(IF(P1004=0,0,I1004-H1004-O1004)+IF(L1004=0,0,I1004-H1004-K1004),4)</f>
        <v>0</v>
      </c>
      <c r="W1004" s="67">
        <f>ROUND(+(V1004*60%)*D1004,4)</f>
        <v>0</v>
      </c>
      <c r="X1004" s="148">
        <f>ROUND(+U1004+W1004,4)</f>
        <v>0</v>
      </c>
      <c r="Y1004" s="68"/>
      <c r="Z1004" s="148">
        <f>ROUND(IF(X1004&gt;I1004,X1004,I1004),4)</f>
        <v>0</v>
      </c>
    </row>
    <row r="1005" spans="1:26" x14ac:dyDescent="0.2">
      <c r="A1005" s="66"/>
      <c r="B1005" s="66"/>
      <c r="C1005" s="66"/>
      <c r="D1005" s="144"/>
      <c r="E1005" s="67"/>
      <c r="F1005" s="67"/>
      <c r="G1005" s="67"/>
      <c r="H1005" s="67">
        <f>ROUND(+E1005+G1005,4)</f>
        <v>0</v>
      </c>
      <c r="I1005" s="67"/>
      <c r="J1005" s="67">
        <f>ROUND(+I1005-H1005,4)</f>
        <v>0</v>
      </c>
      <c r="K1005" s="67">
        <f>ROUND(IF(F1005="alluminio",0,I1005*1.5%),4)</f>
        <v>0</v>
      </c>
      <c r="L1005" s="67">
        <f>ROUND(IF(K1005&lt;J1005,K1005,0),4)</f>
        <v>0</v>
      </c>
      <c r="M1005" s="67">
        <f>ROUND(IF(J1005&gt;K1005,0,J1005),4)</f>
        <v>0</v>
      </c>
      <c r="N1005" s="67">
        <f>ROUND(+L1005*D1005,4)</f>
        <v>0</v>
      </c>
      <c r="O1005" s="67">
        <f>ROUND(IF(F1005="rame",0,+I1005*3%),4)</f>
        <v>0</v>
      </c>
      <c r="P1005" s="67">
        <f>ROUND(IF(O1005&lt;J1005,O1005,0),4)</f>
        <v>0</v>
      </c>
      <c r="Q1005" s="67">
        <f>ROUND(IF(J1005&gt;O1005,0,J1005),4)</f>
        <v>0</v>
      </c>
      <c r="R1005" s="67">
        <f>ROUND(+P1005*D1005,4)</f>
        <v>0</v>
      </c>
      <c r="S1005" s="67">
        <f>ROUND(IF(K1005=0,0,M1005*D1005),4)</f>
        <v>0</v>
      </c>
      <c r="T1005" s="67">
        <f>ROUND(+IF(K1005=0,Q1005*D1005,0),4)</f>
        <v>0</v>
      </c>
      <c r="U1005" s="67">
        <f>ROUND(+N1005+R1005+S1005+T1005,4)</f>
        <v>0</v>
      </c>
      <c r="V1005" s="67">
        <f>ROUND(IF(P1005=0,0,I1005-H1005-O1005)+IF(L1005=0,0,I1005-H1005-K1005),4)</f>
        <v>0</v>
      </c>
      <c r="W1005" s="67">
        <f>ROUND(+(V1005*60%)*D1005,4)</f>
        <v>0</v>
      </c>
      <c r="X1005" s="148">
        <f>ROUND(+U1005+W1005,4)</f>
        <v>0</v>
      </c>
      <c r="Y1005" s="68"/>
      <c r="Z1005" s="148">
        <f>ROUND(IF(X1005&gt;I1005,X1005,I1005),4)</f>
        <v>0</v>
      </c>
    </row>
    <row r="1006" spans="1:26" x14ac:dyDescent="0.2">
      <c r="A1006" s="66"/>
      <c r="B1006" s="66"/>
      <c r="C1006" s="66"/>
      <c r="D1006" s="144"/>
      <c r="E1006" s="67"/>
      <c r="F1006" s="67"/>
      <c r="G1006" s="67"/>
      <c r="H1006" s="67">
        <f>ROUND(+E1006+G1006,4)</f>
        <v>0</v>
      </c>
      <c r="I1006" s="67"/>
      <c r="J1006" s="67">
        <f>ROUND(+I1006-H1006,4)</f>
        <v>0</v>
      </c>
      <c r="K1006" s="67">
        <f>ROUND(IF(F1006="alluminio",0,I1006*1.5%),4)</f>
        <v>0</v>
      </c>
      <c r="L1006" s="67">
        <f>ROUND(IF(K1006&lt;J1006,K1006,0),4)</f>
        <v>0</v>
      </c>
      <c r="M1006" s="67">
        <f>ROUND(IF(J1006&gt;K1006,0,J1006),4)</f>
        <v>0</v>
      </c>
      <c r="N1006" s="67">
        <f>ROUND(+L1006*D1006,4)</f>
        <v>0</v>
      </c>
      <c r="O1006" s="67">
        <f>ROUND(IF(F1006="rame",0,+I1006*3%),4)</f>
        <v>0</v>
      </c>
      <c r="P1006" s="67">
        <f>ROUND(IF(O1006&lt;J1006,O1006,0),4)</f>
        <v>0</v>
      </c>
      <c r="Q1006" s="67">
        <f>ROUND(IF(J1006&gt;O1006,0,J1006),4)</f>
        <v>0</v>
      </c>
      <c r="R1006" s="67">
        <f>ROUND(+P1006*D1006,4)</f>
        <v>0</v>
      </c>
      <c r="S1006" s="67">
        <f>ROUND(IF(K1006=0,0,M1006*D1006),4)</f>
        <v>0</v>
      </c>
      <c r="T1006" s="67">
        <f>ROUND(+IF(K1006=0,Q1006*D1006,0),4)</f>
        <v>0</v>
      </c>
      <c r="U1006" s="67">
        <f>ROUND(+N1006+R1006+S1006+T1006,4)</f>
        <v>0</v>
      </c>
      <c r="V1006" s="67">
        <f>ROUND(IF(P1006=0,0,I1006-H1006-O1006)+IF(L1006=0,0,I1006-H1006-K1006),4)</f>
        <v>0</v>
      </c>
      <c r="W1006" s="67">
        <f>ROUND(+(V1006*60%)*D1006,4)</f>
        <v>0</v>
      </c>
      <c r="X1006" s="148">
        <f>ROUND(+U1006+W1006,4)</f>
        <v>0</v>
      </c>
      <c r="Y1006" s="68"/>
      <c r="Z1006" s="148">
        <f>ROUND(IF(X1006&gt;I1006,X1006,I1006),4)</f>
        <v>0</v>
      </c>
    </row>
    <row r="1007" spans="1:26" x14ac:dyDescent="0.2">
      <c r="A1007" s="66"/>
      <c r="B1007" s="66"/>
      <c r="C1007" s="66"/>
      <c r="D1007" s="144"/>
      <c r="E1007" s="67"/>
      <c r="F1007" s="67"/>
      <c r="G1007" s="67"/>
      <c r="H1007" s="67">
        <f>ROUND(+E1007+G1007,4)</f>
        <v>0</v>
      </c>
      <c r="I1007" s="67"/>
      <c r="J1007" s="67">
        <f>ROUND(+I1007-H1007,4)</f>
        <v>0</v>
      </c>
      <c r="K1007" s="67">
        <f>ROUND(IF(F1007="alluminio",0,I1007*1.5%),4)</f>
        <v>0</v>
      </c>
      <c r="L1007" s="67">
        <f>ROUND(IF(K1007&lt;J1007,K1007,0),4)</f>
        <v>0</v>
      </c>
      <c r="M1007" s="67">
        <f>ROUND(IF(J1007&gt;K1007,0,J1007),4)</f>
        <v>0</v>
      </c>
      <c r="N1007" s="67">
        <f>ROUND(+L1007*D1007,4)</f>
        <v>0</v>
      </c>
      <c r="O1007" s="67">
        <f>ROUND(IF(F1007="rame",0,+I1007*3%),4)</f>
        <v>0</v>
      </c>
      <c r="P1007" s="67">
        <f>ROUND(IF(O1007&lt;J1007,O1007,0),4)</f>
        <v>0</v>
      </c>
      <c r="Q1007" s="67">
        <f>ROUND(IF(J1007&gt;O1007,0,J1007),4)</f>
        <v>0</v>
      </c>
      <c r="R1007" s="67">
        <f>ROUND(+P1007*D1007,4)</f>
        <v>0</v>
      </c>
      <c r="S1007" s="67">
        <f>ROUND(IF(K1007=0,0,M1007*D1007),4)</f>
        <v>0</v>
      </c>
      <c r="T1007" s="67">
        <f>ROUND(+IF(K1007=0,Q1007*D1007,0),4)</f>
        <v>0</v>
      </c>
      <c r="U1007" s="67">
        <f>ROUND(+N1007+R1007+S1007+T1007,4)</f>
        <v>0</v>
      </c>
      <c r="V1007" s="67">
        <f>ROUND(IF(P1007=0,0,I1007-H1007-O1007)+IF(L1007=0,0,I1007-H1007-K1007),4)</f>
        <v>0</v>
      </c>
      <c r="W1007" s="67">
        <f>ROUND(+(V1007*60%)*D1007,4)</f>
        <v>0</v>
      </c>
      <c r="X1007" s="148">
        <f>ROUND(+U1007+W1007,4)</f>
        <v>0</v>
      </c>
      <c r="Y1007" s="68"/>
      <c r="Z1007" s="148">
        <f>ROUND(IF(X1007&gt;I1007,X1007,I1007),4)</f>
        <v>0</v>
      </c>
    </row>
    <row r="1008" spans="1:26" x14ac:dyDescent="0.2">
      <c r="A1008" s="66"/>
      <c r="B1008" s="66"/>
      <c r="C1008" s="66"/>
      <c r="D1008" s="144"/>
      <c r="E1008" s="67"/>
      <c r="F1008" s="67"/>
      <c r="G1008" s="67"/>
      <c r="H1008" s="67">
        <f>ROUND(+E1008+G1008,4)</f>
        <v>0</v>
      </c>
      <c r="I1008" s="67"/>
      <c r="J1008" s="67">
        <f>ROUND(+I1008-H1008,4)</f>
        <v>0</v>
      </c>
      <c r="K1008" s="67">
        <f>ROUND(IF(F1008="alluminio",0,I1008*1.5%),4)</f>
        <v>0</v>
      </c>
      <c r="L1008" s="67">
        <f>ROUND(IF(K1008&lt;J1008,K1008,0),4)</f>
        <v>0</v>
      </c>
      <c r="M1008" s="67">
        <f>ROUND(IF(J1008&gt;K1008,0,J1008),4)</f>
        <v>0</v>
      </c>
      <c r="N1008" s="67">
        <f>ROUND(+L1008*D1008,4)</f>
        <v>0</v>
      </c>
      <c r="O1008" s="67">
        <f>ROUND(IF(F1008="rame",0,+I1008*3%),4)</f>
        <v>0</v>
      </c>
      <c r="P1008" s="67">
        <f>ROUND(IF(O1008&lt;J1008,O1008,0),4)</f>
        <v>0</v>
      </c>
      <c r="Q1008" s="67">
        <f>ROUND(IF(J1008&gt;O1008,0,J1008),4)</f>
        <v>0</v>
      </c>
      <c r="R1008" s="67">
        <f>ROUND(+P1008*D1008,4)</f>
        <v>0</v>
      </c>
      <c r="S1008" s="67">
        <f>ROUND(IF(K1008=0,0,M1008*D1008),4)</f>
        <v>0</v>
      </c>
      <c r="T1008" s="67">
        <f>ROUND(+IF(K1008=0,Q1008*D1008,0),4)</f>
        <v>0</v>
      </c>
      <c r="U1008" s="67">
        <f>ROUND(+N1008+R1008+S1008+T1008,4)</f>
        <v>0</v>
      </c>
      <c r="V1008" s="67">
        <f>ROUND(IF(P1008=0,0,I1008-H1008-O1008)+IF(L1008=0,0,I1008-H1008-K1008),4)</f>
        <v>0</v>
      </c>
      <c r="W1008" s="67">
        <f>ROUND(+(V1008*60%)*D1008,4)</f>
        <v>0</v>
      </c>
      <c r="X1008" s="148">
        <f>ROUND(+U1008+W1008,4)</f>
        <v>0</v>
      </c>
      <c r="Y1008" s="68"/>
      <c r="Z1008" s="148">
        <f>ROUND(IF(X1008&gt;I1008,X1008,I1008),4)</f>
        <v>0</v>
      </c>
    </row>
    <row r="1009" spans="1:26" x14ac:dyDescent="0.2">
      <c r="A1009" s="66"/>
      <c r="B1009" s="66"/>
      <c r="C1009" s="66"/>
      <c r="D1009" s="144"/>
      <c r="E1009" s="67"/>
      <c r="F1009" s="67"/>
      <c r="G1009" s="67"/>
      <c r="H1009" s="67">
        <f>ROUND(+E1009+G1009,4)</f>
        <v>0</v>
      </c>
      <c r="I1009" s="67"/>
      <c r="J1009" s="67">
        <f>ROUND(+I1009-H1009,4)</f>
        <v>0</v>
      </c>
      <c r="K1009" s="67">
        <f>ROUND(IF(F1009="alluminio",0,I1009*1.5%),4)</f>
        <v>0</v>
      </c>
      <c r="L1009" s="67">
        <f>ROUND(IF(K1009&lt;J1009,K1009,0),4)</f>
        <v>0</v>
      </c>
      <c r="M1009" s="67">
        <f>ROUND(IF(J1009&gt;K1009,0,J1009),4)</f>
        <v>0</v>
      </c>
      <c r="N1009" s="67">
        <f>ROUND(+L1009*D1009,4)</f>
        <v>0</v>
      </c>
      <c r="O1009" s="67">
        <f>ROUND(IF(F1009="rame",0,+I1009*3%),4)</f>
        <v>0</v>
      </c>
      <c r="P1009" s="67">
        <f>ROUND(IF(O1009&lt;J1009,O1009,0),4)</f>
        <v>0</v>
      </c>
      <c r="Q1009" s="67">
        <f>ROUND(IF(J1009&gt;O1009,0,J1009),4)</f>
        <v>0</v>
      </c>
      <c r="R1009" s="67">
        <f>ROUND(+P1009*D1009,4)</f>
        <v>0</v>
      </c>
      <c r="S1009" s="67">
        <f>ROUND(IF(K1009=0,0,M1009*D1009),4)</f>
        <v>0</v>
      </c>
      <c r="T1009" s="67">
        <f>ROUND(+IF(K1009=0,Q1009*D1009,0),4)</f>
        <v>0</v>
      </c>
      <c r="U1009" s="67">
        <f>ROUND(+N1009+R1009+S1009+T1009,4)</f>
        <v>0</v>
      </c>
      <c r="V1009" s="67">
        <f>ROUND(IF(P1009=0,0,I1009-H1009-O1009)+IF(L1009=0,0,I1009-H1009-K1009),4)</f>
        <v>0</v>
      </c>
      <c r="W1009" s="67">
        <f>ROUND(+(V1009*60%)*D1009,4)</f>
        <v>0</v>
      </c>
      <c r="X1009" s="148">
        <f>ROUND(+U1009+W1009,4)</f>
        <v>0</v>
      </c>
      <c r="Y1009" s="68"/>
      <c r="Z1009" s="148">
        <f>ROUND(IF(X1009&gt;I1009,X1009,I1009),4)</f>
        <v>0</v>
      </c>
    </row>
    <row r="1010" spans="1:26" x14ac:dyDescent="0.2">
      <c r="A1010" s="66"/>
      <c r="B1010" s="66"/>
      <c r="C1010" s="66"/>
      <c r="D1010" s="144"/>
      <c r="E1010" s="67"/>
      <c r="F1010" s="67"/>
      <c r="G1010" s="67"/>
      <c r="H1010" s="67">
        <f>ROUND(+E1010+G1010,4)</f>
        <v>0</v>
      </c>
      <c r="I1010" s="67"/>
      <c r="J1010" s="67">
        <f>ROUND(+I1010-H1010,4)</f>
        <v>0</v>
      </c>
      <c r="K1010" s="67">
        <f>ROUND(IF(F1010="alluminio",0,I1010*1.5%),4)</f>
        <v>0</v>
      </c>
      <c r="L1010" s="67">
        <f>ROUND(IF(K1010&lt;J1010,K1010,0),4)</f>
        <v>0</v>
      </c>
      <c r="M1010" s="67">
        <f>ROUND(IF(J1010&gt;K1010,0,J1010),4)</f>
        <v>0</v>
      </c>
      <c r="N1010" s="67">
        <f>ROUND(+L1010*D1010,4)</f>
        <v>0</v>
      </c>
      <c r="O1010" s="67">
        <f>ROUND(IF(F1010="rame",0,+I1010*3%),4)</f>
        <v>0</v>
      </c>
      <c r="P1010" s="67">
        <f>ROUND(IF(O1010&lt;J1010,O1010,0),4)</f>
        <v>0</v>
      </c>
      <c r="Q1010" s="67">
        <f>ROUND(IF(J1010&gt;O1010,0,J1010),4)</f>
        <v>0</v>
      </c>
      <c r="R1010" s="67">
        <f>ROUND(+P1010*D1010,4)</f>
        <v>0</v>
      </c>
      <c r="S1010" s="67">
        <f>ROUND(IF(K1010=0,0,M1010*D1010),4)</f>
        <v>0</v>
      </c>
      <c r="T1010" s="67">
        <f>ROUND(+IF(K1010=0,Q1010*D1010,0),4)</f>
        <v>0</v>
      </c>
      <c r="U1010" s="67">
        <f>ROUND(+N1010+R1010+S1010+T1010,4)</f>
        <v>0</v>
      </c>
      <c r="V1010" s="67">
        <f>ROUND(IF(P1010=0,0,I1010-H1010-O1010)+IF(L1010=0,0,I1010-H1010-K1010),4)</f>
        <v>0</v>
      </c>
      <c r="W1010" s="67">
        <f>ROUND(+(V1010*60%)*D1010,4)</f>
        <v>0</v>
      </c>
      <c r="X1010" s="148">
        <f>ROUND(+U1010+W1010,4)</f>
        <v>0</v>
      </c>
      <c r="Y1010" s="68"/>
      <c r="Z1010" s="148">
        <f>ROUND(IF(X1010&gt;I1010,X1010,I1010),4)</f>
        <v>0</v>
      </c>
    </row>
    <row r="1011" spans="1:26" x14ac:dyDescent="0.2">
      <c r="A1011" s="66"/>
      <c r="B1011" s="66"/>
      <c r="C1011" s="66"/>
      <c r="D1011" s="144"/>
      <c r="E1011" s="67"/>
      <c r="F1011" s="67"/>
      <c r="G1011" s="67"/>
      <c r="H1011" s="67">
        <f>ROUND(+E1011+G1011,4)</f>
        <v>0</v>
      </c>
      <c r="I1011" s="67"/>
      <c r="J1011" s="67">
        <f>ROUND(+I1011-H1011,4)</f>
        <v>0</v>
      </c>
      <c r="K1011" s="67">
        <f>ROUND(IF(F1011="alluminio",0,I1011*1.5%),4)</f>
        <v>0</v>
      </c>
      <c r="L1011" s="67">
        <f>ROUND(IF(K1011&lt;J1011,K1011,0),4)</f>
        <v>0</v>
      </c>
      <c r="M1011" s="67">
        <f>ROUND(IF(J1011&gt;K1011,0,J1011),4)</f>
        <v>0</v>
      </c>
      <c r="N1011" s="67">
        <f>ROUND(+L1011*D1011,4)</f>
        <v>0</v>
      </c>
      <c r="O1011" s="67">
        <f>ROUND(IF(F1011="rame",0,+I1011*3%),4)</f>
        <v>0</v>
      </c>
      <c r="P1011" s="67">
        <f>ROUND(IF(O1011&lt;J1011,O1011,0),4)</f>
        <v>0</v>
      </c>
      <c r="Q1011" s="67">
        <f>ROUND(IF(J1011&gt;O1011,0,J1011),4)</f>
        <v>0</v>
      </c>
      <c r="R1011" s="67">
        <f>ROUND(+P1011*D1011,4)</f>
        <v>0</v>
      </c>
      <c r="S1011" s="67">
        <f>ROUND(IF(K1011=0,0,M1011*D1011),4)</f>
        <v>0</v>
      </c>
      <c r="T1011" s="67">
        <f>ROUND(+IF(K1011=0,Q1011*D1011,0),4)</f>
        <v>0</v>
      </c>
      <c r="U1011" s="67">
        <f>ROUND(+N1011+R1011+S1011+T1011,4)</f>
        <v>0</v>
      </c>
      <c r="V1011" s="67">
        <f>ROUND(IF(P1011=0,0,I1011-H1011-O1011)+IF(L1011=0,0,I1011-H1011-K1011),4)</f>
        <v>0</v>
      </c>
      <c r="W1011" s="67">
        <f>ROUND(+(V1011*60%)*D1011,4)</f>
        <v>0</v>
      </c>
      <c r="X1011" s="148">
        <f>ROUND(+U1011+W1011,4)</f>
        <v>0</v>
      </c>
      <c r="Y1011" s="68"/>
      <c r="Z1011" s="148">
        <f>ROUND(IF(X1011&gt;I1011,X1011,I1011),4)</f>
        <v>0</v>
      </c>
    </row>
    <row r="1012" spans="1:26" x14ac:dyDescent="0.2">
      <c r="A1012" s="66"/>
      <c r="B1012" s="66"/>
      <c r="C1012" s="66"/>
      <c r="D1012" s="144"/>
      <c r="E1012" s="67"/>
      <c r="F1012" s="67"/>
      <c r="G1012" s="67"/>
      <c r="H1012" s="67">
        <f>ROUND(+E1012+G1012,4)</f>
        <v>0</v>
      </c>
      <c r="I1012" s="67"/>
      <c r="J1012" s="67">
        <f>ROUND(+I1012-H1012,4)</f>
        <v>0</v>
      </c>
      <c r="K1012" s="67">
        <f>ROUND(IF(F1012="alluminio",0,I1012*1.5%),4)</f>
        <v>0</v>
      </c>
      <c r="L1012" s="67">
        <f>ROUND(IF(K1012&lt;J1012,K1012,0),4)</f>
        <v>0</v>
      </c>
      <c r="M1012" s="67">
        <f>ROUND(IF(J1012&gt;K1012,0,J1012),4)</f>
        <v>0</v>
      </c>
      <c r="N1012" s="67">
        <f>ROUND(+L1012*D1012,4)</f>
        <v>0</v>
      </c>
      <c r="O1012" s="67">
        <f>ROUND(IF(F1012="rame",0,+I1012*3%),4)</f>
        <v>0</v>
      </c>
      <c r="P1012" s="67">
        <f>ROUND(IF(O1012&lt;J1012,O1012,0),4)</f>
        <v>0</v>
      </c>
      <c r="Q1012" s="67">
        <f>ROUND(IF(J1012&gt;O1012,0,J1012),4)</f>
        <v>0</v>
      </c>
      <c r="R1012" s="67">
        <f>ROUND(+P1012*D1012,4)</f>
        <v>0</v>
      </c>
      <c r="S1012" s="67">
        <f>ROUND(IF(K1012=0,0,M1012*D1012),4)</f>
        <v>0</v>
      </c>
      <c r="T1012" s="67">
        <f>ROUND(+IF(K1012=0,Q1012*D1012,0),4)</f>
        <v>0</v>
      </c>
      <c r="U1012" s="67">
        <f>ROUND(+N1012+R1012+S1012+T1012,4)</f>
        <v>0</v>
      </c>
      <c r="V1012" s="67">
        <f>ROUND(IF(P1012=0,0,I1012-H1012-O1012)+IF(L1012=0,0,I1012-H1012-K1012),4)</f>
        <v>0</v>
      </c>
      <c r="W1012" s="67">
        <f>ROUND(+(V1012*60%)*D1012,4)</f>
        <v>0</v>
      </c>
      <c r="X1012" s="148">
        <f>ROUND(+U1012+W1012,4)</f>
        <v>0</v>
      </c>
      <c r="Y1012" s="68"/>
      <c r="Z1012" s="148">
        <f>ROUND(IF(X1012&gt;I1012,X1012,I1012),4)</f>
        <v>0</v>
      </c>
    </row>
    <row r="1013" spans="1:26" x14ac:dyDescent="0.2">
      <c r="A1013" s="66"/>
      <c r="B1013" s="66"/>
      <c r="C1013" s="66"/>
      <c r="D1013" s="144"/>
      <c r="E1013" s="67"/>
      <c r="F1013" s="67"/>
      <c r="G1013" s="67"/>
      <c r="H1013" s="67">
        <f>ROUND(+E1013+G1013,4)</f>
        <v>0</v>
      </c>
      <c r="I1013" s="67"/>
      <c r="J1013" s="67">
        <f>ROUND(+I1013-H1013,4)</f>
        <v>0</v>
      </c>
      <c r="K1013" s="67">
        <f>ROUND(IF(F1013="alluminio",0,I1013*1.5%),4)</f>
        <v>0</v>
      </c>
      <c r="L1013" s="67">
        <f>ROUND(IF(K1013&lt;J1013,K1013,0),4)</f>
        <v>0</v>
      </c>
      <c r="M1013" s="67">
        <f>ROUND(IF(J1013&gt;K1013,0,J1013),4)</f>
        <v>0</v>
      </c>
      <c r="N1013" s="67">
        <f>ROUND(+L1013*D1013,4)</f>
        <v>0</v>
      </c>
      <c r="O1013" s="67">
        <f>ROUND(IF(F1013="rame",0,+I1013*3%),4)</f>
        <v>0</v>
      </c>
      <c r="P1013" s="67">
        <f>ROUND(IF(O1013&lt;J1013,O1013,0),4)</f>
        <v>0</v>
      </c>
      <c r="Q1013" s="67">
        <f>ROUND(IF(J1013&gt;O1013,0,J1013),4)</f>
        <v>0</v>
      </c>
      <c r="R1013" s="67">
        <f>ROUND(+P1013*D1013,4)</f>
        <v>0</v>
      </c>
      <c r="S1013" s="67">
        <f>ROUND(IF(K1013=0,0,M1013*D1013),4)</f>
        <v>0</v>
      </c>
      <c r="T1013" s="67">
        <f>ROUND(+IF(K1013=0,Q1013*D1013,0),4)</f>
        <v>0</v>
      </c>
      <c r="U1013" s="67">
        <f>ROUND(+N1013+R1013+S1013+T1013,4)</f>
        <v>0</v>
      </c>
      <c r="V1013" s="67">
        <f>ROUND(IF(P1013=0,0,I1013-H1013-O1013)+IF(L1013=0,0,I1013-H1013-K1013),4)</f>
        <v>0</v>
      </c>
      <c r="W1013" s="67">
        <f>ROUND(+(V1013*60%)*D1013,4)</f>
        <v>0</v>
      </c>
      <c r="X1013" s="148">
        <f>ROUND(+U1013+W1013,4)</f>
        <v>0</v>
      </c>
      <c r="Y1013" s="68"/>
      <c r="Z1013" s="148">
        <f>ROUND(IF(X1013&gt;I1013,X1013,I1013),4)</f>
        <v>0</v>
      </c>
    </row>
    <row r="1014" spans="1:26" x14ac:dyDescent="0.2">
      <c r="A1014" s="66"/>
      <c r="B1014" s="66"/>
      <c r="C1014" s="66"/>
      <c r="D1014" s="144"/>
      <c r="E1014" s="67"/>
      <c r="F1014" s="67"/>
      <c r="G1014" s="67"/>
      <c r="H1014" s="67">
        <f>ROUND(+E1014+G1014,4)</f>
        <v>0</v>
      </c>
      <c r="I1014" s="67"/>
      <c r="J1014" s="67">
        <f>ROUND(+I1014-H1014,4)</f>
        <v>0</v>
      </c>
      <c r="K1014" s="67">
        <f>ROUND(IF(F1014="alluminio",0,I1014*1.5%),4)</f>
        <v>0</v>
      </c>
      <c r="L1014" s="67">
        <f>ROUND(IF(K1014&lt;J1014,K1014,0),4)</f>
        <v>0</v>
      </c>
      <c r="M1014" s="67">
        <f>ROUND(IF(J1014&gt;K1014,0,J1014),4)</f>
        <v>0</v>
      </c>
      <c r="N1014" s="67">
        <f>ROUND(+L1014*D1014,4)</f>
        <v>0</v>
      </c>
      <c r="O1014" s="67">
        <f>ROUND(IF(F1014="rame",0,+I1014*3%),4)</f>
        <v>0</v>
      </c>
      <c r="P1014" s="67">
        <f>ROUND(IF(O1014&lt;J1014,O1014,0),4)</f>
        <v>0</v>
      </c>
      <c r="Q1014" s="67">
        <f>ROUND(IF(J1014&gt;O1014,0,J1014),4)</f>
        <v>0</v>
      </c>
      <c r="R1014" s="67">
        <f>ROUND(+P1014*D1014,4)</f>
        <v>0</v>
      </c>
      <c r="S1014" s="67">
        <f>ROUND(IF(K1014=0,0,M1014*D1014),4)</f>
        <v>0</v>
      </c>
      <c r="T1014" s="67">
        <f>ROUND(+IF(K1014=0,Q1014*D1014,0),4)</f>
        <v>0</v>
      </c>
      <c r="U1014" s="67">
        <f>ROUND(+N1014+R1014+S1014+T1014,4)</f>
        <v>0</v>
      </c>
      <c r="V1014" s="67">
        <f>ROUND(IF(P1014=0,0,I1014-H1014-O1014)+IF(L1014=0,0,I1014-H1014-K1014),4)</f>
        <v>0</v>
      </c>
      <c r="W1014" s="67">
        <f>ROUND(+(V1014*60%)*D1014,4)</f>
        <v>0</v>
      </c>
      <c r="X1014" s="148">
        <f>ROUND(+U1014+W1014,4)</f>
        <v>0</v>
      </c>
      <c r="Y1014" s="68"/>
      <c r="Z1014" s="148">
        <f>ROUND(IF(X1014&gt;I1014,X1014,I1014),4)</f>
        <v>0</v>
      </c>
    </row>
    <row r="1015" spans="1:26" x14ac:dyDescent="0.2">
      <c r="A1015" s="66"/>
      <c r="B1015" s="66"/>
      <c r="C1015" s="66"/>
      <c r="D1015" s="144"/>
      <c r="E1015" s="67"/>
      <c r="F1015" s="67"/>
      <c r="G1015" s="67"/>
      <c r="H1015" s="67">
        <f>ROUND(+E1015+G1015,4)</f>
        <v>0</v>
      </c>
      <c r="I1015" s="67"/>
      <c r="J1015" s="67">
        <f>ROUND(+I1015-H1015,4)</f>
        <v>0</v>
      </c>
      <c r="K1015" s="67">
        <f>ROUND(IF(F1015="alluminio",0,I1015*1.5%),4)</f>
        <v>0</v>
      </c>
      <c r="L1015" s="67">
        <f>ROUND(IF(K1015&lt;J1015,K1015,0),4)</f>
        <v>0</v>
      </c>
      <c r="M1015" s="67">
        <f>ROUND(IF(J1015&gt;K1015,0,J1015),4)</f>
        <v>0</v>
      </c>
      <c r="N1015" s="67">
        <f>ROUND(+L1015*D1015,4)</f>
        <v>0</v>
      </c>
      <c r="O1015" s="67">
        <f>ROUND(IF(F1015="rame",0,+I1015*3%),4)</f>
        <v>0</v>
      </c>
      <c r="P1015" s="67">
        <f>ROUND(IF(O1015&lt;J1015,O1015,0),4)</f>
        <v>0</v>
      </c>
      <c r="Q1015" s="67">
        <f>ROUND(IF(J1015&gt;O1015,0,J1015),4)</f>
        <v>0</v>
      </c>
      <c r="R1015" s="67">
        <f>ROUND(+P1015*D1015,4)</f>
        <v>0</v>
      </c>
      <c r="S1015" s="67">
        <f>ROUND(IF(K1015=0,0,M1015*D1015),4)</f>
        <v>0</v>
      </c>
      <c r="T1015" s="67">
        <f>ROUND(+IF(K1015=0,Q1015*D1015,0),4)</f>
        <v>0</v>
      </c>
      <c r="U1015" s="67">
        <f>ROUND(+N1015+R1015+S1015+T1015,4)</f>
        <v>0</v>
      </c>
      <c r="V1015" s="67">
        <f>ROUND(IF(P1015=0,0,I1015-H1015-O1015)+IF(L1015=0,0,I1015-H1015-K1015),4)</f>
        <v>0</v>
      </c>
      <c r="W1015" s="67">
        <f>ROUND(+(V1015*60%)*D1015,4)</f>
        <v>0</v>
      </c>
      <c r="X1015" s="148">
        <f>ROUND(+U1015+W1015,4)</f>
        <v>0</v>
      </c>
      <c r="Y1015" s="68"/>
      <c r="Z1015" s="148">
        <f>ROUND(IF(X1015&gt;I1015,X1015,I1015),4)</f>
        <v>0</v>
      </c>
    </row>
    <row r="1016" spans="1:26" x14ac:dyDescent="0.2">
      <c r="A1016" s="66"/>
      <c r="B1016" s="66"/>
      <c r="C1016" s="66"/>
      <c r="D1016" s="144"/>
      <c r="E1016" s="67"/>
      <c r="F1016" s="67"/>
      <c r="G1016" s="67"/>
      <c r="H1016" s="67">
        <f>ROUND(+E1016+G1016,4)</f>
        <v>0</v>
      </c>
      <c r="I1016" s="67"/>
      <c r="J1016" s="67">
        <f>ROUND(+I1016-H1016,4)</f>
        <v>0</v>
      </c>
      <c r="K1016" s="67">
        <f>ROUND(IF(F1016="alluminio",0,I1016*1.5%),4)</f>
        <v>0</v>
      </c>
      <c r="L1016" s="67">
        <f>ROUND(IF(K1016&lt;J1016,K1016,0),4)</f>
        <v>0</v>
      </c>
      <c r="M1016" s="67">
        <f>ROUND(IF(J1016&gt;K1016,0,J1016),4)</f>
        <v>0</v>
      </c>
      <c r="N1016" s="67">
        <f>ROUND(+L1016*D1016,4)</f>
        <v>0</v>
      </c>
      <c r="O1016" s="67">
        <f>ROUND(IF(F1016="rame",0,+I1016*3%),4)</f>
        <v>0</v>
      </c>
      <c r="P1016" s="67">
        <f>ROUND(IF(O1016&lt;J1016,O1016,0),4)</f>
        <v>0</v>
      </c>
      <c r="Q1016" s="67">
        <f>ROUND(IF(J1016&gt;O1016,0,J1016),4)</f>
        <v>0</v>
      </c>
      <c r="R1016" s="67">
        <f>ROUND(+P1016*D1016,4)</f>
        <v>0</v>
      </c>
      <c r="S1016" s="67">
        <f>ROUND(IF(K1016=0,0,M1016*D1016),4)</f>
        <v>0</v>
      </c>
      <c r="T1016" s="67">
        <f>ROUND(+IF(K1016=0,Q1016*D1016,0),4)</f>
        <v>0</v>
      </c>
      <c r="U1016" s="67">
        <f>ROUND(+N1016+R1016+S1016+T1016,4)</f>
        <v>0</v>
      </c>
      <c r="V1016" s="67">
        <f>ROUND(IF(P1016=0,0,I1016-H1016-O1016)+IF(L1016=0,0,I1016-H1016-K1016),4)</f>
        <v>0</v>
      </c>
      <c r="W1016" s="67">
        <f>ROUND(+(V1016*60%)*D1016,4)</f>
        <v>0</v>
      </c>
      <c r="X1016" s="148">
        <f>ROUND(+U1016+W1016,4)</f>
        <v>0</v>
      </c>
      <c r="Y1016" s="68"/>
      <c r="Z1016" s="148">
        <f>ROUND(IF(X1016&gt;I1016,X1016,I1016),4)</f>
        <v>0</v>
      </c>
    </row>
    <row r="1017" spans="1:26" x14ac:dyDescent="0.2">
      <c r="A1017" s="66"/>
      <c r="B1017" s="66"/>
      <c r="C1017" s="66"/>
      <c r="D1017" s="144"/>
      <c r="E1017" s="67"/>
      <c r="F1017" s="67"/>
      <c r="G1017" s="67"/>
      <c r="H1017" s="67">
        <f>ROUND(+E1017+G1017,4)</f>
        <v>0</v>
      </c>
      <c r="I1017" s="67"/>
      <c r="J1017" s="67">
        <f>ROUND(+I1017-H1017,4)</f>
        <v>0</v>
      </c>
      <c r="K1017" s="67">
        <f>ROUND(IF(F1017="alluminio",0,I1017*1.5%),4)</f>
        <v>0</v>
      </c>
      <c r="L1017" s="67">
        <f>ROUND(IF(K1017&lt;J1017,K1017,0),4)</f>
        <v>0</v>
      </c>
      <c r="M1017" s="67">
        <f>ROUND(IF(J1017&gt;K1017,0,J1017),4)</f>
        <v>0</v>
      </c>
      <c r="N1017" s="67">
        <f>ROUND(+L1017*D1017,4)</f>
        <v>0</v>
      </c>
      <c r="O1017" s="67">
        <f>ROUND(IF(F1017="rame",0,+I1017*3%),4)</f>
        <v>0</v>
      </c>
      <c r="P1017" s="67">
        <f>ROUND(IF(O1017&lt;J1017,O1017,0),4)</f>
        <v>0</v>
      </c>
      <c r="Q1017" s="67">
        <f>ROUND(IF(J1017&gt;O1017,0,J1017),4)</f>
        <v>0</v>
      </c>
      <c r="R1017" s="67">
        <f>ROUND(+P1017*D1017,4)</f>
        <v>0</v>
      </c>
      <c r="S1017" s="67">
        <f>ROUND(IF(K1017=0,0,M1017*D1017),4)</f>
        <v>0</v>
      </c>
      <c r="T1017" s="67">
        <f>ROUND(+IF(K1017=0,Q1017*D1017,0),4)</f>
        <v>0</v>
      </c>
      <c r="U1017" s="67">
        <f>ROUND(+N1017+R1017+S1017+T1017,4)</f>
        <v>0</v>
      </c>
      <c r="V1017" s="67">
        <f>ROUND(IF(P1017=0,0,I1017-H1017-O1017)+IF(L1017=0,0,I1017-H1017-K1017),4)</f>
        <v>0</v>
      </c>
      <c r="W1017" s="67">
        <f>ROUND(+(V1017*60%)*D1017,4)</f>
        <v>0</v>
      </c>
      <c r="X1017" s="148">
        <f>ROUND(+U1017+W1017,4)</f>
        <v>0</v>
      </c>
      <c r="Y1017" s="68"/>
      <c r="Z1017" s="148">
        <f>ROUND(IF(X1017&gt;I1017,X1017,I1017),4)</f>
        <v>0</v>
      </c>
    </row>
    <row r="1018" spans="1:26" x14ac:dyDescent="0.2">
      <c r="A1018" s="66"/>
      <c r="B1018" s="66"/>
      <c r="C1018" s="66"/>
      <c r="D1018" s="144"/>
      <c r="E1018" s="67"/>
      <c r="F1018" s="67"/>
      <c r="G1018" s="67"/>
      <c r="H1018" s="67">
        <f>ROUND(+E1018+G1018,4)</f>
        <v>0</v>
      </c>
      <c r="I1018" s="67"/>
      <c r="J1018" s="67">
        <f>ROUND(+I1018-H1018,4)</f>
        <v>0</v>
      </c>
      <c r="K1018" s="67">
        <f>ROUND(IF(F1018="alluminio",0,I1018*1.5%),4)</f>
        <v>0</v>
      </c>
      <c r="L1018" s="67">
        <f>ROUND(IF(K1018&lt;J1018,K1018,0),4)</f>
        <v>0</v>
      </c>
      <c r="M1018" s="67">
        <f>ROUND(IF(J1018&gt;K1018,0,J1018),4)</f>
        <v>0</v>
      </c>
      <c r="N1018" s="67">
        <f>ROUND(+L1018*D1018,4)</f>
        <v>0</v>
      </c>
      <c r="O1018" s="67">
        <f>ROUND(IF(F1018="rame",0,+I1018*3%),4)</f>
        <v>0</v>
      </c>
      <c r="P1018" s="67">
        <f>ROUND(IF(O1018&lt;J1018,O1018,0),4)</f>
        <v>0</v>
      </c>
      <c r="Q1018" s="67">
        <f>ROUND(IF(J1018&gt;O1018,0,J1018),4)</f>
        <v>0</v>
      </c>
      <c r="R1018" s="67">
        <f>ROUND(+P1018*D1018,4)</f>
        <v>0</v>
      </c>
      <c r="S1018" s="67">
        <f>ROUND(IF(K1018=0,0,M1018*D1018),4)</f>
        <v>0</v>
      </c>
      <c r="T1018" s="67">
        <f>ROUND(+IF(K1018=0,Q1018*D1018,0),4)</f>
        <v>0</v>
      </c>
      <c r="U1018" s="67">
        <f>ROUND(+N1018+R1018+S1018+T1018,4)</f>
        <v>0</v>
      </c>
      <c r="V1018" s="67">
        <f>ROUND(IF(P1018=0,0,I1018-H1018-O1018)+IF(L1018=0,0,I1018-H1018-K1018),4)</f>
        <v>0</v>
      </c>
      <c r="W1018" s="67">
        <f>ROUND(+(V1018*60%)*D1018,4)</f>
        <v>0</v>
      </c>
      <c r="X1018" s="148">
        <f>ROUND(+U1018+W1018,4)</f>
        <v>0</v>
      </c>
      <c r="Y1018" s="68"/>
      <c r="Z1018" s="148">
        <f>ROUND(IF(X1018&gt;I1018,X1018,I1018),4)</f>
        <v>0</v>
      </c>
    </row>
    <row r="1019" spans="1:26" x14ac:dyDescent="0.2">
      <c r="A1019" s="66"/>
      <c r="B1019" s="66"/>
      <c r="C1019" s="66"/>
      <c r="D1019" s="144"/>
      <c r="E1019" s="67"/>
      <c r="F1019" s="67"/>
      <c r="G1019" s="67"/>
      <c r="H1019" s="67">
        <f>ROUND(+E1019+G1019,4)</f>
        <v>0</v>
      </c>
      <c r="I1019" s="67"/>
      <c r="J1019" s="67">
        <f>ROUND(+I1019-H1019,4)</f>
        <v>0</v>
      </c>
      <c r="K1019" s="67">
        <f>ROUND(IF(F1019="alluminio",0,I1019*1.5%),4)</f>
        <v>0</v>
      </c>
      <c r="L1019" s="67">
        <f>ROUND(IF(K1019&lt;J1019,K1019,0),4)</f>
        <v>0</v>
      </c>
      <c r="M1019" s="67">
        <f>ROUND(IF(J1019&gt;K1019,0,J1019),4)</f>
        <v>0</v>
      </c>
      <c r="N1019" s="67">
        <f>ROUND(+L1019*D1019,4)</f>
        <v>0</v>
      </c>
      <c r="O1019" s="67">
        <f>ROUND(IF(F1019="rame",0,+I1019*3%),4)</f>
        <v>0</v>
      </c>
      <c r="P1019" s="67">
        <f>ROUND(IF(O1019&lt;J1019,O1019,0),4)</f>
        <v>0</v>
      </c>
      <c r="Q1019" s="67">
        <f>ROUND(IF(J1019&gt;O1019,0,J1019),4)</f>
        <v>0</v>
      </c>
      <c r="R1019" s="67">
        <f>ROUND(+P1019*D1019,4)</f>
        <v>0</v>
      </c>
      <c r="S1019" s="67">
        <f>ROUND(IF(K1019=0,0,M1019*D1019),4)</f>
        <v>0</v>
      </c>
      <c r="T1019" s="67">
        <f>ROUND(+IF(K1019=0,Q1019*D1019,0),4)</f>
        <v>0</v>
      </c>
      <c r="U1019" s="67">
        <f>ROUND(+N1019+R1019+S1019+T1019,4)</f>
        <v>0</v>
      </c>
      <c r="V1019" s="67">
        <f>ROUND(IF(P1019=0,0,I1019-H1019-O1019)+IF(L1019=0,0,I1019-H1019-K1019),4)</f>
        <v>0</v>
      </c>
      <c r="W1019" s="67">
        <f>ROUND(+(V1019*60%)*D1019,4)</f>
        <v>0</v>
      </c>
      <c r="X1019" s="148">
        <f>ROUND(+U1019+W1019,4)</f>
        <v>0</v>
      </c>
      <c r="Y1019" s="68"/>
      <c r="Z1019" s="148">
        <f>ROUND(IF(X1019&gt;I1019,X1019,I1019),4)</f>
        <v>0</v>
      </c>
    </row>
    <row r="1020" spans="1:26" x14ac:dyDescent="0.2">
      <c r="A1020" s="66"/>
      <c r="B1020" s="66"/>
      <c r="C1020" s="66"/>
      <c r="D1020" s="144"/>
      <c r="E1020" s="67"/>
      <c r="F1020" s="67"/>
      <c r="G1020" s="67"/>
      <c r="H1020" s="67">
        <f>ROUND(+E1020+G1020,4)</f>
        <v>0</v>
      </c>
      <c r="I1020" s="67"/>
      <c r="J1020" s="67">
        <f>ROUND(+I1020-H1020,4)</f>
        <v>0</v>
      </c>
      <c r="K1020" s="67">
        <f>ROUND(IF(F1020="alluminio",0,I1020*1.5%),4)</f>
        <v>0</v>
      </c>
      <c r="L1020" s="67">
        <f>ROUND(IF(K1020&lt;J1020,K1020,0),4)</f>
        <v>0</v>
      </c>
      <c r="M1020" s="67">
        <f>ROUND(IF(J1020&gt;K1020,0,J1020),4)</f>
        <v>0</v>
      </c>
      <c r="N1020" s="67">
        <f>ROUND(+L1020*D1020,4)</f>
        <v>0</v>
      </c>
      <c r="O1020" s="67">
        <f>ROUND(IF(F1020="rame",0,+I1020*3%),4)</f>
        <v>0</v>
      </c>
      <c r="P1020" s="67">
        <f>ROUND(IF(O1020&lt;J1020,O1020,0),4)</f>
        <v>0</v>
      </c>
      <c r="Q1020" s="67">
        <f>ROUND(IF(J1020&gt;O1020,0,J1020),4)</f>
        <v>0</v>
      </c>
      <c r="R1020" s="67">
        <f>ROUND(+P1020*D1020,4)</f>
        <v>0</v>
      </c>
      <c r="S1020" s="67">
        <f>ROUND(IF(K1020=0,0,M1020*D1020),4)</f>
        <v>0</v>
      </c>
      <c r="T1020" s="67">
        <f>ROUND(+IF(K1020=0,Q1020*D1020,0),4)</f>
        <v>0</v>
      </c>
      <c r="U1020" s="67">
        <f>ROUND(+N1020+R1020+S1020+T1020,4)</f>
        <v>0</v>
      </c>
      <c r="V1020" s="67">
        <f>ROUND(IF(P1020=0,0,I1020-H1020-O1020)+IF(L1020=0,0,I1020-H1020-K1020),4)</f>
        <v>0</v>
      </c>
      <c r="W1020" s="67">
        <f>ROUND(+(V1020*60%)*D1020,4)</f>
        <v>0</v>
      </c>
      <c r="X1020" s="148">
        <f>ROUND(+U1020+W1020,4)</f>
        <v>0</v>
      </c>
      <c r="Y1020" s="68"/>
      <c r="Z1020" s="148">
        <f>ROUND(IF(X1020&gt;I1020,X1020,I1020),4)</f>
        <v>0</v>
      </c>
    </row>
    <row r="1021" spans="1:26" x14ac:dyDescent="0.2">
      <c r="A1021" s="66"/>
      <c r="B1021" s="66"/>
      <c r="C1021" s="66"/>
      <c r="D1021" s="144"/>
      <c r="E1021" s="67"/>
      <c r="F1021" s="67"/>
      <c r="G1021" s="67"/>
      <c r="H1021" s="67">
        <f>ROUND(+E1021+G1021,4)</f>
        <v>0</v>
      </c>
      <c r="I1021" s="67"/>
      <c r="J1021" s="67">
        <f>ROUND(+I1021-H1021,4)</f>
        <v>0</v>
      </c>
      <c r="K1021" s="67">
        <f>ROUND(IF(F1021="alluminio",0,I1021*1.5%),4)</f>
        <v>0</v>
      </c>
      <c r="L1021" s="67">
        <f>ROUND(IF(K1021&lt;J1021,K1021,0),4)</f>
        <v>0</v>
      </c>
      <c r="M1021" s="67">
        <f>ROUND(IF(J1021&gt;K1021,0,J1021),4)</f>
        <v>0</v>
      </c>
      <c r="N1021" s="67">
        <f>ROUND(+L1021*D1021,4)</f>
        <v>0</v>
      </c>
      <c r="O1021" s="67">
        <f>ROUND(IF(F1021="rame",0,+I1021*3%),4)</f>
        <v>0</v>
      </c>
      <c r="P1021" s="67">
        <f>ROUND(IF(O1021&lt;J1021,O1021,0),4)</f>
        <v>0</v>
      </c>
      <c r="Q1021" s="67">
        <f>ROUND(IF(J1021&gt;O1021,0,J1021),4)</f>
        <v>0</v>
      </c>
      <c r="R1021" s="67">
        <f>ROUND(+P1021*D1021,4)</f>
        <v>0</v>
      </c>
      <c r="S1021" s="67">
        <f>ROUND(IF(K1021=0,0,M1021*D1021),4)</f>
        <v>0</v>
      </c>
      <c r="T1021" s="67">
        <f>ROUND(+IF(K1021=0,Q1021*D1021,0),4)</f>
        <v>0</v>
      </c>
      <c r="U1021" s="67">
        <f>ROUND(+N1021+R1021+S1021+T1021,4)</f>
        <v>0</v>
      </c>
      <c r="V1021" s="67">
        <f>ROUND(IF(P1021=0,0,I1021-H1021-O1021)+IF(L1021=0,0,I1021-H1021-K1021),4)</f>
        <v>0</v>
      </c>
      <c r="W1021" s="67">
        <f>ROUND(+(V1021*60%)*D1021,4)</f>
        <v>0</v>
      </c>
      <c r="X1021" s="148">
        <f>ROUND(+U1021+W1021,4)</f>
        <v>0</v>
      </c>
      <c r="Y1021" s="68"/>
      <c r="Z1021" s="148">
        <f>ROUND(IF(X1021&gt;I1021,X1021,I1021),4)</f>
        <v>0</v>
      </c>
    </row>
    <row r="1022" spans="1:26" x14ac:dyDescent="0.2">
      <c r="A1022" s="66"/>
      <c r="B1022" s="66"/>
      <c r="C1022" s="66"/>
      <c r="D1022" s="144"/>
      <c r="E1022" s="67"/>
      <c r="F1022" s="67"/>
      <c r="G1022" s="67"/>
      <c r="H1022" s="67">
        <f>ROUND(+E1022+G1022,4)</f>
        <v>0</v>
      </c>
      <c r="I1022" s="67"/>
      <c r="J1022" s="67">
        <f>ROUND(+I1022-H1022,4)</f>
        <v>0</v>
      </c>
      <c r="K1022" s="67">
        <f>ROUND(IF(F1022="alluminio",0,I1022*1.5%),4)</f>
        <v>0</v>
      </c>
      <c r="L1022" s="67">
        <f>ROUND(IF(K1022&lt;J1022,K1022,0),4)</f>
        <v>0</v>
      </c>
      <c r="M1022" s="67">
        <f>ROUND(IF(J1022&gt;K1022,0,J1022),4)</f>
        <v>0</v>
      </c>
      <c r="N1022" s="67">
        <f>ROUND(+L1022*D1022,4)</f>
        <v>0</v>
      </c>
      <c r="O1022" s="67">
        <f>ROUND(IF(F1022="rame",0,+I1022*3%),4)</f>
        <v>0</v>
      </c>
      <c r="P1022" s="67">
        <f>ROUND(IF(O1022&lt;J1022,O1022,0),4)</f>
        <v>0</v>
      </c>
      <c r="Q1022" s="67">
        <f>ROUND(IF(J1022&gt;O1022,0,J1022),4)</f>
        <v>0</v>
      </c>
      <c r="R1022" s="67">
        <f>ROUND(+P1022*D1022,4)</f>
        <v>0</v>
      </c>
      <c r="S1022" s="67">
        <f>ROUND(IF(K1022=0,0,M1022*D1022),4)</f>
        <v>0</v>
      </c>
      <c r="T1022" s="67">
        <f>ROUND(+IF(K1022=0,Q1022*D1022,0),4)</f>
        <v>0</v>
      </c>
      <c r="U1022" s="67">
        <f>ROUND(+N1022+R1022+S1022+T1022,4)</f>
        <v>0</v>
      </c>
      <c r="V1022" s="67">
        <f>ROUND(IF(P1022=0,0,I1022-H1022-O1022)+IF(L1022=0,0,I1022-H1022-K1022),4)</f>
        <v>0</v>
      </c>
      <c r="W1022" s="67">
        <f>ROUND(+(V1022*60%)*D1022,4)</f>
        <v>0</v>
      </c>
      <c r="X1022" s="148">
        <f>ROUND(+U1022+W1022,4)</f>
        <v>0</v>
      </c>
      <c r="Y1022" s="68"/>
      <c r="Z1022" s="148">
        <f>ROUND(IF(X1022&gt;I1022,X1022,I1022),4)</f>
        <v>0</v>
      </c>
    </row>
    <row r="1023" spans="1:26" x14ac:dyDescent="0.2">
      <c r="A1023" s="66"/>
      <c r="B1023" s="66"/>
      <c r="C1023" s="66"/>
      <c r="D1023" s="144"/>
      <c r="E1023" s="67"/>
      <c r="F1023" s="67"/>
      <c r="G1023" s="67"/>
      <c r="H1023" s="67">
        <f>ROUND(+E1023+G1023,4)</f>
        <v>0</v>
      </c>
      <c r="I1023" s="67"/>
      <c r="J1023" s="67">
        <f>ROUND(+I1023-H1023,4)</f>
        <v>0</v>
      </c>
      <c r="K1023" s="67">
        <f>ROUND(IF(F1023="alluminio",0,I1023*1.5%),4)</f>
        <v>0</v>
      </c>
      <c r="L1023" s="67">
        <f>ROUND(IF(K1023&lt;J1023,K1023,0),4)</f>
        <v>0</v>
      </c>
      <c r="M1023" s="67">
        <f>ROUND(IF(J1023&gt;K1023,0,J1023),4)</f>
        <v>0</v>
      </c>
      <c r="N1023" s="67">
        <f>ROUND(+L1023*D1023,4)</f>
        <v>0</v>
      </c>
      <c r="O1023" s="67">
        <f>ROUND(IF(F1023="rame",0,+I1023*3%),4)</f>
        <v>0</v>
      </c>
      <c r="P1023" s="67">
        <f>ROUND(IF(O1023&lt;J1023,O1023,0),4)</f>
        <v>0</v>
      </c>
      <c r="Q1023" s="67">
        <f>ROUND(IF(J1023&gt;O1023,0,J1023),4)</f>
        <v>0</v>
      </c>
      <c r="R1023" s="67">
        <f>ROUND(+P1023*D1023,4)</f>
        <v>0</v>
      </c>
      <c r="S1023" s="67">
        <f>ROUND(IF(K1023=0,0,M1023*D1023),4)</f>
        <v>0</v>
      </c>
      <c r="T1023" s="67">
        <f>ROUND(+IF(K1023=0,Q1023*D1023,0),4)</f>
        <v>0</v>
      </c>
      <c r="U1023" s="67">
        <f>ROUND(+N1023+R1023+S1023+T1023,4)</f>
        <v>0</v>
      </c>
      <c r="V1023" s="67">
        <f>ROUND(IF(P1023=0,0,I1023-H1023-O1023)+IF(L1023=0,0,I1023-H1023-K1023),4)</f>
        <v>0</v>
      </c>
      <c r="W1023" s="67">
        <f>ROUND(+(V1023*60%)*D1023,4)</f>
        <v>0</v>
      </c>
      <c r="X1023" s="148">
        <f>ROUND(+U1023+W1023,4)</f>
        <v>0</v>
      </c>
      <c r="Y1023" s="68"/>
      <c r="Z1023" s="148">
        <f>ROUND(IF(X1023&gt;I1023,X1023,I1023),4)</f>
        <v>0</v>
      </c>
    </row>
    <row r="1024" spans="1:26" x14ac:dyDescent="0.2">
      <c r="A1024" s="66"/>
      <c r="B1024" s="66"/>
      <c r="C1024" s="66"/>
      <c r="D1024" s="144"/>
      <c r="E1024" s="67"/>
      <c r="F1024" s="67"/>
      <c r="G1024" s="67"/>
      <c r="H1024" s="67">
        <f>ROUND(+E1024+G1024,4)</f>
        <v>0</v>
      </c>
      <c r="I1024" s="67"/>
      <c r="J1024" s="67">
        <f>ROUND(+I1024-H1024,4)</f>
        <v>0</v>
      </c>
      <c r="K1024" s="67">
        <f>ROUND(IF(F1024="alluminio",0,I1024*1.5%),4)</f>
        <v>0</v>
      </c>
      <c r="L1024" s="67">
        <f>ROUND(IF(K1024&lt;J1024,K1024,0),4)</f>
        <v>0</v>
      </c>
      <c r="M1024" s="67">
        <f>ROUND(IF(J1024&gt;K1024,0,J1024),4)</f>
        <v>0</v>
      </c>
      <c r="N1024" s="67">
        <f>ROUND(+L1024*D1024,4)</f>
        <v>0</v>
      </c>
      <c r="O1024" s="67">
        <f>ROUND(IF(F1024="rame",0,+I1024*3%),4)</f>
        <v>0</v>
      </c>
      <c r="P1024" s="67">
        <f>ROUND(IF(O1024&lt;J1024,O1024,0),4)</f>
        <v>0</v>
      </c>
      <c r="Q1024" s="67">
        <f>ROUND(IF(J1024&gt;O1024,0,J1024),4)</f>
        <v>0</v>
      </c>
      <c r="R1024" s="67">
        <f>ROUND(+P1024*D1024,4)</f>
        <v>0</v>
      </c>
      <c r="S1024" s="67">
        <f>ROUND(IF(K1024=0,0,M1024*D1024),4)</f>
        <v>0</v>
      </c>
      <c r="T1024" s="67">
        <f>ROUND(+IF(K1024=0,Q1024*D1024,0),4)</f>
        <v>0</v>
      </c>
      <c r="U1024" s="67">
        <f>ROUND(+N1024+R1024+S1024+T1024,4)</f>
        <v>0</v>
      </c>
      <c r="V1024" s="67">
        <f>ROUND(IF(P1024=0,0,I1024-H1024-O1024)+IF(L1024=0,0,I1024-H1024-K1024),4)</f>
        <v>0</v>
      </c>
      <c r="W1024" s="67">
        <f>ROUND(+(V1024*60%)*D1024,4)</f>
        <v>0</v>
      </c>
      <c r="X1024" s="148">
        <f>ROUND(+U1024+W1024,4)</f>
        <v>0</v>
      </c>
      <c r="Y1024" s="68"/>
      <c r="Z1024" s="148">
        <f>ROUND(IF(X1024&gt;I1024,X1024,I1024),4)</f>
        <v>0</v>
      </c>
    </row>
    <row r="1025" spans="1:26" x14ac:dyDescent="0.2">
      <c r="A1025" s="66"/>
      <c r="B1025" s="66"/>
      <c r="C1025" s="66"/>
      <c r="D1025" s="144"/>
      <c r="E1025" s="67"/>
      <c r="F1025" s="67"/>
      <c r="G1025" s="67"/>
      <c r="H1025" s="67">
        <f>ROUND(+E1025+G1025,4)</f>
        <v>0</v>
      </c>
      <c r="I1025" s="67"/>
      <c r="J1025" s="67">
        <f>ROUND(+I1025-H1025,4)</f>
        <v>0</v>
      </c>
      <c r="K1025" s="67">
        <f>ROUND(IF(F1025="alluminio",0,I1025*1.5%),4)</f>
        <v>0</v>
      </c>
      <c r="L1025" s="67">
        <f>ROUND(IF(K1025&lt;J1025,K1025,0),4)</f>
        <v>0</v>
      </c>
      <c r="M1025" s="67">
        <f>ROUND(IF(J1025&gt;K1025,0,J1025),4)</f>
        <v>0</v>
      </c>
      <c r="N1025" s="67">
        <f>ROUND(+L1025*D1025,4)</f>
        <v>0</v>
      </c>
      <c r="O1025" s="67">
        <f>ROUND(IF(F1025="rame",0,+I1025*3%),4)</f>
        <v>0</v>
      </c>
      <c r="P1025" s="67">
        <f>ROUND(IF(O1025&lt;J1025,O1025,0),4)</f>
        <v>0</v>
      </c>
      <c r="Q1025" s="67">
        <f>ROUND(IF(J1025&gt;O1025,0,J1025),4)</f>
        <v>0</v>
      </c>
      <c r="R1025" s="67">
        <f>ROUND(+P1025*D1025,4)</f>
        <v>0</v>
      </c>
      <c r="S1025" s="67">
        <f>ROUND(IF(K1025=0,0,M1025*D1025),4)</f>
        <v>0</v>
      </c>
      <c r="T1025" s="67">
        <f>ROUND(+IF(K1025=0,Q1025*D1025,0),4)</f>
        <v>0</v>
      </c>
      <c r="U1025" s="67">
        <f>ROUND(+N1025+R1025+S1025+T1025,4)</f>
        <v>0</v>
      </c>
      <c r="V1025" s="67">
        <f>ROUND(IF(P1025=0,0,I1025-H1025-O1025)+IF(L1025=0,0,I1025-H1025-K1025),4)</f>
        <v>0</v>
      </c>
      <c r="W1025" s="67">
        <f>ROUND(+(V1025*60%)*D1025,4)</f>
        <v>0</v>
      </c>
      <c r="X1025" s="148">
        <f>ROUND(+U1025+W1025,4)</f>
        <v>0</v>
      </c>
      <c r="Y1025" s="68"/>
      <c r="Z1025" s="148">
        <f>ROUND(IF(X1025&gt;I1025,X1025,I1025),4)</f>
        <v>0</v>
      </c>
    </row>
    <row r="1026" spans="1:26" x14ac:dyDescent="0.2">
      <c r="A1026" s="66"/>
      <c r="B1026" s="66"/>
      <c r="C1026" s="66"/>
      <c r="D1026" s="144"/>
      <c r="E1026" s="67"/>
      <c r="F1026" s="67"/>
      <c r="G1026" s="67"/>
      <c r="H1026" s="67">
        <f>ROUND(+E1026+G1026,4)</f>
        <v>0</v>
      </c>
      <c r="I1026" s="67"/>
      <c r="J1026" s="67">
        <f>ROUND(+I1026-H1026,4)</f>
        <v>0</v>
      </c>
      <c r="K1026" s="67">
        <f>ROUND(IF(F1026="alluminio",0,I1026*1.5%),4)</f>
        <v>0</v>
      </c>
      <c r="L1026" s="67">
        <f>ROUND(IF(K1026&lt;J1026,K1026,0),4)</f>
        <v>0</v>
      </c>
      <c r="M1026" s="67">
        <f>ROUND(IF(J1026&gt;K1026,0,J1026),4)</f>
        <v>0</v>
      </c>
      <c r="N1026" s="67">
        <f>ROUND(+L1026*D1026,4)</f>
        <v>0</v>
      </c>
      <c r="O1026" s="67">
        <f>ROUND(IF(F1026="rame",0,+I1026*3%),4)</f>
        <v>0</v>
      </c>
      <c r="P1026" s="67">
        <f>ROUND(IF(O1026&lt;J1026,O1026,0),4)</f>
        <v>0</v>
      </c>
      <c r="Q1026" s="67">
        <f>ROUND(IF(J1026&gt;O1026,0,J1026),4)</f>
        <v>0</v>
      </c>
      <c r="R1026" s="67">
        <f>ROUND(+P1026*D1026,4)</f>
        <v>0</v>
      </c>
      <c r="S1026" s="67">
        <f>ROUND(IF(K1026=0,0,M1026*D1026),4)</f>
        <v>0</v>
      </c>
      <c r="T1026" s="67">
        <f>ROUND(+IF(K1026=0,Q1026*D1026,0),4)</f>
        <v>0</v>
      </c>
      <c r="U1026" s="67">
        <f>ROUND(+N1026+R1026+S1026+T1026,4)</f>
        <v>0</v>
      </c>
      <c r="V1026" s="67">
        <f>ROUND(IF(P1026=0,0,I1026-H1026-O1026)+IF(L1026=0,0,I1026-H1026-K1026),4)</f>
        <v>0</v>
      </c>
      <c r="W1026" s="67">
        <f>ROUND(+(V1026*60%)*D1026,4)</f>
        <v>0</v>
      </c>
      <c r="X1026" s="148">
        <f>ROUND(+U1026+W1026,4)</f>
        <v>0</v>
      </c>
      <c r="Y1026" s="68"/>
      <c r="Z1026" s="148">
        <f>ROUND(IF(X1026&gt;I1026,X1026,I1026),4)</f>
        <v>0</v>
      </c>
    </row>
    <row r="1027" spans="1:26" x14ac:dyDescent="0.2">
      <c r="A1027" s="66"/>
      <c r="B1027" s="66"/>
      <c r="C1027" s="66"/>
      <c r="D1027" s="144"/>
      <c r="E1027" s="67"/>
      <c r="F1027" s="67"/>
      <c r="G1027" s="67"/>
      <c r="H1027" s="67">
        <f>ROUND(+E1027+G1027,4)</f>
        <v>0</v>
      </c>
      <c r="I1027" s="67"/>
      <c r="J1027" s="67">
        <f>ROUND(+I1027-H1027,4)</f>
        <v>0</v>
      </c>
      <c r="K1027" s="67">
        <f>ROUND(IF(F1027="alluminio",0,I1027*1.5%),4)</f>
        <v>0</v>
      </c>
      <c r="L1027" s="67">
        <f>ROUND(IF(K1027&lt;J1027,K1027,0),4)</f>
        <v>0</v>
      </c>
      <c r="M1027" s="67">
        <f>ROUND(IF(J1027&gt;K1027,0,J1027),4)</f>
        <v>0</v>
      </c>
      <c r="N1027" s="67">
        <f>ROUND(+L1027*D1027,4)</f>
        <v>0</v>
      </c>
      <c r="O1027" s="67">
        <f>ROUND(IF(F1027="rame",0,+I1027*3%),4)</f>
        <v>0</v>
      </c>
      <c r="P1027" s="67">
        <f>ROUND(IF(O1027&lt;J1027,O1027,0),4)</f>
        <v>0</v>
      </c>
      <c r="Q1027" s="67">
        <f>ROUND(IF(J1027&gt;O1027,0,J1027),4)</f>
        <v>0</v>
      </c>
      <c r="R1027" s="67">
        <f>ROUND(+P1027*D1027,4)</f>
        <v>0</v>
      </c>
      <c r="S1027" s="67">
        <f>ROUND(IF(K1027=0,0,M1027*D1027),4)</f>
        <v>0</v>
      </c>
      <c r="T1027" s="67">
        <f>ROUND(+IF(K1027=0,Q1027*D1027,0),4)</f>
        <v>0</v>
      </c>
      <c r="U1027" s="67">
        <f>ROUND(+N1027+R1027+S1027+T1027,4)</f>
        <v>0</v>
      </c>
      <c r="V1027" s="67">
        <f>ROUND(IF(P1027=0,0,I1027-H1027-O1027)+IF(L1027=0,0,I1027-H1027-K1027),4)</f>
        <v>0</v>
      </c>
      <c r="W1027" s="67">
        <f>ROUND(+(V1027*60%)*D1027,4)</f>
        <v>0</v>
      </c>
      <c r="X1027" s="148">
        <f>ROUND(+U1027+W1027,4)</f>
        <v>0</v>
      </c>
      <c r="Y1027" s="68"/>
      <c r="Z1027" s="148">
        <f>ROUND(IF(X1027&gt;I1027,X1027,I1027),4)</f>
        <v>0</v>
      </c>
    </row>
    <row r="1028" spans="1:26" x14ac:dyDescent="0.2">
      <c r="A1028" s="66"/>
      <c r="B1028" s="66"/>
      <c r="C1028" s="66"/>
      <c r="D1028" s="144"/>
      <c r="E1028" s="67"/>
      <c r="F1028" s="67"/>
      <c r="G1028" s="67"/>
      <c r="H1028" s="67">
        <f>ROUND(+E1028+G1028,4)</f>
        <v>0</v>
      </c>
      <c r="I1028" s="67"/>
      <c r="J1028" s="67">
        <f>ROUND(+I1028-H1028,4)</f>
        <v>0</v>
      </c>
      <c r="K1028" s="67">
        <f>ROUND(IF(F1028="alluminio",0,I1028*1.5%),4)</f>
        <v>0</v>
      </c>
      <c r="L1028" s="67">
        <f>ROUND(IF(K1028&lt;J1028,K1028,0),4)</f>
        <v>0</v>
      </c>
      <c r="M1028" s="67">
        <f>ROUND(IF(J1028&gt;K1028,0,J1028),4)</f>
        <v>0</v>
      </c>
      <c r="N1028" s="67">
        <f>ROUND(+L1028*D1028,4)</f>
        <v>0</v>
      </c>
      <c r="O1028" s="67">
        <f>ROUND(IF(F1028="rame",0,+I1028*3%),4)</f>
        <v>0</v>
      </c>
      <c r="P1028" s="67">
        <f>ROUND(IF(O1028&lt;J1028,O1028,0),4)</f>
        <v>0</v>
      </c>
      <c r="Q1028" s="67">
        <f>ROUND(IF(J1028&gt;O1028,0,J1028),4)</f>
        <v>0</v>
      </c>
      <c r="R1028" s="67">
        <f>ROUND(+P1028*D1028,4)</f>
        <v>0</v>
      </c>
      <c r="S1028" s="67">
        <f>ROUND(IF(K1028=0,0,M1028*D1028),4)</f>
        <v>0</v>
      </c>
      <c r="T1028" s="67">
        <f>ROUND(+IF(K1028=0,Q1028*D1028,0),4)</f>
        <v>0</v>
      </c>
      <c r="U1028" s="67">
        <f>ROUND(+N1028+R1028+S1028+T1028,4)</f>
        <v>0</v>
      </c>
      <c r="V1028" s="67">
        <f>ROUND(IF(P1028=0,0,I1028-H1028-O1028)+IF(L1028=0,0,I1028-H1028-K1028),4)</f>
        <v>0</v>
      </c>
      <c r="W1028" s="67">
        <f>ROUND(+(V1028*60%)*D1028,4)</f>
        <v>0</v>
      </c>
      <c r="X1028" s="148">
        <f>ROUND(+U1028+W1028,4)</f>
        <v>0</v>
      </c>
      <c r="Y1028" s="68"/>
      <c r="Z1028" s="148">
        <f>ROUND(IF(X1028&gt;I1028,X1028,I1028),4)</f>
        <v>0</v>
      </c>
    </row>
    <row r="1029" spans="1:26" x14ac:dyDescent="0.2">
      <c r="A1029" s="66"/>
      <c r="B1029" s="66"/>
      <c r="C1029" s="66"/>
      <c r="D1029" s="144"/>
      <c r="E1029" s="67"/>
      <c r="F1029" s="67"/>
      <c r="G1029" s="67"/>
      <c r="H1029" s="67">
        <f>ROUND(+E1029+G1029,4)</f>
        <v>0</v>
      </c>
      <c r="I1029" s="67"/>
      <c r="J1029" s="67">
        <f>ROUND(+I1029-H1029,4)</f>
        <v>0</v>
      </c>
      <c r="K1029" s="67">
        <f>ROUND(IF(F1029="alluminio",0,I1029*1.5%),4)</f>
        <v>0</v>
      </c>
      <c r="L1029" s="67">
        <f>ROUND(IF(K1029&lt;J1029,K1029,0),4)</f>
        <v>0</v>
      </c>
      <c r="M1029" s="67">
        <f>ROUND(IF(J1029&gt;K1029,0,J1029),4)</f>
        <v>0</v>
      </c>
      <c r="N1029" s="67">
        <f>ROUND(+L1029*D1029,4)</f>
        <v>0</v>
      </c>
      <c r="O1029" s="67">
        <f>ROUND(IF(F1029="rame",0,+I1029*3%),4)</f>
        <v>0</v>
      </c>
      <c r="P1029" s="67">
        <f>ROUND(IF(O1029&lt;J1029,O1029,0),4)</f>
        <v>0</v>
      </c>
      <c r="Q1029" s="67">
        <f>ROUND(IF(J1029&gt;O1029,0,J1029),4)</f>
        <v>0</v>
      </c>
      <c r="R1029" s="67">
        <f>ROUND(+P1029*D1029,4)</f>
        <v>0</v>
      </c>
      <c r="S1029" s="67">
        <f>ROUND(IF(K1029=0,0,M1029*D1029),4)</f>
        <v>0</v>
      </c>
      <c r="T1029" s="67">
        <f>ROUND(+IF(K1029=0,Q1029*D1029,0),4)</f>
        <v>0</v>
      </c>
      <c r="U1029" s="67">
        <f>ROUND(+N1029+R1029+S1029+T1029,4)</f>
        <v>0</v>
      </c>
      <c r="V1029" s="67">
        <f>ROUND(IF(P1029=0,0,I1029-H1029-O1029)+IF(L1029=0,0,I1029-H1029-K1029),4)</f>
        <v>0</v>
      </c>
      <c r="W1029" s="67">
        <f>ROUND(+(V1029*60%)*D1029,4)</f>
        <v>0</v>
      </c>
      <c r="X1029" s="148">
        <f>ROUND(+U1029+W1029,4)</f>
        <v>0</v>
      </c>
      <c r="Y1029" s="68"/>
      <c r="Z1029" s="148">
        <f>ROUND(IF(X1029&gt;I1029,X1029,I1029),4)</f>
        <v>0</v>
      </c>
    </row>
    <row r="1030" spans="1:26" x14ac:dyDescent="0.2">
      <c r="A1030" s="66"/>
      <c r="B1030" s="66"/>
      <c r="C1030" s="66"/>
      <c r="D1030" s="144"/>
      <c r="E1030" s="67"/>
      <c r="F1030" s="67"/>
      <c r="G1030" s="67"/>
      <c r="H1030" s="67">
        <f>ROUND(+E1030+G1030,4)</f>
        <v>0</v>
      </c>
      <c r="I1030" s="67"/>
      <c r="J1030" s="67">
        <f>ROUND(+I1030-H1030,4)</f>
        <v>0</v>
      </c>
      <c r="K1030" s="67">
        <f>ROUND(IF(F1030="alluminio",0,I1030*1.5%),4)</f>
        <v>0</v>
      </c>
      <c r="L1030" s="67">
        <f>ROUND(IF(K1030&lt;J1030,K1030,0),4)</f>
        <v>0</v>
      </c>
      <c r="M1030" s="67">
        <f>ROUND(IF(J1030&gt;K1030,0,J1030),4)</f>
        <v>0</v>
      </c>
      <c r="N1030" s="67">
        <f>ROUND(+L1030*D1030,4)</f>
        <v>0</v>
      </c>
      <c r="O1030" s="67">
        <f>ROUND(IF(F1030="rame",0,+I1030*3%),4)</f>
        <v>0</v>
      </c>
      <c r="P1030" s="67">
        <f>ROUND(IF(O1030&lt;J1030,O1030,0),4)</f>
        <v>0</v>
      </c>
      <c r="Q1030" s="67">
        <f>ROUND(IF(J1030&gt;O1030,0,J1030),4)</f>
        <v>0</v>
      </c>
      <c r="R1030" s="67">
        <f>ROUND(+P1030*D1030,4)</f>
        <v>0</v>
      </c>
      <c r="S1030" s="67">
        <f>ROUND(IF(K1030=0,0,M1030*D1030),4)</f>
        <v>0</v>
      </c>
      <c r="T1030" s="67">
        <f>ROUND(+IF(K1030=0,Q1030*D1030,0),4)</f>
        <v>0</v>
      </c>
      <c r="U1030" s="67">
        <f>ROUND(+N1030+R1030+S1030+T1030,4)</f>
        <v>0</v>
      </c>
      <c r="V1030" s="67">
        <f>ROUND(IF(P1030=0,0,I1030-H1030-O1030)+IF(L1030=0,0,I1030-H1030-K1030),4)</f>
        <v>0</v>
      </c>
      <c r="W1030" s="67">
        <f>ROUND(+(V1030*60%)*D1030,4)</f>
        <v>0</v>
      </c>
      <c r="X1030" s="148">
        <f>ROUND(+U1030+W1030,4)</f>
        <v>0</v>
      </c>
      <c r="Y1030" s="68"/>
      <c r="Z1030" s="148">
        <f>ROUND(IF(X1030&gt;I1030,X1030,I1030),4)</f>
        <v>0</v>
      </c>
    </row>
    <row r="1031" spans="1:26" x14ac:dyDescent="0.2">
      <c r="A1031" s="66"/>
      <c r="B1031" s="66"/>
      <c r="C1031" s="66"/>
      <c r="D1031" s="144"/>
      <c r="E1031" s="67"/>
      <c r="F1031" s="67"/>
      <c r="G1031" s="67"/>
      <c r="H1031" s="67">
        <f>ROUND(+E1031+G1031,4)</f>
        <v>0</v>
      </c>
      <c r="I1031" s="67"/>
      <c r="J1031" s="67">
        <f>ROUND(+I1031-H1031,4)</f>
        <v>0</v>
      </c>
      <c r="K1031" s="67">
        <f>ROUND(IF(F1031="alluminio",0,I1031*1.5%),4)</f>
        <v>0</v>
      </c>
      <c r="L1031" s="67">
        <f>ROUND(IF(K1031&lt;J1031,K1031,0),4)</f>
        <v>0</v>
      </c>
      <c r="M1031" s="67">
        <f>ROUND(IF(J1031&gt;K1031,0,J1031),4)</f>
        <v>0</v>
      </c>
      <c r="N1031" s="67">
        <f>ROUND(+L1031*D1031,4)</f>
        <v>0</v>
      </c>
      <c r="O1031" s="67">
        <f>ROUND(IF(F1031="rame",0,+I1031*3%),4)</f>
        <v>0</v>
      </c>
      <c r="P1031" s="67">
        <f>ROUND(IF(O1031&lt;J1031,O1031,0),4)</f>
        <v>0</v>
      </c>
      <c r="Q1031" s="67">
        <f>ROUND(IF(J1031&gt;O1031,0,J1031),4)</f>
        <v>0</v>
      </c>
      <c r="R1031" s="67">
        <f>ROUND(+P1031*D1031,4)</f>
        <v>0</v>
      </c>
      <c r="S1031" s="67">
        <f>ROUND(IF(K1031=0,0,M1031*D1031),4)</f>
        <v>0</v>
      </c>
      <c r="T1031" s="67">
        <f>ROUND(+IF(K1031=0,Q1031*D1031,0),4)</f>
        <v>0</v>
      </c>
      <c r="U1031" s="67">
        <f>ROUND(+N1031+R1031+S1031+T1031,4)</f>
        <v>0</v>
      </c>
      <c r="V1031" s="67">
        <f>ROUND(IF(P1031=0,0,I1031-H1031-O1031)+IF(L1031=0,0,I1031-H1031-K1031),4)</f>
        <v>0</v>
      </c>
      <c r="W1031" s="67">
        <f>ROUND(+(V1031*60%)*D1031,4)</f>
        <v>0</v>
      </c>
      <c r="X1031" s="148">
        <f>ROUND(+U1031+W1031,4)</f>
        <v>0</v>
      </c>
      <c r="Y1031" s="68"/>
      <c r="Z1031" s="148">
        <f>ROUND(IF(X1031&gt;I1031,X1031,I1031),4)</f>
        <v>0</v>
      </c>
    </row>
    <row r="1032" spans="1:26" x14ac:dyDescent="0.2">
      <c r="A1032" s="66"/>
      <c r="B1032" s="66"/>
      <c r="C1032" s="66"/>
      <c r="D1032" s="144"/>
      <c r="E1032" s="67"/>
      <c r="F1032" s="67"/>
      <c r="G1032" s="67"/>
      <c r="H1032" s="67">
        <f>ROUND(+E1032+G1032,4)</f>
        <v>0</v>
      </c>
      <c r="I1032" s="67"/>
      <c r="J1032" s="67">
        <f>ROUND(+I1032-H1032,4)</f>
        <v>0</v>
      </c>
      <c r="K1032" s="67">
        <f>ROUND(IF(F1032="alluminio",0,I1032*1.5%),4)</f>
        <v>0</v>
      </c>
      <c r="L1032" s="67">
        <f>ROUND(IF(K1032&lt;J1032,K1032,0),4)</f>
        <v>0</v>
      </c>
      <c r="M1032" s="67">
        <f>ROUND(IF(J1032&gt;K1032,0,J1032),4)</f>
        <v>0</v>
      </c>
      <c r="N1032" s="67">
        <f>ROUND(+L1032*D1032,4)</f>
        <v>0</v>
      </c>
      <c r="O1032" s="67">
        <f>ROUND(IF(F1032="rame",0,+I1032*3%),4)</f>
        <v>0</v>
      </c>
      <c r="P1032" s="67">
        <f>ROUND(IF(O1032&lt;J1032,O1032,0),4)</f>
        <v>0</v>
      </c>
      <c r="Q1032" s="67">
        <f>ROUND(IF(J1032&gt;O1032,0,J1032),4)</f>
        <v>0</v>
      </c>
      <c r="R1032" s="67">
        <f>ROUND(+P1032*D1032,4)</f>
        <v>0</v>
      </c>
      <c r="S1032" s="67">
        <f>ROUND(IF(K1032=0,0,M1032*D1032),4)</f>
        <v>0</v>
      </c>
      <c r="T1032" s="67">
        <f>ROUND(+IF(K1032=0,Q1032*D1032,0),4)</f>
        <v>0</v>
      </c>
      <c r="U1032" s="67">
        <f>ROUND(+N1032+R1032+S1032+T1032,4)</f>
        <v>0</v>
      </c>
      <c r="V1032" s="67">
        <f>ROUND(IF(P1032=0,0,I1032-H1032-O1032)+IF(L1032=0,0,I1032-H1032-K1032),4)</f>
        <v>0</v>
      </c>
      <c r="W1032" s="67">
        <f>ROUND(+(V1032*60%)*D1032,4)</f>
        <v>0</v>
      </c>
      <c r="X1032" s="148">
        <f>ROUND(+U1032+W1032,4)</f>
        <v>0</v>
      </c>
      <c r="Y1032" s="68"/>
      <c r="Z1032" s="148">
        <f>ROUND(IF(X1032&gt;I1032,X1032,I1032),4)</f>
        <v>0</v>
      </c>
    </row>
    <row r="1033" spans="1:26" x14ac:dyDescent="0.2">
      <c r="A1033" s="66"/>
      <c r="B1033" s="66"/>
      <c r="C1033" s="66"/>
      <c r="D1033" s="144"/>
      <c r="E1033" s="67"/>
      <c r="F1033" s="67"/>
      <c r="G1033" s="67"/>
      <c r="H1033" s="67">
        <f>ROUND(+E1033+G1033,4)</f>
        <v>0</v>
      </c>
      <c r="I1033" s="67"/>
      <c r="J1033" s="67">
        <f>ROUND(+I1033-H1033,4)</f>
        <v>0</v>
      </c>
      <c r="K1033" s="67">
        <f>ROUND(IF(F1033="alluminio",0,I1033*1.5%),4)</f>
        <v>0</v>
      </c>
      <c r="L1033" s="67">
        <f>ROUND(IF(K1033&lt;J1033,K1033,0),4)</f>
        <v>0</v>
      </c>
      <c r="M1033" s="67">
        <f>ROUND(IF(J1033&gt;K1033,0,J1033),4)</f>
        <v>0</v>
      </c>
      <c r="N1033" s="67">
        <f>ROUND(+L1033*D1033,4)</f>
        <v>0</v>
      </c>
      <c r="O1033" s="67">
        <f>ROUND(IF(F1033="rame",0,+I1033*3%),4)</f>
        <v>0</v>
      </c>
      <c r="P1033" s="67">
        <f>ROUND(IF(O1033&lt;J1033,O1033,0),4)</f>
        <v>0</v>
      </c>
      <c r="Q1033" s="67">
        <f>ROUND(IF(J1033&gt;O1033,0,J1033),4)</f>
        <v>0</v>
      </c>
      <c r="R1033" s="67">
        <f>ROUND(+P1033*D1033,4)</f>
        <v>0</v>
      </c>
      <c r="S1033" s="67">
        <f>ROUND(IF(K1033=0,0,M1033*D1033),4)</f>
        <v>0</v>
      </c>
      <c r="T1033" s="67">
        <f>ROUND(+IF(K1033=0,Q1033*D1033,0),4)</f>
        <v>0</v>
      </c>
      <c r="U1033" s="67">
        <f>ROUND(+N1033+R1033+S1033+T1033,4)</f>
        <v>0</v>
      </c>
      <c r="V1033" s="67">
        <f>ROUND(IF(P1033=0,0,I1033-H1033-O1033)+IF(L1033=0,0,I1033-H1033-K1033),4)</f>
        <v>0</v>
      </c>
      <c r="W1033" s="67">
        <f>ROUND(+(V1033*60%)*D1033,4)</f>
        <v>0</v>
      </c>
      <c r="X1033" s="148">
        <f>ROUND(+U1033+W1033,4)</f>
        <v>0</v>
      </c>
      <c r="Y1033" s="68"/>
      <c r="Z1033" s="148">
        <f>ROUND(IF(X1033&gt;I1033,X1033,I1033),4)</f>
        <v>0</v>
      </c>
    </row>
    <row r="1034" spans="1:26" x14ac:dyDescent="0.2">
      <c r="A1034" s="66"/>
      <c r="B1034" s="66"/>
      <c r="C1034" s="66"/>
      <c r="D1034" s="144"/>
      <c r="E1034" s="67"/>
      <c r="F1034" s="67"/>
      <c r="G1034" s="67"/>
      <c r="H1034" s="67">
        <f>ROUND(+E1034+G1034,4)</f>
        <v>0</v>
      </c>
      <c r="I1034" s="67"/>
      <c r="J1034" s="67">
        <f>ROUND(+I1034-H1034,4)</f>
        <v>0</v>
      </c>
      <c r="K1034" s="67">
        <f>ROUND(IF(F1034="alluminio",0,I1034*1.5%),4)</f>
        <v>0</v>
      </c>
      <c r="L1034" s="67">
        <f>ROUND(IF(K1034&lt;J1034,K1034,0),4)</f>
        <v>0</v>
      </c>
      <c r="M1034" s="67">
        <f>ROUND(IF(J1034&gt;K1034,0,J1034),4)</f>
        <v>0</v>
      </c>
      <c r="N1034" s="67">
        <f>ROUND(+L1034*D1034,4)</f>
        <v>0</v>
      </c>
      <c r="O1034" s="67">
        <f>ROUND(IF(F1034="rame",0,+I1034*3%),4)</f>
        <v>0</v>
      </c>
      <c r="P1034" s="67">
        <f>ROUND(IF(O1034&lt;J1034,O1034,0),4)</f>
        <v>0</v>
      </c>
      <c r="Q1034" s="67">
        <f>ROUND(IF(J1034&gt;O1034,0,J1034),4)</f>
        <v>0</v>
      </c>
      <c r="R1034" s="67">
        <f>ROUND(+P1034*D1034,4)</f>
        <v>0</v>
      </c>
      <c r="S1034" s="67">
        <f>ROUND(IF(K1034=0,0,M1034*D1034),4)</f>
        <v>0</v>
      </c>
      <c r="T1034" s="67">
        <f>ROUND(+IF(K1034=0,Q1034*D1034,0),4)</f>
        <v>0</v>
      </c>
      <c r="U1034" s="67">
        <f>ROUND(+N1034+R1034+S1034+T1034,4)</f>
        <v>0</v>
      </c>
      <c r="V1034" s="67">
        <f>ROUND(IF(P1034=0,0,I1034-H1034-O1034)+IF(L1034=0,0,I1034-H1034-K1034),4)</f>
        <v>0</v>
      </c>
      <c r="W1034" s="67">
        <f>ROUND(+(V1034*60%)*D1034,4)</f>
        <v>0</v>
      </c>
      <c r="X1034" s="148">
        <f>ROUND(+U1034+W1034,4)</f>
        <v>0</v>
      </c>
      <c r="Y1034" s="68"/>
      <c r="Z1034" s="148">
        <f>ROUND(IF(X1034&gt;I1034,X1034,I1034),4)</f>
        <v>0</v>
      </c>
    </row>
    <row r="1035" spans="1:26" x14ac:dyDescent="0.2">
      <c r="A1035" s="66"/>
      <c r="B1035" s="66"/>
      <c r="C1035" s="66"/>
      <c r="D1035" s="144"/>
      <c r="E1035" s="67"/>
      <c r="F1035" s="67"/>
      <c r="G1035" s="67"/>
      <c r="H1035" s="67">
        <f>ROUND(+E1035+G1035,4)</f>
        <v>0</v>
      </c>
      <c r="I1035" s="67"/>
      <c r="J1035" s="67">
        <f>ROUND(+I1035-H1035,4)</f>
        <v>0</v>
      </c>
      <c r="K1035" s="67">
        <f>ROUND(IF(F1035="alluminio",0,I1035*1.5%),4)</f>
        <v>0</v>
      </c>
      <c r="L1035" s="67">
        <f>ROUND(IF(K1035&lt;J1035,K1035,0),4)</f>
        <v>0</v>
      </c>
      <c r="M1035" s="67">
        <f>ROUND(IF(J1035&gt;K1035,0,J1035),4)</f>
        <v>0</v>
      </c>
      <c r="N1035" s="67">
        <f>ROUND(+L1035*D1035,4)</f>
        <v>0</v>
      </c>
      <c r="O1035" s="67">
        <f>ROUND(IF(F1035="rame",0,+I1035*3%),4)</f>
        <v>0</v>
      </c>
      <c r="P1035" s="67">
        <f>ROUND(IF(O1035&lt;J1035,O1035,0),4)</f>
        <v>0</v>
      </c>
      <c r="Q1035" s="67">
        <f>ROUND(IF(J1035&gt;O1035,0,J1035),4)</f>
        <v>0</v>
      </c>
      <c r="R1035" s="67">
        <f>ROUND(+P1035*D1035,4)</f>
        <v>0</v>
      </c>
      <c r="S1035" s="67">
        <f>ROUND(IF(K1035=0,0,M1035*D1035),4)</f>
        <v>0</v>
      </c>
      <c r="T1035" s="67">
        <f>ROUND(+IF(K1035=0,Q1035*D1035,0),4)</f>
        <v>0</v>
      </c>
      <c r="U1035" s="67">
        <f>ROUND(+N1035+R1035+S1035+T1035,4)</f>
        <v>0</v>
      </c>
      <c r="V1035" s="67">
        <f>ROUND(IF(P1035=0,0,I1035-H1035-O1035)+IF(L1035=0,0,I1035-H1035-K1035),4)</f>
        <v>0</v>
      </c>
      <c r="W1035" s="67">
        <f>ROUND(+(V1035*60%)*D1035,4)</f>
        <v>0</v>
      </c>
      <c r="X1035" s="148">
        <f>ROUND(+U1035+W1035,4)</f>
        <v>0</v>
      </c>
      <c r="Y1035" s="68"/>
      <c r="Z1035" s="148">
        <f>ROUND(IF(X1035&gt;I1035,X1035,I1035),4)</f>
        <v>0</v>
      </c>
    </row>
    <row r="1036" spans="1:26" x14ac:dyDescent="0.2">
      <c r="A1036" s="66"/>
      <c r="B1036" s="66"/>
      <c r="C1036" s="66"/>
      <c r="D1036" s="144"/>
      <c r="E1036" s="67"/>
      <c r="F1036" s="67"/>
      <c r="G1036" s="67"/>
      <c r="H1036" s="67">
        <f>ROUND(+E1036+G1036,4)</f>
        <v>0</v>
      </c>
      <c r="I1036" s="67"/>
      <c r="J1036" s="67">
        <f>ROUND(+I1036-H1036,4)</f>
        <v>0</v>
      </c>
      <c r="K1036" s="67">
        <f>ROUND(IF(F1036="alluminio",0,I1036*1.5%),4)</f>
        <v>0</v>
      </c>
      <c r="L1036" s="67">
        <f>ROUND(IF(K1036&lt;J1036,K1036,0),4)</f>
        <v>0</v>
      </c>
      <c r="M1036" s="67">
        <f>ROUND(IF(J1036&gt;K1036,0,J1036),4)</f>
        <v>0</v>
      </c>
      <c r="N1036" s="67">
        <f>ROUND(+L1036*D1036,4)</f>
        <v>0</v>
      </c>
      <c r="O1036" s="67">
        <f>ROUND(IF(F1036="rame",0,+I1036*3%),4)</f>
        <v>0</v>
      </c>
      <c r="P1036" s="67">
        <f>ROUND(IF(O1036&lt;J1036,O1036,0),4)</f>
        <v>0</v>
      </c>
      <c r="Q1036" s="67">
        <f>ROUND(IF(J1036&gt;O1036,0,J1036),4)</f>
        <v>0</v>
      </c>
      <c r="R1036" s="67">
        <f>ROUND(+P1036*D1036,4)</f>
        <v>0</v>
      </c>
      <c r="S1036" s="67">
        <f>ROUND(IF(K1036=0,0,M1036*D1036),4)</f>
        <v>0</v>
      </c>
      <c r="T1036" s="67">
        <f>ROUND(+IF(K1036=0,Q1036*D1036,0),4)</f>
        <v>0</v>
      </c>
      <c r="U1036" s="67">
        <f>ROUND(+N1036+R1036+S1036+T1036,4)</f>
        <v>0</v>
      </c>
      <c r="V1036" s="67">
        <f>ROUND(IF(P1036=0,0,I1036-H1036-O1036)+IF(L1036=0,0,I1036-H1036-K1036),4)</f>
        <v>0</v>
      </c>
      <c r="W1036" s="67">
        <f>ROUND(+(V1036*60%)*D1036,4)</f>
        <v>0</v>
      </c>
      <c r="X1036" s="148">
        <f>ROUND(+U1036+W1036,4)</f>
        <v>0</v>
      </c>
      <c r="Y1036" s="68"/>
      <c r="Z1036" s="148">
        <f>ROUND(IF(X1036&gt;I1036,X1036,I1036),4)</f>
        <v>0</v>
      </c>
    </row>
    <row r="1037" spans="1:26" x14ac:dyDescent="0.2">
      <c r="A1037" s="66"/>
      <c r="B1037" s="66"/>
      <c r="C1037" s="66"/>
      <c r="D1037" s="144"/>
      <c r="E1037" s="67"/>
      <c r="F1037" s="67"/>
      <c r="G1037" s="67"/>
      <c r="H1037" s="67">
        <f>ROUND(+E1037+G1037,4)</f>
        <v>0</v>
      </c>
      <c r="I1037" s="67"/>
      <c r="J1037" s="67">
        <f>ROUND(+I1037-H1037,4)</f>
        <v>0</v>
      </c>
      <c r="K1037" s="67">
        <f>ROUND(IF(F1037="alluminio",0,I1037*1.5%),4)</f>
        <v>0</v>
      </c>
      <c r="L1037" s="67">
        <f>ROUND(IF(K1037&lt;J1037,K1037,0),4)</f>
        <v>0</v>
      </c>
      <c r="M1037" s="67">
        <f>ROUND(IF(J1037&gt;K1037,0,J1037),4)</f>
        <v>0</v>
      </c>
      <c r="N1037" s="67">
        <f>ROUND(+L1037*D1037,4)</f>
        <v>0</v>
      </c>
      <c r="O1037" s="67">
        <f>ROUND(IF(F1037="rame",0,+I1037*3%),4)</f>
        <v>0</v>
      </c>
      <c r="P1037" s="67">
        <f>ROUND(IF(O1037&lt;J1037,O1037,0),4)</f>
        <v>0</v>
      </c>
      <c r="Q1037" s="67">
        <f>ROUND(IF(J1037&gt;O1037,0,J1037),4)</f>
        <v>0</v>
      </c>
      <c r="R1037" s="67">
        <f>ROUND(+P1037*D1037,4)</f>
        <v>0</v>
      </c>
      <c r="S1037" s="67">
        <f>ROUND(IF(K1037=0,0,M1037*D1037),4)</f>
        <v>0</v>
      </c>
      <c r="T1037" s="67">
        <f>ROUND(+IF(K1037=0,Q1037*D1037,0),4)</f>
        <v>0</v>
      </c>
      <c r="U1037" s="67">
        <f>ROUND(+N1037+R1037+S1037+T1037,4)</f>
        <v>0</v>
      </c>
      <c r="V1037" s="67">
        <f>ROUND(IF(P1037=0,0,I1037-H1037-O1037)+IF(L1037=0,0,I1037-H1037-K1037),4)</f>
        <v>0</v>
      </c>
      <c r="W1037" s="67">
        <f>ROUND(+(V1037*60%)*D1037,4)</f>
        <v>0</v>
      </c>
      <c r="X1037" s="148">
        <f>ROUND(+U1037+W1037,4)</f>
        <v>0</v>
      </c>
      <c r="Y1037" s="68"/>
      <c r="Z1037" s="148">
        <f>ROUND(IF(X1037&gt;I1037,X1037,I1037),4)</f>
        <v>0</v>
      </c>
    </row>
    <row r="1038" spans="1:26" x14ac:dyDescent="0.2">
      <c r="A1038" s="66"/>
      <c r="B1038" s="66"/>
      <c r="C1038" s="66"/>
      <c r="D1038" s="144"/>
      <c r="E1038" s="67"/>
      <c r="F1038" s="67"/>
      <c r="G1038" s="67"/>
      <c r="H1038" s="67">
        <f>ROUND(+E1038+G1038,4)</f>
        <v>0</v>
      </c>
      <c r="I1038" s="67"/>
      <c r="J1038" s="67">
        <f>ROUND(+I1038-H1038,4)</f>
        <v>0</v>
      </c>
      <c r="K1038" s="67">
        <f>ROUND(IF(F1038="alluminio",0,I1038*1.5%),4)</f>
        <v>0</v>
      </c>
      <c r="L1038" s="67">
        <f>ROUND(IF(K1038&lt;J1038,K1038,0),4)</f>
        <v>0</v>
      </c>
      <c r="M1038" s="67">
        <f>ROUND(IF(J1038&gt;K1038,0,J1038),4)</f>
        <v>0</v>
      </c>
      <c r="N1038" s="67">
        <f>ROUND(+L1038*D1038,4)</f>
        <v>0</v>
      </c>
      <c r="O1038" s="67">
        <f>ROUND(IF(F1038="rame",0,+I1038*3%),4)</f>
        <v>0</v>
      </c>
      <c r="P1038" s="67">
        <f>ROUND(IF(O1038&lt;J1038,O1038,0),4)</f>
        <v>0</v>
      </c>
      <c r="Q1038" s="67">
        <f>ROUND(IF(J1038&gt;O1038,0,J1038),4)</f>
        <v>0</v>
      </c>
      <c r="R1038" s="67">
        <f>ROUND(+P1038*D1038,4)</f>
        <v>0</v>
      </c>
      <c r="S1038" s="67">
        <f>ROUND(IF(K1038=0,0,M1038*D1038),4)</f>
        <v>0</v>
      </c>
      <c r="T1038" s="67">
        <f>ROUND(+IF(K1038=0,Q1038*D1038,0),4)</f>
        <v>0</v>
      </c>
      <c r="U1038" s="67">
        <f>ROUND(+N1038+R1038+S1038+T1038,4)</f>
        <v>0</v>
      </c>
      <c r="V1038" s="67">
        <f>ROUND(IF(P1038=0,0,I1038-H1038-O1038)+IF(L1038=0,0,I1038-H1038-K1038),4)</f>
        <v>0</v>
      </c>
      <c r="W1038" s="67">
        <f>ROUND(+(V1038*60%)*D1038,4)</f>
        <v>0</v>
      </c>
      <c r="X1038" s="148">
        <f>ROUND(+U1038+W1038,4)</f>
        <v>0</v>
      </c>
      <c r="Y1038" s="68"/>
      <c r="Z1038" s="148">
        <f>ROUND(IF(X1038&gt;I1038,X1038,I1038),4)</f>
        <v>0</v>
      </c>
    </row>
    <row r="1039" spans="1:26" x14ac:dyDescent="0.2">
      <c r="A1039" s="66"/>
      <c r="B1039" s="66"/>
      <c r="C1039" s="66"/>
      <c r="D1039" s="144"/>
      <c r="E1039" s="67"/>
      <c r="F1039" s="67"/>
      <c r="G1039" s="67"/>
      <c r="H1039" s="67">
        <f>ROUND(+E1039+G1039,4)</f>
        <v>0</v>
      </c>
      <c r="I1039" s="67"/>
      <c r="J1039" s="67">
        <f>ROUND(+I1039-H1039,4)</f>
        <v>0</v>
      </c>
      <c r="K1039" s="67">
        <f>ROUND(IF(F1039="alluminio",0,I1039*1.5%),4)</f>
        <v>0</v>
      </c>
      <c r="L1039" s="67">
        <f>ROUND(IF(K1039&lt;J1039,K1039,0),4)</f>
        <v>0</v>
      </c>
      <c r="M1039" s="67">
        <f>ROUND(IF(J1039&gt;K1039,0,J1039),4)</f>
        <v>0</v>
      </c>
      <c r="N1039" s="67">
        <f>ROUND(+L1039*D1039,4)</f>
        <v>0</v>
      </c>
      <c r="O1039" s="67">
        <f>ROUND(IF(F1039="rame",0,+I1039*3%),4)</f>
        <v>0</v>
      </c>
      <c r="P1039" s="67">
        <f>ROUND(IF(O1039&lt;J1039,O1039,0),4)</f>
        <v>0</v>
      </c>
      <c r="Q1039" s="67">
        <f>ROUND(IF(J1039&gt;O1039,0,J1039),4)</f>
        <v>0</v>
      </c>
      <c r="R1039" s="67">
        <f>ROUND(+P1039*D1039,4)</f>
        <v>0</v>
      </c>
      <c r="S1039" s="67">
        <f>ROUND(IF(K1039=0,0,M1039*D1039),4)</f>
        <v>0</v>
      </c>
      <c r="T1039" s="67">
        <f>ROUND(+IF(K1039=0,Q1039*D1039,0),4)</f>
        <v>0</v>
      </c>
      <c r="U1039" s="67">
        <f>ROUND(+N1039+R1039+S1039+T1039,4)</f>
        <v>0</v>
      </c>
      <c r="V1039" s="67">
        <f>ROUND(IF(P1039=0,0,I1039-H1039-O1039)+IF(L1039=0,0,I1039-H1039-K1039),4)</f>
        <v>0</v>
      </c>
      <c r="W1039" s="67">
        <f>ROUND(+(V1039*60%)*D1039,4)</f>
        <v>0</v>
      </c>
      <c r="X1039" s="148">
        <f>ROUND(+U1039+W1039,4)</f>
        <v>0</v>
      </c>
      <c r="Y1039" s="68"/>
      <c r="Z1039" s="148">
        <f>ROUND(IF(X1039&gt;I1039,X1039,I1039),4)</f>
        <v>0</v>
      </c>
    </row>
    <row r="1040" spans="1:26" x14ac:dyDescent="0.2">
      <c r="A1040" s="66"/>
      <c r="B1040" s="66"/>
      <c r="C1040" s="66"/>
      <c r="D1040" s="144"/>
      <c r="E1040" s="67"/>
      <c r="F1040" s="67"/>
      <c r="G1040" s="67"/>
      <c r="H1040" s="67">
        <f>ROUND(+E1040+G1040,4)</f>
        <v>0</v>
      </c>
      <c r="I1040" s="67"/>
      <c r="J1040" s="67">
        <f>ROUND(+I1040-H1040,4)</f>
        <v>0</v>
      </c>
      <c r="K1040" s="67">
        <f>ROUND(IF(F1040="alluminio",0,I1040*1.5%),4)</f>
        <v>0</v>
      </c>
      <c r="L1040" s="67">
        <f>ROUND(IF(K1040&lt;J1040,K1040,0),4)</f>
        <v>0</v>
      </c>
      <c r="M1040" s="67">
        <f>ROUND(IF(J1040&gt;K1040,0,J1040),4)</f>
        <v>0</v>
      </c>
      <c r="N1040" s="67">
        <f>ROUND(+L1040*D1040,4)</f>
        <v>0</v>
      </c>
      <c r="O1040" s="67">
        <f>ROUND(IF(F1040="rame",0,+I1040*3%),4)</f>
        <v>0</v>
      </c>
      <c r="P1040" s="67">
        <f>ROUND(IF(O1040&lt;J1040,O1040,0),4)</f>
        <v>0</v>
      </c>
      <c r="Q1040" s="67">
        <f>ROUND(IF(J1040&gt;O1040,0,J1040),4)</f>
        <v>0</v>
      </c>
      <c r="R1040" s="67">
        <f>ROUND(+P1040*D1040,4)</f>
        <v>0</v>
      </c>
      <c r="S1040" s="67">
        <f>ROUND(IF(K1040=0,0,M1040*D1040),4)</f>
        <v>0</v>
      </c>
      <c r="T1040" s="67">
        <f>ROUND(+IF(K1040=0,Q1040*D1040,0),4)</f>
        <v>0</v>
      </c>
      <c r="U1040" s="67">
        <f>ROUND(+N1040+R1040+S1040+T1040,4)</f>
        <v>0</v>
      </c>
      <c r="V1040" s="67">
        <f>ROUND(IF(P1040=0,0,I1040-H1040-O1040)+IF(L1040=0,0,I1040-H1040-K1040),4)</f>
        <v>0</v>
      </c>
      <c r="W1040" s="67">
        <f>ROUND(+(V1040*60%)*D1040,4)</f>
        <v>0</v>
      </c>
      <c r="X1040" s="148">
        <f>ROUND(+U1040+W1040,4)</f>
        <v>0</v>
      </c>
      <c r="Y1040" s="68"/>
      <c r="Z1040" s="148">
        <f>ROUND(IF(X1040&gt;I1040,X1040,I1040),4)</f>
        <v>0</v>
      </c>
    </row>
    <row r="1041" spans="1:31" x14ac:dyDescent="0.2">
      <c r="A1041" s="66"/>
      <c r="B1041" s="66"/>
      <c r="C1041" s="66"/>
      <c r="D1041" s="144"/>
      <c r="E1041" s="67"/>
      <c r="F1041" s="67"/>
      <c r="G1041" s="67"/>
      <c r="H1041" s="67">
        <f>ROUND(+E1041+G1041,4)</f>
        <v>0</v>
      </c>
      <c r="I1041" s="67"/>
      <c r="J1041" s="67">
        <f>ROUND(+I1041-H1041,4)</f>
        <v>0</v>
      </c>
      <c r="K1041" s="67">
        <f>ROUND(IF(F1041="alluminio",0,I1041*1.5%),4)</f>
        <v>0</v>
      </c>
      <c r="L1041" s="67">
        <f>ROUND(IF(K1041&lt;J1041,K1041,0),4)</f>
        <v>0</v>
      </c>
      <c r="M1041" s="67">
        <f>ROUND(IF(J1041&gt;K1041,0,J1041),4)</f>
        <v>0</v>
      </c>
      <c r="N1041" s="67">
        <f>ROUND(+L1041*D1041,4)</f>
        <v>0</v>
      </c>
      <c r="O1041" s="67">
        <f>ROUND(IF(F1041="rame",0,+I1041*3%),4)</f>
        <v>0</v>
      </c>
      <c r="P1041" s="67">
        <f>ROUND(IF(O1041&lt;J1041,O1041,0),4)</f>
        <v>0</v>
      </c>
      <c r="Q1041" s="67">
        <f>ROUND(IF(J1041&gt;O1041,0,J1041),4)</f>
        <v>0</v>
      </c>
      <c r="R1041" s="67">
        <f>ROUND(+P1041*D1041,4)</f>
        <v>0</v>
      </c>
      <c r="S1041" s="67">
        <f>ROUND(IF(K1041=0,0,M1041*D1041),4)</f>
        <v>0</v>
      </c>
      <c r="T1041" s="67">
        <f>ROUND(+IF(K1041=0,Q1041*D1041,0),4)</f>
        <v>0</v>
      </c>
      <c r="U1041" s="67">
        <f>ROUND(+N1041+R1041+S1041+T1041,4)</f>
        <v>0</v>
      </c>
      <c r="V1041" s="67">
        <f>ROUND(IF(P1041=0,0,I1041-H1041-O1041)+IF(L1041=0,0,I1041-H1041-K1041),4)</f>
        <v>0</v>
      </c>
      <c r="W1041" s="67">
        <f>ROUND(+(V1041*60%)*D1041,4)</f>
        <v>0</v>
      </c>
      <c r="X1041" s="148">
        <f>ROUND(+U1041+W1041,4)</f>
        <v>0</v>
      </c>
      <c r="Y1041" s="68"/>
      <c r="Z1041" s="148">
        <f>ROUND(IF(X1041&gt;I1041,X1041,I1041),4)</f>
        <v>0</v>
      </c>
    </row>
    <row r="1042" spans="1:31" x14ac:dyDescent="0.2">
      <c r="A1042" s="66"/>
      <c r="B1042" s="66"/>
      <c r="C1042" s="66"/>
      <c r="D1042" s="144"/>
      <c r="E1042" s="67"/>
      <c r="F1042" s="67"/>
      <c r="G1042" s="67"/>
      <c r="H1042" s="67">
        <f>ROUND(+E1042+G1042,4)</f>
        <v>0</v>
      </c>
      <c r="I1042" s="67"/>
      <c r="J1042" s="67">
        <f>ROUND(+I1042-H1042,4)</f>
        <v>0</v>
      </c>
      <c r="K1042" s="67">
        <f>ROUND(IF(F1042="alluminio",0,I1042*1.5%),4)</f>
        <v>0</v>
      </c>
      <c r="L1042" s="67">
        <f>ROUND(IF(K1042&lt;J1042,K1042,0),4)</f>
        <v>0</v>
      </c>
      <c r="M1042" s="67">
        <f>ROUND(IF(J1042&gt;K1042,0,J1042),4)</f>
        <v>0</v>
      </c>
      <c r="N1042" s="67">
        <f>ROUND(+L1042*D1042,4)</f>
        <v>0</v>
      </c>
      <c r="O1042" s="67">
        <f>ROUND(IF(F1042="rame",0,+I1042*3%),4)</f>
        <v>0</v>
      </c>
      <c r="P1042" s="67">
        <f>ROUND(IF(O1042&lt;J1042,O1042,0),4)</f>
        <v>0</v>
      </c>
      <c r="Q1042" s="67">
        <f>ROUND(IF(J1042&gt;O1042,0,J1042),4)</f>
        <v>0</v>
      </c>
      <c r="R1042" s="67">
        <f>ROUND(+P1042*D1042,4)</f>
        <v>0</v>
      </c>
      <c r="S1042" s="67">
        <f>ROUND(IF(K1042=0,0,M1042*D1042),4)</f>
        <v>0</v>
      </c>
      <c r="T1042" s="67">
        <f>ROUND(+IF(K1042=0,Q1042*D1042,0),4)</f>
        <v>0</v>
      </c>
      <c r="U1042" s="67">
        <f>ROUND(+N1042+R1042+S1042+T1042,4)</f>
        <v>0</v>
      </c>
      <c r="V1042" s="67">
        <f>ROUND(IF(P1042=0,0,I1042-H1042-O1042)+IF(L1042=0,0,I1042-H1042-K1042),4)</f>
        <v>0</v>
      </c>
      <c r="W1042" s="67">
        <f>ROUND(+(V1042*60%)*D1042,4)</f>
        <v>0</v>
      </c>
      <c r="X1042" s="148">
        <f>ROUND(+U1042+W1042,4)</f>
        <v>0</v>
      </c>
      <c r="Y1042" s="68"/>
      <c r="Z1042" s="148">
        <f>ROUND(IF(X1042&gt;I1042,X1042,I1042),4)</f>
        <v>0</v>
      </c>
    </row>
    <row r="1043" spans="1:31" x14ac:dyDescent="0.2">
      <c r="A1043" s="66"/>
      <c r="B1043" s="66"/>
      <c r="C1043" s="66"/>
      <c r="D1043" s="144"/>
      <c r="E1043" s="67"/>
      <c r="F1043" s="67"/>
      <c r="G1043" s="67"/>
      <c r="H1043" s="67">
        <f>ROUND(+E1043+G1043,4)</f>
        <v>0</v>
      </c>
      <c r="I1043" s="67"/>
      <c r="J1043" s="67">
        <f>ROUND(+I1043-H1043,4)</f>
        <v>0</v>
      </c>
      <c r="K1043" s="67">
        <f>ROUND(IF(F1043="alluminio",0,I1043*1.5%),4)</f>
        <v>0</v>
      </c>
      <c r="L1043" s="67">
        <f>ROUND(IF(K1043&lt;J1043,K1043,0),4)</f>
        <v>0</v>
      </c>
      <c r="M1043" s="67">
        <f>ROUND(IF(J1043&gt;K1043,0,J1043),4)</f>
        <v>0</v>
      </c>
      <c r="N1043" s="67">
        <f>ROUND(+L1043*D1043,4)</f>
        <v>0</v>
      </c>
      <c r="O1043" s="67">
        <f>ROUND(IF(F1043="rame",0,+I1043*3%),4)</f>
        <v>0</v>
      </c>
      <c r="P1043" s="67">
        <f>ROUND(IF(O1043&lt;J1043,O1043,0),4)</f>
        <v>0</v>
      </c>
      <c r="Q1043" s="67">
        <f>ROUND(IF(J1043&gt;O1043,0,J1043),4)</f>
        <v>0</v>
      </c>
      <c r="R1043" s="67">
        <f>ROUND(+P1043*D1043,4)</f>
        <v>0</v>
      </c>
      <c r="S1043" s="67">
        <f>ROUND(IF(K1043=0,0,M1043*D1043),4)</f>
        <v>0</v>
      </c>
      <c r="T1043" s="67">
        <f>ROUND(+IF(K1043=0,Q1043*D1043,0),4)</f>
        <v>0</v>
      </c>
      <c r="U1043" s="67">
        <f>ROUND(+N1043+R1043+S1043+T1043,4)</f>
        <v>0</v>
      </c>
      <c r="V1043" s="67">
        <f>ROUND(IF(P1043=0,0,I1043-H1043-O1043)+IF(L1043=0,0,I1043-H1043-K1043),4)</f>
        <v>0</v>
      </c>
      <c r="W1043" s="67">
        <f>ROUND(+(V1043*60%)*D1043,4)</f>
        <v>0</v>
      </c>
      <c r="X1043" s="148">
        <f>ROUND(+U1043+W1043,4)</f>
        <v>0</v>
      </c>
      <c r="Y1043" s="68"/>
      <c r="Z1043" s="148">
        <f>ROUND(IF(X1043&gt;I1043,X1043,I1043),4)</f>
        <v>0</v>
      </c>
    </row>
    <row r="1044" spans="1:31" x14ac:dyDescent="0.2">
      <c r="A1044" s="66"/>
      <c r="B1044" s="66"/>
      <c r="C1044" s="66"/>
      <c r="D1044" s="144"/>
      <c r="E1044" s="67"/>
      <c r="F1044" s="67"/>
      <c r="G1044" s="67"/>
      <c r="H1044" s="67">
        <f>ROUND(+E1044+G1044,4)</f>
        <v>0</v>
      </c>
      <c r="I1044" s="67"/>
      <c r="J1044" s="67">
        <f>ROUND(+I1044-H1044,4)</f>
        <v>0</v>
      </c>
      <c r="K1044" s="67">
        <f>ROUND(IF(F1044="alluminio",0,I1044*1.5%),4)</f>
        <v>0</v>
      </c>
      <c r="L1044" s="67">
        <f>ROUND(IF(K1044&lt;J1044,K1044,0),4)</f>
        <v>0</v>
      </c>
      <c r="M1044" s="67">
        <f>ROUND(IF(J1044&gt;K1044,0,J1044),4)</f>
        <v>0</v>
      </c>
      <c r="N1044" s="67">
        <f>ROUND(+L1044*D1044,4)</f>
        <v>0</v>
      </c>
      <c r="O1044" s="67">
        <f>ROUND(IF(F1044="rame",0,+I1044*3%),4)</f>
        <v>0</v>
      </c>
      <c r="P1044" s="67">
        <f>ROUND(IF(O1044&lt;J1044,O1044,0),4)</f>
        <v>0</v>
      </c>
      <c r="Q1044" s="67">
        <f>ROUND(IF(J1044&gt;O1044,0,J1044),4)</f>
        <v>0</v>
      </c>
      <c r="R1044" s="67">
        <f>ROUND(+P1044*D1044,4)</f>
        <v>0</v>
      </c>
      <c r="S1044" s="67">
        <f>ROUND(IF(K1044=0,0,M1044*D1044),4)</f>
        <v>0</v>
      </c>
      <c r="T1044" s="67">
        <f>ROUND(+IF(K1044=0,Q1044*D1044,0),4)</f>
        <v>0</v>
      </c>
      <c r="U1044" s="67">
        <f>ROUND(+N1044+R1044+S1044+T1044,4)</f>
        <v>0</v>
      </c>
      <c r="V1044" s="67">
        <f>ROUND(IF(P1044=0,0,I1044-H1044-O1044)+IF(L1044=0,0,I1044-H1044-K1044),4)</f>
        <v>0</v>
      </c>
      <c r="W1044" s="67">
        <f>ROUND(+(V1044*60%)*D1044,4)</f>
        <v>0</v>
      </c>
      <c r="X1044" s="148">
        <f>ROUND(+U1044+W1044,4)</f>
        <v>0</v>
      </c>
      <c r="Y1044" s="68"/>
      <c r="Z1044" s="148">
        <f>ROUND(IF(X1044&gt;I1044,X1044,I1044),4)</f>
        <v>0</v>
      </c>
    </row>
    <row r="1045" spans="1:31" x14ac:dyDescent="0.2">
      <c r="A1045" s="66"/>
      <c r="B1045" s="66"/>
      <c r="C1045" s="66"/>
      <c r="D1045" s="144"/>
      <c r="E1045" s="67"/>
      <c r="F1045" s="67"/>
      <c r="G1045" s="67"/>
      <c r="H1045" s="67">
        <f>ROUND(+E1045+G1045,4)</f>
        <v>0</v>
      </c>
      <c r="I1045" s="67"/>
      <c r="J1045" s="67">
        <f>ROUND(+I1045-H1045,4)</f>
        <v>0</v>
      </c>
      <c r="K1045" s="67">
        <f>ROUND(IF(F1045="alluminio",0,I1045*1.5%),4)</f>
        <v>0</v>
      </c>
      <c r="L1045" s="67">
        <f>ROUND(IF(K1045&lt;J1045,K1045,0),4)</f>
        <v>0</v>
      </c>
      <c r="M1045" s="67">
        <f>ROUND(IF(J1045&gt;K1045,0,J1045),4)</f>
        <v>0</v>
      </c>
      <c r="N1045" s="67">
        <f>ROUND(+L1045*D1045,4)</f>
        <v>0</v>
      </c>
      <c r="O1045" s="67">
        <f>ROUND(IF(F1045="rame",0,+I1045*3%),4)</f>
        <v>0</v>
      </c>
      <c r="P1045" s="67">
        <f>ROUND(IF(O1045&lt;J1045,O1045,0),4)</f>
        <v>0</v>
      </c>
      <c r="Q1045" s="67">
        <f>ROUND(IF(J1045&gt;O1045,0,J1045),4)</f>
        <v>0</v>
      </c>
      <c r="R1045" s="67">
        <f>ROUND(+P1045*D1045,4)</f>
        <v>0</v>
      </c>
      <c r="S1045" s="67">
        <f>ROUND(IF(K1045=0,0,M1045*D1045),4)</f>
        <v>0</v>
      </c>
      <c r="T1045" s="67">
        <f>ROUND(+IF(K1045=0,Q1045*D1045,0),4)</f>
        <v>0</v>
      </c>
      <c r="U1045" s="67">
        <f>ROUND(+N1045+R1045+S1045+T1045,4)</f>
        <v>0</v>
      </c>
      <c r="V1045" s="67">
        <f>ROUND(IF(P1045=0,0,I1045-H1045-O1045)+IF(L1045=0,0,I1045-H1045-K1045),4)</f>
        <v>0</v>
      </c>
      <c r="W1045" s="67">
        <f>ROUND(+(V1045*60%)*D1045,4)</f>
        <v>0</v>
      </c>
      <c r="X1045" s="148">
        <f>ROUND(+U1045+W1045,4)</f>
        <v>0</v>
      </c>
      <c r="Y1045" s="68"/>
      <c r="Z1045" s="148">
        <f>ROUND(IF(X1045&gt;I1045,X1045,I1045),4)</f>
        <v>0</v>
      </c>
    </row>
    <row r="1046" spans="1:31" x14ac:dyDescent="0.2">
      <c r="A1046" s="66"/>
      <c r="B1046" s="66"/>
      <c r="C1046" s="66"/>
      <c r="D1046" s="144"/>
      <c r="E1046" s="67"/>
      <c r="F1046" s="67"/>
      <c r="G1046" s="67"/>
      <c r="H1046" s="67">
        <f>ROUND(+E1046+G1046,4)</f>
        <v>0</v>
      </c>
      <c r="I1046" s="67"/>
      <c r="J1046" s="67">
        <f>ROUND(+I1046-H1046,4)</f>
        <v>0</v>
      </c>
      <c r="K1046" s="67">
        <f>ROUND(IF(F1046="alluminio",0,I1046*1.5%),4)</f>
        <v>0</v>
      </c>
      <c r="L1046" s="67">
        <f>ROUND(IF(K1046&lt;J1046,K1046,0),4)</f>
        <v>0</v>
      </c>
      <c r="M1046" s="67">
        <f>ROUND(IF(J1046&gt;K1046,0,J1046),4)</f>
        <v>0</v>
      </c>
      <c r="N1046" s="67">
        <f>ROUND(+L1046*D1046,4)</f>
        <v>0</v>
      </c>
      <c r="O1046" s="67">
        <f>ROUND(IF(F1046="rame",0,+I1046*3%),4)</f>
        <v>0</v>
      </c>
      <c r="P1046" s="67">
        <f>ROUND(IF(O1046&lt;J1046,O1046,0),4)</f>
        <v>0</v>
      </c>
      <c r="Q1046" s="67">
        <f>ROUND(IF(J1046&gt;O1046,0,J1046),4)</f>
        <v>0</v>
      </c>
      <c r="R1046" s="67">
        <f>ROUND(+P1046*D1046,4)</f>
        <v>0</v>
      </c>
      <c r="S1046" s="67">
        <f>ROUND(IF(K1046=0,0,M1046*D1046),4)</f>
        <v>0</v>
      </c>
      <c r="T1046" s="67">
        <f>ROUND(+IF(K1046=0,Q1046*D1046,0),4)</f>
        <v>0</v>
      </c>
      <c r="U1046" s="67">
        <f>ROUND(+N1046+R1046+S1046+T1046,4)</f>
        <v>0</v>
      </c>
      <c r="V1046" s="67">
        <f>ROUND(IF(P1046=0,0,I1046-H1046-O1046)+IF(L1046=0,0,I1046-H1046-K1046),4)</f>
        <v>0</v>
      </c>
      <c r="W1046" s="67">
        <f>ROUND(+(V1046*60%)*D1046,4)</f>
        <v>0</v>
      </c>
      <c r="X1046" s="148">
        <f>ROUND(+U1046+W1046,4)</f>
        <v>0</v>
      </c>
      <c r="Y1046" s="68"/>
      <c r="Z1046" s="148">
        <f>ROUND(IF(X1046&gt;I1046,X1046,I1046),4)</f>
        <v>0</v>
      </c>
    </row>
    <row r="1047" spans="1:31" x14ac:dyDescent="0.2">
      <c r="A1047" s="66"/>
      <c r="B1047" s="66"/>
      <c r="C1047" s="66"/>
      <c r="D1047" s="144"/>
      <c r="E1047" s="67"/>
      <c r="F1047" s="67"/>
      <c r="G1047" s="67"/>
      <c r="H1047" s="67">
        <f>ROUND(+E1047+G1047,4)</f>
        <v>0</v>
      </c>
      <c r="I1047" s="67"/>
      <c r="J1047" s="67">
        <f>ROUND(+I1047-H1047,4)</f>
        <v>0</v>
      </c>
      <c r="K1047" s="67">
        <f>ROUND(IF(F1047="alluminio",0,I1047*1.5%),4)</f>
        <v>0</v>
      </c>
      <c r="L1047" s="67">
        <f>ROUND(IF(K1047&lt;J1047,K1047,0),4)</f>
        <v>0</v>
      </c>
      <c r="M1047" s="67">
        <f>ROUND(IF(J1047&gt;K1047,0,J1047),4)</f>
        <v>0</v>
      </c>
      <c r="N1047" s="67">
        <f>ROUND(+L1047*D1047,4)</f>
        <v>0</v>
      </c>
      <c r="O1047" s="67">
        <f>ROUND(IF(F1047="rame",0,+I1047*3%),4)</f>
        <v>0</v>
      </c>
      <c r="P1047" s="67">
        <f>ROUND(IF(O1047&lt;J1047,O1047,0),4)</f>
        <v>0</v>
      </c>
      <c r="Q1047" s="67">
        <f>ROUND(IF(J1047&gt;O1047,0,J1047),4)</f>
        <v>0</v>
      </c>
      <c r="R1047" s="67">
        <f>ROUND(+P1047*D1047,4)</f>
        <v>0</v>
      </c>
      <c r="S1047" s="67">
        <f>ROUND(IF(K1047=0,0,M1047*D1047),4)</f>
        <v>0</v>
      </c>
      <c r="T1047" s="67">
        <f>ROUND(+IF(K1047=0,Q1047*D1047,0),4)</f>
        <v>0</v>
      </c>
      <c r="U1047" s="67">
        <f>ROUND(+N1047+R1047+S1047+T1047,4)</f>
        <v>0</v>
      </c>
      <c r="V1047" s="67">
        <f>ROUND(IF(P1047=0,0,I1047-H1047-O1047)+IF(L1047=0,0,I1047-H1047-K1047),4)</f>
        <v>0</v>
      </c>
      <c r="W1047" s="67">
        <f>ROUND(+(V1047*60%)*D1047,4)</f>
        <v>0</v>
      </c>
      <c r="X1047" s="148">
        <f>ROUND(+U1047+W1047,4)</f>
        <v>0</v>
      </c>
      <c r="Y1047" s="68"/>
      <c r="Z1047" s="148">
        <f>ROUND(IF(X1047&gt;I1047,X1047,I1047),4)</f>
        <v>0</v>
      </c>
    </row>
    <row r="1048" spans="1:31" x14ac:dyDescent="0.2">
      <c r="A1048" s="66"/>
      <c r="B1048" s="66"/>
      <c r="C1048" s="66"/>
      <c r="D1048" s="144"/>
      <c r="E1048" s="67"/>
      <c r="F1048" s="67"/>
      <c r="G1048" s="67"/>
      <c r="H1048" s="67">
        <f>ROUND(+E1048+G1048,4)</f>
        <v>0</v>
      </c>
      <c r="I1048" s="67"/>
      <c r="J1048" s="67">
        <f>ROUND(+I1048-H1048,4)</f>
        <v>0</v>
      </c>
      <c r="K1048" s="67">
        <f>ROUND(IF(F1048="alluminio",0,I1048*1.5%),4)</f>
        <v>0</v>
      </c>
      <c r="L1048" s="67">
        <f>ROUND(IF(K1048&lt;J1048,K1048,0),4)</f>
        <v>0</v>
      </c>
      <c r="M1048" s="67">
        <f>ROUND(IF(J1048&gt;K1048,0,J1048),4)</f>
        <v>0</v>
      </c>
      <c r="N1048" s="67">
        <f>ROUND(+L1048*D1048,4)</f>
        <v>0</v>
      </c>
      <c r="O1048" s="67">
        <f>ROUND(IF(F1048="rame",0,+I1048*3%),4)</f>
        <v>0</v>
      </c>
      <c r="P1048" s="67">
        <f>ROUND(IF(O1048&lt;J1048,O1048,0),4)</f>
        <v>0</v>
      </c>
      <c r="Q1048" s="67">
        <f>ROUND(IF(J1048&gt;O1048,0,J1048),4)</f>
        <v>0</v>
      </c>
      <c r="R1048" s="67">
        <f>ROUND(+P1048*D1048,4)</f>
        <v>0</v>
      </c>
      <c r="S1048" s="67">
        <f>ROUND(IF(K1048=0,0,M1048*D1048),4)</f>
        <v>0</v>
      </c>
      <c r="T1048" s="67">
        <f>ROUND(+IF(K1048=0,Q1048*D1048,0),4)</f>
        <v>0</v>
      </c>
      <c r="U1048" s="67">
        <f>ROUND(+N1048+R1048+S1048+T1048,4)</f>
        <v>0</v>
      </c>
      <c r="V1048" s="67">
        <f>ROUND(IF(P1048=0,0,I1048-H1048-O1048)+IF(L1048=0,0,I1048-H1048-K1048),4)</f>
        <v>0</v>
      </c>
      <c r="W1048" s="67">
        <f>ROUND(+(V1048*60%)*D1048,4)</f>
        <v>0</v>
      </c>
      <c r="X1048" s="148">
        <f>ROUND(+U1048+W1048,4)</f>
        <v>0</v>
      </c>
      <c r="Y1048" s="68"/>
      <c r="Z1048" s="148">
        <f>ROUND(IF(X1048&gt;I1048,X1048,I1048),4)</f>
        <v>0</v>
      </c>
    </row>
    <row r="1049" spans="1:31" x14ac:dyDescent="0.2">
      <c r="A1049" s="66"/>
      <c r="B1049" s="66"/>
      <c r="C1049" s="66"/>
      <c r="D1049" s="144"/>
      <c r="E1049" s="67"/>
      <c r="F1049" s="67"/>
      <c r="G1049" s="67"/>
      <c r="H1049" s="67">
        <f>ROUND(+E1049+G1049,4)</f>
        <v>0</v>
      </c>
      <c r="I1049" s="67"/>
      <c r="J1049" s="67">
        <f>ROUND(+I1049-H1049,4)</f>
        <v>0</v>
      </c>
      <c r="K1049" s="67">
        <f>ROUND(IF(F1049="alluminio",0,I1049*1.5%),4)</f>
        <v>0</v>
      </c>
      <c r="L1049" s="67">
        <f>ROUND(IF(K1049&lt;J1049,K1049,0),4)</f>
        <v>0</v>
      </c>
      <c r="M1049" s="67">
        <f>ROUND(IF(J1049&gt;K1049,0,J1049),4)</f>
        <v>0</v>
      </c>
      <c r="N1049" s="67">
        <f>ROUND(+L1049*D1049,4)</f>
        <v>0</v>
      </c>
      <c r="O1049" s="67">
        <f>ROUND(IF(F1049="rame",0,+I1049*3%),4)</f>
        <v>0</v>
      </c>
      <c r="P1049" s="67">
        <f>ROUND(IF(O1049&lt;J1049,O1049,0),4)</f>
        <v>0</v>
      </c>
      <c r="Q1049" s="67">
        <f>ROUND(IF(J1049&gt;O1049,0,J1049),4)</f>
        <v>0</v>
      </c>
      <c r="R1049" s="67">
        <f>ROUND(+P1049*D1049,4)</f>
        <v>0</v>
      </c>
      <c r="S1049" s="67">
        <f>ROUND(IF(K1049=0,0,M1049*D1049),4)</f>
        <v>0</v>
      </c>
      <c r="T1049" s="67">
        <f>ROUND(+IF(K1049=0,Q1049*D1049,0),4)</f>
        <v>0</v>
      </c>
      <c r="U1049" s="67">
        <f>ROUND(+N1049+R1049+S1049+T1049,4)</f>
        <v>0</v>
      </c>
      <c r="V1049" s="67">
        <f>ROUND(IF(P1049=0,0,I1049-H1049-O1049)+IF(L1049=0,0,I1049-H1049-K1049),4)</f>
        <v>0</v>
      </c>
      <c r="W1049" s="67">
        <f>ROUND(+(V1049*60%)*D1049,4)</f>
        <v>0</v>
      </c>
      <c r="X1049" s="148">
        <f>ROUND(+U1049+W1049,4)</f>
        <v>0</v>
      </c>
      <c r="Y1049" s="68"/>
      <c r="Z1049" s="148">
        <f>ROUND(IF(X1049&gt;I1049,X1049,I1049),4)</f>
        <v>0</v>
      </c>
    </row>
    <row r="1050" spans="1:31" x14ac:dyDescent="0.2">
      <c r="A1050" s="66"/>
      <c r="B1050" s="66"/>
      <c r="C1050" s="66"/>
      <c r="D1050" s="144"/>
      <c r="E1050" s="67"/>
      <c r="F1050" s="67"/>
      <c r="G1050" s="67"/>
      <c r="H1050" s="67">
        <f>ROUND(+E1050+G1050,4)</f>
        <v>0</v>
      </c>
      <c r="I1050" s="67"/>
      <c r="J1050" s="67">
        <f>ROUND(+I1050-H1050,4)</f>
        <v>0</v>
      </c>
      <c r="K1050" s="67">
        <f>ROUND(IF(F1050="alluminio",0,I1050*1.5%),4)</f>
        <v>0</v>
      </c>
      <c r="L1050" s="67">
        <f>ROUND(IF(K1050&lt;J1050,K1050,0),4)</f>
        <v>0</v>
      </c>
      <c r="M1050" s="67">
        <f>ROUND(IF(J1050&gt;K1050,0,J1050),4)</f>
        <v>0</v>
      </c>
      <c r="N1050" s="67">
        <f>ROUND(+L1050*D1050,4)</f>
        <v>0</v>
      </c>
      <c r="O1050" s="67">
        <f>ROUND(IF(F1050="rame",0,+I1050*3%),4)</f>
        <v>0</v>
      </c>
      <c r="P1050" s="67">
        <f>ROUND(IF(O1050&lt;J1050,O1050,0),4)</f>
        <v>0</v>
      </c>
      <c r="Q1050" s="67">
        <f>ROUND(IF(J1050&gt;O1050,0,J1050),4)</f>
        <v>0</v>
      </c>
      <c r="R1050" s="67">
        <f>ROUND(+P1050*D1050,4)</f>
        <v>0</v>
      </c>
      <c r="S1050" s="67">
        <f>ROUND(IF(K1050=0,0,M1050*D1050),4)</f>
        <v>0</v>
      </c>
      <c r="T1050" s="67">
        <f>ROUND(+IF(K1050=0,Q1050*D1050,0),4)</f>
        <v>0</v>
      </c>
      <c r="U1050" s="67">
        <f>ROUND(+N1050+R1050+S1050+T1050,4)</f>
        <v>0</v>
      </c>
      <c r="V1050" s="67">
        <f>ROUND(IF(P1050=0,0,I1050-H1050-O1050)+IF(L1050=0,0,I1050-H1050-K1050),4)</f>
        <v>0</v>
      </c>
      <c r="W1050" s="67">
        <f>ROUND(+(V1050*60%)*D1050,4)</f>
        <v>0</v>
      </c>
      <c r="X1050" s="148">
        <f>ROUND(+U1050+W1050,4)</f>
        <v>0</v>
      </c>
      <c r="Y1050" s="68"/>
      <c r="Z1050" s="148">
        <f>ROUND(IF(X1050&gt;I1050,X1050,I1050),4)</f>
        <v>0</v>
      </c>
    </row>
    <row r="1051" spans="1:31" x14ac:dyDescent="0.2">
      <c r="A1051" s="66"/>
      <c r="B1051" s="66"/>
      <c r="C1051" s="66"/>
      <c r="D1051" s="144"/>
      <c r="E1051" s="67"/>
      <c r="F1051" s="67"/>
      <c r="G1051" s="67"/>
      <c r="H1051" s="67">
        <f>ROUND(+E1051+G1051,4)</f>
        <v>0</v>
      </c>
      <c r="I1051" s="67"/>
      <c r="J1051" s="67">
        <f>ROUND(+I1051-H1051,4)</f>
        <v>0</v>
      </c>
      <c r="K1051" s="67">
        <f>ROUND(IF(F1051="alluminio",0,I1051*1.5%),4)</f>
        <v>0</v>
      </c>
      <c r="L1051" s="67">
        <f>ROUND(IF(K1051&lt;J1051,K1051,0),4)</f>
        <v>0</v>
      </c>
      <c r="M1051" s="67">
        <f>ROUND(IF(J1051&gt;K1051,0,J1051),4)</f>
        <v>0</v>
      </c>
      <c r="N1051" s="67">
        <f>ROUND(+L1051*D1051,4)</f>
        <v>0</v>
      </c>
      <c r="O1051" s="67">
        <f>ROUND(IF(F1051="rame",0,+I1051*3%),4)</f>
        <v>0</v>
      </c>
      <c r="P1051" s="67">
        <f>ROUND(IF(O1051&lt;J1051,O1051,0),4)</f>
        <v>0</v>
      </c>
      <c r="Q1051" s="67">
        <f>ROUND(IF(J1051&gt;O1051,0,J1051),4)</f>
        <v>0</v>
      </c>
      <c r="R1051" s="67">
        <f>ROUND(+P1051*D1051,4)</f>
        <v>0</v>
      </c>
      <c r="S1051" s="67">
        <f>ROUND(IF(K1051=0,0,M1051*D1051),4)</f>
        <v>0</v>
      </c>
      <c r="T1051" s="67">
        <f>ROUND(+IF(K1051=0,Q1051*D1051,0),4)</f>
        <v>0</v>
      </c>
      <c r="U1051" s="67">
        <f>ROUND(+N1051+R1051+S1051+T1051,4)</f>
        <v>0</v>
      </c>
      <c r="V1051" s="67">
        <f>ROUND(IF(P1051=0,0,I1051-H1051-O1051)+IF(L1051=0,0,I1051-H1051-K1051),4)</f>
        <v>0</v>
      </c>
      <c r="W1051" s="67">
        <f>ROUND(+(V1051*60%)*D1051,4)</f>
        <v>0</v>
      </c>
      <c r="X1051" s="148">
        <f>ROUND(+U1051+W1051,4)</f>
        <v>0</v>
      </c>
      <c r="Y1051" s="68"/>
      <c r="Z1051" s="148">
        <f>ROUND(IF(X1051&gt;I1051,X1051,I1051),4)</f>
        <v>0</v>
      </c>
    </row>
    <row r="1052" spans="1:31" x14ac:dyDescent="0.2">
      <c r="A1052" s="66"/>
      <c r="B1052" s="66"/>
      <c r="C1052" s="66"/>
      <c r="D1052" s="144"/>
      <c r="E1052" s="67"/>
      <c r="F1052" s="67"/>
      <c r="G1052" s="67"/>
      <c r="H1052" s="67">
        <f>ROUND(+E1052+G1052,4)</f>
        <v>0</v>
      </c>
      <c r="I1052" s="67"/>
      <c r="J1052" s="67">
        <f>ROUND(+I1052-H1052,4)</f>
        <v>0</v>
      </c>
      <c r="K1052" s="67">
        <f>ROUND(IF(F1052="alluminio",0,I1052*1.5%),4)</f>
        <v>0</v>
      </c>
      <c r="L1052" s="67">
        <f>ROUND(IF(K1052&lt;J1052,K1052,0),4)</f>
        <v>0</v>
      </c>
      <c r="M1052" s="67">
        <f>ROUND(IF(J1052&gt;K1052,0,J1052),4)</f>
        <v>0</v>
      </c>
      <c r="N1052" s="67">
        <f>ROUND(+L1052*D1052,4)</f>
        <v>0</v>
      </c>
      <c r="O1052" s="67">
        <f>ROUND(IF(F1052="rame",0,+I1052*3%),4)</f>
        <v>0</v>
      </c>
      <c r="P1052" s="67">
        <f>ROUND(IF(O1052&lt;J1052,O1052,0),4)</f>
        <v>0</v>
      </c>
      <c r="Q1052" s="67">
        <f>ROUND(IF(J1052&gt;O1052,0,J1052),4)</f>
        <v>0</v>
      </c>
      <c r="R1052" s="67">
        <f>ROUND(+P1052*D1052,4)</f>
        <v>0</v>
      </c>
      <c r="S1052" s="67">
        <f>ROUND(IF(K1052=0,0,M1052*D1052),4)</f>
        <v>0</v>
      </c>
      <c r="T1052" s="67">
        <f>ROUND(+IF(K1052=0,Q1052*D1052,0),4)</f>
        <v>0</v>
      </c>
      <c r="U1052" s="67">
        <f>ROUND(+N1052+R1052+S1052+T1052,4)</f>
        <v>0</v>
      </c>
      <c r="V1052" s="67">
        <f>ROUND(IF(P1052=0,0,I1052-H1052-O1052)+IF(L1052=0,0,I1052-H1052-K1052),4)</f>
        <v>0</v>
      </c>
      <c r="W1052" s="67">
        <f>ROUND(+(V1052*60%)*D1052,4)</f>
        <v>0</v>
      </c>
      <c r="X1052" s="148">
        <f>ROUND(+U1052+W1052,4)</f>
        <v>0</v>
      </c>
      <c r="Y1052" s="68"/>
      <c r="Z1052" s="148">
        <f>ROUND(IF(X1052&gt;I1052,X1052,I1052),4)</f>
        <v>0</v>
      </c>
    </row>
    <row r="1053" spans="1:31" x14ac:dyDescent="0.2">
      <c r="A1053" s="66"/>
      <c r="B1053" s="66"/>
      <c r="C1053" s="66"/>
      <c r="D1053" s="144"/>
      <c r="E1053" s="67"/>
      <c r="F1053" s="67"/>
      <c r="G1053" s="67"/>
      <c r="H1053" s="67">
        <f>ROUND(+E1053+G1053,4)</f>
        <v>0</v>
      </c>
      <c r="I1053" s="67"/>
      <c r="J1053" s="67">
        <f>ROUND(+I1053-H1053,4)</f>
        <v>0</v>
      </c>
      <c r="K1053" s="67">
        <f>ROUND(IF(F1053="alluminio",0,I1053*1.5%),4)</f>
        <v>0</v>
      </c>
      <c r="L1053" s="67">
        <f>ROUND(IF(K1053&lt;J1053,K1053,0),4)</f>
        <v>0</v>
      </c>
      <c r="M1053" s="67">
        <f>ROUND(IF(J1053&gt;K1053,0,J1053),4)</f>
        <v>0</v>
      </c>
      <c r="N1053" s="67">
        <f>ROUND(+L1053*D1053,4)</f>
        <v>0</v>
      </c>
      <c r="O1053" s="67">
        <f>ROUND(IF(F1053="rame",0,+I1053*3%),4)</f>
        <v>0</v>
      </c>
      <c r="P1053" s="67">
        <f>ROUND(IF(O1053&lt;J1053,O1053,0),4)</f>
        <v>0</v>
      </c>
      <c r="Q1053" s="67">
        <f>ROUND(IF(J1053&gt;O1053,0,J1053),4)</f>
        <v>0</v>
      </c>
      <c r="R1053" s="67">
        <f>ROUND(+P1053*D1053,4)</f>
        <v>0</v>
      </c>
      <c r="S1053" s="67">
        <f>ROUND(IF(K1053=0,0,M1053*D1053),4)</f>
        <v>0</v>
      </c>
      <c r="T1053" s="67">
        <f>ROUND(+IF(K1053=0,Q1053*D1053,0),4)</f>
        <v>0</v>
      </c>
      <c r="U1053" s="67">
        <f>ROUND(+N1053+R1053+S1053+T1053,4)</f>
        <v>0</v>
      </c>
      <c r="V1053" s="67">
        <f>ROUND(IF(P1053=0,0,I1053-H1053-O1053)+IF(L1053=0,0,I1053-H1053-K1053),4)</f>
        <v>0</v>
      </c>
      <c r="W1053" s="67">
        <f>ROUND(+(V1053*60%)*D1053,4)</f>
        <v>0</v>
      </c>
      <c r="X1053" s="148">
        <f>ROUND(+U1053+W1053,4)</f>
        <v>0</v>
      </c>
      <c r="Y1053" s="68"/>
      <c r="Z1053" s="148">
        <f>ROUND(IF(X1053&gt;I1053,X1053,I1053),4)</f>
        <v>0</v>
      </c>
    </row>
    <row r="1054" spans="1:31" x14ac:dyDescent="0.2">
      <c r="A1054" s="66"/>
      <c r="B1054" s="66"/>
      <c r="C1054" s="66"/>
      <c r="D1054" s="144"/>
      <c r="E1054" s="67"/>
      <c r="F1054" s="67"/>
      <c r="G1054" s="67"/>
      <c r="H1054" s="67">
        <f>ROUND(+E1054+G1054,4)</f>
        <v>0</v>
      </c>
      <c r="I1054" s="67"/>
      <c r="J1054" s="67">
        <f>ROUND(+I1054-H1054,4)</f>
        <v>0</v>
      </c>
      <c r="K1054" s="67">
        <f>ROUND(IF(F1054="alluminio",0,I1054*1.5%),4)</f>
        <v>0</v>
      </c>
      <c r="L1054" s="67">
        <f>ROUND(IF(K1054&lt;J1054,K1054,0),4)</f>
        <v>0</v>
      </c>
      <c r="M1054" s="67">
        <f>ROUND(IF(J1054&gt;K1054,0,J1054),4)</f>
        <v>0</v>
      </c>
      <c r="N1054" s="67">
        <f>ROUND(+L1054*D1054,4)</f>
        <v>0</v>
      </c>
      <c r="O1054" s="67">
        <f>ROUND(IF(F1054="rame",0,+I1054*3%),4)</f>
        <v>0</v>
      </c>
      <c r="P1054" s="67">
        <f>ROUND(IF(O1054&lt;J1054,O1054,0),4)</f>
        <v>0</v>
      </c>
      <c r="Q1054" s="67">
        <f>ROUND(IF(J1054&gt;O1054,0,J1054),4)</f>
        <v>0</v>
      </c>
      <c r="R1054" s="67">
        <f>ROUND(+P1054*D1054,4)</f>
        <v>0</v>
      </c>
      <c r="S1054" s="67">
        <f>ROUND(IF(K1054=0,0,M1054*D1054),4)</f>
        <v>0</v>
      </c>
      <c r="T1054" s="67">
        <f>ROUND(+IF(K1054=0,Q1054*D1054,0),4)</f>
        <v>0</v>
      </c>
      <c r="U1054" s="67">
        <f>ROUND(+N1054+R1054+S1054+T1054,4)</f>
        <v>0</v>
      </c>
      <c r="V1054" s="67">
        <f>ROUND(IF(P1054=0,0,I1054-H1054-O1054)+IF(L1054=0,0,I1054-H1054-K1054),4)</f>
        <v>0</v>
      </c>
      <c r="W1054" s="67">
        <f>ROUND(+(V1054*60%)*D1054,4)</f>
        <v>0</v>
      </c>
      <c r="X1054" s="148">
        <f>ROUND(+U1054+W1054,4)</f>
        <v>0</v>
      </c>
      <c r="Y1054" s="68"/>
      <c r="Z1054" s="148">
        <f>ROUND(IF(X1054&gt;I1054,X1054,I1054),4)</f>
        <v>0</v>
      </c>
    </row>
    <row r="1055" spans="1:31" x14ac:dyDescent="0.2">
      <c r="A1055" s="66"/>
      <c r="B1055" s="66"/>
      <c r="C1055" s="66"/>
      <c r="D1055" s="144"/>
      <c r="E1055" s="67"/>
      <c r="F1055" s="67"/>
      <c r="G1055" s="67"/>
      <c r="H1055" s="67">
        <f>ROUND(+E1055+G1055,4)</f>
        <v>0</v>
      </c>
      <c r="I1055" s="67"/>
      <c r="J1055" s="67">
        <f>ROUND(+I1055-H1055,4)</f>
        <v>0</v>
      </c>
      <c r="K1055" s="67">
        <f>ROUND(IF(F1055="alluminio",0,I1055*1.5%),4)</f>
        <v>0</v>
      </c>
      <c r="L1055" s="67">
        <f>ROUND(IF(K1055&lt;J1055,K1055,0),4)</f>
        <v>0</v>
      </c>
      <c r="M1055" s="67">
        <f>ROUND(IF(J1055&gt;K1055,0,J1055),4)</f>
        <v>0</v>
      </c>
      <c r="N1055" s="67">
        <f>ROUND(+L1055*D1055,4)</f>
        <v>0</v>
      </c>
      <c r="O1055" s="67">
        <f>ROUND(IF(F1055="rame",0,+I1055*3%),4)</f>
        <v>0</v>
      </c>
      <c r="P1055" s="67">
        <f>ROUND(IF(O1055&lt;J1055,O1055,0),4)</f>
        <v>0</v>
      </c>
      <c r="Q1055" s="67">
        <f>ROUND(IF(J1055&gt;O1055,0,J1055),4)</f>
        <v>0</v>
      </c>
      <c r="R1055" s="67">
        <f>ROUND(+P1055*D1055,4)</f>
        <v>0</v>
      </c>
      <c r="S1055" s="67">
        <f>ROUND(IF(K1055=0,0,M1055*D1055),4)</f>
        <v>0</v>
      </c>
      <c r="T1055" s="67">
        <f>ROUND(+IF(K1055=0,Q1055*D1055,0),4)</f>
        <v>0</v>
      </c>
      <c r="U1055" s="67">
        <f>ROUND(+N1055+R1055+S1055+T1055,4)</f>
        <v>0</v>
      </c>
      <c r="V1055" s="67">
        <f>ROUND(IF(P1055=0,0,I1055-H1055-O1055)+IF(L1055=0,0,I1055-H1055-K1055),4)</f>
        <v>0</v>
      </c>
      <c r="W1055" s="67">
        <f>ROUND(+(V1055*60%)*D1055,4)</f>
        <v>0</v>
      </c>
      <c r="X1055" s="148">
        <f>ROUND(+U1055+W1055,4)</f>
        <v>0</v>
      </c>
      <c r="Y1055" s="68"/>
      <c r="Z1055" s="148">
        <f>ROUND(IF(X1055&gt;I1055,X1055,I1055),4)</f>
        <v>0</v>
      </c>
      <c r="AD1055" s="78">
        <f t="shared" ref="AD1055:AD1085" si="10">IF(Y1055="",0,MONTH(Y1055))</f>
        <v>0</v>
      </c>
      <c r="AE1055" s="78">
        <f t="shared" ref="AE1055:AE1085" si="11">IF(Y1055="",0,YEAR(Y1055))</f>
        <v>0</v>
      </c>
    </row>
    <row r="1056" spans="1:31" x14ac:dyDescent="0.2">
      <c r="A1056" s="66"/>
      <c r="B1056" s="66"/>
      <c r="C1056" s="66"/>
      <c r="D1056" s="144"/>
      <c r="E1056" s="67"/>
      <c r="F1056" s="67"/>
      <c r="G1056" s="67"/>
      <c r="H1056" s="67">
        <f>ROUND(+E1056+G1056,4)</f>
        <v>0</v>
      </c>
      <c r="I1056" s="67"/>
      <c r="J1056" s="67">
        <f>ROUND(+I1056-H1056,4)</f>
        <v>0</v>
      </c>
      <c r="K1056" s="67">
        <f>ROUND(IF(F1056="alluminio",0,I1056*1.5%),4)</f>
        <v>0</v>
      </c>
      <c r="L1056" s="67">
        <f>ROUND(IF(K1056&lt;J1056,K1056,0),4)</f>
        <v>0</v>
      </c>
      <c r="M1056" s="67">
        <f>ROUND(IF(J1056&gt;K1056,0,J1056),4)</f>
        <v>0</v>
      </c>
      <c r="N1056" s="67">
        <f>ROUND(+L1056*D1056,4)</f>
        <v>0</v>
      </c>
      <c r="O1056" s="67">
        <f>ROUND(IF(F1056="rame",0,+I1056*3%),4)</f>
        <v>0</v>
      </c>
      <c r="P1056" s="67">
        <f>ROUND(IF(O1056&lt;J1056,O1056,0),4)</f>
        <v>0</v>
      </c>
      <c r="Q1056" s="67">
        <f>ROUND(IF(J1056&gt;O1056,0,J1056),4)</f>
        <v>0</v>
      </c>
      <c r="R1056" s="67">
        <f>ROUND(+P1056*D1056,4)</f>
        <v>0</v>
      </c>
      <c r="S1056" s="67">
        <f>ROUND(IF(K1056=0,0,M1056*D1056),4)</f>
        <v>0</v>
      </c>
      <c r="T1056" s="67">
        <f>ROUND(+IF(K1056=0,Q1056*D1056,0),4)</f>
        <v>0</v>
      </c>
      <c r="U1056" s="67">
        <f>ROUND(+N1056+R1056+S1056+T1056,4)</f>
        <v>0</v>
      </c>
      <c r="V1056" s="67">
        <f>ROUND(IF(P1056=0,0,I1056-H1056-O1056)+IF(L1056=0,0,I1056-H1056-K1056),4)</f>
        <v>0</v>
      </c>
      <c r="W1056" s="67">
        <f>ROUND(+(V1056*60%)*D1056,4)</f>
        <v>0</v>
      </c>
      <c r="X1056" s="148">
        <f>ROUND(+U1056+W1056,4)</f>
        <v>0</v>
      </c>
      <c r="Y1056" s="68"/>
      <c r="Z1056" s="148">
        <f>ROUND(IF(X1056&gt;I1056,X1056,I1056),4)</f>
        <v>0</v>
      </c>
      <c r="AD1056" s="78">
        <f t="shared" si="10"/>
        <v>0</v>
      </c>
      <c r="AE1056" s="78">
        <f t="shared" si="11"/>
        <v>0</v>
      </c>
    </row>
    <row r="1057" spans="1:31" x14ac:dyDescent="0.2">
      <c r="A1057" s="66"/>
      <c r="B1057" s="66"/>
      <c r="C1057" s="66"/>
      <c r="D1057" s="144"/>
      <c r="E1057" s="67"/>
      <c r="F1057" s="67"/>
      <c r="G1057" s="67"/>
      <c r="H1057" s="67">
        <f>ROUND(+E1057+G1057,4)</f>
        <v>0</v>
      </c>
      <c r="I1057" s="67"/>
      <c r="J1057" s="67">
        <f>ROUND(+I1057-H1057,4)</f>
        <v>0</v>
      </c>
      <c r="K1057" s="67">
        <f>ROUND(IF(F1057="alluminio",0,I1057*1.5%),4)</f>
        <v>0</v>
      </c>
      <c r="L1057" s="67">
        <f>ROUND(IF(K1057&lt;J1057,K1057,0),4)</f>
        <v>0</v>
      </c>
      <c r="M1057" s="67">
        <f>ROUND(IF(J1057&gt;K1057,0,J1057),4)</f>
        <v>0</v>
      </c>
      <c r="N1057" s="67">
        <f>ROUND(+L1057*D1057,4)</f>
        <v>0</v>
      </c>
      <c r="O1057" s="67">
        <f>ROUND(IF(F1057="rame",0,+I1057*3%),4)</f>
        <v>0</v>
      </c>
      <c r="P1057" s="67">
        <f>ROUND(IF(O1057&lt;J1057,O1057,0),4)</f>
        <v>0</v>
      </c>
      <c r="Q1057" s="67">
        <f>ROUND(IF(J1057&gt;O1057,0,J1057),4)</f>
        <v>0</v>
      </c>
      <c r="R1057" s="67">
        <f>ROUND(+P1057*D1057,4)</f>
        <v>0</v>
      </c>
      <c r="S1057" s="67">
        <f>ROUND(IF(K1057=0,0,M1057*D1057),4)</f>
        <v>0</v>
      </c>
      <c r="T1057" s="67">
        <f>ROUND(+IF(K1057=0,Q1057*D1057,0),4)</f>
        <v>0</v>
      </c>
      <c r="U1057" s="67">
        <f>ROUND(+N1057+R1057+S1057+T1057,4)</f>
        <v>0</v>
      </c>
      <c r="V1057" s="67">
        <f>ROUND(IF(P1057=0,0,I1057-H1057-O1057)+IF(L1057=0,0,I1057-H1057-K1057),4)</f>
        <v>0</v>
      </c>
      <c r="W1057" s="67">
        <f>ROUND(+(V1057*60%)*D1057,4)</f>
        <v>0</v>
      </c>
      <c r="X1057" s="148">
        <f>ROUND(+U1057+W1057,4)</f>
        <v>0</v>
      </c>
      <c r="Y1057" s="68"/>
      <c r="Z1057" s="148">
        <f>ROUND(IF(X1057&gt;I1057,X1057,I1057),4)</f>
        <v>0</v>
      </c>
      <c r="AD1057" s="78">
        <f t="shared" si="10"/>
        <v>0</v>
      </c>
      <c r="AE1057" s="78">
        <f t="shared" si="11"/>
        <v>0</v>
      </c>
    </row>
    <row r="1058" spans="1:31" x14ac:dyDescent="0.2">
      <c r="A1058" s="66"/>
      <c r="B1058" s="66"/>
      <c r="C1058" s="66"/>
      <c r="D1058" s="144"/>
      <c r="E1058" s="67"/>
      <c r="F1058" s="67"/>
      <c r="G1058" s="67"/>
      <c r="H1058" s="67">
        <f>ROUND(+E1058+G1058,4)</f>
        <v>0</v>
      </c>
      <c r="I1058" s="67"/>
      <c r="J1058" s="67">
        <f>ROUND(+I1058-H1058,4)</f>
        <v>0</v>
      </c>
      <c r="K1058" s="67">
        <f>ROUND(IF(F1058="alluminio",0,I1058*1.5%),4)</f>
        <v>0</v>
      </c>
      <c r="L1058" s="67">
        <f>ROUND(IF(K1058&lt;J1058,K1058,0),4)</f>
        <v>0</v>
      </c>
      <c r="M1058" s="67">
        <f>ROUND(IF(J1058&gt;K1058,0,J1058),4)</f>
        <v>0</v>
      </c>
      <c r="N1058" s="67">
        <f>ROUND(+L1058*D1058,4)</f>
        <v>0</v>
      </c>
      <c r="O1058" s="67">
        <f>ROUND(IF(F1058="rame",0,+I1058*3%),4)</f>
        <v>0</v>
      </c>
      <c r="P1058" s="67">
        <f>ROUND(IF(O1058&lt;J1058,O1058,0),4)</f>
        <v>0</v>
      </c>
      <c r="Q1058" s="67">
        <f>ROUND(IF(J1058&gt;O1058,0,J1058),4)</f>
        <v>0</v>
      </c>
      <c r="R1058" s="67">
        <f>ROUND(+P1058*D1058,4)</f>
        <v>0</v>
      </c>
      <c r="S1058" s="67">
        <f>ROUND(IF(K1058=0,0,M1058*D1058),4)</f>
        <v>0</v>
      </c>
      <c r="T1058" s="67">
        <f>ROUND(+IF(K1058=0,Q1058*D1058,0),4)</f>
        <v>0</v>
      </c>
      <c r="U1058" s="67">
        <f>ROUND(+N1058+R1058+S1058+T1058,4)</f>
        <v>0</v>
      </c>
      <c r="V1058" s="67">
        <f>ROUND(IF(P1058=0,0,I1058-H1058-O1058)+IF(L1058=0,0,I1058-H1058-K1058),4)</f>
        <v>0</v>
      </c>
      <c r="W1058" s="67">
        <f>ROUND(+(V1058*60%)*D1058,4)</f>
        <v>0</v>
      </c>
      <c r="X1058" s="148">
        <f>ROUND(+U1058+W1058,4)</f>
        <v>0</v>
      </c>
      <c r="Y1058" s="68"/>
      <c r="Z1058" s="148">
        <f>ROUND(IF(X1058&gt;I1058,X1058,I1058),4)</f>
        <v>0</v>
      </c>
      <c r="AD1058" s="78">
        <f t="shared" si="10"/>
        <v>0</v>
      </c>
      <c r="AE1058" s="78">
        <f t="shared" si="11"/>
        <v>0</v>
      </c>
    </row>
    <row r="1059" spans="1:31" x14ac:dyDescent="0.2">
      <c r="A1059" s="66"/>
      <c r="B1059" s="66"/>
      <c r="C1059" s="66"/>
      <c r="D1059" s="144"/>
      <c r="E1059" s="67"/>
      <c r="F1059" s="67"/>
      <c r="G1059" s="67"/>
      <c r="H1059" s="67">
        <f>ROUND(+E1059+G1059,4)</f>
        <v>0</v>
      </c>
      <c r="I1059" s="67"/>
      <c r="J1059" s="67">
        <f>ROUND(+I1059-H1059,4)</f>
        <v>0</v>
      </c>
      <c r="K1059" s="67">
        <f>ROUND(IF(F1059="alluminio",0,I1059*1.5%),4)</f>
        <v>0</v>
      </c>
      <c r="L1059" s="67">
        <f>ROUND(IF(K1059&lt;J1059,K1059,0),4)</f>
        <v>0</v>
      </c>
      <c r="M1059" s="67">
        <f>ROUND(IF(J1059&gt;K1059,0,J1059),4)</f>
        <v>0</v>
      </c>
      <c r="N1059" s="67">
        <f>ROUND(+L1059*D1059,4)</f>
        <v>0</v>
      </c>
      <c r="O1059" s="67">
        <f>ROUND(IF(F1059="rame",0,+I1059*3%),4)</f>
        <v>0</v>
      </c>
      <c r="P1059" s="67">
        <f>ROUND(IF(O1059&lt;J1059,O1059,0),4)</f>
        <v>0</v>
      </c>
      <c r="Q1059" s="67">
        <f>ROUND(IF(J1059&gt;O1059,0,J1059),4)</f>
        <v>0</v>
      </c>
      <c r="R1059" s="67">
        <f>ROUND(+P1059*D1059,4)</f>
        <v>0</v>
      </c>
      <c r="S1059" s="67">
        <f>ROUND(IF(K1059=0,0,M1059*D1059),4)</f>
        <v>0</v>
      </c>
      <c r="T1059" s="67">
        <f>ROUND(+IF(K1059=0,Q1059*D1059,0),4)</f>
        <v>0</v>
      </c>
      <c r="U1059" s="67">
        <f>ROUND(+N1059+R1059+S1059+T1059,4)</f>
        <v>0</v>
      </c>
      <c r="V1059" s="67">
        <f>ROUND(IF(P1059=0,0,I1059-H1059-O1059)+IF(L1059=0,0,I1059-H1059-K1059),4)</f>
        <v>0</v>
      </c>
      <c r="W1059" s="67">
        <f>ROUND(+(V1059*60%)*D1059,4)</f>
        <v>0</v>
      </c>
      <c r="X1059" s="148">
        <f>ROUND(+U1059+W1059,4)</f>
        <v>0</v>
      </c>
      <c r="Y1059" s="68"/>
      <c r="Z1059" s="148">
        <f>ROUND(IF(X1059&gt;I1059,X1059,I1059),4)</f>
        <v>0</v>
      </c>
      <c r="AD1059" s="78">
        <f t="shared" si="10"/>
        <v>0</v>
      </c>
      <c r="AE1059" s="78">
        <f t="shared" si="11"/>
        <v>0</v>
      </c>
    </row>
    <row r="1060" spans="1:31" x14ac:dyDescent="0.2">
      <c r="A1060" s="66"/>
      <c r="B1060" s="66"/>
      <c r="C1060" s="66"/>
      <c r="D1060" s="144"/>
      <c r="E1060" s="67"/>
      <c r="F1060" s="67"/>
      <c r="G1060" s="67"/>
      <c r="H1060" s="67">
        <f>ROUND(+E1060+G1060,4)</f>
        <v>0</v>
      </c>
      <c r="I1060" s="67"/>
      <c r="J1060" s="67">
        <f>ROUND(+I1060-H1060,4)</f>
        <v>0</v>
      </c>
      <c r="K1060" s="67">
        <f>ROUND(IF(F1060="alluminio",0,I1060*1.5%),4)</f>
        <v>0</v>
      </c>
      <c r="L1060" s="67">
        <f>ROUND(IF(K1060&lt;J1060,K1060,0),4)</f>
        <v>0</v>
      </c>
      <c r="M1060" s="67">
        <f>ROUND(IF(J1060&gt;K1060,0,J1060),4)</f>
        <v>0</v>
      </c>
      <c r="N1060" s="67">
        <f>ROUND(+L1060*D1060,4)</f>
        <v>0</v>
      </c>
      <c r="O1060" s="67">
        <f>ROUND(IF(F1060="rame",0,+I1060*3%),4)</f>
        <v>0</v>
      </c>
      <c r="P1060" s="67">
        <f>ROUND(IF(O1060&lt;J1060,O1060,0),4)</f>
        <v>0</v>
      </c>
      <c r="Q1060" s="67">
        <f>ROUND(IF(J1060&gt;O1060,0,J1060),4)</f>
        <v>0</v>
      </c>
      <c r="R1060" s="67">
        <f>ROUND(+P1060*D1060,4)</f>
        <v>0</v>
      </c>
      <c r="S1060" s="67">
        <f>ROUND(IF(K1060=0,0,M1060*D1060),4)</f>
        <v>0</v>
      </c>
      <c r="T1060" s="67">
        <f>ROUND(+IF(K1060=0,Q1060*D1060,0),4)</f>
        <v>0</v>
      </c>
      <c r="U1060" s="67">
        <f>ROUND(+N1060+R1060+S1060+T1060,4)</f>
        <v>0</v>
      </c>
      <c r="V1060" s="67">
        <f>ROUND(IF(P1060=0,0,I1060-H1060-O1060)+IF(L1060=0,0,I1060-H1060-K1060),4)</f>
        <v>0</v>
      </c>
      <c r="W1060" s="67">
        <f>ROUND(+(V1060*60%)*D1060,4)</f>
        <v>0</v>
      </c>
      <c r="X1060" s="148">
        <f>ROUND(+U1060+W1060,4)</f>
        <v>0</v>
      </c>
      <c r="Y1060" s="68"/>
      <c r="Z1060" s="148">
        <f>ROUND(IF(X1060&gt;I1060,X1060,I1060),4)</f>
        <v>0</v>
      </c>
      <c r="AD1060" s="78">
        <f t="shared" si="10"/>
        <v>0</v>
      </c>
      <c r="AE1060" s="78">
        <f t="shared" si="11"/>
        <v>0</v>
      </c>
    </row>
    <row r="1061" spans="1:31" x14ac:dyDescent="0.2">
      <c r="A1061" s="66"/>
      <c r="B1061" s="66"/>
      <c r="C1061" s="66"/>
      <c r="D1061" s="144"/>
      <c r="E1061" s="67"/>
      <c r="F1061" s="67"/>
      <c r="G1061" s="67"/>
      <c r="H1061" s="67">
        <f>ROUND(+E1061+G1061,4)</f>
        <v>0</v>
      </c>
      <c r="I1061" s="67"/>
      <c r="J1061" s="67">
        <f>ROUND(+I1061-H1061,4)</f>
        <v>0</v>
      </c>
      <c r="K1061" s="67">
        <f>ROUND(IF(F1061="alluminio",0,I1061*1.5%),4)</f>
        <v>0</v>
      </c>
      <c r="L1061" s="67">
        <f>ROUND(IF(K1061&lt;J1061,K1061,0),4)</f>
        <v>0</v>
      </c>
      <c r="M1061" s="67">
        <f>ROUND(IF(J1061&gt;K1061,0,J1061),4)</f>
        <v>0</v>
      </c>
      <c r="N1061" s="67">
        <f>ROUND(+L1061*D1061,4)</f>
        <v>0</v>
      </c>
      <c r="O1061" s="67">
        <f>ROUND(IF(F1061="rame",0,+I1061*3%),4)</f>
        <v>0</v>
      </c>
      <c r="P1061" s="67">
        <f>ROUND(IF(O1061&lt;J1061,O1061,0),4)</f>
        <v>0</v>
      </c>
      <c r="Q1061" s="67">
        <f>ROUND(IF(J1061&gt;O1061,0,J1061),4)</f>
        <v>0</v>
      </c>
      <c r="R1061" s="67">
        <f>ROUND(+P1061*D1061,4)</f>
        <v>0</v>
      </c>
      <c r="S1061" s="67">
        <f>ROUND(IF(K1061=0,0,M1061*D1061),4)</f>
        <v>0</v>
      </c>
      <c r="T1061" s="67">
        <f>ROUND(+IF(K1061=0,Q1061*D1061,0),4)</f>
        <v>0</v>
      </c>
      <c r="U1061" s="67">
        <f>ROUND(+N1061+R1061+S1061+T1061,4)</f>
        <v>0</v>
      </c>
      <c r="V1061" s="67">
        <f>ROUND(IF(P1061=0,0,I1061-H1061-O1061)+IF(L1061=0,0,I1061-H1061-K1061),4)</f>
        <v>0</v>
      </c>
      <c r="W1061" s="67">
        <f>ROUND(+(V1061*60%)*D1061,4)</f>
        <v>0</v>
      </c>
      <c r="X1061" s="148">
        <f>ROUND(+U1061+W1061,4)</f>
        <v>0</v>
      </c>
      <c r="Y1061" s="68"/>
      <c r="Z1061" s="148">
        <f>ROUND(IF(X1061&gt;I1061,X1061,I1061),4)</f>
        <v>0</v>
      </c>
      <c r="AD1061" s="78">
        <f t="shared" si="10"/>
        <v>0</v>
      </c>
      <c r="AE1061" s="78">
        <f t="shared" si="11"/>
        <v>0</v>
      </c>
    </row>
    <row r="1062" spans="1:31" x14ac:dyDescent="0.2">
      <c r="A1062" s="66"/>
      <c r="B1062" s="66"/>
      <c r="C1062" s="66"/>
      <c r="D1062" s="144"/>
      <c r="E1062" s="67"/>
      <c r="F1062" s="67"/>
      <c r="G1062" s="67"/>
      <c r="H1062" s="67">
        <f>ROUND(+E1062+G1062,4)</f>
        <v>0</v>
      </c>
      <c r="I1062" s="67"/>
      <c r="J1062" s="67">
        <f>ROUND(+I1062-H1062,4)</f>
        <v>0</v>
      </c>
      <c r="K1062" s="67">
        <f>ROUND(IF(F1062="alluminio",0,I1062*1.5%),4)</f>
        <v>0</v>
      </c>
      <c r="L1062" s="67">
        <f>ROUND(IF(K1062&lt;J1062,K1062,0),4)</f>
        <v>0</v>
      </c>
      <c r="M1062" s="67">
        <f>ROUND(IF(J1062&gt;K1062,0,J1062),4)</f>
        <v>0</v>
      </c>
      <c r="N1062" s="67">
        <f>ROUND(+L1062*D1062,4)</f>
        <v>0</v>
      </c>
      <c r="O1062" s="67">
        <f>ROUND(IF(F1062="rame",0,+I1062*3%),4)</f>
        <v>0</v>
      </c>
      <c r="P1062" s="67">
        <f>ROUND(IF(O1062&lt;J1062,O1062,0),4)</f>
        <v>0</v>
      </c>
      <c r="Q1062" s="67">
        <f>ROUND(IF(J1062&gt;O1062,0,J1062),4)</f>
        <v>0</v>
      </c>
      <c r="R1062" s="67">
        <f>ROUND(+P1062*D1062,4)</f>
        <v>0</v>
      </c>
      <c r="S1062" s="67">
        <f>ROUND(IF(K1062=0,0,M1062*D1062),4)</f>
        <v>0</v>
      </c>
      <c r="T1062" s="67">
        <f>ROUND(+IF(K1062=0,Q1062*D1062,0),4)</f>
        <v>0</v>
      </c>
      <c r="U1062" s="67">
        <f>ROUND(+N1062+R1062+S1062+T1062,4)</f>
        <v>0</v>
      </c>
      <c r="V1062" s="67">
        <f>ROUND(IF(P1062=0,0,I1062-H1062-O1062)+IF(L1062=0,0,I1062-H1062-K1062),4)</f>
        <v>0</v>
      </c>
      <c r="W1062" s="67">
        <f>ROUND(+(V1062*60%)*D1062,4)</f>
        <v>0</v>
      </c>
      <c r="X1062" s="148">
        <f>ROUND(+U1062+W1062,4)</f>
        <v>0</v>
      </c>
      <c r="Y1062" s="68"/>
      <c r="Z1062" s="148">
        <f>ROUND(IF(X1062&gt;I1062,X1062,I1062),4)</f>
        <v>0</v>
      </c>
      <c r="AD1062" s="78">
        <f t="shared" si="10"/>
        <v>0</v>
      </c>
      <c r="AE1062" s="78">
        <f t="shared" si="11"/>
        <v>0</v>
      </c>
    </row>
    <row r="1063" spans="1:31" x14ac:dyDescent="0.2">
      <c r="A1063" s="66"/>
      <c r="B1063" s="66"/>
      <c r="C1063" s="66"/>
      <c r="D1063" s="144"/>
      <c r="E1063" s="67"/>
      <c r="F1063" s="67"/>
      <c r="G1063" s="67"/>
      <c r="H1063" s="67">
        <f>ROUND(+E1063+G1063,4)</f>
        <v>0</v>
      </c>
      <c r="I1063" s="67"/>
      <c r="J1063" s="67">
        <f>ROUND(+I1063-H1063,4)</f>
        <v>0</v>
      </c>
      <c r="K1063" s="67">
        <f>ROUND(IF(F1063="alluminio",0,I1063*1.5%),4)</f>
        <v>0</v>
      </c>
      <c r="L1063" s="67">
        <f>ROUND(IF(K1063&lt;J1063,K1063,0),4)</f>
        <v>0</v>
      </c>
      <c r="M1063" s="67">
        <f>ROUND(IF(J1063&gt;K1063,0,J1063),4)</f>
        <v>0</v>
      </c>
      <c r="N1063" s="67">
        <f>ROUND(+L1063*D1063,4)</f>
        <v>0</v>
      </c>
      <c r="O1063" s="67">
        <f>ROUND(IF(F1063="rame",0,+I1063*3%),4)</f>
        <v>0</v>
      </c>
      <c r="P1063" s="67">
        <f>ROUND(IF(O1063&lt;J1063,O1063,0),4)</f>
        <v>0</v>
      </c>
      <c r="Q1063" s="67">
        <f>ROUND(IF(J1063&gt;O1063,0,J1063),4)</f>
        <v>0</v>
      </c>
      <c r="R1063" s="67">
        <f>ROUND(+P1063*D1063,4)</f>
        <v>0</v>
      </c>
      <c r="S1063" s="67">
        <f>ROUND(IF(K1063=0,0,M1063*D1063),4)</f>
        <v>0</v>
      </c>
      <c r="T1063" s="67">
        <f>ROUND(+IF(K1063=0,Q1063*D1063,0),4)</f>
        <v>0</v>
      </c>
      <c r="U1063" s="67">
        <f>ROUND(+N1063+R1063+S1063+T1063,4)</f>
        <v>0</v>
      </c>
      <c r="V1063" s="67">
        <f>ROUND(IF(P1063=0,0,I1063-H1063-O1063)+IF(L1063=0,0,I1063-H1063-K1063),4)</f>
        <v>0</v>
      </c>
      <c r="W1063" s="67">
        <f>ROUND(+(V1063*60%)*D1063,4)</f>
        <v>0</v>
      </c>
      <c r="X1063" s="148">
        <f>ROUND(+U1063+W1063,4)</f>
        <v>0</v>
      </c>
      <c r="Y1063" s="68"/>
      <c r="Z1063" s="148">
        <f>ROUND(IF(X1063&gt;I1063,X1063,I1063),4)</f>
        <v>0</v>
      </c>
      <c r="AD1063" s="78">
        <f t="shared" si="10"/>
        <v>0</v>
      </c>
      <c r="AE1063" s="78">
        <f t="shared" si="11"/>
        <v>0</v>
      </c>
    </row>
    <row r="1064" spans="1:31" x14ac:dyDescent="0.2">
      <c r="A1064" s="66"/>
      <c r="B1064" s="66"/>
      <c r="C1064" s="66"/>
      <c r="D1064" s="144"/>
      <c r="E1064" s="67"/>
      <c r="F1064" s="67"/>
      <c r="G1064" s="67"/>
      <c r="H1064" s="67">
        <f>ROUND(+E1064+G1064,4)</f>
        <v>0</v>
      </c>
      <c r="I1064" s="67"/>
      <c r="J1064" s="67">
        <f>ROUND(+I1064-H1064,4)</f>
        <v>0</v>
      </c>
      <c r="K1064" s="67">
        <f>ROUND(IF(F1064="alluminio",0,I1064*1.5%),4)</f>
        <v>0</v>
      </c>
      <c r="L1064" s="67">
        <f>ROUND(IF(K1064&lt;J1064,K1064,0),4)</f>
        <v>0</v>
      </c>
      <c r="M1064" s="67">
        <f>ROUND(IF(J1064&gt;K1064,0,J1064),4)</f>
        <v>0</v>
      </c>
      <c r="N1064" s="67">
        <f>ROUND(+L1064*D1064,4)</f>
        <v>0</v>
      </c>
      <c r="O1064" s="67">
        <f>ROUND(IF(F1064="rame",0,+I1064*3%),4)</f>
        <v>0</v>
      </c>
      <c r="P1064" s="67">
        <f>ROUND(IF(O1064&lt;J1064,O1064,0),4)</f>
        <v>0</v>
      </c>
      <c r="Q1064" s="67">
        <f>ROUND(IF(J1064&gt;O1064,0,J1064),4)</f>
        <v>0</v>
      </c>
      <c r="R1064" s="67">
        <f>ROUND(+P1064*D1064,4)</f>
        <v>0</v>
      </c>
      <c r="S1064" s="67">
        <f>ROUND(IF(K1064=0,0,M1064*D1064),4)</f>
        <v>0</v>
      </c>
      <c r="T1064" s="67">
        <f>ROUND(+IF(K1064=0,Q1064*D1064,0),4)</f>
        <v>0</v>
      </c>
      <c r="U1064" s="67">
        <f>ROUND(+N1064+R1064+S1064+T1064,4)</f>
        <v>0</v>
      </c>
      <c r="V1064" s="67">
        <f>ROUND(IF(P1064=0,0,I1064-H1064-O1064)+IF(L1064=0,0,I1064-H1064-K1064),4)</f>
        <v>0</v>
      </c>
      <c r="W1064" s="67">
        <f>ROUND(+(V1064*60%)*D1064,4)</f>
        <v>0</v>
      </c>
      <c r="X1064" s="148">
        <f>ROUND(+U1064+W1064,4)</f>
        <v>0</v>
      </c>
      <c r="Y1064" s="68"/>
      <c r="Z1064" s="148">
        <f>ROUND(IF(X1064&gt;I1064,X1064,I1064),4)</f>
        <v>0</v>
      </c>
      <c r="AD1064" s="78">
        <f t="shared" si="10"/>
        <v>0</v>
      </c>
      <c r="AE1064" s="78">
        <f t="shared" si="11"/>
        <v>0</v>
      </c>
    </row>
    <row r="1065" spans="1:31" x14ac:dyDescent="0.2">
      <c r="A1065" s="66"/>
      <c r="B1065" s="66"/>
      <c r="C1065" s="66"/>
      <c r="D1065" s="144"/>
      <c r="E1065" s="67"/>
      <c r="F1065" s="67"/>
      <c r="G1065" s="67"/>
      <c r="H1065" s="67">
        <f>ROUND(+E1065+G1065,4)</f>
        <v>0</v>
      </c>
      <c r="I1065" s="67"/>
      <c r="J1065" s="67">
        <f>ROUND(+I1065-H1065,4)</f>
        <v>0</v>
      </c>
      <c r="K1065" s="67">
        <f>ROUND(IF(F1065="alluminio",0,I1065*1.5%),4)</f>
        <v>0</v>
      </c>
      <c r="L1065" s="67">
        <f>ROUND(IF(K1065&lt;J1065,K1065,0),4)</f>
        <v>0</v>
      </c>
      <c r="M1065" s="67">
        <f>ROUND(IF(J1065&gt;K1065,0,J1065),4)</f>
        <v>0</v>
      </c>
      <c r="N1065" s="67">
        <f>ROUND(+L1065*D1065,4)</f>
        <v>0</v>
      </c>
      <c r="O1065" s="67">
        <f>ROUND(IF(F1065="rame",0,+I1065*3%),4)</f>
        <v>0</v>
      </c>
      <c r="P1065" s="67">
        <f>ROUND(IF(O1065&lt;J1065,O1065,0),4)</f>
        <v>0</v>
      </c>
      <c r="Q1065" s="67">
        <f>ROUND(IF(J1065&gt;O1065,0,J1065),4)</f>
        <v>0</v>
      </c>
      <c r="R1065" s="67">
        <f>ROUND(+P1065*D1065,4)</f>
        <v>0</v>
      </c>
      <c r="S1065" s="67">
        <f>ROUND(IF(K1065=0,0,M1065*D1065),4)</f>
        <v>0</v>
      </c>
      <c r="T1065" s="67">
        <f>ROUND(+IF(K1065=0,Q1065*D1065,0),4)</f>
        <v>0</v>
      </c>
      <c r="U1065" s="67">
        <f>ROUND(+N1065+R1065+S1065+T1065,4)</f>
        <v>0</v>
      </c>
      <c r="V1065" s="67">
        <f>ROUND(IF(P1065=0,0,I1065-H1065-O1065)+IF(L1065=0,0,I1065-H1065-K1065),4)</f>
        <v>0</v>
      </c>
      <c r="W1065" s="67">
        <f>ROUND(+(V1065*60%)*D1065,4)</f>
        <v>0</v>
      </c>
      <c r="X1065" s="148">
        <f>ROUND(+U1065+W1065,4)</f>
        <v>0</v>
      </c>
      <c r="Y1065" s="68"/>
      <c r="Z1065" s="148">
        <f>ROUND(IF(X1065&gt;I1065,X1065,I1065),4)</f>
        <v>0</v>
      </c>
      <c r="AD1065" s="78">
        <f t="shared" si="10"/>
        <v>0</v>
      </c>
      <c r="AE1065" s="78">
        <f t="shared" si="11"/>
        <v>0</v>
      </c>
    </row>
    <row r="1066" spans="1:31" x14ac:dyDescent="0.2">
      <c r="A1066" s="66"/>
      <c r="B1066" s="66"/>
      <c r="C1066" s="66"/>
      <c r="D1066" s="144"/>
      <c r="E1066" s="67"/>
      <c r="F1066" s="67"/>
      <c r="G1066" s="67"/>
      <c r="H1066" s="67">
        <f>ROUND(+E1066+G1066,4)</f>
        <v>0</v>
      </c>
      <c r="I1066" s="67"/>
      <c r="J1066" s="67">
        <f>ROUND(+I1066-H1066,4)</f>
        <v>0</v>
      </c>
      <c r="K1066" s="67">
        <f>ROUND(IF(F1066="alluminio",0,I1066*1.5%),4)</f>
        <v>0</v>
      </c>
      <c r="L1066" s="67">
        <f>ROUND(IF(K1066&lt;J1066,K1066,0),4)</f>
        <v>0</v>
      </c>
      <c r="M1066" s="67">
        <f>ROUND(IF(J1066&gt;K1066,0,J1066),4)</f>
        <v>0</v>
      </c>
      <c r="N1066" s="67">
        <f>ROUND(+L1066*D1066,4)</f>
        <v>0</v>
      </c>
      <c r="O1066" s="67">
        <f>ROUND(IF(F1066="rame",0,+I1066*3%),4)</f>
        <v>0</v>
      </c>
      <c r="P1066" s="67">
        <f>ROUND(IF(O1066&lt;J1066,O1066,0),4)</f>
        <v>0</v>
      </c>
      <c r="Q1066" s="67">
        <f>ROUND(IF(J1066&gt;O1066,0,J1066),4)</f>
        <v>0</v>
      </c>
      <c r="R1066" s="67">
        <f>ROUND(+P1066*D1066,4)</f>
        <v>0</v>
      </c>
      <c r="S1066" s="67">
        <f>ROUND(IF(K1066=0,0,M1066*D1066),4)</f>
        <v>0</v>
      </c>
      <c r="T1066" s="67">
        <f>ROUND(+IF(K1066=0,Q1066*D1066,0),4)</f>
        <v>0</v>
      </c>
      <c r="U1066" s="67">
        <f>ROUND(+N1066+R1066+S1066+T1066,4)</f>
        <v>0</v>
      </c>
      <c r="V1066" s="67">
        <f>ROUND(IF(P1066=0,0,I1066-H1066-O1066)+IF(L1066=0,0,I1066-H1066-K1066),4)</f>
        <v>0</v>
      </c>
      <c r="W1066" s="67">
        <f>ROUND(+(V1066*60%)*D1066,4)</f>
        <v>0</v>
      </c>
      <c r="X1066" s="148">
        <f>ROUND(+U1066+W1066,4)</f>
        <v>0</v>
      </c>
      <c r="Y1066" s="68"/>
      <c r="Z1066" s="148">
        <f>ROUND(IF(X1066&gt;I1066,X1066,I1066),4)</f>
        <v>0</v>
      </c>
      <c r="AD1066" s="78">
        <f t="shared" si="10"/>
        <v>0</v>
      </c>
      <c r="AE1066" s="78">
        <f t="shared" si="11"/>
        <v>0</v>
      </c>
    </row>
    <row r="1067" spans="1:31" x14ac:dyDescent="0.2">
      <c r="A1067" s="66"/>
      <c r="B1067" s="66"/>
      <c r="C1067" s="66"/>
      <c r="D1067" s="144"/>
      <c r="E1067" s="67"/>
      <c r="F1067" s="67"/>
      <c r="G1067" s="67"/>
      <c r="H1067" s="67">
        <f>ROUND(+E1067+G1067,4)</f>
        <v>0</v>
      </c>
      <c r="I1067" s="67"/>
      <c r="J1067" s="67">
        <f>ROUND(+I1067-H1067,4)</f>
        <v>0</v>
      </c>
      <c r="K1067" s="67">
        <f>ROUND(IF(F1067="alluminio",0,I1067*1.5%),4)</f>
        <v>0</v>
      </c>
      <c r="L1067" s="67">
        <f>ROUND(IF(K1067&lt;J1067,K1067,0),4)</f>
        <v>0</v>
      </c>
      <c r="M1067" s="67">
        <f>ROUND(IF(J1067&gt;K1067,0,J1067),4)</f>
        <v>0</v>
      </c>
      <c r="N1067" s="67">
        <f>ROUND(+L1067*D1067,4)</f>
        <v>0</v>
      </c>
      <c r="O1067" s="67">
        <f>ROUND(IF(F1067="rame",0,+I1067*3%),4)</f>
        <v>0</v>
      </c>
      <c r="P1067" s="67">
        <f>ROUND(IF(O1067&lt;J1067,O1067,0),4)</f>
        <v>0</v>
      </c>
      <c r="Q1067" s="67">
        <f>ROUND(IF(J1067&gt;O1067,0,J1067),4)</f>
        <v>0</v>
      </c>
      <c r="R1067" s="67">
        <f>ROUND(+P1067*D1067,4)</f>
        <v>0</v>
      </c>
      <c r="S1067" s="67">
        <f>ROUND(IF(K1067=0,0,M1067*D1067),4)</f>
        <v>0</v>
      </c>
      <c r="T1067" s="67">
        <f>ROUND(+IF(K1067=0,Q1067*D1067,0),4)</f>
        <v>0</v>
      </c>
      <c r="U1067" s="67">
        <f>ROUND(+N1067+R1067+S1067+T1067,4)</f>
        <v>0</v>
      </c>
      <c r="V1067" s="67">
        <f>ROUND(IF(P1067=0,0,I1067-H1067-O1067)+IF(L1067=0,0,I1067-H1067-K1067),4)</f>
        <v>0</v>
      </c>
      <c r="W1067" s="67">
        <f>ROUND(+(V1067*60%)*D1067,4)</f>
        <v>0</v>
      </c>
      <c r="X1067" s="148">
        <f>ROUND(+U1067+W1067,4)</f>
        <v>0</v>
      </c>
      <c r="Y1067" s="68"/>
      <c r="Z1067" s="148">
        <f>ROUND(IF(X1067&gt;I1067,X1067,I1067),4)</f>
        <v>0</v>
      </c>
      <c r="AD1067" s="78">
        <f t="shared" si="10"/>
        <v>0</v>
      </c>
      <c r="AE1067" s="78">
        <f t="shared" si="11"/>
        <v>0</v>
      </c>
    </row>
    <row r="1068" spans="1:31" x14ac:dyDescent="0.2">
      <c r="A1068" s="66"/>
      <c r="B1068" s="66"/>
      <c r="C1068" s="66"/>
      <c r="D1068" s="144"/>
      <c r="E1068" s="67"/>
      <c r="F1068" s="67"/>
      <c r="G1068" s="67"/>
      <c r="H1068" s="67">
        <f>ROUND(+E1068+G1068,4)</f>
        <v>0</v>
      </c>
      <c r="I1068" s="67"/>
      <c r="J1068" s="67">
        <f>ROUND(+I1068-H1068,4)</f>
        <v>0</v>
      </c>
      <c r="K1068" s="67">
        <f>ROUND(IF(F1068="alluminio",0,I1068*1.5%),4)</f>
        <v>0</v>
      </c>
      <c r="L1068" s="67">
        <f>ROUND(IF(K1068&lt;J1068,K1068,0),4)</f>
        <v>0</v>
      </c>
      <c r="M1068" s="67">
        <f>ROUND(IF(J1068&gt;K1068,0,J1068),4)</f>
        <v>0</v>
      </c>
      <c r="N1068" s="67">
        <f>ROUND(+L1068*D1068,4)</f>
        <v>0</v>
      </c>
      <c r="O1068" s="67">
        <f>ROUND(IF(F1068="rame",0,+I1068*3%),4)</f>
        <v>0</v>
      </c>
      <c r="P1068" s="67">
        <f>ROUND(IF(O1068&lt;J1068,O1068,0),4)</f>
        <v>0</v>
      </c>
      <c r="Q1068" s="67">
        <f>ROUND(IF(J1068&gt;O1068,0,J1068),4)</f>
        <v>0</v>
      </c>
      <c r="R1068" s="67">
        <f>ROUND(+P1068*D1068,4)</f>
        <v>0</v>
      </c>
      <c r="S1068" s="67">
        <f>ROUND(IF(K1068=0,0,M1068*D1068),4)</f>
        <v>0</v>
      </c>
      <c r="T1068" s="67">
        <f>ROUND(+IF(K1068=0,Q1068*D1068,0),4)</f>
        <v>0</v>
      </c>
      <c r="U1068" s="67">
        <f>ROUND(+N1068+R1068+S1068+T1068,4)</f>
        <v>0</v>
      </c>
      <c r="V1068" s="67">
        <f>ROUND(IF(P1068=0,0,I1068-H1068-O1068)+IF(L1068=0,0,I1068-H1068-K1068),4)</f>
        <v>0</v>
      </c>
      <c r="W1068" s="67">
        <f>ROUND(+(V1068*60%)*D1068,4)</f>
        <v>0</v>
      </c>
      <c r="X1068" s="148">
        <f>ROUND(+U1068+W1068,4)</f>
        <v>0</v>
      </c>
      <c r="Y1068" s="68"/>
      <c r="Z1068" s="148">
        <f>ROUND(IF(X1068&gt;I1068,X1068,I1068),4)</f>
        <v>0</v>
      </c>
      <c r="AD1068" s="78">
        <f t="shared" si="10"/>
        <v>0</v>
      </c>
      <c r="AE1068" s="78">
        <f t="shared" si="11"/>
        <v>0</v>
      </c>
    </row>
    <row r="1069" spans="1:31" x14ac:dyDescent="0.2">
      <c r="A1069" s="66"/>
      <c r="B1069" s="66"/>
      <c r="C1069" s="66"/>
      <c r="D1069" s="144"/>
      <c r="E1069" s="67"/>
      <c r="F1069" s="67"/>
      <c r="G1069" s="67"/>
      <c r="H1069" s="67">
        <f>ROUND(+E1069+G1069,4)</f>
        <v>0</v>
      </c>
      <c r="I1069" s="67"/>
      <c r="J1069" s="67">
        <f>ROUND(+I1069-H1069,4)</f>
        <v>0</v>
      </c>
      <c r="K1069" s="67">
        <f>ROUND(IF(F1069="alluminio",0,I1069*1.5%),4)</f>
        <v>0</v>
      </c>
      <c r="L1069" s="67">
        <f>ROUND(IF(K1069&lt;J1069,K1069,0),4)</f>
        <v>0</v>
      </c>
      <c r="M1069" s="67">
        <f>ROUND(IF(J1069&gt;K1069,0,J1069),4)</f>
        <v>0</v>
      </c>
      <c r="N1069" s="67">
        <f>ROUND(+L1069*D1069,4)</f>
        <v>0</v>
      </c>
      <c r="O1069" s="67">
        <f>ROUND(IF(F1069="rame",0,+I1069*3%),4)</f>
        <v>0</v>
      </c>
      <c r="P1069" s="67">
        <f>ROUND(IF(O1069&lt;J1069,O1069,0),4)</f>
        <v>0</v>
      </c>
      <c r="Q1069" s="67">
        <f>ROUND(IF(J1069&gt;O1069,0,J1069),4)</f>
        <v>0</v>
      </c>
      <c r="R1069" s="67">
        <f>ROUND(+P1069*D1069,4)</f>
        <v>0</v>
      </c>
      <c r="S1069" s="67">
        <f>ROUND(IF(K1069=0,0,M1069*D1069),4)</f>
        <v>0</v>
      </c>
      <c r="T1069" s="67">
        <f>ROUND(+IF(K1069=0,Q1069*D1069,0),4)</f>
        <v>0</v>
      </c>
      <c r="U1069" s="67">
        <f>ROUND(+N1069+R1069+S1069+T1069,4)</f>
        <v>0</v>
      </c>
      <c r="V1069" s="67">
        <f>ROUND(IF(P1069=0,0,I1069-H1069-O1069)+IF(L1069=0,0,I1069-H1069-K1069),4)</f>
        <v>0</v>
      </c>
      <c r="W1069" s="67">
        <f>ROUND(+(V1069*60%)*D1069,4)</f>
        <v>0</v>
      </c>
      <c r="X1069" s="148">
        <f>ROUND(+U1069+W1069,4)</f>
        <v>0</v>
      </c>
      <c r="Y1069" s="68"/>
      <c r="Z1069" s="148">
        <f>ROUND(IF(X1069&gt;I1069,X1069,I1069),4)</f>
        <v>0</v>
      </c>
      <c r="AD1069" s="78">
        <f t="shared" si="10"/>
        <v>0</v>
      </c>
      <c r="AE1069" s="78">
        <f t="shared" si="11"/>
        <v>0</v>
      </c>
    </row>
    <row r="1070" spans="1:31" x14ac:dyDescent="0.2">
      <c r="A1070" s="66"/>
      <c r="B1070" s="66"/>
      <c r="C1070" s="66"/>
      <c r="D1070" s="144"/>
      <c r="E1070" s="67"/>
      <c r="F1070" s="67"/>
      <c r="G1070" s="67"/>
      <c r="H1070" s="67">
        <f>ROUND(+E1070+G1070,4)</f>
        <v>0</v>
      </c>
      <c r="I1070" s="67"/>
      <c r="J1070" s="67">
        <f>ROUND(+I1070-H1070,4)</f>
        <v>0</v>
      </c>
      <c r="K1070" s="67">
        <f>ROUND(IF(F1070="alluminio",0,I1070*1.5%),4)</f>
        <v>0</v>
      </c>
      <c r="L1070" s="67">
        <f>ROUND(IF(K1070&lt;J1070,K1070,0),4)</f>
        <v>0</v>
      </c>
      <c r="M1070" s="67">
        <f>ROUND(IF(J1070&gt;K1070,0,J1070),4)</f>
        <v>0</v>
      </c>
      <c r="N1070" s="67">
        <f>ROUND(+L1070*D1070,4)</f>
        <v>0</v>
      </c>
      <c r="O1070" s="67">
        <f>ROUND(IF(F1070="rame",0,+I1070*3%),4)</f>
        <v>0</v>
      </c>
      <c r="P1070" s="67">
        <f>ROUND(IF(O1070&lt;J1070,O1070,0),4)</f>
        <v>0</v>
      </c>
      <c r="Q1070" s="67">
        <f>ROUND(IF(J1070&gt;O1070,0,J1070),4)</f>
        <v>0</v>
      </c>
      <c r="R1070" s="67">
        <f>ROUND(+P1070*D1070,4)</f>
        <v>0</v>
      </c>
      <c r="S1070" s="67">
        <f>ROUND(IF(K1070=0,0,M1070*D1070),4)</f>
        <v>0</v>
      </c>
      <c r="T1070" s="67">
        <f>ROUND(+IF(K1070=0,Q1070*D1070,0),4)</f>
        <v>0</v>
      </c>
      <c r="U1070" s="67">
        <f>ROUND(+N1070+R1070+S1070+T1070,4)</f>
        <v>0</v>
      </c>
      <c r="V1070" s="67">
        <f>ROUND(IF(P1070=0,0,I1070-H1070-O1070)+IF(L1070=0,0,I1070-H1070-K1070),4)</f>
        <v>0</v>
      </c>
      <c r="W1070" s="67">
        <f>ROUND(+(V1070*60%)*D1070,4)</f>
        <v>0</v>
      </c>
      <c r="X1070" s="148">
        <f>ROUND(+U1070+W1070,4)</f>
        <v>0</v>
      </c>
      <c r="Y1070" s="68"/>
      <c r="Z1070" s="148">
        <f>ROUND(IF(X1070&gt;I1070,X1070,I1070),4)</f>
        <v>0</v>
      </c>
      <c r="AD1070" s="78">
        <f t="shared" si="10"/>
        <v>0</v>
      </c>
      <c r="AE1070" s="78">
        <f t="shared" si="11"/>
        <v>0</v>
      </c>
    </row>
    <row r="1071" spans="1:31" x14ac:dyDescent="0.2">
      <c r="A1071" s="66"/>
      <c r="B1071" s="66"/>
      <c r="C1071" s="66"/>
      <c r="D1071" s="144"/>
      <c r="E1071" s="67"/>
      <c r="F1071" s="67"/>
      <c r="G1071" s="67"/>
      <c r="H1071" s="67">
        <f>ROUND(+E1071+G1071,4)</f>
        <v>0</v>
      </c>
      <c r="I1071" s="67"/>
      <c r="J1071" s="67">
        <f>ROUND(+I1071-H1071,4)</f>
        <v>0</v>
      </c>
      <c r="K1071" s="67">
        <f>ROUND(IF(F1071="alluminio",0,I1071*1.5%),4)</f>
        <v>0</v>
      </c>
      <c r="L1071" s="67">
        <f>ROUND(IF(K1071&lt;J1071,K1071,0),4)</f>
        <v>0</v>
      </c>
      <c r="M1071" s="67">
        <f>ROUND(IF(J1071&gt;K1071,0,J1071),4)</f>
        <v>0</v>
      </c>
      <c r="N1071" s="67">
        <f>ROUND(+L1071*D1071,4)</f>
        <v>0</v>
      </c>
      <c r="O1071" s="67">
        <f>ROUND(IF(F1071="rame",0,+I1071*3%),4)</f>
        <v>0</v>
      </c>
      <c r="P1071" s="67">
        <f>ROUND(IF(O1071&lt;J1071,O1071,0),4)</f>
        <v>0</v>
      </c>
      <c r="Q1071" s="67">
        <f>ROUND(IF(J1071&gt;O1071,0,J1071),4)</f>
        <v>0</v>
      </c>
      <c r="R1071" s="67">
        <f>ROUND(+P1071*D1071,4)</f>
        <v>0</v>
      </c>
      <c r="S1071" s="67">
        <f>ROUND(IF(K1071=0,0,M1071*D1071),4)</f>
        <v>0</v>
      </c>
      <c r="T1071" s="67">
        <f>ROUND(+IF(K1071=0,Q1071*D1071,0),4)</f>
        <v>0</v>
      </c>
      <c r="U1071" s="67">
        <f>ROUND(+N1071+R1071+S1071+T1071,4)</f>
        <v>0</v>
      </c>
      <c r="V1071" s="67">
        <f>ROUND(IF(P1071=0,0,I1071-H1071-O1071)+IF(L1071=0,0,I1071-H1071-K1071),4)</f>
        <v>0</v>
      </c>
      <c r="W1071" s="67">
        <f>ROUND(+(V1071*60%)*D1071,4)</f>
        <v>0</v>
      </c>
      <c r="X1071" s="148">
        <f>ROUND(+U1071+W1071,4)</f>
        <v>0</v>
      </c>
      <c r="Y1071" s="68"/>
      <c r="Z1071" s="148">
        <f>ROUND(IF(X1071&gt;I1071,X1071,I1071),4)</f>
        <v>0</v>
      </c>
      <c r="AD1071" s="78">
        <f t="shared" si="10"/>
        <v>0</v>
      </c>
      <c r="AE1071" s="78">
        <f t="shared" si="11"/>
        <v>0</v>
      </c>
    </row>
    <row r="1072" spans="1:31" x14ac:dyDescent="0.2">
      <c r="A1072" s="66"/>
      <c r="B1072" s="66"/>
      <c r="C1072" s="66"/>
      <c r="D1072" s="144"/>
      <c r="E1072" s="67"/>
      <c r="F1072" s="67"/>
      <c r="G1072" s="67"/>
      <c r="H1072" s="67">
        <f>ROUND(+E1072+G1072,4)</f>
        <v>0</v>
      </c>
      <c r="I1072" s="67"/>
      <c r="J1072" s="67">
        <f>ROUND(+I1072-H1072,4)</f>
        <v>0</v>
      </c>
      <c r="K1072" s="67">
        <f>ROUND(IF(F1072="alluminio",0,I1072*1.5%),4)</f>
        <v>0</v>
      </c>
      <c r="L1072" s="67">
        <f>ROUND(IF(K1072&lt;J1072,K1072,0),4)</f>
        <v>0</v>
      </c>
      <c r="M1072" s="67">
        <f>ROUND(IF(J1072&gt;K1072,0,J1072),4)</f>
        <v>0</v>
      </c>
      <c r="N1072" s="67">
        <f>ROUND(+L1072*D1072,4)</f>
        <v>0</v>
      </c>
      <c r="O1072" s="67">
        <f>ROUND(IF(F1072="rame",0,+I1072*3%),4)</f>
        <v>0</v>
      </c>
      <c r="P1072" s="67">
        <f>ROUND(IF(O1072&lt;J1072,O1072,0),4)</f>
        <v>0</v>
      </c>
      <c r="Q1072" s="67">
        <f>ROUND(IF(J1072&gt;O1072,0,J1072),4)</f>
        <v>0</v>
      </c>
      <c r="R1072" s="67">
        <f>ROUND(+P1072*D1072,4)</f>
        <v>0</v>
      </c>
      <c r="S1072" s="67">
        <f>ROUND(IF(K1072=0,0,M1072*D1072),4)</f>
        <v>0</v>
      </c>
      <c r="T1072" s="67">
        <f>ROUND(+IF(K1072=0,Q1072*D1072,0),4)</f>
        <v>0</v>
      </c>
      <c r="U1072" s="67">
        <f>ROUND(+N1072+R1072+S1072+T1072,4)</f>
        <v>0</v>
      </c>
      <c r="V1072" s="67">
        <f>ROUND(IF(P1072=0,0,I1072-H1072-O1072)+IF(L1072=0,0,I1072-H1072-K1072),4)</f>
        <v>0</v>
      </c>
      <c r="W1072" s="67">
        <f>ROUND(+(V1072*60%)*D1072,4)</f>
        <v>0</v>
      </c>
      <c r="X1072" s="148">
        <f>ROUND(+U1072+W1072,4)</f>
        <v>0</v>
      </c>
      <c r="Y1072" s="68"/>
      <c r="Z1072" s="148">
        <f>ROUND(IF(X1072&gt;I1072,X1072,I1072),4)</f>
        <v>0</v>
      </c>
      <c r="AD1072" s="78">
        <f t="shared" si="10"/>
        <v>0</v>
      </c>
      <c r="AE1072" s="78">
        <f t="shared" si="11"/>
        <v>0</v>
      </c>
    </row>
    <row r="1073" spans="1:31" x14ac:dyDescent="0.2">
      <c r="A1073" s="66"/>
      <c r="B1073" s="66"/>
      <c r="C1073" s="66"/>
      <c r="D1073" s="144"/>
      <c r="E1073" s="67"/>
      <c r="F1073" s="67"/>
      <c r="G1073" s="67"/>
      <c r="H1073" s="67">
        <f>ROUND(+E1073+G1073,4)</f>
        <v>0</v>
      </c>
      <c r="I1073" s="67"/>
      <c r="J1073" s="67">
        <f>ROUND(+I1073-H1073,4)</f>
        <v>0</v>
      </c>
      <c r="K1073" s="67">
        <f>ROUND(IF(F1073="alluminio",0,I1073*1.5%),4)</f>
        <v>0</v>
      </c>
      <c r="L1073" s="67">
        <f>ROUND(IF(K1073&lt;J1073,K1073,0),4)</f>
        <v>0</v>
      </c>
      <c r="M1073" s="67">
        <f>ROUND(IF(J1073&gt;K1073,0,J1073),4)</f>
        <v>0</v>
      </c>
      <c r="N1073" s="67">
        <f>ROUND(+L1073*D1073,4)</f>
        <v>0</v>
      </c>
      <c r="O1073" s="67">
        <f>ROUND(IF(F1073="rame",0,+I1073*3%),4)</f>
        <v>0</v>
      </c>
      <c r="P1073" s="67">
        <f>ROUND(IF(O1073&lt;J1073,O1073,0),4)</f>
        <v>0</v>
      </c>
      <c r="Q1073" s="67">
        <f>ROUND(IF(J1073&gt;O1073,0,J1073),4)</f>
        <v>0</v>
      </c>
      <c r="R1073" s="67">
        <f>ROUND(+P1073*D1073,4)</f>
        <v>0</v>
      </c>
      <c r="S1073" s="67">
        <f>ROUND(IF(K1073=0,0,M1073*D1073),4)</f>
        <v>0</v>
      </c>
      <c r="T1073" s="67">
        <f>ROUND(+IF(K1073=0,Q1073*D1073,0),4)</f>
        <v>0</v>
      </c>
      <c r="U1073" s="67">
        <f>ROUND(+N1073+R1073+S1073+T1073,4)</f>
        <v>0</v>
      </c>
      <c r="V1073" s="67">
        <f>ROUND(IF(P1073=0,0,I1073-H1073-O1073)+IF(L1073=0,0,I1073-H1073-K1073),4)</f>
        <v>0</v>
      </c>
      <c r="W1073" s="67">
        <f>ROUND(+(V1073*60%)*D1073,4)</f>
        <v>0</v>
      </c>
      <c r="X1073" s="148">
        <f>ROUND(+U1073+W1073,4)</f>
        <v>0</v>
      </c>
      <c r="Y1073" s="68"/>
      <c r="Z1073" s="148">
        <f>ROUND(IF(X1073&gt;I1073,X1073,I1073),4)</f>
        <v>0</v>
      </c>
      <c r="AD1073" s="78">
        <f t="shared" si="10"/>
        <v>0</v>
      </c>
      <c r="AE1073" s="78">
        <f t="shared" si="11"/>
        <v>0</v>
      </c>
    </row>
    <row r="1074" spans="1:31" x14ac:dyDescent="0.2">
      <c r="A1074" s="66"/>
      <c r="B1074" s="66"/>
      <c r="C1074" s="66"/>
      <c r="D1074" s="144"/>
      <c r="E1074" s="67"/>
      <c r="F1074" s="67"/>
      <c r="G1074" s="67"/>
      <c r="H1074" s="67">
        <f>ROUND(+E1074+G1074,4)</f>
        <v>0</v>
      </c>
      <c r="I1074" s="67"/>
      <c r="J1074" s="67">
        <f>ROUND(+I1074-H1074,4)</f>
        <v>0</v>
      </c>
      <c r="K1074" s="67">
        <f>ROUND(IF(F1074="alluminio",0,I1074*1.5%),4)</f>
        <v>0</v>
      </c>
      <c r="L1074" s="67">
        <f>ROUND(IF(K1074&lt;J1074,K1074,0),4)</f>
        <v>0</v>
      </c>
      <c r="M1074" s="67">
        <f>ROUND(IF(J1074&gt;K1074,0,J1074),4)</f>
        <v>0</v>
      </c>
      <c r="N1074" s="67">
        <f>ROUND(+L1074*D1074,4)</f>
        <v>0</v>
      </c>
      <c r="O1074" s="67">
        <f>ROUND(IF(F1074="rame",0,+I1074*3%),4)</f>
        <v>0</v>
      </c>
      <c r="P1074" s="67">
        <f>ROUND(IF(O1074&lt;J1074,O1074,0),4)</f>
        <v>0</v>
      </c>
      <c r="Q1074" s="67">
        <f>ROUND(IF(J1074&gt;O1074,0,J1074),4)</f>
        <v>0</v>
      </c>
      <c r="R1074" s="67">
        <f>ROUND(+P1074*D1074,4)</f>
        <v>0</v>
      </c>
      <c r="S1074" s="67">
        <f>ROUND(IF(K1074=0,0,M1074*D1074),4)</f>
        <v>0</v>
      </c>
      <c r="T1074" s="67">
        <f>ROUND(+IF(K1074=0,Q1074*D1074,0),4)</f>
        <v>0</v>
      </c>
      <c r="U1074" s="67">
        <f>ROUND(+N1074+R1074+S1074+T1074,4)</f>
        <v>0</v>
      </c>
      <c r="V1074" s="67">
        <f>ROUND(IF(P1074=0,0,I1074-H1074-O1074)+IF(L1074=0,0,I1074-H1074-K1074),4)</f>
        <v>0</v>
      </c>
      <c r="W1074" s="67">
        <f>ROUND(+(V1074*60%)*D1074,4)</f>
        <v>0</v>
      </c>
      <c r="X1074" s="148">
        <f>ROUND(+U1074+W1074,4)</f>
        <v>0</v>
      </c>
      <c r="Y1074" s="68"/>
      <c r="Z1074" s="148">
        <f>ROUND(IF(X1074&gt;I1074,X1074,I1074),4)</f>
        <v>0</v>
      </c>
      <c r="AD1074" s="78">
        <f t="shared" si="10"/>
        <v>0</v>
      </c>
      <c r="AE1074" s="78">
        <f t="shared" si="11"/>
        <v>0</v>
      </c>
    </row>
    <row r="1075" spans="1:31" x14ac:dyDescent="0.2">
      <c r="A1075" s="66"/>
      <c r="B1075" s="66"/>
      <c r="C1075" s="66"/>
      <c r="D1075" s="144"/>
      <c r="E1075" s="67"/>
      <c r="F1075" s="67"/>
      <c r="G1075" s="67"/>
      <c r="H1075" s="67">
        <f>ROUND(+E1075+G1075,4)</f>
        <v>0</v>
      </c>
      <c r="I1075" s="67"/>
      <c r="J1075" s="67">
        <f>ROUND(+I1075-H1075,4)</f>
        <v>0</v>
      </c>
      <c r="K1075" s="67">
        <f>ROUND(IF(F1075="alluminio",0,I1075*1.5%),4)</f>
        <v>0</v>
      </c>
      <c r="L1075" s="67">
        <f>ROUND(IF(K1075&lt;J1075,K1075,0),4)</f>
        <v>0</v>
      </c>
      <c r="M1075" s="67">
        <f>ROUND(IF(J1075&gt;K1075,0,J1075),4)</f>
        <v>0</v>
      </c>
      <c r="N1075" s="67">
        <f>ROUND(+L1075*D1075,4)</f>
        <v>0</v>
      </c>
      <c r="O1075" s="67">
        <f>ROUND(IF(F1075="rame",0,+I1075*3%),4)</f>
        <v>0</v>
      </c>
      <c r="P1075" s="67">
        <f>ROUND(IF(O1075&lt;J1075,O1075,0),4)</f>
        <v>0</v>
      </c>
      <c r="Q1075" s="67">
        <f>ROUND(IF(J1075&gt;O1075,0,J1075),4)</f>
        <v>0</v>
      </c>
      <c r="R1075" s="67">
        <f>ROUND(+P1075*D1075,4)</f>
        <v>0</v>
      </c>
      <c r="S1075" s="67">
        <f>ROUND(IF(K1075=0,0,M1075*D1075),4)</f>
        <v>0</v>
      </c>
      <c r="T1075" s="67">
        <f>ROUND(+IF(K1075=0,Q1075*D1075,0),4)</f>
        <v>0</v>
      </c>
      <c r="U1075" s="67">
        <f>ROUND(+N1075+R1075+S1075+T1075,4)</f>
        <v>0</v>
      </c>
      <c r="V1075" s="67">
        <f>ROUND(IF(P1075=0,0,I1075-H1075-O1075)+IF(L1075=0,0,I1075-H1075-K1075),4)</f>
        <v>0</v>
      </c>
      <c r="W1075" s="67">
        <f>ROUND(+(V1075*60%)*D1075,4)</f>
        <v>0</v>
      </c>
      <c r="X1075" s="148">
        <f>ROUND(+U1075+W1075,4)</f>
        <v>0</v>
      </c>
      <c r="Y1075" s="68"/>
      <c r="Z1075" s="148">
        <f>ROUND(IF(X1075&gt;I1075,X1075,I1075),4)</f>
        <v>0</v>
      </c>
      <c r="AD1075" s="78">
        <f t="shared" si="10"/>
        <v>0</v>
      </c>
      <c r="AE1075" s="78">
        <f t="shared" si="11"/>
        <v>0</v>
      </c>
    </row>
    <row r="1076" spans="1:31" x14ac:dyDescent="0.2">
      <c r="A1076" s="66"/>
      <c r="B1076" s="66"/>
      <c r="C1076" s="66"/>
      <c r="D1076" s="144"/>
      <c r="E1076" s="67"/>
      <c r="F1076" s="67"/>
      <c r="G1076" s="67"/>
      <c r="H1076" s="67">
        <f>ROUND(+E1076+G1076,4)</f>
        <v>0</v>
      </c>
      <c r="I1076" s="67"/>
      <c r="J1076" s="67">
        <f>ROUND(+I1076-H1076,4)</f>
        <v>0</v>
      </c>
      <c r="K1076" s="67">
        <f>ROUND(IF(F1076="alluminio",0,I1076*1.5%),4)</f>
        <v>0</v>
      </c>
      <c r="L1076" s="67">
        <f>ROUND(IF(K1076&lt;J1076,K1076,0),4)</f>
        <v>0</v>
      </c>
      <c r="M1076" s="67">
        <f>ROUND(IF(J1076&gt;K1076,0,J1076),4)</f>
        <v>0</v>
      </c>
      <c r="N1076" s="67">
        <f>ROUND(+L1076*D1076,4)</f>
        <v>0</v>
      </c>
      <c r="O1076" s="67">
        <f>ROUND(IF(F1076="rame",0,+I1076*3%),4)</f>
        <v>0</v>
      </c>
      <c r="P1076" s="67">
        <f>ROUND(IF(O1076&lt;J1076,O1076,0),4)</f>
        <v>0</v>
      </c>
      <c r="Q1076" s="67">
        <f>ROUND(IF(J1076&gt;O1076,0,J1076),4)</f>
        <v>0</v>
      </c>
      <c r="R1076" s="67">
        <f>ROUND(+P1076*D1076,4)</f>
        <v>0</v>
      </c>
      <c r="S1076" s="67">
        <f>ROUND(IF(K1076=0,0,M1076*D1076),4)</f>
        <v>0</v>
      </c>
      <c r="T1076" s="67">
        <f>ROUND(+IF(K1076=0,Q1076*D1076,0),4)</f>
        <v>0</v>
      </c>
      <c r="U1076" s="67">
        <f>ROUND(+N1076+R1076+S1076+T1076,4)</f>
        <v>0</v>
      </c>
      <c r="V1076" s="67">
        <f>ROUND(IF(P1076=0,0,I1076-H1076-O1076)+IF(L1076=0,0,I1076-H1076-K1076),4)</f>
        <v>0</v>
      </c>
      <c r="W1076" s="67">
        <f>ROUND(+(V1076*60%)*D1076,4)</f>
        <v>0</v>
      </c>
      <c r="X1076" s="148">
        <f>ROUND(+U1076+W1076,4)</f>
        <v>0</v>
      </c>
      <c r="Y1076" s="68"/>
      <c r="Z1076" s="148">
        <f>ROUND(IF(X1076&gt;I1076,X1076,I1076),4)</f>
        <v>0</v>
      </c>
      <c r="AD1076" s="78">
        <f t="shared" si="10"/>
        <v>0</v>
      </c>
      <c r="AE1076" s="78">
        <f t="shared" si="11"/>
        <v>0</v>
      </c>
    </row>
    <row r="1077" spans="1:31" x14ac:dyDescent="0.2">
      <c r="A1077" s="66"/>
      <c r="B1077" s="66"/>
      <c r="C1077" s="66"/>
      <c r="D1077" s="144"/>
      <c r="E1077" s="67"/>
      <c r="F1077" s="67"/>
      <c r="G1077" s="67"/>
      <c r="H1077" s="67">
        <f>ROUND(+E1077+G1077,4)</f>
        <v>0</v>
      </c>
      <c r="I1077" s="67"/>
      <c r="J1077" s="67">
        <f>ROUND(+I1077-H1077,4)</f>
        <v>0</v>
      </c>
      <c r="K1077" s="67">
        <f>ROUND(IF(F1077="alluminio",0,I1077*1.5%),4)</f>
        <v>0</v>
      </c>
      <c r="L1077" s="67">
        <f>ROUND(IF(K1077&lt;J1077,K1077,0),4)</f>
        <v>0</v>
      </c>
      <c r="M1077" s="67">
        <f>ROUND(IF(J1077&gt;K1077,0,J1077),4)</f>
        <v>0</v>
      </c>
      <c r="N1077" s="67">
        <f>ROUND(+L1077*D1077,4)</f>
        <v>0</v>
      </c>
      <c r="O1077" s="67">
        <f>ROUND(IF(F1077="rame",0,+I1077*3%),4)</f>
        <v>0</v>
      </c>
      <c r="P1077" s="67">
        <f>ROUND(IF(O1077&lt;J1077,O1077,0),4)</f>
        <v>0</v>
      </c>
      <c r="Q1077" s="67">
        <f>ROUND(IF(J1077&gt;O1077,0,J1077),4)</f>
        <v>0</v>
      </c>
      <c r="R1077" s="67">
        <f>ROUND(+P1077*D1077,4)</f>
        <v>0</v>
      </c>
      <c r="S1077" s="67">
        <f>ROUND(IF(K1077=0,0,M1077*D1077),4)</f>
        <v>0</v>
      </c>
      <c r="T1077" s="67">
        <f>ROUND(+IF(K1077=0,Q1077*D1077,0),4)</f>
        <v>0</v>
      </c>
      <c r="U1077" s="67">
        <f>ROUND(+N1077+R1077+S1077+T1077,4)</f>
        <v>0</v>
      </c>
      <c r="V1077" s="67">
        <f>ROUND(IF(P1077=0,0,I1077-H1077-O1077)+IF(L1077=0,0,I1077-H1077-K1077),4)</f>
        <v>0</v>
      </c>
      <c r="W1077" s="67">
        <f>ROUND(+(V1077*60%)*D1077,4)</f>
        <v>0</v>
      </c>
      <c r="X1077" s="148">
        <f>ROUND(+U1077+W1077,4)</f>
        <v>0</v>
      </c>
      <c r="Y1077" s="68"/>
      <c r="Z1077" s="148">
        <f>ROUND(IF(X1077&gt;I1077,X1077,I1077),4)</f>
        <v>0</v>
      </c>
      <c r="AD1077" s="78">
        <f t="shared" si="10"/>
        <v>0</v>
      </c>
      <c r="AE1077" s="78">
        <f t="shared" si="11"/>
        <v>0</v>
      </c>
    </row>
    <row r="1078" spans="1:31" x14ac:dyDescent="0.2">
      <c r="A1078" s="66"/>
      <c r="B1078" s="66"/>
      <c r="C1078" s="66"/>
      <c r="D1078" s="144"/>
      <c r="E1078" s="67"/>
      <c r="F1078" s="67"/>
      <c r="G1078" s="67"/>
      <c r="H1078" s="67">
        <f>ROUND(+E1078+G1078,4)</f>
        <v>0</v>
      </c>
      <c r="I1078" s="67"/>
      <c r="J1078" s="67">
        <f>ROUND(+I1078-H1078,4)</f>
        <v>0</v>
      </c>
      <c r="K1078" s="67">
        <f>ROUND(IF(F1078="alluminio",0,I1078*1.5%),4)</f>
        <v>0</v>
      </c>
      <c r="L1078" s="67">
        <f>ROUND(IF(K1078&lt;J1078,K1078,0),4)</f>
        <v>0</v>
      </c>
      <c r="M1078" s="67">
        <f>ROUND(IF(J1078&gt;K1078,0,J1078),4)</f>
        <v>0</v>
      </c>
      <c r="N1078" s="67">
        <f>ROUND(+L1078*D1078,4)</f>
        <v>0</v>
      </c>
      <c r="O1078" s="67">
        <f>ROUND(IF(F1078="rame",0,+I1078*3%),4)</f>
        <v>0</v>
      </c>
      <c r="P1078" s="67">
        <f>ROUND(IF(O1078&lt;J1078,O1078,0),4)</f>
        <v>0</v>
      </c>
      <c r="Q1078" s="67">
        <f>ROUND(IF(J1078&gt;O1078,0,J1078),4)</f>
        <v>0</v>
      </c>
      <c r="R1078" s="67">
        <f>ROUND(+P1078*D1078,4)</f>
        <v>0</v>
      </c>
      <c r="S1078" s="67">
        <f>ROUND(IF(K1078=0,0,M1078*D1078),4)</f>
        <v>0</v>
      </c>
      <c r="T1078" s="67">
        <f>ROUND(+IF(K1078=0,Q1078*D1078,0),4)</f>
        <v>0</v>
      </c>
      <c r="U1078" s="67">
        <f>ROUND(+N1078+R1078+S1078+T1078,4)</f>
        <v>0</v>
      </c>
      <c r="V1078" s="67">
        <f>ROUND(IF(P1078=0,0,I1078-H1078-O1078)+IF(L1078=0,0,I1078-H1078-K1078),4)</f>
        <v>0</v>
      </c>
      <c r="W1078" s="67">
        <f>ROUND(+(V1078*60%)*D1078,4)</f>
        <v>0</v>
      </c>
      <c r="X1078" s="148">
        <f>ROUND(+U1078+W1078,4)</f>
        <v>0</v>
      </c>
      <c r="Y1078" s="68"/>
      <c r="Z1078" s="148">
        <f>ROUND(IF(X1078&gt;I1078,X1078,I1078),4)</f>
        <v>0</v>
      </c>
      <c r="AD1078" s="78">
        <f t="shared" si="10"/>
        <v>0</v>
      </c>
      <c r="AE1078" s="78">
        <f t="shared" si="11"/>
        <v>0</v>
      </c>
    </row>
    <row r="1079" spans="1:31" x14ac:dyDescent="0.2">
      <c r="A1079" s="66"/>
      <c r="B1079" s="66"/>
      <c r="C1079" s="66"/>
      <c r="D1079" s="144"/>
      <c r="E1079" s="67"/>
      <c r="F1079" s="67"/>
      <c r="G1079" s="67"/>
      <c r="H1079" s="67">
        <f>ROUND(+E1079+G1079,4)</f>
        <v>0</v>
      </c>
      <c r="I1079" s="67"/>
      <c r="J1079" s="67">
        <f>ROUND(+I1079-H1079,4)</f>
        <v>0</v>
      </c>
      <c r="K1079" s="67">
        <f>ROUND(IF(F1079="alluminio",0,I1079*1.5%),4)</f>
        <v>0</v>
      </c>
      <c r="L1079" s="67">
        <f>ROUND(IF(K1079&lt;J1079,K1079,0),4)</f>
        <v>0</v>
      </c>
      <c r="M1079" s="67">
        <f>ROUND(IF(J1079&gt;K1079,0,J1079),4)</f>
        <v>0</v>
      </c>
      <c r="N1079" s="67">
        <f>ROUND(+L1079*D1079,4)</f>
        <v>0</v>
      </c>
      <c r="O1079" s="67">
        <f>ROUND(IF(F1079="rame",0,+I1079*3%),4)</f>
        <v>0</v>
      </c>
      <c r="P1079" s="67">
        <f>ROUND(IF(O1079&lt;J1079,O1079,0),4)</f>
        <v>0</v>
      </c>
      <c r="Q1079" s="67">
        <f>ROUND(IF(J1079&gt;O1079,0,J1079),4)</f>
        <v>0</v>
      </c>
      <c r="R1079" s="67">
        <f>ROUND(+P1079*D1079,4)</f>
        <v>0</v>
      </c>
      <c r="S1079" s="67">
        <f>ROUND(IF(K1079=0,0,M1079*D1079),4)</f>
        <v>0</v>
      </c>
      <c r="T1079" s="67">
        <f>ROUND(+IF(K1079=0,Q1079*D1079,0),4)</f>
        <v>0</v>
      </c>
      <c r="U1079" s="67">
        <f>ROUND(+N1079+R1079+S1079+T1079,4)</f>
        <v>0</v>
      </c>
      <c r="V1079" s="67">
        <f>ROUND(IF(P1079=0,0,I1079-H1079-O1079)+IF(L1079=0,0,I1079-H1079-K1079),4)</f>
        <v>0</v>
      </c>
      <c r="W1079" s="67">
        <f>ROUND(+(V1079*60%)*D1079,4)</f>
        <v>0</v>
      </c>
      <c r="X1079" s="148">
        <f>ROUND(+U1079+W1079,4)</f>
        <v>0</v>
      </c>
      <c r="Y1079" s="68"/>
      <c r="Z1079" s="148">
        <f>ROUND(IF(X1079&gt;I1079,X1079,I1079),4)</f>
        <v>0</v>
      </c>
      <c r="AD1079" s="78">
        <f t="shared" si="10"/>
        <v>0</v>
      </c>
      <c r="AE1079" s="78">
        <f t="shared" si="11"/>
        <v>0</v>
      </c>
    </row>
    <row r="1080" spans="1:31" x14ac:dyDescent="0.2">
      <c r="A1080" s="66"/>
      <c r="B1080" s="66"/>
      <c r="C1080" s="66"/>
      <c r="D1080" s="144"/>
      <c r="E1080" s="67"/>
      <c r="F1080" s="67"/>
      <c r="G1080" s="67"/>
      <c r="H1080" s="67">
        <f>ROUND(+E1080+G1080,4)</f>
        <v>0</v>
      </c>
      <c r="I1080" s="67"/>
      <c r="J1080" s="67">
        <f>ROUND(+I1080-H1080,4)</f>
        <v>0</v>
      </c>
      <c r="K1080" s="67">
        <f>ROUND(IF(F1080="alluminio",0,I1080*1.5%),4)</f>
        <v>0</v>
      </c>
      <c r="L1080" s="67">
        <f>ROUND(IF(K1080&lt;J1080,K1080,0),4)</f>
        <v>0</v>
      </c>
      <c r="M1080" s="67">
        <f>ROUND(IF(J1080&gt;K1080,0,J1080),4)</f>
        <v>0</v>
      </c>
      <c r="N1080" s="67">
        <f>ROUND(+L1080*D1080,4)</f>
        <v>0</v>
      </c>
      <c r="O1080" s="67">
        <f>ROUND(IF(F1080="rame",0,+I1080*3%),4)</f>
        <v>0</v>
      </c>
      <c r="P1080" s="67">
        <f>ROUND(IF(O1080&lt;J1080,O1080,0),4)</f>
        <v>0</v>
      </c>
      <c r="Q1080" s="67">
        <f>ROUND(IF(J1080&gt;O1080,0,J1080),4)</f>
        <v>0</v>
      </c>
      <c r="R1080" s="67">
        <f>ROUND(+P1080*D1080,4)</f>
        <v>0</v>
      </c>
      <c r="S1080" s="67">
        <f>ROUND(IF(K1080=0,0,M1080*D1080),4)</f>
        <v>0</v>
      </c>
      <c r="T1080" s="67">
        <f>ROUND(+IF(K1080=0,Q1080*D1080,0),4)</f>
        <v>0</v>
      </c>
      <c r="U1080" s="67">
        <f>ROUND(+N1080+R1080+S1080+T1080,4)</f>
        <v>0</v>
      </c>
      <c r="V1080" s="67">
        <f>ROUND(IF(P1080=0,0,I1080-H1080-O1080)+IF(L1080=0,0,I1080-H1080-K1080),4)</f>
        <v>0</v>
      </c>
      <c r="W1080" s="67">
        <f>ROUND(+(V1080*60%)*D1080,4)</f>
        <v>0</v>
      </c>
      <c r="X1080" s="148">
        <f>ROUND(+U1080+W1080,4)</f>
        <v>0</v>
      </c>
      <c r="Y1080" s="68"/>
      <c r="Z1080" s="148">
        <f>ROUND(IF(X1080&gt;I1080,X1080,I1080),4)</f>
        <v>0</v>
      </c>
      <c r="AD1080" s="78">
        <f t="shared" si="10"/>
        <v>0</v>
      </c>
      <c r="AE1080" s="78">
        <f t="shared" si="11"/>
        <v>0</v>
      </c>
    </row>
    <row r="1081" spans="1:31" x14ac:dyDescent="0.2">
      <c r="A1081" s="66"/>
      <c r="B1081" s="66"/>
      <c r="C1081" s="66"/>
      <c r="D1081" s="144"/>
      <c r="E1081" s="67"/>
      <c r="F1081" s="67"/>
      <c r="G1081" s="67"/>
      <c r="H1081" s="67">
        <f>ROUND(+E1081+G1081,4)</f>
        <v>0</v>
      </c>
      <c r="I1081" s="67"/>
      <c r="J1081" s="67">
        <f>ROUND(+I1081-H1081,4)</f>
        <v>0</v>
      </c>
      <c r="K1081" s="67">
        <f>ROUND(IF(F1081="alluminio",0,I1081*1.5%),4)</f>
        <v>0</v>
      </c>
      <c r="L1081" s="67">
        <f>ROUND(IF(K1081&lt;J1081,K1081,0),4)</f>
        <v>0</v>
      </c>
      <c r="M1081" s="67">
        <f>ROUND(IF(J1081&gt;K1081,0,J1081),4)</f>
        <v>0</v>
      </c>
      <c r="N1081" s="67">
        <f>ROUND(+L1081*D1081,4)</f>
        <v>0</v>
      </c>
      <c r="O1081" s="67">
        <f>ROUND(IF(F1081="rame",0,+I1081*3%),4)</f>
        <v>0</v>
      </c>
      <c r="P1081" s="67">
        <f>ROUND(IF(O1081&lt;J1081,O1081,0),4)</f>
        <v>0</v>
      </c>
      <c r="Q1081" s="67">
        <f>ROUND(IF(J1081&gt;O1081,0,J1081),4)</f>
        <v>0</v>
      </c>
      <c r="R1081" s="67">
        <f>ROUND(+P1081*D1081,4)</f>
        <v>0</v>
      </c>
      <c r="S1081" s="67">
        <f>ROUND(IF(K1081=0,0,M1081*D1081),4)</f>
        <v>0</v>
      </c>
      <c r="T1081" s="67">
        <f>ROUND(+IF(K1081=0,Q1081*D1081,0),4)</f>
        <v>0</v>
      </c>
      <c r="U1081" s="67">
        <f>ROUND(+N1081+R1081+S1081+T1081,4)</f>
        <v>0</v>
      </c>
      <c r="V1081" s="67">
        <f>ROUND(IF(P1081=0,0,I1081-H1081-O1081)+IF(L1081=0,0,I1081-H1081-K1081),4)</f>
        <v>0</v>
      </c>
      <c r="W1081" s="67">
        <f>ROUND(+(V1081*60%)*D1081,4)</f>
        <v>0</v>
      </c>
      <c r="X1081" s="148">
        <f>ROUND(+U1081+W1081,4)</f>
        <v>0</v>
      </c>
      <c r="Y1081" s="68"/>
      <c r="Z1081" s="148">
        <f>ROUND(IF(X1081&gt;I1081,X1081,I1081),4)</f>
        <v>0</v>
      </c>
      <c r="AD1081" s="78">
        <f t="shared" si="10"/>
        <v>0</v>
      </c>
      <c r="AE1081" s="78">
        <f t="shared" si="11"/>
        <v>0</v>
      </c>
    </row>
    <row r="1082" spans="1:31" x14ac:dyDescent="0.2">
      <c r="A1082" s="66"/>
      <c r="B1082" s="66"/>
      <c r="C1082" s="66"/>
      <c r="D1082" s="144"/>
      <c r="E1082" s="67"/>
      <c r="F1082" s="67"/>
      <c r="G1082" s="67"/>
      <c r="H1082" s="67">
        <f>ROUND(+E1082+G1082,4)</f>
        <v>0</v>
      </c>
      <c r="I1082" s="67"/>
      <c r="J1082" s="67">
        <f>ROUND(+I1082-H1082,4)</f>
        <v>0</v>
      </c>
      <c r="K1082" s="67">
        <f>ROUND(IF(F1082="alluminio",0,I1082*1.5%),4)</f>
        <v>0</v>
      </c>
      <c r="L1082" s="67">
        <f>ROUND(IF(K1082&lt;J1082,K1082,0),4)</f>
        <v>0</v>
      </c>
      <c r="M1082" s="67">
        <f>ROUND(IF(J1082&gt;K1082,0,J1082),4)</f>
        <v>0</v>
      </c>
      <c r="N1082" s="67">
        <f>ROUND(+L1082*D1082,4)</f>
        <v>0</v>
      </c>
      <c r="O1082" s="67">
        <f>ROUND(IF(F1082="rame",0,+I1082*3%),4)</f>
        <v>0</v>
      </c>
      <c r="P1082" s="67">
        <f>ROUND(IF(O1082&lt;J1082,O1082,0),4)</f>
        <v>0</v>
      </c>
      <c r="Q1082" s="67">
        <f>ROUND(IF(J1082&gt;O1082,0,J1082),4)</f>
        <v>0</v>
      </c>
      <c r="R1082" s="67">
        <f>ROUND(+P1082*D1082,4)</f>
        <v>0</v>
      </c>
      <c r="S1082" s="67">
        <f>ROUND(IF(K1082=0,0,M1082*D1082),4)</f>
        <v>0</v>
      </c>
      <c r="T1082" s="67">
        <f>ROUND(+IF(K1082=0,Q1082*D1082,0),4)</f>
        <v>0</v>
      </c>
      <c r="U1082" s="67">
        <f>ROUND(+N1082+R1082+S1082+T1082,4)</f>
        <v>0</v>
      </c>
      <c r="V1082" s="67">
        <f>ROUND(IF(P1082=0,0,I1082-H1082-O1082)+IF(L1082=0,0,I1082-H1082-K1082),4)</f>
        <v>0</v>
      </c>
      <c r="W1082" s="67">
        <f>ROUND(+(V1082*60%)*D1082,4)</f>
        <v>0</v>
      </c>
      <c r="X1082" s="148">
        <f>ROUND(+U1082+W1082,4)</f>
        <v>0</v>
      </c>
      <c r="Y1082" s="68"/>
      <c r="Z1082" s="148">
        <f>ROUND(IF(X1082&gt;I1082,X1082,I1082),4)</f>
        <v>0</v>
      </c>
      <c r="AD1082" s="78">
        <f t="shared" si="10"/>
        <v>0</v>
      </c>
      <c r="AE1082" s="78">
        <f t="shared" si="11"/>
        <v>0</v>
      </c>
    </row>
    <row r="1083" spans="1:31" x14ac:dyDescent="0.2">
      <c r="A1083" s="66"/>
      <c r="B1083" s="66"/>
      <c r="C1083" s="66"/>
      <c r="D1083" s="144"/>
      <c r="E1083" s="67"/>
      <c r="F1083" s="67"/>
      <c r="G1083" s="67"/>
      <c r="H1083" s="67">
        <f>ROUND(+E1083+G1083,4)</f>
        <v>0</v>
      </c>
      <c r="I1083" s="67"/>
      <c r="J1083" s="67">
        <f>ROUND(+I1083-H1083,4)</f>
        <v>0</v>
      </c>
      <c r="K1083" s="67">
        <f>ROUND(IF(F1083="alluminio",0,I1083*1.5%),4)</f>
        <v>0</v>
      </c>
      <c r="L1083" s="67">
        <f>ROUND(IF(K1083&lt;J1083,K1083,0),4)</f>
        <v>0</v>
      </c>
      <c r="M1083" s="67">
        <f>ROUND(IF(J1083&gt;K1083,0,J1083),4)</f>
        <v>0</v>
      </c>
      <c r="N1083" s="67">
        <f>ROUND(+L1083*D1083,4)</f>
        <v>0</v>
      </c>
      <c r="O1083" s="67">
        <f>ROUND(IF(F1083="rame",0,+I1083*3%),4)</f>
        <v>0</v>
      </c>
      <c r="P1083" s="67">
        <f>ROUND(IF(O1083&lt;J1083,O1083,0),4)</f>
        <v>0</v>
      </c>
      <c r="Q1083" s="67">
        <f>ROUND(IF(J1083&gt;O1083,0,J1083),4)</f>
        <v>0</v>
      </c>
      <c r="R1083" s="67">
        <f>ROUND(+P1083*D1083,4)</f>
        <v>0</v>
      </c>
      <c r="S1083" s="67">
        <f>ROUND(IF(K1083=0,0,M1083*D1083),4)</f>
        <v>0</v>
      </c>
      <c r="T1083" s="67">
        <f>ROUND(+IF(K1083=0,Q1083*D1083,0),4)</f>
        <v>0</v>
      </c>
      <c r="U1083" s="67">
        <f>ROUND(+N1083+R1083+S1083+T1083,4)</f>
        <v>0</v>
      </c>
      <c r="V1083" s="67">
        <f>ROUND(IF(P1083=0,0,I1083-H1083-O1083)+IF(L1083=0,0,I1083-H1083-K1083),4)</f>
        <v>0</v>
      </c>
      <c r="W1083" s="67">
        <f>ROUND(+(V1083*60%)*D1083,4)</f>
        <v>0</v>
      </c>
      <c r="X1083" s="148">
        <f>ROUND(+U1083+W1083,4)</f>
        <v>0</v>
      </c>
      <c r="Y1083" s="68"/>
      <c r="Z1083" s="148">
        <f>ROUND(IF(X1083&gt;I1083,X1083,I1083),4)</f>
        <v>0</v>
      </c>
      <c r="AD1083" s="78">
        <f t="shared" si="10"/>
        <v>0</v>
      </c>
      <c r="AE1083" s="78">
        <f t="shared" si="11"/>
        <v>0</v>
      </c>
    </row>
    <row r="1084" spans="1:31" x14ac:dyDescent="0.2">
      <c r="A1084" s="66"/>
      <c r="B1084" s="66"/>
      <c r="C1084" s="66"/>
      <c r="D1084" s="144"/>
      <c r="E1084" s="67"/>
      <c r="F1084" s="67"/>
      <c r="G1084" s="67"/>
      <c r="H1084" s="67">
        <f>ROUND(+E1084+G1084,4)</f>
        <v>0</v>
      </c>
      <c r="I1084" s="67"/>
      <c r="J1084" s="67">
        <f>ROUND(+I1084-H1084,4)</f>
        <v>0</v>
      </c>
      <c r="K1084" s="67">
        <f>ROUND(IF(F1084="alluminio",0,I1084*1.5%),4)</f>
        <v>0</v>
      </c>
      <c r="L1084" s="67">
        <f>ROUND(IF(K1084&lt;J1084,K1084,0),4)</f>
        <v>0</v>
      </c>
      <c r="M1084" s="67">
        <f>ROUND(IF(J1084&gt;K1084,0,J1084),4)</f>
        <v>0</v>
      </c>
      <c r="N1084" s="67">
        <f>ROUND(+L1084*D1084,4)</f>
        <v>0</v>
      </c>
      <c r="O1084" s="67">
        <f>ROUND(IF(F1084="rame",0,+I1084*3%),4)</f>
        <v>0</v>
      </c>
      <c r="P1084" s="67">
        <f>ROUND(IF(O1084&lt;J1084,O1084,0),4)</f>
        <v>0</v>
      </c>
      <c r="Q1084" s="67">
        <f>ROUND(IF(J1084&gt;O1084,0,J1084),4)</f>
        <v>0</v>
      </c>
      <c r="R1084" s="67">
        <f>ROUND(+P1084*D1084,4)</f>
        <v>0</v>
      </c>
      <c r="S1084" s="67">
        <f>ROUND(IF(K1084=0,0,M1084*D1084),4)</f>
        <v>0</v>
      </c>
      <c r="T1084" s="67">
        <f>ROUND(+IF(K1084=0,Q1084*D1084,0),4)</f>
        <v>0</v>
      </c>
      <c r="U1084" s="67">
        <f>ROUND(+N1084+R1084+S1084+T1084,4)</f>
        <v>0</v>
      </c>
      <c r="V1084" s="67">
        <f>ROUND(IF(P1084=0,0,I1084-H1084-O1084)+IF(L1084=0,0,I1084-H1084-K1084),4)</f>
        <v>0</v>
      </c>
      <c r="W1084" s="67">
        <f>ROUND(+(V1084*60%)*D1084,4)</f>
        <v>0</v>
      </c>
      <c r="X1084" s="148">
        <f>ROUND(+U1084+W1084,4)</f>
        <v>0</v>
      </c>
      <c r="Y1084" s="68"/>
      <c r="Z1084" s="148">
        <f>ROUND(IF(X1084&gt;I1084,X1084,I1084),4)</f>
        <v>0</v>
      </c>
      <c r="AD1084" s="78">
        <f t="shared" si="10"/>
        <v>0</v>
      </c>
      <c r="AE1084" s="78">
        <f t="shared" si="11"/>
        <v>0</v>
      </c>
    </row>
    <row r="1085" spans="1:31" x14ac:dyDescent="0.2">
      <c r="A1085" s="66"/>
      <c r="B1085" s="66"/>
      <c r="C1085" s="66"/>
      <c r="D1085" s="144"/>
      <c r="E1085" s="67"/>
      <c r="F1085" s="67"/>
      <c r="G1085" s="67"/>
      <c r="H1085" s="67">
        <f>ROUND(+E1085+G1085,4)</f>
        <v>0</v>
      </c>
      <c r="I1085" s="67"/>
      <c r="J1085" s="67">
        <f>ROUND(+I1085-H1085,4)</f>
        <v>0</v>
      </c>
      <c r="K1085" s="67">
        <f>ROUND(IF(F1085="alluminio",0,I1085*1.5%),4)</f>
        <v>0</v>
      </c>
      <c r="L1085" s="67">
        <f>ROUND(IF(K1085&lt;J1085,K1085,0),4)</f>
        <v>0</v>
      </c>
      <c r="M1085" s="67">
        <f>ROUND(IF(J1085&gt;K1085,0,J1085),4)</f>
        <v>0</v>
      </c>
      <c r="N1085" s="67">
        <f>ROUND(+L1085*D1085,4)</f>
        <v>0</v>
      </c>
      <c r="O1085" s="67">
        <f>ROUND(IF(F1085="rame",0,+I1085*3%),4)</f>
        <v>0</v>
      </c>
      <c r="P1085" s="67">
        <f>ROUND(IF(O1085&lt;J1085,O1085,0),4)</f>
        <v>0</v>
      </c>
      <c r="Q1085" s="67">
        <f>ROUND(IF(J1085&gt;O1085,0,J1085),4)</f>
        <v>0</v>
      </c>
      <c r="R1085" s="67">
        <f>ROUND(+P1085*D1085,4)</f>
        <v>0</v>
      </c>
      <c r="S1085" s="67">
        <f>ROUND(IF(K1085=0,0,M1085*D1085),4)</f>
        <v>0</v>
      </c>
      <c r="T1085" s="67">
        <f>ROUND(+IF(K1085=0,Q1085*D1085,0),4)</f>
        <v>0</v>
      </c>
      <c r="U1085" s="67">
        <f>ROUND(+N1085+R1085+S1085+T1085,4)</f>
        <v>0</v>
      </c>
      <c r="V1085" s="67">
        <f>ROUND(IF(P1085=0,0,I1085-H1085-O1085)+IF(L1085=0,0,I1085-H1085-K1085),4)</f>
        <v>0</v>
      </c>
      <c r="W1085" s="67">
        <f>ROUND(+(V1085*60%)*D1085,4)</f>
        <v>0</v>
      </c>
      <c r="X1085" s="148">
        <f>ROUND(+U1085+W1085,4)</f>
        <v>0</v>
      </c>
      <c r="Y1085" s="68"/>
      <c r="Z1085" s="148">
        <f>ROUND(IF(X1085&gt;I1085,X1085,I1085),4)</f>
        <v>0</v>
      </c>
      <c r="AD1085" s="78">
        <f t="shared" si="10"/>
        <v>0</v>
      </c>
      <c r="AE1085" s="78">
        <f t="shared" si="11"/>
        <v>0</v>
      </c>
    </row>
    <row r="1086" spans="1:31" x14ac:dyDescent="0.2">
      <c r="A1086" s="66"/>
      <c r="B1086" s="66"/>
      <c r="C1086" s="66"/>
      <c r="D1086" s="144"/>
      <c r="E1086" s="67"/>
      <c r="F1086" s="67"/>
      <c r="G1086" s="67"/>
      <c r="H1086" s="67">
        <f>ROUND(+E1086+G1086,4)</f>
        <v>0</v>
      </c>
      <c r="I1086" s="67"/>
      <c r="J1086" s="67">
        <f>ROUND(+I1086-H1086,4)</f>
        <v>0</v>
      </c>
      <c r="K1086" s="67">
        <f>ROUND(IF(F1086="alluminio",0,I1086*1.5%),4)</f>
        <v>0</v>
      </c>
      <c r="L1086" s="67">
        <f>ROUND(IF(K1086&lt;J1086,K1086,0),4)</f>
        <v>0</v>
      </c>
      <c r="M1086" s="67">
        <f>ROUND(IF(J1086&gt;K1086,0,J1086),4)</f>
        <v>0</v>
      </c>
      <c r="N1086" s="67">
        <f>ROUND(+L1086*D1086,4)</f>
        <v>0</v>
      </c>
      <c r="O1086" s="67">
        <f>ROUND(IF(F1086="rame",0,+I1086*3%),4)</f>
        <v>0</v>
      </c>
      <c r="P1086" s="67">
        <f>ROUND(IF(O1086&lt;J1086,O1086,0),4)</f>
        <v>0</v>
      </c>
      <c r="Q1086" s="67">
        <f>ROUND(IF(J1086&gt;O1086,0,J1086),4)</f>
        <v>0</v>
      </c>
      <c r="R1086" s="67">
        <f>ROUND(+P1086*D1086,4)</f>
        <v>0</v>
      </c>
      <c r="S1086" s="67">
        <f>ROUND(IF(K1086=0,0,M1086*D1086),4)</f>
        <v>0</v>
      </c>
      <c r="T1086" s="67">
        <f>ROUND(+IF(K1086=0,Q1086*D1086,0),4)</f>
        <v>0</v>
      </c>
      <c r="U1086" s="67">
        <f>ROUND(+N1086+R1086+S1086+T1086,4)</f>
        <v>0</v>
      </c>
      <c r="V1086" s="67">
        <f>ROUND(IF(P1086=0,0,I1086-H1086-O1086)+IF(L1086=0,0,I1086-H1086-K1086),4)</f>
        <v>0</v>
      </c>
      <c r="W1086" s="67">
        <f>ROUND(+(V1086*60%)*D1086,4)</f>
        <v>0</v>
      </c>
      <c r="X1086" s="148">
        <f>ROUND(+U1086+W1086,4)</f>
        <v>0</v>
      </c>
      <c r="Y1086" s="68"/>
      <c r="Z1086" s="148">
        <f>ROUND(IF(X1086&gt;I1086,X1086,I1086),4)</f>
        <v>0</v>
      </c>
      <c r="AD1086" s="78">
        <f t="shared" ref="AD1086:AD1149" si="12">IF(Y1086="",0,MONTH(Y1086))</f>
        <v>0</v>
      </c>
      <c r="AE1086" s="78">
        <f t="shared" ref="AE1086:AE1149" si="13">IF(Y1086="",0,YEAR(Y1086))</f>
        <v>0</v>
      </c>
    </row>
    <row r="1087" spans="1:31" x14ac:dyDescent="0.2">
      <c r="A1087" s="66"/>
      <c r="B1087" s="66"/>
      <c r="C1087" s="66"/>
      <c r="D1087" s="144"/>
      <c r="E1087" s="67"/>
      <c r="F1087" s="67"/>
      <c r="G1087" s="67"/>
      <c r="H1087" s="67">
        <f>ROUND(+E1087+G1087,4)</f>
        <v>0</v>
      </c>
      <c r="I1087" s="67"/>
      <c r="J1087" s="67">
        <f>ROUND(+I1087-H1087,4)</f>
        <v>0</v>
      </c>
      <c r="K1087" s="67">
        <f>ROUND(IF(F1087="alluminio",0,I1087*1.5%),4)</f>
        <v>0</v>
      </c>
      <c r="L1087" s="67">
        <f>ROUND(IF(K1087&lt;J1087,K1087,0),4)</f>
        <v>0</v>
      </c>
      <c r="M1087" s="67">
        <f>ROUND(IF(J1087&gt;K1087,0,J1087),4)</f>
        <v>0</v>
      </c>
      <c r="N1087" s="67">
        <f>ROUND(+L1087*D1087,4)</f>
        <v>0</v>
      </c>
      <c r="O1087" s="67">
        <f>ROUND(IF(F1087="rame",0,+I1087*3%),4)</f>
        <v>0</v>
      </c>
      <c r="P1087" s="67">
        <f>ROUND(IF(O1087&lt;J1087,O1087,0),4)</f>
        <v>0</v>
      </c>
      <c r="Q1087" s="67">
        <f>ROUND(IF(J1087&gt;O1087,0,J1087),4)</f>
        <v>0</v>
      </c>
      <c r="R1087" s="67">
        <f>ROUND(+P1087*D1087,4)</f>
        <v>0</v>
      </c>
      <c r="S1087" s="67">
        <f>ROUND(IF(K1087=0,0,M1087*D1087),4)</f>
        <v>0</v>
      </c>
      <c r="T1087" s="67">
        <f>ROUND(+IF(K1087=0,Q1087*D1087,0),4)</f>
        <v>0</v>
      </c>
      <c r="U1087" s="67">
        <f>ROUND(+N1087+R1087+S1087+T1087,4)</f>
        <v>0</v>
      </c>
      <c r="V1087" s="67">
        <f>ROUND(IF(P1087=0,0,I1087-H1087-O1087)+IF(L1087=0,0,I1087-H1087-K1087),4)</f>
        <v>0</v>
      </c>
      <c r="W1087" s="67">
        <f>ROUND(+(V1087*60%)*D1087,4)</f>
        <v>0</v>
      </c>
      <c r="X1087" s="148">
        <f>ROUND(+U1087+W1087,4)</f>
        <v>0</v>
      </c>
      <c r="Y1087" s="68"/>
      <c r="Z1087" s="148">
        <f>ROUND(IF(X1087&gt;I1087,X1087,I1087),4)</f>
        <v>0</v>
      </c>
      <c r="AD1087" s="78">
        <f t="shared" si="12"/>
        <v>0</v>
      </c>
      <c r="AE1087" s="78">
        <f t="shared" si="13"/>
        <v>0</v>
      </c>
    </row>
    <row r="1088" spans="1:31" x14ac:dyDescent="0.2">
      <c r="A1088" s="66"/>
      <c r="B1088" s="66"/>
      <c r="C1088" s="66"/>
      <c r="D1088" s="144"/>
      <c r="E1088" s="67"/>
      <c r="F1088" s="67"/>
      <c r="G1088" s="67"/>
      <c r="H1088" s="67">
        <f>ROUND(+E1088+G1088,4)</f>
        <v>0</v>
      </c>
      <c r="I1088" s="67"/>
      <c r="J1088" s="67">
        <f>ROUND(+I1088-H1088,4)</f>
        <v>0</v>
      </c>
      <c r="K1088" s="67">
        <f>ROUND(IF(F1088="alluminio",0,I1088*1.5%),4)</f>
        <v>0</v>
      </c>
      <c r="L1088" s="67">
        <f>ROUND(IF(K1088&lt;J1088,K1088,0),4)</f>
        <v>0</v>
      </c>
      <c r="M1088" s="67">
        <f>ROUND(IF(J1088&gt;K1088,0,J1088),4)</f>
        <v>0</v>
      </c>
      <c r="N1088" s="67">
        <f>ROUND(+L1088*D1088,4)</f>
        <v>0</v>
      </c>
      <c r="O1088" s="67">
        <f>ROUND(IF(F1088="rame",0,+I1088*3%),4)</f>
        <v>0</v>
      </c>
      <c r="P1088" s="67">
        <f>ROUND(IF(O1088&lt;J1088,O1088,0),4)</f>
        <v>0</v>
      </c>
      <c r="Q1088" s="67">
        <f>ROUND(IF(J1088&gt;O1088,0,J1088),4)</f>
        <v>0</v>
      </c>
      <c r="R1088" s="67">
        <f>ROUND(+P1088*D1088,4)</f>
        <v>0</v>
      </c>
      <c r="S1088" s="67">
        <f>ROUND(IF(K1088=0,0,M1088*D1088),4)</f>
        <v>0</v>
      </c>
      <c r="T1088" s="67">
        <f>ROUND(+IF(K1088=0,Q1088*D1088,0),4)</f>
        <v>0</v>
      </c>
      <c r="U1088" s="67">
        <f>ROUND(+N1088+R1088+S1088+T1088,4)</f>
        <v>0</v>
      </c>
      <c r="V1088" s="67">
        <f>ROUND(IF(P1088=0,0,I1088-H1088-O1088)+IF(L1088=0,0,I1088-H1088-K1088),4)</f>
        <v>0</v>
      </c>
      <c r="W1088" s="67">
        <f>ROUND(+(V1088*60%)*D1088,4)</f>
        <v>0</v>
      </c>
      <c r="X1088" s="148">
        <f>ROUND(+U1088+W1088,4)</f>
        <v>0</v>
      </c>
      <c r="Y1088" s="68"/>
      <c r="Z1088" s="148">
        <f>ROUND(IF(X1088&gt;I1088,X1088,I1088),4)</f>
        <v>0</v>
      </c>
      <c r="AD1088" s="78">
        <f t="shared" si="12"/>
        <v>0</v>
      </c>
      <c r="AE1088" s="78">
        <f t="shared" si="13"/>
        <v>0</v>
      </c>
    </row>
    <row r="1089" spans="1:31" x14ac:dyDescent="0.2">
      <c r="A1089" s="66"/>
      <c r="B1089" s="66"/>
      <c r="C1089" s="66"/>
      <c r="D1089" s="144"/>
      <c r="E1089" s="67"/>
      <c r="F1089" s="67"/>
      <c r="G1089" s="67"/>
      <c r="H1089" s="67">
        <f>ROUND(+E1089+G1089,4)</f>
        <v>0</v>
      </c>
      <c r="I1089" s="67"/>
      <c r="J1089" s="67">
        <f>ROUND(+I1089-H1089,4)</f>
        <v>0</v>
      </c>
      <c r="K1089" s="67">
        <f>ROUND(IF(F1089="alluminio",0,I1089*1.5%),4)</f>
        <v>0</v>
      </c>
      <c r="L1089" s="67">
        <f>ROUND(IF(K1089&lt;J1089,K1089,0),4)</f>
        <v>0</v>
      </c>
      <c r="M1089" s="67">
        <f>ROUND(IF(J1089&gt;K1089,0,J1089),4)</f>
        <v>0</v>
      </c>
      <c r="N1089" s="67">
        <f>ROUND(+L1089*D1089,4)</f>
        <v>0</v>
      </c>
      <c r="O1089" s="67">
        <f>ROUND(IF(F1089="rame",0,+I1089*3%),4)</f>
        <v>0</v>
      </c>
      <c r="P1089" s="67">
        <f>ROUND(IF(O1089&lt;J1089,O1089,0),4)</f>
        <v>0</v>
      </c>
      <c r="Q1089" s="67">
        <f>ROUND(IF(J1089&gt;O1089,0,J1089),4)</f>
        <v>0</v>
      </c>
      <c r="R1089" s="67">
        <f>ROUND(+P1089*D1089,4)</f>
        <v>0</v>
      </c>
      <c r="S1089" s="67">
        <f>ROUND(IF(K1089=0,0,M1089*D1089),4)</f>
        <v>0</v>
      </c>
      <c r="T1089" s="67">
        <f>ROUND(+IF(K1089=0,Q1089*D1089,0),4)</f>
        <v>0</v>
      </c>
      <c r="U1089" s="67">
        <f>ROUND(+N1089+R1089+S1089+T1089,4)</f>
        <v>0</v>
      </c>
      <c r="V1089" s="67">
        <f>ROUND(IF(P1089=0,0,I1089-H1089-O1089)+IF(L1089=0,0,I1089-H1089-K1089),4)</f>
        <v>0</v>
      </c>
      <c r="W1089" s="67">
        <f>ROUND(+(V1089*60%)*D1089,4)</f>
        <v>0</v>
      </c>
      <c r="X1089" s="148">
        <f>ROUND(+U1089+W1089,4)</f>
        <v>0</v>
      </c>
      <c r="Y1089" s="68"/>
      <c r="Z1089" s="148">
        <f>ROUND(IF(X1089&gt;I1089,X1089,I1089),4)</f>
        <v>0</v>
      </c>
      <c r="AD1089" s="78">
        <f t="shared" si="12"/>
        <v>0</v>
      </c>
      <c r="AE1089" s="78">
        <f t="shared" si="13"/>
        <v>0</v>
      </c>
    </row>
    <row r="1090" spans="1:31" x14ac:dyDescent="0.2">
      <c r="A1090" s="66"/>
      <c r="B1090" s="66"/>
      <c r="C1090" s="66"/>
      <c r="D1090" s="144"/>
      <c r="E1090" s="67"/>
      <c r="F1090" s="67"/>
      <c r="G1090" s="67"/>
      <c r="H1090" s="67">
        <f>ROUND(+E1090+G1090,4)</f>
        <v>0</v>
      </c>
      <c r="I1090" s="67"/>
      <c r="J1090" s="67">
        <f>ROUND(+I1090-H1090,4)</f>
        <v>0</v>
      </c>
      <c r="K1090" s="67">
        <f>ROUND(IF(F1090="alluminio",0,I1090*1.5%),4)</f>
        <v>0</v>
      </c>
      <c r="L1090" s="67">
        <f>ROUND(IF(K1090&lt;J1090,K1090,0),4)</f>
        <v>0</v>
      </c>
      <c r="M1090" s="67">
        <f>ROUND(IF(J1090&gt;K1090,0,J1090),4)</f>
        <v>0</v>
      </c>
      <c r="N1090" s="67">
        <f>ROUND(+L1090*D1090,4)</f>
        <v>0</v>
      </c>
      <c r="O1090" s="67">
        <f>ROUND(IF(F1090="rame",0,+I1090*3%),4)</f>
        <v>0</v>
      </c>
      <c r="P1090" s="67">
        <f>ROUND(IF(O1090&lt;J1090,O1090,0),4)</f>
        <v>0</v>
      </c>
      <c r="Q1090" s="67">
        <f>ROUND(IF(J1090&gt;O1090,0,J1090),4)</f>
        <v>0</v>
      </c>
      <c r="R1090" s="67">
        <f>ROUND(+P1090*D1090,4)</f>
        <v>0</v>
      </c>
      <c r="S1090" s="67">
        <f>ROUND(IF(K1090=0,0,M1090*D1090),4)</f>
        <v>0</v>
      </c>
      <c r="T1090" s="67">
        <f>ROUND(+IF(K1090=0,Q1090*D1090,0),4)</f>
        <v>0</v>
      </c>
      <c r="U1090" s="67">
        <f>ROUND(+N1090+R1090+S1090+T1090,4)</f>
        <v>0</v>
      </c>
      <c r="V1090" s="67">
        <f>ROUND(IF(P1090=0,0,I1090-H1090-O1090)+IF(L1090=0,0,I1090-H1090-K1090),4)</f>
        <v>0</v>
      </c>
      <c r="W1090" s="67">
        <f>ROUND(+(V1090*60%)*D1090,4)</f>
        <v>0</v>
      </c>
      <c r="X1090" s="148">
        <f>ROUND(+U1090+W1090,4)</f>
        <v>0</v>
      </c>
      <c r="Y1090" s="68"/>
      <c r="Z1090" s="148">
        <f>ROUND(IF(X1090&gt;I1090,X1090,I1090),4)</f>
        <v>0</v>
      </c>
      <c r="AD1090" s="78">
        <f t="shared" si="12"/>
        <v>0</v>
      </c>
      <c r="AE1090" s="78">
        <f t="shared" si="13"/>
        <v>0</v>
      </c>
    </row>
    <row r="1091" spans="1:31" x14ac:dyDescent="0.2">
      <c r="A1091" s="66"/>
      <c r="B1091" s="66"/>
      <c r="C1091" s="66"/>
      <c r="D1091" s="144"/>
      <c r="E1091" s="67"/>
      <c r="F1091" s="67"/>
      <c r="G1091" s="67"/>
      <c r="H1091" s="67">
        <f>ROUND(+E1091+G1091,4)</f>
        <v>0</v>
      </c>
      <c r="I1091" s="67"/>
      <c r="J1091" s="67">
        <f>ROUND(+I1091-H1091,4)</f>
        <v>0</v>
      </c>
      <c r="K1091" s="67">
        <f>ROUND(IF(F1091="alluminio",0,I1091*1.5%),4)</f>
        <v>0</v>
      </c>
      <c r="L1091" s="67">
        <f>ROUND(IF(K1091&lt;J1091,K1091,0),4)</f>
        <v>0</v>
      </c>
      <c r="M1091" s="67">
        <f>ROUND(IF(J1091&gt;K1091,0,J1091),4)</f>
        <v>0</v>
      </c>
      <c r="N1091" s="67">
        <f>ROUND(+L1091*D1091,4)</f>
        <v>0</v>
      </c>
      <c r="O1091" s="67">
        <f>ROUND(IF(F1091="rame",0,+I1091*3%),4)</f>
        <v>0</v>
      </c>
      <c r="P1091" s="67">
        <f>ROUND(IF(O1091&lt;J1091,O1091,0),4)</f>
        <v>0</v>
      </c>
      <c r="Q1091" s="67">
        <f>ROUND(IF(J1091&gt;O1091,0,J1091),4)</f>
        <v>0</v>
      </c>
      <c r="R1091" s="67">
        <f>ROUND(+P1091*D1091,4)</f>
        <v>0</v>
      </c>
      <c r="S1091" s="67">
        <f>ROUND(IF(K1091=0,0,M1091*D1091),4)</f>
        <v>0</v>
      </c>
      <c r="T1091" s="67">
        <f>ROUND(+IF(K1091=0,Q1091*D1091,0),4)</f>
        <v>0</v>
      </c>
      <c r="U1091" s="67">
        <f>ROUND(+N1091+R1091+S1091+T1091,4)</f>
        <v>0</v>
      </c>
      <c r="V1091" s="67">
        <f>ROUND(IF(P1091=0,0,I1091-H1091-O1091)+IF(L1091=0,0,I1091-H1091-K1091),4)</f>
        <v>0</v>
      </c>
      <c r="W1091" s="67">
        <f>ROUND(+(V1091*60%)*D1091,4)</f>
        <v>0</v>
      </c>
      <c r="X1091" s="148">
        <f>ROUND(+U1091+W1091,4)</f>
        <v>0</v>
      </c>
      <c r="Y1091" s="68"/>
      <c r="Z1091" s="148">
        <f>ROUND(IF(X1091&gt;I1091,X1091,I1091),4)</f>
        <v>0</v>
      </c>
      <c r="AD1091" s="78">
        <f t="shared" si="12"/>
        <v>0</v>
      </c>
      <c r="AE1091" s="78">
        <f t="shared" si="13"/>
        <v>0</v>
      </c>
    </row>
    <row r="1092" spans="1:31" x14ac:dyDescent="0.2">
      <c r="A1092" s="66"/>
      <c r="B1092" s="66"/>
      <c r="C1092" s="66"/>
      <c r="D1092" s="144"/>
      <c r="E1092" s="67"/>
      <c r="F1092" s="67"/>
      <c r="G1092" s="67"/>
      <c r="H1092" s="67">
        <f>ROUND(+E1092+G1092,4)</f>
        <v>0</v>
      </c>
      <c r="I1092" s="67"/>
      <c r="J1092" s="67">
        <f>ROUND(+I1092-H1092,4)</f>
        <v>0</v>
      </c>
      <c r="K1092" s="67">
        <f>ROUND(IF(F1092="alluminio",0,I1092*1.5%),4)</f>
        <v>0</v>
      </c>
      <c r="L1092" s="67">
        <f>ROUND(IF(K1092&lt;J1092,K1092,0),4)</f>
        <v>0</v>
      </c>
      <c r="M1092" s="67">
        <f>ROUND(IF(J1092&gt;K1092,0,J1092),4)</f>
        <v>0</v>
      </c>
      <c r="N1092" s="67">
        <f>ROUND(+L1092*D1092,4)</f>
        <v>0</v>
      </c>
      <c r="O1092" s="67">
        <f>ROUND(IF(F1092="rame",0,+I1092*3%),4)</f>
        <v>0</v>
      </c>
      <c r="P1092" s="67">
        <f>ROUND(IF(O1092&lt;J1092,O1092,0),4)</f>
        <v>0</v>
      </c>
      <c r="Q1092" s="67">
        <f>ROUND(IF(J1092&gt;O1092,0,J1092),4)</f>
        <v>0</v>
      </c>
      <c r="R1092" s="67">
        <f>ROUND(+P1092*D1092,4)</f>
        <v>0</v>
      </c>
      <c r="S1092" s="67">
        <f>ROUND(IF(K1092=0,0,M1092*D1092),4)</f>
        <v>0</v>
      </c>
      <c r="T1092" s="67">
        <f>ROUND(+IF(K1092=0,Q1092*D1092,0),4)</f>
        <v>0</v>
      </c>
      <c r="U1092" s="67">
        <f>ROUND(+N1092+R1092+S1092+T1092,4)</f>
        <v>0</v>
      </c>
      <c r="V1092" s="67">
        <f>ROUND(IF(P1092=0,0,I1092-H1092-O1092)+IF(L1092=0,0,I1092-H1092-K1092),4)</f>
        <v>0</v>
      </c>
      <c r="W1092" s="67">
        <f>ROUND(+(V1092*60%)*D1092,4)</f>
        <v>0</v>
      </c>
      <c r="X1092" s="148">
        <f>ROUND(+U1092+W1092,4)</f>
        <v>0</v>
      </c>
      <c r="Y1092" s="68"/>
      <c r="Z1092" s="148">
        <f>ROUND(IF(X1092&gt;I1092,X1092,I1092),4)</f>
        <v>0</v>
      </c>
      <c r="AD1092" s="78">
        <f t="shared" si="12"/>
        <v>0</v>
      </c>
      <c r="AE1092" s="78">
        <f t="shared" si="13"/>
        <v>0</v>
      </c>
    </row>
    <row r="1093" spans="1:31" x14ac:dyDescent="0.2">
      <c r="A1093" s="66"/>
      <c r="B1093" s="66"/>
      <c r="C1093" s="66"/>
      <c r="D1093" s="144"/>
      <c r="E1093" s="67"/>
      <c r="F1093" s="67"/>
      <c r="G1093" s="67"/>
      <c r="H1093" s="67">
        <f>ROUND(+E1093+G1093,4)</f>
        <v>0</v>
      </c>
      <c r="I1093" s="67"/>
      <c r="J1093" s="67">
        <f>ROUND(+I1093-H1093,4)</f>
        <v>0</v>
      </c>
      <c r="K1093" s="67">
        <f>ROUND(IF(F1093="alluminio",0,I1093*1.5%),4)</f>
        <v>0</v>
      </c>
      <c r="L1093" s="67">
        <f>ROUND(IF(K1093&lt;J1093,K1093,0),4)</f>
        <v>0</v>
      </c>
      <c r="M1093" s="67">
        <f>ROUND(IF(J1093&gt;K1093,0,J1093),4)</f>
        <v>0</v>
      </c>
      <c r="N1093" s="67">
        <f>ROUND(+L1093*D1093,4)</f>
        <v>0</v>
      </c>
      <c r="O1093" s="67">
        <f>ROUND(IF(F1093="rame",0,+I1093*3%),4)</f>
        <v>0</v>
      </c>
      <c r="P1093" s="67">
        <f>ROUND(IF(O1093&lt;J1093,O1093,0),4)</f>
        <v>0</v>
      </c>
      <c r="Q1093" s="67">
        <f>ROUND(IF(J1093&gt;O1093,0,J1093),4)</f>
        <v>0</v>
      </c>
      <c r="R1093" s="67">
        <f>ROUND(+P1093*D1093,4)</f>
        <v>0</v>
      </c>
      <c r="S1093" s="67">
        <f>ROUND(IF(K1093=0,0,M1093*D1093),4)</f>
        <v>0</v>
      </c>
      <c r="T1093" s="67">
        <f>ROUND(+IF(K1093=0,Q1093*D1093,0),4)</f>
        <v>0</v>
      </c>
      <c r="U1093" s="67">
        <f>ROUND(+N1093+R1093+S1093+T1093,4)</f>
        <v>0</v>
      </c>
      <c r="V1093" s="67">
        <f>ROUND(IF(P1093=0,0,I1093-H1093-O1093)+IF(L1093=0,0,I1093-H1093-K1093),4)</f>
        <v>0</v>
      </c>
      <c r="W1093" s="67">
        <f>ROUND(+(V1093*60%)*D1093,4)</f>
        <v>0</v>
      </c>
      <c r="X1093" s="148">
        <f>ROUND(+U1093+W1093,4)</f>
        <v>0</v>
      </c>
      <c r="Y1093" s="68"/>
      <c r="Z1093" s="148">
        <f>ROUND(IF(X1093&gt;I1093,X1093,I1093),4)</f>
        <v>0</v>
      </c>
      <c r="AD1093" s="78">
        <f t="shared" si="12"/>
        <v>0</v>
      </c>
      <c r="AE1093" s="78">
        <f t="shared" si="13"/>
        <v>0</v>
      </c>
    </row>
    <row r="1094" spans="1:31" x14ac:dyDescent="0.2">
      <c r="A1094" s="66"/>
      <c r="B1094" s="66"/>
      <c r="C1094" s="66"/>
      <c r="D1094" s="144"/>
      <c r="E1094" s="67"/>
      <c r="F1094" s="67"/>
      <c r="G1094" s="67"/>
      <c r="H1094" s="67">
        <f>ROUND(+E1094+G1094,4)</f>
        <v>0</v>
      </c>
      <c r="I1094" s="67"/>
      <c r="J1094" s="67">
        <f>ROUND(+I1094-H1094,4)</f>
        <v>0</v>
      </c>
      <c r="K1094" s="67">
        <f>ROUND(IF(F1094="alluminio",0,I1094*1.5%),4)</f>
        <v>0</v>
      </c>
      <c r="L1094" s="67">
        <f>ROUND(IF(K1094&lt;J1094,K1094,0),4)</f>
        <v>0</v>
      </c>
      <c r="M1094" s="67">
        <f>ROUND(IF(J1094&gt;K1094,0,J1094),4)</f>
        <v>0</v>
      </c>
      <c r="N1094" s="67">
        <f>ROUND(+L1094*D1094,4)</f>
        <v>0</v>
      </c>
      <c r="O1094" s="67">
        <f>ROUND(IF(F1094="rame",0,+I1094*3%),4)</f>
        <v>0</v>
      </c>
      <c r="P1094" s="67">
        <f>ROUND(IF(O1094&lt;J1094,O1094,0),4)</f>
        <v>0</v>
      </c>
      <c r="Q1094" s="67">
        <f>ROUND(IF(J1094&gt;O1094,0,J1094),4)</f>
        <v>0</v>
      </c>
      <c r="R1094" s="67">
        <f>ROUND(+P1094*D1094,4)</f>
        <v>0</v>
      </c>
      <c r="S1094" s="67">
        <f>ROUND(IF(K1094=0,0,M1094*D1094),4)</f>
        <v>0</v>
      </c>
      <c r="T1094" s="67">
        <f>ROUND(+IF(K1094=0,Q1094*D1094,0),4)</f>
        <v>0</v>
      </c>
      <c r="U1094" s="67">
        <f>ROUND(+N1094+R1094+S1094+T1094,4)</f>
        <v>0</v>
      </c>
      <c r="V1094" s="67">
        <f>ROUND(IF(P1094=0,0,I1094-H1094-O1094)+IF(L1094=0,0,I1094-H1094-K1094),4)</f>
        <v>0</v>
      </c>
      <c r="W1094" s="67">
        <f>ROUND(+(V1094*60%)*D1094,4)</f>
        <v>0</v>
      </c>
      <c r="X1094" s="148">
        <f>ROUND(+U1094+W1094,4)</f>
        <v>0</v>
      </c>
      <c r="Y1094" s="68"/>
      <c r="Z1094" s="148">
        <f>ROUND(IF(X1094&gt;I1094,X1094,I1094),4)</f>
        <v>0</v>
      </c>
      <c r="AD1094" s="78">
        <f t="shared" si="12"/>
        <v>0</v>
      </c>
      <c r="AE1094" s="78">
        <f t="shared" si="13"/>
        <v>0</v>
      </c>
    </row>
    <row r="1095" spans="1:31" x14ac:dyDescent="0.2">
      <c r="A1095" s="66"/>
      <c r="B1095" s="66"/>
      <c r="C1095" s="66"/>
      <c r="D1095" s="144"/>
      <c r="E1095" s="67"/>
      <c r="F1095" s="67"/>
      <c r="G1095" s="67"/>
      <c r="H1095" s="67">
        <f>ROUND(+E1095+G1095,4)</f>
        <v>0</v>
      </c>
      <c r="I1095" s="67"/>
      <c r="J1095" s="67">
        <f>ROUND(+I1095-H1095,4)</f>
        <v>0</v>
      </c>
      <c r="K1095" s="67">
        <f>ROUND(IF(F1095="alluminio",0,I1095*1.5%),4)</f>
        <v>0</v>
      </c>
      <c r="L1095" s="67">
        <f>ROUND(IF(K1095&lt;J1095,K1095,0),4)</f>
        <v>0</v>
      </c>
      <c r="M1095" s="67">
        <f>ROUND(IF(J1095&gt;K1095,0,J1095),4)</f>
        <v>0</v>
      </c>
      <c r="N1095" s="67">
        <f>ROUND(+L1095*D1095,4)</f>
        <v>0</v>
      </c>
      <c r="O1095" s="67">
        <f>ROUND(IF(F1095="rame",0,+I1095*3%),4)</f>
        <v>0</v>
      </c>
      <c r="P1095" s="67">
        <f>ROUND(IF(O1095&lt;J1095,O1095,0),4)</f>
        <v>0</v>
      </c>
      <c r="Q1095" s="67">
        <f>ROUND(IF(J1095&gt;O1095,0,J1095),4)</f>
        <v>0</v>
      </c>
      <c r="R1095" s="67">
        <f>ROUND(+P1095*D1095,4)</f>
        <v>0</v>
      </c>
      <c r="S1095" s="67">
        <f>ROUND(IF(K1095=0,0,M1095*D1095),4)</f>
        <v>0</v>
      </c>
      <c r="T1095" s="67">
        <f>ROUND(+IF(K1095=0,Q1095*D1095,0),4)</f>
        <v>0</v>
      </c>
      <c r="U1095" s="67">
        <f>ROUND(+N1095+R1095+S1095+T1095,4)</f>
        <v>0</v>
      </c>
      <c r="V1095" s="67">
        <f>ROUND(IF(P1095=0,0,I1095-H1095-O1095)+IF(L1095=0,0,I1095-H1095-K1095),4)</f>
        <v>0</v>
      </c>
      <c r="W1095" s="67">
        <f>ROUND(+(V1095*60%)*D1095,4)</f>
        <v>0</v>
      </c>
      <c r="X1095" s="148">
        <f>ROUND(+U1095+W1095,4)</f>
        <v>0</v>
      </c>
      <c r="Y1095" s="68"/>
      <c r="Z1095" s="148">
        <f>ROUND(IF(X1095&gt;I1095,X1095,I1095),4)</f>
        <v>0</v>
      </c>
      <c r="AD1095" s="78">
        <f t="shared" si="12"/>
        <v>0</v>
      </c>
      <c r="AE1095" s="78">
        <f t="shared" si="13"/>
        <v>0</v>
      </c>
    </row>
    <row r="1096" spans="1:31" x14ac:dyDescent="0.2">
      <c r="A1096" s="66"/>
      <c r="B1096" s="66"/>
      <c r="C1096" s="66"/>
      <c r="D1096" s="144"/>
      <c r="E1096" s="67"/>
      <c r="F1096" s="67"/>
      <c r="G1096" s="67"/>
      <c r="H1096" s="67">
        <f>ROUND(+E1096+G1096,4)</f>
        <v>0</v>
      </c>
      <c r="I1096" s="67"/>
      <c r="J1096" s="67">
        <f>ROUND(+I1096-H1096,4)</f>
        <v>0</v>
      </c>
      <c r="K1096" s="67">
        <f>ROUND(IF(F1096="alluminio",0,I1096*1.5%),4)</f>
        <v>0</v>
      </c>
      <c r="L1096" s="67">
        <f>ROUND(IF(K1096&lt;J1096,K1096,0),4)</f>
        <v>0</v>
      </c>
      <c r="M1096" s="67">
        <f>ROUND(IF(J1096&gt;K1096,0,J1096),4)</f>
        <v>0</v>
      </c>
      <c r="N1096" s="67">
        <f>ROUND(+L1096*D1096,4)</f>
        <v>0</v>
      </c>
      <c r="O1096" s="67">
        <f>ROUND(IF(F1096="rame",0,+I1096*3%),4)</f>
        <v>0</v>
      </c>
      <c r="P1096" s="67">
        <f>ROUND(IF(O1096&lt;J1096,O1096,0),4)</f>
        <v>0</v>
      </c>
      <c r="Q1096" s="67">
        <f>ROUND(IF(J1096&gt;O1096,0,J1096),4)</f>
        <v>0</v>
      </c>
      <c r="R1096" s="67">
        <f>ROUND(+P1096*D1096,4)</f>
        <v>0</v>
      </c>
      <c r="S1096" s="67">
        <f>ROUND(IF(K1096=0,0,M1096*D1096),4)</f>
        <v>0</v>
      </c>
      <c r="T1096" s="67">
        <f>ROUND(+IF(K1096=0,Q1096*D1096,0),4)</f>
        <v>0</v>
      </c>
      <c r="U1096" s="67">
        <f>ROUND(+N1096+R1096+S1096+T1096,4)</f>
        <v>0</v>
      </c>
      <c r="V1096" s="67">
        <f>ROUND(IF(P1096=0,0,I1096-H1096-O1096)+IF(L1096=0,0,I1096-H1096-K1096),4)</f>
        <v>0</v>
      </c>
      <c r="W1096" s="67">
        <f>ROUND(+(V1096*60%)*D1096,4)</f>
        <v>0</v>
      </c>
      <c r="X1096" s="148">
        <f>ROUND(+U1096+W1096,4)</f>
        <v>0</v>
      </c>
      <c r="Y1096" s="68"/>
      <c r="Z1096" s="148">
        <f>ROUND(IF(X1096&gt;I1096,X1096,I1096),4)</f>
        <v>0</v>
      </c>
      <c r="AD1096" s="78">
        <f t="shared" si="12"/>
        <v>0</v>
      </c>
      <c r="AE1096" s="78">
        <f t="shared" si="13"/>
        <v>0</v>
      </c>
    </row>
    <row r="1097" spans="1:31" x14ac:dyDescent="0.2">
      <c r="A1097" s="66"/>
      <c r="B1097" s="66"/>
      <c r="C1097" s="66"/>
      <c r="D1097" s="144"/>
      <c r="E1097" s="67"/>
      <c r="F1097" s="67"/>
      <c r="G1097" s="67"/>
      <c r="H1097" s="67">
        <f>ROUND(+E1097+G1097,4)</f>
        <v>0</v>
      </c>
      <c r="I1097" s="67"/>
      <c r="J1097" s="67">
        <f>ROUND(+I1097-H1097,4)</f>
        <v>0</v>
      </c>
      <c r="K1097" s="67">
        <f>ROUND(IF(F1097="alluminio",0,I1097*1.5%),4)</f>
        <v>0</v>
      </c>
      <c r="L1097" s="67">
        <f>ROUND(IF(K1097&lt;J1097,K1097,0),4)</f>
        <v>0</v>
      </c>
      <c r="M1097" s="67">
        <f>ROUND(IF(J1097&gt;K1097,0,J1097),4)</f>
        <v>0</v>
      </c>
      <c r="N1097" s="67">
        <f>ROUND(+L1097*D1097,4)</f>
        <v>0</v>
      </c>
      <c r="O1097" s="67">
        <f>ROUND(IF(F1097="rame",0,+I1097*3%),4)</f>
        <v>0</v>
      </c>
      <c r="P1097" s="67">
        <f>ROUND(IF(O1097&lt;J1097,O1097,0),4)</f>
        <v>0</v>
      </c>
      <c r="Q1097" s="67">
        <f>ROUND(IF(J1097&gt;O1097,0,J1097),4)</f>
        <v>0</v>
      </c>
      <c r="R1097" s="67">
        <f>ROUND(+P1097*D1097,4)</f>
        <v>0</v>
      </c>
      <c r="S1097" s="67">
        <f>ROUND(IF(K1097=0,0,M1097*D1097),4)</f>
        <v>0</v>
      </c>
      <c r="T1097" s="67">
        <f>ROUND(+IF(K1097=0,Q1097*D1097,0),4)</f>
        <v>0</v>
      </c>
      <c r="U1097" s="67">
        <f>ROUND(+N1097+R1097+S1097+T1097,4)</f>
        <v>0</v>
      </c>
      <c r="V1097" s="67">
        <f>ROUND(IF(P1097=0,0,I1097-H1097-O1097)+IF(L1097=0,0,I1097-H1097-K1097),4)</f>
        <v>0</v>
      </c>
      <c r="W1097" s="67">
        <f>ROUND(+(V1097*60%)*D1097,4)</f>
        <v>0</v>
      </c>
      <c r="X1097" s="148">
        <f>ROUND(+U1097+W1097,4)</f>
        <v>0</v>
      </c>
      <c r="Y1097" s="68"/>
      <c r="Z1097" s="148">
        <f>ROUND(IF(X1097&gt;I1097,X1097,I1097),4)</f>
        <v>0</v>
      </c>
      <c r="AD1097" s="78">
        <f t="shared" si="12"/>
        <v>0</v>
      </c>
      <c r="AE1097" s="78">
        <f t="shared" si="13"/>
        <v>0</v>
      </c>
    </row>
    <row r="1098" spans="1:31" x14ac:dyDescent="0.2">
      <c r="A1098" s="66"/>
      <c r="B1098" s="66"/>
      <c r="C1098" s="66"/>
      <c r="D1098" s="144"/>
      <c r="E1098" s="67"/>
      <c r="F1098" s="67"/>
      <c r="G1098" s="67"/>
      <c r="H1098" s="67">
        <f>ROUND(+E1098+G1098,4)</f>
        <v>0</v>
      </c>
      <c r="I1098" s="67"/>
      <c r="J1098" s="67">
        <f>ROUND(+I1098-H1098,4)</f>
        <v>0</v>
      </c>
      <c r="K1098" s="67">
        <f>ROUND(IF(F1098="alluminio",0,I1098*1.5%),4)</f>
        <v>0</v>
      </c>
      <c r="L1098" s="67">
        <f>ROUND(IF(K1098&lt;J1098,K1098,0),4)</f>
        <v>0</v>
      </c>
      <c r="M1098" s="67">
        <f>ROUND(IF(J1098&gt;K1098,0,J1098),4)</f>
        <v>0</v>
      </c>
      <c r="N1098" s="67">
        <f>ROUND(+L1098*D1098,4)</f>
        <v>0</v>
      </c>
      <c r="O1098" s="67">
        <f>ROUND(IF(F1098="rame",0,+I1098*3%),4)</f>
        <v>0</v>
      </c>
      <c r="P1098" s="67">
        <f>ROUND(IF(O1098&lt;J1098,O1098,0),4)</f>
        <v>0</v>
      </c>
      <c r="Q1098" s="67">
        <f>ROUND(IF(J1098&gt;O1098,0,J1098),4)</f>
        <v>0</v>
      </c>
      <c r="R1098" s="67">
        <f>ROUND(+P1098*D1098,4)</f>
        <v>0</v>
      </c>
      <c r="S1098" s="67">
        <f>ROUND(IF(K1098=0,0,M1098*D1098),4)</f>
        <v>0</v>
      </c>
      <c r="T1098" s="67">
        <f>ROUND(+IF(K1098=0,Q1098*D1098,0),4)</f>
        <v>0</v>
      </c>
      <c r="U1098" s="67">
        <f>ROUND(+N1098+R1098+S1098+T1098,4)</f>
        <v>0</v>
      </c>
      <c r="V1098" s="67">
        <f>ROUND(IF(P1098=0,0,I1098-H1098-O1098)+IF(L1098=0,0,I1098-H1098-K1098),4)</f>
        <v>0</v>
      </c>
      <c r="W1098" s="67">
        <f>ROUND(+(V1098*60%)*D1098,4)</f>
        <v>0</v>
      </c>
      <c r="X1098" s="148">
        <f>ROUND(+U1098+W1098,4)</f>
        <v>0</v>
      </c>
      <c r="Y1098" s="68"/>
      <c r="Z1098" s="148">
        <f>ROUND(IF(X1098&gt;I1098,X1098,I1098),4)</f>
        <v>0</v>
      </c>
      <c r="AD1098" s="78">
        <f t="shared" si="12"/>
        <v>0</v>
      </c>
      <c r="AE1098" s="78">
        <f t="shared" si="13"/>
        <v>0</v>
      </c>
    </row>
    <row r="1099" spans="1:31" x14ac:dyDescent="0.2">
      <c r="A1099" s="66"/>
      <c r="B1099" s="66"/>
      <c r="C1099" s="66"/>
      <c r="D1099" s="144"/>
      <c r="E1099" s="67"/>
      <c r="F1099" s="67"/>
      <c r="G1099" s="67"/>
      <c r="H1099" s="67">
        <f>ROUND(+E1099+G1099,4)</f>
        <v>0</v>
      </c>
      <c r="I1099" s="67"/>
      <c r="J1099" s="67">
        <f>ROUND(+I1099-H1099,4)</f>
        <v>0</v>
      </c>
      <c r="K1099" s="67">
        <f>ROUND(IF(F1099="alluminio",0,I1099*1.5%),4)</f>
        <v>0</v>
      </c>
      <c r="L1099" s="67">
        <f>ROUND(IF(K1099&lt;J1099,K1099,0),4)</f>
        <v>0</v>
      </c>
      <c r="M1099" s="67">
        <f>ROUND(IF(J1099&gt;K1099,0,J1099),4)</f>
        <v>0</v>
      </c>
      <c r="N1099" s="67">
        <f>ROUND(+L1099*D1099,4)</f>
        <v>0</v>
      </c>
      <c r="O1099" s="67">
        <f>ROUND(IF(F1099="rame",0,+I1099*3%),4)</f>
        <v>0</v>
      </c>
      <c r="P1099" s="67">
        <f>ROUND(IF(O1099&lt;J1099,O1099,0),4)</f>
        <v>0</v>
      </c>
      <c r="Q1099" s="67">
        <f>ROUND(IF(J1099&gt;O1099,0,J1099),4)</f>
        <v>0</v>
      </c>
      <c r="R1099" s="67">
        <f>ROUND(+P1099*D1099,4)</f>
        <v>0</v>
      </c>
      <c r="S1099" s="67">
        <f>ROUND(IF(K1099=0,0,M1099*D1099),4)</f>
        <v>0</v>
      </c>
      <c r="T1099" s="67">
        <f>ROUND(+IF(K1099=0,Q1099*D1099,0),4)</f>
        <v>0</v>
      </c>
      <c r="U1099" s="67">
        <f>ROUND(+N1099+R1099+S1099+T1099,4)</f>
        <v>0</v>
      </c>
      <c r="V1099" s="67">
        <f>ROUND(IF(P1099=0,0,I1099-H1099-O1099)+IF(L1099=0,0,I1099-H1099-K1099),4)</f>
        <v>0</v>
      </c>
      <c r="W1099" s="67">
        <f>ROUND(+(V1099*60%)*D1099,4)</f>
        <v>0</v>
      </c>
      <c r="X1099" s="148">
        <f>ROUND(+U1099+W1099,4)</f>
        <v>0</v>
      </c>
      <c r="Y1099" s="68"/>
      <c r="Z1099" s="148">
        <f>ROUND(IF(X1099&gt;I1099,X1099,I1099),4)</f>
        <v>0</v>
      </c>
      <c r="AD1099" s="78">
        <f t="shared" si="12"/>
        <v>0</v>
      </c>
      <c r="AE1099" s="78">
        <f t="shared" si="13"/>
        <v>0</v>
      </c>
    </row>
    <row r="1100" spans="1:31" x14ac:dyDescent="0.2">
      <c r="A1100" s="66"/>
      <c r="B1100" s="66"/>
      <c r="C1100" s="66"/>
      <c r="D1100" s="144"/>
      <c r="E1100" s="67"/>
      <c r="F1100" s="67"/>
      <c r="G1100" s="67"/>
      <c r="H1100" s="67">
        <f>ROUND(+E1100+G1100,4)</f>
        <v>0</v>
      </c>
      <c r="I1100" s="67"/>
      <c r="J1100" s="67">
        <f>ROUND(+I1100-H1100,4)</f>
        <v>0</v>
      </c>
      <c r="K1100" s="67">
        <f>ROUND(IF(F1100="alluminio",0,I1100*1.5%),4)</f>
        <v>0</v>
      </c>
      <c r="L1100" s="67">
        <f>ROUND(IF(K1100&lt;J1100,K1100,0),4)</f>
        <v>0</v>
      </c>
      <c r="M1100" s="67">
        <f>ROUND(IF(J1100&gt;K1100,0,J1100),4)</f>
        <v>0</v>
      </c>
      <c r="N1100" s="67">
        <f>ROUND(+L1100*D1100,4)</f>
        <v>0</v>
      </c>
      <c r="O1100" s="67">
        <f>ROUND(IF(F1100="rame",0,+I1100*3%),4)</f>
        <v>0</v>
      </c>
      <c r="P1100" s="67">
        <f>ROUND(IF(O1100&lt;J1100,O1100,0),4)</f>
        <v>0</v>
      </c>
      <c r="Q1100" s="67">
        <f>ROUND(IF(J1100&gt;O1100,0,J1100),4)</f>
        <v>0</v>
      </c>
      <c r="R1100" s="67">
        <f>ROUND(+P1100*D1100,4)</f>
        <v>0</v>
      </c>
      <c r="S1100" s="67">
        <f>ROUND(IF(K1100=0,0,M1100*D1100),4)</f>
        <v>0</v>
      </c>
      <c r="T1100" s="67">
        <f>ROUND(+IF(K1100=0,Q1100*D1100,0),4)</f>
        <v>0</v>
      </c>
      <c r="U1100" s="67">
        <f>ROUND(+N1100+R1100+S1100+T1100,4)</f>
        <v>0</v>
      </c>
      <c r="V1100" s="67">
        <f>ROUND(IF(P1100=0,0,I1100-H1100-O1100)+IF(L1100=0,0,I1100-H1100-K1100),4)</f>
        <v>0</v>
      </c>
      <c r="W1100" s="67">
        <f>ROUND(+(V1100*60%)*D1100,4)</f>
        <v>0</v>
      </c>
      <c r="X1100" s="148">
        <f>ROUND(+U1100+W1100,4)</f>
        <v>0</v>
      </c>
      <c r="Y1100" s="68"/>
      <c r="Z1100" s="148">
        <f>ROUND(IF(X1100&gt;I1100,X1100,I1100),4)</f>
        <v>0</v>
      </c>
      <c r="AD1100" s="78">
        <f t="shared" si="12"/>
        <v>0</v>
      </c>
      <c r="AE1100" s="78">
        <f t="shared" si="13"/>
        <v>0</v>
      </c>
    </row>
    <row r="1101" spans="1:31" x14ac:dyDescent="0.2">
      <c r="A1101" s="66"/>
      <c r="B1101" s="66"/>
      <c r="C1101" s="66"/>
      <c r="D1101" s="144"/>
      <c r="E1101" s="67"/>
      <c r="F1101" s="67"/>
      <c r="G1101" s="67"/>
      <c r="H1101" s="67">
        <f>ROUND(+E1101+G1101,4)</f>
        <v>0</v>
      </c>
      <c r="I1101" s="67"/>
      <c r="J1101" s="67">
        <f>ROUND(+I1101-H1101,4)</f>
        <v>0</v>
      </c>
      <c r="K1101" s="67">
        <f>ROUND(IF(F1101="alluminio",0,I1101*1.5%),4)</f>
        <v>0</v>
      </c>
      <c r="L1101" s="67">
        <f>ROUND(IF(K1101&lt;J1101,K1101,0),4)</f>
        <v>0</v>
      </c>
      <c r="M1101" s="67">
        <f>ROUND(IF(J1101&gt;K1101,0,J1101),4)</f>
        <v>0</v>
      </c>
      <c r="N1101" s="67">
        <f>ROUND(+L1101*D1101,4)</f>
        <v>0</v>
      </c>
      <c r="O1101" s="67">
        <f>ROUND(IF(F1101="rame",0,+I1101*3%),4)</f>
        <v>0</v>
      </c>
      <c r="P1101" s="67">
        <f>ROUND(IF(O1101&lt;J1101,O1101,0),4)</f>
        <v>0</v>
      </c>
      <c r="Q1101" s="67">
        <f>ROUND(IF(J1101&gt;O1101,0,J1101),4)</f>
        <v>0</v>
      </c>
      <c r="R1101" s="67">
        <f>ROUND(+P1101*D1101,4)</f>
        <v>0</v>
      </c>
      <c r="S1101" s="67">
        <f>ROUND(IF(K1101=0,0,M1101*D1101),4)</f>
        <v>0</v>
      </c>
      <c r="T1101" s="67">
        <f>ROUND(+IF(K1101=0,Q1101*D1101,0),4)</f>
        <v>0</v>
      </c>
      <c r="U1101" s="67">
        <f>ROUND(+N1101+R1101+S1101+T1101,4)</f>
        <v>0</v>
      </c>
      <c r="V1101" s="67">
        <f>ROUND(IF(P1101=0,0,I1101-H1101-O1101)+IF(L1101=0,0,I1101-H1101-K1101),4)</f>
        <v>0</v>
      </c>
      <c r="W1101" s="67">
        <f>ROUND(+(V1101*60%)*D1101,4)</f>
        <v>0</v>
      </c>
      <c r="X1101" s="148">
        <f>ROUND(+U1101+W1101,4)</f>
        <v>0</v>
      </c>
      <c r="Y1101" s="68"/>
      <c r="Z1101" s="148">
        <f>ROUND(IF(X1101&gt;I1101,X1101,I1101),4)</f>
        <v>0</v>
      </c>
      <c r="AD1101" s="78">
        <f t="shared" si="12"/>
        <v>0</v>
      </c>
      <c r="AE1101" s="78">
        <f t="shared" si="13"/>
        <v>0</v>
      </c>
    </row>
    <row r="1102" spans="1:31" x14ac:dyDescent="0.2">
      <c r="A1102" s="66"/>
      <c r="B1102" s="66"/>
      <c r="C1102" s="66"/>
      <c r="D1102" s="144"/>
      <c r="E1102" s="67"/>
      <c r="F1102" s="67"/>
      <c r="G1102" s="67"/>
      <c r="H1102" s="67">
        <f>ROUND(+E1102+G1102,4)</f>
        <v>0</v>
      </c>
      <c r="I1102" s="67"/>
      <c r="J1102" s="67">
        <f>ROUND(+I1102-H1102,4)</f>
        <v>0</v>
      </c>
      <c r="K1102" s="67">
        <f>ROUND(IF(F1102="alluminio",0,I1102*1.5%),4)</f>
        <v>0</v>
      </c>
      <c r="L1102" s="67">
        <f>ROUND(IF(K1102&lt;J1102,K1102,0),4)</f>
        <v>0</v>
      </c>
      <c r="M1102" s="67">
        <f>ROUND(IF(J1102&gt;K1102,0,J1102),4)</f>
        <v>0</v>
      </c>
      <c r="N1102" s="67">
        <f>ROUND(+L1102*D1102,4)</f>
        <v>0</v>
      </c>
      <c r="O1102" s="67">
        <f>ROUND(IF(F1102="rame",0,+I1102*3%),4)</f>
        <v>0</v>
      </c>
      <c r="P1102" s="67">
        <f>ROUND(IF(O1102&lt;J1102,O1102,0),4)</f>
        <v>0</v>
      </c>
      <c r="Q1102" s="67">
        <f>ROUND(IF(J1102&gt;O1102,0,J1102),4)</f>
        <v>0</v>
      </c>
      <c r="R1102" s="67">
        <f>ROUND(+P1102*D1102,4)</f>
        <v>0</v>
      </c>
      <c r="S1102" s="67">
        <f>ROUND(IF(K1102=0,0,M1102*D1102),4)</f>
        <v>0</v>
      </c>
      <c r="T1102" s="67">
        <f>ROUND(+IF(K1102=0,Q1102*D1102,0),4)</f>
        <v>0</v>
      </c>
      <c r="U1102" s="67">
        <f>ROUND(+N1102+R1102+S1102+T1102,4)</f>
        <v>0</v>
      </c>
      <c r="V1102" s="67">
        <f>ROUND(IF(P1102=0,0,I1102-H1102-O1102)+IF(L1102=0,0,I1102-H1102-K1102),4)</f>
        <v>0</v>
      </c>
      <c r="W1102" s="67">
        <f>ROUND(+(V1102*60%)*D1102,4)</f>
        <v>0</v>
      </c>
      <c r="X1102" s="148">
        <f>ROUND(+U1102+W1102,4)</f>
        <v>0</v>
      </c>
      <c r="Y1102" s="68"/>
      <c r="Z1102" s="148">
        <f>ROUND(IF(X1102&gt;I1102,X1102,I1102),4)</f>
        <v>0</v>
      </c>
      <c r="AD1102" s="78">
        <f t="shared" si="12"/>
        <v>0</v>
      </c>
      <c r="AE1102" s="78">
        <f t="shared" si="13"/>
        <v>0</v>
      </c>
    </row>
    <row r="1103" spans="1:31" x14ac:dyDescent="0.2">
      <c r="A1103" s="66"/>
      <c r="B1103" s="66"/>
      <c r="C1103" s="66"/>
      <c r="D1103" s="144"/>
      <c r="E1103" s="67"/>
      <c r="F1103" s="67"/>
      <c r="G1103" s="67"/>
      <c r="H1103" s="67">
        <f>ROUND(+E1103+G1103,4)</f>
        <v>0</v>
      </c>
      <c r="I1103" s="67"/>
      <c r="J1103" s="67">
        <f>ROUND(+I1103-H1103,4)</f>
        <v>0</v>
      </c>
      <c r="K1103" s="67">
        <f>ROUND(IF(F1103="alluminio",0,I1103*1.5%),4)</f>
        <v>0</v>
      </c>
      <c r="L1103" s="67">
        <f>ROUND(IF(K1103&lt;J1103,K1103,0),4)</f>
        <v>0</v>
      </c>
      <c r="M1103" s="67">
        <f>ROUND(IF(J1103&gt;K1103,0,J1103),4)</f>
        <v>0</v>
      </c>
      <c r="N1103" s="67">
        <f>ROUND(+L1103*D1103,4)</f>
        <v>0</v>
      </c>
      <c r="O1103" s="67">
        <f>ROUND(IF(F1103="rame",0,+I1103*3%),4)</f>
        <v>0</v>
      </c>
      <c r="P1103" s="67">
        <f>ROUND(IF(O1103&lt;J1103,O1103,0),4)</f>
        <v>0</v>
      </c>
      <c r="Q1103" s="67">
        <f>ROUND(IF(J1103&gt;O1103,0,J1103),4)</f>
        <v>0</v>
      </c>
      <c r="R1103" s="67">
        <f>ROUND(+P1103*D1103,4)</f>
        <v>0</v>
      </c>
      <c r="S1103" s="67">
        <f>ROUND(IF(K1103=0,0,M1103*D1103),4)</f>
        <v>0</v>
      </c>
      <c r="T1103" s="67">
        <f>ROUND(+IF(K1103=0,Q1103*D1103,0),4)</f>
        <v>0</v>
      </c>
      <c r="U1103" s="67">
        <f>ROUND(+N1103+R1103+S1103+T1103,4)</f>
        <v>0</v>
      </c>
      <c r="V1103" s="67">
        <f>ROUND(IF(P1103=0,0,I1103-H1103-O1103)+IF(L1103=0,0,I1103-H1103-K1103),4)</f>
        <v>0</v>
      </c>
      <c r="W1103" s="67">
        <f>ROUND(+(V1103*60%)*D1103,4)</f>
        <v>0</v>
      </c>
      <c r="X1103" s="148">
        <f>ROUND(+U1103+W1103,4)</f>
        <v>0</v>
      </c>
      <c r="Y1103" s="68"/>
      <c r="Z1103" s="148">
        <f>ROUND(IF(X1103&gt;I1103,X1103,I1103),4)</f>
        <v>0</v>
      </c>
      <c r="AD1103" s="78">
        <f t="shared" si="12"/>
        <v>0</v>
      </c>
      <c r="AE1103" s="78">
        <f t="shared" si="13"/>
        <v>0</v>
      </c>
    </row>
    <row r="1104" spans="1:31" x14ac:dyDescent="0.2">
      <c r="A1104" s="66"/>
      <c r="B1104" s="66"/>
      <c r="C1104" s="66"/>
      <c r="D1104" s="144"/>
      <c r="E1104" s="67"/>
      <c r="F1104" s="67"/>
      <c r="G1104" s="67"/>
      <c r="H1104" s="67">
        <f>ROUND(+E1104+G1104,4)</f>
        <v>0</v>
      </c>
      <c r="I1104" s="67"/>
      <c r="J1104" s="67">
        <f>ROUND(+I1104-H1104,4)</f>
        <v>0</v>
      </c>
      <c r="K1104" s="67">
        <f>ROUND(IF(F1104="alluminio",0,I1104*1.5%),4)</f>
        <v>0</v>
      </c>
      <c r="L1104" s="67">
        <f>ROUND(IF(K1104&lt;J1104,K1104,0),4)</f>
        <v>0</v>
      </c>
      <c r="M1104" s="67">
        <f>ROUND(IF(J1104&gt;K1104,0,J1104),4)</f>
        <v>0</v>
      </c>
      <c r="N1104" s="67">
        <f>ROUND(+L1104*D1104,4)</f>
        <v>0</v>
      </c>
      <c r="O1104" s="67">
        <f>ROUND(IF(F1104="rame",0,+I1104*3%),4)</f>
        <v>0</v>
      </c>
      <c r="P1104" s="67">
        <f>ROUND(IF(O1104&lt;J1104,O1104,0),4)</f>
        <v>0</v>
      </c>
      <c r="Q1104" s="67">
        <f>ROUND(IF(J1104&gt;O1104,0,J1104),4)</f>
        <v>0</v>
      </c>
      <c r="R1104" s="67">
        <f>ROUND(+P1104*D1104,4)</f>
        <v>0</v>
      </c>
      <c r="S1104" s="67">
        <f>ROUND(IF(K1104=0,0,M1104*D1104),4)</f>
        <v>0</v>
      </c>
      <c r="T1104" s="67">
        <f>ROUND(+IF(K1104=0,Q1104*D1104,0),4)</f>
        <v>0</v>
      </c>
      <c r="U1104" s="67">
        <f>ROUND(+N1104+R1104+S1104+T1104,4)</f>
        <v>0</v>
      </c>
      <c r="V1104" s="67">
        <f>ROUND(IF(P1104=0,0,I1104-H1104-O1104)+IF(L1104=0,0,I1104-H1104-K1104),4)</f>
        <v>0</v>
      </c>
      <c r="W1104" s="67">
        <f>ROUND(+(V1104*60%)*D1104,4)</f>
        <v>0</v>
      </c>
      <c r="X1104" s="148">
        <f>ROUND(+U1104+W1104,4)</f>
        <v>0</v>
      </c>
      <c r="Y1104" s="68"/>
      <c r="Z1104" s="148">
        <f>ROUND(IF(X1104&gt;I1104,X1104,I1104),4)</f>
        <v>0</v>
      </c>
      <c r="AD1104" s="78">
        <f t="shared" si="12"/>
        <v>0</v>
      </c>
      <c r="AE1104" s="78">
        <f t="shared" si="13"/>
        <v>0</v>
      </c>
    </row>
    <row r="1105" spans="1:31" x14ac:dyDescent="0.2">
      <c r="A1105" s="66"/>
      <c r="B1105" s="66"/>
      <c r="C1105" s="66"/>
      <c r="D1105" s="144"/>
      <c r="E1105" s="67"/>
      <c r="F1105" s="67"/>
      <c r="G1105" s="67"/>
      <c r="H1105" s="67">
        <f>ROUND(+E1105+G1105,4)</f>
        <v>0</v>
      </c>
      <c r="I1105" s="67"/>
      <c r="J1105" s="67">
        <f>ROUND(+I1105-H1105,4)</f>
        <v>0</v>
      </c>
      <c r="K1105" s="67">
        <f>ROUND(IF(F1105="alluminio",0,I1105*1.5%),4)</f>
        <v>0</v>
      </c>
      <c r="L1105" s="67">
        <f>ROUND(IF(K1105&lt;J1105,K1105,0),4)</f>
        <v>0</v>
      </c>
      <c r="M1105" s="67">
        <f>ROUND(IF(J1105&gt;K1105,0,J1105),4)</f>
        <v>0</v>
      </c>
      <c r="N1105" s="67">
        <f>ROUND(+L1105*D1105,4)</f>
        <v>0</v>
      </c>
      <c r="O1105" s="67">
        <f>ROUND(IF(F1105="rame",0,+I1105*3%),4)</f>
        <v>0</v>
      </c>
      <c r="P1105" s="67">
        <f>ROUND(IF(O1105&lt;J1105,O1105,0),4)</f>
        <v>0</v>
      </c>
      <c r="Q1105" s="67">
        <f>ROUND(IF(J1105&gt;O1105,0,J1105),4)</f>
        <v>0</v>
      </c>
      <c r="R1105" s="67">
        <f>ROUND(+P1105*D1105,4)</f>
        <v>0</v>
      </c>
      <c r="S1105" s="67">
        <f>ROUND(IF(K1105=0,0,M1105*D1105),4)</f>
        <v>0</v>
      </c>
      <c r="T1105" s="67">
        <f>ROUND(+IF(K1105=0,Q1105*D1105,0),4)</f>
        <v>0</v>
      </c>
      <c r="U1105" s="67">
        <f>ROUND(+N1105+R1105+S1105+T1105,4)</f>
        <v>0</v>
      </c>
      <c r="V1105" s="67">
        <f>ROUND(IF(P1105=0,0,I1105-H1105-O1105)+IF(L1105=0,0,I1105-H1105-K1105),4)</f>
        <v>0</v>
      </c>
      <c r="W1105" s="67">
        <f>ROUND(+(V1105*60%)*D1105,4)</f>
        <v>0</v>
      </c>
      <c r="X1105" s="148">
        <f>ROUND(+U1105+W1105,4)</f>
        <v>0</v>
      </c>
      <c r="Y1105" s="68"/>
      <c r="Z1105" s="148">
        <f>ROUND(IF(X1105&gt;I1105,X1105,I1105),4)</f>
        <v>0</v>
      </c>
      <c r="AD1105" s="78">
        <f t="shared" si="12"/>
        <v>0</v>
      </c>
      <c r="AE1105" s="78">
        <f t="shared" si="13"/>
        <v>0</v>
      </c>
    </row>
    <row r="1106" spans="1:31" x14ac:dyDescent="0.2">
      <c r="A1106" s="66"/>
      <c r="B1106" s="66"/>
      <c r="C1106" s="66"/>
      <c r="D1106" s="144"/>
      <c r="E1106" s="67"/>
      <c r="F1106" s="67"/>
      <c r="G1106" s="67"/>
      <c r="H1106" s="67">
        <f>ROUND(+E1106+G1106,4)</f>
        <v>0</v>
      </c>
      <c r="I1106" s="67"/>
      <c r="J1106" s="67">
        <f>ROUND(+I1106-H1106,4)</f>
        <v>0</v>
      </c>
      <c r="K1106" s="67">
        <f>ROUND(IF(F1106="alluminio",0,I1106*1.5%),4)</f>
        <v>0</v>
      </c>
      <c r="L1106" s="67">
        <f>ROUND(IF(K1106&lt;J1106,K1106,0),4)</f>
        <v>0</v>
      </c>
      <c r="M1106" s="67">
        <f>ROUND(IF(J1106&gt;K1106,0,J1106),4)</f>
        <v>0</v>
      </c>
      <c r="N1106" s="67">
        <f>ROUND(+L1106*D1106,4)</f>
        <v>0</v>
      </c>
      <c r="O1106" s="67">
        <f>ROUND(IF(F1106="rame",0,+I1106*3%),4)</f>
        <v>0</v>
      </c>
      <c r="P1106" s="67">
        <f>ROUND(IF(O1106&lt;J1106,O1106,0),4)</f>
        <v>0</v>
      </c>
      <c r="Q1106" s="67">
        <f>ROUND(IF(J1106&gt;O1106,0,J1106),4)</f>
        <v>0</v>
      </c>
      <c r="R1106" s="67">
        <f>ROUND(+P1106*D1106,4)</f>
        <v>0</v>
      </c>
      <c r="S1106" s="67">
        <f>ROUND(IF(K1106=0,0,M1106*D1106),4)</f>
        <v>0</v>
      </c>
      <c r="T1106" s="67">
        <f>ROUND(+IF(K1106=0,Q1106*D1106,0),4)</f>
        <v>0</v>
      </c>
      <c r="U1106" s="67">
        <f>ROUND(+N1106+R1106+S1106+T1106,4)</f>
        <v>0</v>
      </c>
      <c r="V1106" s="67">
        <f>ROUND(IF(P1106=0,0,I1106-H1106-O1106)+IF(L1106=0,0,I1106-H1106-K1106),4)</f>
        <v>0</v>
      </c>
      <c r="W1106" s="67">
        <f>ROUND(+(V1106*60%)*D1106,4)</f>
        <v>0</v>
      </c>
      <c r="X1106" s="148">
        <f>ROUND(+U1106+W1106,4)</f>
        <v>0</v>
      </c>
      <c r="Y1106" s="68"/>
      <c r="Z1106" s="148">
        <f>ROUND(IF(X1106&gt;I1106,X1106,I1106),4)</f>
        <v>0</v>
      </c>
      <c r="AD1106" s="78">
        <f t="shared" si="12"/>
        <v>0</v>
      </c>
      <c r="AE1106" s="78">
        <f t="shared" si="13"/>
        <v>0</v>
      </c>
    </row>
    <row r="1107" spans="1:31" x14ac:dyDescent="0.2">
      <c r="A1107" s="66"/>
      <c r="B1107" s="66"/>
      <c r="C1107" s="66"/>
      <c r="D1107" s="144"/>
      <c r="E1107" s="67"/>
      <c r="F1107" s="67"/>
      <c r="G1107" s="67"/>
      <c r="H1107" s="67">
        <f>ROUND(+E1107+G1107,4)</f>
        <v>0</v>
      </c>
      <c r="I1107" s="67"/>
      <c r="J1107" s="67">
        <f>ROUND(+I1107-H1107,4)</f>
        <v>0</v>
      </c>
      <c r="K1107" s="67">
        <f>ROUND(IF(F1107="alluminio",0,I1107*1.5%),4)</f>
        <v>0</v>
      </c>
      <c r="L1107" s="67">
        <f>ROUND(IF(K1107&lt;J1107,K1107,0),4)</f>
        <v>0</v>
      </c>
      <c r="M1107" s="67">
        <f>ROUND(IF(J1107&gt;K1107,0,J1107),4)</f>
        <v>0</v>
      </c>
      <c r="N1107" s="67">
        <f>ROUND(+L1107*D1107,4)</f>
        <v>0</v>
      </c>
      <c r="O1107" s="67">
        <f>ROUND(IF(F1107="rame",0,+I1107*3%),4)</f>
        <v>0</v>
      </c>
      <c r="P1107" s="67">
        <f>ROUND(IF(O1107&lt;J1107,O1107,0),4)</f>
        <v>0</v>
      </c>
      <c r="Q1107" s="67">
        <f>ROUND(IF(J1107&gt;O1107,0,J1107),4)</f>
        <v>0</v>
      </c>
      <c r="R1107" s="67">
        <f>ROUND(+P1107*D1107,4)</f>
        <v>0</v>
      </c>
      <c r="S1107" s="67">
        <f>ROUND(IF(K1107=0,0,M1107*D1107),4)</f>
        <v>0</v>
      </c>
      <c r="T1107" s="67">
        <f>ROUND(+IF(K1107=0,Q1107*D1107,0),4)</f>
        <v>0</v>
      </c>
      <c r="U1107" s="67">
        <f>ROUND(+N1107+R1107+S1107+T1107,4)</f>
        <v>0</v>
      </c>
      <c r="V1107" s="67">
        <f>ROUND(IF(P1107=0,0,I1107-H1107-O1107)+IF(L1107=0,0,I1107-H1107-K1107),4)</f>
        <v>0</v>
      </c>
      <c r="W1107" s="67">
        <f>ROUND(+(V1107*60%)*D1107,4)</f>
        <v>0</v>
      </c>
      <c r="X1107" s="148">
        <f>ROUND(+U1107+W1107,4)</f>
        <v>0</v>
      </c>
      <c r="Y1107" s="68"/>
      <c r="Z1107" s="148">
        <f>ROUND(IF(X1107&gt;I1107,X1107,I1107),4)</f>
        <v>0</v>
      </c>
      <c r="AD1107" s="78">
        <f t="shared" si="12"/>
        <v>0</v>
      </c>
      <c r="AE1107" s="78">
        <f t="shared" si="13"/>
        <v>0</v>
      </c>
    </row>
    <row r="1108" spans="1:31" x14ac:dyDescent="0.2">
      <c r="A1108" s="66"/>
      <c r="B1108" s="66"/>
      <c r="C1108" s="66"/>
      <c r="D1108" s="144"/>
      <c r="E1108" s="67"/>
      <c r="F1108" s="67"/>
      <c r="G1108" s="67"/>
      <c r="H1108" s="67">
        <f>ROUND(+E1108+G1108,4)</f>
        <v>0</v>
      </c>
      <c r="I1108" s="67"/>
      <c r="J1108" s="67">
        <f>ROUND(+I1108-H1108,4)</f>
        <v>0</v>
      </c>
      <c r="K1108" s="67">
        <f>ROUND(IF(F1108="alluminio",0,I1108*1.5%),4)</f>
        <v>0</v>
      </c>
      <c r="L1108" s="67">
        <f>ROUND(IF(K1108&lt;J1108,K1108,0),4)</f>
        <v>0</v>
      </c>
      <c r="M1108" s="67">
        <f>ROUND(IF(J1108&gt;K1108,0,J1108),4)</f>
        <v>0</v>
      </c>
      <c r="N1108" s="67">
        <f>ROUND(+L1108*D1108,4)</f>
        <v>0</v>
      </c>
      <c r="O1108" s="67">
        <f>ROUND(IF(F1108="rame",0,+I1108*3%),4)</f>
        <v>0</v>
      </c>
      <c r="P1108" s="67">
        <f>ROUND(IF(O1108&lt;J1108,O1108,0),4)</f>
        <v>0</v>
      </c>
      <c r="Q1108" s="67">
        <f>ROUND(IF(J1108&gt;O1108,0,J1108),4)</f>
        <v>0</v>
      </c>
      <c r="R1108" s="67">
        <f>ROUND(+P1108*D1108,4)</f>
        <v>0</v>
      </c>
      <c r="S1108" s="67">
        <f>ROUND(IF(K1108=0,0,M1108*D1108),4)</f>
        <v>0</v>
      </c>
      <c r="T1108" s="67">
        <f>ROUND(+IF(K1108=0,Q1108*D1108,0),4)</f>
        <v>0</v>
      </c>
      <c r="U1108" s="67">
        <f>ROUND(+N1108+R1108+S1108+T1108,4)</f>
        <v>0</v>
      </c>
      <c r="V1108" s="67">
        <f>ROUND(IF(P1108=0,0,I1108-H1108-O1108)+IF(L1108=0,0,I1108-H1108-K1108),4)</f>
        <v>0</v>
      </c>
      <c r="W1108" s="67">
        <f>ROUND(+(V1108*60%)*D1108,4)</f>
        <v>0</v>
      </c>
      <c r="X1108" s="148">
        <f>ROUND(+U1108+W1108,4)</f>
        <v>0</v>
      </c>
      <c r="Y1108" s="68"/>
      <c r="Z1108" s="148">
        <f>ROUND(IF(X1108&gt;I1108,X1108,I1108),4)</f>
        <v>0</v>
      </c>
      <c r="AD1108" s="78">
        <f t="shared" si="12"/>
        <v>0</v>
      </c>
      <c r="AE1108" s="78">
        <f t="shared" si="13"/>
        <v>0</v>
      </c>
    </row>
    <row r="1109" spans="1:31" x14ac:dyDescent="0.2">
      <c r="A1109" s="66"/>
      <c r="B1109" s="66"/>
      <c r="C1109" s="66"/>
      <c r="D1109" s="144"/>
      <c r="E1109" s="67"/>
      <c r="F1109" s="67"/>
      <c r="G1109" s="67"/>
      <c r="H1109" s="67">
        <f>ROUND(+E1109+G1109,4)</f>
        <v>0</v>
      </c>
      <c r="I1109" s="67"/>
      <c r="J1109" s="67">
        <f>ROUND(+I1109-H1109,4)</f>
        <v>0</v>
      </c>
      <c r="K1109" s="67">
        <f>ROUND(IF(F1109="alluminio",0,I1109*1.5%),4)</f>
        <v>0</v>
      </c>
      <c r="L1109" s="67">
        <f>ROUND(IF(K1109&lt;J1109,K1109,0),4)</f>
        <v>0</v>
      </c>
      <c r="M1109" s="67">
        <f>ROUND(IF(J1109&gt;K1109,0,J1109),4)</f>
        <v>0</v>
      </c>
      <c r="N1109" s="67">
        <f>ROUND(+L1109*D1109,4)</f>
        <v>0</v>
      </c>
      <c r="O1109" s="67">
        <f>ROUND(IF(F1109="rame",0,+I1109*3%),4)</f>
        <v>0</v>
      </c>
      <c r="P1109" s="67">
        <f>ROUND(IF(O1109&lt;J1109,O1109,0),4)</f>
        <v>0</v>
      </c>
      <c r="Q1109" s="67">
        <f>ROUND(IF(J1109&gt;O1109,0,J1109),4)</f>
        <v>0</v>
      </c>
      <c r="R1109" s="67">
        <f>ROUND(+P1109*D1109,4)</f>
        <v>0</v>
      </c>
      <c r="S1109" s="67">
        <f>ROUND(IF(K1109=0,0,M1109*D1109),4)</f>
        <v>0</v>
      </c>
      <c r="T1109" s="67">
        <f>ROUND(+IF(K1109=0,Q1109*D1109,0),4)</f>
        <v>0</v>
      </c>
      <c r="U1109" s="67">
        <f>ROUND(+N1109+R1109+S1109+T1109,4)</f>
        <v>0</v>
      </c>
      <c r="V1109" s="67">
        <f>ROUND(IF(P1109=0,0,I1109-H1109-O1109)+IF(L1109=0,0,I1109-H1109-K1109),4)</f>
        <v>0</v>
      </c>
      <c r="W1109" s="67">
        <f>ROUND(+(V1109*60%)*D1109,4)</f>
        <v>0</v>
      </c>
      <c r="X1109" s="148">
        <f>ROUND(+U1109+W1109,4)</f>
        <v>0</v>
      </c>
      <c r="Y1109" s="68"/>
      <c r="Z1109" s="148">
        <f>ROUND(IF(X1109&gt;I1109,X1109,I1109),4)</f>
        <v>0</v>
      </c>
      <c r="AD1109" s="78">
        <f t="shared" si="12"/>
        <v>0</v>
      </c>
      <c r="AE1109" s="78">
        <f t="shared" si="13"/>
        <v>0</v>
      </c>
    </row>
    <row r="1110" spans="1:31" x14ac:dyDescent="0.2">
      <c r="A1110" s="66"/>
      <c r="B1110" s="66"/>
      <c r="C1110" s="66"/>
      <c r="D1110" s="144"/>
      <c r="E1110" s="67"/>
      <c r="F1110" s="67"/>
      <c r="G1110" s="67"/>
      <c r="H1110" s="67">
        <f>ROUND(+E1110+G1110,4)</f>
        <v>0</v>
      </c>
      <c r="I1110" s="67"/>
      <c r="J1110" s="67">
        <f>ROUND(+I1110-H1110,4)</f>
        <v>0</v>
      </c>
      <c r="K1110" s="67">
        <f>ROUND(IF(F1110="alluminio",0,I1110*1.5%),4)</f>
        <v>0</v>
      </c>
      <c r="L1110" s="67">
        <f>ROUND(IF(K1110&lt;J1110,K1110,0),4)</f>
        <v>0</v>
      </c>
      <c r="M1110" s="67">
        <f>ROUND(IF(J1110&gt;K1110,0,J1110),4)</f>
        <v>0</v>
      </c>
      <c r="N1110" s="67">
        <f>ROUND(+L1110*D1110,4)</f>
        <v>0</v>
      </c>
      <c r="O1110" s="67">
        <f>ROUND(IF(F1110="rame",0,+I1110*3%),4)</f>
        <v>0</v>
      </c>
      <c r="P1110" s="67">
        <f>ROUND(IF(O1110&lt;J1110,O1110,0),4)</f>
        <v>0</v>
      </c>
      <c r="Q1110" s="67">
        <f>ROUND(IF(J1110&gt;O1110,0,J1110),4)</f>
        <v>0</v>
      </c>
      <c r="R1110" s="67">
        <f>ROUND(+P1110*D1110,4)</f>
        <v>0</v>
      </c>
      <c r="S1110" s="67">
        <f>ROUND(IF(K1110=0,0,M1110*D1110),4)</f>
        <v>0</v>
      </c>
      <c r="T1110" s="67">
        <f>ROUND(+IF(K1110=0,Q1110*D1110,0),4)</f>
        <v>0</v>
      </c>
      <c r="U1110" s="67">
        <f>ROUND(+N1110+R1110+S1110+T1110,4)</f>
        <v>0</v>
      </c>
      <c r="V1110" s="67">
        <f>ROUND(IF(P1110=0,0,I1110-H1110-O1110)+IF(L1110=0,0,I1110-H1110-K1110),4)</f>
        <v>0</v>
      </c>
      <c r="W1110" s="67">
        <f>ROUND(+(V1110*60%)*D1110,4)</f>
        <v>0</v>
      </c>
      <c r="X1110" s="148">
        <f>ROUND(+U1110+W1110,4)</f>
        <v>0</v>
      </c>
      <c r="Y1110" s="68"/>
      <c r="Z1110" s="148">
        <f>ROUND(IF(X1110&gt;I1110,X1110,I1110),4)</f>
        <v>0</v>
      </c>
      <c r="AD1110" s="78">
        <f t="shared" si="12"/>
        <v>0</v>
      </c>
      <c r="AE1110" s="78">
        <f t="shared" si="13"/>
        <v>0</v>
      </c>
    </row>
    <row r="1111" spans="1:31" x14ac:dyDescent="0.2">
      <c r="A1111" s="66"/>
      <c r="B1111" s="66"/>
      <c r="C1111" s="66"/>
      <c r="D1111" s="144"/>
      <c r="E1111" s="67"/>
      <c r="F1111" s="67"/>
      <c r="G1111" s="67"/>
      <c r="H1111" s="67">
        <f>ROUND(+E1111+G1111,4)</f>
        <v>0</v>
      </c>
      <c r="I1111" s="67"/>
      <c r="J1111" s="67">
        <f>ROUND(+I1111-H1111,4)</f>
        <v>0</v>
      </c>
      <c r="K1111" s="67">
        <f>ROUND(IF(F1111="alluminio",0,I1111*1.5%),4)</f>
        <v>0</v>
      </c>
      <c r="L1111" s="67">
        <f>ROUND(IF(K1111&lt;J1111,K1111,0),4)</f>
        <v>0</v>
      </c>
      <c r="M1111" s="67">
        <f>ROUND(IF(J1111&gt;K1111,0,J1111),4)</f>
        <v>0</v>
      </c>
      <c r="N1111" s="67">
        <f>ROUND(+L1111*D1111,4)</f>
        <v>0</v>
      </c>
      <c r="O1111" s="67">
        <f>ROUND(IF(F1111="rame",0,+I1111*3%),4)</f>
        <v>0</v>
      </c>
      <c r="P1111" s="67">
        <f>ROUND(IF(O1111&lt;J1111,O1111,0),4)</f>
        <v>0</v>
      </c>
      <c r="Q1111" s="67">
        <f>ROUND(IF(J1111&gt;O1111,0,J1111),4)</f>
        <v>0</v>
      </c>
      <c r="R1111" s="67">
        <f>ROUND(+P1111*D1111,4)</f>
        <v>0</v>
      </c>
      <c r="S1111" s="67">
        <f>ROUND(IF(K1111=0,0,M1111*D1111),4)</f>
        <v>0</v>
      </c>
      <c r="T1111" s="67">
        <f>ROUND(+IF(K1111=0,Q1111*D1111,0),4)</f>
        <v>0</v>
      </c>
      <c r="U1111" s="67">
        <f>ROUND(+N1111+R1111+S1111+T1111,4)</f>
        <v>0</v>
      </c>
      <c r="V1111" s="67">
        <f>ROUND(IF(P1111=0,0,I1111-H1111-O1111)+IF(L1111=0,0,I1111-H1111-K1111),4)</f>
        <v>0</v>
      </c>
      <c r="W1111" s="67">
        <f>ROUND(+(V1111*60%)*D1111,4)</f>
        <v>0</v>
      </c>
      <c r="X1111" s="148">
        <f>ROUND(+U1111+W1111,4)</f>
        <v>0</v>
      </c>
      <c r="Y1111" s="68"/>
      <c r="Z1111" s="148">
        <f>ROUND(IF(X1111&gt;I1111,X1111,I1111),4)</f>
        <v>0</v>
      </c>
      <c r="AD1111" s="78">
        <f t="shared" si="12"/>
        <v>0</v>
      </c>
      <c r="AE1111" s="78">
        <f t="shared" si="13"/>
        <v>0</v>
      </c>
    </row>
    <row r="1112" spans="1:31" x14ac:dyDescent="0.2">
      <c r="A1112" s="66"/>
      <c r="B1112" s="66"/>
      <c r="C1112" s="66"/>
      <c r="D1112" s="144"/>
      <c r="E1112" s="67"/>
      <c r="F1112" s="67"/>
      <c r="G1112" s="67"/>
      <c r="H1112" s="67">
        <f>ROUND(+E1112+G1112,4)</f>
        <v>0</v>
      </c>
      <c r="I1112" s="67"/>
      <c r="J1112" s="67">
        <f>ROUND(+I1112-H1112,4)</f>
        <v>0</v>
      </c>
      <c r="K1112" s="67">
        <f>ROUND(IF(F1112="alluminio",0,I1112*1.5%),4)</f>
        <v>0</v>
      </c>
      <c r="L1112" s="67">
        <f>ROUND(IF(K1112&lt;J1112,K1112,0),4)</f>
        <v>0</v>
      </c>
      <c r="M1112" s="67">
        <f>ROUND(IF(J1112&gt;K1112,0,J1112),4)</f>
        <v>0</v>
      </c>
      <c r="N1112" s="67">
        <f>ROUND(+L1112*D1112,4)</f>
        <v>0</v>
      </c>
      <c r="O1112" s="67">
        <f>ROUND(IF(F1112="rame",0,+I1112*3%),4)</f>
        <v>0</v>
      </c>
      <c r="P1112" s="67">
        <f>ROUND(IF(O1112&lt;J1112,O1112,0),4)</f>
        <v>0</v>
      </c>
      <c r="Q1112" s="67">
        <f>ROUND(IF(J1112&gt;O1112,0,J1112),4)</f>
        <v>0</v>
      </c>
      <c r="R1112" s="67">
        <f>ROUND(+P1112*D1112,4)</f>
        <v>0</v>
      </c>
      <c r="S1112" s="67">
        <f>ROUND(IF(K1112=0,0,M1112*D1112),4)</f>
        <v>0</v>
      </c>
      <c r="T1112" s="67">
        <f>ROUND(+IF(K1112=0,Q1112*D1112,0),4)</f>
        <v>0</v>
      </c>
      <c r="U1112" s="67">
        <f>ROUND(+N1112+R1112+S1112+T1112,4)</f>
        <v>0</v>
      </c>
      <c r="V1112" s="67">
        <f>ROUND(IF(P1112=0,0,I1112-H1112-O1112)+IF(L1112=0,0,I1112-H1112-K1112),4)</f>
        <v>0</v>
      </c>
      <c r="W1112" s="67">
        <f>ROUND(+(V1112*60%)*D1112,4)</f>
        <v>0</v>
      </c>
      <c r="X1112" s="148">
        <f>ROUND(+U1112+W1112,4)</f>
        <v>0</v>
      </c>
      <c r="Y1112" s="68"/>
      <c r="Z1112" s="148">
        <f>ROUND(IF(X1112&gt;I1112,X1112,I1112),4)</f>
        <v>0</v>
      </c>
      <c r="AD1112" s="78">
        <f t="shared" si="12"/>
        <v>0</v>
      </c>
      <c r="AE1112" s="78">
        <f t="shared" si="13"/>
        <v>0</v>
      </c>
    </row>
    <row r="1113" spans="1:31" x14ac:dyDescent="0.2">
      <c r="A1113" s="66"/>
      <c r="B1113" s="66"/>
      <c r="C1113" s="66"/>
      <c r="D1113" s="144"/>
      <c r="E1113" s="67"/>
      <c r="F1113" s="67"/>
      <c r="G1113" s="67"/>
      <c r="H1113" s="67">
        <f>ROUND(+E1113+G1113,4)</f>
        <v>0</v>
      </c>
      <c r="I1113" s="67"/>
      <c r="J1113" s="67">
        <f>ROUND(+I1113-H1113,4)</f>
        <v>0</v>
      </c>
      <c r="K1113" s="67">
        <f>ROUND(IF(F1113="alluminio",0,I1113*1.5%),4)</f>
        <v>0</v>
      </c>
      <c r="L1113" s="67">
        <f>ROUND(IF(K1113&lt;J1113,K1113,0),4)</f>
        <v>0</v>
      </c>
      <c r="M1113" s="67">
        <f>ROUND(IF(J1113&gt;K1113,0,J1113),4)</f>
        <v>0</v>
      </c>
      <c r="N1113" s="67">
        <f>ROUND(+L1113*D1113,4)</f>
        <v>0</v>
      </c>
      <c r="O1113" s="67">
        <f>ROUND(IF(F1113="rame",0,+I1113*3%),4)</f>
        <v>0</v>
      </c>
      <c r="P1113" s="67">
        <f>ROUND(IF(O1113&lt;J1113,O1113,0),4)</f>
        <v>0</v>
      </c>
      <c r="Q1113" s="67">
        <f>ROUND(IF(J1113&gt;O1113,0,J1113),4)</f>
        <v>0</v>
      </c>
      <c r="R1113" s="67">
        <f>ROUND(+P1113*D1113,4)</f>
        <v>0</v>
      </c>
      <c r="S1113" s="67">
        <f>ROUND(IF(K1113=0,0,M1113*D1113),4)</f>
        <v>0</v>
      </c>
      <c r="T1113" s="67">
        <f>ROUND(+IF(K1113=0,Q1113*D1113,0),4)</f>
        <v>0</v>
      </c>
      <c r="U1113" s="67">
        <f>ROUND(+N1113+R1113+S1113+T1113,4)</f>
        <v>0</v>
      </c>
      <c r="V1113" s="67">
        <f>ROUND(IF(P1113=0,0,I1113-H1113-O1113)+IF(L1113=0,0,I1113-H1113-K1113),4)</f>
        <v>0</v>
      </c>
      <c r="W1113" s="67">
        <f>ROUND(+(V1113*60%)*D1113,4)</f>
        <v>0</v>
      </c>
      <c r="X1113" s="148">
        <f>ROUND(+U1113+W1113,4)</f>
        <v>0</v>
      </c>
      <c r="Y1113" s="68"/>
      <c r="Z1113" s="148">
        <f>ROUND(IF(X1113&gt;I1113,X1113,I1113),4)</f>
        <v>0</v>
      </c>
      <c r="AD1113" s="78">
        <f t="shared" si="12"/>
        <v>0</v>
      </c>
      <c r="AE1113" s="78">
        <f t="shared" si="13"/>
        <v>0</v>
      </c>
    </row>
    <row r="1114" spans="1:31" x14ac:dyDescent="0.2">
      <c r="A1114" s="66"/>
      <c r="B1114" s="66"/>
      <c r="C1114" s="66"/>
      <c r="D1114" s="144"/>
      <c r="E1114" s="67"/>
      <c r="F1114" s="67"/>
      <c r="G1114" s="67"/>
      <c r="H1114" s="67">
        <f>ROUND(+E1114+G1114,4)</f>
        <v>0</v>
      </c>
      <c r="I1114" s="67"/>
      <c r="J1114" s="67">
        <f>ROUND(+I1114-H1114,4)</f>
        <v>0</v>
      </c>
      <c r="K1114" s="67">
        <f>ROUND(IF(F1114="alluminio",0,I1114*1.5%),4)</f>
        <v>0</v>
      </c>
      <c r="L1114" s="67">
        <f>ROUND(IF(K1114&lt;J1114,K1114,0),4)</f>
        <v>0</v>
      </c>
      <c r="M1114" s="67">
        <f>ROUND(IF(J1114&gt;K1114,0,J1114),4)</f>
        <v>0</v>
      </c>
      <c r="N1114" s="67">
        <f>ROUND(+L1114*D1114,4)</f>
        <v>0</v>
      </c>
      <c r="O1114" s="67">
        <f>ROUND(IF(F1114="rame",0,+I1114*3%),4)</f>
        <v>0</v>
      </c>
      <c r="P1114" s="67">
        <f>ROUND(IF(O1114&lt;J1114,O1114,0),4)</f>
        <v>0</v>
      </c>
      <c r="Q1114" s="67">
        <f>ROUND(IF(J1114&gt;O1114,0,J1114),4)</f>
        <v>0</v>
      </c>
      <c r="R1114" s="67">
        <f>ROUND(+P1114*D1114,4)</f>
        <v>0</v>
      </c>
      <c r="S1114" s="67">
        <f>ROUND(IF(K1114=0,0,M1114*D1114),4)</f>
        <v>0</v>
      </c>
      <c r="T1114" s="67">
        <f>ROUND(+IF(K1114=0,Q1114*D1114,0),4)</f>
        <v>0</v>
      </c>
      <c r="U1114" s="67">
        <f>ROUND(+N1114+R1114+S1114+T1114,4)</f>
        <v>0</v>
      </c>
      <c r="V1114" s="67">
        <f>ROUND(IF(P1114=0,0,I1114-H1114-O1114)+IF(L1114=0,0,I1114-H1114-K1114),4)</f>
        <v>0</v>
      </c>
      <c r="W1114" s="67">
        <f>ROUND(+(V1114*60%)*D1114,4)</f>
        <v>0</v>
      </c>
      <c r="X1114" s="148">
        <f>ROUND(+U1114+W1114,4)</f>
        <v>0</v>
      </c>
      <c r="Y1114" s="68"/>
      <c r="Z1114" s="148">
        <f>ROUND(IF(X1114&gt;I1114,X1114,I1114),4)</f>
        <v>0</v>
      </c>
      <c r="AD1114" s="78">
        <f t="shared" si="12"/>
        <v>0</v>
      </c>
      <c r="AE1114" s="78">
        <f t="shared" si="13"/>
        <v>0</v>
      </c>
    </row>
    <row r="1115" spans="1:31" x14ac:dyDescent="0.2">
      <c r="A1115" s="66"/>
      <c r="B1115" s="66"/>
      <c r="C1115" s="66"/>
      <c r="D1115" s="144"/>
      <c r="E1115" s="67"/>
      <c r="F1115" s="67"/>
      <c r="G1115" s="67"/>
      <c r="H1115" s="67">
        <f>ROUND(+E1115+G1115,4)</f>
        <v>0</v>
      </c>
      <c r="I1115" s="67"/>
      <c r="J1115" s="67">
        <f>ROUND(+I1115-H1115,4)</f>
        <v>0</v>
      </c>
      <c r="K1115" s="67">
        <f>ROUND(IF(F1115="alluminio",0,I1115*1.5%),4)</f>
        <v>0</v>
      </c>
      <c r="L1115" s="67">
        <f>ROUND(IF(K1115&lt;J1115,K1115,0),4)</f>
        <v>0</v>
      </c>
      <c r="M1115" s="67">
        <f>ROUND(IF(J1115&gt;K1115,0,J1115),4)</f>
        <v>0</v>
      </c>
      <c r="N1115" s="67">
        <f>ROUND(+L1115*D1115,4)</f>
        <v>0</v>
      </c>
      <c r="O1115" s="67">
        <f>ROUND(IF(F1115="rame",0,+I1115*3%),4)</f>
        <v>0</v>
      </c>
      <c r="P1115" s="67">
        <f>ROUND(IF(O1115&lt;J1115,O1115,0),4)</f>
        <v>0</v>
      </c>
      <c r="Q1115" s="67">
        <f>ROUND(IF(J1115&gt;O1115,0,J1115),4)</f>
        <v>0</v>
      </c>
      <c r="R1115" s="67">
        <f>ROUND(+P1115*D1115,4)</f>
        <v>0</v>
      </c>
      <c r="S1115" s="67">
        <f>ROUND(IF(K1115=0,0,M1115*D1115),4)</f>
        <v>0</v>
      </c>
      <c r="T1115" s="67">
        <f>ROUND(+IF(K1115=0,Q1115*D1115,0),4)</f>
        <v>0</v>
      </c>
      <c r="U1115" s="67">
        <f>ROUND(+N1115+R1115+S1115+T1115,4)</f>
        <v>0</v>
      </c>
      <c r="V1115" s="67">
        <f>ROUND(IF(P1115=0,0,I1115-H1115-O1115)+IF(L1115=0,0,I1115-H1115-K1115),4)</f>
        <v>0</v>
      </c>
      <c r="W1115" s="67">
        <f>ROUND(+(V1115*60%)*D1115,4)</f>
        <v>0</v>
      </c>
      <c r="X1115" s="148">
        <f>ROUND(+U1115+W1115,4)</f>
        <v>0</v>
      </c>
      <c r="Y1115" s="68"/>
      <c r="Z1115" s="148">
        <f>ROUND(IF(X1115&gt;I1115,X1115,I1115),4)</f>
        <v>0</v>
      </c>
      <c r="AD1115" s="78">
        <f t="shared" si="12"/>
        <v>0</v>
      </c>
      <c r="AE1115" s="78">
        <f t="shared" si="13"/>
        <v>0</v>
      </c>
    </row>
    <row r="1116" spans="1:31" x14ac:dyDescent="0.2">
      <c r="A1116" s="66"/>
      <c r="B1116" s="66"/>
      <c r="C1116" s="66"/>
      <c r="D1116" s="144"/>
      <c r="E1116" s="67"/>
      <c r="F1116" s="67"/>
      <c r="G1116" s="67"/>
      <c r="H1116" s="67">
        <f>ROUND(+E1116+G1116,4)</f>
        <v>0</v>
      </c>
      <c r="I1116" s="67"/>
      <c r="J1116" s="67">
        <f>ROUND(+I1116-H1116,4)</f>
        <v>0</v>
      </c>
      <c r="K1116" s="67">
        <f>ROUND(IF(F1116="alluminio",0,I1116*1.5%),4)</f>
        <v>0</v>
      </c>
      <c r="L1116" s="67">
        <f>ROUND(IF(K1116&lt;J1116,K1116,0),4)</f>
        <v>0</v>
      </c>
      <c r="M1116" s="67">
        <f>ROUND(IF(J1116&gt;K1116,0,J1116),4)</f>
        <v>0</v>
      </c>
      <c r="N1116" s="67">
        <f>ROUND(+L1116*D1116,4)</f>
        <v>0</v>
      </c>
      <c r="O1116" s="67">
        <f>ROUND(IF(F1116="rame",0,+I1116*3%),4)</f>
        <v>0</v>
      </c>
      <c r="P1116" s="67">
        <f>ROUND(IF(O1116&lt;J1116,O1116,0),4)</f>
        <v>0</v>
      </c>
      <c r="Q1116" s="67">
        <f>ROUND(IF(J1116&gt;O1116,0,J1116),4)</f>
        <v>0</v>
      </c>
      <c r="R1116" s="67">
        <f>ROUND(+P1116*D1116,4)</f>
        <v>0</v>
      </c>
      <c r="S1116" s="67">
        <f>ROUND(IF(K1116=0,0,M1116*D1116),4)</f>
        <v>0</v>
      </c>
      <c r="T1116" s="67">
        <f>ROUND(+IF(K1116=0,Q1116*D1116,0),4)</f>
        <v>0</v>
      </c>
      <c r="U1116" s="67">
        <f>ROUND(+N1116+R1116+S1116+T1116,4)</f>
        <v>0</v>
      </c>
      <c r="V1116" s="67">
        <f>ROUND(IF(P1116=0,0,I1116-H1116-O1116)+IF(L1116=0,0,I1116-H1116-K1116),4)</f>
        <v>0</v>
      </c>
      <c r="W1116" s="67">
        <f>ROUND(+(V1116*60%)*D1116,4)</f>
        <v>0</v>
      </c>
      <c r="X1116" s="148">
        <f>ROUND(+U1116+W1116,4)</f>
        <v>0</v>
      </c>
      <c r="Y1116" s="68"/>
      <c r="Z1116" s="148">
        <f>ROUND(IF(X1116&gt;I1116,X1116,I1116),4)</f>
        <v>0</v>
      </c>
      <c r="AD1116" s="78">
        <f t="shared" si="12"/>
        <v>0</v>
      </c>
      <c r="AE1116" s="78">
        <f t="shared" si="13"/>
        <v>0</v>
      </c>
    </row>
    <row r="1117" spans="1:31" x14ac:dyDescent="0.2">
      <c r="A1117" s="66"/>
      <c r="B1117" s="66"/>
      <c r="C1117" s="66"/>
      <c r="D1117" s="144"/>
      <c r="E1117" s="67"/>
      <c r="F1117" s="67"/>
      <c r="G1117" s="67"/>
      <c r="H1117" s="67">
        <f>ROUND(+E1117+G1117,4)</f>
        <v>0</v>
      </c>
      <c r="I1117" s="67"/>
      <c r="J1117" s="67">
        <f>ROUND(+I1117-H1117,4)</f>
        <v>0</v>
      </c>
      <c r="K1117" s="67">
        <f>ROUND(IF(F1117="alluminio",0,I1117*1.5%),4)</f>
        <v>0</v>
      </c>
      <c r="L1117" s="67">
        <f>ROUND(IF(K1117&lt;J1117,K1117,0),4)</f>
        <v>0</v>
      </c>
      <c r="M1117" s="67">
        <f>ROUND(IF(J1117&gt;K1117,0,J1117),4)</f>
        <v>0</v>
      </c>
      <c r="N1117" s="67">
        <f>ROUND(+L1117*D1117,4)</f>
        <v>0</v>
      </c>
      <c r="O1117" s="67">
        <f>ROUND(IF(F1117="rame",0,+I1117*3%),4)</f>
        <v>0</v>
      </c>
      <c r="P1117" s="67">
        <f>ROUND(IF(O1117&lt;J1117,O1117,0),4)</f>
        <v>0</v>
      </c>
      <c r="Q1117" s="67">
        <f>ROUND(IF(J1117&gt;O1117,0,J1117),4)</f>
        <v>0</v>
      </c>
      <c r="R1117" s="67">
        <f>ROUND(+P1117*D1117,4)</f>
        <v>0</v>
      </c>
      <c r="S1117" s="67">
        <f>ROUND(IF(K1117=0,0,M1117*D1117),4)</f>
        <v>0</v>
      </c>
      <c r="T1117" s="67">
        <f>ROUND(+IF(K1117=0,Q1117*D1117,0),4)</f>
        <v>0</v>
      </c>
      <c r="U1117" s="67">
        <f>ROUND(+N1117+R1117+S1117+T1117,4)</f>
        <v>0</v>
      </c>
      <c r="V1117" s="67">
        <f>ROUND(IF(P1117=0,0,I1117-H1117-O1117)+IF(L1117=0,0,I1117-H1117-K1117),4)</f>
        <v>0</v>
      </c>
      <c r="W1117" s="67">
        <f>ROUND(+(V1117*60%)*D1117,4)</f>
        <v>0</v>
      </c>
      <c r="X1117" s="148">
        <f>ROUND(+U1117+W1117,4)</f>
        <v>0</v>
      </c>
      <c r="Y1117" s="68"/>
      <c r="Z1117" s="148">
        <f>ROUND(IF(X1117&gt;I1117,X1117,I1117),4)</f>
        <v>0</v>
      </c>
      <c r="AD1117" s="78">
        <f t="shared" si="12"/>
        <v>0</v>
      </c>
      <c r="AE1117" s="78">
        <f t="shared" si="13"/>
        <v>0</v>
      </c>
    </row>
    <row r="1118" spans="1:31" x14ac:dyDescent="0.2">
      <c r="A1118" s="66"/>
      <c r="B1118" s="66"/>
      <c r="C1118" s="66"/>
      <c r="D1118" s="144"/>
      <c r="E1118" s="67"/>
      <c r="F1118" s="67"/>
      <c r="G1118" s="67"/>
      <c r="H1118" s="67">
        <f>ROUND(+E1118+G1118,4)</f>
        <v>0</v>
      </c>
      <c r="I1118" s="67"/>
      <c r="J1118" s="67">
        <f>ROUND(+I1118-H1118,4)</f>
        <v>0</v>
      </c>
      <c r="K1118" s="67">
        <f>ROUND(IF(F1118="alluminio",0,I1118*1.5%),4)</f>
        <v>0</v>
      </c>
      <c r="L1118" s="67">
        <f>ROUND(IF(K1118&lt;J1118,K1118,0),4)</f>
        <v>0</v>
      </c>
      <c r="M1118" s="67">
        <f>ROUND(IF(J1118&gt;K1118,0,J1118),4)</f>
        <v>0</v>
      </c>
      <c r="N1118" s="67">
        <f>ROUND(+L1118*D1118,4)</f>
        <v>0</v>
      </c>
      <c r="O1118" s="67">
        <f>ROUND(IF(F1118="rame",0,+I1118*3%),4)</f>
        <v>0</v>
      </c>
      <c r="P1118" s="67">
        <f>ROUND(IF(O1118&lt;J1118,O1118,0),4)</f>
        <v>0</v>
      </c>
      <c r="Q1118" s="67">
        <f>ROUND(IF(J1118&gt;O1118,0,J1118),4)</f>
        <v>0</v>
      </c>
      <c r="R1118" s="67">
        <f>ROUND(+P1118*D1118,4)</f>
        <v>0</v>
      </c>
      <c r="S1118" s="67">
        <f>ROUND(IF(K1118=0,0,M1118*D1118),4)</f>
        <v>0</v>
      </c>
      <c r="T1118" s="67">
        <f>ROUND(+IF(K1118=0,Q1118*D1118,0),4)</f>
        <v>0</v>
      </c>
      <c r="U1118" s="67">
        <f>ROUND(+N1118+R1118+S1118+T1118,4)</f>
        <v>0</v>
      </c>
      <c r="V1118" s="67">
        <f>ROUND(IF(P1118=0,0,I1118-H1118-O1118)+IF(L1118=0,0,I1118-H1118-K1118),4)</f>
        <v>0</v>
      </c>
      <c r="W1118" s="67">
        <f>ROUND(+(V1118*60%)*D1118,4)</f>
        <v>0</v>
      </c>
      <c r="X1118" s="148">
        <f>ROUND(+U1118+W1118,4)</f>
        <v>0</v>
      </c>
      <c r="Y1118" s="68"/>
      <c r="Z1118" s="148">
        <f>ROUND(IF(X1118&gt;I1118,X1118,I1118),4)</f>
        <v>0</v>
      </c>
      <c r="AD1118" s="78">
        <f t="shared" si="12"/>
        <v>0</v>
      </c>
      <c r="AE1118" s="78">
        <f t="shared" si="13"/>
        <v>0</v>
      </c>
    </row>
    <row r="1119" spans="1:31" x14ac:dyDescent="0.2">
      <c r="A1119" s="66"/>
      <c r="B1119" s="66"/>
      <c r="C1119" s="66"/>
      <c r="D1119" s="144"/>
      <c r="E1119" s="67"/>
      <c r="F1119" s="67"/>
      <c r="G1119" s="67"/>
      <c r="H1119" s="67">
        <f>ROUND(+E1119+G1119,4)</f>
        <v>0</v>
      </c>
      <c r="I1119" s="67"/>
      <c r="J1119" s="67">
        <f>ROUND(+I1119-H1119,4)</f>
        <v>0</v>
      </c>
      <c r="K1119" s="67">
        <f>ROUND(IF(F1119="alluminio",0,I1119*1.5%),4)</f>
        <v>0</v>
      </c>
      <c r="L1119" s="67">
        <f>ROUND(IF(K1119&lt;J1119,K1119,0),4)</f>
        <v>0</v>
      </c>
      <c r="M1119" s="67">
        <f>ROUND(IF(J1119&gt;K1119,0,J1119),4)</f>
        <v>0</v>
      </c>
      <c r="N1119" s="67">
        <f>ROUND(+L1119*D1119,4)</f>
        <v>0</v>
      </c>
      <c r="O1119" s="67">
        <f>ROUND(IF(F1119="rame",0,+I1119*3%),4)</f>
        <v>0</v>
      </c>
      <c r="P1119" s="67">
        <f>ROUND(IF(O1119&lt;J1119,O1119,0),4)</f>
        <v>0</v>
      </c>
      <c r="Q1119" s="67">
        <f>ROUND(IF(J1119&gt;O1119,0,J1119),4)</f>
        <v>0</v>
      </c>
      <c r="R1119" s="67">
        <f>ROUND(+P1119*D1119,4)</f>
        <v>0</v>
      </c>
      <c r="S1119" s="67">
        <f>ROUND(IF(K1119=0,0,M1119*D1119),4)</f>
        <v>0</v>
      </c>
      <c r="T1119" s="67">
        <f>ROUND(+IF(K1119=0,Q1119*D1119,0),4)</f>
        <v>0</v>
      </c>
      <c r="U1119" s="67">
        <f>ROUND(+N1119+R1119+S1119+T1119,4)</f>
        <v>0</v>
      </c>
      <c r="V1119" s="67">
        <f>ROUND(IF(P1119=0,0,I1119-H1119-O1119)+IF(L1119=0,0,I1119-H1119-K1119),4)</f>
        <v>0</v>
      </c>
      <c r="W1119" s="67">
        <f>ROUND(+(V1119*60%)*D1119,4)</f>
        <v>0</v>
      </c>
      <c r="X1119" s="148">
        <f>ROUND(+U1119+W1119,4)</f>
        <v>0</v>
      </c>
      <c r="Y1119" s="68"/>
      <c r="Z1119" s="148">
        <f>ROUND(IF(X1119&gt;I1119,X1119,I1119),4)</f>
        <v>0</v>
      </c>
      <c r="AD1119" s="78">
        <f t="shared" si="12"/>
        <v>0</v>
      </c>
      <c r="AE1119" s="78">
        <f t="shared" si="13"/>
        <v>0</v>
      </c>
    </row>
    <row r="1120" spans="1:31" x14ac:dyDescent="0.2">
      <c r="A1120" s="66"/>
      <c r="B1120" s="66"/>
      <c r="C1120" s="66"/>
      <c r="D1120" s="144"/>
      <c r="E1120" s="67"/>
      <c r="F1120" s="67"/>
      <c r="G1120" s="67"/>
      <c r="H1120" s="67">
        <f>ROUND(+E1120+G1120,4)</f>
        <v>0</v>
      </c>
      <c r="I1120" s="67"/>
      <c r="J1120" s="67">
        <f>ROUND(+I1120-H1120,4)</f>
        <v>0</v>
      </c>
      <c r="K1120" s="67">
        <f>ROUND(IF(F1120="alluminio",0,I1120*1.5%),4)</f>
        <v>0</v>
      </c>
      <c r="L1120" s="67">
        <f>ROUND(IF(K1120&lt;J1120,K1120,0),4)</f>
        <v>0</v>
      </c>
      <c r="M1120" s="67">
        <f>ROUND(IF(J1120&gt;K1120,0,J1120),4)</f>
        <v>0</v>
      </c>
      <c r="N1120" s="67">
        <f>ROUND(+L1120*D1120,4)</f>
        <v>0</v>
      </c>
      <c r="O1120" s="67">
        <f>ROUND(IF(F1120="rame",0,+I1120*3%),4)</f>
        <v>0</v>
      </c>
      <c r="P1120" s="67">
        <f>ROUND(IF(O1120&lt;J1120,O1120,0),4)</f>
        <v>0</v>
      </c>
      <c r="Q1120" s="67">
        <f>ROUND(IF(J1120&gt;O1120,0,J1120),4)</f>
        <v>0</v>
      </c>
      <c r="R1120" s="67">
        <f>ROUND(+P1120*D1120,4)</f>
        <v>0</v>
      </c>
      <c r="S1120" s="67">
        <f>ROUND(IF(K1120=0,0,M1120*D1120),4)</f>
        <v>0</v>
      </c>
      <c r="T1120" s="67">
        <f>ROUND(+IF(K1120=0,Q1120*D1120,0),4)</f>
        <v>0</v>
      </c>
      <c r="U1120" s="67">
        <f>ROUND(+N1120+R1120+S1120+T1120,4)</f>
        <v>0</v>
      </c>
      <c r="V1120" s="67">
        <f>ROUND(IF(P1120=0,0,I1120-H1120-O1120)+IF(L1120=0,0,I1120-H1120-K1120),4)</f>
        <v>0</v>
      </c>
      <c r="W1120" s="67">
        <f>ROUND(+(V1120*60%)*D1120,4)</f>
        <v>0</v>
      </c>
      <c r="X1120" s="148">
        <f>ROUND(+U1120+W1120,4)</f>
        <v>0</v>
      </c>
      <c r="Y1120" s="68"/>
      <c r="Z1120" s="148">
        <f>ROUND(IF(X1120&gt;I1120,X1120,I1120),4)</f>
        <v>0</v>
      </c>
      <c r="AD1120" s="78">
        <f t="shared" si="12"/>
        <v>0</v>
      </c>
      <c r="AE1120" s="78">
        <f t="shared" si="13"/>
        <v>0</v>
      </c>
    </row>
    <row r="1121" spans="1:31" x14ac:dyDescent="0.2">
      <c r="A1121" s="66"/>
      <c r="B1121" s="66"/>
      <c r="C1121" s="66"/>
      <c r="D1121" s="144"/>
      <c r="E1121" s="67"/>
      <c r="F1121" s="67"/>
      <c r="G1121" s="67"/>
      <c r="H1121" s="67">
        <f>ROUND(+E1121+G1121,4)</f>
        <v>0</v>
      </c>
      <c r="I1121" s="67"/>
      <c r="J1121" s="67">
        <f>ROUND(+I1121-H1121,4)</f>
        <v>0</v>
      </c>
      <c r="K1121" s="67">
        <f>ROUND(IF(F1121="alluminio",0,I1121*1.5%),4)</f>
        <v>0</v>
      </c>
      <c r="L1121" s="67">
        <f>ROUND(IF(K1121&lt;J1121,K1121,0),4)</f>
        <v>0</v>
      </c>
      <c r="M1121" s="67">
        <f>ROUND(IF(J1121&gt;K1121,0,J1121),4)</f>
        <v>0</v>
      </c>
      <c r="N1121" s="67">
        <f>ROUND(+L1121*D1121,4)</f>
        <v>0</v>
      </c>
      <c r="O1121" s="67">
        <f>ROUND(IF(F1121="rame",0,+I1121*3%),4)</f>
        <v>0</v>
      </c>
      <c r="P1121" s="67">
        <f>ROUND(IF(O1121&lt;J1121,O1121,0),4)</f>
        <v>0</v>
      </c>
      <c r="Q1121" s="67">
        <f>ROUND(IF(J1121&gt;O1121,0,J1121),4)</f>
        <v>0</v>
      </c>
      <c r="R1121" s="67">
        <f>ROUND(+P1121*D1121,4)</f>
        <v>0</v>
      </c>
      <c r="S1121" s="67">
        <f>ROUND(IF(K1121=0,0,M1121*D1121),4)</f>
        <v>0</v>
      </c>
      <c r="T1121" s="67">
        <f>ROUND(+IF(K1121=0,Q1121*D1121,0),4)</f>
        <v>0</v>
      </c>
      <c r="U1121" s="67">
        <f>ROUND(+N1121+R1121+S1121+T1121,4)</f>
        <v>0</v>
      </c>
      <c r="V1121" s="67">
        <f>ROUND(IF(P1121=0,0,I1121-H1121-O1121)+IF(L1121=0,0,I1121-H1121-K1121),4)</f>
        <v>0</v>
      </c>
      <c r="W1121" s="67">
        <f>ROUND(+(V1121*60%)*D1121,4)</f>
        <v>0</v>
      </c>
      <c r="X1121" s="148">
        <f>ROUND(+U1121+W1121,4)</f>
        <v>0</v>
      </c>
      <c r="Y1121" s="68"/>
      <c r="Z1121" s="148">
        <f>ROUND(IF(X1121&gt;I1121,X1121,I1121),4)</f>
        <v>0</v>
      </c>
      <c r="AD1121" s="78">
        <f t="shared" si="12"/>
        <v>0</v>
      </c>
      <c r="AE1121" s="78">
        <f t="shared" si="13"/>
        <v>0</v>
      </c>
    </row>
    <row r="1122" spans="1:31" x14ac:dyDescent="0.2">
      <c r="A1122" s="66"/>
      <c r="B1122" s="66"/>
      <c r="C1122" s="66"/>
      <c r="D1122" s="144"/>
      <c r="E1122" s="67"/>
      <c r="F1122" s="67"/>
      <c r="G1122" s="67"/>
      <c r="H1122" s="67">
        <f>ROUND(+E1122+G1122,4)</f>
        <v>0</v>
      </c>
      <c r="I1122" s="67"/>
      <c r="J1122" s="67">
        <f>ROUND(+I1122-H1122,4)</f>
        <v>0</v>
      </c>
      <c r="K1122" s="67">
        <f>ROUND(IF(F1122="alluminio",0,I1122*1.5%),4)</f>
        <v>0</v>
      </c>
      <c r="L1122" s="67">
        <f>ROUND(IF(K1122&lt;J1122,K1122,0),4)</f>
        <v>0</v>
      </c>
      <c r="M1122" s="67">
        <f>ROUND(IF(J1122&gt;K1122,0,J1122),4)</f>
        <v>0</v>
      </c>
      <c r="N1122" s="67">
        <f>ROUND(+L1122*D1122,4)</f>
        <v>0</v>
      </c>
      <c r="O1122" s="67">
        <f>ROUND(IF(F1122="rame",0,+I1122*3%),4)</f>
        <v>0</v>
      </c>
      <c r="P1122" s="67">
        <f>ROUND(IF(O1122&lt;J1122,O1122,0),4)</f>
        <v>0</v>
      </c>
      <c r="Q1122" s="67">
        <f>ROUND(IF(J1122&gt;O1122,0,J1122),4)</f>
        <v>0</v>
      </c>
      <c r="R1122" s="67">
        <f>ROUND(+P1122*D1122,4)</f>
        <v>0</v>
      </c>
      <c r="S1122" s="67">
        <f>ROUND(IF(K1122=0,0,M1122*D1122),4)</f>
        <v>0</v>
      </c>
      <c r="T1122" s="67">
        <f>ROUND(+IF(K1122=0,Q1122*D1122,0),4)</f>
        <v>0</v>
      </c>
      <c r="U1122" s="67">
        <f>ROUND(+N1122+R1122+S1122+T1122,4)</f>
        <v>0</v>
      </c>
      <c r="V1122" s="67">
        <f>ROUND(IF(P1122=0,0,I1122-H1122-O1122)+IF(L1122=0,0,I1122-H1122-K1122),4)</f>
        <v>0</v>
      </c>
      <c r="W1122" s="67">
        <f>ROUND(+(V1122*60%)*D1122,4)</f>
        <v>0</v>
      </c>
      <c r="X1122" s="148">
        <f>ROUND(+U1122+W1122,4)</f>
        <v>0</v>
      </c>
      <c r="Y1122" s="68"/>
      <c r="Z1122" s="148">
        <f>ROUND(IF(X1122&gt;I1122,X1122,I1122),4)</f>
        <v>0</v>
      </c>
      <c r="AD1122" s="78">
        <f t="shared" si="12"/>
        <v>0</v>
      </c>
      <c r="AE1122" s="78">
        <f t="shared" si="13"/>
        <v>0</v>
      </c>
    </row>
    <row r="1123" spans="1:31" x14ac:dyDescent="0.2">
      <c r="A1123" s="66"/>
      <c r="B1123" s="66"/>
      <c r="C1123" s="66"/>
      <c r="D1123" s="144"/>
      <c r="E1123" s="67"/>
      <c r="F1123" s="67"/>
      <c r="G1123" s="67"/>
      <c r="H1123" s="67">
        <f>ROUND(+E1123+G1123,4)</f>
        <v>0</v>
      </c>
      <c r="I1123" s="67"/>
      <c r="J1123" s="67">
        <f>ROUND(+I1123-H1123,4)</f>
        <v>0</v>
      </c>
      <c r="K1123" s="67">
        <f>ROUND(IF(F1123="alluminio",0,I1123*1.5%),4)</f>
        <v>0</v>
      </c>
      <c r="L1123" s="67">
        <f>ROUND(IF(K1123&lt;J1123,K1123,0),4)</f>
        <v>0</v>
      </c>
      <c r="M1123" s="67">
        <f>ROUND(IF(J1123&gt;K1123,0,J1123),4)</f>
        <v>0</v>
      </c>
      <c r="N1123" s="67">
        <f>ROUND(+L1123*D1123,4)</f>
        <v>0</v>
      </c>
      <c r="O1123" s="67">
        <f>ROUND(IF(F1123="rame",0,+I1123*3%),4)</f>
        <v>0</v>
      </c>
      <c r="P1123" s="67">
        <f>ROUND(IF(O1123&lt;J1123,O1123,0),4)</f>
        <v>0</v>
      </c>
      <c r="Q1123" s="67">
        <f>ROUND(IF(J1123&gt;O1123,0,J1123),4)</f>
        <v>0</v>
      </c>
      <c r="R1123" s="67">
        <f>ROUND(+P1123*D1123,4)</f>
        <v>0</v>
      </c>
      <c r="S1123" s="67">
        <f>ROUND(IF(K1123=0,0,M1123*D1123),4)</f>
        <v>0</v>
      </c>
      <c r="T1123" s="67">
        <f>ROUND(+IF(K1123=0,Q1123*D1123,0),4)</f>
        <v>0</v>
      </c>
      <c r="U1123" s="67">
        <f>ROUND(+N1123+R1123+S1123+T1123,4)</f>
        <v>0</v>
      </c>
      <c r="V1123" s="67">
        <f>ROUND(IF(P1123=0,0,I1123-H1123-O1123)+IF(L1123=0,0,I1123-H1123-K1123),4)</f>
        <v>0</v>
      </c>
      <c r="W1123" s="67">
        <f>ROUND(+(V1123*60%)*D1123,4)</f>
        <v>0</v>
      </c>
      <c r="X1123" s="148">
        <f>ROUND(+U1123+W1123,4)</f>
        <v>0</v>
      </c>
      <c r="Y1123" s="68"/>
      <c r="Z1123" s="148">
        <f>ROUND(IF(X1123&gt;I1123,X1123,I1123),4)</f>
        <v>0</v>
      </c>
      <c r="AD1123" s="78">
        <f t="shared" si="12"/>
        <v>0</v>
      </c>
      <c r="AE1123" s="78">
        <f t="shared" si="13"/>
        <v>0</v>
      </c>
    </row>
    <row r="1124" spans="1:31" x14ac:dyDescent="0.2">
      <c r="A1124" s="66"/>
      <c r="B1124" s="66"/>
      <c r="C1124" s="66"/>
      <c r="D1124" s="144"/>
      <c r="E1124" s="67"/>
      <c r="F1124" s="67"/>
      <c r="G1124" s="67"/>
      <c r="H1124" s="67">
        <f>ROUND(+E1124+G1124,4)</f>
        <v>0</v>
      </c>
      <c r="I1124" s="67"/>
      <c r="J1124" s="67">
        <f>ROUND(+I1124-H1124,4)</f>
        <v>0</v>
      </c>
      <c r="K1124" s="67">
        <f>ROUND(IF(F1124="alluminio",0,I1124*1.5%),4)</f>
        <v>0</v>
      </c>
      <c r="L1124" s="67">
        <f>ROUND(IF(K1124&lt;J1124,K1124,0),4)</f>
        <v>0</v>
      </c>
      <c r="M1124" s="67">
        <f>ROUND(IF(J1124&gt;K1124,0,J1124),4)</f>
        <v>0</v>
      </c>
      <c r="N1124" s="67">
        <f>ROUND(+L1124*D1124,4)</f>
        <v>0</v>
      </c>
      <c r="O1124" s="67">
        <f>ROUND(IF(F1124="rame",0,+I1124*3%),4)</f>
        <v>0</v>
      </c>
      <c r="P1124" s="67">
        <f>ROUND(IF(O1124&lt;J1124,O1124,0),4)</f>
        <v>0</v>
      </c>
      <c r="Q1124" s="67">
        <f>ROUND(IF(J1124&gt;O1124,0,J1124),4)</f>
        <v>0</v>
      </c>
      <c r="R1124" s="67">
        <f>ROUND(+P1124*D1124,4)</f>
        <v>0</v>
      </c>
      <c r="S1124" s="67">
        <f>ROUND(IF(K1124=0,0,M1124*D1124),4)</f>
        <v>0</v>
      </c>
      <c r="T1124" s="67">
        <f>ROUND(+IF(K1124=0,Q1124*D1124,0),4)</f>
        <v>0</v>
      </c>
      <c r="U1124" s="67">
        <f>ROUND(+N1124+R1124+S1124+T1124,4)</f>
        <v>0</v>
      </c>
      <c r="V1124" s="67">
        <f>ROUND(IF(P1124=0,0,I1124-H1124-O1124)+IF(L1124=0,0,I1124-H1124-K1124),4)</f>
        <v>0</v>
      </c>
      <c r="W1124" s="67">
        <f>ROUND(+(V1124*60%)*D1124,4)</f>
        <v>0</v>
      </c>
      <c r="X1124" s="148">
        <f>ROUND(+U1124+W1124,4)</f>
        <v>0</v>
      </c>
      <c r="Y1124" s="68"/>
      <c r="Z1124" s="148">
        <f>ROUND(IF(X1124&gt;I1124,X1124,I1124),4)</f>
        <v>0</v>
      </c>
      <c r="AD1124" s="78">
        <f t="shared" si="12"/>
        <v>0</v>
      </c>
      <c r="AE1124" s="78">
        <f t="shared" si="13"/>
        <v>0</v>
      </c>
    </row>
    <row r="1125" spans="1:31" x14ac:dyDescent="0.2">
      <c r="A1125" s="66"/>
      <c r="B1125" s="66"/>
      <c r="C1125" s="66"/>
      <c r="D1125" s="144"/>
      <c r="E1125" s="67"/>
      <c r="F1125" s="67"/>
      <c r="G1125" s="67"/>
      <c r="H1125" s="67">
        <f>ROUND(+E1125+G1125,4)</f>
        <v>0</v>
      </c>
      <c r="I1125" s="67"/>
      <c r="J1125" s="67">
        <f>ROUND(+I1125-H1125,4)</f>
        <v>0</v>
      </c>
      <c r="K1125" s="67">
        <f>ROUND(IF(F1125="alluminio",0,I1125*1.5%),4)</f>
        <v>0</v>
      </c>
      <c r="L1125" s="67">
        <f>ROUND(IF(K1125&lt;J1125,K1125,0),4)</f>
        <v>0</v>
      </c>
      <c r="M1125" s="67">
        <f>ROUND(IF(J1125&gt;K1125,0,J1125),4)</f>
        <v>0</v>
      </c>
      <c r="N1125" s="67">
        <f>ROUND(+L1125*D1125,4)</f>
        <v>0</v>
      </c>
      <c r="O1125" s="67">
        <f>ROUND(IF(F1125="rame",0,+I1125*3%),4)</f>
        <v>0</v>
      </c>
      <c r="P1125" s="67">
        <f>ROUND(IF(O1125&lt;J1125,O1125,0),4)</f>
        <v>0</v>
      </c>
      <c r="Q1125" s="67">
        <f>ROUND(IF(J1125&gt;O1125,0,J1125),4)</f>
        <v>0</v>
      </c>
      <c r="R1125" s="67">
        <f>ROUND(+P1125*D1125,4)</f>
        <v>0</v>
      </c>
      <c r="S1125" s="67">
        <f>ROUND(IF(K1125=0,0,M1125*D1125),4)</f>
        <v>0</v>
      </c>
      <c r="T1125" s="67">
        <f>ROUND(+IF(K1125=0,Q1125*D1125,0),4)</f>
        <v>0</v>
      </c>
      <c r="U1125" s="67">
        <f>ROUND(+N1125+R1125+S1125+T1125,4)</f>
        <v>0</v>
      </c>
      <c r="V1125" s="67">
        <f>ROUND(IF(P1125=0,0,I1125-H1125-O1125)+IF(L1125=0,0,I1125-H1125-K1125),4)</f>
        <v>0</v>
      </c>
      <c r="W1125" s="67">
        <f>ROUND(+(V1125*60%)*D1125,4)</f>
        <v>0</v>
      </c>
      <c r="X1125" s="148">
        <f>ROUND(+U1125+W1125,4)</f>
        <v>0</v>
      </c>
      <c r="Y1125" s="68"/>
      <c r="Z1125" s="148">
        <f>ROUND(IF(X1125&gt;I1125,X1125,I1125),4)</f>
        <v>0</v>
      </c>
      <c r="AD1125" s="78">
        <f t="shared" si="12"/>
        <v>0</v>
      </c>
      <c r="AE1125" s="78">
        <f t="shared" si="13"/>
        <v>0</v>
      </c>
    </row>
    <row r="1126" spans="1:31" x14ac:dyDescent="0.2">
      <c r="A1126" s="66"/>
      <c r="B1126" s="66"/>
      <c r="C1126" s="66"/>
      <c r="D1126" s="144"/>
      <c r="E1126" s="67"/>
      <c r="F1126" s="67"/>
      <c r="G1126" s="67"/>
      <c r="H1126" s="67">
        <f>ROUND(+E1126+G1126,4)</f>
        <v>0</v>
      </c>
      <c r="I1126" s="67"/>
      <c r="J1126" s="67">
        <f>ROUND(+I1126-H1126,4)</f>
        <v>0</v>
      </c>
      <c r="K1126" s="67">
        <f>ROUND(IF(F1126="alluminio",0,I1126*1.5%),4)</f>
        <v>0</v>
      </c>
      <c r="L1126" s="67">
        <f>ROUND(IF(K1126&lt;J1126,K1126,0),4)</f>
        <v>0</v>
      </c>
      <c r="M1126" s="67">
        <f>ROUND(IF(J1126&gt;K1126,0,J1126),4)</f>
        <v>0</v>
      </c>
      <c r="N1126" s="67">
        <f>ROUND(+L1126*D1126,4)</f>
        <v>0</v>
      </c>
      <c r="O1126" s="67">
        <f>ROUND(IF(F1126="rame",0,+I1126*3%),4)</f>
        <v>0</v>
      </c>
      <c r="P1126" s="67">
        <f>ROUND(IF(O1126&lt;J1126,O1126,0),4)</f>
        <v>0</v>
      </c>
      <c r="Q1126" s="67">
        <f>ROUND(IF(J1126&gt;O1126,0,J1126),4)</f>
        <v>0</v>
      </c>
      <c r="R1126" s="67">
        <f>ROUND(+P1126*D1126,4)</f>
        <v>0</v>
      </c>
      <c r="S1126" s="67">
        <f>ROUND(IF(K1126=0,0,M1126*D1126),4)</f>
        <v>0</v>
      </c>
      <c r="T1126" s="67">
        <f>ROUND(+IF(K1126=0,Q1126*D1126,0),4)</f>
        <v>0</v>
      </c>
      <c r="U1126" s="67">
        <f>ROUND(+N1126+R1126+S1126+T1126,4)</f>
        <v>0</v>
      </c>
      <c r="V1126" s="67">
        <f>ROUND(IF(P1126=0,0,I1126-H1126-O1126)+IF(L1126=0,0,I1126-H1126-K1126),4)</f>
        <v>0</v>
      </c>
      <c r="W1126" s="67">
        <f>ROUND(+(V1126*60%)*D1126,4)</f>
        <v>0</v>
      </c>
      <c r="X1126" s="148">
        <f>ROUND(+U1126+W1126,4)</f>
        <v>0</v>
      </c>
      <c r="Y1126" s="68"/>
      <c r="Z1126" s="148">
        <f>ROUND(IF(X1126&gt;I1126,X1126,I1126),4)</f>
        <v>0</v>
      </c>
      <c r="AD1126" s="78">
        <f t="shared" si="12"/>
        <v>0</v>
      </c>
      <c r="AE1126" s="78">
        <f t="shared" si="13"/>
        <v>0</v>
      </c>
    </row>
    <row r="1127" spans="1:31" x14ac:dyDescent="0.2">
      <c r="A1127" s="66"/>
      <c r="B1127" s="66"/>
      <c r="C1127" s="66"/>
      <c r="D1127" s="144"/>
      <c r="E1127" s="67"/>
      <c r="F1127" s="67"/>
      <c r="G1127" s="67"/>
      <c r="H1127" s="67">
        <f>ROUND(+E1127+G1127,4)</f>
        <v>0</v>
      </c>
      <c r="I1127" s="67"/>
      <c r="J1127" s="67">
        <f>ROUND(+I1127-H1127,4)</f>
        <v>0</v>
      </c>
      <c r="K1127" s="67">
        <f>ROUND(IF(F1127="alluminio",0,I1127*1.5%),4)</f>
        <v>0</v>
      </c>
      <c r="L1127" s="67">
        <f>ROUND(IF(K1127&lt;J1127,K1127,0),4)</f>
        <v>0</v>
      </c>
      <c r="M1127" s="67">
        <f>ROUND(IF(J1127&gt;K1127,0,J1127),4)</f>
        <v>0</v>
      </c>
      <c r="N1127" s="67">
        <f>ROUND(+L1127*D1127,4)</f>
        <v>0</v>
      </c>
      <c r="O1127" s="67">
        <f>ROUND(IF(F1127="rame",0,+I1127*3%),4)</f>
        <v>0</v>
      </c>
      <c r="P1127" s="67">
        <f>ROUND(IF(O1127&lt;J1127,O1127,0),4)</f>
        <v>0</v>
      </c>
      <c r="Q1127" s="67">
        <f>ROUND(IF(J1127&gt;O1127,0,J1127),4)</f>
        <v>0</v>
      </c>
      <c r="R1127" s="67">
        <f>ROUND(+P1127*D1127,4)</f>
        <v>0</v>
      </c>
      <c r="S1127" s="67">
        <f>ROUND(IF(K1127=0,0,M1127*D1127),4)</f>
        <v>0</v>
      </c>
      <c r="T1127" s="67">
        <f>ROUND(+IF(K1127=0,Q1127*D1127,0),4)</f>
        <v>0</v>
      </c>
      <c r="U1127" s="67">
        <f>ROUND(+N1127+R1127+S1127+T1127,4)</f>
        <v>0</v>
      </c>
      <c r="V1127" s="67">
        <f>ROUND(IF(P1127=0,0,I1127-H1127-O1127)+IF(L1127=0,0,I1127-H1127-K1127),4)</f>
        <v>0</v>
      </c>
      <c r="W1127" s="67">
        <f>ROUND(+(V1127*60%)*D1127,4)</f>
        <v>0</v>
      </c>
      <c r="X1127" s="148">
        <f>ROUND(+U1127+W1127,4)</f>
        <v>0</v>
      </c>
      <c r="Y1127" s="68"/>
      <c r="Z1127" s="148">
        <f>ROUND(IF(X1127&gt;I1127,X1127,I1127),4)</f>
        <v>0</v>
      </c>
      <c r="AD1127" s="78">
        <f t="shared" si="12"/>
        <v>0</v>
      </c>
      <c r="AE1127" s="78">
        <f t="shared" si="13"/>
        <v>0</v>
      </c>
    </row>
    <row r="1128" spans="1:31" x14ac:dyDescent="0.2">
      <c r="A1128" s="66"/>
      <c r="B1128" s="66"/>
      <c r="C1128" s="66"/>
      <c r="D1128" s="144"/>
      <c r="E1128" s="67"/>
      <c r="F1128" s="67"/>
      <c r="G1128" s="67"/>
      <c r="H1128" s="67">
        <f>ROUND(+E1128+G1128,4)</f>
        <v>0</v>
      </c>
      <c r="I1128" s="67"/>
      <c r="J1128" s="67">
        <f>ROUND(+I1128-H1128,4)</f>
        <v>0</v>
      </c>
      <c r="K1128" s="67">
        <f>ROUND(IF(F1128="alluminio",0,I1128*1.5%),4)</f>
        <v>0</v>
      </c>
      <c r="L1128" s="67">
        <f>ROUND(IF(K1128&lt;J1128,K1128,0),4)</f>
        <v>0</v>
      </c>
      <c r="M1128" s="67">
        <f>ROUND(IF(J1128&gt;K1128,0,J1128),4)</f>
        <v>0</v>
      </c>
      <c r="N1128" s="67">
        <f>ROUND(+L1128*D1128,4)</f>
        <v>0</v>
      </c>
      <c r="O1128" s="67">
        <f>ROUND(IF(F1128="rame",0,+I1128*3%),4)</f>
        <v>0</v>
      </c>
      <c r="P1128" s="67">
        <f>ROUND(IF(O1128&lt;J1128,O1128,0),4)</f>
        <v>0</v>
      </c>
      <c r="Q1128" s="67">
        <f>ROUND(IF(J1128&gt;O1128,0,J1128),4)</f>
        <v>0</v>
      </c>
      <c r="R1128" s="67">
        <f>ROUND(+P1128*D1128,4)</f>
        <v>0</v>
      </c>
      <c r="S1128" s="67">
        <f>ROUND(IF(K1128=0,0,M1128*D1128),4)</f>
        <v>0</v>
      </c>
      <c r="T1128" s="67">
        <f>ROUND(+IF(K1128=0,Q1128*D1128,0),4)</f>
        <v>0</v>
      </c>
      <c r="U1128" s="67">
        <f>ROUND(+N1128+R1128+S1128+T1128,4)</f>
        <v>0</v>
      </c>
      <c r="V1128" s="67">
        <f>ROUND(IF(P1128=0,0,I1128-H1128-O1128)+IF(L1128=0,0,I1128-H1128-K1128),4)</f>
        <v>0</v>
      </c>
      <c r="W1128" s="67">
        <f>ROUND(+(V1128*60%)*D1128,4)</f>
        <v>0</v>
      </c>
      <c r="X1128" s="148">
        <f>ROUND(+U1128+W1128,4)</f>
        <v>0</v>
      </c>
      <c r="Y1128" s="68"/>
      <c r="Z1128" s="148">
        <f>ROUND(IF(X1128&gt;I1128,X1128,I1128),4)</f>
        <v>0</v>
      </c>
      <c r="AD1128" s="78">
        <f t="shared" si="12"/>
        <v>0</v>
      </c>
      <c r="AE1128" s="78">
        <f t="shared" si="13"/>
        <v>0</v>
      </c>
    </row>
    <row r="1129" spans="1:31" x14ac:dyDescent="0.2">
      <c r="A1129" s="66"/>
      <c r="B1129" s="66"/>
      <c r="C1129" s="66"/>
      <c r="D1129" s="144"/>
      <c r="E1129" s="67"/>
      <c r="F1129" s="67"/>
      <c r="G1129" s="67"/>
      <c r="H1129" s="67">
        <f>ROUND(+E1129+G1129,4)</f>
        <v>0</v>
      </c>
      <c r="I1129" s="67"/>
      <c r="J1129" s="67">
        <f>ROUND(+I1129-H1129,4)</f>
        <v>0</v>
      </c>
      <c r="K1129" s="67">
        <f>ROUND(IF(F1129="alluminio",0,I1129*1.5%),4)</f>
        <v>0</v>
      </c>
      <c r="L1129" s="67">
        <f>ROUND(IF(K1129&lt;J1129,K1129,0),4)</f>
        <v>0</v>
      </c>
      <c r="M1129" s="67">
        <f>ROUND(IF(J1129&gt;K1129,0,J1129),4)</f>
        <v>0</v>
      </c>
      <c r="N1129" s="67">
        <f>ROUND(+L1129*D1129,4)</f>
        <v>0</v>
      </c>
      <c r="O1129" s="67">
        <f>ROUND(IF(F1129="rame",0,+I1129*3%),4)</f>
        <v>0</v>
      </c>
      <c r="P1129" s="67">
        <f>ROUND(IF(O1129&lt;J1129,O1129,0),4)</f>
        <v>0</v>
      </c>
      <c r="Q1129" s="67">
        <f>ROUND(IF(J1129&gt;O1129,0,J1129),4)</f>
        <v>0</v>
      </c>
      <c r="R1129" s="67">
        <f>ROUND(+P1129*D1129,4)</f>
        <v>0</v>
      </c>
      <c r="S1129" s="67">
        <f>ROUND(IF(K1129=0,0,M1129*D1129),4)</f>
        <v>0</v>
      </c>
      <c r="T1129" s="67">
        <f>ROUND(+IF(K1129=0,Q1129*D1129,0),4)</f>
        <v>0</v>
      </c>
      <c r="U1129" s="67">
        <f>ROUND(+N1129+R1129+S1129+T1129,4)</f>
        <v>0</v>
      </c>
      <c r="V1129" s="67">
        <f>ROUND(IF(P1129=0,0,I1129-H1129-O1129)+IF(L1129=0,0,I1129-H1129-K1129),4)</f>
        <v>0</v>
      </c>
      <c r="W1129" s="67">
        <f>ROUND(+(V1129*60%)*D1129,4)</f>
        <v>0</v>
      </c>
      <c r="X1129" s="148">
        <f>ROUND(+U1129+W1129,4)</f>
        <v>0</v>
      </c>
      <c r="Y1129" s="68"/>
      <c r="Z1129" s="148">
        <f>ROUND(IF(X1129&gt;I1129,X1129,I1129),4)</f>
        <v>0</v>
      </c>
      <c r="AD1129" s="78">
        <f t="shared" si="12"/>
        <v>0</v>
      </c>
      <c r="AE1129" s="78">
        <f t="shared" si="13"/>
        <v>0</v>
      </c>
    </row>
    <row r="1130" spans="1:31" x14ac:dyDescent="0.2">
      <c r="A1130" s="66"/>
      <c r="B1130" s="66"/>
      <c r="C1130" s="66"/>
      <c r="D1130" s="144"/>
      <c r="E1130" s="67"/>
      <c r="F1130" s="67"/>
      <c r="G1130" s="67"/>
      <c r="H1130" s="67">
        <f>ROUND(+E1130+G1130,4)</f>
        <v>0</v>
      </c>
      <c r="I1130" s="67"/>
      <c r="J1130" s="67">
        <f>ROUND(+I1130-H1130,4)</f>
        <v>0</v>
      </c>
      <c r="K1130" s="67">
        <f>ROUND(IF(F1130="alluminio",0,I1130*1.5%),4)</f>
        <v>0</v>
      </c>
      <c r="L1130" s="67">
        <f>ROUND(IF(K1130&lt;J1130,K1130,0),4)</f>
        <v>0</v>
      </c>
      <c r="M1130" s="67">
        <f>ROUND(IF(J1130&gt;K1130,0,J1130),4)</f>
        <v>0</v>
      </c>
      <c r="N1130" s="67">
        <f>ROUND(+L1130*D1130,4)</f>
        <v>0</v>
      </c>
      <c r="O1130" s="67">
        <f>ROUND(IF(F1130="rame",0,+I1130*3%),4)</f>
        <v>0</v>
      </c>
      <c r="P1130" s="67">
        <f>ROUND(IF(O1130&lt;J1130,O1130,0),4)</f>
        <v>0</v>
      </c>
      <c r="Q1130" s="67">
        <f>ROUND(IF(J1130&gt;O1130,0,J1130),4)</f>
        <v>0</v>
      </c>
      <c r="R1130" s="67">
        <f>ROUND(+P1130*D1130,4)</f>
        <v>0</v>
      </c>
      <c r="S1130" s="67">
        <f>ROUND(IF(K1130=0,0,M1130*D1130),4)</f>
        <v>0</v>
      </c>
      <c r="T1130" s="67">
        <f>ROUND(+IF(K1130=0,Q1130*D1130,0),4)</f>
        <v>0</v>
      </c>
      <c r="U1130" s="67">
        <f>ROUND(+N1130+R1130+S1130+T1130,4)</f>
        <v>0</v>
      </c>
      <c r="V1130" s="67">
        <f>ROUND(IF(P1130=0,0,I1130-H1130-O1130)+IF(L1130=0,0,I1130-H1130-K1130),4)</f>
        <v>0</v>
      </c>
      <c r="W1130" s="67">
        <f>ROUND(+(V1130*60%)*D1130,4)</f>
        <v>0</v>
      </c>
      <c r="X1130" s="148">
        <f>ROUND(+U1130+W1130,4)</f>
        <v>0</v>
      </c>
      <c r="Y1130" s="68"/>
      <c r="Z1130" s="148">
        <f>ROUND(IF(X1130&gt;I1130,X1130,I1130),4)</f>
        <v>0</v>
      </c>
      <c r="AD1130" s="78">
        <f t="shared" si="12"/>
        <v>0</v>
      </c>
      <c r="AE1130" s="78">
        <f t="shared" si="13"/>
        <v>0</v>
      </c>
    </row>
    <row r="1131" spans="1:31" x14ac:dyDescent="0.2">
      <c r="A1131" s="66"/>
      <c r="B1131" s="66"/>
      <c r="C1131" s="66"/>
      <c r="D1131" s="144"/>
      <c r="E1131" s="67"/>
      <c r="F1131" s="67"/>
      <c r="G1131" s="67"/>
      <c r="H1131" s="67">
        <f>ROUND(+E1131+G1131,4)</f>
        <v>0</v>
      </c>
      <c r="I1131" s="67"/>
      <c r="J1131" s="67">
        <f>ROUND(+I1131-H1131,4)</f>
        <v>0</v>
      </c>
      <c r="K1131" s="67">
        <f>ROUND(IF(F1131="alluminio",0,I1131*1.5%),4)</f>
        <v>0</v>
      </c>
      <c r="L1131" s="67">
        <f>ROUND(IF(K1131&lt;J1131,K1131,0),4)</f>
        <v>0</v>
      </c>
      <c r="M1131" s="67">
        <f>ROUND(IF(J1131&gt;K1131,0,J1131),4)</f>
        <v>0</v>
      </c>
      <c r="N1131" s="67">
        <f>ROUND(+L1131*D1131,4)</f>
        <v>0</v>
      </c>
      <c r="O1131" s="67">
        <f>ROUND(IF(F1131="rame",0,+I1131*3%),4)</f>
        <v>0</v>
      </c>
      <c r="P1131" s="67">
        <f>ROUND(IF(O1131&lt;J1131,O1131,0),4)</f>
        <v>0</v>
      </c>
      <c r="Q1131" s="67">
        <f>ROUND(IF(J1131&gt;O1131,0,J1131),4)</f>
        <v>0</v>
      </c>
      <c r="R1131" s="67">
        <f>ROUND(+P1131*D1131,4)</f>
        <v>0</v>
      </c>
      <c r="S1131" s="67">
        <f>ROUND(IF(K1131=0,0,M1131*D1131),4)</f>
        <v>0</v>
      </c>
      <c r="T1131" s="67">
        <f>ROUND(+IF(K1131=0,Q1131*D1131,0),4)</f>
        <v>0</v>
      </c>
      <c r="U1131" s="67">
        <f>ROUND(+N1131+R1131+S1131+T1131,4)</f>
        <v>0</v>
      </c>
      <c r="V1131" s="67">
        <f>ROUND(IF(P1131=0,0,I1131-H1131-O1131)+IF(L1131=0,0,I1131-H1131-K1131),4)</f>
        <v>0</v>
      </c>
      <c r="W1131" s="67">
        <f>ROUND(+(V1131*60%)*D1131,4)</f>
        <v>0</v>
      </c>
      <c r="X1131" s="148">
        <f>ROUND(+U1131+W1131,4)</f>
        <v>0</v>
      </c>
      <c r="Y1131" s="68"/>
      <c r="Z1131" s="148">
        <f>ROUND(IF(X1131&gt;I1131,X1131,I1131),4)</f>
        <v>0</v>
      </c>
      <c r="AD1131" s="78">
        <f t="shared" si="12"/>
        <v>0</v>
      </c>
      <c r="AE1131" s="78">
        <f t="shared" si="13"/>
        <v>0</v>
      </c>
    </row>
    <row r="1132" spans="1:31" x14ac:dyDescent="0.2">
      <c r="A1132" s="66"/>
      <c r="B1132" s="66"/>
      <c r="C1132" s="66"/>
      <c r="D1132" s="144"/>
      <c r="E1132" s="67"/>
      <c r="F1132" s="67"/>
      <c r="G1132" s="67"/>
      <c r="H1132" s="67">
        <f>ROUND(+E1132+G1132,4)</f>
        <v>0</v>
      </c>
      <c r="I1132" s="67"/>
      <c r="J1132" s="67">
        <f>ROUND(+I1132-H1132,4)</f>
        <v>0</v>
      </c>
      <c r="K1132" s="67">
        <f>ROUND(IF(F1132="alluminio",0,I1132*1.5%),4)</f>
        <v>0</v>
      </c>
      <c r="L1132" s="67">
        <f>ROUND(IF(K1132&lt;J1132,K1132,0),4)</f>
        <v>0</v>
      </c>
      <c r="M1132" s="67">
        <f>ROUND(IF(J1132&gt;K1132,0,J1132),4)</f>
        <v>0</v>
      </c>
      <c r="N1132" s="67">
        <f>ROUND(+L1132*D1132,4)</f>
        <v>0</v>
      </c>
      <c r="O1132" s="67">
        <f>ROUND(IF(F1132="rame",0,+I1132*3%),4)</f>
        <v>0</v>
      </c>
      <c r="P1132" s="67">
        <f>ROUND(IF(O1132&lt;J1132,O1132,0),4)</f>
        <v>0</v>
      </c>
      <c r="Q1132" s="67">
        <f>ROUND(IF(J1132&gt;O1132,0,J1132),4)</f>
        <v>0</v>
      </c>
      <c r="R1132" s="67">
        <f>ROUND(+P1132*D1132,4)</f>
        <v>0</v>
      </c>
      <c r="S1132" s="67">
        <f>ROUND(IF(K1132=0,0,M1132*D1132),4)</f>
        <v>0</v>
      </c>
      <c r="T1132" s="67">
        <f>ROUND(+IF(K1132=0,Q1132*D1132,0),4)</f>
        <v>0</v>
      </c>
      <c r="U1132" s="67">
        <f>ROUND(+N1132+R1132+S1132+T1132,4)</f>
        <v>0</v>
      </c>
      <c r="V1132" s="67">
        <f>ROUND(IF(P1132=0,0,I1132-H1132-O1132)+IF(L1132=0,0,I1132-H1132-K1132),4)</f>
        <v>0</v>
      </c>
      <c r="W1132" s="67">
        <f>ROUND(+(V1132*60%)*D1132,4)</f>
        <v>0</v>
      </c>
      <c r="X1132" s="148">
        <f>ROUND(+U1132+W1132,4)</f>
        <v>0</v>
      </c>
      <c r="Y1132" s="68"/>
      <c r="Z1132" s="148">
        <f>ROUND(IF(X1132&gt;I1132,X1132,I1132),4)</f>
        <v>0</v>
      </c>
      <c r="AD1132" s="78">
        <f t="shared" si="12"/>
        <v>0</v>
      </c>
      <c r="AE1132" s="78">
        <f t="shared" si="13"/>
        <v>0</v>
      </c>
    </row>
    <row r="1133" spans="1:31" x14ac:dyDescent="0.2">
      <c r="A1133" s="66"/>
      <c r="B1133" s="66"/>
      <c r="C1133" s="66"/>
      <c r="D1133" s="144"/>
      <c r="E1133" s="67"/>
      <c r="F1133" s="67"/>
      <c r="G1133" s="67"/>
      <c r="H1133" s="67">
        <f>ROUND(+E1133+G1133,4)</f>
        <v>0</v>
      </c>
      <c r="I1133" s="67"/>
      <c r="J1133" s="67">
        <f>ROUND(+I1133-H1133,4)</f>
        <v>0</v>
      </c>
      <c r="K1133" s="67">
        <f>ROUND(IF(F1133="alluminio",0,I1133*1.5%),4)</f>
        <v>0</v>
      </c>
      <c r="L1133" s="67">
        <f>ROUND(IF(K1133&lt;J1133,K1133,0),4)</f>
        <v>0</v>
      </c>
      <c r="M1133" s="67">
        <f>ROUND(IF(J1133&gt;K1133,0,J1133),4)</f>
        <v>0</v>
      </c>
      <c r="N1133" s="67">
        <f>ROUND(+L1133*D1133,4)</f>
        <v>0</v>
      </c>
      <c r="O1133" s="67">
        <f>ROUND(IF(F1133="rame",0,+I1133*3%),4)</f>
        <v>0</v>
      </c>
      <c r="P1133" s="67">
        <f>ROUND(IF(O1133&lt;J1133,O1133,0),4)</f>
        <v>0</v>
      </c>
      <c r="Q1133" s="67">
        <f>ROUND(IF(J1133&gt;O1133,0,J1133),4)</f>
        <v>0</v>
      </c>
      <c r="R1133" s="67">
        <f>ROUND(+P1133*D1133,4)</f>
        <v>0</v>
      </c>
      <c r="S1133" s="67">
        <f>ROUND(IF(K1133=0,0,M1133*D1133),4)</f>
        <v>0</v>
      </c>
      <c r="T1133" s="67">
        <f>ROUND(+IF(K1133=0,Q1133*D1133,0),4)</f>
        <v>0</v>
      </c>
      <c r="U1133" s="67">
        <f>ROUND(+N1133+R1133+S1133+T1133,4)</f>
        <v>0</v>
      </c>
      <c r="V1133" s="67">
        <f>ROUND(IF(P1133=0,0,I1133-H1133-O1133)+IF(L1133=0,0,I1133-H1133-K1133),4)</f>
        <v>0</v>
      </c>
      <c r="W1133" s="67">
        <f>ROUND(+(V1133*60%)*D1133,4)</f>
        <v>0</v>
      </c>
      <c r="X1133" s="148">
        <f>ROUND(+U1133+W1133,4)</f>
        <v>0</v>
      </c>
      <c r="Y1133" s="68"/>
      <c r="Z1133" s="148">
        <f>ROUND(IF(X1133&gt;I1133,X1133,I1133),4)</f>
        <v>0</v>
      </c>
      <c r="AD1133" s="78">
        <f t="shared" si="12"/>
        <v>0</v>
      </c>
      <c r="AE1133" s="78">
        <f t="shared" si="13"/>
        <v>0</v>
      </c>
    </row>
    <row r="1134" spans="1:31" x14ac:dyDescent="0.2">
      <c r="A1134" s="66"/>
      <c r="B1134" s="66"/>
      <c r="C1134" s="66"/>
      <c r="D1134" s="144"/>
      <c r="E1134" s="67"/>
      <c r="F1134" s="67"/>
      <c r="G1134" s="67"/>
      <c r="H1134" s="67">
        <f>ROUND(+E1134+G1134,4)</f>
        <v>0</v>
      </c>
      <c r="I1134" s="67"/>
      <c r="J1134" s="67">
        <f>ROUND(+I1134-H1134,4)</f>
        <v>0</v>
      </c>
      <c r="K1134" s="67">
        <f>ROUND(IF(F1134="alluminio",0,I1134*1.5%),4)</f>
        <v>0</v>
      </c>
      <c r="L1134" s="67">
        <f>ROUND(IF(K1134&lt;J1134,K1134,0),4)</f>
        <v>0</v>
      </c>
      <c r="M1134" s="67">
        <f>ROUND(IF(J1134&gt;K1134,0,J1134),4)</f>
        <v>0</v>
      </c>
      <c r="N1134" s="67">
        <f>ROUND(+L1134*D1134,4)</f>
        <v>0</v>
      </c>
      <c r="O1134" s="67">
        <f>ROUND(IF(F1134="rame",0,+I1134*3%),4)</f>
        <v>0</v>
      </c>
      <c r="P1134" s="67">
        <f>ROUND(IF(O1134&lt;J1134,O1134,0),4)</f>
        <v>0</v>
      </c>
      <c r="Q1134" s="67">
        <f>ROUND(IF(J1134&gt;O1134,0,J1134),4)</f>
        <v>0</v>
      </c>
      <c r="R1134" s="67">
        <f>ROUND(+P1134*D1134,4)</f>
        <v>0</v>
      </c>
      <c r="S1134" s="67">
        <f>ROUND(IF(K1134=0,0,M1134*D1134),4)</f>
        <v>0</v>
      </c>
      <c r="T1134" s="67">
        <f>ROUND(+IF(K1134=0,Q1134*D1134,0),4)</f>
        <v>0</v>
      </c>
      <c r="U1134" s="67">
        <f>ROUND(+N1134+R1134+S1134+T1134,4)</f>
        <v>0</v>
      </c>
      <c r="V1134" s="67">
        <f>ROUND(IF(P1134=0,0,I1134-H1134-O1134)+IF(L1134=0,0,I1134-H1134-K1134),4)</f>
        <v>0</v>
      </c>
      <c r="W1134" s="67">
        <f>ROUND(+(V1134*60%)*D1134,4)</f>
        <v>0</v>
      </c>
      <c r="X1134" s="148">
        <f>ROUND(+U1134+W1134,4)</f>
        <v>0</v>
      </c>
      <c r="Y1134" s="68"/>
      <c r="Z1134" s="148">
        <f>ROUND(IF(X1134&gt;I1134,X1134,I1134),4)</f>
        <v>0</v>
      </c>
      <c r="AD1134" s="78">
        <f t="shared" si="12"/>
        <v>0</v>
      </c>
      <c r="AE1134" s="78">
        <f t="shared" si="13"/>
        <v>0</v>
      </c>
    </row>
    <row r="1135" spans="1:31" x14ac:dyDescent="0.2">
      <c r="A1135" s="66"/>
      <c r="B1135" s="66"/>
      <c r="C1135" s="66"/>
      <c r="D1135" s="144"/>
      <c r="E1135" s="67"/>
      <c r="F1135" s="67"/>
      <c r="G1135" s="67"/>
      <c r="H1135" s="67">
        <f>ROUND(+E1135+G1135,4)</f>
        <v>0</v>
      </c>
      <c r="I1135" s="67"/>
      <c r="J1135" s="67">
        <f>ROUND(+I1135-H1135,4)</f>
        <v>0</v>
      </c>
      <c r="K1135" s="67">
        <f>ROUND(IF(F1135="alluminio",0,I1135*1.5%),4)</f>
        <v>0</v>
      </c>
      <c r="L1135" s="67">
        <f>ROUND(IF(K1135&lt;J1135,K1135,0),4)</f>
        <v>0</v>
      </c>
      <c r="M1135" s="67">
        <f>ROUND(IF(J1135&gt;K1135,0,J1135),4)</f>
        <v>0</v>
      </c>
      <c r="N1135" s="67">
        <f>ROUND(+L1135*D1135,4)</f>
        <v>0</v>
      </c>
      <c r="O1135" s="67">
        <f>ROUND(IF(F1135="rame",0,+I1135*3%),4)</f>
        <v>0</v>
      </c>
      <c r="P1135" s="67">
        <f>ROUND(IF(O1135&lt;J1135,O1135,0),4)</f>
        <v>0</v>
      </c>
      <c r="Q1135" s="67">
        <f>ROUND(IF(J1135&gt;O1135,0,J1135),4)</f>
        <v>0</v>
      </c>
      <c r="R1135" s="67">
        <f>ROUND(+P1135*D1135,4)</f>
        <v>0</v>
      </c>
      <c r="S1135" s="67">
        <f>ROUND(IF(K1135=0,0,M1135*D1135),4)</f>
        <v>0</v>
      </c>
      <c r="T1135" s="67">
        <f>ROUND(+IF(K1135=0,Q1135*D1135,0),4)</f>
        <v>0</v>
      </c>
      <c r="U1135" s="67">
        <f>ROUND(+N1135+R1135+S1135+T1135,4)</f>
        <v>0</v>
      </c>
      <c r="V1135" s="67">
        <f>ROUND(IF(P1135=0,0,I1135-H1135-O1135)+IF(L1135=0,0,I1135-H1135-K1135),4)</f>
        <v>0</v>
      </c>
      <c r="W1135" s="67">
        <f>ROUND(+(V1135*60%)*D1135,4)</f>
        <v>0</v>
      </c>
      <c r="X1135" s="148">
        <f>ROUND(+U1135+W1135,4)</f>
        <v>0</v>
      </c>
      <c r="Y1135" s="68"/>
      <c r="Z1135" s="148">
        <f>ROUND(IF(X1135&gt;I1135,X1135,I1135),4)</f>
        <v>0</v>
      </c>
      <c r="AD1135" s="78">
        <f t="shared" si="12"/>
        <v>0</v>
      </c>
      <c r="AE1135" s="78">
        <f t="shared" si="13"/>
        <v>0</v>
      </c>
    </row>
    <row r="1136" spans="1:31" x14ac:dyDescent="0.2">
      <c r="A1136" s="66"/>
      <c r="B1136" s="66"/>
      <c r="C1136" s="66"/>
      <c r="D1136" s="144"/>
      <c r="E1136" s="67"/>
      <c r="F1136" s="67"/>
      <c r="G1136" s="67"/>
      <c r="H1136" s="67">
        <f>ROUND(+E1136+G1136,4)</f>
        <v>0</v>
      </c>
      <c r="I1136" s="67"/>
      <c r="J1136" s="67">
        <f>ROUND(+I1136-H1136,4)</f>
        <v>0</v>
      </c>
      <c r="K1136" s="67">
        <f>ROUND(IF(F1136="alluminio",0,I1136*1.5%),4)</f>
        <v>0</v>
      </c>
      <c r="L1136" s="67">
        <f>ROUND(IF(K1136&lt;J1136,K1136,0),4)</f>
        <v>0</v>
      </c>
      <c r="M1136" s="67">
        <f>ROUND(IF(J1136&gt;K1136,0,J1136),4)</f>
        <v>0</v>
      </c>
      <c r="N1136" s="67">
        <f>ROUND(+L1136*D1136,4)</f>
        <v>0</v>
      </c>
      <c r="O1136" s="67">
        <f>ROUND(IF(F1136="rame",0,+I1136*3%),4)</f>
        <v>0</v>
      </c>
      <c r="P1136" s="67">
        <f>ROUND(IF(O1136&lt;J1136,O1136,0),4)</f>
        <v>0</v>
      </c>
      <c r="Q1136" s="67">
        <f>ROUND(IF(J1136&gt;O1136,0,J1136),4)</f>
        <v>0</v>
      </c>
      <c r="R1136" s="67">
        <f>ROUND(+P1136*D1136,4)</f>
        <v>0</v>
      </c>
      <c r="S1136" s="67">
        <f>ROUND(IF(K1136=0,0,M1136*D1136),4)</f>
        <v>0</v>
      </c>
      <c r="T1136" s="67">
        <f>ROUND(+IF(K1136=0,Q1136*D1136,0),4)</f>
        <v>0</v>
      </c>
      <c r="U1136" s="67">
        <f>ROUND(+N1136+R1136+S1136+T1136,4)</f>
        <v>0</v>
      </c>
      <c r="V1136" s="67">
        <f>ROUND(IF(P1136=0,0,I1136-H1136-O1136)+IF(L1136=0,0,I1136-H1136-K1136),4)</f>
        <v>0</v>
      </c>
      <c r="W1136" s="67">
        <f>ROUND(+(V1136*60%)*D1136,4)</f>
        <v>0</v>
      </c>
      <c r="X1136" s="148">
        <f>ROUND(+U1136+W1136,4)</f>
        <v>0</v>
      </c>
      <c r="Y1136" s="68"/>
      <c r="Z1136" s="148">
        <f>ROUND(IF(X1136&gt;I1136,X1136,I1136),4)</f>
        <v>0</v>
      </c>
      <c r="AD1136" s="78">
        <f t="shared" si="12"/>
        <v>0</v>
      </c>
      <c r="AE1136" s="78">
        <f t="shared" si="13"/>
        <v>0</v>
      </c>
    </row>
    <row r="1137" spans="1:31" x14ac:dyDescent="0.2">
      <c r="A1137" s="66"/>
      <c r="B1137" s="66"/>
      <c r="C1137" s="66"/>
      <c r="D1137" s="144"/>
      <c r="E1137" s="67"/>
      <c r="F1137" s="67"/>
      <c r="G1137" s="67"/>
      <c r="H1137" s="67">
        <f>ROUND(+E1137+G1137,4)</f>
        <v>0</v>
      </c>
      <c r="I1137" s="67"/>
      <c r="J1137" s="67">
        <f>ROUND(+I1137-H1137,4)</f>
        <v>0</v>
      </c>
      <c r="K1137" s="67">
        <f>ROUND(IF(F1137="alluminio",0,I1137*1.5%),4)</f>
        <v>0</v>
      </c>
      <c r="L1137" s="67">
        <f>ROUND(IF(K1137&lt;J1137,K1137,0),4)</f>
        <v>0</v>
      </c>
      <c r="M1137" s="67">
        <f>ROUND(IF(J1137&gt;K1137,0,J1137),4)</f>
        <v>0</v>
      </c>
      <c r="N1137" s="67">
        <f>ROUND(+L1137*D1137,4)</f>
        <v>0</v>
      </c>
      <c r="O1137" s="67">
        <f>ROUND(IF(F1137="rame",0,+I1137*3%),4)</f>
        <v>0</v>
      </c>
      <c r="P1137" s="67">
        <f>ROUND(IF(O1137&lt;J1137,O1137,0),4)</f>
        <v>0</v>
      </c>
      <c r="Q1137" s="67">
        <f>ROUND(IF(J1137&gt;O1137,0,J1137),4)</f>
        <v>0</v>
      </c>
      <c r="R1137" s="67">
        <f>ROUND(+P1137*D1137,4)</f>
        <v>0</v>
      </c>
      <c r="S1137" s="67">
        <f>ROUND(IF(K1137=0,0,M1137*D1137),4)</f>
        <v>0</v>
      </c>
      <c r="T1137" s="67">
        <f>ROUND(+IF(K1137=0,Q1137*D1137,0),4)</f>
        <v>0</v>
      </c>
      <c r="U1137" s="67">
        <f>ROUND(+N1137+R1137+S1137+T1137,4)</f>
        <v>0</v>
      </c>
      <c r="V1137" s="67">
        <f>ROUND(IF(P1137=0,0,I1137-H1137-O1137)+IF(L1137=0,0,I1137-H1137-K1137),4)</f>
        <v>0</v>
      </c>
      <c r="W1137" s="67">
        <f>ROUND(+(V1137*60%)*D1137,4)</f>
        <v>0</v>
      </c>
      <c r="X1137" s="148">
        <f>ROUND(+U1137+W1137,4)</f>
        <v>0</v>
      </c>
      <c r="Y1137" s="68"/>
      <c r="Z1137" s="148">
        <f>ROUND(IF(X1137&gt;I1137,X1137,I1137),4)</f>
        <v>0</v>
      </c>
      <c r="AD1137" s="78">
        <f t="shared" si="12"/>
        <v>0</v>
      </c>
      <c r="AE1137" s="78">
        <f t="shared" si="13"/>
        <v>0</v>
      </c>
    </row>
    <row r="1138" spans="1:31" x14ac:dyDescent="0.2">
      <c r="A1138" s="66"/>
      <c r="B1138" s="66"/>
      <c r="C1138" s="66"/>
      <c r="D1138" s="144"/>
      <c r="E1138" s="67"/>
      <c r="F1138" s="67"/>
      <c r="G1138" s="67"/>
      <c r="H1138" s="67">
        <f>ROUND(+E1138+G1138,4)</f>
        <v>0</v>
      </c>
      <c r="I1138" s="67"/>
      <c r="J1138" s="67">
        <f>ROUND(+I1138-H1138,4)</f>
        <v>0</v>
      </c>
      <c r="K1138" s="67">
        <f>ROUND(IF(F1138="alluminio",0,I1138*1.5%),4)</f>
        <v>0</v>
      </c>
      <c r="L1138" s="67">
        <f>ROUND(IF(K1138&lt;J1138,K1138,0),4)</f>
        <v>0</v>
      </c>
      <c r="M1138" s="67">
        <f>ROUND(IF(J1138&gt;K1138,0,J1138),4)</f>
        <v>0</v>
      </c>
      <c r="N1138" s="67">
        <f>ROUND(+L1138*D1138,4)</f>
        <v>0</v>
      </c>
      <c r="O1138" s="67">
        <f>ROUND(IF(F1138="rame",0,+I1138*3%),4)</f>
        <v>0</v>
      </c>
      <c r="P1138" s="67">
        <f>ROUND(IF(O1138&lt;J1138,O1138,0),4)</f>
        <v>0</v>
      </c>
      <c r="Q1138" s="67">
        <f>ROUND(IF(J1138&gt;O1138,0,J1138),4)</f>
        <v>0</v>
      </c>
      <c r="R1138" s="67">
        <f>ROUND(+P1138*D1138,4)</f>
        <v>0</v>
      </c>
      <c r="S1138" s="67">
        <f>ROUND(IF(K1138=0,0,M1138*D1138),4)</f>
        <v>0</v>
      </c>
      <c r="T1138" s="67">
        <f>ROUND(+IF(K1138=0,Q1138*D1138,0),4)</f>
        <v>0</v>
      </c>
      <c r="U1138" s="67">
        <f>ROUND(+N1138+R1138+S1138+T1138,4)</f>
        <v>0</v>
      </c>
      <c r="V1138" s="67">
        <f>ROUND(IF(P1138=0,0,I1138-H1138-O1138)+IF(L1138=0,0,I1138-H1138-K1138),4)</f>
        <v>0</v>
      </c>
      <c r="W1138" s="67">
        <f>ROUND(+(V1138*60%)*D1138,4)</f>
        <v>0</v>
      </c>
      <c r="X1138" s="148">
        <f>ROUND(+U1138+W1138,4)</f>
        <v>0</v>
      </c>
      <c r="Y1138" s="68"/>
      <c r="Z1138" s="148">
        <f>ROUND(IF(X1138&gt;I1138,X1138,I1138),4)</f>
        <v>0</v>
      </c>
      <c r="AD1138" s="78">
        <f t="shared" si="12"/>
        <v>0</v>
      </c>
      <c r="AE1138" s="78">
        <f t="shared" si="13"/>
        <v>0</v>
      </c>
    </row>
    <row r="1139" spans="1:31" x14ac:dyDescent="0.2">
      <c r="A1139" s="66"/>
      <c r="B1139" s="66"/>
      <c r="C1139" s="66"/>
      <c r="D1139" s="144"/>
      <c r="E1139" s="67"/>
      <c r="F1139" s="67"/>
      <c r="G1139" s="67"/>
      <c r="H1139" s="67">
        <f>ROUND(+E1139+G1139,4)</f>
        <v>0</v>
      </c>
      <c r="I1139" s="67"/>
      <c r="J1139" s="67">
        <f>ROUND(+I1139-H1139,4)</f>
        <v>0</v>
      </c>
      <c r="K1139" s="67">
        <f>ROUND(IF(F1139="alluminio",0,I1139*1.5%),4)</f>
        <v>0</v>
      </c>
      <c r="L1139" s="67">
        <f>ROUND(IF(K1139&lt;J1139,K1139,0),4)</f>
        <v>0</v>
      </c>
      <c r="M1139" s="67">
        <f>ROUND(IF(J1139&gt;K1139,0,J1139),4)</f>
        <v>0</v>
      </c>
      <c r="N1139" s="67">
        <f>ROUND(+L1139*D1139,4)</f>
        <v>0</v>
      </c>
      <c r="O1139" s="67">
        <f>ROUND(IF(F1139="rame",0,+I1139*3%),4)</f>
        <v>0</v>
      </c>
      <c r="P1139" s="67">
        <f>ROUND(IF(O1139&lt;J1139,O1139,0),4)</f>
        <v>0</v>
      </c>
      <c r="Q1139" s="67">
        <f>ROUND(IF(J1139&gt;O1139,0,J1139),4)</f>
        <v>0</v>
      </c>
      <c r="R1139" s="67">
        <f>ROUND(+P1139*D1139,4)</f>
        <v>0</v>
      </c>
      <c r="S1139" s="67">
        <f>ROUND(IF(K1139=0,0,M1139*D1139),4)</f>
        <v>0</v>
      </c>
      <c r="T1139" s="67">
        <f>ROUND(+IF(K1139=0,Q1139*D1139,0),4)</f>
        <v>0</v>
      </c>
      <c r="U1139" s="67">
        <f>ROUND(+N1139+R1139+S1139+T1139,4)</f>
        <v>0</v>
      </c>
      <c r="V1139" s="67">
        <f>ROUND(IF(P1139=0,0,I1139-H1139-O1139)+IF(L1139=0,0,I1139-H1139-K1139),4)</f>
        <v>0</v>
      </c>
      <c r="W1139" s="67">
        <f>ROUND(+(V1139*60%)*D1139,4)</f>
        <v>0</v>
      </c>
      <c r="X1139" s="148">
        <f>ROUND(+U1139+W1139,4)</f>
        <v>0</v>
      </c>
      <c r="Y1139" s="68"/>
      <c r="Z1139" s="148">
        <f>ROUND(IF(X1139&gt;I1139,X1139,I1139),4)</f>
        <v>0</v>
      </c>
      <c r="AD1139" s="78">
        <f t="shared" si="12"/>
        <v>0</v>
      </c>
      <c r="AE1139" s="78">
        <f t="shared" si="13"/>
        <v>0</v>
      </c>
    </row>
    <row r="1140" spans="1:31" x14ac:dyDescent="0.2">
      <c r="A1140" s="66"/>
      <c r="B1140" s="66"/>
      <c r="C1140" s="66"/>
      <c r="D1140" s="144"/>
      <c r="E1140" s="67"/>
      <c r="F1140" s="67"/>
      <c r="G1140" s="67"/>
      <c r="H1140" s="67">
        <f>ROUND(+E1140+G1140,4)</f>
        <v>0</v>
      </c>
      <c r="I1140" s="67"/>
      <c r="J1140" s="67">
        <f>ROUND(+I1140-H1140,4)</f>
        <v>0</v>
      </c>
      <c r="K1140" s="67">
        <f>ROUND(IF(F1140="alluminio",0,I1140*1.5%),4)</f>
        <v>0</v>
      </c>
      <c r="L1140" s="67">
        <f>ROUND(IF(K1140&lt;J1140,K1140,0),4)</f>
        <v>0</v>
      </c>
      <c r="M1140" s="67">
        <f>ROUND(IF(J1140&gt;K1140,0,J1140),4)</f>
        <v>0</v>
      </c>
      <c r="N1140" s="67">
        <f>ROUND(+L1140*D1140,4)</f>
        <v>0</v>
      </c>
      <c r="O1140" s="67">
        <f>ROUND(IF(F1140="rame",0,+I1140*3%),4)</f>
        <v>0</v>
      </c>
      <c r="P1140" s="67">
        <f>ROUND(IF(O1140&lt;J1140,O1140,0),4)</f>
        <v>0</v>
      </c>
      <c r="Q1140" s="67">
        <f>ROUND(IF(J1140&gt;O1140,0,J1140),4)</f>
        <v>0</v>
      </c>
      <c r="R1140" s="67">
        <f>ROUND(+P1140*D1140,4)</f>
        <v>0</v>
      </c>
      <c r="S1140" s="67">
        <f>ROUND(IF(K1140=0,0,M1140*D1140),4)</f>
        <v>0</v>
      </c>
      <c r="T1140" s="67">
        <f>ROUND(+IF(K1140=0,Q1140*D1140,0),4)</f>
        <v>0</v>
      </c>
      <c r="U1140" s="67">
        <f>ROUND(+N1140+R1140+S1140+T1140,4)</f>
        <v>0</v>
      </c>
      <c r="V1140" s="67">
        <f>ROUND(IF(P1140=0,0,I1140-H1140-O1140)+IF(L1140=0,0,I1140-H1140-K1140),4)</f>
        <v>0</v>
      </c>
      <c r="W1140" s="67">
        <f>ROUND(+(V1140*60%)*D1140,4)</f>
        <v>0</v>
      </c>
      <c r="X1140" s="148">
        <f>ROUND(+U1140+W1140,4)</f>
        <v>0</v>
      </c>
      <c r="Y1140" s="68"/>
      <c r="Z1140" s="148">
        <f>ROUND(IF(X1140&gt;I1140,X1140,I1140),4)</f>
        <v>0</v>
      </c>
      <c r="AD1140" s="78">
        <f t="shared" si="12"/>
        <v>0</v>
      </c>
      <c r="AE1140" s="78">
        <f t="shared" si="13"/>
        <v>0</v>
      </c>
    </row>
    <row r="1141" spans="1:31" x14ac:dyDescent="0.2">
      <c r="A1141" s="66"/>
      <c r="B1141" s="66"/>
      <c r="C1141" s="66"/>
      <c r="D1141" s="144"/>
      <c r="E1141" s="67"/>
      <c r="F1141" s="67"/>
      <c r="G1141" s="67"/>
      <c r="H1141" s="67">
        <f>ROUND(+E1141+G1141,4)</f>
        <v>0</v>
      </c>
      <c r="I1141" s="67"/>
      <c r="J1141" s="67">
        <f>ROUND(+I1141-H1141,4)</f>
        <v>0</v>
      </c>
      <c r="K1141" s="67">
        <f>ROUND(IF(F1141="alluminio",0,I1141*1.5%),4)</f>
        <v>0</v>
      </c>
      <c r="L1141" s="67">
        <f>ROUND(IF(K1141&lt;J1141,K1141,0),4)</f>
        <v>0</v>
      </c>
      <c r="M1141" s="67">
        <f>ROUND(IF(J1141&gt;K1141,0,J1141),4)</f>
        <v>0</v>
      </c>
      <c r="N1141" s="67">
        <f>ROUND(+L1141*D1141,4)</f>
        <v>0</v>
      </c>
      <c r="O1141" s="67">
        <f>ROUND(IF(F1141="rame",0,+I1141*3%),4)</f>
        <v>0</v>
      </c>
      <c r="P1141" s="67">
        <f>ROUND(IF(O1141&lt;J1141,O1141,0),4)</f>
        <v>0</v>
      </c>
      <c r="Q1141" s="67">
        <f>ROUND(IF(J1141&gt;O1141,0,J1141),4)</f>
        <v>0</v>
      </c>
      <c r="R1141" s="67">
        <f>ROUND(+P1141*D1141,4)</f>
        <v>0</v>
      </c>
      <c r="S1141" s="67">
        <f>ROUND(IF(K1141=0,0,M1141*D1141),4)</f>
        <v>0</v>
      </c>
      <c r="T1141" s="67">
        <f>ROUND(+IF(K1141=0,Q1141*D1141,0),4)</f>
        <v>0</v>
      </c>
      <c r="U1141" s="67">
        <f>ROUND(+N1141+R1141+S1141+T1141,4)</f>
        <v>0</v>
      </c>
      <c r="V1141" s="67">
        <f>ROUND(IF(P1141=0,0,I1141-H1141-O1141)+IF(L1141=0,0,I1141-H1141-K1141),4)</f>
        <v>0</v>
      </c>
      <c r="W1141" s="67">
        <f>ROUND(+(V1141*60%)*D1141,4)</f>
        <v>0</v>
      </c>
      <c r="X1141" s="148">
        <f>ROUND(+U1141+W1141,4)</f>
        <v>0</v>
      </c>
      <c r="Y1141" s="68"/>
      <c r="Z1141" s="148">
        <f>ROUND(IF(X1141&gt;I1141,X1141,I1141),4)</f>
        <v>0</v>
      </c>
      <c r="AD1141" s="78">
        <f t="shared" si="12"/>
        <v>0</v>
      </c>
      <c r="AE1141" s="78">
        <f t="shared" si="13"/>
        <v>0</v>
      </c>
    </row>
    <row r="1142" spans="1:31" x14ac:dyDescent="0.2">
      <c r="A1142" s="66"/>
      <c r="B1142" s="66"/>
      <c r="C1142" s="66"/>
      <c r="D1142" s="144"/>
      <c r="E1142" s="67"/>
      <c r="F1142" s="67"/>
      <c r="G1142" s="67"/>
      <c r="H1142" s="67">
        <f>ROUND(+E1142+G1142,4)</f>
        <v>0</v>
      </c>
      <c r="I1142" s="67"/>
      <c r="J1142" s="67">
        <f>ROUND(+I1142-H1142,4)</f>
        <v>0</v>
      </c>
      <c r="K1142" s="67">
        <f>ROUND(IF(F1142="alluminio",0,I1142*1.5%),4)</f>
        <v>0</v>
      </c>
      <c r="L1142" s="67">
        <f>ROUND(IF(K1142&lt;J1142,K1142,0),4)</f>
        <v>0</v>
      </c>
      <c r="M1142" s="67">
        <f>ROUND(IF(J1142&gt;K1142,0,J1142),4)</f>
        <v>0</v>
      </c>
      <c r="N1142" s="67">
        <f>ROUND(+L1142*D1142,4)</f>
        <v>0</v>
      </c>
      <c r="O1142" s="67">
        <f>ROUND(IF(F1142="rame",0,+I1142*3%),4)</f>
        <v>0</v>
      </c>
      <c r="P1142" s="67">
        <f>ROUND(IF(O1142&lt;J1142,O1142,0),4)</f>
        <v>0</v>
      </c>
      <c r="Q1142" s="67">
        <f>ROUND(IF(J1142&gt;O1142,0,J1142),4)</f>
        <v>0</v>
      </c>
      <c r="R1142" s="67">
        <f>ROUND(+P1142*D1142,4)</f>
        <v>0</v>
      </c>
      <c r="S1142" s="67">
        <f>ROUND(IF(K1142=0,0,M1142*D1142),4)</f>
        <v>0</v>
      </c>
      <c r="T1142" s="67">
        <f>ROUND(+IF(K1142=0,Q1142*D1142,0),4)</f>
        <v>0</v>
      </c>
      <c r="U1142" s="67">
        <f>ROUND(+N1142+R1142+S1142+T1142,4)</f>
        <v>0</v>
      </c>
      <c r="V1142" s="67">
        <f>ROUND(IF(P1142=0,0,I1142-H1142-O1142)+IF(L1142=0,0,I1142-H1142-K1142),4)</f>
        <v>0</v>
      </c>
      <c r="W1142" s="67">
        <f>ROUND(+(V1142*60%)*D1142,4)</f>
        <v>0</v>
      </c>
      <c r="X1142" s="148">
        <f>ROUND(+U1142+W1142,4)</f>
        <v>0</v>
      </c>
      <c r="Y1142" s="68"/>
      <c r="Z1142" s="148">
        <f>ROUND(IF(X1142&gt;I1142,X1142,I1142),4)</f>
        <v>0</v>
      </c>
      <c r="AD1142" s="78">
        <f t="shared" si="12"/>
        <v>0</v>
      </c>
      <c r="AE1142" s="78">
        <f t="shared" si="13"/>
        <v>0</v>
      </c>
    </row>
    <row r="1143" spans="1:31" x14ac:dyDescent="0.2">
      <c r="A1143" s="66"/>
      <c r="B1143" s="66"/>
      <c r="C1143" s="66"/>
      <c r="D1143" s="144"/>
      <c r="E1143" s="67"/>
      <c r="F1143" s="67"/>
      <c r="G1143" s="67"/>
      <c r="H1143" s="67">
        <f>ROUND(+E1143+G1143,4)</f>
        <v>0</v>
      </c>
      <c r="I1143" s="67"/>
      <c r="J1143" s="67">
        <f>ROUND(+I1143-H1143,4)</f>
        <v>0</v>
      </c>
      <c r="K1143" s="67">
        <f>ROUND(IF(F1143="alluminio",0,I1143*1.5%),4)</f>
        <v>0</v>
      </c>
      <c r="L1143" s="67">
        <f>ROUND(IF(K1143&lt;J1143,K1143,0),4)</f>
        <v>0</v>
      </c>
      <c r="M1143" s="67">
        <f>ROUND(IF(J1143&gt;K1143,0,J1143),4)</f>
        <v>0</v>
      </c>
      <c r="N1143" s="67">
        <f>ROUND(+L1143*D1143,4)</f>
        <v>0</v>
      </c>
      <c r="O1143" s="67">
        <f>ROUND(IF(F1143="rame",0,+I1143*3%),4)</f>
        <v>0</v>
      </c>
      <c r="P1143" s="67">
        <f>ROUND(IF(O1143&lt;J1143,O1143,0),4)</f>
        <v>0</v>
      </c>
      <c r="Q1143" s="67">
        <f>ROUND(IF(J1143&gt;O1143,0,J1143),4)</f>
        <v>0</v>
      </c>
      <c r="R1143" s="67">
        <f>ROUND(+P1143*D1143,4)</f>
        <v>0</v>
      </c>
      <c r="S1143" s="67">
        <f>ROUND(IF(K1143=0,0,M1143*D1143),4)</f>
        <v>0</v>
      </c>
      <c r="T1143" s="67">
        <f>ROUND(+IF(K1143=0,Q1143*D1143,0),4)</f>
        <v>0</v>
      </c>
      <c r="U1143" s="67">
        <f>ROUND(+N1143+R1143+S1143+T1143,4)</f>
        <v>0</v>
      </c>
      <c r="V1143" s="67">
        <f>ROUND(IF(P1143=0,0,I1143-H1143-O1143)+IF(L1143=0,0,I1143-H1143-K1143),4)</f>
        <v>0</v>
      </c>
      <c r="W1143" s="67">
        <f>ROUND(+(V1143*60%)*D1143,4)</f>
        <v>0</v>
      </c>
      <c r="X1143" s="148">
        <f>ROUND(+U1143+W1143,4)</f>
        <v>0</v>
      </c>
      <c r="Y1143" s="68"/>
      <c r="Z1143" s="148">
        <f>ROUND(IF(X1143&gt;I1143,X1143,I1143),4)</f>
        <v>0</v>
      </c>
      <c r="AD1143" s="78">
        <f t="shared" si="12"/>
        <v>0</v>
      </c>
      <c r="AE1143" s="78">
        <f t="shared" si="13"/>
        <v>0</v>
      </c>
    </row>
    <row r="1144" spans="1:31" x14ac:dyDescent="0.2">
      <c r="A1144" s="66"/>
      <c r="B1144" s="66"/>
      <c r="C1144" s="66"/>
      <c r="D1144" s="144"/>
      <c r="E1144" s="67"/>
      <c r="F1144" s="67"/>
      <c r="G1144" s="67"/>
      <c r="H1144" s="67">
        <f>ROUND(+E1144+G1144,4)</f>
        <v>0</v>
      </c>
      <c r="I1144" s="67"/>
      <c r="J1144" s="67">
        <f>ROUND(+I1144-H1144,4)</f>
        <v>0</v>
      </c>
      <c r="K1144" s="67">
        <f>ROUND(IF(F1144="alluminio",0,I1144*1.5%),4)</f>
        <v>0</v>
      </c>
      <c r="L1144" s="67">
        <f>ROUND(IF(K1144&lt;J1144,K1144,0),4)</f>
        <v>0</v>
      </c>
      <c r="M1144" s="67">
        <f>ROUND(IF(J1144&gt;K1144,0,J1144),4)</f>
        <v>0</v>
      </c>
      <c r="N1144" s="67">
        <f>ROUND(+L1144*D1144,4)</f>
        <v>0</v>
      </c>
      <c r="O1144" s="67">
        <f>ROUND(IF(F1144="rame",0,+I1144*3%),4)</f>
        <v>0</v>
      </c>
      <c r="P1144" s="67">
        <f>ROUND(IF(O1144&lt;J1144,O1144,0),4)</f>
        <v>0</v>
      </c>
      <c r="Q1144" s="67">
        <f>ROUND(IF(J1144&gt;O1144,0,J1144),4)</f>
        <v>0</v>
      </c>
      <c r="R1144" s="67">
        <f>ROUND(+P1144*D1144,4)</f>
        <v>0</v>
      </c>
      <c r="S1144" s="67">
        <f>ROUND(IF(K1144=0,0,M1144*D1144),4)</f>
        <v>0</v>
      </c>
      <c r="T1144" s="67">
        <f>ROUND(+IF(K1144=0,Q1144*D1144,0),4)</f>
        <v>0</v>
      </c>
      <c r="U1144" s="67">
        <f>ROUND(+N1144+R1144+S1144+T1144,4)</f>
        <v>0</v>
      </c>
      <c r="V1144" s="67">
        <f>ROUND(IF(P1144=0,0,I1144-H1144-O1144)+IF(L1144=0,0,I1144-H1144-K1144),4)</f>
        <v>0</v>
      </c>
      <c r="W1144" s="67">
        <f>ROUND(+(V1144*60%)*D1144,4)</f>
        <v>0</v>
      </c>
      <c r="X1144" s="148">
        <f>ROUND(+U1144+W1144,4)</f>
        <v>0</v>
      </c>
      <c r="Y1144" s="68"/>
      <c r="Z1144" s="148">
        <f>ROUND(IF(X1144&gt;I1144,X1144,I1144),4)</f>
        <v>0</v>
      </c>
      <c r="AD1144" s="78">
        <f t="shared" si="12"/>
        <v>0</v>
      </c>
      <c r="AE1144" s="78">
        <f t="shared" si="13"/>
        <v>0</v>
      </c>
    </row>
    <row r="1145" spans="1:31" x14ac:dyDescent="0.2">
      <c r="A1145" s="66"/>
      <c r="B1145" s="66"/>
      <c r="C1145" s="66"/>
      <c r="D1145" s="144"/>
      <c r="E1145" s="67"/>
      <c r="F1145" s="67"/>
      <c r="G1145" s="67"/>
      <c r="H1145" s="67">
        <f>ROUND(+E1145+G1145,4)</f>
        <v>0</v>
      </c>
      <c r="I1145" s="67"/>
      <c r="J1145" s="67">
        <f>ROUND(+I1145-H1145,4)</f>
        <v>0</v>
      </c>
      <c r="K1145" s="67">
        <f>ROUND(IF(F1145="alluminio",0,I1145*1.5%),4)</f>
        <v>0</v>
      </c>
      <c r="L1145" s="67">
        <f>ROUND(IF(K1145&lt;J1145,K1145,0),4)</f>
        <v>0</v>
      </c>
      <c r="M1145" s="67">
        <f>ROUND(IF(J1145&gt;K1145,0,J1145),4)</f>
        <v>0</v>
      </c>
      <c r="N1145" s="67">
        <f>ROUND(+L1145*D1145,4)</f>
        <v>0</v>
      </c>
      <c r="O1145" s="67">
        <f>ROUND(IF(F1145="rame",0,+I1145*3%),4)</f>
        <v>0</v>
      </c>
      <c r="P1145" s="67">
        <f>ROUND(IF(O1145&lt;J1145,O1145,0),4)</f>
        <v>0</v>
      </c>
      <c r="Q1145" s="67">
        <f>ROUND(IF(J1145&gt;O1145,0,J1145),4)</f>
        <v>0</v>
      </c>
      <c r="R1145" s="67">
        <f>ROUND(+P1145*D1145,4)</f>
        <v>0</v>
      </c>
      <c r="S1145" s="67">
        <f>ROUND(IF(K1145=0,0,M1145*D1145),4)</f>
        <v>0</v>
      </c>
      <c r="T1145" s="67">
        <f>ROUND(+IF(K1145=0,Q1145*D1145,0),4)</f>
        <v>0</v>
      </c>
      <c r="U1145" s="67">
        <f>ROUND(+N1145+R1145+S1145+T1145,4)</f>
        <v>0</v>
      </c>
      <c r="V1145" s="67">
        <f>ROUND(IF(P1145=0,0,I1145-H1145-O1145)+IF(L1145=0,0,I1145-H1145-K1145),4)</f>
        <v>0</v>
      </c>
      <c r="W1145" s="67">
        <f>ROUND(+(V1145*60%)*D1145,4)</f>
        <v>0</v>
      </c>
      <c r="X1145" s="148">
        <f>ROUND(+U1145+W1145,4)</f>
        <v>0</v>
      </c>
      <c r="Y1145" s="68"/>
      <c r="Z1145" s="148">
        <f>ROUND(IF(X1145&gt;I1145,X1145,I1145),4)</f>
        <v>0</v>
      </c>
      <c r="AD1145" s="78">
        <f t="shared" si="12"/>
        <v>0</v>
      </c>
      <c r="AE1145" s="78">
        <f t="shared" si="13"/>
        <v>0</v>
      </c>
    </row>
    <row r="1146" spans="1:31" x14ac:dyDescent="0.2">
      <c r="A1146" s="66"/>
      <c r="B1146" s="66"/>
      <c r="C1146" s="66"/>
      <c r="D1146" s="144"/>
      <c r="E1146" s="67"/>
      <c r="F1146" s="67"/>
      <c r="G1146" s="67"/>
      <c r="H1146" s="67">
        <f>ROUND(+E1146+G1146,4)</f>
        <v>0</v>
      </c>
      <c r="I1146" s="67"/>
      <c r="J1146" s="67">
        <f>ROUND(+I1146-H1146,4)</f>
        <v>0</v>
      </c>
      <c r="K1146" s="67">
        <f>ROUND(IF(F1146="alluminio",0,I1146*1.5%),4)</f>
        <v>0</v>
      </c>
      <c r="L1146" s="67">
        <f>ROUND(IF(K1146&lt;J1146,K1146,0),4)</f>
        <v>0</v>
      </c>
      <c r="M1146" s="67">
        <f>ROUND(IF(J1146&gt;K1146,0,J1146),4)</f>
        <v>0</v>
      </c>
      <c r="N1146" s="67">
        <f>ROUND(+L1146*D1146,4)</f>
        <v>0</v>
      </c>
      <c r="O1146" s="67">
        <f>ROUND(IF(F1146="rame",0,+I1146*3%),4)</f>
        <v>0</v>
      </c>
      <c r="P1146" s="67">
        <f>ROUND(IF(O1146&lt;J1146,O1146,0),4)</f>
        <v>0</v>
      </c>
      <c r="Q1146" s="67">
        <f>ROUND(IF(J1146&gt;O1146,0,J1146),4)</f>
        <v>0</v>
      </c>
      <c r="R1146" s="67">
        <f>ROUND(+P1146*D1146,4)</f>
        <v>0</v>
      </c>
      <c r="S1146" s="67">
        <f>ROUND(IF(K1146=0,0,M1146*D1146),4)</f>
        <v>0</v>
      </c>
      <c r="T1146" s="67">
        <f>ROUND(+IF(K1146=0,Q1146*D1146,0),4)</f>
        <v>0</v>
      </c>
      <c r="U1146" s="67">
        <f>ROUND(+N1146+R1146+S1146+T1146,4)</f>
        <v>0</v>
      </c>
      <c r="V1146" s="67">
        <f>ROUND(IF(P1146=0,0,I1146-H1146-O1146)+IF(L1146=0,0,I1146-H1146-K1146),4)</f>
        <v>0</v>
      </c>
      <c r="W1146" s="67">
        <f>ROUND(+(V1146*60%)*D1146,4)</f>
        <v>0</v>
      </c>
      <c r="X1146" s="148">
        <f>ROUND(+U1146+W1146,4)</f>
        <v>0</v>
      </c>
      <c r="Y1146" s="68"/>
      <c r="Z1146" s="148">
        <f>ROUND(IF(X1146&gt;I1146,X1146,I1146),4)</f>
        <v>0</v>
      </c>
      <c r="AD1146" s="78">
        <f t="shared" si="12"/>
        <v>0</v>
      </c>
      <c r="AE1146" s="78">
        <f t="shared" si="13"/>
        <v>0</v>
      </c>
    </row>
    <row r="1147" spans="1:31" x14ac:dyDescent="0.2">
      <c r="A1147" s="66"/>
      <c r="B1147" s="66"/>
      <c r="C1147" s="66"/>
      <c r="D1147" s="144"/>
      <c r="E1147" s="67"/>
      <c r="F1147" s="67"/>
      <c r="G1147" s="67"/>
      <c r="H1147" s="67">
        <f>ROUND(+E1147+G1147,4)</f>
        <v>0</v>
      </c>
      <c r="I1147" s="67"/>
      <c r="J1147" s="67">
        <f>ROUND(+I1147-H1147,4)</f>
        <v>0</v>
      </c>
      <c r="K1147" s="67">
        <f>ROUND(IF(F1147="alluminio",0,I1147*1.5%),4)</f>
        <v>0</v>
      </c>
      <c r="L1147" s="67">
        <f>ROUND(IF(K1147&lt;J1147,K1147,0),4)</f>
        <v>0</v>
      </c>
      <c r="M1147" s="67">
        <f>ROUND(IF(J1147&gt;K1147,0,J1147),4)</f>
        <v>0</v>
      </c>
      <c r="N1147" s="67">
        <f>ROUND(+L1147*D1147,4)</f>
        <v>0</v>
      </c>
      <c r="O1147" s="67">
        <f>ROUND(IF(F1147="rame",0,+I1147*3%),4)</f>
        <v>0</v>
      </c>
      <c r="P1147" s="67">
        <f>ROUND(IF(O1147&lt;J1147,O1147,0),4)</f>
        <v>0</v>
      </c>
      <c r="Q1147" s="67">
        <f>ROUND(IF(J1147&gt;O1147,0,J1147),4)</f>
        <v>0</v>
      </c>
      <c r="R1147" s="67">
        <f>ROUND(+P1147*D1147,4)</f>
        <v>0</v>
      </c>
      <c r="S1147" s="67">
        <f>ROUND(IF(K1147=0,0,M1147*D1147),4)</f>
        <v>0</v>
      </c>
      <c r="T1147" s="67">
        <f>ROUND(+IF(K1147=0,Q1147*D1147,0),4)</f>
        <v>0</v>
      </c>
      <c r="U1147" s="67">
        <f>ROUND(+N1147+R1147+S1147+T1147,4)</f>
        <v>0</v>
      </c>
      <c r="V1147" s="67">
        <f>ROUND(IF(P1147=0,0,I1147-H1147-O1147)+IF(L1147=0,0,I1147-H1147-K1147),4)</f>
        <v>0</v>
      </c>
      <c r="W1147" s="67">
        <f>ROUND(+(V1147*60%)*D1147,4)</f>
        <v>0</v>
      </c>
      <c r="X1147" s="148">
        <f>ROUND(+U1147+W1147,4)</f>
        <v>0</v>
      </c>
      <c r="Y1147" s="68"/>
      <c r="Z1147" s="148">
        <f>ROUND(IF(X1147&gt;I1147,X1147,I1147),4)</f>
        <v>0</v>
      </c>
      <c r="AD1147" s="78">
        <f t="shared" si="12"/>
        <v>0</v>
      </c>
      <c r="AE1147" s="78">
        <f t="shared" si="13"/>
        <v>0</v>
      </c>
    </row>
    <row r="1148" spans="1:31" x14ac:dyDescent="0.2">
      <c r="A1148" s="66"/>
      <c r="B1148" s="66"/>
      <c r="C1148" s="66"/>
      <c r="D1148" s="144"/>
      <c r="E1148" s="67"/>
      <c r="F1148" s="67"/>
      <c r="G1148" s="67"/>
      <c r="H1148" s="67">
        <f>ROUND(+E1148+G1148,4)</f>
        <v>0</v>
      </c>
      <c r="I1148" s="67"/>
      <c r="J1148" s="67">
        <f>ROUND(+I1148-H1148,4)</f>
        <v>0</v>
      </c>
      <c r="K1148" s="67">
        <f>ROUND(IF(F1148="alluminio",0,I1148*1.5%),4)</f>
        <v>0</v>
      </c>
      <c r="L1148" s="67">
        <f>ROUND(IF(K1148&lt;J1148,K1148,0),4)</f>
        <v>0</v>
      </c>
      <c r="M1148" s="67">
        <f>ROUND(IF(J1148&gt;K1148,0,J1148),4)</f>
        <v>0</v>
      </c>
      <c r="N1148" s="67">
        <f>ROUND(+L1148*D1148,4)</f>
        <v>0</v>
      </c>
      <c r="O1148" s="67">
        <f>ROUND(IF(F1148="rame",0,+I1148*3%),4)</f>
        <v>0</v>
      </c>
      <c r="P1148" s="67">
        <f>ROUND(IF(O1148&lt;J1148,O1148,0),4)</f>
        <v>0</v>
      </c>
      <c r="Q1148" s="67">
        <f>ROUND(IF(J1148&gt;O1148,0,J1148),4)</f>
        <v>0</v>
      </c>
      <c r="R1148" s="67">
        <f>ROUND(+P1148*D1148,4)</f>
        <v>0</v>
      </c>
      <c r="S1148" s="67">
        <f>ROUND(IF(K1148=0,0,M1148*D1148),4)</f>
        <v>0</v>
      </c>
      <c r="T1148" s="67">
        <f>ROUND(+IF(K1148=0,Q1148*D1148,0),4)</f>
        <v>0</v>
      </c>
      <c r="U1148" s="67">
        <f>ROUND(+N1148+R1148+S1148+T1148,4)</f>
        <v>0</v>
      </c>
      <c r="V1148" s="67">
        <f>ROUND(IF(P1148=0,0,I1148-H1148-O1148)+IF(L1148=0,0,I1148-H1148-K1148),4)</f>
        <v>0</v>
      </c>
      <c r="W1148" s="67">
        <f>ROUND(+(V1148*60%)*D1148,4)</f>
        <v>0</v>
      </c>
      <c r="X1148" s="148">
        <f>ROUND(+U1148+W1148,4)</f>
        <v>0</v>
      </c>
      <c r="Y1148" s="68"/>
      <c r="Z1148" s="148">
        <f>ROUND(IF(X1148&gt;I1148,X1148,I1148),4)</f>
        <v>0</v>
      </c>
      <c r="AD1148" s="78">
        <f t="shared" si="12"/>
        <v>0</v>
      </c>
      <c r="AE1148" s="78">
        <f t="shared" si="13"/>
        <v>0</v>
      </c>
    </row>
    <row r="1149" spans="1:31" x14ac:dyDescent="0.2">
      <c r="A1149" s="66"/>
      <c r="B1149" s="66"/>
      <c r="C1149" s="66"/>
      <c r="D1149" s="144"/>
      <c r="E1149" s="67"/>
      <c r="F1149" s="67"/>
      <c r="G1149" s="67"/>
      <c r="H1149" s="67">
        <f>ROUND(+E1149+G1149,4)</f>
        <v>0</v>
      </c>
      <c r="I1149" s="67"/>
      <c r="J1149" s="67">
        <f>ROUND(+I1149-H1149,4)</f>
        <v>0</v>
      </c>
      <c r="K1149" s="67">
        <f>ROUND(IF(F1149="alluminio",0,I1149*1.5%),4)</f>
        <v>0</v>
      </c>
      <c r="L1149" s="67">
        <f>ROUND(IF(K1149&lt;J1149,K1149,0),4)</f>
        <v>0</v>
      </c>
      <c r="M1149" s="67">
        <f>ROUND(IF(J1149&gt;K1149,0,J1149),4)</f>
        <v>0</v>
      </c>
      <c r="N1149" s="67">
        <f>ROUND(+L1149*D1149,4)</f>
        <v>0</v>
      </c>
      <c r="O1149" s="67">
        <f>ROUND(IF(F1149="rame",0,+I1149*3%),4)</f>
        <v>0</v>
      </c>
      <c r="P1149" s="67">
        <f>ROUND(IF(O1149&lt;J1149,O1149,0),4)</f>
        <v>0</v>
      </c>
      <c r="Q1149" s="67">
        <f>ROUND(IF(J1149&gt;O1149,0,J1149),4)</f>
        <v>0</v>
      </c>
      <c r="R1149" s="67">
        <f>ROUND(+P1149*D1149,4)</f>
        <v>0</v>
      </c>
      <c r="S1149" s="67">
        <f>ROUND(IF(K1149=0,0,M1149*D1149),4)</f>
        <v>0</v>
      </c>
      <c r="T1149" s="67">
        <f>ROUND(+IF(K1149=0,Q1149*D1149,0),4)</f>
        <v>0</v>
      </c>
      <c r="U1149" s="67">
        <f>ROUND(+N1149+R1149+S1149+T1149,4)</f>
        <v>0</v>
      </c>
      <c r="V1149" s="67">
        <f>ROUND(IF(P1149=0,0,I1149-H1149-O1149)+IF(L1149=0,0,I1149-H1149-K1149),4)</f>
        <v>0</v>
      </c>
      <c r="W1149" s="67">
        <f>ROUND(+(V1149*60%)*D1149,4)</f>
        <v>0</v>
      </c>
      <c r="X1149" s="148">
        <f>ROUND(+U1149+W1149,4)</f>
        <v>0</v>
      </c>
      <c r="Y1149" s="68"/>
      <c r="Z1149" s="148">
        <f>ROUND(IF(X1149&gt;I1149,X1149,I1149),4)</f>
        <v>0</v>
      </c>
      <c r="AD1149" s="78">
        <f t="shared" si="12"/>
        <v>0</v>
      </c>
      <c r="AE1149" s="78">
        <f t="shared" si="13"/>
        <v>0</v>
      </c>
    </row>
    <row r="1150" spans="1:31" x14ac:dyDescent="0.2">
      <c r="A1150" s="66"/>
      <c r="B1150" s="66"/>
      <c r="C1150" s="66"/>
      <c r="D1150" s="144"/>
      <c r="E1150" s="67"/>
      <c r="F1150" s="67"/>
      <c r="G1150" s="67"/>
      <c r="H1150" s="67">
        <f>ROUND(+E1150+G1150,4)</f>
        <v>0</v>
      </c>
      <c r="I1150" s="67"/>
      <c r="J1150" s="67">
        <f>ROUND(+I1150-H1150,4)</f>
        <v>0</v>
      </c>
      <c r="K1150" s="67">
        <f>ROUND(IF(F1150="alluminio",0,I1150*1.5%),4)</f>
        <v>0</v>
      </c>
      <c r="L1150" s="67">
        <f>ROUND(IF(K1150&lt;J1150,K1150,0),4)</f>
        <v>0</v>
      </c>
      <c r="M1150" s="67">
        <f>ROUND(IF(J1150&gt;K1150,0,J1150),4)</f>
        <v>0</v>
      </c>
      <c r="N1150" s="67">
        <f>ROUND(+L1150*D1150,4)</f>
        <v>0</v>
      </c>
      <c r="O1150" s="67">
        <f>ROUND(IF(F1150="rame",0,+I1150*3%),4)</f>
        <v>0</v>
      </c>
      <c r="P1150" s="67">
        <f>ROUND(IF(O1150&lt;J1150,O1150,0),4)</f>
        <v>0</v>
      </c>
      <c r="Q1150" s="67">
        <f>ROUND(IF(J1150&gt;O1150,0,J1150),4)</f>
        <v>0</v>
      </c>
      <c r="R1150" s="67">
        <f>ROUND(+P1150*D1150,4)</f>
        <v>0</v>
      </c>
      <c r="S1150" s="67">
        <f>ROUND(IF(K1150=0,0,M1150*D1150),4)</f>
        <v>0</v>
      </c>
      <c r="T1150" s="67">
        <f>ROUND(+IF(K1150=0,Q1150*D1150,0),4)</f>
        <v>0</v>
      </c>
      <c r="U1150" s="67">
        <f>ROUND(+N1150+R1150+S1150+T1150,4)</f>
        <v>0</v>
      </c>
      <c r="V1150" s="67">
        <f>ROUND(IF(P1150=0,0,I1150-H1150-O1150)+IF(L1150=0,0,I1150-H1150-K1150),4)</f>
        <v>0</v>
      </c>
      <c r="W1150" s="67">
        <f>ROUND(+(V1150*60%)*D1150,4)</f>
        <v>0</v>
      </c>
      <c r="X1150" s="148">
        <f>ROUND(+U1150+W1150,4)</f>
        <v>0</v>
      </c>
      <c r="Y1150" s="68"/>
      <c r="Z1150" s="148">
        <f>ROUND(IF(X1150&gt;I1150,X1150,I1150),4)</f>
        <v>0</v>
      </c>
      <c r="AD1150" s="78">
        <f t="shared" ref="AD1150:AD1213" si="14">IF(Y1150="",0,MONTH(Y1150))</f>
        <v>0</v>
      </c>
      <c r="AE1150" s="78">
        <f t="shared" ref="AE1150:AE1213" si="15">IF(Y1150="",0,YEAR(Y1150))</f>
        <v>0</v>
      </c>
    </row>
    <row r="1151" spans="1:31" x14ac:dyDescent="0.2">
      <c r="A1151" s="66"/>
      <c r="B1151" s="66"/>
      <c r="C1151" s="66"/>
      <c r="D1151" s="144"/>
      <c r="E1151" s="67"/>
      <c r="F1151" s="67"/>
      <c r="G1151" s="67"/>
      <c r="H1151" s="67">
        <f>ROUND(+E1151+G1151,4)</f>
        <v>0</v>
      </c>
      <c r="I1151" s="67"/>
      <c r="J1151" s="67">
        <f>ROUND(+I1151-H1151,4)</f>
        <v>0</v>
      </c>
      <c r="K1151" s="67">
        <f>ROUND(IF(F1151="alluminio",0,I1151*1.5%),4)</f>
        <v>0</v>
      </c>
      <c r="L1151" s="67">
        <f>ROUND(IF(K1151&lt;J1151,K1151,0),4)</f>
        <v>0</v>
      </c>
      <c r="M1151" s="67">
        <f>ROUND(IF(J1151&gt;K1151,0,J1151),4)</f>
        <v>0</v>
      </c>
      <c r="N1151" s="67">
        <f>ROUND(+L1151*D1151,4)</f>
        <v>0</v>
      </c>
      <c r="O1151" s="67">
        <f>ROUND(IF(F1151="rame",0,+I1151*3%),4)</f>
        <v>0</v>
      </c>
      <c r="P1151" s="67">
        <f>ROUND(IF(O1151&lt;J1151,O1151,0),4)</f>
        <v>0</v>
      </c>
      <c r="Q1151" s="67">
        <f>ROUND(IF(J1151&gt;O1151,0,J1151),4)</f>
        <v>0</v>
      </c>
      <c r="R1151" s="67">
        <f>ROUND(+P1151*D1151,4)</f>
        <v>0</v>
      </c>
      <c r="S1151" s="67">
        <f>ROUND(IF(K1151=0,0,M1151*D1151),4)</f>
        <v>0</v>
      </c>
      <c r="T1151" s="67">
        <f>ROUND(+IF(K1151=0,Q1151*D1151,0),4)</f>
        <v>0</v>
      </c>
      <c r="U1151" s="67">
        <f>ROUND(+N1151+R1151+S1151+T1151,4)</f>
        <v>0</v>
      </c>
      <c r="V1151" s="67">
        <f>ROUND(IF(P1151=0,0,I1151-H1151-O1151)+IF(L1151=0,0,I1151-H1151-K1151),4)</f>
        <v>0</v>
      </c>
      <c r="W1151" s="67">
        <f>ROUND(+(V1151*60%)*D1151,4)</f>
        <v>0</v>
      </c>
      <c r="X1151" s="148">
        <f>ROUND(+U1151+W1151,4)</f>
        <v>0</v>
      </c>
      <c r="Y1151" s="68"/>
      <c r="Z1151" s="148">
        <f>ROUND(IF(X1151&gt;I1151,X1151,I1151),4)</f>
        <v>0</v>
      </c>
      <c r="AD1151" s="78">
        <f t="shared" si="14"/>
        <v>0</v>
      </c>
      <c r="AE1151" s="78">
        <f t="shared" si="15"/>
        <v>0</v>
      </c>
    </row>
    <row r="1152" spans="1:31" x14ac:dyDescent="0.2">
      <c r="A1152" s="66"/>
      <c r="B1152" s="66"/>
      <c r="C1152" s="66"/>
      <c r="D1152" s="144"/>
      <c r="E1152" s="67"/>
      <c r="F1152" s="67"/>
      <c r="G1152" s="67"/>
      <c r="H1152" s="67">
        <f>ROUND(+E1152+G1152,4)</f>
        <v>0</v>
      </c>
      <c r="I1152" s="67"/>
      <c r="J1152" s="67">
        <f>ROUND(+I1152-H1152,4)</f>
        <v>0</v>
      </c>
      <c r="K1152" s="67">
        <f>ROUND(IF(F1152="alluminio",0,I1152*1.5%),4)</f>
        <v>0</v>
      </c>
      <c r="L1152" s="67">
        <f>ROUND(IF(K1152&lt;J1152,K1152,0),4)</f>
        <v>0</v>
      </c>
      <c r="M1152" s="67">
        <f>ROUND(IF(J1152&gt;K1152,0,J1152),4)</f>
        <v>0</v>
      </c>
      <c r="N1152" s="67">
        <f>ROUND(+L1152*D1152,4)</f>
        <v>0</v>
      </c>
      <c r="O1152" s="67">
        <f>ROUND(IF(F1152="rame",0,+I1152*3%),4)</f>
        <v>0</v>
      </c>
      <c r="P1152" s="67">
        <f>ROUND(IF(O1152&lt;J1152,O1152,0),4)</f>
        <v>0</v>
      </c>
      <c r="Q1152" s="67">
        <f>ROUND(IF(J1152&gt;O1152,0,J1152),4)</f>
        <v>0</v>
      </c>
      <c r="R1152" s="67">
        <f>ROUND(+P1152*D1152,4)</f>
        <v>0</v>
      </c>
      <c r="S1152" s="67">
        <f>ROUND(IF(K1152=0,0,M1152*D1152),4)</f>
        <v>0</v>
      </c>
      <c r="T1152" s="67">
        <f>ROUND(+IF(K1152=0,Q1152*D1152,0),4)</f>
        <v>0</v>
      </c>
      <c r="U1152" s="67">
        <f>ROUND(+N1152+R1152+S1152+T1152,4)</f>
        <v>0</v>
      </c>
      <c r="V1152" s="67">
        <f>ROUND(IF(P1152=0,0,I1152-H1152-O1152)+IF(L1152=0,0,I1152-H1152-K1152),4)</f>
        <v>0</v>
      </c>
      <c r="W1152" s="67">
        <f>ROUND(+(V1152*60%)*D1152,4)</f>
        <v>0</v>
      </c>
      <c r="X1152" s="148">
        <f>ROUND(+U1152+W1152,4)</f>
        <v>0</v>
      </c>
      <c r="Y1152" s="68"/>
      <c r="Z1152" s="148">
        <f>ROUND(IF(X1152&gt;I1152,X1152,I1152),4)</f>
        <v>0</v>
      </c>
      <c r="AD1152" s="78">
        <f t="shared" si="14"/>
        <v>0</v>
      </c>
      <c r="AE1152" s="78">
        <f t="shared" si="15"/>
        <v>0</v>
      </c>
    </row>
    <row r="1153" spans="1:31" x14ac:dyDescent="0.2">
      <c r="A1153" s="66"/>
      <c r="B1153" s="66"/>
      <c r="C1153" s="66"/>
      <c r="D1153" s="144"/>
      <c r="E1153" s="67"/>
      <c r="F1153" s="67"/>
      <c r="G1153" s="67"/>
      <c r="H1153" s="67">
        <f>ROUND(+E1153+G1153,4)</f>
        <v>0</v>
      </c>
      <c r="I1153" s="67"/>
      <c r="J1153" s="67">
        <f>ROUND(+I1153-H1153,4)</f>
        <v>0</v>
      </c>
      <c r="K1153" s="67">
        <f>ROUND(IF(F1153="alluminio",0,I1153*1.5%),4)</f>
        <v>0</v>
      </c>
      <c r="L1153" s="67">
        <f>ROUND(IF(K1153&lt;J1153,K1153,0),4)</f>
        <v>0</v>
      </c>
      <c r="M1153" s="67">
        <f>ROUND(IF(J1153&gt;K1153,0,J1153),4)</f>
        <v>0</v>
      </c>
      <c r="N1153" s="67">
        <f>ROUND(+L1153*D1153,4)</f>
        <v>0</v>
      </c>
      <c r="O1153" s="67">
        <f>ROUND(IF(F1153="rame",0,+I1153*3%),4)</f>
        <v>0</v>
      </c>
      <c r="P1153" s="67">
        <f>ROUND(IF(O1153&lt;J1153,O1153,0),4)</f>
        <v>0</v>
      </c>
      <c r="Q1153" s="67">
        <f>ROUND(IF(J1153&gt;O1153,0,J1153),4)</f>
        <v>0</v>
      </c>
      <c r="R1153" s="67">
        <f>ROUND(+P1153*D1153,4)</f>
        <v>0</v>
      </c>
      <c r="S1153" s="67">
        <f>ROUND(IF(K1153=0,0,M1153*D1153),4)</f>
        <v>0</v>
      </c>
      <c r="T1153" s="67">
        <f>ROUND(+IF(K1153=0,Q1153*D1153,0),4)</f>
        <v>0</v>
      </c>
      <c r="U1153" s="67">
        <f>ROUND(+N1153+R1153+S1153+T1153,4)</f>
        <v>0</v>
      </c>
      <c r="V1153" s="67">
        <f>ROUND(IF(P1153=0,0,I1153-H1153-O1153)+IF(L1153=0,0,I1153-H1153-K1153),4)</f>
        <v>0</v>
      </c>
      <c r="W1153" s="67">
        <f>ROUND(+(V1153*60%)*D1153,4)</f>
        <v>0</v>
      </c>
      <c r="X1153" s="148">
        <f>ROUND(+U1153+W1153,4)</f>
        <v>0</v>
      </c>
      <c r="Y1153" s="68"/>
      <c r="Z1153" s="148">
        <f>ROUND(IF(X1153&gt;I1153,X1153,I1153),4)</f>
        <v>0</v>
      </c>
      <c r="AD1153" s="78">
        <f t="shared" si="14"/>
        <v>0</v>
      </c>
      <c r="AE1153" s="78">
        <f t="shared" si="15"/>
        <v>0</v>
      </c>
    </row>
    <row r="1154" spans="1:31" x14ac:dyDescent="0.2">
      <c r="A1154" s="66"/>
      <c r="B1154" s="66"/>
      <c r="C1154" s="66"/>
      <c r="D1154" s="144"/>
      <c r="E1154" s="67"/>
      <c r="F1154" s="67"/>
      <c r="G1154" s="67"/>
      <c r="H1154" s="67">
        <f>ROUND(+E1154+G1154,4)</f>
        <v>0</v>
      </c>
      <c r="I1154" s="67"/>
      <c r="J1154" s="67">
        <f>ROUND(+I1154-H1154,4)</f>
        <v>0</v>
      </c>
      <c r="K1154" s="67">
        <f>ROUND(IF(F1154="alluminio",0,I1154*1.5%),4)</f>
        <v>0</v>
      </c>
      <c r="L1154" s="67">
        <f>ROUND(IF(K1154&lt;J1154,K1154,0),4)</f>
        <v>0</v>
      </c>
      <c r="M1154" s="67">
        <f>ROUND(IF(J1154&gt;K1154,0,J1154),4)</f>
        <v>0</v>
      </c>
      <c r="N1154" s="67">
        <f>ROUND(+L1154*D1154,4)</f>
        <v>0</v>
      </c>
      <c r="O1154" s="67">
        <f>ROUND(IF(F1154="rame",0,+I1154*3%),4)</f>
        <v>0</v>
      </c>
      <c r="P1154" s="67">
        <f>ROUND(IF(O1154&lt;J1154,O1154,0),4)</f>
        <v>0</v>
      </c>
      <c r="Q1154" s="67">
        <f>ROUND(IF(J1154&gt;O1154,0,J1154),4)</f>
        <v>0</v>
      </c>
      <c r="R1154" s="67">
        <f>ROUND(+P1154*D1154,4)</f>
        <v>0</v>
      </c>
      <c r="S1154" s="67">
        <f>ROUND(IF(K1154=0,0,M1154*D1154),4)</f>
        <v>0</v>
      </c>
      <c r="T1154" s="67">
        <f>ROUND(+IF(K1154=0,Q1154*D1154,0),4)</f>
        <v>0</v>
      </c>
      <c r="U1154" s="67">
        <f>ROUND(+N1154+R1154+S1154+T1154,4)</f>
        <v>0</v>
      </c>
      <c r="V1154" s="67">
        <f>ROUND(IF(P1154=0,0,I1154-H1154-O1154)+IF(L1154=0,0,I1154-H1154-K1154),4)</f>
        <v>0</v>
      </c>
      <c r="W1154" s="67">
        <f>ROUND(+(V1154*60%)*D1154,4)</f>
        <v>0</v>
      </c>
      <c r="X1154" s="148">
        <f>ROUND(+U1154+W1154,4)</f>
        <v>0</v>
      </c>
      <c r="Y1154" s="68"/>
      <c r="Z1154" s="148">
        <f>ROUND(IF(X1154&gt;I1154,X1154,I1154),4)</f>
        <v>0</v>
      </c>
      <c r="AD1154" s="78">
        <f t="shared" si="14"/>
        <v>0</v>
      </c>
      <c r="AE1154" s="78">
        <f t="shared" si="15"/>
        <v>0</v>
      </c>
    </row>
    <row r="1155" spans="1:31" x14ac:dyDescent="0.2">
      <c r="A1155" s="66"/>
      <c r="B1155" s="66"/>
      <c r="C1155" s="66"/>
      <c r="D1155" s="144"/>
      <c r="E1155" s="67"/>
      <c r="F1155" s="67"/>
      <c r="G1155" s="67"/>
      <c r="H1155" s="67">
        <f>ROUND(+E1155+G1155,4)</f>
        <v>0</v>
      </c>
      <c r="I1155" s="67"/>
      <c r="J1155" s="67">
        <f>ROUND(+I1155-H1155,4)</f>
        <v>0</v>
      </c>
      <c r="K1155" s="67">
        <f>ROUND(IF(F1155="alluminio",0,I1155*1.5%),4)</f>
        <v>0</v>
      </c>
      <c r="L1155" s="67">
        <f>ROUND(IF(K1155&lt;J1155,K1155,0),4)</f>
        <v>0</v>
      </c>
      <c r="M1155" s="67">
        <f>ROUND(IF(J1155&gt;K1155,0,J1155),4)</f>
        <v>0</v>
      </c>
      <c r="N1155" s="67">
        <f>ROUND(+L1155*D1155,4)</f>
        <v>0</v>
      </c>
      <c r="O1155" s="67">
        <f>ROUND(IF(F1155="rame",0,+I1155*3%),4)</f>
        <v>0</v>
      </c>
      <c r="P1155" s="67">
        <f>ROUND(IF(O1155&lt;J1155,O1155,0),4)</f>
        <v>0</v>
      </c>
      <c r="Q1155" s="67">
        <f>ROUND(IF(J1155&gt;O1155,0,J1155),4)</f>
        <v>0</v>
      </c>
      <c r="R1155" s="67">
        <f>ROUND(+P1155*D1155,4)</f>
        <v>0</v>
      </c>
      <c r="S1155" s="67">
        <f>ROUND(IF(K1155=0,0,M1155*D1155),4)</f>
        <v>0</v>
      </c>
      <c r="T1155" s="67">
        <f>ROUND(+IF(K1155=0,Q1155*D1155,0),4)</f>
        <v>0</v>
      </c>
      <c r="U1155" s="67">
        <f>ROUND(+N1155+R1155+S1155+T1155,4)</f>
        <v>0</v>
      </c>
      <c r="V1155" s="67">
        <f>ROUND(IF(P1155=0,0,I1155-H1155-O1155)+IF(L1155=0,0,I1155-H1155-K1155),4)</f>
        <v>0</v>
      </c>
      <c r="W1155" s="67">
        <f>ROUND(+(V1155*60%)*D1155,4)</f>
        <v>0</v>
      </c>
      <c r="X1155" s="148">
        <f>ROUND(+U1155+W1155,4)</f>
        <v>0</v>
      </c>
      <c r="Y1155" s="68"/>
      <c r="Z1155" s="148">
        <f>ROUND(IF(X1155&gt;I1155,X1155,I1155),4)</f>
        <v>0</v>
      </c>
      <c r="AD1155" s="78">
        <f t="shared" si="14"/>
        <v>0</v>
      </c>
      <c r="AE1155" s="78">
        <f t="shared" si="15"/>
        <v>0</v>
      </c>
    </row>
    <row r="1156" spans="1:31" x14ac:dyDescent="0.2">
      <c r="A1156" s="66"/>
      <c r="B1156" s="66"/>
      <c r="C1156" s="66"/>
      <c r="D1156" s="144"/>
      <c r="E1156" s="67"/>
      <c r="F1156" s="67"/>
      <c r="G1156" s="67"/>
      <c r="H1156" s="67">
        <f>ROUND(+E1156+G1156,4)</f>
        <v>0</v>
      </c>
      <c r="I1156" s="67"/>
      <c r="J1156" s="67">
        <f>ROUND(+I1156-H1156,4)</f>
        <v>0</v>
      </c>
      <c r="K1156" s="67">
        <f>ROUND(IF(F1156="alluminio",0,I1156*1.5%),4)</f>
        <v>0</v>
      </c>
      <c r="L1156" s="67">
        <f>ROUND(IF(K1156&lt;J1156,K1156,0),4)</f>
        <v>0</v>
      </c>
      <c r="M1156" s="67">
        <f>ROUND(IF(J1156&gt;K1156,0,J1156),4)</f>
        <v>0</v>
      </c>
      <c r="N1156" s="67">
        <f>ROUND(+L1156*D1156,4)</f>
        <v>0</v>
      </c>
      <c r="O1156" s="67">
        <f>ROUND(IF(F1156="rame",0,+I1156*3%),4)</f>
        <v>0</v>
      </c>
      <c r="P1156" s="67">
        <f>ROUND(IF(O1156&lt;J1156,O1156,0),4)</f>
        <v>0</v>
      </c>
      <c r="Q1156" s="67">
        <f>ROUND(IF(J1156&gt;O1156,0,J1156),4)</f>
        <v>0</v>
      </c>
      <c r="R1156" s="67">
        <f>ROUND(+P1156*D1156,4)</f>
        <v>0</v>
      </c>
      <c r="S1156" s="67">
        <f>ROUND(IF(K1156=0,0,M1156*D1156),4)</f>
        <v>0</v>
      </c>
      <c r="T1156" s="67">
        <f>ROUND(+IF(K1156=0,Q1156*D1156,0),4)</f>
        <v>0</v>
      </c>
      <c r="U1156" s="67">
        <f>ROUND(+N1156+R1156+S1156+T1156,4)</f>
        <v>0</v>
      </c>
      <c r="V1156" s="67">
        <f>ROUND(IF(P1156=0,0,I1156-H1156-O1156)+IF(L1156=0,0,I1156-H1156-K1156),4)</f>
        <v>0</v>
      </c>
      <c r="W1156" s="67">
        <f>ROUND(+(V1156*60%)*D1156,4)</f>
        <v>0</v>
      </c>
      <c r="X1156" s="148">
        <f>ROUND(+U1156+W1156,4)</f>
        <v>0</v>
      </c>
      <c r="Y1156" s="68"/>
      <c r="Z1156" s="148">
        <f>ROUND(IF(X1156&gt;I1156,X1156,I1156),4)</f>
        <v>0</v>
      </c>
      <c r="AD1156" s="78">
        <f t="shared" si="14"/>
        <v>0</v>
      </c>
      <c r="AE1156" s="78">
        <f t="shared" si="15"/>
        <v>0</v>
      </c>
    </row>
    <row r="1157" spans="1:31" x14ac:dyDescent="0.2">
      <c r="A1157" s="66"/>
      <c r="B1157" s="66"/>
      <c r="C1157" s="66"/>
      <c r="D1157" s="144"/>
      <c r="E1157" s="67"/>
      <c r="F1157" s="67"/>
      <c r="G1157" s="67"/>
      <c r="H1157" s="67">
        <f>ROUND(+E1157+G1157,4)</f>
        <v>0</v>
      </c>
      <c r="I1157" s="67"/>
      <c r="J1157" s="67">
        <f>ROUND(+I1157-H1157,4)</f>
        <v>0</v>
      </c>
      <c r="K1157" s="67">
        <f>ROUND(IF(F1157="alluminio",0,I1157*1.5%),4)</f>
        <v>0</v>
      </c>
      <c r="L1157" s="67">
        <f>ROUND(IF(K1157&lt;J1157,K1157,0),4)</f>
        <v>0</v>
      </c>
      <c r="M1157" s="67">
        <f>ROUND(IF(J1157&gt;K1157,0,J1157),4)</f>
        <v>0</v>
      </c>
      <c r="N1157" s="67">
        <f>ROUND(+L1157*D1157,4)</f>
        <v>0</v>
      </c>
      <c r="O1157" s="67">
        <f>ROUND(IF(F1157="rame",0,+I1157*3%),4)</f>
        <v>0</v>
      </c>
      <c r="P1157" s="67">
        <f>ROUND(IF(O1157&lt;J1157,O1157,0),4)</f>
        <v>0</v>
      </c>
      <c r="Q1157" s="67">
        <f>ROUND(IF(J1157&gt;O1157,0,J1157),4)</f>
        <v>0</v>
      </c>
      <c r="R1157" s="67">
        <f>ROUND(+P1157*D1157,4)</f>
        <v>0</v>
      </c>
      <c r="S1157" s="67">
        <f>ROUND(IF(K1157=0,0,M1157*D1157),4)</f>
        <v>0</v>
      </c>
      <c r="T1157" s="67">
        <f>ROUND(+IF(K1157=0,Q1157*D1157,0),4)</f>
        <v>0</v>
      </c>
      <c r="U1157" s="67">
        <f>ROUND(+N1157+R1157+S1157+T1157,4)</f>
        <v>0</v>
      </c>
      <c r="V1157" s="67">
        <f>ROUND(IF(P1157=0,0,I1157-H1157-O1157)+IF(L1157=0,0,I1157-H1157-K1157),4)</f>
        <v>0</v>
      </c>
      <c r="W1157" s="67">
        <f>ROUND(+(V1157*60%)*D1157,4)</f>
        <v>0</v>
      </c>
      <c r="X1157" s="148">
        <f>ROUND(+U1157+W1157,4)</f>
        <v>0</v>
      </c>
      <c r="Y1157" s="68"/>
      <c r="Z1157" s="148">
        <f>ROUND(IF(X1157&gt;I1157,X1157,I1157),4)</f>
        <v>0</v>
      </c>
      <c r="AD1157" s="78">
        <f t="shared" si="14"/>
        <v>0</v>
      </c>
      <c r="AE1157" s="78">
        <f t="shared" si="15"/>
        <v>0</v>
      </c>
    </row>
    <row r="1158" spans="1:31" x14ac:dyDescent="0.2">
      <c r="A1158" s="66"/>
      <c r="B1158" s="66"/>
      <c r="C1158" s="66"/>
      <c r="D1158" s="144"/>
      <c r="E1158" s="67"/>
      <c r="F1158" s="67"/>
      <c r="G1158" s="67"/>
      <c r="H1158" s="67">
        <f>ROUND(+E1158+G1158,4)</f>
        <v>0</v>
      </c>
      <c r="I1158" s="67"/>
      <c r="J1158" s="67">
        <f>ROUND(+I1158-H1158,4)</f>
        <v>0</v>
      </c>
      <c r="K1158" s="67">
        <f>ROUND(IF(F1158="alluminio",0,I1158*1.5%),4)</f>
        <v>0</v>
      </c>
      <c r="L1158" s="67">
        <f>ROUND(IF(K1158&lt;J1158,K1158,0),4)</f>
        <v>0</v>
      </c>
      <c r="M1158" s="67">
        <f>ROUND(IF(J1158&gt;K1158,0,J1158),4)</f>
        <v>0</v>
      </c>
      <c r="N1158" s="67">
        <f>ROUND(+L1158*D1158,4)</f>
        <v>0</v>
      </c>
      <c r="O1158" s="67">
        <f>ROUND(IF(F1158="rame",0,+I1158*3%),4)</f>
        <v>0</v>
      </c>
      <c r="P1158" s="67">
        <f>ROUND(IF(O1158&lt;J1158,O1158,0),4)</f>
        <v>0</v>
      </c>
      <c r="Q1158" s="67">
        <f>ROUND(IF(J1158&gt;O1158,0,J1158),4)</f>
        <v>0</v>
      </c>
      <c r="R1158" s="67">
        <f>ROUND(+P1158*D1158,4)</f>
        <v>0</v>
      </c>
      <c r="S1158" s="67">
        <f>ROUND(IF(K1158=0,0,M1158*D1158),4)</f>
        <v>0</v>
      </c>
      <c r="T1158" s="67">
        <f>ROUND(+IF(K1158=0,Q1158*D1158,0),4)</f>
        <v>0</v>
      </c>
      <c r="U1158" s="67">
        <f>ROUND(+N1158+R1158+S1158+T1158,4)</f>
        <v>0</v>
      </c>
      <c r="V1158" s="67">
        <f>ROUND(IF(P1158=0,0,I1158-H1158-O1158)+IF(L1158=0,0,I1158-H1158-K1158),4)</f>
        <v>0</v>
      </c>
      <c r="W1158" s="67">
        <f>ROUND(+(V1158*60%)*D1158,4)</f>
        <v>0</v>
      </c>
      <c r="X1158" s="148">
        <f>ROUND(+U1158+W1158,4)</f>
        <v>0</v>
      </c>
      <c r="Y1158" s="68"/>
      <c r="Z1158" s="148">
        <f>ROUND(IF(X1158&gt;I1158,X1158,I1158),4)</f>
        <v>0</v>
      </c>
      <c r="AD1158" s="78">
        <f t="shared" si="14"/>
        <v>0</v>
      </c>
      <c r="AE1158" s="78">
        <f t="shared" si="15"/>
        <v>0</v>
      </c>
    </row>
    <row r="1159" spans="1:31" x14ac:dyDescent="0.2">
      <c r="A1159" s="66"/>
      <c r="B1159" s="66"/>
      <c r="C1159" s="66"/>
      <c r="D1159" s="144"/>
      <c r="E1159" s="67"/>
      <c r="F1159" s="67"/>
      <c r="G1159" s="67"/>
      <c r="H1159" s="67">
        <f>ROUND(+E1159+G1159,4)</f>
        <v>0</v>
      </c>
      <c r="I1159" s="67"/>
      <c r="J1159" s="67">
        <f>ROUND(+I1159-H1159,4)</f>
        <v>0</v>
      </c>
      <c r="K1159" s="67">
        <f>ROUND(IF(F1159="alluminio",0,I1159*1.5%),4)</f>
        <v>0</v>
      </c>
      <c r="L1159" s="67">
        <f>ROUND(IF(K1159&lt;J1159,K1159,0),4)</f>
        <v>0</v>
      </c>
      <c r="M1159" s="67">
        <f>ROUND(IF(J1159&gt;K1159,0,J1159),4)</f>
        <v>0</v>
      </c>
      <c r="N1159" s="67">
        <f>ROUND(+L1159*D1159,4)</f>
        <v>0</v>
      </c>
      <c r="O1159" s="67">
        <f>ROUND(IF(F1159="rame",0,+I1159*3%),4)</f>
        <v>0</v>
      </c>
      <c r="P1159" s="67">
        <f>ROUND(IF(O1159&lt;J1159,O1159,0),4)</f>
        <v>0</v>
      </c>
      <c r="Q1159" s="67">
        <f>ROUND(IF(J1159&gt;O1159,0,J1159),4)</f>
        <v>0</v>
      </c>
      <c r="R1159" s="67">
        <f>ROUND(+P1159*D1159,4)</f>
        <v>0</v>
      </c>
      <c r="S1159" s="67">
        <f>ROUND(IF(K1159=0,0,M1159*D1159),4)</f>
        <v>0</v>
      </c>
      <c r="T1159" s="67">
        <f>ROUND(+IF(K1159=0,Q1159*D1159,0),4)</f>
        <v>0</v>
      </c>
      <c r="U1159" s="67">
        <f>ROUND(+N1159+R1159+S1159+T1159,4)</f>
        <v>0</v>
      </c>
      <c r="V1159" s="67">
        <f>ROUND(IF(P1159=0,0,I1159-H1159-O1159)+IF(L1159=0,0,I1159-H1159-K1159),4)</f>
        <v>0</v>
      </c>
      <c r="W1159" s="67">
        <f>ROUND(+(V1159*60%)*D1159,4)</f>
        <v>0</v>
      </c>
      <c r="X1159" s="148">
        <f>ROUND(+U1159+W1159,4)</f>
        <v>0</v>
      </c>
      <c r="Y1159" s="68"/>
      <c r="Z1159" s="148">
        <f>ROUND(IF(X1159&gt;I1159,X1159,I1159),4)</f>
        <v>0</v>
      </c>
      <c r="AD1159" s="78">
        <f t="shared" si="14"/>
        <v>0</v>
      </c>
      <c r="AE1159" s="78">
        <f t="shared" si="15"/>
        <v>0</v>
      </c>
    </row>
    <row r="1160" spans="1:31" x14ac:dyDescent="0.2">
      <c r="A1160" s="66"/>
      <c r="B1160" s="66"/>
      <c r="C1160" s="66"/>
      <c r="D1160" s="144"/>
      <c r="E1160" s="67"/>
      <c r="F1160" s="67"/>
      <c r="G1160" s="67"/>
      <c r="H1160" s="67">
        <f>ROUND(+E1160+G1160,4)</f>
        <v>0</v>
      </c>
      <c r="I1160" s="67"/>
      <c r="J1160" s="67">
        <f>ROUND(+I1160-H1160,4)</f>
        <v>0</v>
      </c>
      <c r="K1160" s="67">
        <f>ROUND(IF(F1160="alluminio",0,I1160*1.5%),4)</f>
        <v>0</v>
      </c>
      <c r="L1160" s="67">
        <f>ROUND(IF(K1160&lt;J1160,K1160,0),4)</f>
        <v>0</v>
      </c>
      <c r="M1160" s="67">
        <f>ROUND(IF(J1160&gt;K1160,0,J1160),4)</f>
        <v>0</v>
      </c>
      <c r="N1160" s="67">
        <f>ROUND(+L1160*D1160,4)</f>
        <v>0</v>
      </c>
      <c r="O1160" s="67">
        <f>ROUND(IF(F1160="rame",0,+I1160*3%),4)</f>
        <v>0</v>
      </c>
      <c r="P1160" s="67">
        <f>ROUND(IF(O1160&lt;J1160,O1160,0),4)</f>
        <v>0</v>
      </c>
      <c r="Q1160" s="67">
        <f>ROUND(IF(J1160&gt;O1160,0,J1160),4)</f>
        <v>0</v>
      </c>
      <c r="R1160" s="67">
        <f>ROUND(+P1160*D1160,4)</f>
        <v>0</v>
      </c>
      <c r="S1160" s="67">
        <f>ROUND(IF(K1160=0,0,M1160*D1160),4)</f>
        <v>0</v>
      </c>
      <c r="T1160" s="67">
        <f>ROUND(+IF(K1160=0,Q1160*D1160,0),4)</f>
        <v>0</v>
      </c>
      <c r="U1160" s="67">
        <f>ROUND(+N1160+R1160+S1160+T1160,4)</f>
        <v>0</v>
      </c>
      <c r="V1160" s="67">
        <f>ROUND(IF(P1160=0,0,I1160-H1160-O1160)+IF(L1160=0,0,I1160-H1160-K1160),4)</f>
        <v>0</v>
      </c>
      <c r="W1160" s="67">
        <f>ROUND(+(V1160*60%)*D1160,4)</f>
        <v>0</v>
      </c>
      <c r="X1160" s="148">
        <f>ROUND(+U1160+W1160,4)</f>
        <v>0</v>
      </c>
      <c r="Y1160" s="68"/>
      <c r="Z1160" s="148">
        <f>ROUND(IF(X1160&gt;I1160,X1160,I1160),4)</f>
        <v>0</v>
      </c>
      <c r="AD1160" s="78">
        <f t="shared" si="14"/>
        <v>0</v>
      </c>
      <c r="AE1160" s="78">
        <f t="shared" si="15"/>
        <v>0</v>
      </c>
    </row>
    <row r="1161" spans="1:31" x14ac:dyDescent="0.2">
      <c r="A1161" s="66"/>
      <c r="B1161" s="66"/>
      <c r="C1161" s="66"/>
      <c r="D1161" s="144"/>
      <c r="E1161" s="67"/>
      <c r="F1161" s="67"/>
      <c r="G1161" s="67"/>
      <c r="H1161" s="67">
        <f>ROUND(+E1161+G1161,4)</f>
        <v>0</v>
      </c>
      <c r="I1161" s="67"/>
      <c r="J1161" s="67">
        <f>ROUND(+I1161-H1161,4)</f>
        <v>0</v>
      </c>
      <c r="K1161" s="67">
        <f>ROUND(IF(F1161="alluminio",0,I1161*1.5%),4)</f>
        <v>0</v>
      </c>
      <c r="L1161" s="67">
        <f>ROUND(IF(K1161&lt;J1161,K1161,0),4)</f>
        <v>0</v>
      </c>
      <c r="M1161" s="67">
        <f>ROUND(IF(J1161&gt;K1161,0,J1161),4)</f>
        <v>0</v>
      </c>
      <c r="N1161" s="67">
        <f>ROUND(+L1161*D1161,4)</f>
        <v>0</v>
      </c>
      <c r="O1161" s="67">
        <f>ROUND(IF(F1161="rame",0,+I1161*3%),4)</f>
        <v>0</v>
      </c>
      <c r="P1161" s="67">
        <f>ROUND(IF(O1161&lt;J1161,O1161,0),4)</f>
        <v>0</v>
      </c>
      <c r="Q1161" s="67">
        <f>ROUND(IF(J1161&gt;O1161,0,J1161),4)</f>
        <v>0</v>
      </c>
      <c r="R1161" s="67">
        <f>ROUND(+P1161*D1161,4)</f>
        <v>0</v>
      </c>
      <c r="S1161" s="67">
        <f>ROUND(IF(K1161=0,0,M1161*D1161),4)</f>
        <v>0</v>
      </c>
      <c r="T1161" s="67">
        <f>ROUND(+IF(K1161=0,Q1161*D1161,0),4)</f>
        <v>0</v>
      </c>
      <c r="U1161" s="67">
        <f>ROUND(+N1161+R1161+S1161+T1161,4)</f>
        <v>0</v>
      </c>
      <c r="V1161" s="67">
        <f>ROUND(IF(P1161=0,0,I1161-H1161-O1161)+IF(L1161=0,0,I1161-H1161-K1161),4)</f>
        <v>0</v>
      </c>
      <c r="W1161" s="67">
        <f>ROUND(+(V1161*60%)*D1161,4)</f>
        <v>0</v>
      </c>
      <c r="X1161" s="148">
        <f>ROUND(+U1161+W1161,4)</f>
        <v>0</v>
      </c>
      <c r="Y1161" s="68"/>
      <c r="Z1161" s="148">
        <f>ROUND(IF(X1161&gt;I1161,X1161,I1161),4)</f>
        <v>0</v>
      </c>
      <c r="AD1161" s="78">
        <f t="shared" si="14"/>
        <v>0</v>
      </c>
      <c r="AE1161" s="78">
        <f t="shared" si="15"/>
        <v>0</v>
      </c>
    </row>
    <row r="1162" spans="1:31" x14ac:dyDescent="0.2">
      <c r="A1162" s="66"/>
      <c r="B1162" s="66"/>
      <c r="C1162" s="66"/>
      <c r="D1162" s="144"/>
      <c r="E1162" s="67"/>
      <c r="F1162" s="67"/>
      <c r="G1162" s="67"/>
      <c r="H1162" s="67">
        <f>ROUND(+E1162+G1162,4)</f>
        <v>0</v>
      </c>
      <c r="I1162" s="67"/>
      <c r="J1162" s="67">
        <f>ROUND(+I1162-H1162,4)</f>
        <v>0</v>
      </c>
      <c r="K1162" s="67">
        <f>ROUND(IF(F1162="alluminio",0,I1162*1.5%),4)</f>
        <v>0</v>
      </c>
      <c r="L1162" s="67">
        <f>ROUND(IF(K1162&lt;J1162,K1162,0),4)</f>
        <v>0</v>
      </c>
      <c r="M1162" s="67">
        <f>ROUND(IF(J1162&gt;K1162,0,J1162),4)</f>
        <v>0</v>
      </c>
      <c r="N1162" s="67">
        <f>ROUND(+L1162*D1162,4)</f>
        <v>0</v>
      </c>
      <c r="O1162" s="67">
        <f>ROUND(IF(F1162="rame",0,+I1162*3%),4)</f>
        <v>0</v>
      </c>
      <c r="P1162" s="67">
        <f>ROUND(IF(O1162&lt;J1162,O1162,0),4)</f>
        <v>0</v>
      </c>
      <c r="Q1162" s="67">
        <f>ROUND(IF(J1162&gt;O1162,0,J1162),4)</f>
        <v>0</v>
      </c>
      <c r="R1162" s="67">
        <f>ROUND(+P1162*D1162,4)</f>
        <v>0</v>
      </c>
      <c r="S1162" s="67">
        <f>ROUND(IF(K1162=0,0,M1162*D1162),4)</f>
        <v>0</v>
      </c>
      <c r="T1162" s="67">
        <f>ROUND(+IF(K1162=0,Q1162*D1162,0),4)</f>
        <v>0</v>
      </c>
      <c r="U1162" s="67">
        <f>ROUND(+N1162+R1162+S1162+T1162,4)</f>
        <v>0</v>
      </c>
      <c r="V1162" s="67">
        <f>ROUND(IF(P1162=0,0,I1162-H1162-O1162)+IF(L1162=0,0,I1162-H1162-K1162),4)</f>
        <v>0</v>
      </c>
      <c r="W1162" s="67">
        <f>ROUND(+(V1162*60%)*D1162,4)</f>
        <v>0</v>
      </c>
      <c r="X1162" s="148">
        <f>ROUND(+U1162+W1162,4)</f>
        <v>0</v>
      </c>
      <c r="Y1162" s="68"/>
      <c r="Z1162" s="148">
        <f>ROUND(IF(X1162&gt;I1162,X1162,I1162),4)</f>
        <v>0</v>
      </c>
      <c r="AD1162" s="78">
        <f t="shared" si="14"/>
        <v>0</v>
      </c>
      <c r="AE1162" s="78">
        <f t="shared" si="15"/>
        <v>0</v>
      </c>
    </row>
    <row r="1163" spans="1:31" x14ac:dyDescent="0.2">
      <c r="A1163" s="66"/>
      <c r="B1163" s="66"/>
      <c r="C1163" s="66"/>
      <c r="D1163" s="144"/>
      <c r="E1163" s="67"/>
      <c r="F1163" s="67"/>
      <c r="G1163" s="67"/>
      <c r="H1163" s="67">
        <f>ROUND(+E1163+G1163,4)</f>
        <v>0</v>
      </c>
      <c r="I1163" s="67"/>
      <c r="J1163" s="67">
        <f>ROUND(+I1163-H1163,4)</f>
        <v>0</v>
      </c>
      <c r="K1163" s="67">
        <f>ROUND(IF(F1163="alluminio",0,I1163*1.5%),4)</f>
        <v>0</v>
      </c>
      <c r="L1163" s="67">
        <f>ROUND(IF(K1163&lt;J1163,K1163,0),4)</f>
        <v>0</v>
      </c>
      <c r="M1163" s="67">
        <f>ROUND(IF(J1163&gt;K1163,0,J1163),4)</f>
        <v>0</v>
      </c>
      <c r="N1163" s="67">
        <f>ROUND(+L1163*D1163,4)</f>
        <v>0</v>
      </c>
      <c r="O1163" s="67">
        <f>ROUND(IF(F1163="rame",0,+I1163*3%),4)</f>
        <v>0</v>
      </c>
      <c r="P1163" s="67">
        <f>ROUND(IF(O1163&lt;J1163,O1163,0),4)</f>
        <v>0</v>
      </c>
      <c r="Q1163" s="67">
        <f>ROUND(IF(J1163&gt;O1163,0,J1163),4)</f>
        <v>0</v>
      </c>
      <c r="R1163" s="67">
        <f>ROUND(+P1163*D1163,4)</f>
        <v>0</v>
      </c>
      <c r="S1163" s="67">
        <f>ROUND(IF(K1163=0,0,M1163*D1163),4)</f>
        <v>0</v>
      </c>
      <c r="T1163" s="67">
        <f>ROUND(+IF(K1163=0,Q1163*D1163,0),4)</f>
        <v>0</v>
      </c>
      <c r="U1163" s="67">
        <f>ROUND(+N1163+R1163+S1163+T1163,4)</f>
        <v>0</v>
      </c>
      <c r="V1163" s="67">
        <f>ROUND(IF(P1163=0,0,I1163-H1163-O1163)+IF(L1163=0,0,I1163-H1163-K1163),4)</f>
        <v>0</v>
      </c>
      <c r="W1163" s="67">
        <f>ROUND(+(V1163*60%)*D1163,4)</f>
        <v>0</v>
      </c>
      <c r="X1163" s="148">
        <f>ROUND(+U1163+W1163,4)</f>
        <v>0</v>
      </c>
      <c r="Y1163" s="68"/>
      <c r="Z1163" s="148">
        <f>ROUND(IF(X1163&gt;I1163,X1163,I1163),4)</f>
        <v>0</v>
      </c>
      <c r="AD1163" s="78">
        <f t="shared" si="14"/>
        <v>0</v>
      </c>
      <c r="AE1163" s="78">
        <f t="shared" si="15"/>
        <v>0</v>
      </c>
    </row>
    <row r="1164" spans="1:31" x14ac:dyDescent="0.2">
      <c r="A1164" s="66"/>
      <c r="B1164" s="66"/>
      <c r="C1164" s="66"/>
      <c r="D1164" s="144"/>
      <c r="E1164" s="67"/>
      <c r="F1164" s="67"/>
      <c r="G1164" s="67"/>
      <c r="H1164" s="67">
        <f>ROUND(+E1164+G1164,4)</f>
        <v>0</v>
      </c>
      <c r="I1164" s="67"/>
      <c r="J1164" s="67">
        <f>ROUND(+I1164-H1164,4)</f>
        <v>0</v>
      </c>
      <c r="K1164" s="67">
        <f>ROUND(IF(F1164="alluminio",0,I1164*1.5%),4)</f>
        <v>0</v>
      </c>
      <c r="L1164" s="67">
        <f>ROUND(IF(K1164&lt;J1164,K1164,0),4)</f>
        <v>0</v>
      </c>
      <c r="M1164" s="67">
        <f>ROUND(IF(J1164&gt;K1164,0,J1164),4)</f>
        <v>0</v>
      </c>
      <c r="N1164" s="67">
        <f>ROUND(+L1164*D1164,4)</f>
        <v>0</v>
      </c>
      <c r="O1164" s="67">
        <f>ROUND(IF(F1164="rame",0,+I1164*3%),4)</f>
        <v>0</v>
      </c>
      <c r="P1164" s="67">
        <f>ROUND(IF(O1164&lt;J1164,O1164,0),4)</f>
        <v>0</v>
      </c>
      <c r="Q1164" s="67">
        <f>ROUND(IF(J1164&gt;O1164,0,J1164),4)</f>
        <v>0</v>
      </c>
      <c r="R1164" s="67">
        <f>ROUND(+P1164*D1164,4)</f>
        <v>0</v>
      </c>
      <c r="S1164" s="67">
        <f>ROUND(IF(K1164=0,0,M1164*D1164),4)</f>
        <v>0</v>
      </c>
      <c r="T1164" s="67">
        <f>ROUND(+IF(K1164=0,Q1164*D1164,0),4)</f>
        <v>0</v>
      </c>
      <c r="U1164" s="67">
        <f>ROUND(+N1164+R1164+S1164+T1164,4)</f>
        <v>0</v>
      </c>
      <c r="V1164" s="67">
        <f>ROUND(IF(P1164=0,0,I1164-H1164-O1164)+IF(L1164=0,0,I1164-H1164-K1164),4)</f>
        <v>0</v>
      </c>
      <c r="W1164" s="67">
        <f>ROUND(+(V1164*60%)*D1164,4)</f>
        <v>0</v>
      </c>
      <c r="X1164" s="148">
        <f>ROUND(+U1164+W1164,4)</f>
        <v>0</v>
      </c>
      <c r="Y1164" s="68"/>
      <c r="Z1164" s="148">
        <f>ROUND(IF(X1164&gt;I1164,X1164,I1164),4)</f>
        <v>0</v>
      </c>
      <c r="AD1164" s="78">
        <f t="shared" si="14"/>
        <v>0</v>
      </c>
      <c r="AE1164" s="78">
        <f t="shared" si="15"/>
        <v>0</v>
      </c>
    </row>
    <row r="1165" spans="1:31" x14ac:dyDescent="0.2">
      <c r="A1165" s="66"/>
      <c r="B1165" s="66"/>
      <c r="C1165" s="66"/>
      <c r="D1165" s="144"/>
      <c r="E1165" s="67"/>
      <c r="F1165" s="67"/>
      <c r="G1165" s="67"/>
      <c r="H1165" s="67">
        <f>ROUND(+E1165+G1165,4)</f>
        <v>0</v>
      </c>
      <c r="I1165" s="67"/>
      <c r="J1165" s="67">
        <f>ROUND(+I1165-H1165,4)</f>
        <v>0</v>
      </c>
      <c r="K1165" s="67">
        <f>ROUND(IF(F1165="alluminio",0,I1165*1.5%),4)</f>
        <v>0</v>
      </c>
      <c r="L1165" s="67">
        <f>ROUND(IF(K1165&lt;J1165,K1165,0),4)</f>
        <v>0</v>
      </c>
      <c r="M1165" s="67">
        <f>ROUND(IF(J1165&gt;K1165,0,J1165),4)</f>
        <v>0</v>
      </c>
      <c r="N1165" s="67">
        <f>ROUND(+L1165*D1165,4)</f>
        <v>0</v>
      </c>
      <c r="O1165" s="67">
        <f>ROUND(IF(F1165="rame",0,+I1165*3%),4)</f>
        <v>0</v>
      </c>
      <c r="P1165" s="67">
        <f>ROUND(IF(O1165&lt;J1165,O1165,0),4)</f>
        <v>0</v>
      </c>
      <c r="Q1165" s="67">
        <f>ROUND(IF(J1165&gt;O1165,0,J1165),4)</f>
        <v>0</v>
      </c>
      <c r="R1165" s="67">
        <f>ROUND(+P1165*D1165,4)</f>
        <v>0</v>
      </c>
      <c r="S1165" s="67">
        <f>ROUND(IF(K1165=0,0,M1165*D1165),4)</f>
        <v>0</v>
      </c>
      <c r="T1165" s="67">
        <f>ROUND(+IF(K1165=0,Q1165*D1165,0),4)</f>
        <v>0</v>
      </c>
      <c r="U1165" s="67">
        <f>ROUND(+N1165+R1165+S1165+T1165,4)</f>
        <v>0</v>
      </c>
      <c r="V1165" s="67">
        <f>ROUND(IF(P1165=0,0,I1165-H1165-O1165)+IF(L1165=0,0,I1165-H1165-K1165),4)</f>
        <v>0</v>
      </c>
      <c r="W1165" s="67">
        <f>ROUND(+(V1165*60%)*D1165,4)</f>
        <v>0</v>
      </c>
      <c r="X1165" s="148">
        <f>ROUND(+U1165+W1165,4)</f>
        <v>0</v>
      </c>
      <c r="Y1165" s="68"/>
      <c r="Z1165" s="148">
        <f>ROUND(IF(X1165&gt;I1165,X1165,I1165),4)</f>
        <v>0</v>
      </c>
      <c r="AD1165" s="78">
        <f t="shared" si="14"/>
        <v>0</v>
      </c>
      <c r="AE1165" s="78">
        <f t="shared" si="15"/>
        <v>0</v>
      </c>
    </row>
    <row r="1166" spans="1:31" x14ac:dyDescent="0.2">
      <c r="A1166" s="66"/>
      <c r="B1166" s="66"/>
      <c r="C1166" s="66"/>
      <c r="D1166" s="144"/>
      <c r="E1166" s="67"/>
      <c r="F1166" s="67"/>
      <c r="G1166" s="67"/>
      <c r="H1166" s="67">
        <f>ROUND(+E1166+G1166,4)</f>
        <v>0</v>
      </c>
      <c r="I1166" s="67"/>
      <c r="J1166" s="67">
        <f>ROUND(+I1166-H1166,4)</f>
        <v>0</v>
      </c>
      <c r="K1166" s="67">
        <f>ROUND(IF(F1166="alluminio",0,I1166*1.5%),4)</f>
        <v>0</v>
      </c>
      <c r="L1166" s="67">
        <f>ROUND(IF(K1166&lt;J1166,K1166,0),4)</f>
        <v>0</v>
      </c>
      <c r="M1166" s="67">
        <f>ROUND(IF(J1166&gt;K1166,0,J1166),4)</f>
        <v>0</v>
      </c>
      <c r="N1166" s="67">
        <f>ROUND(+L1166*D1166,4)</f>
        <v>0</v>
      </c>
      <c r="O1166" s="67">
        <f>ROUND(IF(F1166="rame",0,+I1166*3%),4)</f>
        <v>0</v>
      </c>
      <c r="P1166" s="67">
        <f>ROUND(IF(O1166&lt;J1166,O1166,0),4)</f>
        <v>0</v>
      </c>
      <c r="Q1166" s="67">
        <f>ROUND(IF(J1166&gt;O1166,0,J1166),4)</f>
        <v>0</v>
      </c>
      <c r="R1166" s="67">
        <f>ROUND(+P1166*D1166,4)</f>
        <v>0</v>
      </c>
      <c r="S1166" s="67">
        <f>ROUND(IF(K1166=0,0,M1166*D1166),4)</f>
        <v>0</v>
      </c>
      <c r="T1166" s="67">
        <f>ROUND(+IF(K1166=0,Q1166*D1166,0),4)</f>
        <v>0</v>
      </c>
      <c r="U1166" s="67">
        <f>ROUND(+N1166+R1166+S1166+T1166,4)</f>
        <v>0</v>
      </c>
      <c r="V1166" s="67">
        <f>ROUND(IF(P1166=0,0,I1166-H1166-O1166)+IF(L1166=0,0,I1166-H1166-K1166),4)</f>
        <v>0</v>
      </c>
      <c r="W1166" s="67">
        <f>ROUND(+(V1166*60%)*D1166,4)</f>
        <v>0</v>
      </c>
      <c r="X1166" s="148">
        <f>ROUND(+U1166+W1166,4)</f>
        <v>0</v>
      </c>
      <c r="Y1166" s="68"/>
      <c r="Z1166" s="148">
        <f>ROUND(IF(X1166&gt;I1166,X1166,I1166),4)</f>
        <v>0</v>
      </c>
      <c r="AD1166" s="78">
        <f t="shared" si="14"/>
        <v>0</v>
      </c>
      <c r="AE1166" s="78">
        <f t="shared" si="15"/>
        <v>0</v>
      </c>
    </row>
    <row r="1167" spans="1:31" x14ac:dyDescent="0.2">
      <c r="A1167" s="66"/>
      <c r="B1167" s="66"/>
      <c r="C1167" s="66"/>
      <c r="D1167" s="144"/>
      <c r="E1167" s="67"/>
      <c r="F1167" s="67"/>
      <c r="G1167" s="67"/>
      <c r="H1167" s="67">
        <f>ROUND(+E1167+G1167,4)</f>
        <v>0</v>
      </c>
      <c r="I1167" s="67"/>
      <c r="J1167" s="67">
        <f>ROUND(+I1167-H1167,4)</f>
        <v>0</v>
      </c>
      <c r="K1167" s="67">
        <f>ROUND(IF(F1167="alluminio",0,I1167*1.5%),4)</f>
        <v>0</v>
      </c>
      <c r="L1167" s="67">
        <f>ROUND(IF(K1167&lt;J1167,K1167,0),4)</f>
        <v>0</v>
      </c>
      <c r="M1167" s="67">
        <f>ROUND(IF(J1167&gt;K1167,0,J1167),4)</f>
        <v>0</v>
      </c>
      <c r="N1167" s="67">
        <f>ROUND(+L1167*D1167,4)</f>
        <v>0</v>
      </c>
      <c r="O1167" s="67">
        <f>ROUND(IF(F1167="rame",0,+I1167*3%),4)</f>
        <v>0</v>
      </c>
      <c r="P1167" s="67">
        <f>ROUND(IF(O1167&lt;J1167,O1167,0),4)</f>
        <v>0</v>
      </c>
      <c r="Q1167" s="67">
        <f>ROUND(IF(J1167&gt;O1167,0,J1167),4)</f>
        <v>0</v>
      </c>
      <c r="R1167" s="67">
        <f>ROUND(+P1167*D1167,4)</f>
        <v>0</v>
      </c>
      <c r="S1167" s="67">
        <f>ROUND(IF(K1167=0,0,M1167*D1167),4)</f>
        <v>0</v>
      </c>
      <c r="T1167" s="67">
        <f>ROUND(+IF(K1167=0,Q1167*D1167,0),4)</f>
        <v>0</v>
      </c>
      <c r="U1167" s="67">
        <f>ROUND(+N1167+R1167+S1167+T1167,4)</f>
        <v>0</v>
      </c>
      <c r="V1167" s="67">
        <f>ROUND(IF(P1167=0,0,I1167-H1167-O1167)+IF(L1167=0,0,I1167-H1167-K1167),4)</f>
        <v>0</v>
      </c>
      <c r="W1167" s="67">
        <f>ROUND(+(V1167*60%)*D1167,4)</f>
        <v>0</v>
      </c>
      <c r="X1167" s="148">
        <f>ROUND(+U1167+W1167,4)</f>
        <v>0</v>
      </c>
      <c r="Y1167" s="68"/>
      <c r="Z1167" s="148">
        <f>ROUND(IF(X1167&gt;I1167,X1167,I1167),4)</f>
        <v>0</v>
      </c>
      <c r="AD1167" s="78">
        <f t="shared" si="14"/>
        <v>0</v>
      </c>
      <c r="AE1167" s="78">
        <f t="shared" si="15"/>
        <v>0</v>
      </c>
    </row>
    <row r="1168" spans="1:31" x14ac:dyDescent="0.2">
      <c r="A1168" s="66"/>
      <c r="B1168" s="66"/>
      <c r="C1168" s="66"/>
      <c r="D1168" s="144"/>
      <c r="E1168" s="67"/>
      <c r="F1168" s="67"/>
      <c r="G1168" s="67"/>
      <c r="H1168" s="67">
        <f>ROUND(+E1168+G1168,4)</f>
        <v>0</v>
      </c>
      <c r="I1168" s="67"/>
      <c r="J1168" s="67">
        <f>ROUND(+I1168-H1168,4)</f>
        <v>0</v>
      </c>
      <c r="K1168" s="67">
        <f>ROUND(IF(F1168="alluminio",0,I1168*1.5%),4)</f>
        <v>0</v>
      </c>
      <c r="L1168" s="67">
        <f>ROUND(IF(K1168&lt;J1168,K1168,0),4)</f>
        <v>0</v>
      </c>
      <c r="M1168" s="67">
        <f>ROUND(IF(J1168&gt;K1168,0,J1168),4)</f>
        <v>0</v>
      </c>
      <c r="N1168" s="67">
        <f>ROUND(+L1168*D1168,4)</f>
        <v>0</v>
      </c>
      <c r="O1168" s="67">
        <f>ROUND(IF(F1168="rame",0,+I1168*3%),4)</f>
        <v>0</v>
      </c>
      <c r="P1168" s="67">
        <f>ROUND(IF(O1168&lt;J1168,O1168,0),4)</f>
        <v>0</v>
      </c>
      <c r="Q1168" s="67">
        <f>ROUND(IF(J1168&gt;O1168,0,J1168),4)</f>
        <v>0</v>
      </c>
      <c r="R1168" s="67">
        <f>ROUND(+P1168*D1168,4)</f>
        <v>0</v>
      </c>
      <c r="S1168" s="67">
        <f>ROUND(IF(K1168=0,0,M1168*D1168),4)</f>
        <v>0</v>
      </c>
      <c r="T1168" s="67">
        <f>ROUND(+IF(K1168=0,Q1168*D1168,0),4)</f>
        <v>0</v>
      </c>
      <c r="U1168" s="67">
        <f>ROUND(+N1168+R1168+S1168+T1168,4)</f>
        <v>0</v>
      </c>
      <c r="V1168" s="67">
        <f>ROUND(IF(P1168=0,0,I1168-H1168-O1168)+IF(L1168=0,0,I1168-H1168-K1168),4)</f>
        <v>0</v>
      </c>
      <c r="W1168" s="67">
        <f>ROUND(+(V1168*60%)*D1168,4)</f>
        <v>0</v>
      </c>
      <c r="X1168" s="148">
        <f>ROUND(+U1168+W1168,4)</f>
        <v>0</v>
      </c>
      <c r="Y1168" s="68"/>
      <c r="Z1168" s="148">
        <f>ROUND(IF(X1168&gt;I1168,X1168,I1168),4)</f>
        <v>0</v>
      </c>
      <c r="AD1168" s="78">
        <f t="shared" si="14"/>
        <v>0</v>
      </c>
      <c r="AE1168" s="78">
        <f t="shared" si="15"/>
        <v>0</v>
      </c>
    </row>
    <row r="1169" spans="1:31" x14ac:dyDescent="0.2">
      <c r="A1169" s="66"/>
      <c r="B1169" s="66"/>
      <c r="C1169" s="66"/>
      <c r="D1169" s="144"/>
      <c r="E1169" s="67"/>
      <c r="F1169" s="67"/>
      <c r="G1169" s="67"/>
      <c r="H1169" s="67">
        <f>ROUND(+E1169+G1169,4)</f>
        <v>0</v>
      </c>
      <c r="I1169" s="67"/>
      <c r="J1169" s="67">
        <f>ROUND(+I1169-H1169,4)</f>
        <v>0</v>
      </c>
      <c r="K1169" s="67">
        <f>ROUND(IF(F1169="alluminio",0,I1169*1.5%),4)</f>
        <v>0</v>
      </c>
      <c r="L1169" s="67">
        <f>ROUND(IF(K1169&lt;J1169,K1169,0),4)</f>
        <v>0</v>
      </c>
      <c r="M1169" s="67">
        <f>ROUND(IF(J1169&gt;K1169,0,J1169),4)</f>
        <v>0</v>
      </c>
      <c r="N1169" s="67">
        <f>ROUND(+L1169*D1169,4)</f>
        <v>0</v>
      </c>
      <c r="O1169" s="67">
        <f>ROUND(IF(F1169="rame",0,+I1169*3%),4)</f>
        <v>0</v>
      </c>
      <c r="P1169" s="67">
        <f>ROUND(IF(O1169&lt;J1169,O1169,0),4)</f>
        <v>0</v>
      </c>
      <c r="Q1169" s="67">
        <f>ROUND(IF(J1169&gt;O1169,0,J1169),4)</f>
        <v>0</v>
      </c>
      <c r="R1169" s="67">
        <f>ROUND(+P1169*D1169,4)</f>
        <v>0</v>
      </c>
      <c r="S1169" s="67">
        <f>ROUND(IF(K1169=0,0,M1169*D1169),4)</f>
        <v>0</v>
      </c>
      <c r="T1169" s="67">
        <f>ROUND(+IF(K1169=0,Q1169*D1169,0),4)</f>
        <v>0</v>
      </c>
      <c r="U1169" s="67">
        <f>ROUND(+N1169+R1169+S1169+T1169,4)</f>
        <v>0</v>
      </c>
      <c r="V1169" s="67">
        <f>ROUND(IF(P1169=0,0,I1169-H1169-O1169)+IF(L1169=0,0,I1169-H1169-K1169),4)</f>
        <v>0</v>
      </c>
      <c r="W1169" s="67">
        <f>ROUND(+(V1169*60%)*D1169,4)</f>
        <v>0</v>
      </c>
      <c r="X1169" s="148">
        <f>ROUND(+U1169+W1169,4)</f>
        <v>0</v>
      </c>
      <c r="Y1169" s="68"/>
      <c r="Z1169" s="148">
        <f>ROUND(IF(X1169&gt;I1169,X1169,I1169),4)</f>
        <v>0</v>
      </c>
      <c r="AD1169" s="78">
        <f t="shared" si="14"/>
        <v>0</v>
      </c>
      <c r="AE1169" s="78">
        <f t="shared" si="15"/>
        <v>0</v>
      </c>
    </row>
    <row r="1170" spans="1:31" x14ac:dyDescent="0.2">
      <c r="A1170" s="66"/>
      <c r="B1170" s="66"/>
      <c r="C1170" s="66"/>
      <c r="D1170" s="144"/>
      <c r="E1170" s="67"/>
      <c r="F1170" s="67"/>
      <c r="G1170" s="67"/>
      <c r="H1170" s="67">
        <f>ROUND(+E1170+G1170,4)</f>
        <v>0</v>
      </c>
      <c r="I1170" s="67"/>
      <c r="J1170" s="67">
        <f>ROUND(+I1170-H1170,4)</f>
        <v>0</v>
      </c>
      <c r="K1170" s="67">
        <f>ROUND(IF(F1170="alluminio",0,I1170*1.5%),4)</f>
        <v>0</v>
      </c>
      <c r="L1170" s="67">
        <f>ROUND(IF(K1170&lt;J1170,K1170,0),4)</f>
        <v>0</v>
      </c>
      <c r="M1170" s="67">
        <f>ROUND(IF(J1170&gt;K1170,0,J1170),4)</f>
        <v>0</v>
      </c>
      <c r="N1170" s="67">
        <f>ROUND(+L1170*D1170,4)</f>
        <v>0</v>
      </c>
      <c r="O1170" s="67">
        <f>ROUND(IF(F1170="rame",0,+I1170*3%),4)</f>
        <v>0</v>
      </c>
      <c r="P1170" s="67">
        <f>ROUND(IF(O1170&lt;J1170,O1170,0),4)</f>
        <v>0</v>
      </c>
      <c r="Q1170" s="67">
        <f>ROUND(IF(J1170&gt;O1170,0,J1170),4)</f>
        <v>0</v>
      </c>
      <c r="R1170" s="67">
        <f>ROUND(+P1170*D1170,4)</f>
        <v>0</v>
      </c>
      <c r="S1170" s="67">
        <f>ROUND(IF(K1170=0,0,M1170*D1170),4)</f>
        <v>0</v>
      </c>
      <c r="T1170" s="67">
        <f>ROUND(+IF(K1170=0,Q1170*D1170,0),4)</f>
        <v>0</v>
      </c>
      <c r="U1170" s="67">
        <f>ROUND(+N1170+R1170+S1170+T1170,4)</f>
        <v>0</v>
      </c>
      <c r="V1170" s="67">
        <f>ROUND(IF(P1170=0,0,I1170-H1170-O1170)+IF(L1170=0,0,I1170-H1170-K1170),4)</f>
        <v>0</v>
      </c>
      <c r="W1170" s="67">
        <f>ROUND(+(V1170*60%)*D1170,4)</f>
        <v>0</v>
      </c>
      <c r="X1170" s="148">
        <f>ROUND(+U1170+W1170,4)</f>
        <v>0</v>
      </c>
      <c r="Y1170" s="68"/>
      <c r="Z1170" s="148">
        <f>ROUND(IF(X1170&gt;I1170,X1170,I1170),4)</f>
        <v>0</v>
      </c>
      <c r="AD1170" s="78">
        <f t="shared" si="14"/>
        <v>0</v>
      </c>
      <c r="AE1170" s="78">
        <f t="shared" si="15"/>
        <v>0</v>
      </c>
    </row>
    <row r="1171" spans="1:31" x14ac:dyDescent="0.2">
      <c r="A1171" s="66"/>
      <c r="B1171" s="66"/>
      <c r="C1171" s="66"/>
      <c r="D1171" s="144"/>
      <c r="E1171" s="67"/>
      <c r="F1171" s="67"/>
      <c r="G1171" s="67"/>
      <c r="H1171" s="67">
        <f>ROUND(+E1171+G1171,4)</f>
        <v>0</v>
      </c>
      <c r="I1171" s="67"/>
      <c r="J1171" s="67">
        <f>ROUND(+I1171-H1171,4)</f>
        <v>0</v>
      </c>
      <c r="K1171" s="67">
        <f>ROUND(IF(F1171="alluminio",0,I1171*1.5%),4)</f>
        <v>0</v>
      </c>
      <c r="L1171" s="67">
        <f>ROUND(IF(K1171&lt;J1171,K1171,0),4)</f>
        <v>0</v>
      </c>
      <c r="M1171" s="67">
        <f>ROUND(IF(J1171&gt;K1171,0,J1171),4)</f>
        <v>0</v>
      </c>
      <c r="N1171" s="67">
        <f>ROUND(+L1171*D1171,4)</f>
        <v>0</v>
      </c>
      <c r="O1171" s="67">
        <f>ROUND(IF(F1171="rame",0,+I1171*3%),4)</f>
        <v>0</v>
      </c>
      <c r="P1171" s="67">
        <f>ROUND(IF(O1171&lt;J1171,O1171,0),4)</f>
        <v>0</v>
      </c>
      <c r="Q1171" s="67">
        <f>ROUND(IF(J1171&gt;O1171,0,J1171),4)</f>
        <v>0</v>
      </c>
      <c r="R1171" s="67">
        <f>ROUND(+P1171*D1171,4)</f>
        <v>0</v>
      </c>
      <c r="S1171" s="67">
        <f>ROUND(IF(K1171=0,0,M1171*D1171),4)</f>
        <v>0</v>
      </c>
      <c r="T1171" s="67">
        <f>ROUND(+IF(K1171=0,Q1171*D1171,0),4)</f>
        <v>0</v>
      </c>
      <c r="U1171" s="67">
        <f>ROUND(+N1171+R1171+S1171+T1171,4)</f>
        <v>0</v>
      </c>
      <c r="V1171" s="67">
        <f>ROUND(IF(P1171=0,0,I1171-H1171-O1171)+IF(L1171=0,0,I1171-H1171-K1171),4)</f>
        <v>0</v>
      </c>
      <c r="W1171" s="67">
        <f>ROUND(+(V1171*60%)*D1171,4)</f>
        <v>0</v>
      </c>
      <c r="X1171" s="148">
        <f>ROUND(+U1171+W1171,4)</f>
        <v>0</v>
      </c>
      <c r="Y1171" s="68"/>
      <c r="Z1171" s="148">
        <f>ROUND(IF(X1171&gt;I1171,X1171,I1171),4)</f>
        <v>0</v>
      </c>
      <c r="AD1171" s="78">
        <f t="shared" si="14"/>
        <v>0</v>
      </c>
      <c r="AE1171" s="78">
        <f t="shared" si="15"/>
        <v>0</v>
      </c>
    </row>
    <row r="1172" spans="1:31" x14ac:dyDescent="0.2">
      <c r="A1172" s="66"/>
      <c r="B1172" s="66"/>
      <c r="C1172" s="66"/>
      <c r="D1172" s="144"/>
      <c r="E1172" s="67"/>
      <c r="F1172" s="67"/>
      <c r="G1172" s="67"/>
      <c r="H1172" s="67">
        <f>ROUND(+E1172+G1172,4)</f>
        <v>0</v>
      </c>
      <c r="I1172" s="67"/>
      <c r="J1172" s="67">
        <f>ROUND(+I1172-H1172,4)</f>
        <v>0</v>
      </c>
      <c r="K1172" s="67">
        <f>ROUND(IF(F1172="alluminio",0,I1172*1.5%),4)</f>
        <v>0</v>
      </c>
      <c r="L1172" s="67">
        <f>ROUND(IF(K1172&lt;J1172,K1172,0),4)</f>
        <v>0</v>
      </c>
      <c r="M1172" s="67">
        <f>ROUND(IF(J1172&gt;K1172,0,J1172),4)</f>
        <v>0</v>
      </c>
      <c r="N1172" s="67">
        <f>ROUND(+L1172*D1172,4)</f>
        <v>0</v>
      </c>
      <c r="O1172" s="67">
        <f>ROUND(IF(F1172="rame",0,+I1172*3%),4)</f>
        <v>0</v>
      </c>
      <c r="P1172" s="67">
        <f>ROUND(IF(O1172&lt;J1172,O1172,0),4)</f>
        <v>0</v>
      </c>
      <c r="Q1172" s="67">
        <f>ROUND(IF(J1172&gt;O1172,0,J1172),4)</f>
        <v>0</v>
      </c>
      <c r="R1172" s="67">
        <f>ROUND(+P1172*D1172,4)</f>
        <v>0</v>
      </c>
      <c r="S1172" s="67">
        <f>ROUND(IF(K1172=0,0,M1172*D1172),4)</f>
        <v>0</v>
      </c>
      <c r="T1172" s="67">
        <f>ROUND(+IF(K1172=0,Q1172*D1172,0),4)</f>
        <v>0</v>
      </c>
      <c r="U1172" s="67">
        <f>ROUND(+N1172+R1172+S1172+T1172,4)</f>
        <v>0</v>
      </c>
      <c r="V1172" s="67">
        <f>ROUND(IF(P1172=0,0,I1172-H1172-O1172)+IF(L1172=0,0,I1172-H1172-K1172),4)</f>
        <v>0</v>
      </c>
      <c r="W1172" s="67">
        <f>ROUND(+(V1172*60%)*D1172,4)</f>
        <v>0</v>
      </c>
      <c r="X1172" s="148">
        <f>ROUND(+U1172+W1172,4)</f>
        <v>0</v>
      </c>
      <c r="Y1172" s="68"/>
      <c r="Z1172" s="148">
        <f>ROUND(IF(X1172&gt;I1172,X1172,I1172),4)</f>
        <v>0</v>
      </c>
      <c r="AD1172" s="78">
        <f t="shared" si="14"/>
        <v>0</v>
      </c>
      <c r="AE1172" s="78">
        <f t="shared" si="15"/>
        <v>0</v>
      </c>
    </row>
    <row r="1173" spans="1:31" x14ac:dyDescent="0.2">
      <c r="A1173" s="66"/>
      <c r="B1173" s="66"/>
      <c r="C1173" s="66"/>
      <c r="D1173" s="144"/>
      <c r="E1173" s="67"/>
      <c r="F1173" s="67"/>
      <c r="G1173" s="67"/>
      <c r="H1173" s="67">
        <f>ROUND(+E1173+G1173,4)</f>
        <v>0</v>
      </c>
      <c r="I1173" s="67"/>
      <c r="J1173" s="67">
        <f>ROUND(+I1173-H1173,4)</f>
        <v>0</v>
      </c>
      <c r="K1173" s="67">
        <f>ROUND(IF(F1173="alluminio",0,I1173*1.5%),4)</f>
        <v>0</v>
      </c>
      <c r="L1173" s="67">
        <f>ROUND(IF(K1173&lt;J1173,K1173,0),4)</f>
        <v>0</v>
      </c>
      <c r="M1173" s="67">
        <f>ROUND(IF(J1173&gt;K1173,0,J1173),4)</f>
        <v>0</v>
      </c>
      <c r="N1173" s="67">
        <f>ROUND(+L1173*D1173,4)</f>
        <v>0</v>
      </c>
      <c r="O1173" s="67">
        <f>ROUND(IF(F1173="rame",0,+I1173*3%),4)</f>
        <v>0</v>
      </c>
      <c r="P1173" s="67">
        <f>ROUND(IF(O1173&lt;J1173,O1173,0),4)</f>
        <v>0</v>
      </c>
      <c r="Q1173" s="67">
        <f>ROUND(IF(J1173&gt;O1173,0,J1173),4)</f>
        <v>0</v>
      </c>
      <c r="R1173" s="67">
        <f>ROUND(+P1173*D1173,4)</f>
        <v>0</v>
      </c>
      <c r="S1173" s="67">
        <f>ROUND(IF(K1173=0,0,M1173*D1173),4)</f>
        <v>0</v>
      </c>
      <c r="T1173" s="67">
        <f>ROUND(+IF(K1173=0,Q1173*D1173,0),4)</f>
        <v>0</v>
      </c>
      <c r="U1173" s="67">
        <f>ROUND(+N1173+R1173+S1173+T1173,4)</f>
        <v>0</v>
      </c>
      <c r="V1173" s="67">
        <f>ROUND(IF(P1173=0,0,I1173-H1173-O1173)+IF(L1173=0,0,I1173-H1173-K1173),4)</f>
        <v>0</v>
      </c>
      <c r="W1173" s="67">
        <f>ROUND(+(V1173*60%)*D1173,4)</f>
        <v>0</v>
      </c>
      <c r="X1173" s="148">
        <f>ROUND(+U1173+W1173,4)</f>
        <v>0</v>
      </c>
      <c r="Y1173" s="68"/>
      <c r="Z1173" s="148">
        <f>ROUND(IF(X1173&gt;I1173,X1173,I1173),4)</f>
        <v>0</v>
      </c>
      <c r="AD1173" s="78">
        <f t="shared" si="14"/>
        <v>0</v>
      </c>
      <c r="AE1173" s="78">
        <f t="shared" si="15"/>
        <v>0</v>
      </c>
    </row>
    <row r="1174" spans="1:31" x14ac:dyDescent="0.2">
      <c r="A1174" s="66"/>
      <c r="B1174" s="66"/>
      <c r="C1174" s="66"/>
      <c r="D1174" s="144"/>
      <c r="E1174" s="67"/>
      <c r="F1174" s="67"/>
      <c r="G1174" s="67"/>
      <c r="H1174" s="67">
        <f>ROUND(+E1174+G1174,4)</f>
        <v>0</v>
      </c>
      <c r="I1174" s="67"/>
      <c r="J1174" s="67">
        <f>ROUND(+I1174-H1174,4)</f>
        <v>0</v>
      </c>
      <c r="K1174" s="67">
        <f>ROUND(IF(F1174="alluminio",0,I1174*1.5%),4)</f>
        <v>0</v>
      </c>
      <c r="L1174" s="67">
        <f>ROUND(IF(K1174&lt;J1174,K1174,0),4)</f>
        <v>0</v>
      </c>
      <c r="M1174" s="67">
        <f>ROUND(IF(J1174&gt;K1174,0,J1174),4)</f>
        <v>0</v>
      </c>
      <c r="N1174" s="67">
        <f>ROUND(+L1174*D1174,4)</f>
        <v>0</v>
      </c>
      <c r="O1174" s="67">
        <f>ROUND(IF(F1174="rame",0,+I1174*3%),4)</f>
        <v>0</v>
      </c>
      <c r="P1174" s="67">
        <f>ROUND(IF(O1174&lt;J1174,O1174,0),4)</f>
        <v>0</v>
      </c>
      <c r="Q1174" s="67">
        <f>ROUND(IF(J1174&gt;O1174,0,J1174),4)</f>
        <v>0</v>
      </c>
      <c r="R1174" s="67">
        <f>ROUND(+P1174*D1174,4)</f>
        <v>0</v>
      </c>
      <c r="S1174" s="67">
        <f>ROUND(IF(K1174=0,0,M1174*D1174),4)</f>
        <v>0</v>
      </c>
      <c r="T1174" s="67">
        <f>ROUND(+IF(K1174=0,Q1174*D1174,0),4)</f>
        <v>0</v>
      </c>
      <c r="U1174" s="67">
        <f>ROUND(+N1174+R1174+S1174+T1174,4)</f>
        <v>0</v>
      </c>
      <c r="V1174" s="67">
        <f>ROUND(IF(P1174=0,0,I1174-H1174-O1174)+IF(L1174=0,0,I1174-H1174-K1174),4)</f>
        <v>0</v>
      </c>
      <c r="W1174" s="67">
        <f>ROUND(+(V1174*60%)*D1174,4)</f>
        <v>0</v>
      </c>
      <c r="X1174" s="148">
        <f>ROUND(+U1174+W1174,4)</f>
        <v>0</v>
      </c>
      <c r="Y1174" s="68"/>
      <c r="Z1174" s="148">
        <f>ROUND(IF(X1174&gt;I1174,X1174,I1174),4)</f>
        <v>0</v>
      </c>
      <c r="AD1174" s="78">
        <f t="shared" si="14"/>
        <v>0</v>
      </c>
      <c r="AE1174" s="78">
        <f t="shared" si="15"/>
        <v>0</v>
      </c>
    </row>
    <row r="1175" spans="1:31" x14ac:dyDescent="0.2">
      <c r="A1175" s="66"/>
      <c r="B1175" s="66"/>
      <c r="C1175" s="66"/>
      <c r="D1175" s="144"/>
      <c r="E1175" s="67"/>
      <c r="F1175" s="67"/>
      <c r="G1175" s="67"/>
      <c r="H1175" s="67">
        <f>ROUND(+E1175+G1175,4)</f>
        <v>0</v>
      </c>
      <c r="I1175" s="67"/>
      <c r="J1175" s="67">
        <f>ROUND(+I1175-H1175,4)</f>
        <v>0</v>
      </c>
      <c r="K1175" s="67">
        <f>ROUND(IF(F1175="alluminio",0,I1175*1.5%),4)</f>
        <v>0</v>
      </c>
      <c r="L1175" s="67">
        <f>ROUND(IF(K1175&lt;J1175,K1175,0),4)</f>
        <v>0</v>
      </c>
      <c r="M1175" s="67">
        <f>ROUND(IF(J1175&gt;K1175,0,J1175),4)</f>
        <v>0</v>
      </c>
      <c r="N1175" s="67">
        <f>ROUND(+L1175*D1175,4)</f>
        <v>0</v>
      </c>
      <c r="O1175" s="67">
        <f>ROUND(IF(F1175="rame",0,+I1175*3%),4)</f>
        <v>0</v>
      </c>
      <c r="P1175" s="67">
        <f>ROUND(IF(O1175&lt;J1175,O1175,0),4)</f>
        <v>0</v>
      </c>
      <c r="Q1175" s="67">
        <f>ROUND(IF(J1175&gt;O1175,0,J1175),4)</f>
        <v>0</v>
      </c>
      <c r="R1175" s="67">
        <f>ROUND(+P1175*D1175,4)</f>
        <v>0</v>
      </c>
      <c r="S1175" s="67">
        <f>ROUND(IF(K1175=0,0,M1175*D1175),4)</f>
        <v>0</v>
      </c>
      <c r="T1175" s="67">
        <f>ROUND(+IF(K1175=0,Q1175*D1175,0),4)</f>
        <v>0</v>
      </c>
      <c r="U1175" s="67">
        <f>ROUND(+N1175+R1175+S1175+T1175,4)</f>
        <v>0</v>
      </c>
      <c r="V1175" s="67">
        <f>ROUND(IF(P1175=0,0,I1175-H1175-O1175)+IF(L1175=0,0,I1175-H1175-K1175),4)</f>
        <v>0</v>
      </c>
      <c r="W1175" s="67">
        <f>ROUND(+(V1175*60%)*D1175,4)</f>
        <v>0</v>
      </c>
      <c r="X1175" s="148">
        <f>ROUND(+U1175+W1175,4)</f>
        <v>0</v>
      </c>
      <c r="Y1175" s="68"/>
      <c r="Z1175" s="148">
        <f>ROUND(IF(X1175&gt;I1175,X1175,I1175),4)</f>
        <v>0</v>
      </c>
      <c r="AD1175" s="78">
        <f t="shared" si="14"/>
        <v>0</v>
      </c>
      <c r="AE1175" s="78">
        <f t="shared" si="15"/>
        <v>0</v>
      </c>
    </row>
    <row r="1176" spans="1:31" x14ac:dyDescent="0.2">
      <c r="A1176" s="66"/>
      <c r="B1176" s="66"/>
      <c r="C1176" s="66"/>
      <c r="D1176" s="144"/>
      <c r="E1176" s="67"/>
      <c r="F1176" s="67"/>
      <c r="G1176" s="67"/>
      <c r="H1176" s="67">
        <f>ROUND(+E1176+G1176,4)</f>
        <v>0</v>
      </c>
      <c r="I1176" s="67"/>
      <c r="J1176" s="67">
        <f>ROUND(+I1176-H1176,4)</f>
        <v>0</v>
      </c>
      <c r="K1176" s="67">
        <f>ROUND(IF(F1176="alluminio",0,I1176*1.5%),4)</f>
        <v>0</v>
      </c>
      <c r="L1176" s="67">
        <f>ROUND(IF(K1176&lt;J1176,K1176,0),4)</f>
        <v>0</v>
      </c>
      <c r="M1176" s="67">
        <f>ROUND(IF(J1176&gt;K1176,0,J1176),4)</f>
        <v>0</v>
      </c>
      <c r="N1176" s="67">
        <f>ROUND(+L1176*D1176,4)</f>
        <v>0</v>
      </c>
      <c r="O1176" s="67">
        <f>ROUND(IF(F1176="rame",0,+I1176*3%),4)</f>
        <v>0</v>
      </c>
      <c r="P1176" s="67">
        <f>ROUND(IF(O1176&lt;J1176,O1176,0),4)</f>
        <v>0</v>
      </c>
      <c r="Q1176" s="67">
        <f>ROUND(IF(J1176&gt;O1176,0,J1176),4)</f>
        <v>0</v>
      </c>
      <c r="R1176" s="67">
        <f>ROUND(+P1176*D1176,4)</f>
        <v>0</v>
      </c>
      <c r="S1176" s="67">
        <f>ROUND(IF(K1176=0,0,M1176*D1176),4)</f>
        <v>0</v>
      </c>
      <c r="T1176" s="67">
        <f>ROUND(+IF(K1176=0,Q1176*D1176,0),4)</f>
        <v>0</v>
      </c>
      <c r="U1176" s="67">
        <f>ROUND(+N1176+R1176+S1176+T1176,4)</f>
        <v>0</v>
      </c>
      <c r="V1176" s="67">
        <f>ROUND(IF(P1176=0,0,I1176-H1176-O1176)+IF(L1176=0,0,I1176-H1176-K1176),4)</f>
        <v>0</v>
      </c>
      <c r="W1176" s="67">
        <f>ROUND(+(V1176*60%)*D1176,4)</f>
        <v>0</v>
      </c>
      <c r="X1176" s="148">
        <f>ROUND(+U1176+W1176,4)</f>
        <v>0</v>
      </c>
      <c r="Y1176" s="68"/>
      <c r="Z1176" s="148">
        <f>ROUND(IF(X1176&gt;I1176,X1176,I1176),4)</f>
        <v>0</v>
      </c>
      <c r="AD1176" s="78">
        <f t="shared" si="14"/>
        <v>0</v>
      </c>
      <c r="AE1176" s="78">
        <f t="shared" si="15"/>
        <v>0</v>
      </c>
    </row>
    <row r="1177" spans="1:31" x14ac:dyDescent="0.2">
      <c r="A1177" s="66"/>
      <c r="B1177" s="66"/>
      <c r="C1177" s="66"/>
      <c r="D1177" s="144"/>
      <c r="E1177" s="67"/>
      <c r="F1177" s="67"/>
      <c r="G1177" s="67"/>
      <c r="H1177" s="67">
        <f>ROUND(+E1177+G1177,4)</f>
        <v>0</v>
      </c>
      <c r="I1177" s="67"/>
      <c r="J1177" s="67">
        <f>ROUND(+I1177-H1177,4)</f>
        <v>0</v>
      </c>
      <c r="K1177" s="67">
        <f>ROUND(IF(F1177="alluminio",0,I1177*1.5%),4)</f>
        <v>0</v>
      </c>
      <c r="L1177" s="67">
        <f>ROUND(IF(K1177&lt;J1177,K1177,0),4)</f>
        <v>0</v>
      </c>
      <c r="M1177" s="67">
        <f>ROUND(IF(J1177&gt;K1177,0,J1177),4)</f>
        <v>0</v>
      </c>
      <c r="N1177" s="67">
        <f>ROUND(+L1177*D1177,4)</f>
        <v>0</v>
      </c>
      <c r="O1177" s="67">
        <f>ROUND(IF(F1177="rame",0,+I1177*3%),4)</f>
        <v>0</v>
      </c>
      <c r="P1177" s="67">
        <f>ROUND(IF(O1177&lt;J1177,O1177,0),4)</f>
        <v>0</v>
      </c>
      <c r="Q1177" s="67">
        <f>ROUND(IF(J1177&gt;O1177,0,J1177),4)</f>
        <v>0</v>
      </c>
      <c r="R1177" s="67">
        <f>ROUND(+P1177*D1177,4)</f>
        <v>0</v>
      </c>
      <c r="S1177" s="67">
        <f>ROUND(IF(K1177=0,0,M1177*D1177),4)</f>
        <v>0</v>
      </c>
      <c r="T1177" s="67">
        <f>ROUND(+IF(K1177=0,Q1177*D1177,0),4)</f>
        <v>0</v>
      </c>
      <c r="U1177" s="67">
        <f>ROUND(+N1177+R1177+S1177+T1177,4)</f>
        <v>0</v>
      </c>
      <c r="V1177" s="67">
        <f>ROUND(IF(P1177=0,0,I1177-H1177-O1177)+IF(L1177=0,0,I1177-H1177-K1177),4)</f>
        <v>0</v>
      </c>
      <c r="W1177" s="67">
        <f>ROUND(+(V1177*60%)*D1177,4)</f>
        <v>0</v>
      </c>
      <c r="X1177" s="148">
        <f>ROUND(+U1177+W1177,4)</f>
        <v>0</v>
      </c>
      <c r="Y1177" s="68"/>
      <c r="Z1177" s="148">
        <f>ROUND(IF(X1177&gt;I1177,X1177,I1177),4)</f>
        <v>0</v>
      </c>
      <c r="AD1177" s="78">
        <f t="shared" si="14"/>
        <v>0</v>
      </c>
      <c r="AE1177" s="78">
        <f t="shared" si="15"/>
        <v>0</v>
      </c>
    </row>
    <row r="1178" spans="1:31" x14ac:dyDescent="0.2">
      <c r="A1178" s="66"/>
      <c r="B1178" s="66"/>
      <c r="C1178" s="66"/>
      <c r="D1178" s="144"/>
      <c r="E1178" s="67"/>
      <c r="F1178" s="67"/>
      <c r="G1178" s="67"/>
      <c r="H1178" s="67">
        <f>ROUND(+E1178+G1178,4)</f>
        <v>0</v>
      </c>
      <c r="I1178" s="67"/>
      <c r="J1178" s="67">
        <f>ROUND(+I1178-H1178,4)</f>
        <v>0</v>
      </c>
      <c r="K1178" s="67">
        <f>ROUND(IF(F1178="alluminio",0,I1178*1.5%),4)</f>
        <v>0</v>
      </c>
      <c r="L1178" s="67">
        <f>ROUND(IF(K1178&lt;J1178,K1178,0),4)</f>
        <v>0</v>
      </c>
      <c r="M1178" s="67">
        <f>ROUND(IF(J1178&gt;K1178,0,J1178),4)</f>
        <v>0</v>
      </c>
      <c r="N1178" s="67">
        <f>ROUND(+L1178*D1178,4)</f>
        <v>0</v>
      </c>
      <c r="O1178" s="67">
        <f>ROUND(IF(F1178="rame",0,+I1178*3%),4)</f>
        <v>0</v>
      </c>
      <c r="P1178" s="67">
        <f>ROUND(IF(O1178&lt;J1178,O1178,0),4)</f>
        <v>0</v>
      </c>
      <c r="Q1178" s="67">
        <f>ROUND(IF(J1178&gt;O1178,0,J1178),4)</f>
        <v>0</v>
      </c>
      <c r="R1178" s="67">
        <f>ROUND(+P1178*D1178,4)</f>
        <v>0</v>
      </c>
      <c r="S1178" s="67">
        <f>ROUND(IF(K1178=0,0,M1178*D1178),4)</f>
        <v>0</v>
      </c>
      <c r="T1178" s="67">
        <f>ROUND(+IF(K1178=0,Q1178*D1178,0),4)</f>
        <v>0</v>
      </c>
      <c r="U1178" s="67">
        <f>ROUND(+N1178+R1178+S1178+T1178,4)</f>
        <v>0</v>
      </c>
      <c r="V1178" s="67">
        <f>ROUND(IF(P1178=0,0,I1178-H1178-O1178)+IF(L1178=0,0,I1178-H1178-K1178),4)</f>
        <v>0</v>
      </c>
      <c r="W1178" s="67">
        <f>ROUND(+(V1178*60%)*D1178,4)</f>
        <v>0</v>
      </c>
      <c r="X1178" s="148">
        <f>ROUND(+U1178+W1178,4)</f>
        <v>0</v>
      </c>
      <c r="Y1178" s="68"/>
      <c r="Z1178" s="148">
        <f>ROUND(IF(X1178&gt;I1178,X1178,I1178),4)</f>
        <v>0</v>
      </c>
      <c r="AD1178" s="78">
        <f t="shared" si="14"/>
        <v>0</v>
      </c>
      <c r="AE1178" s="78">
        <f t="shared" si="15"/>
        <v>0</v>
      </c>
    </row>
    <row r="1179" spans="1:31" x14ac:dyDescent="0.2">
      <c r="A1179" s="66"/>
      <c r="B1179" s="66"/>
      <c r="C1179" s="66"/>
      <c r="D1179" s="144"/>
      <c r="E1179" s="67"/>
      <c r="F1179" s="67"/>
      <c r="G1179" s="67"/>
      <c r="H1179" s="67">
        <f>ROUND(+E1179+G1179,4)</f>
        <v>0</v>
      </c>
      <c r="I1179" s="67"/>
      <c r="J1179" s="67">
        <f>ROUND(+I1179-H1179,4)</f>
        <v>0</v>
      </c>
      <c r="K1179" s="67">
        <f>ROUND(IF(F1179="alluminio",0,I1179*1.5%),4)</f>
        <v>0</v>
      </c>
      <c r="L1179" s="67">
        <f>ROUND(IF(K1179&lt;J1179,K1179,0),4)</f>
        <v>0</v>
      </c>
      <c r="M1179" s="67">
        <f>ROUND(IF(J1179&gt;K1179,0,J1179),4)</f>
        <v>0</v>
      </c>
      <c r="N1179" s="67">
        <f>ROUND(+L1179*D1179,4)</f>
        <v>0</v>
      </c>
      <c r="O1179" s="67">
        <f>ROUND(IF(F1179="rame",0,+I1179*3%),4)</f>
        <v>0</v>
      </c>
      <c r="P1179" s="67">
        <f>ROUND(IF(O1179&lt;J1179,O1179,0),4)</f>
        <v>0</v>
      </c>
      <c r="Q1179" s="67">
        <f>ROUND(IF(J1179&gt;O1179,0,J1179),4)</f>
        <v>0</v>
      </c>
      <c r="R1179" s="67">
        <f>ROUND(+P1179*D1179,4)</f>
        <v>0</v>
      </c>
      <c r="S1179" s="67">
        <f>ROUND(IF(K1179=0,0,M1179*D1179),4)</f>
        <v>0</v>
      </c>
      <c r="T1179" s="67">
        <f>ROUND(+IF(K1179=0,Q1179*D1179,0),4)</f>
        <v>0</v>
      </c>
      <c r="U1179" s="67">
        <f>ROUND(+N1179+R1179+S1179+T1179,4)</f>
        <v>0</v>
      </c>
      <c r="V1179" s="67">
        <f>ROUND(IF(P1179=0,0,I1179-H1179-O1179)+IF(L1179=0,0,I1179-H1179-K1179),4)</f>
        <v>0</v>
      </c>
      <c r="W1179" s="67">
        <f>ROUND(+(V1179*60%)*D1179,4)</f>
        <v>0</v>
      </c>
      <c r="X1179" s="148">
        <f>ROUND(+U1179+W1179,4)</f>
        <v>0</v>
      </c>
      <c r="Y1179" s="68"/>
      <c r="Z1179" s="148">
        <f>ROUND(IF(X1179&gt;I1179,X1179,I1179),4)</f>
        <v>0</v>
      </c>
      <c r="AD1179" s="78">
        <f t="shared" si="14"/>
        <v>0</v>
      </c>
      <c r="AE1179" s="78">
        <f t="shared" si="15"/>
        <v>0</v>
      </c>
    </row>
    <row r="1180" spans="1:31" x14ac:dyDescent="0.2">
      <c r="A1180" s="66"/>
      <c r="B1180" s="66"/>
      <c r="C1180" s="66"/>
      <c r="D1180" s="144"/>
      <c r="E1180" s="67"/>
      <c r="F1180" s="67"/>
      <c r="G1180" s="67"/>
      <c r="H1180" s="67">
        <f>ROUND(+E1180+G1180,4)</f>
        <v>0</v>
      </c>
      <c r="I1180" s="67"/>
      <c r="J1180" s="67">
        <f>ROUND(+I1180-H1180,4)</f>
        <v>0</v>
      </c>
      <c r="K1180" s="67">
        <f>ROUND(IF(F1180="alluminio",0,I1180*1.5%),4)</f>
        <v>0</v>
      </c>
      <c r="L1180" s="67">
        <f>ROUND(IF(K1180&lt;J1180,K1180,0),4)</f>
        <v>0</v>
      </c>
      <c r="M1180" s="67">
        <f>ROUND(IF(J1180&gt;K1180,0,J1180),4)</f>
        <v>0</v>
      </c>
      <c r="N1180" s="67">
        <f>ROUND(+L1180*D1180,4)</f>
        <v>0</v>
      </c>
      <c r="O1180" s="67">
        <f>ROUND(IF(F1180="rame",0,+I1180*3%),4)</f>
        <v>0</v>
      </c>
      <c r="P1180" s="67">
        <f>ROUND(IF(O1180&lt;J1180,O1180,0),4)</f>
        <v>0</v>
      </c>
      <c r="Q1180" s="67">
        <f>ROUND(IF(J1180&gt;O1180,0,J1180),4)</f>
        <v>0</v>
      </c>
      <c r="R1180" s="67">
        <f>ROUND(+P1180*D1180,4)</f>
        <v>0</v>
      </c>
      <c r="S1180" s="67">
        <f>ROUND(IF(K1180=0,0,M1180*D1180),4)</f>
        <v>0</v>
      </c>
      <c r="T1180" s="67">
        <f>ROUND(+IF(K1180=0,Q1180*D1180,0),4)</f>
        <v>0</v>
      </c>
      <c r="U1180" s="67">
        <f>ROUND(+N1180+R1180+S1180+T1180,4)</f>
        <v>0</v>
      </c>
      <c r="V1180" s="67">
        <f>ROUND(IF(P1180=0,0,I1180-H1180-O1180)+IF(L1180=0,0,I1180-H1180-K1180),4)</f>
        <v>0</v>
      </c>
      <c r="W1180" s="67">
        <f>ROUND(+(V1180*60%)*D1180,4)</f>
        <v>0</v>
      </c>
      <c r="X1180" s="148">
        <f>ROUND(+U1180+W1180,4)</f>
        <v>0</v>
      </c>
      <c r="Y1180" s="68"/>
      <c r="Z1180" s="148">
        <f>ROUND(IF(X1180&gt;I1180,X1180,I1180),4)</f>
        <v>0</v>
      </c>
      <c r="AD1180" s="78">
        <f t="shared" si="14"/>
        <v>0</v>
      </c>
      <c r="AE1180" s="78">
        <f t="shared" si="15"/>
        <v>0</v>
      </c>
    </row>
    <row r="1181" spans="1:31" x14ac:dyDescent="0.2">
      <c r="A1181" s="66"/>
      <c r="B1181" s="66"/>
      <c r="C1181" s="66"/>
      <c r="D1181" s="144"/>
      <c r="E1181" s="67"/>
      <c r="F1181" s="67"/>
      <c r="G1181" s="67"/>
      <c r="H1181" s="67">
        <f>ROUND(+E1181+G1181,4)</f>
        <v>0</v>
      </c>
      <c r="I1181" s="67"/>
      <c r="J1181" s="67">
        <f>ROUND(+I1181-H1181,4)</f>
        <v>0</v>
      </c>
      <c r="K1181" s="67">
        <f>ROUND(IF(F1181="alluminio",0,I1181*1.5%),4)</f>
        <v>0</v>
      </c>
      <c r="L1181" s="67">
        <f>ROUND(IF(K1181&lt;J1181,K1181,0),4)</f>
        <v>0</v>
      </c>
      <c r="M1181" s="67">
        <f>ROUND(IF(J1181&gt;K1181,0,J1181),4)</f>
        <v>0</v>
      </c>
      <c r="N1181" s="67">
        <f>ROUND(+L1181*D1181,4)</f>
        <v>0</v>
      </c>
      <c r="O1181" s="67">
        <f>ROUND(IF(F1181="rame",0,+I1181*3%),4)</f>
        <v>0</v>
      </c>
      <c r="P1181" s="67">
        <f>ROUND(IF(O1181&lt;J1181,O1181,0),4)</f>
        <v>0</v>
      </c>
      <c r="Q1181" s="67">
        <f>ROUND(IF(J1181&gt;O1181,0,J1181),4)</f>
        <v>0</v>
      </c>
      <c r="R1181" s="67">
        <f>ROUND(+P1181*D1181,4)</f>
        <v>0</v>
      </c>
      <c r="S1181" s="67">
        <f>ROUND(IF(K1181=0,0,M1181*D1181),4)</f>
        <v>0</v>
      </c>
      <c r="T1181" s="67">
        <f>ROUND(+IF(K1181=0,Q1181*D1181,0),4)</f>
        <v>0</v>
      </c>
      <c r="U1181" s="67">
        <f>ROUND(+N1181+R1181+S1181+T1181,4)</f>
        <v>0</v>
      </c>
      <c r="V1181" s="67">
        <f>ROUND(IF(P1181=0,0,I1181-H1181-O1181)+IF(L1181=0,0,I1181-H1181-K1181),4)</f>
        <v>0</v>
      </c>
      <c r="W1181" s="67">
        <f>ROUND(+(V1181*60%)*D1181,4)</f>
        <v>0</v>
      </c>
      <c r="X1181" s="148">
        <f>ROUND(+U1181+W1181,4)</f>
        <v>0</v>
      </c>
      <c r="Y1181" s="68"/>
      <c r="Z1181" s="148">
        <f>ROUND(IF(X1181&gt;I1181,X1181,I1181),4)</f>
        <v>0</v>
      </c>
      <c r="AD1181" s="78">
        <f t="shared" si="14"/>
        <v>0</v>
      </c>
      <c r="AE1181" s="78">
        <f t="shared" si="15"/>
        <v>0</v>
      </c>
    </row>
    <row r="1182" spans="1:31" x14ac:dyDescent="0.2">
      <c r="A1182" s="66"/>
      <c r="B1182" s="66"/>
      <c r="C1182" s="66"/>
      <c r="D1182" s="144"/>
      <c r="E1182" s="67"/>
      <c r="F1182" s="67"/>
      <c r="G1182" s="67"/>
      <c r="H1182" s="67">
        <f>ROUND(+E1182+G1182,4)</f>
        <v>0</v>
      </c>
      <c r="I1182" s="67"/>
      <c r="J1182" s="67">
        <f>ROUND(+I1182-H1182,4)</f>
        <v>0</v>
      </c>
      <c r="K1182" s="67">
        <f>ROUND(IF(F1182="alluminio",0,I1182*1.5%),4)</f>
        <v>0</v>
      </c>
      <c r="L1182" s="67">
        <f>ROUND(IF(K1182&lt;J1182,K1182,0),4)</f>
        <v>0</v>
      </c>
      <c r="M1182" s="67">
        <f>ROUND(IF(J1182&gt;K1182,0,J1182),4)</f>
        <v>0</v>
      </c>
      <c r="N1182" s="67">
        <f>ROUND(+L1182*D1182,4)</f>
        <v>0</v>
      </c>
      <c r="O1182" s="67">
        <f>ROUND(IF(F1182="rame",0,+I1182*3%),4)</f>
        <v>0</v>
      </c>
      <c r="P1182" s="67">
        <f>ROUND(IF(O1182&lt;J1182,O1182,0),4)</f>
        <v>0</v>
      </c>
      <c r="Q1182" s="67">
        <f>ROUND(IF(J1182&gt;O1182,0,J1182),4)</f>
        <v>0</v>
      </c>
      <c r="R1182" s="67">
        <f>ROUND(+P1182*D1182,4)</f>
        <v>0</v>
      </c>
      <c r="S1182" s="67">
        <f>ROUND(IF(K1182=0,0,M1182*D1182),4)</f>
        <v>0</v>
      </c>
      <c r="T1182" s="67">
        <f>ROUND(+IF(K1182=0,Q1182*D1182,0),4)</f>
        <v>0</v>
      </c>
      <c r="U1182" s="67">
        <f>ROUND(+N1182+R1182+S1182+T1182,4)</f>
        <v>0</v>
      </c>
      <c r="V1182" s="67">
        <f>ROUND(IF(P1182=0,0,I1182-H1182-O1182)+IF(L1182=0,0,I1182-H1182-K1182),4)</f>
        <v>0</v>
      </c>
      <c r="W1182" s="67">
        <f>ROUND(+(V1182*60%)*D1182,4)</f>
        <v>0</v>
      </c>
      <c r="X1182" s="148">
        <f>ROUND(+U1182+W1182,4)</f>
        <v>0</v>
      </c>
      <c r="Y1182" s="68"/>
      <c r="Z1182" s="148">
        <f>ROUND(IF(X1182&gt;I1182,X1182,I1182),4)</f>
        <v>0</v>
      </c>
      <c r="AD1182" s="78">
        <f t="shared" si="14"/>
        <v>0</v>
      </c>
      <c r="AE1182" s="78">
        <f t="shared" si="15"/>
        <v>0</v>
      </c>
    </row>
    <row r="1183" spans="1:31" x14ac:dyDescent="0.2">
      <c r="A1183" s="66"/>
      <c r="B1183" s="66"/>
      <c r="C1183" s="66"/>
      <c r="D1183" s="144"/>
      <c r="E1183" s="67"/>
      <c r="F1183" s="67"/>
      <c r="G1183" s="67"/>
      <c r="H1183" s="67">
        <f>ROUND(+E1183+G1183,4)</f>
        <v>0</v>
      </c>
      <c r="I1183" s="67"/>
      <c r="J1183" s="67">
        <f>ROUND(+I1183-H1183,4)</f>
        <v>0</v>
      </c>
      <c r="K1183" s="67">
        <f>ROUND(IF(F1183="alluminio",0,I1183*1.5%),4)</f>
        <v>0</v>
      </c>
      <c r="L1183" s="67">
        <f>ROUND(IF(K1183&lt;J1183,K1183,0),4)</f>
        <v>0</v>
      </c>
      <c r="M1183" s="67">
        <f>ROUND(IF(J1183&gt;K1183,0,J1183),4)</f>
        <v>0</v>
      </c>
      <c r="N1183" s="67">
        <f>ROUND(+L1183*D1183,4)</f>
        <v>0</v>
      </c>
      <c r="O1183" s="67">
        <f>ROUND(IF(F1183="rame",0,+I1183*3%),4)</f>
        <v>0</v>
      </c>
      <c r="P1183" s="67">
        <f>ROUND(IF(O1183&lt;J1183,O1183,0),4)</f>
        <v>0</v>
      </c>
      <c r="Q1183" s="67">
        <f>ROUND(IF(J1183&gt;O1183,0,J1183),4)</f>
        <v>0</v>
      </c>
      <c r="R1183" s="67">
        <f>ROUND(+P1183*D1183,4)</f>
        <v>0</v>
      </c>
      <c r="S1183" s="67">
        <f>ROUND(IF(K1183=0,0,M1183*D1183),4)</f>
        <v>0</v>
      </c>
      <c r="T1183" s="67">
        <f>ROUND(+IF(K1183=0,Q1183*D1183,0),4)</f>
        <v>0</v>
      </c>
      <c r="U1183" s="67">
        <f>ROUND(+N1183+R1183+S1183+T1183,4)</f>
        <v>0</v>
      </c>
      <c r="V1183" s="67">
        <f>ROUND(IF(P1183=0,0,I1183-H1183-O1183)+IF(L1183=0,0,I1183-H1183-K1183),4)</f>
        <v>0</v>
      </c>
      <c r="W1183" s="67">
        <f>ROUND(+(V1183*60%)*D1183,4)</f>
        <v>0</v>
      </c>
      <c r="X1183" s="148">
        <f>ROUND(+U1183+W1183,4)</f>
        <v>0</v>
      </c>
      <c r="Y1183" s="68"/>
      <c r="Z1183" s="148">
        <f>ROUND(IF(X1183&gt;I1183,X1183,I1183),4)</f>
        <v>0</v>
      </c>
      <c r="AD1183" s="78">
        <f t="shared" si="14"/>
        <v>0</v>
      </c>
      <c r="AE1183" s="78">
        <f t="shared" si="15"/>
        <v>0</v>
      </c>
    </row>
    <row r="1184" spans="1:31" x14ac:dyDescent="0.2">
      <c r="A1184" s="66"/>
      <c r="B1184" s="66"/>
      <c r="C1184" s="66"/>
      <c r="D1184" s="144"/>
      <c r="E1184" s="67"/>
      <c r="F1184" s="67"/>
      <c r="G1184" s="67"/>
      <c r="H1184" s="67">
        <f>ROUND(+E1184+G1184,4)</f>
        <v>0</v>
      </c>
      <c r="I1184" s="67"/>
      <c r="J1184" s="67">
        <f>ROUND(+I1184-H1184,4)</f>
        <v>0</v>
      </c>
      <c r="K1184" s="67">
        <f>ROUND(IF(F1184="alluminio",0,I1184*1.5%),4)</f>
        <v>0</v>
      </c>
      <c r="L1184" s="67">
        <f>ROUND(IF(K1184&lt;J1184,K1184,0),4)</f>
        <v>0</v>
      </c>
      <c r="M1184" s="67">
        <f>ROUND(IF(J1184&gt;K1184,0,J1184),4)</f>
        <v>0</v>
      </c>
      <c r="N1184" s="67">
        <f>ROUND(+L1184*D1184,4)</f>
        <v>0</v>
      </c>
      <c r="O1184" s="67">
        <f>ROUND(IF(F1184="rame",0,+I1184*3%),4)</f>
        <v>0</v>
      </c>
      <c r="P1184" s="67">
        <f>ROUND(IF(O1184&lt;J1184,O1184,0),4)</f>
        <v>0</v>
      </c>
      <c r="Q1184" s="67">
        <f>ROUND(IF(J1184&gt;O1184,0,J1184),4)</f>
        <v>0</v>
      </c>
      <c r="R1184" s="67">
        <f>ROUND(+P1184*D1184,4)</f>
        <v>0</v>
      </c>
      <c r="S1184" s="67">
        <f>ROUND(IF(K1184=0,0,M1184*D1184),4)</f>
        <v>0</v>
      </c>
      <c r="T1184" s="67">
        <f>ROUND(+IF(K1184=0,Q1184*D1184,0),4)</f>
        <v>0</v>
      </c>
      <c r="U1184" s="67">
        <f>ROUND(+N1184+R1184+S1184+T1184,4)</f>
        <v>0</v>
      </c>
      <c r="V1184" s="67">
        <f>ROUND(IF(P1184=0,0,I1184-H1184-O1184)+IF(L1184=0,0,I1184-H1184-K1184),4)</f>
        <v>0</v>
      </c>
      <c r="W1184" s="67">
        <f>ROUND(+(V1184*60%)*D1184,4)</f>
        <v>0</v>
      </c>
      <c r="X1184" s="148">
        <f>ROUND(+U1184+W1184,4)</f>
        <v>0</v>
      </c>
      <c r="Y1184" s="68"/>
      <c r="Z1184" s="148">
        <f>ROUND(IF(X1184&gt;I1184,X1184,I1184),4)</f>
        <v>0</v>
      </c>
      <c r="AD1184" s="78">
        <f t="shared" si="14"/>
        <v>0</v>
      </c>
      <c r="AE1184" s="78">
        <f t="shared" si="15"/>
        <v>0</v>
      </c>
    </row>
    <row r="1185" spans="1:31" x14ac:dyDescent="0.2">
      <c r="A1185" s="66"/>
      <c r="B1185" s="66"/>
      <c r="C1185" s="66"/>
      <c r="D1185" s="144"/>
      <c r="E1185" s="67"/>
      <c r="F1185" s="67"/>
      <c r="G1185" s="67"/>
      <c r="H1185" s="67">
        <f>ROUND(+E1185+G1185,4)</f>
        <v>0</v>
      </c>
      <c r="I1185" s="67"/>
      <c r="J1185" s="67">
        <f>ROUND(+I1185-H1185,4)</f>
        <v>0</v>
      </c>
      <c r="K1185" s="67">
        <f>ROUND(IF(F1185="alluminio",0,I1185*1.5%),4)</f>
        <v>0</v>
      </c>
      <c r="L1185" s="67">
        <f>ROUND(IF(K1185&lt;J1185,K1185,0),4)</f>
        <v>0</v>
      </c>
      <c r="M1185" s="67">
        <f>ROUND(IF(J1185&gt;K1185,0,J1185),4)</f>
        <v>0</v>
      </c>
      <c r="N1185" s="67">
        <f>ROUND(+L1185*D1185,4)</f>
        <v>0</v>
      </c>
      <c r="O1185" s="67">
        <f>ROUND(IF(F1185="rame",0,+I1185*3%),4)</f>
        <v>0</v>
      </c>
      <c r="P1185" s="67">
        <f>ROUND(IF(O1185&lt;J1185,O1185,0),4)</f>
        <v>0</v>
      </c>
      <c r="Q1185" s="67">
        <f>ROUND(IF(J1185&gt;O1185,0,J1185),4)</f>
        <v>0</v>
      </c>
      <c r="R1185" s="67">
        <f>ROUND(+P1185*D1185,4)</f>
        <v>0</v>
      </c>
      <c r="S1185" s="67">
        <f>ROUND(IF(K1185=0,0,M1185*D1185),4)</f>
        <v>0</v>
      </c>
      <c r="T1185" s="67">
        <f>ROUND(+IF(K1185=0,Q1185*D1185,0),4)</f>
        <v>0</v>
      </c>
      <c r="U1185" s="67">
        <f>ROUND(+N1185+R1185+S1185+T1185,4)</f>
        <v>0</v>
      </c>
      <c r="V1185" s="67">
        <f>ROUND(IF(P1185=0,0,I1185-H1185-O1185)+IF(L1185=0,0,I1185-H1185-K1185),4)</f>
        <v>0</v>
      </c>
      <c r="W1185" s="67">
        <f>ROUND(+(V1185*60%)*D1185,4)</f>
        <v>0</v>
      </c>
      <c r="X1185" s="148">
        <f>ROUND(+U1185+W1185,4)</f>
        <v>0</v>
      </c>
      <c r="Y1185" s="68"/>
      <c r="Z1185" s="148">
        <f>ROUND(IF(X1185&gt;I1185,X1185,I1185),4)</f>
        <v>0</v>
      </c>
      <c r="AD1185" s="78">
        <f t="shared" si="14"/>
        <v>0</v>
      </c>
      <c r="AE1185" s="78">
        <f t="shared" si="15"/>
        <v>0</v>
      </c>
    </row>
    <row r="1186" spans="1:31" x14ac:dyDescent="0.2">
      <c r="A1186" s="66"/>
      <c r="B1186" s="66"/>
      <c r="C1186" s="66"/>
      <c r="D1186" s="144"/>
      <c r="E1186" s="67"/>
      <c r="F1186" s="67"/>
      <c r="G1186" s="67"/>
      <c r="H1186" s="67">
        <f>ROUND(+E1186+G1186,4)</f>
        <v>0</v>
      </c>
      <c r="I1186" s="67"/>
      <c r="J1186" s="67">
        <f>ROUND(+I1186-H1186,4)</f>
        <v>0</v>
      </c>
      <c r="K1186" s="67">
        <f>ROUND(IF(F1186="alluminio",0,I1186*1.5%),4)</f>
        <v>0</v>
      </c>
      <c r="L1186" s="67">
        <f>ROUND(IF(K1186&lt;J1186,K1186,0),4)</f>
        <v>0</v>
      </c>
      <c r="M1186" s="67">
        <f>ROUND(IF(J1186&gt;K1186,0,J1186),4)</f>
        <v>0</v>
      </c>
      <c r="N1186" s="67">
        <f>ROUND(+L1186*D1186,4)</f>
        <v>0</v>
      </c>
      <c r="O1186" s="67">
        <f>ROUND(IF(F1186="rame",0,+I1186*3%),4)</f>
        <v>0</v>
      </c>
      <c r="P1186" s="67">
        <f>ROUND(IF(O1186&lt;J1186,O1186,0),4)</f>
        <v>0</v>
      </c>
      <c r="Q1186" s="67">
        <f>ROUND(IF(J1186&gt;O1186,0,J1186),4)</f>
        <v>0</v>
      </c>
      <c r="R1186" s="67">
        <f>ROUND(+P1186*D1186,4)</f>
        <v>0</v>
      </c>
      <c r="S1186" s="67">
        <f>ROUND(IF(K1186=0,0,M1186*D1186),4)</f>
        <v>0</v>
      </c>
      <c r="T1186" s="67">
        <f>ROUND(+IF(K1186=0,Q1186*D1186,0),4)</f>
        <v>0</v>
      </c>
      <c r="U1186" s="67">
        <f>ROUND(+N1186+R1186+S1186+T1186,4)</f>
        <v>0</v>
      </c>
      <c r="V1186" s="67">
        <f>ROUND(IF(P1186=0,0,I1186-H1186-O1186)+IF(L1186=0,0,I1186-H1186-K1186),4)</f>
        <v>0</v>
      </c>
      <c r="W1186" s="67">
        <f>ROUND(+(V1186*60%)*D1186,4)</f>
        <v>0</v>
      </c>
      <c r="X1186" s="148">
        <f>ROUND(+U1186+W1186,4)</f>
        <v>0</v>
      </c>
      <c r="Y1186" s="68"/>
      <c r="Z1186" s="148">
        <f>ROUND(IF(X1186&gt;I1186,X1186,I1186),4)</f>
        <v>0</v>
      </c>
      <c r="AD1186" s="78">
        <f t="shared" si="14"/>
        <v>0</v>
      </c>
      <c r="AE1186" s="78">
        <f t="shared" si="15"/>
        <v>0</v>
      </c>
    </row>
    <row r="1187" spans="1:31" x14ac:dyDescent="0.2">
      <c r="A1187" s="66"/>
      <c r="B1187" s="66"/>
      <c r="C1187" s="66"/>
      <c r="D1187" s="144"/>
      <c r="E1187" s="67"/>
      <c r="F1187" s="67"/>
      <c r="G1187" s="67"/>
      <c r="H1187" s="67">
        <f>ROUND(+E1187+G1187,4)</f>
        <v>0</v>
      </c>
      <c r="I1187" s="67"/>
      <c r="J1187" s="67">
        <f>ROUND(+I1187-H1187,4)</f>
        <v>0</v>
      </c>
      <c r="K1187" s="67">
        <f>ROUND(IF(F1187="alluminio",0,I1187*1.5%),4)</f>
        <v>0</v>
      </c>
      <c r="L1187" s="67">
        <f>ROUND(IF(K1187&lt;J1187,K1187,0),4)</f>
        <v>0</v>
      </c>
      <c r="M1187" s="67">
        <f>ROUND(IF(J1187&gt;K1187,0,J1187),4)</f>
        <v>0</v>
      </c>
      <c r="N1187" s="67">
        <f>ROUND(+L1187*D1187,4)</f>
        <v>0</v>
      </c>
      <c r="O1187" s="67">
        <f>ROUND(IF(F1187="rame",0,+I1187*3%),4)</f>
        <v>0</v>
      </c>
      <c r="P1187" s="67">
        <f>ROUND(IF(O1187&lt;J1187,O1187,0),4)</f>
        <v>0</v>
      </c>
      <c r="Q1187" s="67">
        <f>ROUND(IF(J1187&gt;O1187,0,J1187),4)</f>
        <v>0</v>
      </c>
      <c r="R1187" s="67">
        <f>ROUND(+P1187*D1187,4)</f>
        <v>0</v>
      </c>
      <c r="S1187" s="67">
        <f>ROUND(IF(K1187=0,0,M1187*D1187),4)</f>
        <v>0</v>
      </c>
      <c r="T1187" s="67">
        <f>ROUND(+IF(K1187=0,Q1187*D1187,0),4)</f>
        <v>0</v>
      </c>
      <c r="U1187" s="67">
        <f>ROUND(+N1187+R1187+S1187+T1187,4)</f>
        <v>0</v>
      </c>
      <c r="V1187" s="67">
        <f>ROUND(IF(P1187=0,0,I1187-H1187-O1187)+IF(L1187=0,0,I1187-H1187-K1187),4)</f>
        <v>0</v>
      </c>
      <c r="W1187" s="67">
        <f>ROUND(+(V1187*60%)*D1187,4)</f>
        <v>0</v>
      </c>
      <c r="X1187" s="148">
        <f>ROUND(+U1187+W1187,4)</f>
        <v>0</v>
      </c>
      <c r="Y1187" s="68"/>
      <c r="Z1187" s="148">
        <f>ROUND(IF(X1187&gt;I1187,X1187,I1187),4)</f>
        <v>0</v>
      </c>
      <c r="AD1187" s="78">
        <f t="shared" si="14"/>
        <v>0</v>
      </c>
      <c r="AE1187" s="78">
        <f t="shared" si="15"/>
        <v>0</v>
      </c>
    </row>
    <row r="1188" spans="1:31" x14ac:dyDescent="0.2">
      <c r="A1188" s="66"/>
      <c r="B1188" s="66"/>
      <c r="C1188" s="66"/>
      <c r="D1188" s="144"/>
      <c r="E1188" s="67"/>
      <c r="F1188" s="67"/>
      <c r="G1188" s="67"/>
      <c r="H1188" s="67">
        <f>ROUND(+E1188+G1188,4)</f>
        <v>0</v>
      </c>
      <c r="I1188" s="67"/>
      <c r="J1188" s="67">
        <f>ROUND(+I1188-H1188,4)</f>
        <v>0</v>
      </c>
      <c r="K1188" s="67">
        <f>ROUND(IF(F1188="alluminio",0,I1188*1.5%),4)</f>
        <v>0</v>
      </c>
      <c r="L1188" s="67">
        <f>ROUND(IF(K1188&lt;J1188,K1188,0),4)</f>
        <v>0</v>
      </c>
      <c r="M1188" s="67">
        <f>ROUND(IF(J1188&gt;K1188,0,J1188),4)</f>
        <v>0</v>
      </c>
      <c r="N1188" s="67">
        <f>ROUND(+L1188*D1188,4)</f>
        <v>0</v>
      </c>
      <c r="O1188" s="67">
        <f>ROUND(IF(F1188="rame",0,+I1188*3%),4)</f>
        <v>0</v>
      </c>
      <c r="P1188" s="67">
        <f>ROUND(IF(O1188&lt;J1188,O1188,0),4)</f>
        <v>0</v>
      </c>
      <c r="Q1188" s="67">
        <f>ROUND(IF(J1188&gt;O1188,0,J1188),4)</f>
        <v>0</v>
      </c>
      <c r="R1188" s="67">
        <f>ROUND(+P1188*D1188,4)</f>
        <v>0</v>
      </c>
      <c r="S1188" s="67">
        <f>ROUND(IF(K1188=0,0,M1188*D1188),4)</f>
        <v>0</v>
      </c>
      <c r="T1188" s="67">
        <f>ROUND(+IF(K1188=0,Q1188*D1188,0),4)</f>
        <v>0</v>
      </c>
      <c r="U1188" s="67">
        <f>ROUND(+N1188+R1188+S1188+T1188,4)</f>
        <v>0</v>
      </c>
      <c r="V1188" s="67">
        <f>ROUND(IF(P1188=0,0,I1188-H1188-O1188)+IF(L1188=0,0,I1188-H1188-K1188),4)</f>
        <v>0</v>
      </c>
      <c r="W1188" s="67">
        <f>ROUND(+(V1188*60%)*D1188,4)</f>
        <v>0</v>
      </c>
      <c r="X1188" s="148">
        <f>ROUND(+U1188+W1188,4)</f>
        <v>0</v>
      </c>
      <c r="Y1188" s="68"/>
      <c r="Z1188" s="148">
        <f>ROUND(IF(X1188&gt;I1188,X1188,I1188),4)</f>
        <v>0</v>
      </c>
      <c r="AD1188" s="78">
        <f t="shared" si="14"/>
        <v>0</v>
      </c>
      <c r="AE1188" s="78">
        <f t="shared" si="15"/>
        <v>0</v>
      </c>
    </row>
    <row r="1189" spans="1:31" x14ac:dyDescent="0.2">
      <c r="A1189" s="66"/>
      <c r="B1189" s="66"/>
      <c r="C1189" s="66"/>
      <c r="D1189" s="144"/>
      <c r="E1189" s="67"/>
      <c r="F1189" s="67"/>
      <c r="G1189" s="67"/>
      <c r="H1189" s="67">
        <f>ROUND(+E1189+G1189,4)</f>
        <v>0</v>
      </c>
      <c r="I1189" s="67"/>
      <c r="J1189" s="67">
        <f>ROUND(+I1189-H1189,4)</f>
        <v>0</v>
      </c>
      <c r="K1189" s="67">
        <f>ROUND(IF(F1189="alluminio",0,I1189*1.5%),4)</f>
        <v>0</v>
      </c>
      <c r="L1189" s="67">
        <f>ROUND(IF(K1189&lt;J1189,K1189,0),4)</f>
        <v>0</v>
      </c>
      <c r="M1189" s="67">
        <f>ROUND(IF(J1189&gt;K1189,0,J1189),4)</f>
        <v>0</v>
      </c>
      <c r="N1189" s="67">
        <f>ROUND(+L1189*D1189,4)</f>
        <v>0</v>
      </c>
      <c r="O1189" s="67">
        <f>ROUND(IF(F1189="rame",0,+I1189*3%),4)</f>
        <v>0</v>
      </c>
      <c r="P1189" s="67">
        <f>ROUND(IF(O1189&lt;J1189,O1189,0),4)</f>
        <v>0</v>
      </c>
      <c r="Q1189" s="67">
        <f>ROUND(IF(J1189&gt;O1189,0,J1189),4)</f>
        <v>0</v>
      </c>
      <c r="R1189" s="67">
        <f>ROUND(+P1189*D1189,4)</f>
        <v>0</v>
      </c>
      <c r="S1189" s="67">
        <f>ROUND(IF(K1189=0,0,M1189*D1189),4)</f>
        <v>0</v>
      </c>
      <c r="T1189" s="67">
        <f>ROUND(+IF(K1189=0,Q1189*D1189,0),4)</f>
        <v>0</v>
      </c>
      <c r="U1189" s="67">
        <f>ROUND(+N1189+R1189+S1189+T1189,4)</f>
        <v>0</v>
      </c>
      <c r="V1189" s="67">
        <f>ROUND(IF(P1189=0,0,I1189-H1189-O1189)+IF(L1189=0,0,I1189-H1189-K1189),4)</f>
        <v>0</v>
      </c>
      <c r="W1189" s="67">
        <f>ROUND(+(V1189*60%)*D1189,4)</f>
        <v>0</v>
      </c>
      <c r="X1189" s="148">
        <f>ROUND(+U1189+W1189,4)</f>
        <v>0</v>
      </c>
      <c r="Y1189" s="68"/>
      <c r="Z1189" s="148">
        <f>ROUND(IF(X1189&gt;I1189,X1189,I1189),4)</f>
        <v>0</v>
      </c>
      <c r="AD1189" s="78">
        <f t="shared" si="14"/>
        <v>0</v>
      </c>
      <c r="AE1189" s="78">
        <f t="shared" si="15"/>
        <v>0</v>
      </c>
    </row>
    <row r="1190" spans="1:31" x14ac:dyDescent="0.2">
      <c r="A1190" s="66"/>
      <c r="B1190" s="66"/>
      <c r="C1190" s="66"/>
      <c r="D1190" s="144"/>
      <c r="E1190" s="67"/>
      <c r="F1190" s="67"/>
      <c r="G1190" s="67"/>
      <c r="H1190" s="67">
        <f>ROUND(+E1190+G1190,4)</f>
        <v>0</v>
      </c>
      <c r="I1190" s="67"/>
      <c r="J1190" s="67">
        <f>ROUND(+I1190-H1190,4)</f>
        <v>0</v>
      </c>
      <c r="K1190" s="67">
        <f>ROUND(IF(F1190="alluminio",0,I1190*1.5%),4)</f>
        <v>0</v>
      </c>
      <c r="L1190" s="67">
        <f>ROUND(IF(K1190&lt;J1190,K1190,0),4)</f>
        <v>0</v>
      </c>
      <c r="M1190" s="67">
        <f>ROUND(IF(J1190&gt;K1190,0,J1190),4)</f>
        <v>0</v>
      </c>
      <c r="N1190" s="67">
        <f>ROUND(+L1190*D1190,4)</f>
        <v>0</v>
      </c>
      <c r="O1190" s="67">
        <f>ROUND(IF(F1190="rame",0,+I1190*3%),4)</f>
        <v>0</v>
      </c>
      <c r="P1190" s="67">
        <f>ROUND(IF(O1190&lt;J1190,O1190,0),4)</f>
        <v>0</v>
      </c>
      <c r="Q1190" s="67">
        <f>ROUND(IF(J1190&gt;O1190,0,J1190),4)</f>
        <v>0</v>
      </c>
      <c r="R1190" s="67">
        <f>ROUND(+P1190*D1190,4)</f>
        <v>0</v>
      </c>
      <c r="S1190" s="67">
        <f>ROUND(IF(K1190=0,0,M1190*D1190),4)</f>
        <v>0</v>
      </c>
      <c r="T1190" s="67">
        <f>ROUND(+IF(K1190=0,Q1190*D1190,0),4)</f>
        <v>0</v>
      </c>
      <c r="U1190" s="67">
        <f>ROUND(+N1190+R1190+S1190+T1190,4)</f>
        <v>0</v>
      </c>
      <c r="V1190" s="67">
        <f>ROUND(IF(P1190=0,0,I1190-H1190-O1190)+IF(L1190=0,0,I1190-H1190-K1190),4)</f>
        <v>0</v>
      </c>
      <c r="W1190" s="67">
        <f>ROUND(+(V1190*60%)*D1190,4)</f>
        <v>0</v>
      </c>
      <c r="X1190" s="148">
        <f>ROUND(+U1190+W1190,4)</f>
        <v>0</v>
      </c>
      <c r="Y1190" s="68"/>
      <c r="Z1190" s="148">
        <f>ROUND(IF(X1190&gt;I1190,X1190,I1190),4)</f>
        <v>0</v>
      </c>
      <c r="AD1190" s="78">
        <f t="shared" si="14"/>
        <v>0</v>
      </c>
      <c r="AE1190" s="78">
        <f t="shared" si="15"/>
        <v>0</v>
      </c>
    </row>
    <row r="1191" spans="1:31" x14ac:dyDescent="0.2">
      <c r="A1191" s="66"/>
      <c r="B1191" s="66"/>
      <c r="C1191" s="66"/>
      <c r="D1191" s="144"/>
      <c r="E1191" s="67"/>
      <c r="F1191" s="67"/>
      <c r="G1191" s="67"/>
      <c r="H1191" s="67">
        <f>ROUND(+E1191+G1191,4)</f>
        <v>0</v>
      </c>
      <c r="I1191" s="67"/>
      <c r="J1191" s="67">
        <f>ROUND(+I1191-H1191,4)</f>
        <v>0</v>
      </c>
      <c r="K1191" s="67">
        <f>ROUND(IF(F1191="alluminio",0,I1191*1.5%),4)</f>
        <v>0</v>
      </c>
      <c r="L1191" s="67">
        <f>ROUND(IF(K1191&lt;J1191,K1191,0),4)</f>
        <v>0</v>
      </c>
      <c r="M1191" s="67">
        <f>ROUND(IF(J1191&gt;K1191,0,J1191),4)</f>
        <v>0</v>
      </c>
      <c r="N1191" s="67">
        <f>ROUND(+L1191*D1191,4)</f>
        <v>0</v>
      </c>
      <c r="O1191" s="67">
        <f>ROUND(IF(F1191="rame",0,+I1191*3%),4)</f>
        <v>0</v>
      </c>
      <c r="P1191" s="67">
        <f>ROUND(IF(O1191&lt;J1191,O1191,0),4)</f>
        <v>0</v>
      </c>
      <c r="Q1191" s="67">
        <f>ROUND(IF(J1191&gt;O1191,0,J1191),4)</f>
        <v>0</v>
      </c>
      <c r="R1191" s="67">
        <f>ROUND(+P1191*D1191,4)</f>
        <v>0</v>
      </c>
      <c r="S1191" s="67">
        <f>ROUND(IF(K1191=0,0,M1191*D1191),4)</f>
        <v>0</v>
      </c>
      <c r="T1191" s="67">
        <f>ROUND(+IF(K1191=0,Q1191*D1191,0),4)</f>
        <v>0</v>
      </c>
      <c r="U1191" s="67">
        <f>ROUND(+N1191+R1191+S1191+T1191,4)</f>
        <v>0</v>
      </c>
      <c r="V1191" s="67">
        <f>ROUND(IF(P1191=0,0,I1191-H1191-O1191)+IF(L1191=0,0,I1191-H1191-K1191),4)</f>
        <v>0</v>
      </c>
      <c r="W1191" s="67">
        <f>ROUND(+(V1191*60%)*D1191,4)</f>
        <v>0</v>
      </c>
      <c r="X1191" s="148">
        <f>ROUND(+U1191+W1191,4)</f>
        <v>0</v>
      </c>
      <c r="Y1191" s="68"/>
      <c r="Z1191" s="148">
        <f>ROUND(IF(X1191&gt;I1191,X1191,I1191),4)</f>
        <v>0</v>
      </c>
      <c r="AD1191" s="78">
        <f t="shared" si="14"/>
        <v>0</v>
      </c>
      <c r="AE1191" s="78">
        <f t="shared" si="15"/>
        <v>0</v>
      </c>
    </row>
    <row r="1192" spans="1:31" x14ac:dyDescent="0.2">
      <c r="A1192" s="66"/>
      <c r="B1192" s="66"/>
      <c r="C1192" s="66"/>
      <c r="D1192" s="144"/>
      <c r="E1192" s="67"/>
      <c r="F1192" s="67"/>
      <c r="G1192" s="67"/>
      <c r="H1192" s="67">
        <f>ROUND(+E1192+G1192,4)</f>
        <v>0</v>
      </c>
      <c r="I1192" s="67"/>
      <c r="J1192" s="67">
        <f>ROUND(+I1192-H1192,4)</f>
        <v>0</v>
      </c>
      <c r="K1192" s="67">
        <f>ROUND(IF(F1192="alluminio",0,I1192*1.5%),4)</f>
        <v>0</v>
      </c>
      <c r="L1192" s="67">
        <f>ROUND(IF(K1192&lt;J1192,K1192,0),4)</f>
        <v>0</v>
      </c>
      <c r="M1192" s="67">
        <f>ROUND(IF(J1192&gt;K1192,0,J1192),4)</f>
        <v>0</v>
      </c>
      <c r="N1192" s="67">
        <f>ROUND(+L1192*D1192,4)</f>
        <v>0</v>
      </c>
      <c r="O1192" s="67">
        <f>ROUND(IF(F1192="rame",0,+I1192*3%),4)</f>
        <v>0</v>
      </c>
      <c r="P1192" s="67">
        <f>ROUND(IF(O1192&lt;J1192,O1192,0),4)</f>
        <v>0</v>
      </c>
      <c r="Q1192" s="67">
        <f>ROUND(IF(J1192&gt;O1192,0,J1192),4)</f>
        <v>0</v>
      </c>
      <c r="R1192" s="67">
        <f>ROUND(+P1192*D1192,4)</f>
        <v>0</v>
      </c>
      <c r="S1192" s="67">
        <f>ROUND(IF(K1192=0,0,M1192*D1192),4)</f>
        <v>0</v>
      </c>
      <c r="T1192" s="67">
        <f>ROUND(+IF(K1192=0,Q1192*D1192,0),4)</f>
        <v>0</v>
      </c>
      <c r="U1192" s="67">
        <f>ROUND(+N1192+R1192+S1192+T1192,4)</f>
        <v>0</v>
      </c>
      <c r="V1192" s="67">
        <f>ROUND(IF(P1192=0,0,I1192-H1192-O1192)+IF(L1192=0,0,I1192-H1192-K1192),4)</f>
        <v>0</v>
      </c>
      <c r="W1192" s="67">
        <f>ROUND(+(V1192*60%)*D1192,4)</f>
        <v>0</v>
      </c>
      <c r="X1192" s="148">
        <f>ROUND(+U1192+W1192,4)</f>
        <v>0</v>
      </c>
      <c r="Y1192" s="68"/>
      <c r="Z1192" s="148">
        <f>ROUND(IF(X1192&gt;I1192,X1192,I1192),4)</f>
        <v>0</v>
      </c>
      <c r="AD1192" s="78">
        <f t="shared" si="14"/>
        <v>0</v>
      </c>
      <c r="AE1192" s="78">
        <f t="shared" si="15"/>
        <v>0</v>
      </c>
    </row>
    <row r="1193" spans="1:31" x14ac:dyDescent="0.2">
      <c r="A1193" s="66"/>
      <c r="B1193" s="66"/>
      <c r="C1193" s="66"/>
      <c r="D1193" s="144"/>
      <c r="E1193" s="67"/>
      <c r="F1193" s="67"/>
      <c r="G1193" s="67"/>
      <c r="H1193" s="67">
        <f>ROUND(+E1193+G1193,4)</f>
        <v>0</v>
      </c>
      <c r="I1193" s="67"/>
      <c r="J1193" s="67">
        <f>ROUND(+I1193-H1193,4)</f>
        <v>0</v>
      </c>
      <c r="K1193" s="67">
        <f>ROUND(IF(F1193="alluminio",0,I1193*1.5%),4)</f>
        <v>0</v>
      </c>
      <c r="L1193" s="67">
        <f>ROUND(IF(K1193&lt;J1193,K1193,0),4)</f>
        <v>0</v>
      </c>
      <c r="M1193" s="67">
        <f>ROUND(IF(J1193&gt;K1193,0,J1193),4)</f>
        <v>0</v>
      </c>
      <c r="N1193" s="67">
        <f>ROUND(+L1193*D1193,4)</f>
        <v>0</v>
      </c>
      <c r="O1193" s="67">
        <f>ROUND(IF(F1193="rame",0,+I1193*3%),4)</f>
        <v>0</v>
      </c>
      <c r="P1193" s="67">
        <f>ROUND(IF(O1193&lt;J1193,O1193,0),4)</f>
        <v>0</v>
      </c>
      <c r="Q1193" s="67">
        <f>ROUND(IF(J1193&gt;O1193,0,J1193),4)</f>
        <v>0</v>
      </c>
      <c r="R1193" s="67">
        <f>ROUND(+P1193*D1193,4)</f>
        <v>0</v>
      </c>
      <c r="S1193" s="67">
        <f>ROUND(IF(K1193=0,0,M1193*D1193),4)</f>
        <v>0</v>
      </c>
      <c r="T1193" s="67">
        <f>ROUND(+IF(K1193=0,Q1193*D1193,0),4)</f>
        <v>0</v>
      </c>
      <c r="U1193" s="67">
        <f>ROUND(+N1193+R1193+S1193+T1193,4)</f>
        <v>0</v>
      </c>
      <c r="V1193" s="67">
        <f>ROUND(IF(P1193=0,0,I1193-H1193-O1193)+IF(L1193=0,0,I1193-H1193-K1193),4)</f>
        <v>0</v>
      </c>
      <c r="W1193" s="67">
        <f>ROUND(+(V1193*60%)*D1193,4)</f>
        <v>0</v>
      </c>
      <c r="X1193" s="148">
        <f>ROUND(+U1193+W1193,4)</f>
        <v>0</v>
      </c>
      <c r="Y1193" s="68"/>
      <c r="Z1193" s="148">
        <f>ROUND(IF(X1193&gt;I1193,X1193,I1193),4)</f>
        <v>0</v>
      </c>
      <c r="AD1193" s="78">
        <f t="shared" si="14"/>
        <v>0</v>
      </c>
      <c r="AE1193" s="78">
        <f t="shared" si="15"/>
        <v>0</v>
      </c>
    </row>
    <row r="1194" spans="1:31" x14ac:dyDescent="0.2">
      <c r="A1194" s="66"/>
      <c r="B1194" s="66"/>
      <c r="C1194" s="66"/>
      <c r="D1194" s="144"/>
      <c r="E1194" s="67"/>
      <c r="F1194" s="67"/>
      <c r="G1194" s="67"/>
      <c r="H1194" s="67">
        <f>ROUND(+E1194+G1194,4)</f>
        <v>0</v>
      </c>
      <c r="I1194" s="67"/>
      <c r="J1194" s="67">
        <f>ROUND(+I1194-H1194,4)</f>
        <v>0</v>
      </c>
      <c r="K1194" s="67">
        <f>ROUND(IF(F1194="alluminio",0,I1194*1.5%),4)</f>
        <v>0</v>
      </c>
      <c r="L1194" s="67">
        <f>ROUND(IF(K1194&lt;J1194,K1194,0),4)</f>
        <v>0</v>
      </c>
      <c r="M1194" s="67">
        <f>ROUND(IF(J1194&gt;K1194,0,J1194),4)</f>
        <v>0</v>
      </c>
      <c r="N1194" s="67">
        <f>ROUND(+L1194*D1194,4)</f>
        <v>0</v>
      </c>
      <c r="O1194" s="67">
        <f>ROUND(IF(F1194="rame",0,+I1194*3%),4)</f>
        <v>0</v>
      </c>
      <c r="P1194" s="67">
        <f>ROUND(IF(O1194&lt;J1194,O1194,0),4)</f>
        <v>0</v>
      </c>
      <c r="Q1194" s="67">
        <f>ROUND(IF(J1194&gt;O1194,0,J1194),4)</f>
        <v>0</v>
      </c>
      <c r="R1194" s="67">
        <f>ROUND(+P1194*D1194,4)</f>
        <v>0</v>
      </c>
      <c r="S1194" s="67">
        <f>ROUND(IF(K1194=0,0,M1194*D1194),4)</f>
        <v>0</v>
      </c>
      <c r="T1194" s="67">
        <f>ROUND(+IF(K1194=0,Q1194*D1194,0),4)</f>
        <v>0</v>
      </c>
      <c r="U1194" s="67">
        <f>ROUND(+N1194+R1194+S1194+T1194,4)</f>
        <v>0</v>
      </c>
      <c r="V1194" s="67">
        <f>ROUND(IF(P1194=0,0,I1194-H1194-O1194)+IF(L1194=0,0,I1194-H1194-K1194),4)</f>
        <v>0</v>
      </c>
      <c r="W1194" s="67">
        <f>ROUND(+(V1194*60%)*D1194,4)</f>
        <v>0</v>
      </c>
      <c r="X1194" s="148">
        <f>ROUND(+U1194+W1194,4)</f>
        <v>0</v>
      </c>
      <c r="Y1194" s="68"/>
      <c r="Z1194" s="148">
        <f>ROUND(IF(X1194&gt;I1194,X1194,I1194),4)</f>
        <v>0</v>
      </c>
      <c r="AD1194" s="78">
        <f t="shared" si="14"/>
        <v>0</v>
      </c>
      <c r="AE1194" s="78">
        <f t="shared" si="15"/>
        <v>0</v>
      </c>
    </row>
    <row r="1195" spans="1:31" x14ac:dyDescent="0.2">
      <c r="A1195" s="66"/>
      <c r="B1195" s="66"/>
      <c r="C1195" s="66"/>
      <c r="D1195" s="144"/>
      <c r="E1195" s="67"/>
      <c r="F1195" s="67"/>
      <c r="G1195" s="67"/>
      <c r="H1195" s="67">
        <f>ROUND(+E1195+G1195,4)</f>
        <v>0</v>
      </c>
      <c r="I1195" s="67"/>
      <c r="J1195" s="67">
        <f>ROUND(+I1195-H1195,4)</f>
        <v>0</v>
      </c>
      <c r="K1195" s="67">
        <f>ROUND(IF(F1195="alluminio",0,I1195*1.5%),4)</f>
        <v>0</v>
      </c>
      <c r="L1195" s="67">
        <f>ROUND(IF(K1195&lt;J1195,K1195,0),4)</f>
        <v>0</v>
      </c>
      <c r="M1195" s="67">
        <f>ROUND(IF(J1195&gt;K1195,0,J1195),4)</f>
        <v>0</v>
      </c>
      <c r="N1195" s="67">
        <f>ROUND(+L1195*D1195,4)</f>
        <v>0</v>
      </c>
      <c r="O1195" s="67">
        <f>ROUND(IF(F1195="rame",0,+I1195*3%),4)</f>
        <v>0</v>
      </c>
      <c r="P1195" s="67">
        <f>ROUND(IF(O1195&lt;J1195,O1195,0),4)</f>
        <v>0</v>
      </c>
      <c r="Q1195" s="67">
        <f>ROUND(IF(J1195&gt;O1195,0,J1195),4)</f>
        <v>0</v>
      </c>
      <c r="R1195" s="67">
        <f>ROUND(+P1195*D1195,4)</f>
        <v>0</v>
      </c>
      <c r="S1195" s="67">
        <f>ROUND(IF(K1195=0,0,M1195*D1195),4)</f>
        <v>0</v>
      </c>
      <c r="T1195" s="67">
        <f>ROUND(+IF(K1195=0,Q1195*D1195,0),4)</f>
        <v>0</v>
      </c>
      <c r="U1195" s="67">
        <f>ROUND(+N1195+R1195+S1195+T1195,4)</f>
        <v>0</v>
      </c>
      <c r="V1195" s="67">
        <f>ROUND(IF(P1195=0,0,I1195-H1195-O1195)+IF(L1195=0,0,I1195-H1195-K1195),4)</f>
        <v>0</v>
      </c>
      <c r="W1195" s="67">
        <f>ROUND(+(V1195*60%)*D1195,4)</f>
        <v>0</v>
      </c>
      <c r="X1195" s="148">
        <f>ROUND(+U1195+W1195,4)</f>
        <v>0</v>
      </c>
      <c r="Y1195" s="68"/>
      <c r="Z1195" s="148">
        <f>ROUND(IF(X1195&gt;I1195,X1195,I1195),4)</f>
        <v>0</v>
      </c>
      <c r="AD1195" s="78">
        <f t="shared" si="14"/>
        <v>0</v>
      </c>
      <c r="AE1195" s="78">
        <f t="shared" si="15"/>
        <v>0</v>
      </c>
    </row>
    <row r="1196" spans="1:31" x14ac:dyDescent="0.2">
      <c r="A1196" s="66"/>
      <c r="B1196" s="66"/>
      <c r="C1196" s="66"/>
      <c r="D1196" s="144"/>
      <c r="E1196" s="67"/>
      <c r="F1196" s="67"/>
      <c r="G1196" s="67"/>
      <c r="H1196" s="67">
        <f>ROUND(+E1196+G1196,4)</f>
        <v>0</v>
      </c>
      <c r="I1196" s="67"/>
      <c r="J1196" s="67">
        <f>ROUND(+I1196-H1196,4)</f>
        <v>0</v>
      </c>
      <c r="K1196" s="67">
        <f>ROUND(IF(F1196="alluminio",0,I1196*1.5%),4)</f>
        <v>0</v>
      </c>
      <c r="L1196" s="67">
        <f>ROUND(IF(K1196&lt;J1196,K1196,0),4)</f>
        <v>0</v>
      </c>
      <c r="M1196" s="67">
        <f>ROUND(IF(J1196&gt;K1196,0,J1196),4)</f>
        <v>0</v>
      </c>
      <c r="N1196" s="67">
        <f>ROUND(+L1196*D1196,4)</f>
        <v>0</v>
      </c>
      <c r="O1196" s="67">
        <f>ROUND(IF(F1196="rame",0,+I1196*3%),4)</f>
        <v>0</v>
      </c>
      <c r="P1196" s="67">
        <f>ROUND(IF(O1196&lt;J1196,O1196,0),4)</f>
        <v>0</v>
      </c>
      <c r="Q1196" s="67">
        <f>ROUND(IF(J1196&gt;O1196,0,J1196),4)</f>
        <v>0</v>
      </c>
      <c r="R1196" s="67">
        <f>ROUND(+P1196*D1196,4)</f>
        <v>0</v>
      </c>
      <c r="S1196" s="67">
        <f>ROUND(IF(K1196=0,0,M1196*D1196),4)</f>
        <v>0</v>
      </c>
      <c r="T1196" s="67">
        <f>ROUND(+IF(K1196=0,Q1196*D1196,0),4)</f>
        <v>0</v>
      </c>
      <c r="U1196" s="67">
        <f>ROUND(+N1196+R1196+S1196+T1196,4)</f>
        <v>0</v>
      </c>
      <c r="V1196" s="67">
        <f>ROUND(IF(P1196=0,0,I1196-H1196-O1196)+IF(L1196=0,0,I1196-H1196-K1196),4)</f>
        <v>0</v>
      </c>
      <c r="W1196" s="67">
        <f>ROUND(+(V1196*60%)*D1196,4)</f>
        <v>0</v>
      </c>
      <c r="X1196" s="148">
        <f>ROUND(+U1196+W1196,4)</f>
        <v>0</v>
      </c>
      <c r="Y1196" s="68"/>
      <c r="Z1196" s="148">
        <f>ROUND(IF(X1196&gt;I1196,X1196,I1196),4)</f>
        <v>0</v>
      </c>
      <c r="AD1196" s="78">
        <f t="shared" si="14"/>
        <v>0</v>
      </c>
      <c r="AE1196" s="78">
        <f t="shared" si="15"/>
        <v>0</v>
      </c>
    </row>
    <row r="1197" spans="1:31" x14ac:dyDescent="0.2">
      <c r="A1197" s="66"/>
      <c r="B1197" s="66"/>
      <c r="C1197" s="66"/>
      <c r="D1197" s="144"/>
      <c r="E1197" s="67"/>
      <c r="F1197" s="67"/>
      <c r="G1197" s="67"/>
      <c r="H1197" s="67">
        <f>ROUND(+E1197+G1197,4)</f>
        <v>0</v>
      </c>
      <c r="I1197" s="67"/>
      <c r="J1197" s="67">
        <f>ROUND(+I1197-H1197,4)</f>
        <v>0</v>
      </c>
      <c r="K1197" s="67">
        <f>ROUND(IF(F1197="alluminio",0,I1197*1.5%),4)</f>
        <v>0</v>
      </c>
      <c r="L1197" s="67">
        <f>ROUND(IF(K1197&lt;J1197,K1197,0),4)</f>
        <v>0</v>
      </c>
      <c r="M1197" s="67">
        <f>ROUND(IF(J1197&gt;K1197,0,J1197),4)</f>
        <v>0</v>
      </c>
      <c r="N1197" s="67">
        <f>ROUND(+L1197*D1197,4)</f>
        <v>0</v>
      </c>
      <c r="O1197" s="67">
        <f>ROUND(IF(F1197="rame",0,+I1197*3%),4)</f>
        <v>0</v>
      </c>
      <c r="P1197" s="67">
        <f>ROUND(IF(O1197&lt;J1197,O1197,0),4)</f>
        <v>0</v>
      </c>
      <c r="Q1197" s="67">
        <f>ROUND(IF(J1197&gt;O1197,0,J1197),4)</f>
        <v>0</v>
      </c>
      <c r="R1197" s="67">
        <f>ROUND(+P1197*D1197,4)</f>
        <v>0</v>
      </c>
      <c r="S1197" s="67">
        <f>ROUND(IF(K1197=0,0,M1197*D1197),4)</f>
        <v>0</v>
      </c>
      <c r="T1197" s="67">
        <f>ROUND(+IF(K1197=0,Q1197*D1197,0),4)</f>
        <v>0</v>
      </c>
      <c r="U1197" s="67">
        <f>ROUND(+N1197+R1197+S1197+T1197,4)</f>
        <v>0</v>
      </c>
      <c r="V1197" s="67">
        <f>ROUND(IF(P1197=0,0,I1197-H1197-O1197)+IF(L1197=0,0,I1197-H1197-K1197),4)</f>
        <v>0</v>
      </c>
      <c r="W1197" s="67">
        <f>ROUND(+(V1197*60%)*D1197,4)</f>
        <v>0</v>
      </c>
      <c r="X1197" s="148">
        <f>ROUND(+U1197+W1197,4)</f>
        <v>0</v>
      </c>
      <c r="Y1197" s="68"/>
      <c r="Z1197" s="148">
        <f>ROUND(IF(X1197&gt;I1197,X1197,I1197),4)</f>
        <v>0</v>
      </c>
      <c r="AD1197" s="78">
        <f t="shared" si="14"/>
        <v>0</v>
      </c>
      <c r="AE1197" s="78">
        <f t="shared" si="15"/>
        <v>0</v>
      </c>
    </row>
    <row r="1198" spans="1:31" x14ac:dyDescent="0.2">
      <c r="A1198" s="66"/>
      <c r="B1198" s="66"/>
      <c r="C1198" s="66"/>
      <c r="D1198" s="144"/>
      <c r="E1198" s="67"/>
      <c r="F1198" s="67"/>
      <c r="G1198" s="67"/>
      <c r="H1198" s="67">
        <f>ROUND(+E1198+G1198,4)</f>
        <v>0</v>
      </c>
      <c r="I1198" s="67"/>
      <c r="J1198" s="67">
        <f>ROUND(+I1198-H1198,4)</f>
        <v>0</v>
      </c>
      <c r="K1198" s="67">
        <f>ROUND(IF(F1198="alluminio",0,I1198*1.5%),4)</f>
        <v>0</v>
      </c>
      <c r="L1198" s="67">
        <f>ROUND(IF(K1198&lt;J1198,K1198,0),4)</f>
        <v>0</v>
      </c>
      <c r="M1198" s="67">
        <f>ROUND(IF(J1198&gt;K1198,0,J1198),4)</f>
        <v>0</v>
      </c>
      <c r="N1198" s="67">
        <f>ROUND(+L1198*D1198,4)</f>
        <v>0</v>
      </c>
      <c r="O1198" s="67">
        <f>ROUND(IF(F1198="rame",0,+I1198*3%),4)</f>
        <v>0</v>
      </c>
      <c r="P1198" s="67">
        <f>ROUND(IF(O1198&lt;J1198,O1198,0),4)</f>
        <v>0</v>
      </c>
      <c r="Q1198" s="67">
        <f>ROUND(IF(J1198&gt;O1198,0,J1198),4)</f>
        <v>0</v>
      </c>
      <c r="R1198" s="67">
        <f>ROUND(+P1198*D1198,4)</f>
        <v>0</v>
      </c>
      <c r="S1198" s="67">
        <f>ROUND(IF(K1198=0,0,M1198*D1198),4)</f>
        <v>0</v>
      </c>
      <c r="T1198" s="67">
        <f>ROUND(+IF(K1198=0,Q1198*D1198,0),4)</f>
        <v>0</v>
      </c>
      <c r="U1198" s="67">
        <f>ROUND(+N1198+R1198+S1198+T1198,4)</f>
        <v>0</v>
      </c>
      <c r="V1198" s="67">
        <f>ROUND(IF(P1198=0,0,I1198-H1198-O1198)+IF(L1198=0,0,I1198-H1198-K1198),4)</f>
        <v>0</v>
      </c>
      <c r="W1198" s="67">
        <f>ROUND(+(V1198*60%)*D1198,4)</f>
        <v>0</v>
      </c>
      <c r="X1198" s="148">
        <f>ROUND(+U1198+W1198,4)</f>
        <v>0</v>
      </c>
      <c r="Y1198" s="68"/>
      <c r="Z1198" s="148">
        <f>ROUND(IF(X1198&gt;I1198,X1198,I1198),4)</f>
        <v>0</v>
      </c>
      <c r="AD1198" s="78">
        <f t="shared" si="14"/>
        <v>0</v>
      </c>
      <c r="AE1198" s="78">
        <f t="shared" si="15"/>
        <v>0</v>
      </c>
    </row>
    <row r="1199" spans="1:31" x14ac:dyDescent="0.2">
      <c r="A1199" s="66"/>
      <c r="B1199" s="66"/>
      <c r="C1199" s="66"/>
      <c r="D1199" s="144"/>
      <c r="E1199" s="67"/>
      <c r="F1199" s="67"/>
      <c r="G1199" s="67"/>
      <c r="H1199" s="67">
        <f>ROUND(+E1199+G1199,4)</f>
        <v>0</v>
      </c>
      <c r="I1199" s="67"/>
      <c r="J1199" s="67">
        <f>ROUND(+I1199-H1199,4)</f>
        <v>0</v>
      </c>
      <c r="K1199" s="67">
        <f>ROUND(IF(F1199="alluminio",0,I1199*1.5%),4)</f>
        <v>0</v>
      </c>
      <c r="L1199" s="67">
        <f>ROUND(IF(K1199&lt;J1199,K1199,0),4)</f>
        <v>0</v>
      </c>
      <c r="M1199" s="67">
        <f>ROUND(IF(J1199&gt;K1199,0,J1199),4)</f>
        <v>0</v>
      </c>
      <c r="N1199" s="67">
        <f>ROUND(+L1199*D1199,4)</f>
        <v>0</v>
      </c>
      <c r="O1199" s="67">
        <f>ROUND(IF(F1199="rame",0,+I1199*3%),4)</f>
        <v>0</v>
      </c>
      <c r="P1199" s="67">
        <f>ROUND(IF(O1199&lt;J1199,O1199,0),4)</f>
        <v>0</v>
      </c>
      <c r="Q1199" s="67">
        <f>ROUND(IF(J1199&gt;O1199,0,J1199),4)</f>
        <v>0</v>
      </c>
      <c r="R1199" s="67">
        <f>ROUND(+P1199*D1199,4)</f>
        <v>0</v>
      </c>
      <c r="S1199" s="67">
        <f>ROUND(IF(K1199=0,0,M1199*D1199),4)</f>
        <v>0</v>
      </c>
      <c r="T1199" s="67">
        <f>ROUND(+IF(K1199=0,Q1199*D1199,0),4)</f>
        <v>0</v>
      </c>
      <c r="U1199" s="67">
        <f>ROUND(+N1199+R1199+S1199+T1199,4)</f>
        <v>0</v>
      </c>
      <c r="V1199" s="67">
        <f>ROUND(IF(P1199=0,0,I1199-H1199-O1199)+IF(L1199=0,0,I1199-H1199-K1199),4)</f>
        <v>0</v>
      </c>
      <c r="W1199" s="67">
        <f>ROUND(+(V1199*60%)*D1199,4)</f>
        <v>0</v>
      </c>
      <c r="X1199" s="148">
        <f>ROUND(+U1199+W1199,4)</f>
        <v>0</v>
      </c>
      <c r="Y1199" s="68"/>
      <c r="Z1199" s="148">
        <f>ROUND(IF(X1199&gt;I1199,X1199,I1199),4)</f>
        <v>0</v>
      </c>
      <c r="AD1199" s="78">
        <f t="shared" si="14"/>
        <v>0</v>
      </c>
      <c r="AE1199" s="78">
        <f t="shared" si="15"/>
        <v>0</v>
      </c>
    </row>
    <row r="1200" spans="1:31" x14ac:dyDescent="0.2">
      <c r="A1200" s="66"/>
      <c r="B1200" s="66"/>
      <c r="C1200" s="66"/>
      <c r="D1200" s="144"/>
      <c r="E1200" s="67"/>
      <c r="F1200" s="67"/>
      <c r="G1200" s="67"/>
      <c r="H1200" s="67">
        <f>ROUND(+E1200+G1200,4)</f>
        <v>0</v>
      </c>
      <c r="I1200" s="67"/>
      <c r="J1200" s="67">
        <f>ROUND(+I1200-H1200,4)</f>
        <v>0</v>
      </c>
      <c r="K1200" s="67">
        <f>ROUND(IF(F1200="alluminio",0,I1200*1.5%),4)</f>
        <v>0</v>
      </c>
      <c r="L1200" s="67">
        <f>ROUND(IF(K1200&lt;J1200,K1200,0),4)</f>
        <v>0</v>
      </c>
      <c r="M1200" s="67">
        <f>ROUND(IF(J1200&gt;K1200,0,J1200),4)</f>
        <v>0</v>
      </c>
      <c r="N1200" s="67">
        <f>ROUND(+L1200*D1200,4)</f>
        <v>0</v>
      </c>
      <c r="O1200" s="67">
        <f>ROUND(IF(F1200="rame",0,+I1200*3%),4)</f>
        <v>0</v>
      </c>
      <c r="P1200" s="67">
        <f>ROUND(IF(O1200&lt;J1200,O1200,0),4)</f>
        <v>0</v>
      </c>
      <c r="Q1200" s="67">
        <f>ROUND(IF(J1200&gt;O1200,0,J1200),4)</f>
        <v>0</v>
      </c>
      <c r="R1200" s="67">
        <f>ROUND(+P1200*D1200,4)</f>
        <v>0</v>
      </c>
      <c r="S1200" s="67">
        <f>ROUND(IF(K1200=0,0,M1200*D1200),4)</f>
        <v>0</v>
      </c>
      <c r="T1200" s="67">
        <f>ROUND(+IF(K1200=0,Q1200*D1200,0),4)</f>
        <v>0</v>
      </c>
      <c r="U1200" s="67">
        <f>ROUND(+N1200+R1200+S1200+T1200,4)</f>
        <v>0</v>
      </c>
      <c r="V1200" s="67">
        <f>ROUND(IF(P1200=0,0,I1200-H1200-O1200)+IF(L1200=0,0,I1200-H1200-K1200),4)</f>
        <v>0</v>
      </c>
      <c r="W1200" s="67">
        <f>ROUND(+(V1200*60%)*D1200,4)</f>
        <v>0</v>
      </c>
      <c r="X1200" s="148">
        <f>ROUND(+U1200+W1200,4)</f>
        <v>0</v>
      </c>
      <c r="Y1200" s="68"/>
      <c r="Z1200" s="148">
        <f>ROUND(IF(X1200&gt;I1200,X1200,I1200),4)</f>
        <v>0</v>
      </c>
      <c r="AD1200" s="78">
        <f t="shared" si="14"/>
        <v>0</v>
      </c>
      <c r="AE1200" s="78">
        <f t="shared" si="15"/>
        <v>0</v>
      </c>
    </row>
    <row r="1201" spans="1:31" x14ac:dyDescent="0.2">
      <c r="A1201" s="66"/>
      <c r="B1201" s="66"/>
      <c r="C1201" s="66"/>
      <c r="D1201" s="144"/>
      <c r="E1201" s="67"/>
      <c r="F1201" s="67"/>
      <c r="G1201" s="67"/>
      <c r="H1201" s="67">
        <f>ROUND(+E1201+G1201,4)</f>
        <v>0</v>
      </c>
      <c r="I1201" s="67"/>
      <c r="J1201" s="67">
        <f>ROUND(+I1201-H1201,4)</f>
        <v>0</v>
      </c>
      <c r="K1201" s="67">
        <f>ROUND(IF(F1201="alluminio",0,I1201*1.5%),4)</f>
        <v>0</v>
      </c>
      <c r="L1201" s="67">
        <f>ROUND(IF(K1201&lt;J1201,K1201,0),4)</f>
        <v>0</v>
      </c>
      <c r="M1201" s="67">
        <f>ROUND(IF(J1201&gt;K1201,0,J1201),4)</f>
        <v>0</v>
      </c>
      <c r="N1201" s="67">
        <f>ROUND(+L1201*D1201,4)</f>
        <v>0</v>
      </c>
      <c r="O1201" s="67">
        <f>ROUND(IF(F1201="rame",0,+I1201*3%),4)</f>
        <v>0</v>
      </c>
      <c r="P1201" s="67">
        <f>ROUND(IF(O1201&lt;J1201,O1201,0),4)</f>
        <v>0</v>
      </c>
      <c r="Q1201" s="67">
        <f>ROUND(IF(J1201&gt;O1201,0,J1201),4)</f>
        <v>0</v>
      </c>
      <c r="R1201" s="67">
        <f>ROUND(+P1201*D1201,4)</f>
        <v>0</v>
      </c>
      <c r="S1201" s="67">
        <f>ROUND(IF(K1201=0,0,M1201*D1201),4)</f>
        <v>0</v>
      </c>
      <c r="T1201" s="67">
        <f>ROUND(+IF(K1201=0,Q1201*D1201,0),4)</f>
        <v>0</v>
      </c>
      <c r="U1201" s="67">
        <f>ROUND(+N1201+R1201+S1201+T1201,4)</f>
        <v>0</v>
      </c>
      <c r="V1201" s="67">
        <f>ROUND(IF(P1201=0,0,I1201-H1201-O1201)+IF(L1201=0,0,I1201-H1201-K1201),4)</f>
        <v>0</v>
      </c>
      <c r="W1201" s="67">
        <f>ROUND(+(V1201*60%)*D1201,4)</f>
        <v>0</v>
      </c>
      <c r="X1201" s="148">
        <f>ROUND(+U1201+W1201,4)</f>
        <v>0</v>
      </c>
      <c r="Y1201" s="68"/>
      <c r="Z1201" s="148">
        <f>ROUND(IF(X1201&gt;I1201,X1201,I1201),4)</f>
        <v>0</v>
      </c>
      <c r="AD1201" s="78">
        <f t="shared" si="14"/>
        <v>0</v>
      </c>
      <c r="AE1201" s="78">
        <f t="shared" si="15"/>
        <v>0</v>
      </c>
    </row>
    <row r="1202" spans="1:31" x14ac:dyDescent="0.2">
      <c r="A1202" s="66"/>
      <c r="B1202" s="66"/>
      <c r="C1202" s="66"/>
      <c r="D1202" s="144"/>
      <c r="E1202" s="67"/>
      <c r="F1202" s="67"/>
      <c r="G1202" s="67"/>
      <c r="H1202" s="67">
        <f>ROUND(+E1202+G1202,4)</f>
        <v>0</v>
      </c>
      <c r="I1202" s="67"/>
      <c r="J1202" s="67">
        <f>ROUND(+I1202-H1202,4)</f>
        <v>0</v>
      </c>
      <c r="K1202" s="67">
        <f>ROUND(IF(F1202="alluminio",0,I1202*1.5%),4)</f>
        <v>0</v>
      </c>
      <c r="L1202" s="67">
        <f>ROUND(IF(K1202&lt;J1202,K1202,0),4)</f>
        <v>0</v>
      </c>
      <c r="M1202" s="67">
        <f>ROUND(IF(J1202&gt;K1202,0,J1202),4)</f>
        <v>0</v>
      </c>
      <c r="N1202" s="67">
        <f>ROUND(+L1202*D1202,4)</f>
        <v>0</v>
      </c>
      <c r="O1202" s="67">
        <f>ROUND(IF(F1202="rame",0,+I1202*3%),4)</f>
        <v>0</v>
      </c>
      <c r="P1202" s="67">
        <f>ROUND(IF(O1202&lt;J1202,O1202,0),4)</f>
        <v>0</v>
      </c>
      <c r="Q1202" s="67">
        <f>ROUND(IF(J1202&gt;O1202,0,J1202),4)</f>
        <v>0</v>
      </c>
      <c r="R1202" s="67">
        <f>ROUND(+P1202*D1202,4)</f>
        <v>0</v>
      </c>
      <c r="S1202" s="67">
        <f>ROUND(IF(K1202=0,0,M1202*D1202),4)</f>
        <v>0</v>
      </c>
      <c r="T1202" s="67">
        <f>ROUND(+IF(K1202=0,Q1202*D1202,0),4)</f>
        <v>0</v>
      </c>
      <c r="U1202" s="67">
        <f>ROUND(+N1202+R1202+S1202+T1202,4)</f>
        <v>0</v>
      </c>
      <c r="V1202" s="67">
        <f>ROUND(IF(P1202=0,0,I1202-H1202-O1202)+IF(L1202=0,0,I1202-H1202-K1202),4)</f>
        <v>0</v>
      </c>
      <c r="W1202" s="67">
        <f>ROUND(+(V1202*60%)*D1202,4)</f>
        <v>0</v>
      </c>
      <c r="X1202" s="148">
        <f>ROUND(+U1202+W1202,4)</f>
        <v>0</v>
      </c>
      <c r="Y1202" s="68"/>
      <c r="Z1202" s="148">
        <f>ROUND(IF(X1202&gt;I1202,X1202,I1202),4)</f>
        <v>0</v>
      </c>
      <c r="AD1202" s="78">
        <f t="shared" si="14"/>
        <v>0</v>
      </c>
      <c r="AE1202" s="78">
        <f t="shared" si="15"/>
        <v>0</v>
      </c>
    </row>
    <row r="1203" spans="1:31" x14ac:dyDescent="0.2">
      <c r="A1203" s="66"/>
      <c r="B1203" s="66"/>
      <c r="C1203" s="66"/>
      <c r="D1203" s="144"/>
      <c r="E1203" s="67"/>
      <c r="F1203" s="67"/>
      <c r="G1203" s="67"/>
      <c r="H1203" s="67">
        <f>ROUND(+E1203+G1203,4)</f>
        <v>0</v>
      </c>
      <c r="I1203" s="67"/>
      <c r="J1203" s="67">
        <f>ROUND(+I1203-H1203,4)</f>
        <v>0</v>
      </c>
      <c r="K1203" s="67">
        <f>ROUND(IF(F1203="alluminio",0,I1203*1.5%),4)</f>
        <v>0</v>
      </c>
      <c r="L1203" s="67">
        <f>ROUND(IF(K1203&lt;J1203,K1203,0),4)</f>
        <v>0</v>
      </c>
      <c r="M1203" s="67">
        <f>ROUND(IF(J1203&gt;K1203,0,J1203),4)</f>
        <v>0</v>
      </c>
      <c r="N1203" s="67">
        <f>ROUND(+L1203*D1203,4)</f>
        <v>0</v>
      </c>
      <c r="O1203" s="67">
        <f>ROUND(IF(F1203="rame",0,+I1203*3%),4)</f>
        <v>0</v>
      </c>
      <c r="P1203" s="67">
        <f>ROUND(IF(O1203&lt;J1203,O1203,0),4)</f>
        <v>0</v>
      </c>
      <c r="Q1203" s="67">
        <f>ROUND(IF(J1203&gt;O1203,0,J1203),4)</f>
        <v>0</v>
      </c>
      <c r="R1203" s="67">
        <f>ROUND(+P1203*D1203,4)</f>
        <v>0</v>
      </c>
      <c r="S1203" s="67">
        <f>ROUND(IF(K1203=0,0,M1203*D1203),4)</f>
        <v>0</v>
      </c>
      <c r="T1203" s="67">
        <f>ROUND(+IF(K1203=0,Q1203*D1203,0),4)</f>
        <v>0</v>
      </c>
      <c r="U1203" s="67">
        <f>ROUND(+N1203+R1203+S1203+T1203,4)</f>
        <v>0</v>
      </c>
      <c r="V1203" s="67">
        <f>ROUND(IF(P1203=0,0,I1203-H1203-O1203)+IF(L1203=0,0,I1203-H1203-K1203),4)</f>
        <v>0</v>
      </c>
      <c r="W1203" s="67">
        <f>ROUND(+(V1203*60%)*D1203,4)</f>
        <v>0</v>
      </c>
      <c r="X1203" s="148">
        <f>ROUND(+U1203+W1203,4)</f>
        <v>0</v>
      </c>
      <c r="Y1203" s="68"/>
      <c r="Z1203" s="148">
        <f>ROUND(IF(X1203&gt;I1203,X1203,I1203),4)</f>
        <v>0</v>
      </c>
      <c r="AD1203" s="78">
        <f t="shared" si="14"/>
        <v>0</v>
      </c>
      <c r="AE1203" s="78">
        <f t="shared" si="15"/>
        <v>0</v>
      </c>
    </row>
    <row r="1204" spans="1:31" x14ac:dyDescent="0.2">
      <c r="A1204" s="66"/>
      <c r="B1204" s="66"/>
      <c r="C1204" s="66"/>
      <c r="D1204" s="144"/>
      <c r="E1204" s="67"/>
      <c r="F1204" s="67"/>
      <c r="G1204" s="67"/>
      <c r="H1204" s="67">
        <f>ROUND(+E1204+G1204,4)</f>
        <v>0</v>
      </c>
      <c r="I1204" s="67"/>
      <c r="J1204" s="67">
        <f>ROUND(+I1204-H1204,4)</f>
        <v>0</v>
      </c>
      <c r="K1204" s="67">
        <f>ROUND(IF(F1204="alluminio",0,I1204*1.5%),4)</f>
        <v>0</v>
      </c>
      <c r="L1204" s="67">
        <f>ROUND(IF(K1204&lt;J1204,K1204,0),4)</f>
        <v>0</v>
      </c>
      <c r="M1204" s="67">
        <f>ROUND(IF(J1204&gt;K1204,0,J1204),4)</f>
        <v>0</v>
      </c>
      <c r="N1204" s="67">
        <f>ROUND(+L1204*D1204,4)</f>
        <v>0</v>
      </c>
      <c r="O1204" s="67">
        <f>ROUND(IF(F1204="rame",0,+I1204*3%),4)</f>
        <v>0</v>
      </c>
      <c r="P1204" s="67">
        <f>ROUND(IF(O1204&lt;J1204,O1204,0),4)</f>
        <v>0</v>
      </c>
      <c r="Q1204" s="67">
        <f>ROUND(IF(J1204&gt;O1204,0,J1204),4)</f>
        <v>0</v>
      </c>
      <c r="R1204" s="67">
        <f>ROUND(+P1204*D1204,4)</f>
        <v>0</v>
      </c>
      <c r="S1204" s="67">
        <f>ROUND(IF(K1204=0,0,M1204*D1204),4)</f>
        <v>0</v>
      </c>
      <c r="T1204" s="67">
        <f>ROUND(+IF(K1204=0,Q1204*D1204,0),4)</f>
        <v>0</v>
      </c>
      <c r="U1204" s="67">
        <f>ROUND(+N1204+R1204+S1204+T1204,4)</f>
        <v>0</v>
      </c>
      <c r="V1204" s="67">
        <f>ROUND(IF(P1204=0,0,I1204-H1204-O1204)+IF(L1204=0,0,I1204-H1204-K1204),4)</f>
        <v>0</v>
      </c>
      <c r="W1204" s="67">
        <f>ROUND(+(V1204*60%)*D1204,4)</f>
        <v>0</v>
      </c>
      <c r="X1204" s="148">
        <f>ROUND(+U1204+W1204,4)</f>
        <v>0</v>
      </c>
      <c r="Y1204" s="68"/>
      <c r="Z1204" s="148">
        <f>ROUND(IF(X1204&gt;I1204,X1204,I1204),4)</f>
        <v>0</v>
      </c>
      <c r="AD1204" s="78">
        <f t="shared" si="14"/>
        <v>0</v>
      </c>
      <c r="AE1204" s="78">
        <f t="shared" si="15"/>
        <v>0</v>
      </c>
    </row>
    <row r="1205" spans="1:31" x14ac:dyDescent="0.2">
      <c r="A1205" s="66"/>
      <c r="B1205" s="66"/>
      <c r="C1205" s="66"/>
      <c r="D1205" s="144"/>
      <c r="E1205" s="67"/>
      <c r="F1205" s="67"/>
      <c r="G1205" s="67"/>
      <c r="H1205" s="67">
        <f>ROUND(+E1205+G1205,4)</f>
        <v>0</v>
      </c>
      <c r="I1205" s="67"/>
      <c r="J1205" s="67">
        <f>ROUND(+I1205-H1205,4)</f>
        <v>0</v>
      </c>
      <c r="K1205" s="67">
        <f>ROUND(IF(F1205="alluminio",0,I1205*1.5%),4)</f>
        <v>0</v>
      </c>
      <c r="L1205" s="67">
        <f>ROUND(IF(K1205&lt;J1205,K1205,0),4)</f>
        <v>0</v>
      </c>
      <c r="M1205" s="67">
        <f>ROUND(IF(J1205&gt;K1205,0,J1205),4)</f>
        <v>0</v>
      </c>
      <c r="N1205" s="67">
        <f>ROUND(+L1205*D1205,4)</f>
        <v>0</v>
      </c>
      <c r="O1205" s="67">
        <f>ROUND(IF(F1205="rame",0,+I1205*3%),4)</f>
        <v>0</v>
      </c>
      <c r="P1205" s="67">
        <f>ROUND(IF(O1205&lt;J1205,O1205,0),4)</f>
        <v>0</v>
      </c>
      <c r="Q1205" s="67">
        <f>ROUND(IF(J1205&gt;O1205,0,J1205),4)</f>
        <v>0</v>
      </c>
      <c r="R1205" s="67">
        <f>ROUND(+P1205*D1205,4)</f>
        <v>0</v>
      </c>
      <c r="S1205" s="67">
        <f>ROUND(IF(K1205=0,0,M1205*D1205),4)</f>
        <v>0</v>
      </c>
      <c r="T1205" s="67">
        <f>ROUND(+IF(K1205=0,Q1205*D1205,0),4)</f>
        <v>0</v>
      </c>
      <c r="U1205" s="67">
        <f>ROUND(+N1205+R1205+S1205+T1205,4)</f>
        <v>0</v>
      </c>
      <c r="V1205" s="67">
        <f>ROUND(IF(P1205=0,0,I1205-H1205-O1205)+IF(L1205=0,0,I1205-H1205-K1205),4)</f>
        <v>0</v>
      </c>
      <c r="W1205" s="67">
        <f>ROUND(+(V1205*60%)*D1205,4)</f>
        <v>0</v>
      </c>
      <c r="X1205" s="148">
        <f>ROUND(+U1205+W1205,4)</f>
        <v>0</v>
      </c>
      <c r="Y1205" s="68"/>
      <c r="Z1205" s="148">
        <f>ROUND(IF(X1205&gt;I1205,X1205,I1205),4)</f>
        <v>0</v>
      </c>
      <c r="AD1205" s="78">
        <f t="shared" si="14"/>
        <v>0</v>
      </c>
      <c r="AE1205" s="78">
        <f t="shared" si="15"/>
        <v>0</v>
      </c>
    </row>
    <row r="1206" spans="1:31" x14ac:dyDescent="0.2">
      <c r="A1206" s="66"/>
      <c r="B1206" s="66"/>
      <c r="C1206" s="66"/>
      <c r="D1206" s="144"/>
      <c r="E1206" s="67"/>
      <c r="F1206" s="67"/>
      <c r="G1206" s="67"/>
      <c r="H1206" s="67">
        <f>ROUND(+E1206+G1206,4)</f>
        <v>0</v>
      </c>
      <c r="I1206" s="67"/>
      <c r="J1206" s="67">
        <f>ROUND(+I1206-H1206,4)</f>
        <v>0</v>
      </c>
      <c r="K1206" s="67">
        <f>ROUND(IF(F1206="alluminio",0,I1206*1.5%),4)</f>
        <v>0</v>
      </c>
      <c r="L1206" s="67">
        <f>ROUND(IF(K1206&lt;J1206,K1206,0),4)</f>
        <v>0</v>
      </c>
      <c r="M1206" s="67">
        <f>ROUND(IF(J1206&gt;K1206,0,J1206),4)</f>
        <v>0</v>
      </c>
      <c r="N1206" s="67">
        <f>ROUND(+L1206*D1206,4)</f>
        <v>0</v>
      </c>
      <c r="O1206" s="67">
        <f>ROUND(IF(F1206="rame",0,+I1206*3%),4)</f>
        <v>0</v>
      </c>
      <c r="P1206" s="67">
        <f>ROUND(IF(O1206&lt;J1206,O1206,0),4)</f>
        <v>0</v>
      </c>
      <c r="Q1206" s="67">
        <f>ROUND(IF(J1206&gt;O1206,0,J1206),4)</f>
        <v>0</v>
      </c>
      <c r="R1206" s="67">
        <f>ROUND(+P1206*D1206,4)</f>
        <v>0</v>
      </c>
      <c r="S1206" s="67">
        <f>ROUND(IF(K1206=0,0,M1206*D1206),4)</f>
        <v>0</v>
      </c>
      <c r="T1206" s="67">
        <f>ROUND(+IF(K1206=0,Q1206*D1206,0),4)</f>
        <v>0</v>
      </c>
      <c r="U1206" s="67">
        <f>ROUND(+N1206+R1206+S1206+T1206,4)</f>
        <v>0</v>
      </c>
      <c r="V1206" s="67">
        <f>ROUND(IF(P1206=0,0,I1206-H1206-O1206)+IF(L1206=0,0,I1206-H1206-K1206),4)</f>
        <v>0</v>
      </c>
      <c r="W1206" s="67">
        <f>ROUND(+(V1206*60%)*D1206,4)</f>
        <v>0</v>
      </c>
      <c r="X1206" s="148">
        <f>ROUND(+U1206+W1206,4)</f>
        <v>0</v>
      </c>
      <c r="Y1206" s="68"/>
      <c r="Z1206" s="148">
        <f>ROUND(IF(X1206&gt;I1206,X1206,I1206),4)</f>
        <v>0</v>
      </c>
      <c r="AD1206" s="78">
        <f t="shared" si="14"/>
        <v>0</v>
      </c>
      <c r="AE1206" s="78">
        <f t="shared" si="15"/>
        <v>0</v>
      </c>
    </row>
    <row r="1207" spans="1:31" x14ac:dyDescent="0.2">
      <c r="A1207" s="66"/>
      <c r="B1207" s="66"/>
      <c r="C1207" s="66"/>
      <c r="D1207" s="144"/>
      <c r="E1207" s="67"/>
      <c r="F1207" s="67"/>
      <c r="G1207" s="67"/>
      <c r="H1207" s="67">
        <f>ROUND(+E1207+G1207,4)</f>
        <v>0</v>
      </c>
      <c r="I1207" s="67"/>
      <c r="J1207" s="67">
        <f>ROUND(+I1207-H1207,4)</f>
        <v>0</v>
      </c>
      <c r="K1207" s="67">
        <f>ROUND(IF(F1207="alluminio",0,I1207*1.5%),4)</f>
        <v>0</v>
      </c>
      <c r="L1207" s="67">
        <f>ROUND(IF(K1207&lt;J1207,K1207,0),4)</f>
        <v>0</v>
      </c>
      <c r="M1207" s="67">
        <f>ROUND(IF(J1207&gt;K1207,0,J1207),4)</f>
        <v>0</v>
      </c>
      <c r="N1207" s="67">
        <f>ROUND(+L1207*D1207,4)</f>
        <v>0</v>
      </c>
      <c r="O1207" s="67">
        <f>ROUND(IF(F1207="rame",0,+I1207*3%),4)</f>
        <v>0</v>
      </c>
      <c r="P1207" s="67">
        <f>ROUND(IF(O1207&lt;J1207,O1207,0),4)</f>
        <v>0</v>
      </c>
      <c r="Q1207" s="67">
        <f>ROUND(IF(J1207&gt;O1207,0,J1207),4)</f>
        <v>0</v>
      </c>
      <c r="R1207" s="67">
        <f>ROUND(+P1207*D1207,4)</f>
        <v>0</v>
      </c>
      <c r="S1207" s="67">
        <f>ROUND(IF(K1207=0,0,M1207*D1207),4)</f>
        <v>0</v>
      </c>
      <c r="T1207" s="67">
        <f>ROUND(+IF(K1207=0,Q1207*D1207,0),4)</f>
        <v>0</v>
      </c>
      <c r="U1207" s="67">
        <f>ROUND(+N1207+R1207+S1207+T1207,4)</f>
        <v>0</v>
      </c>
      <c r="V1207" s="67">
        <f>ROUND(IF(P1207=0,0,I1207-H1207-O1207)+IF(L1207=0,0,I1207-H1207-K1207),4)</f>
        <v>0</v>
      </c>
      <c r="W1207" s="67">
        <f>ROUND(+(V1207*60%)*D1207,4)</f>
        <v>0</v>
      </c>
      <c r="X1207" s="148">
        <f>ROUND(+U1207+W1207,4)</f>
        <v>0</v>
      </c>
      <c r="Y1207" s="68"/>
      <c r="Z1207" s="148">
        <f>ROUND(IF(X1207&gt;I1207,X1207,I1207),4)</f>
        <v>0</v>
      </c>
      <c r="AD1207" s="78">
        <f t="shared" si="14"/>
        <v>0</v>
      </c>
      <c r="AE1207" s="78">
        <f t="shared" si="15"/>
        <v>0</v>
      </c>
    </row>
    <row r="1208" spans="1:31" x14ac:dyDescent="0.2">
      <c r="A1208" s="66"/>
      <c r="B1208" s="66"/>
      <c r="C1208" s="66"/>
      <c r="D1208" s="144"/>
      <c r="E1208" s="67"/>
      <c r="F1208" s="67"/>
      <c r="G1208" s="67"/>
      <c r="H1208" s="67">
        <f>ROUND(+E1208+G1208,4)</f>
        <v>0</v>
      </c>
      <c r="I1208" s="67"/>
      <c r="J1208" s="67">
        <f>ROUND(+I1208-H1208,4)</f>
        <v>0</v>
      </c>
      <c r="K1208" s="67">
        <f>ROUND(IF(F1208="alluminio",0,I1208*1.5%),4)</f>
        <v>0</v>
      </c>
      <c r="L1208" s="67">
        <f>ROUND(IF(K1208&lt;J1208,K1208,0),4)</f>
        <v>0</v>
      </c>
      <c r="M1208" s="67">
        <f>ROUND(IF(J1208&gt;K1208,0,J1208),4)</f>
        <v>0</v>
      </c>
      <c r="N1208" s="67">
        <f>ROUND(+L1208*D1208,4)</f>
        <v>0</v>
      </c>
      <c r="O1208" s="67">
        <f>ROUND(IF(F1208="rame",0,+I1208*3%),4)</f>
        <v>0</v>
      </c>
      <c r="P1208" s="67">
        <f>ROUND(IF(O1208&lt;J1208,O1208,0),4)</f>
        <v>0</v>
      </c>
      <c r="Q1208" s="67">
        <f>ROUND(IF(J1208&gt;O1208,0,J1208),4)</f>
        <v>0</v>
      </c>
      <c r="R1208" s="67">
        <f>ROUND(+P1208*D1208,4)</f>
        <v>0</v>
      </c>
      <c r="S1208" s="67">
        <f>ROUND(IF(K1208=0,0,M1208*D1208),4)</f>
        <v>0</v>
      </c>
      <c r="T1208" s="67">
        <f>ROUND(+IF(K1208=0,Q1208*D1208,0),4)</f>
        <v>0</v>
      </c>
      <c r="U1208" s="67">
        <f>ROUND(+N1208+R1208+S1208+T1208,4)</f>
        <v>0</v>
      </c>
      <c r="V1208" s="67">
        <f>ROUND(IF(P1208=0,0,I1208-H1208-O1208)+IF(L1208=0,0,I1208-H1208-K1208),4)</f>
        <v>0</v>
      </c>
      <c r="W1208" s="67">
        <f>ROUND(+(V1208*60%)*D1208,4)</f>
        <v>0</v>
      </c>
      <c r="X1208" s="148">
        <f>ROUND(+U1208+W1208,4)</f>
        <v>0</v>
      </c>
      <c r="Y1208" s="68"/>
      <c r="Z1208" s="148">
        <f>ROUND(IF(X1208&gt;I1208,X1208,I1208),4)</f>
        <v>0</v>
      </c>
      <c r="AD1208" s="78">
        <f t="shared" si="14"/>
        <v>0</v>
      </c>
      <c r="AE1208" s="78">
        <f t="shared" si="15"/>
        <v>0</v>
      </c>
    </row>
    <row r="1209" spans="1:31" x14ac:dyDescent="0.2">
      <c r="A1209" s="66"/>
      <c r="B1209" s="66"/>
      <c r="C1209" s="66"/>
      <c r="D1209" s="144"/>
      <c r="E1209" s="67"/>
      <c r="F1209" s="67"/>
      <c r="G1209" s="67"/>
      <c r="H1209" s="67">
        <f>ROUND(+E1209+G1209,4)</f>
        <v>0</v>
      </c>
      <c r="I1209" s="67"/>
      <c r="J1209" s="67">
        <f>ROUND(+I1209-H1209,4)</f>
        <v>0</v>
      </c>
      <c r="K1209" s="67">
        <f>ROUND(IF(F1209="alluminio",0,I1209*1.5%),4)</f>
        <v>0</v>
      </c>
      <c r="L1209" s="67">
        <f>ROUND(IF(K1209&lt;J1209,K1209,0),4)</f>
        <v>0</v>
      </c>
      <c r="M1209" s="67">
        <f>ROUND(IF(J1209&gt;K1209,0,J1209),4)</f>
        <v>0</v>
      </c>
      <c r="N1209" s="67">
        <f>ROUND(+L1209*D1209,4)</f>
        <v>0</v>
      </c>
      <c r="O1209" s="67">
        <f>ROUND(IF(F1209="rame",0,+I1209*3%),4)</f>
        <v>0</v>
      </c>
      <c r="P1209" s="67">
        <f>ROUND(IF(O1209&lt;J1209,O1209,0),4)</f>
        <v>0</v>
      </c>
      <c r="Q1209" s="67">
        <f>ROUND(IF(J1209&gt;O1209,0,J1209),4)</f>
        <v>0</v>
      </c>
      <c r="R1209" s="67">
        <f>ROUND(+P1209*D1209,4)</f>
        <v>0</v>
      </c>
      <c r="S1209" s="67">
        <f>ROUND(IF(K1209=0,0,M1209*D1209),4)</f>
        <v>0</v>
      </c>
      <c r="T1209" s="67">
        <f>ROUND(+IF(K1209=0,Q1209*D1209,0),4)</f>
        <v>0</v>
      </c>
      <c r="U1209" s="67">
        <f>ROUND(+N1209+R1209+S1209+T1209,4)</f>
        <v>0</v>
      </c>
      <c r="V1209" s="67">
        <f>ROUND(IF(P1209=0,0,I1209-H1209-O1209)+IF(L1209=0,0,I1209-H1209-K1209),4)</f>
        <v>0</v>
      </c>
      <c r="W1209" s="67">
        <f>ROUND(+(V1209*60%)*D1209,4)</f>
        <v>0</v>
      </c>
      <c r="X1209" s="148">
        <f>ROUND(+U1209+W1209,4)</f>
        <v>0</v>
      </c>
      <c r="Y1209" s="68"/>
      <c r="Z1209" s="148">
        <f>ROUND(IF(X1209&gt;I1209,X1209,I1209),4)</f>
        <v>0</v>
      </c>
      <c r="AD1209" s="78">
        <f t="shared" si="14"/>
        <v>0</v>
      </c>
      <c r="AE1209" s="78">
        <f t="shared" si="15"/>
        <v>0</v>
      </c>
    </row>
    <row r="1210" spans="1:31" x14ac:dyDescent="0.2">
      <c r="A1210" s="66"/>
      <c r="B1210" s="66"/>
      <c r="C1210" s="66"/>
      <c r="D1210" s="144"/>
      <c r="E1210" s="67"/>
      <c r="F1210" s="67"/>
      <c r="G1210" s="67"/>
      <c r="H1210" s="67">
        <f>ROUND(+E1210+G1210,4)</f>
        <v>0</v>
      </c>
      <c r="I1210" s="67"/>
      <c r="J1210" s="67">
        <f>ROUND(+I1210-H1210,4)</f>
        <v>0</v>
      </c>
      <c r="K1210" s="67">
        <f>ROUND(IF(F1210="alluminio",0,I1210*1.5%),4)</f>
        <v>0</v>
      </c>
      <c r="L1210" s="67">
        <f>ROUND(IF(K1210&lt;J1210,K1210,0),4)</f>
        <v>0</v>
      </c>
      <c r="M1210" s="67">
        <f>ROUND(IF(J1210&gt;K1210,0,J1210),4)</f>
        <v>0</v>
      </c>
      <c r="N1210" s="67">
        <f>ROUND(+L1210*D1210,4)</f>
        <v>0</v>
      </c>
      <c r="O1210" s="67">
        <f>ROUND(IF(F1210="rame",0,+I1210*3%),4)</f>
        <v>0</v>
      </c>
      <c r="P1210" s="67">
        <f>ROUND(IF(O1210&lt;J1210,O1210,0),4)</f>
        <v>0</v>
      </c>
      <c r="Q1210" s="67">
        <f>ROUND(IF(J1210&gt;O1210,0,J1210),4)</f>
        <v>0</v>
      </c>
      <c r="R1210" s="67">
        <f>ROUND(+P1210*D1210,4)</f>
        <v>0</v>
      </c>
      <c r="S1210" s="67">
        <f>ROUND(IF(K1210=0,0,M1210*D1210),4)</f>
        <v>0</v>
      </c>
      <c r="T1210" s="67">
        <f>ROUND(+IF(K1210=0,Q1210*D1210,0),4)</f>
        <v>0</v>
      </c>
      <c r="U1210" s="67">
        <f>ROUND(+N1210+R1210+S1210+T1210,4)</f>
        <v>0</v>
      </c>
      <c r="V1210" s="67">
        <f>ROUND(IF(P1210=0,0,I1210-H1210-O1210)+IF(L1210=0,0,I1210-H1210-K1210),4)</f>
        <v>0</v>
      </c>
      <c r="W1210" s="67">
        <f>ROUND(+(V1210*60%)*D1210,4)</f>
        <v>0</v>
      </c>
      <c r="X1210" s="148">
        <f>ROUND(+U1210+W1210,4)</f>
        <v>0</v>
      </c>
      <c r="Y1210" s="68"/>
      <c r="Z1210" s="148">
        <f>ROUND(IF(X1210&gt;I1210,X1210,I1210),4)</f>
        <v>0</v>
      </c>
      <c r="AD1210" s="78">
        <f t="shared" si="14"/>
        <v>0</v>
      </c>
      <c r="AE1210" s="78">
        <f t="shared" si="15"/>
        <v>0</v>
      </c>
    </row>
    <row r="1211" spans="1:31" x14ac:dyDescent="0.2">
      <c r="A1211" s="66"/>
      <c r="B1211" s="66"/>
      <c r="C1211" s="66"/>
      <c r="D1211" s="144"/>
      <c r="E1211" s="67"/>
      <c r="F1211" s="67"/>
      <c r="G1211" s="67"/>
      <c r="H1211" s="67">
        <f>ROUND(+E1211+G1211,4)</f>
        <v>0</v>
      </c>
      <c r="I1211" s="67"/>
      <c r="J1211" s="67">
        <f>ROUND(+I1211-H1211,4)</f>
        <v>0</v>
      </c>
      <c r="K1211" s="67">
        <f>ROUND(IF(F1211="alluminio",0,I1211*1.5%),4)</f>
        <v>0</v>
      </c>
      <c r="L1211" s="67">
        <f>ROUND(IF(K1211&lt;J1211,K1211,0),4)</f>
        <v>0</v>
      </c>
      <c r="M1211" s="67">
        <f>ROUND(IF(J1211&gt;K1211,0,J1211),4)</f>
        <v>0</v>
      </c>
      <c r="N1211" s="67">
        <f>ROUND(+L1211*D1211,4)</f>
        <v>0</v>
      </c>
      <c r="O1211" s="67">
        <f>ROUND(IF(F1211="rame",0,+I1211*3%),4)</f>
        <v>0</v>
      </c>
      <c r="P1211" s="67">
        <f>ROUND(IF(O1211&lt;J1211,O1211,0),4)</f>
        <v>0</v>
      </c>
      <c r="Q1211" s="67">
        <f>ROUND(IF(J1211&gt;O1211,0,J1211),4)</f>
        <v>0</v>
      </c>
      <c r="R1211" s="67">
        <f>ROUND(+P1211*D1211,4)</f>
        <v>0</v>
      </c>
      <c r="S1211" s="67">
        <f>ROUND(IF(K1211=0,0,M1211*D1211),4)</f>
        <v>0</v>
      </c>
      <c r="T1211" s="67">
        <f>ROUND(+IF(K1211=0,Q1211*D1211,0),4)</f>
        <v>0</v>
      </c>
      <c r="U1211" s="67">
        <f>ROUND(+N1211+R1211+S1211+T1211,4)</f>
        <v>0</v>
      </c>
      <c r="V1211" s="67">
        <f>ROUND(IF(P1211=0,0,I1211-H1211-O1211)+IF(L1211=0,0,I1211-H1211-K1211),4)</f>
        <v>0</v>
      </c>
      <c r="W1211" s="67">
        <f>ROUND(+(V1211*60%)*D1211,4)</f>
        <v>0</v>
      </c>
      <c r="X1211" s="148">
        <f>ROUND(+U1211+W1211,4)</f>
        <v>0</v>
      </c>
      <c r="Y1211" s="68"/>
      <c r="Z1211" s="148">
        <f>ROUND(IF(X1211&gt;I1211,X1211,I1211),4)</f>
        <v>0</v>
      </c>
      <c r="AD1211" s="78">
        <f t="shared" si="14"/>
        <v>0</v>
      </c>
      <c r="AE1211" s="78">
        <f t="shared" si="15"/>
        <v>0</v>
      </c>
    </row>
    <row r="1212" spans="1:31" x14ac:dyDescent="0.2">
      <c r="A1212" s="66"/>
      <c r="B1212" s="66"/>
      <c r="C1212" s="66"/>
      <c r="D1212" s="144"/>
      <c r="E1212" s="67"/>
      <c r="F1212" s="67"/>
      <c r="G1212" s="67"/>
      <c r="H1212" s="67">
        <f>ROUND(+E1212+G1212,4)</f>
        <v>0</v>
      </c>
      <c r="I1212" s="67"/>
      <c r="J1212" s="67">
        <f>ROUND(+I1212-H1212,4)</f>
        <v>0</v>
      </c>
      <c r="K1212" s="67">
        <f>ROUND(IF(F1212="alluminio",0,I1212*1.5%),4)</f>
        <v>0</v>
      </c>
      <c r="L1212" s="67">
        <f>ROUND(IF(K1212&lt;J1212,K1212,0),4)</f>
        <v>0</v>
      </c>
      <c r="M1212" s="67">
        <f>ROUND(IF(J1212&gt;K1212,0,J1212),4)</f>
        <v>0</v>
      </c>
      <c r="N1212" s="67">
        <f>ROUND(+L1212*D1212,4)</f>
        <v>0</v>
      </c>
      <c r="O1212" s="67">
        <f>ROUND(IF(F1212="rame",0,+I1212*3%),4)</f>
        <v>0</v>
      </c>
      <c r="P1212" s="67">
        <f>ROUND(IF(O1212&lt;J1212,O1212,0),4)</f>
        <v>0</v>
      </c>
      <c r="Q1212" s="67">
        <f>ROUND(IF(J1212&gt;O1212,0,J1212),4)</f>
        <v>0</v>
      </c>
      <c r="R1212" s="67">
        <f>ROUND(+P1212*D1212,4)</f>
        <v>0</v>
      </c>
      <c r="S1212" s="67">
        <f>ROUND(IF(K1212=0,0,M1212*D1212),4)</f>
        <v>0</v>
      </c>
      <c r="T1212" s="67">
        <f>ROUND(+IF(K1212=0,Q1212*D1212,0),4)</f>
        <v>0</v>
      </c>
      <c r="U1212" s="67">
        <f>ROUND(+N1212+R1212+S1212+T1212,4)</f>
        <v>0</v>
      </c>
      <c r="V1212" s="67">
        <f>ROUND(IF(P1212=0,0,I1212-H1212-O1212)+IF(L1212=0,0,I1212-H1212-K1212),4)</f>
        <v>0</v>
      </c>
      <c r="W1212" s="67">
        <f>ROUND(+(V1212*60%)*D1212,4)</f>
        <v>0</v>
      </c>
      <c r="X1212" s="148">
        <f>ROUND(+U1212+W1212,4)</f>
        <v>0</v>
      </c>
      <c r="Y1212" s="68"/>
      <c r="Z1212" s="148">
        <f>ROUND(IF(X1212&gt;I1212,X1212,I1212),4)</f>
        <v>0</v>
      </c>
      <c r="AD1212" s="78">
        <f t="shared" si="14"/>
        <v>0</v>
      </c>
      <c r="AE1212" s="78">
        <f t="shared" si="15"/>
        <v>0</v>
      </c>
    </row>
    <row r="1213" spans="1:31" x14ac:dyDescent="0.2">
      <c r="A1213" s="66"/>
      <c r="B1213" s="66"/>
      <c r="C1213" s="66"/>
      <c r="D1213" s="144"/>
      <c r="E1213" s="67"/>
      <c r="F1213" s="67"/>
      <c r="G1213" s="67"/>
      <c r="H1213" s="67">
        <f>ROUND(+E1213+G1213,4)</f>
        <v>0</v>
      </c>
      <c r="I1213" s="67"/>
      <c r="J1213" s="67">
        <f>ROUND(+I1213-H1213,4)</f>
        <v>0</v>
      </c>
      <c r="K1213" s="67">
        <f>ROUND(IF(F1213="alluminio",0,I1213*1.5%),4)</f>
        <v>0</v>
      </c>
      <c r="L1213" s="67">
        <f>ROUND(IF(K1213&lt;J1213,K1213,0),4)</f>
        <v>0</v>
      </c>
      <c r="M1213" s="67">
        <f>ROUND(IF(J1213&gt;K1213,0,J1213),4)</f>
        <v>0</v>
      </c>
      <c r="N1213" s="67">
        <f>ROUND(+L1213*D1213,4)</f>
        <v>0</v>
      </c>
      <c r="O1213" s="67">
        <f>ROUND(IF(F1213="rame",0,+I1213*3%),4)</f>
        <v>0</v>
      </c>
      <c r="P1213" s="67">
        <f>ROUND(IF(O1213&lt;J1213,O1213,0),4)</f>
        <v>0</v>
      </c>
      <c r="Q1213" s="67">
        <f>ROUND(IF(J1213&gt;O1213,0,J1213),4)</f>
        <v>0</v>
      </c>
      <c r="R1213" s="67">
        <f>ROUND(+P1213*D1213,4)</f>
        <v>0</v>
      </c>
      <c r="S1213" s="67">
        <f>ROUND(IF(K1213=0,0,M1213*D1213),4)</f>
        <v>0</v>
      </c>
      <c r="T1213" s="67">
        <f>ROUND(+IF(K1213=0,Q1213*D1213,0),4)</f>
        <v>0</v>
      </c>
      <c r="U1213" s="67">
        <f>ROUND(+N1213+R1213+S1213+T1213,4)</f>
        <v>0</v>
      </c>
      <c r="V1213" s="67">
        <f>ROUND(IF(P1213=0,0,I1213-H1213-O1213)+IF(L1213=0,0,I1213-H1213-K1213),4)</f>
        <v>0</v>
      </c>
      <c r="W1213" s="67">
        <f>ROUND(+(V1213*60%)*D1213,4)</f>
        <v>0</v>
      </c>
      <c r="X1213" s="148">
        <f>ROUND(+U1213+W1213,4)</f>
        <v>0</v>
      </c>
      <c r="Y1213" s="68"/>
      <c r="Z1213" s="148">
        <f>ROUND(IF(X1213&gt;I1213,X1213,I1213),4)</f>
        <v>0</v>
      </c>
      <c r="AD1213" s="78">
        <f t="shared" si="14"/>
        <v>0</v>
      </c>
      <c r="AE1213" s="78">
        <f t="shared" si="15"/>
        <v>0</v>
      </c>
    </row>
    <row r="1214" spans="1:31" x14ac:dyDescent="0.2">
      <c r="A1214" s="66"/>
      <c r="B1214" s="66"/>
      <c r="C1214" s="66"/>
      <c r="D1214" s="144"/>
      <c r="E1214" s="67"/>
      <c r="F1214" s="67"/>
      <c r="G1214" s="67"/>
      <c r="H1214" s="67">
        <f>ROUND(+E1214+G1214,4)</f>
        <v>0</v>
      </c>
      <c r="I1214" s="67"/>
      <c r="J1214" s="67">
        <f>ROUND(+I1214-H1214,4)</f>
        <v>0</v>
      </c>
      <c r="K1214" s="67">
        <f>ROUND(IF(F1214="alluminio",0,I1214*1.5%),4)</f>
        <v>0</v>
      </c>
      <c r="L1214" s="67">
        <f>ROUND(IF(K1214&lt;J1214,K1214,0),4)</f>
        <v>0</v>
      </c>
      <c r="M1214" s="67">
        <f>ROUND(IF(J1214&gt;K1214,0,J1214),4)</f>
        <v>0</v>
      </c>
      <c r="N1214" s="67">
        <f>ROUND(+L1214*D1214,4)</f>
        <v>0</v>
      </c>
      <c r="O1214" s="67">
        <f>ROUND(IF(F1214="rame",0,+I1214*3%),4)</f>
        <v>0</v>
      </c>
      <c r="P1214" s="67">
        <f>ROUND(IF(O1214&lt;J1214,O1214,0),4)</f>
        <v>0</v>
      </c>
      <c r="Q1214" s="67">
        <f>ROUND(IF(J1214&gt;O1214,0,J1214),4)</f>
        <v>0</v>
      </c>
      <c r="R1214" s="67">
        <f>ROUND(+P1214*D1214,4)</f>
        <v>0</v>
      </c>
      <c r="S1214" s="67">
        <f>ROUND(IF(K1214=0,0,M1214*D1214),4)</f>
        <v>0</v>
      </c>
      <c r="T1214" s="67">
        <f>ROUND(+IF(K1214=0,Q1214*D1214,0),4)</f>
        <v>0</v>
      </c>
      <c r="U1214" s="67">
        <f>ROUND(+N1214+R1214+S1214+T1214,4)</f>
        <v>0</v>
      </c>
      <c r="V1214" s="67">
        <f>ROUND(IF(P1214=0,0,I1214-H1214-O1214)+IF(L1214=0,0,I1214-H1214-K1214),4)</f>
        <v>0</v>
      </c>
      <c r="W1214" s="67">
        <f>ROUND(+(V1214*60%)*D1214,4)</f>
        <v>0</v>
      </c>
      <c r="X1214" s="148">
        <f>ROUND(+U1214+W1214,4)</f>
        <v>0</v>
      </c>
      <c r="Y1214" s="68"/>
      <c r="Z1214" s="148">
        <f>ROUND(IF(X1214&gt;I1214,X1214,I1214),4)</f>
        <v>0</v>
      </c>
      <c r="AD1214" s="78">
        <f t="shared" ref="AD1214:AD1277" si="16">IF(Y1214="",0,MONTH(Y1214))</f>
        <v>0</v>
      </c>
      <c r="AE1214" s="78">
        <f t="shared" ref="AE1214:AE1277" si="17">IF(Y1214="",0,YEAR(Y1214))</f>
        <v>0</v>
      </c>
    </row>
    <row r="1215" spans="1:31" x14ac:dyDescent="0.2">
      <c r="A1215" s="66"/>
      <c r="B1215" s="66"/>
      <c r="C1215" s="66"/>
      <c r="D1215" s="144"/>
      <c r="E1215" s="67"/>
      <c r="F1215" s="67"/>
      <c r="G1215" s="67"/>
      <c r="H1215" s="67">
        <f>ROUND(+E1215+G1215,4)</f>
        <v>0</v>
      </c>
      <c r="I1215" s="67"/>
      <c r="J1215" s="67">
        <f>ROUND(+I1215-H1215,4)</f>
        <v>0</v>
      </c>
      <c r="K1215" s="67">
        <f>ROUND(IF(F1215="alluminio",0,I1215*1.5%),4)</f>
        <v>0</v>
      </c>
      <c r="L1215" s="67">
        <f>ROUND(IF(K1215&lt;J1215,K1215,0),4)</f>
        <v>0</v>
      </c>
      <c r="M1215" s="67">
        <f>ROUND(IF(J1215&gt;K1215,0,J1215),4)</f>
        <v>0</v>
      </c>
      <c r="N1215" s="67">
        <f>ROUND(+L1215*D1215,4)</f>
        <v>0</v>
      </c>
      <c r="O1215" s="67">
        <f>ROUND(IF(F1215="rame",0,+I1215*3%),4)</f>
        <v>0</v>
      </c>
      <c r="P1215" s="67">
        <f>ROUND(IF(O1215&lt;J1215,O1215,0),4)</f>
        <v>0</v>
      </c>
      <c r="Q1215" s="67">
        <f>ROUND(IF(J1215&gt;O1215,0,J1215),4)</f>
        <v>0</v>
      </c>
      <c r="R1215" s="67">
        <f>ROUND(+P1215*D1215,4)</f>
        <v>0</v>
      </c>
      <c r="S1215" s="67">
        <f>ROUND(IF(K1215=0,0,M1215*D1215),4)</f>
        <v>0</v>
      </c>
      <c r="T1215" s="67">
        <f>ROUND(+IF(K1215=0,Q1215*D1215,0),4)</f>
        <v>0</v>
      </c>
      <c r="U1215" s="67">
        <f>ROUND(+N1215+R1215+S1215+T1215,4)</f>
        <v>0</v>
      </c>
      <c r="V1215" s="67">
        <f>ROUND(IF(P1215=0,0,I1215-H1215-O1215)+IF(L1215=0,0,I1215-H1215-K1215),4)</f>
        <v>0</v>
      </c>
      <c r="W1215" s="67">
        <f>ROUND(+(V1215*60%)*D1215,4)</f>
        <v>0</v>
      </c>
      <c r="X1215" s="148">
        <f>ROUND(+U1215+W1215,4)</f>
        <v>0</v>
      </c>
      <c r="Y1215" s="68"/>
      <c r="Z1215" s="148">
        <f>ROUND(IF(X1215&gt;I1215,X1215,I1215),4)</f>
        <v>0</v>
      </c>
      <c r="AD1215" s="78">
        <f t="shared" si="16"/>
        <v>0</v>
      </c>
      <c r="AE1215" s="78">
        <f t="shared" si="17"/>
        <v>0</v>
      </c>
    </row>
    <row r="1216" spans="1:31" x14ac:dyDescent="0.2">
      <c r="A1216" s="66"/>
      <c r="B1216" s="66"/>
      <c r="C1216" s="66"/>
      <c r="D1216" s="144"/>
      <c r="E1216" s="67"/>
      <c r="F1216" s="67"/>
      <c r="G1216" s="67"/>
      <c r="H1216" s="67">
        <f>ROUND(+E1216+G1216,4)</f>
        <v>0</v>
      </c>
      <c r="I1216" s="67"/>
      <c r="J1216" s="67">
        <f>ROUND(+I1216-H1216,4)</f>
        <v>0</v>
      </c>
      <c r="K1216" s="67">
        <f>ROUND(IF(F1216="alluminio",0,I1216*1.5%),4)</f>
        <v>0</v>
      </c>
      <c r="L1216" s="67">
        <f>ROUND(IF(K1216&lt;J1216,K1216,0),4)</f>
        <v>0</v>
      </c>
      <c r="M1216" s="67">
        <f>ROUND(IF(J1216&gt;K1216,0,J1216),4)</f>
        <v>0</v>
      </c>
      <c r="N1216" s="67">
        <f>ROUND(+L1216*D1216,4)</f>
        <v>0</v>
      </c>
      <c r="O1216" s="67">
        <f>ROUND(IF(F1216="rame",0,+I1216*3%),4)</f>
        <v>0</v>
      </c>
      <c r="P1216" s="67">
        <f>ROUND(IF(O1216&lt;J1216,O1216,0),4)</f>
        <v>0</v>
      </c>
      <c r="Q1216" s="67">
        <f>ROUND(IF(J1216&gt;O1216,0,J1216),4)</f>
        <v>0</v>
      </c>
      <c r="R1216" s="67">
        <f>ROUND(+P1216*D1216,4)</f>
        <v>0</v>
      </c>
      <c r="S1216" s="67">
        <f>ROUND(IF(K1216=0,0,M1216*D1216),4)</f>
        <v>0</v>
      </c>
      <c r="T1216" s="67">
        <f>ROUND(+IF(K1216=0,Q1216*D1216,0),4)</f>
        <v>0</v>
      </c>
      <c r="U1216" s="67">
        <f>ROUND(+N1216+R1216+S1216+T1216,4)</f>
        <v>0</v>
      </c>
      <c r="V1216" s="67">
        <f>ROUND(IF(P1216=0,0,I1216-H1216-O1216)+IF(L1216=0,0,I1216-H1216-K1216),4)</f>
        <v>0</v>
      </c>
      <c r="W1216" s="67">
        <f>ROUND(+(V1216*60%)*D1216,4)</f>
        <v>0</v>
      </c>
      <c r="X1216" s="148">
        <f>ROUND(+U1216+W1216,4)</f>
        <v>0</v>
      </c>
      <c r="Y1216" s="68"/>
      <c r="Z1216" s="148">
        <f>ROUND(IF(X1216&gt;I1216,X1216,I1216),4)</f>
        <v>0</v>
      </c>
      <c r="AD1216" s="78">
        <f t="shared" si="16"/>
        <v>0</v>
      </c>
      <c r="AE1216" s="78">
        <f t="shared" si="17"/>
        <v>0</v>
      </c>
    </row>
    <row r="1217" spans="1:31" x14ac:dyDescent="0.2">
      <c r="A1217" s="66"/>
      <c r="B1217" s="66"/>
      <c r="C1217" s="66"/>
      <c r="D1217" s="144"/>
      <c r="E1217" s="67"/>
      <c r="F1217" s="67"/>
      <c r="G1217" s="67"/>
      <c r="H1217" s="67">
        <f>ROUND(+E1217+G1217,4)</f>
        <v>0</v>
      </c>
      <c r="I1217" s="67"/>
      <c r="J1217" s="67">
        <f>ROUND(+I1217-H1217,4)</f>
        <v>0</v>
      </c>
      <c r="K1217" s="67">
        <f>ROUND(IF(F1217="alluminio",0,I1217*1.5%),4)</f>
        <v>0</v>
      </c>
      <c r="L1217" s="67">
        <f>ROUND(IF(K1217&lt;J1217,K1217,0),4)</f>
        <v>0</v>
      </c>
      <c r="M1217" s="67">
        <f>ROUND(IF(J1217&gt;K1217,0,J1217),4)</f>
        <v>0</v>
      </c>
      <c r="N1217" s="67">
        <f>ROUND(+L1217*D1217,4)</f>
        <v>0</v>
      </c>
      <c r="O1217" s="67">
        <f>ROUND(IF(F1217="rame",0,+I1217*3%),4)</f>
        <v>0</v>
      </c>
      <c r="P1217" s="67">
        <f>ROUND(IF(O1217&lt;J1217,O1217,0),4)</f>
        <v>0</v>
      </c>
      <c r="Q1217" s="67">
        <f>ROUND(IF(J1217&gt;O1217,0,J1217),4)</f>
        <v>0</v>
      </c>
      <c r="R1217" s="67">
        <f>ROUND(+P1217*D1217,4)</f>
        <v>0</v>
      </c>
      <c r="S1217" s="67">
        <f>ROUND(IF(K1217=0,0,M1217*D1217),4)</f>
        <v>0</v>
      </c>
      <c r="T1217" s="67">
        <f>ROUND(+IF(K1217=0,Q1217*D1217,0),4)</f>
        <v>0</v>
      </c>
      <c r="U1217" s="67">
        <f>ROUND(+N1217+R1217+S1217+T1217,4)</f>
        <v>0</v>
      </c>
      <c r="V1217" s="67">
        <f>ROUND(IF(P1217=0,0,I1217-H1217-O1217)+IF(L1217=0,0,I1217-H1217-K1217),4)</f>
        <v>0</v>
      </c>
      <c r="W1217" s="67">
        <f>ROUND(+(V1217*60%)*D1217,4)</f>
        <v>0</v>
      </c>
      <c r="X1217" s="148">
        <f>ROUND(+U1217+W1217,4)</f>
        <v>0</v>
      </c>
      <c r="Y1217" s="68"/>
      <c r="Z1217" s="148">
        <f>ROUND(IF(X1217&gt;I1217,X1217,I1217),4)</f>
        <v>0</v>
      </c>
      <c r="AD1217" s="78">
        <f t="shared" si="16"/>
        <v>0</v>
      </c>
      <c r="AE1217" s="78">
        <f t="shared" si="17"/>
        <v>0</v>
      </c>
    </row>
    <row r="1218" spans="1:31" x14ac:dyDescent="0.2">
      <c r="A1218" s="66"/>
      <c r="B1218" s="66"/>
      <c r="C1218" s="66"/>
      <c r="D1218" s="144"/>
      <c r="E1218" s="67"/>
      <c r="F1218" s="67"/>
      <c r="G1218" s="67"/>
      <c r="H1218" s="67">
        <f>ROUND(+E1218+G1218,4)</f>
        <v>0</v>
      </c>
      <c r="I1218" s="67"/>
      <c r="J1218" s="67">
        <f>ROUND(+I1218-H1218,4)</f>
        <v>0</v>
      </c>
      <c r="K1218" s="67">
        <f>ROUND(IF(F1218="alluminio",0,I1218*1.5%),4)</f>
        <v>0</v>
      </c>
      <c r="L1218" s="67">
        <f>ROUND(IF(K1218&lt;J1218,K1218,0),4)</f>
        <v>0</v>
      </c>
      <c r="M1218" s="67">
        <f>ROUND(IF(J1218&gt;K1218,0,J1218),4)</f>
        <v>0</v>
      </c>
      <c r="N1218" s="67">
        <f>ROUND(+L1218*D1218,4)</f>
        <v>0</v>
      </c>
      <c r="O1218" s="67">
        <f>ROUND(IF(F1218="rame",0,+I1218*3%),4)</f>
        <v>0</v>
      </c>
      <c r="P1218" s="67">
        <f>ROUND(IF(O1218&lt;J1218,O1218,0),4)</f>
        <v>0</v>
      </c>
      <c r="Q1218" s="67">
        <f>ROUND(IF(J1218&gt;O1218,0,J1218),4)</f>
        <v>0</v>
      </c>
      <c r="R1218" s="67">
        <f>ROUND(+P1218*D1218,4)</f>
        <v>0</v>
      </c>
      <c r="S1218" s="67">
        <f>ROUND(IF(K1218=0,0,M1218*D1218),4)</f>
        <v>0</v>
      </c>
      <c r="T1218" s="67">
        <f>ROUND(+IF(K1218=0,Q1218*D1218,0),4)</f>
        <v>0</v>
      </c>
      <c r="U1218" s="67">
        <f>ROUND(+N1218+R1218+S1218+T1218,4)</f>
        <v>0</v>
      </c>
      <c r="V1218" s="67">
        <f>ROUND(IF(P1218=0,0,I1218-H1218-O1218)+IF(L1218=0,0,I1218-H1218-K1218),4)</f>
        <v>0</v>
      </c>
      <c r="W1218" s="67">
        <f>ROUND(+(V1218*60%)*D1218,4)</f>
        <v>0</v>
      </c>
      <c r="X1218" s="148">
        <f>ROUND(+U1218+W1218,4)</f>
        <v>0</v>
      </c>
      <c r="Y1218" s="68"/>
      <c r="Z1218" s="148">
        <f>ROUND(IF(X1218&gt;I1218,X1218,I1218),4)</f>
        <v>0</v>
      </c>
      <c r="AD1218" s="78">
        <f t="shared" si="16"/>
        <v>0</v>
      </c>
      <c r="AE1218" s="78">
        <f t="shared" si="17"/>
        <v>0</v>
      </c>
    </row>
    <row r="1219" spans="1:31" x14ac:dyDescent="0.2">
      <c r="A1219" s="66"/>
      <c r="B1219" s="66"/>
      <c r="C1219" s="66"/>
      <c r="D1219" s="144"/>
      <c r="E1219" s="67"/>
      <c r="F1219" s="67"/>
      <c r="G1219" s="67"/>
      <c r="H1219" s="67">
        <f>ROUND(+E1219+G1219,4)</f>
        <v>0</v>
      </c>
      <c r="I1219" s="67"/>
      <c r="J1219" s="67">
        <f>ROUND(+I1219-H1219,4)</f>
        <v>0</v>
      </c>
      <c r="K1219" s="67">
        <f>ROUND(IF(F1219="alluminio",0,I1219*1.5%),4)</f>
        <v>0</v>
      </c>
      <c r="L1219" s="67">
        <f>ROUND(IF(K1219&lt;J1219,K1219,0),4)</f>
        <v>0</v>
      </c>
      <c r="M1219" s="67">
        <f>ROUND(IF(J1219&gt;K1219,0,J1219),4)</f>
        <v>0</v>
      </c>
      <c r="N1219" s="67">
        <f>ROUND(+L1219*D1219,4)</f>
        <v>0</v>
      </c>
      <c r="O1219" s="67">
        <f>ROUND(IF(F1219="rame",0,+I1219*3%),4)</f>
        <v>0</v>
      </c>
      <c r="P1219" s="67">
        <f>ROUND(IF(O1219&lt;J1219,O1219,0),4)</f>
        <v>0</v>
      </c>
      <c r="Q1219" s="67">
        <f>ROUND(IF(J1219&gt;O1219,0,J1219),4)</f>
        <v>0</v>
      </c>
      <c r="R1219" s="67">
        <f>ROUND(+P1219*D1219,4)</f>
        <v>0</v>
      </c>
      <c r="S1219" s="67">
        <f>ROUND(IF(K1219=0,0,M1219*D1219),4)</f>
        <v>0</v>
      </c>
      <c r="T1219" s="67">
        <f>ROUND(+IF(K1219=0,Q1219*D1219,0),4)</f>
        <v>0</v>
      </c>
      <c r="U1219" s="67">
        <f>ROUND(+N1219+R1219+S1219+T1219,4)</f>
        <v>0</v>
      </c>
      <c r="V1219" s="67">
        <f>ROUND(IF(P1219=0,0,I1219-H1219-O1219)+IF(L1219=0,0,I1219-H1219-K1219),4)</f>
        <v>0</v>
      </c>
      <c r="W1219" s="67">
        <f>ROUND(+(V1219*60%)*D1219,4)</f>
        <v>0</v>
      </c>
      <c r="X1219" s="148">
        <f>ROUND(+U1219+W1219,4)</f>
        <v>0</v>
      </c>
      <c r="Y1219" s="68"/>
      <c r="Z1219" s="148">
        <f>ROUND(IF(X1219&gt;I1219,X1219,I1219),4)</f>
        <v>0</v>
      </c>
      <c r="AD1219" s="78">
        <f t="shared" si="16"/>
        <v>0</v>
      </c>
      <c r="AE1219" s="78">
        <f t="shared" si="17"/>
        <v>0</v>
      </c>
    </row>
    <row r="1220" spans="1:31" x14ac:dyDescent="0.2">
      <c r="A1220" s="66"/>
      <c r="B1220" s="66"/>
      <c r="C1220" s="66"/>
      <c r="D1220" s="144"/>
      <c r="E1220" s="67"/>
      <c r="F1220" s="67"/>
      <c r="G1220" s="67"/>
      <c r="H1220" s="67">
        <f>ROUND(+E1220+G1220,4)</f>
        <v>0</v>
      </c>
      <c r="I1220" s="67"/>
      <c r="J1220" s="67">
        <f>ROUND(+I1220-H1220,4)</f>
        <v>0</v>
      </c>
      <c r="K1220" s="67">
        <f>ROUND(IF(F1220="alluminio",0,I1220*1.5%),4)</f>
        <v>0</v>
      </c>
      <c r="L1220" s="67">
        <f>ROUND(IF(K1220&lt;J1220,K1220,0),4)</f>
        <v>0</v>
      </c>
      <c r="M1220" s="67">
        <f>ROUND(IF(J1220&gt;K1220,0,J1220),4)</f>
        <v>0</v>
      </c>
      <c r="N1220" s="67">
        <f>ROUND(+L1220*D1220,4)</f>
        <v>0</v>
      </c>
      <c r="O1220" s="67">
        <f>ROUND(IF(F1220="rame",0,+I1220*3%),4)</f>
        <v>0</v>
      </c>
      <c r="P1220" s="67">
        <f>ROUND(IF(O1220&lt;J1220,O1220,0),4)</f>
        <v>0</v>
      </c>
      <c r="Q1220" s="67">
        <f>ROUND(IF(J1220&gt;O1220,0,J1220),4)</f>
        <v>0</v>
      </c>
      <c r="R1220" s="67">
        <f>ROUND(+P1220*D1220,4)</f>
        <v>0</v>
      </c>
      <c r="S1220" s="67">
        <f>ROUND(IF(K1220=0,0,M1220*D1220),4)</f>
        <v>0</v>
      </c>
      <c r="T1220" s="67">
        <f>ROUND(+IF(K1220=0,Q1220*D1220,0),4)</f>
        <v>0</v>
      </c>
      <c r="U1220" s="67">
        <f>ROUND(+N1220+R1220+S1220+T1220,4)</f>
        <v>0</v>
      </c>
      <c r="V1220" s="67">
        <f>ROUND(IF(P1220=0,0,I1220-H1220-O1220)+IF(L1220=0,0,I1220-H1220-K1220),4)</f>
        <v>0</v>
      </c>
      <c r="W1220" s="67">
        <f>ROUND(+(V1220*60%)*D1220,4)</f>
        <v>0</v>
      </c>
      <c r="X1220" s="148">
        <f>ROUND(+U1220+W1220,4)</f>
        <v>0</v>
      </c>
      <c r="Y1220" s="68"/>
      <c r="Z1220" s="148">
        <f>ROUND(IF(X1220&gt;I1220,X1220,I1220),4)</f>
        <v>0</v>
      </c>
      <c r="AD1220" s="78">
        <f t="shared" si="16"/>
        <v>0</v>
      </c>
      <c r="AE1220" s="78">
        <f t="shared" si="17"/>
        <v>0</v>
      </c>
    </row>
    <row r="1221" spans="1:31" x14ac:dyDescent="0.2">
      <c r="A1221" s="66"/>
      <c r="B1221" s="66"/>
      <c r="C1221" s="66"/>
      <c r="D1221" s="144"/>
      <c r="E1221" s="67"/>
      <c r="F1221" s="67"/>
      <c r="G1221" s="67"/>
      <c r="H1221" s="67">
        <f>ROUND(+E1221+G1221,4)</f>
        <v>0</v>
      </c>
      <c r="I1221" s="67"/>
      <c r="J1221" s="67">
        <f>ROUND(+I1221-H1221,4)</f>
        <v>0</v>
      </c>
      <c r="K1221" s="67">
        <f>ROUND(IF(F1221="alluminio",0,I1221*1.5%),4)</f>
        <v>0</v>
      </c>
      <c r="L1221" s="67">
        <f>ROUND(IF(K1221&lt;J1221,K1221,0),4)</f>
        <v>0</v>
      </c>
      <c r="M1221" s="67">
        <f>ROUND(IF(J1221&gt;K1221,0,J1221),4)</f>
        <v>0</v>
      </c>
      <c r="N1221" s="67">
        <f>ROUND(+L1221*D1221,4)</f>
        <v>0</v>
      </c>
      <c r="O1221" s="67">
        <f>ROUND(IF(F1221="rame",0,+I1221*3%),4)</f>
        <v>0</v>
      </c>
      <c r="P1221" s="67">
        <f>ROUND(IF(O1221&lt;J1221,O1221,0),4)</f>
        <v>0</v>
      </c>
      <c r="Q1221" s="67">
        <f>ROUND(IF(J1221&gt;O1221,0,J1221),4)</f>
        <v>0</v>
      </c>
      <c r="R1221" s="67">
        <f>ROUND(+P1221*D1221,4)</f>
        <v>0</v>
      </c>
      <c r="S1221" s="67">
        <f>ROUND(IF(K1221=0,0,M1221*D1221),4)</f>
        <v>0</v>
      </c>
      <c r="T1221" s="67">
        <f>ROUND(+IF(K1221=0,Q1221*D1221,0),4)</f>
        <v>0</v>
      </c>
      <c r="U1221" s="67">
        <f>ROUND(+N1221+R1221+S1221+T1221,4)</f>
        <v>0</v>
      </c>
      <c r="V1221" s="67">
        <f>ROUND(IF(P1221=0,0,I1221-H1221-O1221)+IF(L1221=0,0,I1221-H1221-K1221),4)</f>
        <v>0</v>
      </c>
      <c r="W1221" s="67">
        <f>ROUND(+(V1221*60%)*D1221,4)</f>
        <v>0</v>
      </c>
      <c r="X1221" s="148">
        <f>ROUND(+U1221+W1221,4)</f>
        <v>0</v>
      </c>
      <c r="Y1221" s="68"/>
      <c r="Z1221" s="148">
        <f>ROUND(IF(X1221&gt;I1221,X1221,I1221),4)</f>
        <v>0</v>
      </c>
      <c r="AD1221" s="78">
        <f t="shared" si="16"/>
        <v>0</v>
      </c>
      <c r="AE1221" s="78">
        <f t="shared" si="17"/>
        <v>0</v>
      </c>
    </row>
    <row r="1222" spans="1:31" x14ac:dyDescent="0.2">
      <c r="A1222" s="66"/>
      <c r="B1222" s="66"/>
      <c r="C1222" s="66"/>
      <c r="D1222" s="144"/>
      <c r="E1222" s="67"/>
      <c r="F1222" s="67"/>
      <c r="G1222" s="67"/>
      <c r="H1222" s="67">
        <f>ROUND(+E1222+G1222,4)</f>
        <v>0</v>
      </c>
      <c r="I1222" s="67"/>
      <c r="J1222" s="67">
        <f>ROUND(+I1222-H1222,4)</f>
        <v>0</v>
      </c>
      <c r="K1222" s="67">
        <f>ROUND(IF(F1222="alluminio",0,I1222*1.5%),4)</f>
        <v>0</v>
      </c>
      <c r="L1222" s="67">
        <f>ROUND(IF(K1222&lt;J1222,K1222,0),4)</f>
        <v>0</v>
      </c>
      <c r="M1222" s="67">
        <f>ROUND(IF(J1222&gt;K1222,0,J1222),4)</f>
        <v>0</v>
      </c>
      <c r="N1222" s="67">
        <f>ROUND(+L1222*D1222,4)</f>
        <v>0</v>
      </c>
      <c r="O1222" s="67">
        <f>ROUND(IF(F1222="rame",0,+I1222*3%),4)</f>
        <v>0</v>
      </c>
      <c r="P1222" s="67">
        <f>ROUND(IF(O1222&lt;J1222,O1222,0),4)</f>
        <v>0</v>
      </c>
      <c r="Q1222" s="67">
        <f>ROUND(IF(J1222&gt;O1222,0,J1222),4)</f>
        <v>0</v>
      </c>
      <c r="R1222" s="67">
        <f>ROUND(+P1222*D1222,4)</f>
        <v>0</v>
      </c>
      <c r="S1222" s="67">
        <f>ROUND(IF(K1222=0,0,M1222*D1222),4)</f>
        <v>0</v>
      </c>
      <c r="T1222" s="67">
        <f>ROUND(+IF(K1222=0,Q1222*D1222,0),4)</f>
        <v>0</v>
      </c>
      <c r="U1222" s="67">
        <f>ROUND(+N1222+R1222+S1222+T1222,4)</f>
        <v>0</v>
      </c>
      <c r="V1222" s="67">
        <f>ROUND(IF(P1222=0,0,I1222-H1222-O1222)+IF(L1222=0,0,I1222-H1222-K1222),4)</f>
        <v>0</v>
      </c>
      <c r="W1222" s="67">
        <f>ROUND(+(V1222*60%)*D1222,4)</f>
        <v>0</v>
      </c>
      <c r="X1222" s="148">
        <f>ROUND(+U1222+W1222,4)</f>
        <v>0</v>
      </c>
      <c r="Y1222" s="68"/>
      <c r="Z1222" s="148">
        <f>ROUND(IF(X1222&gt;I1222,X1222,I1222),4)</f>
        <v>0</v>
      </c>
      <c r="AD1222" s="78">
        <f t="shared" si="16"/>
        <v>0</v>
      </c>
      <c r="AE1222" s="78">
        <f t="shared" si="17"/>
        <v>0</v>
      </c>
    </row>
    <row r="1223" spans="1:31" x14ac:dyDescent="0.2">
      <c r="A1223" s="66"/>
      <c r="B1223" s="66"/>
      <c r="C1223" s="66"/>
      <c r="D1223" s="144"/>
      <c r="E1223" s="67"/>
      <c r="F1223" s="67"/>
      <c r="G1223" s="67"/>
      <c r="H1223" s="67">
        <f>ROUND(+E1223+G1223,4)</f>
        <v>0</v>
      </c>
      <c r="I1223" s="67"/>
      <c r="J1223" s="67">
        <f>ROUND(+I1223-H1223,4)</f>
        <v>0</v>
      </c>
      <c r="K1223" s="67">
        <f>ROUND(IF(F1223="alluminio",0,I1223*1.5%),4)</f>
        <v>0</v>
      </c>
      <c r="L1223" s="67">
        <f>ROUND(IF(K1223&lt;J1223,K1223,0),4)</f>
        <v>0</v>
      </c>
      <c r="M1223" s="67">
        <f>ROUND(IF(J1223&gt;K1223,0,J1223),4)</f>
        <v>0</v>
      </c>
      <c r="N1223" s="67">
        <f>ROUND(+L1223*D1223,4)</f>
        <v>0</v>
      </c>
      <c r="O1223" s="67">
        <f>ROUND(IF(F1223="rame",0,+I1223*3%),4)</f>
        <v>0</v>
      </c>
      <c r="P1223" s="67">
        <f>ROUND(IF(O1223&lt;J1223,O1223,0),4)</f>
        <v>0</v>
      </c>
      <c r="Q1223" s="67">
        <f>ROUND(IF(J1223&gt;O1223,0,J1223),4)</f>
        <v>0</v>
      </c>
      <c r="R1223" s="67">
        <f>ROUND(+P1223*D1223,4)</f>
        <v>0</v>
      </c>
      <c r="S1223" s="67">
        <f>ROUND(IF(K1223=0,0,M1223*D1223),4)</f>
        <v>0</v>
      </c>
      <c r="T1223" s="67">
        <f>ROUND(+IF(K1223=0,Q1223*D1223,0),4)</f>
        <v>0</v>
      </c>
      <c r="U1223" s="67">
        <f>ROUND(+N1223+R1223+S1223+T1223,4)</f>
        <v>0</v>
      </c>
      <c r="V1223" s="67">
        <f>ROUND(IF(P1223=0,0,I1223-H1223-O1223)+IF(L1223=0,0,I1223-H1223-K1223),4)</f>
        <v>0</v>
      </c>
      <c r="W1223" s="67">
        <f>ROUND(+(V1223*60%)*D1223,4)</f>
        <v>0</v>
      </c>
      <c r="X1223" s="148">
        <f>ROUND(+U1223+W1223,4)</f>
        <v>0</v>
      </c>
      <c r="Y1223" s="68"/>
      <c r="Z1223" s="148">
        <f>ROUND(IF(X1223&gt;I1223,X1223,I1223),4)</f>
        <v>0</v>
      </c>
      <c r="AD1223" s="78">
        <f t="shared" si="16"/>
        <v>0</v>
      </c>
      <c r="AE1223" s="78">
        <f t="shared" si="17"/>
        <v>0</v>
      </c>
    </row>
    <row r="1224" spans="1:31" x14ac:dyDescent="0.2">
      <c r="A1224" s="66"/>
      <c r="B1224" s="66"/>
      <c r="C1224" s="66"/>
      <c r="D1224" s="144"/>
      <c r="E1224" s="67"/>
      <c r="F1224" s="67"/>
      <c r="G1224" s="67"/>
      <c r="H1224" s="67">
        <f>ROUND(+E1224+G1224,4)</f>
        <v>0</v>
      </c>
      <c r="I1224" s="67"/>
      <c r="J1224" s="67">
        <f>ROUND(+I1224-H1224,4)</f>
        <v>0</v>
      </c>
      <c r="K1224" s="67">
        <f>ROUND(IF(F1224="alluminio",0,I1224*1.5%),4)</f>
        <v>0</v>
      </c>
      <c r="L1224" s="67">
        <f>ROUND(IF(K1224&lt;J1224,K1224,0),4)</f>
        <v>0</v>
      </c>
      <c r="M1224" s="67">
        <f>ROUND(IF(J1224&gt;K1224,0,J1224),4)</f>
        <v>0</v>
      </c>
      <c r="N1224" s="67">
        <f>ROUND(+L1224*D1224,4)</f>
        <v>0</v>
      </c>
      <c r="O1224" s="67">
        <f>ROUND(IF(F1224="rame",0,+I1224*3%),4)</f>
        <v>0</v>
      </c>
      <c r="P1224" s="67">
        <f>ROUND(IF(O1224&lt;J1224,O1224,0),4)</f>
        <v>0</v>
      </c>
      <c r="Q1224" s="67">
        <f>ROUND(IF(J1224&gt;O1224,0,J1224),4)</f>
        <v>0</v>
      </c>
      <c r="R1224" s="67">
        <f>ROUND(+P1224*D1224,4)</f>
        <v>0</v>
      </c>
      <c r="S1224" s="67">
        <f>ROUND(IF(K1224=0,0,M1224*D1224),4)</f>
        <v>0</v>
      </c>
      <c r="T1224" s="67">
        <f>ROUND(+IF(K1224=0,Q1224*D1224,0),4)</f>
        <v>0</v>
      </c>
      <c r="U1224" s="67">
        <f>ROUND(+N1224+R1224+S1224+T1224,4)</f>
        <v>0</v>
      </c>
      <c r="V1224" s="67">
        <f>ROUND(IF(P1224=0,0,I1224-H1224-O1224)+IF(L1224=0,0,I1224-H1224-K1224),4)</f>
        <v>0</v>
      </c>
      <c r="W1224" s="67">
        <f>ROUND(+(V1224*60%)*D1224,4)</f>
        <v>0</v>
      </c>
      <c r="X1224" s="148">
        <f>ROUND(+U1224+W1224,4)</f>
        <v>0</v>
      </c>
      <c r="Y1224" s="68"/>
      <c r="Z1224" s="148">
        <f>ROUND(IF(X1224&gt;I1224,X1224,I1224),4)</f>
        <v>0</v>
      </c>
      <c r="AD1224" s="78">
        <f t="shared" si="16"/>
        <v>0</v>
      </c>
      <c r="AE1224" s="78">
        <f t="shared" si="17"/>
        <v>0</v>
      </c>
    </row>
    <row r="1225" spans="1:31" x14ac:dyDescent="0.2">
      <c r="A1225" s="66"/>
      <c r="B1225" s="66"/>
      <c r="C1225" s="66"/>
      <c r="D1225" s="144"/>
      <c r="E1225" s="67"/>
      <c r="F1225" s="67"/>
      <c r="G1225" s="67"/>
      <c r="H1225" s="67">
        <f>ROUND(+E1225+G1225,4)</f>
        <v>0</v>
      </c>
      <c r="I1225" s="67"/>
      <c r="J1225" s="67">
        <f>ROUND(+I1225-H1225,4)</f>
        <v>0</v>
      </c>
      <c r="K1225" s="67">
        <f>ROUND(IF(F1225="alluminio",0,I1225*1.5%),4)</f>
        <v>0</v>
      </c>
      <c r="L1225" s="67">
        <f>ROUND(IF(K1225&lt;J1225,K1225,0),4)</f>
        <v>0</v>
      </c>
      <c r="M1225" s="67">
        <f>ROUND(IF(J1225&gt;K1225,0,J1225),4)</f>
        <v>0</v>
      </c>
      <c r="N1225" s="67">
        <f>ROUND(+L1225*D1225,4)</f>
        <v>0</v>
      </c>
      <c r="O1225" s="67">
        <f>ROUND(IF(F1225="rame",0,+I1225*3%),4)</f>
        <v>0</v>
      </c>
      <c r="P1225" s="67">
        <f>ROUND(IF(O1225&lt;J1225,O1225,0),4)</f>
        <v>0</v>
      </c>
      <c r="Q1225" s="67">
        <f>ROUND(IF(J1225&gt;O1225,0,J1225),4)</f>
        <v>0</v>
      </c>
      <c r="R1225" s="67">
        <f>ROUND(+P1225*D1225,4)</f>
        <v>0</v>
      </c>
      <c r="S1225" s="67">
        <f>ROUND(IF(K1225=0,0,M1225*D1225),4)</f>
        <v>0</v>
      </c>
      <c r="T1225" s="67">
        <f>ROUND(+IF(K1225=0,Q1225*D1225,0),4)</f>
        <v>0</v>
      </c>
      <c r="U1225" s="67">
        <f>ROUND(+N1225+R1225+S1225+T1225,4)</f>
        <v>0</v>
      </c>
      <c r="V1225" s="67">
        <f>ROUND(IF(P1225=0,0,I1225-H1225-O1225)+IF(L1225=0,0,I1225-H1225-K1225),4)</f>
        <v>0</v>
      </c>
      <c r="W1225" s="67">
        <f>ROUND(+(V1225*60%)*D1225,4)</f>
        <v>0</v>
      </c>
      <c r="X1225" s="148">
        <f>ROUND(+U1225+W1225,4)</f>
        <v>0</v>
      </c>
      <c r="Y1225" s="68"/>
      <c r="Z1225" s="148">
        <f>ROUND(IF(X1225&gt;I1225,X1225,I1225),4)</f>
        <v>0</v>
      </c>
      <c r="AD1225" s="78">
        <f t="shared" si="16"/>
        <v>0</v>
      </c>
      <c r="AE1225" s="78">
        <f t="shared" si="17"/>
        <v>0</v>
      </c>
    </row>
    <row r="1226" spans="1:31" x14ac:dyDescent="0.2">
      <c r="A1226" s="66"/>
      <c r="B1226" s="66"/>
      <c r="C1226" s="66"/>
      <c r="D1226" s="144"/>
      <c r="E1226" s="67"/>
      <c r="F1226" s="67"/>
      <c r="G1226" s="67"/>
      <c r="H1226" s="67">
        <f>ROUND(+E1226+G1226,4)</f>
        <v>0</v>
      </c>
      <c r="I1226" s="67"/>
      <c r="J1226" s="67">
        <f>ROUND(+I1226-H1226,4)</f>
        <v>0</v>
      </c>
      <c r="K1226" s="67">
        <f>ROUND(IF(F1226="alluminio",0,I1226*1.5%),4)</f>
        <v>0</v>
      </c>
      <c r="L1226" s="67">
        <f>ROUND(IF(K1226&lt;J1226,K1226,0),4)</f>
        <v>0</v>
      </c>
      <c r="M1226" s="67">
        <f>ROUND(IF(J1226&gt;K1226,0,J1226),4)</f>
        <v>0</v>
      </c>
      <c r="N1226" s="67">
        <f>ROUND(+L1226*D1226,4)</f>
        <v>0</v>
      </c>
      <c r="O1226" s="67">
        <f>ROUND(IF(F1226="rame",0,+I1226*3%),4)</f>
        <v>0</v>
      </c>
      <c r="P1226" s="67">
        <f>ROUND(IF(O1226&lt;J1226,O1226,0),4)</f>
        <v>0</v>
      </c>
      <c r="Q1226" s="67">
        <f>ROUND(IF(J1226&gt;O1226,0,J1226),4)</f>
        <v>0</v>
      </c>
      <c r="R1226" s="67">
        <f>ROUND(+P1226*D1226,4)</f>
        <v>0</v>
      </c>
      <c r="S1226" s="67">
        <f>ROUND(IF(K1226=0,0,M1226*D1226),4)</f>
        <v>0</v>
      </c>
      <c r="T1226" s="67">
        <f>ROUND(+IF(K1226=0,Q1226*D1226,0),4)</f>
        <v>0</v>
      </c>
      <c r="U1226" s="67">
        <f>ROUND(+N1226+R1226+S1226+T1226,4)</f>
        <v>0</v>
      </c>
      <c r="V1226" s="67">
        <f>ROUND(IF(P1226=0,0,I1226-H1226-O1226)+IF(L1226=0,0,I1226-H1226-K1226),4)</f>
        <v>0</v>
      </c>
      <c r="W1226" s="67">
        <f>ROUND(+(V1226*60%)*D1226,4)</f>
        <v>0</v>
      </c>
      <c r="X1226" s="148">
        <f>ROUND(+U1226+W1226,4)</f>
        <v>0</v>
      </c>
      <c r="Y1226" s="68"/>
      <c r="Z1226" s="148">
        <f>ROUND(IF(X1226&gt;I1226,X1226,I1226),4)</f>
        <v>0</v>
      </c>
      <c r="AD1226" s="78">
        <f t="shared" si="16"/>
        <v>0</v>
      </c>
      <c r="AE1226" s="78">
        <f t="shared" si="17"/>
        <v>0</v>
      </c>
    </row>
    <row r="1227" spans="1:31" x14ac:dyDescent="0.2">
      <c r="A1227" s="66"/>
      <c r="B1227" s="66"/>
      <c r="C1227" s="66"/>
      <c r="D1227" s="144"/>
      <c r="E1227" s="67"/>
      <c r="F1227" s="67"/>
      <c r="G1227" s="67"/>
      <c r="H1227" s="67">
        <f>ROUND(+E1227+G1227,4)</f>
        <v>0</v>
      </c>
      <c r="I1227" s="67"/>
      <c r="J1227" s="67">
        <f>ROUND(+I1227-H1227,4)</f>
        <v>0</v>
      </c>
      <c r="K1227" s="67">
        <f>ROUND(IF(F1227="alluminio",0,I1227*1.5%),4)</f>
        <v>0</v>
      </c>
      <c r="L1227" s="67">
        <f>ROUND(IF(K1227&lt;J1227,K1227,0),4)</f>
        <v>0</v>
      </c>
      <c r="M1227" s="67">
        <f>ROUND(IF(J1227&gt;K1227,0,J1227),4)</f>
        <v>0</v>
      </c>
      <c r="N1227" s="67">
        <f>ROUND(+L1227*D1227,4)</f>
        <v>0</v>
      </c>
      <c r="O1227" s="67">
        <f>ROUND(IF(F1227="rame",0,+I1227*3%),4)</f>
        <v>0</v>
      </c>
      <c r="P1227" s="67">
        <f>ROUND(IF(O1227&lt;J1227,O1227,0),4)</f>
        <v>0</v>
      </c>
      <c r="Q1227" s="67">
        <f>ROUND(IF(J1227&gt;O1227,0,J1227),4)</f>
        <v>0</v>
      </c>
      <c r="R1227" s="67">
        <f>ROUND(+P1227*D1227,4)</f>
        <v>0</v>
      </c>
      <c r="S1227" s="67">
        <f>ROUND(IF(K1227=0,0,M1227*D1227),4)</f>
        <v>0</v>
      </c>
      <c r="T1227" s="67">
        <f>ROUND(+IF(K1227=0,Q1227*D1227,0),4)</f>
        <v>0</v>
      </c>
      <c r="U1227" s="67">
        <f>ROUND(+N1227+R1227+S1227+T1227,4)</f>
        <v>0</v>
      </c>
      <c r="V1227" s="67">
        <f>ROUND(IF(P1227=0,0,I1227-H1227-O1227)+IF(L1227=0,0,I1227-H1227-K1227),4)</f>
        <v>0</v>
      </c>
      <c r="W1227" s="67">
        <f>ROUND(+(V1227*60%)*D1227,4)</f>
        <v>0</v>
      </c>
      <c r="X1227" s="148">
        <f>ROUND(+U1227+W1227,4)</f>
        <v>0</v>
      </c>
      <c r="Y1227" s="68"/>
      <c r="Z1227" s="148">
        <f>ROUND(IF(X1227&gt;I1227,X1227,I1227),4)</f>
        <v>0</v>
      </c>
      <c r="AD1227" s="78">
        <f t="shared" si="16"/>
        <v>0</v>
      </c>
      <c r="AE1227" s="78">
        <f t="shared" si="17"/>
        <v>0</v>
      </c>
    </row>
    <row r="1228" spans="1:31" x14ac:dyDescent="0.2">
      <c r="A1228" s="66"/>
      <c r="B1228" s="66"/>
      <c r="C1228" s="66"/>
      <c r="D1228" s="144"/>
      <c r="E1228" s="67"/>
      <c r="F1228" s="67"/>
      <c r="G1228" s="67"/>
      <c r="H1228" s="67">
        <f>ROUND(+E1228+G1228,4)</f>
        <v>0</v>
      </c>
      <c r="I1228" s="67"/>
      <c r="J1228" s="67">
        <f>ROUND(+I1228-H1228,4)</f>
        <v>0</v>
      </c>
      <c r="K1228" s="67">
        <f>ROUND(IF(F1228="alluminio",0,I1228*1.5%),4)</f>
        <v>0</v>
      </c>
      <c r="L1228" s="67">
        <f>ROUND(IF(K1228&lt;J1228,K1228,0),4)</f>
        <v>0</v>
      </c>
      <c r="M1228" s="67">
        <f>ROUND(IF(J1228&gt;K1228,0,J1228),4)</f>
        <v>0</v>
      </c>
      <c r="N1228" s="67">
        <f>ROUND(+L1228*D1228,4)</f>
        <v>0</v>
      </c>
      <c r="O1228" s="67">
        <f>ROUND(IF(F1228="rame",0,+I1228*3%),4)</f>
        <v>0</v>
      </c>
      <c r="P1228" s="67">
        <f>ROUND(IF(O1228&lt;J1228,O1228,0),4)</f>
        <v>0</v>
      </c>
      <c r="Q1228" s="67">
        <f>ROUND(IF(J1228&gt;O1228,0,J1228),4)</f>
        <v>0</v>
      </c>
      <c r="R1228" s="67">
        <f>ROUND(+P1228*D1228,4)</f>
        <v>0</v>
      </c>
      <c r="S1228" s="67">
        <f>ROUND(IF(K1228=0,0,M1228*D1228),4)</f>
        <v>0</v>
      </c>
      <c r="T1228" s="67">
        <f>ROUND(+IF(K1228=0,Q1228*D1228,0),4)</f>
        <v>0</v>
      </c>
      <c r="U1228" s="67">
        <f>ROUND(+N1228+R1228+S1228+T1228,4)</f>
        <v>0</v>
      </c>
      <c r="V1228" s="67">
        <f>ROUND(IF(P1228=0,0,I1228-H1228-O1228)+IF(L1228=0,0,I1228-H1228-K1228),4)</f>
        <v>0</v>
      </c>
      <c r="W1228" s="67">
        <f>ROUND(+(V1228*60%)*D1228,4)</f>
        <v>0</v>
      </c>
      <c r="X1228" s="148">
        <f>ROUND(+U1228+W1228,4)</f>
        <v>0</v>
      </c>
      <c r="Y1228" s="68"/>
      <c r="Z1228" s="148">
        <f>ROUND(IF(X1228&gt;I1228,X1228,I1228),4)</f>
        <v>0</v>
      </c>
      <c r="AD1228" s="78">
        <f t="shared" si="16"/>
        <v>0</v>
      </c>
      <c r="AE1228" s="78">
        <f t="shared" si="17"/>
        <v>0</v>
      </c>
    </row>
    <row r="1229" spans="1:31" x14ac:dyDescent="0.2">
      <c r="A1229" s="66"/>
      <c r="B1229" s="66"/>
      <c r="C1229" s="66"/>
      <c r="D1229" s="144"/>
      <c r="E1229" s="67"/>
      <c r="F1229" s="67"/>
      <c r="G1229" s="67"/>
      <c r="H1229" s="67">
        <f>ROUND(+E1229+G1229,4)</f>
        <v>0</v>
      </c>
      <c r="I1229" s="67"/>
      <c r="J1229" s="67">
        <f>ROUND(+I1229-H1229,4)</f>
        <v>0</v>
      </c>
      <c r="K1229" s="67">
        <f>ROUND(IF(F1229="alluminio",0,I1229*1.5%),4)</f>
        <v>0</v>
      </c>
      <c r="L1229" s="67">
        <f>ROUND(IF(K1229&lt;J1229,K1229,0),4)</f>
        <v>0</v>
      </c>
      <c r="M1229" s="67">
        <f>ROUND(IF(J1229&gt;K1229,0,J1229),4)</f>
        <v>0</v>
      </c>
      <c r="N1229" s="67">
        <f>ROUND(+L1229*D1229,4)</f>
        <v>0</v>
      </c>
      <c r="O1229" s="67">
        <f>ROUND(IF(F1229="rame",0,+I1229*3%),4)</f>
        <v>0</v>
      </c>
      <c r="P1229" s="67">
        <f>ROUND(IF(O1229&lt;J1229,O1229,0),4)</f>
        <v>0</v>
      </c>
      <c r="Q1229" s="67">
        <f>ROUND(IF(J1229&gt;O1229,0,J1229),4)</f>
        <v>0</v>
      </c>
      <c r="R1229" s="67">
        <f>ROUND(+P1229*D1229,4)</f>
        <v>0</v>
      </c>
      <c r="S1229" s="67">
        <f>ROUND(IF(K1229=0,0,M1229*D1229),4)</f>
        <v>0</v>
      </c>
      <c r="T1229" s="67">
        <f>ROUND(+IF(K1229=0,Q1229*D1229,0),4)</f>
        <v>0</v>
      </c>
      <c r="U1229" s="67">
        <f>ROUND(+N1229+R1229+S1229+T1229,4)</f>
        <v>0</v>
      </c>
      <c r="V1229" s="67">
        <f>ROUND(IF(P1229=0,0,I1229-H1229-O1229)+IF(L1229=0,0,I1229-H1229-K1229),4)</f>
        <v>0</v>
      </c>
      <c r="W1229" s="67">
        <f>ROUND(+(V1229*60%)*D1229,4)</f>
        <v>0</v>
      </c>
      <c r="X1229" s="148">
        <f>ROUND(+U1229+W1229,4)</f>
        <v>0</v>
      </c>
      <c r="Y1229" s="68"/>
      <c r="Z1229" s="148">
        <f>ROUND(IF(X1229&gt;I1229,X1229,I1229),4)</f>
        <v>0</v>
      </c>
      <c r="AD1229" s="78">
        <f t="shared" si="16"/>
        <v>0</v>
      </c>
      <c r="AE1229" s="78">
        <f t="shared" si="17"/>
        <v>0</v>
      </c>
    </row>
    <row r="1230" spans="1:31" x14ac:dyDescent="0.2">
      <c r="A1230" s="66"/>
      <c r="B1230" s="66"/>
      <c r="C1230" s="66"/>
      <c r="D1230" s="144"/>
      <c r="E1230" s="67"/>
      <c r="F1230" s="67"/>
      <c r="G1230" s="67"/>
      <c r="H1230" s="67">
        <f>ROUND(+E1230+G1230,4)</f>
        <v>0</v>
      </c>
      <c r="I1230" s="67"/>
      <c r="J1230" s="67">
        <f>ROUND(+I1230-H1230,4)</f>
        <v>0</v>
      </c>
      <c r="K1230" s="67">
        <f>ROUND(IF(F1230="alluminio",0,I1230*1.5%),4)</f>
        <v>0</v>
      </c>
      <c r="L1230" s="67">
        <f>ROUND(IF(K1230&lt;J1230,K1230,0),4)</f>
        <v>0</v>
      </c>
      <c r="M1230" s="67">
        <f>ROUND(IF(J1230&gt;K1230,0,J1230),4)</f>
        <v>0</v>
      </c>
      <c r="N1230" s="67">
        <f>ROUND(+L1230*D1230,4)</f>
        <v>0</v>
      </c>
      <c r="O1230" s="67">
        <f>ROUND(IF(F1230="rame",0,+I1230*3%),4)</f>
        <v>0</v>
      </c>
      <c r="P1230" s="67">
        <f>ROUND(IF(O1230&lt;J1230,O1230,0),4)</f>
        <v>0</v>
      </c>
      <c r="Q1230" s="67">
        <f>ROUND(IF(J1230&gt;O1230,0,J1230),4)</f>
        <v>0</v>
      </c>
      <c r="R1230" s="67">
        <f>ROUND(+P1230*D1230,4)</f>
        <v>0</v>
      </c>
      <c r="S1230" s="67">
        <f>ROUND(IF(K1230=0,0,M1230*D1230),4)</f>
        <v>0</v>
      </c>
      <c r="T1230" s="67">
        <f>ROUND(+IF(K1230=0,Q1230*D1230,0),4)</f>
        <v>0</v>
      </c>
      <c r="U1230" s="67">
        <f>ROUND(+N1230+R1230+S1230+T1230,4)</f>
        <v>0</v>
      </c>
      <c r="V1230" s="67">
        <f>ROUND(IF(P1230=0,0,I1230-H1230-O1230)+IF(L1230=0,0,I1230-H1230-K1230),4)</f>
        <v>0</v>
      </c>
      <c r="W1230" s="67">
        <f>ROUND(+(V1230*60%)*D1230,4)</f>
        <v>0</v>
      </c>
      <c r="X1230" s="148">
        <f>ROUND(+U1230+W1230,4)</f>
        <v>0</v>
      </c>
      <c r="Y1230" s="68"/>
      <c r="Z1230" s="148">
        <f>ROUND(IF(X1230&gt;I1230,X1230,I1230),4)</f>
        <v>0</v>
      </c>
      <c r="AD1230" s="78">
        <f t="shared" si="16"/>
        <v>0</v>
      </c>
      <c r="AE1230" s="78">
        <f t="shared" si="17"/>
        <v>0</v>
      </c>
    </row>
    <row r="1231" spans="1:31" x14ac:dyDescent="0.2">
      <c r="A1231" s="66"/>
      <c r="B1231" s="66"/>
      <c r="C1231" s="66"/>
      <c r="D1231" s="144"/>
      <c r="E1231" s="67"/>
      <c r="F1231" s="67"/>
      <c r="G1231" s="67"/>
      <c r="H1231" s="67">
        <f>ROUND(+E1231+G1231,4)</f>
        <v>0</v>
      </c>
      <c r="I1231" s="67"/>
      <c r="J1231" s="67">
        <f>ROUND(+I1231-H1231,4)</f>
        <v>0</v>
      </c>
      <c r="K1231" s="67">
        <f>ROUND(IF(F1231="alluminio",0,I1231*1.5%),4)</f>
        <v>0</v>
      </c>
      <c r="L1231" s="67">
        <f>ROUND(IF(K1231&lt;J1231,K1231,0),4)</f>
        <v>0</v>
      </c>
      <c r="M1231" s="67">
        <f>ROUND(IF(J1231&gt;K1231,0,J1231),4)</f>
        <v>0</v>
      </c>
      <c r="N1231" s="67">
        <f>ROUND(+L1231*D1231,4)</f>
        <v>0</v>
      </c>
      <c r="O1231" s="67">
        <f>ROUND(IF(F1231="rame",0,+I1231*3%),4)</f>
        <v>0</v>
      </c>
      <c r="P1231" s="67">
        <f>ROUND(IF(O1231&lt;J1231,O1231,0),4)</f>
        <v>0</v>
      </c>
      <c r="Q1231" s="67">
        <f>ROUND(IF(J1231&gt;O1231,0,J1231),4)</f>
        <v>0</v>
      </c>
      <c r="R1231" s="67">
        <f>ROUND(+P1231*D1231,4)</f>
        <v>0</v>
      </c>
      <c r="S1231" s="67">
        <f>ROUND(IF(K1231=0,0,M1231*D1231),4)</f>
        <v>0</v>
      </c>
      <c r="T1231" s="67">
        <f>ROUND(+IF(K1231=0,Q1231*D1231,0),4)</f>
        <v>0</v>
      </c>
      <c r="U1231" s="67">
        <f>ROUND(+N1231+R1231+S1231+T1231,4)</f>
        <v>0</v>
      </c>
      <c r="V1231" s="67">
        <f>ROUND(IF(P1231=0,0,I1231-H1231-O1231)+IF(L1231=0,0,I1231-H1231-K1231),4)</f>
        <v>0</v>
      </c>
      <c r="W1231" s="67">
        <f>ROUND(+(V1231*60%)*D1231,4)</f>
        <v>0</v>
      </c>
      <c r="X1231" s="148">
        <f>ROUND(+U1231+W1231,4)</f>
        <v>0</v>
      </c>
      <c r="Y1231" s="68"/>
      <c r="Z1231" s="148">
        <f>ROUND(IF(X1231&gt;I1231,X1231,I1231),4)</f>
        <v>0</v>
      </c>
      <c r="AD1231" s="78">
        <f t="shared" si="16"/>
        <v>0</v>
      </c>
      <c r="AE1231" s="78">
        <f t="shared" si="17"/>
        <v>0</v>
      </c>
    </row>
    <row r="1232" spans="1:31" x14ac:dyDescent="0.2">
      <c r="A1232" s="66"/>
      <c r="B1232" s="66"/>
      <c r="C1232" s="66"/>
      <c r="D1232" s="144"/>
      <c r="E1232" s="67"/>
      <c r="F1232" s="67"/>
      <c r="G1232" s="67"/>
      <c r="H1232" s="67">
        <f>ROUND(+E1232+G1232,4)</f>
        <v>0</v>
      </c>
      <c r="I1232" s="67"/>
      <c r="J1232" s="67">
        <f>ROUND(+I1232-H1232,4)</f>
        <v>0</v>
      </c>
      <c r="K1232" s="67">
        <f>ROUND(IF(F1232="alluminio",0,I1232*1.5%),4)</f>
        <v>0</v>
      </c>
      <c r="L1232" s="67">
        <f>ROUND(IF(K1232&lt;J1232,K1232,0),4)</f>
        <v>0</v>
      </c>
      <c r="M1232" s="67">
        <f>ROUND(IF(J1232&gt;K1232,0,J1232),4)</f>
        <v>0</v>
      </c>
      <c r="N1232" s="67">
        <f>ROUND(+L1232*D1232,4)</f>
        <v>0</v>
      </c>
      <c r="O1232" s="67">
        <f>ROUND(IF(F1232="rame",0,+I1232*3%),4)</f>
        <v>0</v>
      </c>
      <c r="P1232" s="67">
        <f>ROUND(IF(O1232&lt;J1232,O1232,0),4)</f>
        <v>0</v>
      </c>
      <c r="Q1232" s="67">
        <f>ROUND(IF(J1232&gt;O1232,0,J1232),4)</f>
        <v>0</v>
      </c>
      <c r="R1232" s="67">
        <f>ROUND(+P1232*D1232,4)</f>
        <v>0</v>
      </c>
      <c r="S1232" s="67">
        <f>ROUND(IF(K1232=0,0,M1232*D1232),4)</f>
        <v>0</v>
      </c>
      <c r="T1232" s="67">
        <f>ROUND(+IF(K1232=0,Q1232*D1232,0),4)</f>
        <v>0</v>
      </c>
      <c r="U1232" s="67">
        <f>ROUND(+N1232+R1232+S1232+T1232,4)</f>
        <v>0</v>
      </c>
      <c r="V1232" s="67">
        <f>ROUND(IF(P1232=0,0,I1232-H1232-O1232)+IF(L1232=0,0,I1232-H1232-K1232),4)</f>
        <v>0</v>
      </c>
      <c r="W1232" s="67">
        <f>ROUND(+(V1232*60%)*D1232,4)</f>
        <v>0</v>
      </c>
      <c r="X1232" s="148">
        <f>ROUND(+U1232+W1232,4)</f>
        <v>0</v>
      </c>
      <c r="Y1232" s="68"/>
      <c r="Z1232" s="148">
        <f>ROUND(IF(X1232&gt;I1232,X1232,I1232),4)</f>
        <v>0</v>
      </c>
      <c r="AD1232" s="78">
        <f t="shared" si="16"/>
        <v>0</v>
      </c>
      <c r="AE1232" s="78">
        <f t="shared" si="17"/>
        <v>0</v>
      </c>
    </row>
    <row r="1233" spans="1:31" x14ac:dyDescent="0.2">
      <c r="A1233" s="66"/>
      <c r="B1233" s="66"/>
      <c r="C1233" s="66"/>
      <c r="D1233" s="144"/>
      <c r="E1233" s="67"/>
      <c r="F1233" s="67"/>
      <c r="G1233" s="67"/>
      <c r="H1233" s="67">
        <f>ROUND(+E1233+G1233,4)</f>
        <v>0</v>
      </c>
      <c r="I1233" s="67"/>
      <c r="J1233" s="67">
        <f>ROUND(+I1233-H1233,4)</f>
        <v>0</v>
      </c>
      <c r="K1233" s="67">
        <f>ROUND(IF(F1233="alluminio",0,I1233*1.5%),4)</f>
        <v>0</v>
      </c>
      <c r="L1233" s="67">
        <f>ROUND(IF(K1233&lt;J1233,K1233,0),4)</f>
        <v>0</v>
      </c>
      <c r="M1233" s="67">
        <f>ROUND(IF(J1233&gt;K1233,0,J1233),4)</f>
        <v>0</v>
      </c>
      <c r="N1233" s="67">
        <f>ROUND(+L1233*D1233,4)</f>
        <v>0</v>
      </c>
      <c r="O1233" s="67">
        <f>ROUND(IF(F1233="rame",0,+I1233*3%),4)</f>
        <v>0</v>
      </c>
      <c r="P1233" s="67">
        <f>ROUND(IF(O1233&lt;J1233,O1233,0),4)</f>
        <v>0</v>
      </c>
      <c r="Q1233" s="67">
        <f>ROUND(IF(J1233&gt;O1233,0,J1233),4)</f>
        <v>0</v>
      </c>
      <c r="R1233" s="67">
        <f>ROUND(+P1233*D1233,4)</f>
        <v>0</v>
      </c>
      <c r="S1233" s="67">
        <f>ROUND(IF(K1233=0,0,M1233*D1233),4)</f>
        <v>0</v>
      </c>
      <c r="T1233" s="67">
        <f>ROUND(+IF(K1233=0,Q1233*D1233,0),4)</f>
        <v>0</v>
      </c>
      <c r="U1233" s="67">
        <f>ROUND(+N1233+R1233+S1233+T1233,4)</f>
        <v>0</v>
      </c>
      <c r="V1233" s="67">
        <f>ROUND(IF(P1233=0,0,I1233-H1233-O1233)+IF(L1233=0,0,I1233-H1233-K1233),4)</f>
        <v>0</v>
      </c>
      <c r="W1233" s="67">
        <f>ROUND(+(V1233*60%)*D1233,4)</f>
        <v>0</v>
      </c>
      <c r="X1233" s="148">
        <f>ROUND(+U1233+W1233,4)</f>
        <v>0</v>
      </c>
      <c r="Y1233" s="68"/>
      <c r="Z1233" s="148">
        <f>ROUND(IF(X1233&gt;I1233,X1233,I1233),4)</f>
        <v>0</v>
      </c>
      <c r="AD1233" s="78">
        <f t="shared" si="16"/>
        <v>0</v>
      </c>
      <c r="AE1233" s="78">
        <f t="shared" si="17"/>
        <v>0</v>
      </c>
    </row>
    <row r="1234" spans="1:31" x14ac:dyDescent="0.2">
      <c r="A1234" s="66"/>
      <c r="B1234" s="66"/>
      <c r="C1234" s="66"/>
      <c r="D1234" s="144"/>
      <c r="E1234" s="67"/>
      <c r="F1234" s="67"/>
      <c r="G1234" s="67"/>
      <c r="H1234" s="67">
        <f>ROUND(+E1234+G1234,4)</f>
        <v>0</v>
      </c>
      <c r="I1234" s="67"/>
      <c r="J1234" s="67">
        <f>ROUND(+I1234-H1234,4)</f>
        <v>0</v>
      </c>
      <c r="K1234" s="67">
        <f>ROUND(IF(F1234="alluminio",0,I1234*1.5%),4)</f>
        <v>0</v>
      </c>
      <c r="L1234" s="67">
        <f>ROUND(IF(K1234&lt;J1234,K1234,0),4)</f>
        <v>0</v>
      </c>
      <c r="M1234" s="67">
        <f>ROUND(IF(J1234&gt;K1234,0,J1234),4)</f>
        <v>0</v>
      </c>
      <c r="N1234" s="67">
        <f>ROUND(+L1234*D1234,4)</f>
        <v>0</v>
      </c>
      <c r="O1234" s="67">
        <f>ROUND(IF(F1234="rame",0,+I1234*3%),4)</f>
        <v>0</v>
      </c>
      <c r="P1234" s="67">
        <f>ROUND(IF(O1234&lt;J1234,O1234,0),4)</f>
        <v>0</v>
      </c>
      <c r="Q1234" s="67">
        <f>ROUND(IF(J1234&gt;O1234,0,J1234),4)</f>
        <v>0</v>
      </c>
      <c r="R1234" s="67">
        <f>ROUND(+P1234*D1234,4)</f>
        <v>0</v>
      </c>
      <c r="S1234" s="67">
        <f>ROUND(IF(K1234=0,0,M1234*D1234),4)</f>
        <v>0</v>
      </c>
      <c r="T1234" s="67">
        <f>ROUND(+IF(K1234=0,Q1234*D1234,0),4)</f>
        <v>0</v>
      </c>
      <c r="U1234" s="67">
        <f>ROUND(+N1234+R1234+S1234+T1234,4)</f>
        <v>0</v>
      </c>
      <c r="V1234" s="67">
        <f>ROUND(IF(P1234=0,0,I1234-H1234-O1234)+IF(L1234=0,0,I1234-H1234-K1234),4)</f>
        <v>0</v>
      </c>
      <c r="W1234" s="67">
        <f>ROUND(+(V1234*60%)*D1234,4)</f>
        <v>0</v>
      </c>
      <c r="X1234" s="148">
        <f>ROUND(+U1234+W1234,4)</f>
        <v>0</v>
      </c>
      <c r="Y1234" s="68"/>
      <c r="Z1234" s="148">
        <f>ROUND(IF(X1234&gt;I1234,X1234,I1234),4)</f>
        <v>0</v>
      </c>
      <c r="AD1234" s="78">
        <f t="shared" si="16"/>
        <v>0</v>
      </c>
      <c r="AE1234" s="78">
        <f t="shared" si="17"/>
        <v>0</v>
      </c>
    </row>
    <row r="1235" spans="1:31" x14ac:dyDescent="0.2">
      <c r="A1235" s="66"/>
      <c r="B1235" s="66"/>
      <c r="C1235" s="66"/>
      <c r="D1235" s="144"/>
      <c r="E1235" s="67"/>
      <c r="F1235" s="67"/>
      <c r="G1235" s="67"/>
      <c r="H1235" s="67">
        <f>ROUND(+E1235+G1235,4)</f>
        <v>0</v>
      </c>
      <c r="I1235" s="67"/>
      <c r="J1235" s="67">
        <f>ROUND(+I1235-H1235,4)</f>
        <v>0</v>
      </c>
      <c r="K1235" s="67">
        <f>ROUND(IF(F1235="alluminio",0,I1235*1.5%),4)</f>
        <v>0</v>
      </c>
      <c r="L1235" s="67">
        <f>ROUND(IF(K1235&lt;J1235,K1235,0),4)</f>
        <v>0</v>
      </c>
      <c r="M1235" s="67">
        <f>ROUND(IF(J1235&gt;K1235,0,J1235),4)</f>
        <v>0</v>
      </c>
      <c r="N1235" s="67">
        <f>ROUND(+L1235*D1235,4)</f>
        <v>0</v>
      </c>
      <c r="O1235" s="67">
        <f>ROUND(IF(F1235="rame",0,+I1235*3%),4)</f>
        <v>0</v>
      </c>
      <c r="P1235" s="67">
        <f>ROUND(IF(O1235&lt;J1235,O1235,0),4)</f>
        <v>0</v>
      </c>
      <c r="Q1235" s="67">
        <f>ROUND(IF(J1235&gt;O1235,0,J1235),4)</f>
        <v>0</v>
      </c>
      <c r="R1235" s="67">
        <f>ROUND(+P1235*D1235,4)</f>
        <v>0</v>
      </c>
      <c r="S1235" s="67">
        <f>ROUND(IF(K1235=0,0,M1235*D1235),4)</f>
        <v>0</v>
      </c>
      <c r="T1235" s="67">
        <f>ROUND(+IF(K1235=0,Q1235*D1235,0),4)</f>
        <v>0</v>
      </c>
      <c r="U1235" s="67">
        <f>ROUND(+N1235+R1235+S1235+T1235,4)</f>
        <v>0</v>
      </c>
      <c r="V1235" s="67">
        <f>ROUND(IF(P1235=0,0,I1235-H1235-O1235)+IF(L1235=0,0,I1235-H1235-K1235),4)</f>
        <v>0</v>
      </c>
      <c r="W1235" s="67">
        <f>ROUND(+(V1235*60%)*D1235,4)</f>
        <v>0</v>
      </c>
      <c r="X1235" s="148">
        <f>ROUND(+U1235+W1235,4)</f>
        <v>0</v>
      </c>
      <c r="Y1235" s="68"/>
      <c r="Z1235" s="148">
        <f>ROUND(IF(X1235&gt;I1235,X1235,I1235),4)</f>
        <v>0</v>
      </c>
      <c r="AD1235" s="78">
        <f t="shared" si="16"/>
        <v>0</v>
      </c>
      <c r="AE1235" s="78">
        <f t="shared" si="17"/>
        <v>0</v>
      </c>
    </row>
    <row r="1236" spans="1:31" x14ac:dyDescent="0.2">
      <c r="A1236" s="66"/>
      <c r="B1236" s="66"/>
      <c r="C1236" s="66"/>
      <c r="D1236" s="144"/>
      <c r="E1236" s="67"/>
      <c r="F1236" s="67"/>
      <c r="G1236" s="67"/>
      <c r="H1236" s="67">
        <f>ROUND(+E1236+G1236,4)</f>
        <v>0</v>
      </c>
      <c r="I1236" s="67"/>
      <c r="J1236" s="67">
        <f>ROUND(+I1236-H1236,4)</f>
        <v>0</v>
      </c>
      <c r="K1236" s="67">
        <f>ROUND(IF(F1236="alluminio",0,I1236*1.5%),4)</f>
        <v>0</v>
      </c>
      <c r="L1236" s="67">
        <f>ROUND(IF(K1236&lt;J1236,K1236,0),4)</f>
        <v>0</v>
      </c>
      <c r="M1236" s="67">
        <f>ROUND(IF(J1236&gt;K1236,0,J1236),4)</f>
        <v>0</v>
      </c>
      <c r="N1236" s="67">
        <f>ROUND(+L1236*D1236,4)</f>
        <v>0</v>
      </c>
      <c r="O1236" s="67">
        <f>ROUND(IF(F1236="rame",0,+I1236*3%),4)</f>
        <v>0</v>
      </c>
      <c r="P1236" s="67">
        <f>ROUND(IF(O1236&lt;J1236,O1236,0),4)</f>
        <v>0</v>
      </c>
      <c r="Q1236" s="67">
        <f>ROUND(IF(J1236&gt;O1236,0,J1236),4)</f>
        <v>0</v>
      </c>
      <c r="R1236" s="67">
        <f>ROUND(+P1236*D1236,4)</f>
        <v>0</v>
      </c>
      <c r="S1236" s="67">
        <f>ROUND(IF(K1236=0,0,M1236*D1236),4)</f>
        <v>0</v>
      </c>
      <c r="T1236" s="67">
        <f>ROUND(+IF(K1236=0,Q1236*D1236,0),4)</f>
        <v>0</v>
      </c>
      <c r="U1236" s="67">
        <f>ROUND(+N1236+R1236+S1236+T1236,4)</f>
        <v>0</v>
      </c>
      <c r="V1236" s="67">
        <f>ROUND(IF(P1236=0,0,I1236-H1236-O1236)+IF(L1236=0,0,I1236-H1236-K1236),4)</f>
        <v>0</v>
      </c>
      <c r="W1236" s="67">
        <f>ROUND(+(V1236*60%)*D1236,4)</f>
        <v>0</v>
      </c>
      <c r="X1236" s="148">
        <f>ROUND(+U1236+W1236,4)</f>
        <v>0</v>
      </c>
      <c r="Y1236" s="68"/>
      <c r="Z1236" s="148">
        <f>ROUND(IF(X1236&gt;I1236,X1236,I1236),4)</f>
        <v>0</v>
      </c>
      <c r="AD1236" s="78">
        <f t="shared" si="16"/>
        <v>0</v>
      </c>
      <c r="AE1236" s="78">
        <f t="shared" si="17"/>
        <v>0</v>
      </c>
    </row>
    <row r="1237" spans="1:31" x14ac:dyDescent="0.2">
      <c r="A1237" s="66"/>
      <c r="B1237" s="66"/>
      <c r="C1237" s="66"/>
      <c r="D1237" s="144"/>
      <c r="E1237" s="67"/>
      <c r="F1237" s="67"/>
      <c r="G1237" s="67"/>
      <c r="H1237" s="67">
        <f>ROUND(+E1237+G1237,4)</f>
        <v>0</v>
      </c>
      <c r="I1237" s="67"/>
      <c r="J1237" s="67">
        <f>ROUND(+I1237-H1237,4)</f>
        <v>0</v>
      </c>
      <c r="K1237" s="67">
        <f>ROUND(IF(F1237="alluminio",0,I1237*1.5%),4)</f>
        <v>0</v>
      </c>
      <c r="L1237" s="67">
        <f>ROUND(IF(K1237&lt;J1237,K1237,0),4)</f>
        <v>0</v>
      </c>
      <c r="M1237" s="67">
        <f>ROUND(IF(J1237&gt;K1237,0,J1237),4)</f>
        <v>0</v>
      </c>
      <c r="N1237" s="67">
        <f>ROUND(+L1237*D1237,4)</f>
        <v>0</v>
      </c>
      <c r="O1237" s="67">
        <f>ROUND(IF(F1237="rame",0,+I1237*3%),4)</f>
        <v>0</v>
      </c>
      <c r="P1237" s="67">
        <f>ROUND(IF(O1237&lt;J1237,O1237,0),4)</f>
        <v>0</v>
      </c>
      <c r="Q1237" s="67">
        <f>ROUND(IF(J1237&gt;O1237,0,J1237),4)</f>
        <v>0</v>
      </c>
      <c r="R1237" s="67">
        <f>ROUND(+P1237*D1237,4)</f>
        <v>0</v>
      </c>
      <c r="S1237" s="67">
        <f>ROUND(IF(K1237=0,0,M1237*D1237),4)</f>
        <v>0</v>
      </c>
      <c r="T1237" s="67">
        <f>ROUND(+IF(K1237=0,Q1237*D1237,0),4)</f>
        <v>0</v>
      </c>
      <c r="U1237" s="67">
        <f>ROUND(+N1237+R1237+S1237+T1237,4)</f>
        <v>0</v>
      </c>
      <c r="V1237" s="67">
        <f>ROUND(IF(P1237=0,0,I1237-H1237-O1237)+IF(L1237=0,0,I1237-H1237-K1237),4)</f>
        <v>0</v>
      </c>
      <c r="W1237" s="67">
        <f>ROUND(+(V1237*60%)*D1237,4)</f>
        <v>0</v>
      </c>
      <c r="X1237" s="148">
        <f>ROUND(+U1237+W1237,4)</f>
        <v>0</v>
      </c>
      <c r="Y1237" s="68"/>
      <c r="Z1237" s="148">
        <f>ROUND(IF(X1237&gt;I1237,X1237,I1237),4)</f>
        <v>0</v>
      </c>
      <c r="AD1237" s="78">
        <f t="shared" si="16"/>
        <v>0</v>
      </c>
      <c r="AE1237" s="78">
        <f t="shared" si="17"/>
        <v>0</v>
      </c>
    </row>
    <row r="1238" spans="1:31" x14ac:dyDescent="0.2">
      <c r="A1238" s="66"/>
      <c r="B1238" s="66"/>
      <c r="C1238" s="66"/>
      <c r="D1238" s="144"/>
      <c r="E1238" s="67"/>
      <c r="F1238" s="67"/>
      <c r="G1238" s="67"/>
      <c r="H1238" s="67">
        <f>ROUND(+E1238+G1238,4)</f>
        <v>0</v>
      </c>
      <c r="I1238" s="67"/>
      <c r="J1238" s="67">
        <f>ROUND(+I1238-H1238,4)</f>
        <v>0</v>
      </c>
      <c r="K1238" s="67">
        <f>ROUND(IF(F1238="alluminio",0,I1238*1.5%),4)</f>
        <v>0</v>
      </c>
      <c r="L1238" s="67">
        <f>ROUND(IF(K1238&lt;J1238,K1238,0),4)</f>
        <v>0</v>
      </c>
      <c r="M1238" s="67">
        <f>ROUND(IF(J1238&gt;K1238,0,J1238),4)</f>
        <v>0</v>
      </c>
      <c r="N1238" s="67">
        <f>ROUND(+L1238*D1238,4)</f>
        <v>0</v>
      </c>
      <c r="O1238" s="67">
        <f>ROUND(IF(F1238="rame",0,+I1238*3%),4)</f>
        <v>0</v>
      </c>
      <c r="P1238" s="67">
        <f>ROUND(IF(O1238&lt;J1238,O1238,0),4)</f>
        <v>0</v>
      </c>
      <c r="Q1238" s="67">
        <f>ROUND(IF(J1238&gt;O1238,0,J1238),4)</f>
        <v>0</v>
      </c>
      <c r="R1238" s="67">
        <f>ROUND(+P1238*D1238,4)</f>
        <v>0</v>
      </c>
      <c r="S1238" s="67">
        <f>ROUND(IF(K1238=0,0,M1238*D1238),4)</f>
        <v>0</v>
      </c>
      <c r="T1238" s="67">
        <f>ROUND(+IF(K1238=0,Q1238*D1238,0),4)</f>
        <v>0</v>
      </c>
      <c r="U1238" s="67">
        <f>ROUND(+N1238+R1238+S1238+T1238,4)</f>
        <v>0</v>
      </c>
      <c r="V1238" s="67">
        <f>ROUND(IF(P1238=0,0,I1238-H1238-O1238)+IF(L1238=0,0,I1238-H1238-K1238),4)</f>
        <v>0</v>
      </c>
      <c r="W1238" s="67">
        <f>ROUND(+(V1238*60%)*D1238,4)</f>
        <v>0</v>
      </c>
      <c r="X1238" s="148">
        <f>ROUND(+U1238+W1238,4)</f>
        <v>0</v>
      </c>
      <c r="Y1238" s="68"/>
      <c r="Z1238" s="148">
        <f>ROUND(IF(X1238&gt;I1238,X1238,I1238),4)</f>
        <v>0</v>
      </c>
      <c r="AD1238" s="78">
        <f t="shared" si="16"/>
        <v>0</v>
      </c>
      <c r="AE1238" s="78">
        <f t="shared" si="17"/>
        <v>0</v>
      </c>
    </row>
    <row r="1239" spans="1:31" x14ac:dyDescent="0.2">
      <c r="A1239" s="66"/>
      <c r="B1239" s="66"/>
      <c r="C1239" s="66"/>
      <c r="D1239" s="144"/>
      <c r="E1239" s="67"/>
      <c r="F1239" s="67"/>
      <c r="G1239" s="67"/>
      <c r="H1239" s="67">
        <f>ROUND(+E1239+G1239,4)</f>
        <v>0</v>
      </c>
      <c r="I1239" s="67"/>
      <c r="J1239" s="67">
        <f>ROUND(+I1239-H1239,4)</f>
        <v>0</v>
      </c>
      <c r="K1239" s="67">
        <f>ROUND(IF(F1239="alluminio",0,I1239*1.5%),4)</f>
        <v>0</v>
      </c>
      <c r="L1239" s="67">
        <f>ROUND(IF(K1239&lt;J1239,K1239,0),4)</f>
        <v>0</v>
      </c>
      <c r="M1239" s="67">
        <f>ROUND(IF(J1239&gt;K1239,0,J1239),4)</f>
        <v>0</v>
      </c>
      <c r="N1239" s="67">
        <f>ROUND(+L1239*D1239,4)</f>
        <v>0</v>
      </c>
      <c r="O1239" s="67">
        <f>ROUND(IF(F1239="rame",0,+I1239*3%),4)</f>
        <v>0</v>
      </c>
      <c r="P1239" s="67">
        <f>ROUND(IF(O1239&lt;J1239,O1239,0),4)</f>
        <v>0</v>
      </c>
      <c r="Q1239" s="67">
        <f>ROUND(IF(J1239&gt;O1239,0,J1239),4)</f>
        <v>0</v>
      </c>
      <c r="R1239" s="67">
        <f>ROUND(+P1239*D1239,4)</f>
        <v>0</v>
      </c>
      <c r="S1239" s="67">
        <f>ROUND(IF(K1239=0,0,M1239*D1239),4)</f>
        <v>0</v>
      </c>
      <c r="T1239" s="67">
        <f>ROUND(+IF(K1239=0,Q1239*D1239,0),4)</f>
        <v>0</v>
      </c>
      <c r="U1239" s="67">
        <f>ROUND(+N1239+R1239+S1239+T1239,4)</f>
        <v>0</v>
      </c>
      <c r="V1239" s="67">
        <f>ROUND(IF(P1239=0,0,I1239-H1239-O1239)+IF(L1239=0,0,I1239-H1239-K1239),4)</f>
        <v>0</v>
      </c>
      <c r="W1239" s="67">
        <f>ROUND(+(V1239*60%)*D1239,4)</f>
        <v>0</v>
      </c>
      <c r="X1239" s="148">
        <f>ROUND(+U1239+W1239,4)</f>
        <v>0</v>
      </c>
      <c r="Y1239" s="68"/>
      <c r="Z1239" s="148">
        <f>ROUND(IF(X1239&gt;I1239,X1239,I1239),4)</f>
        <v>0</v>
      </c>
      <c r="AD1239" s="78">
        <f t="shared" si="16"/>
        <v>0</v>
      </c>
      <c r="AE1239" s="78">
        <f t="shared" si="17"/>
        <v>0</v>
      </c>
    </row>
    <row r="1240" spans="1:31" x14ac:dyDescent="0.2">
      <c r="A1240" s="66"/>
      <c r="B1240" s="66"/>
      <c r="C1240" s="66"/>
      <c r="D1240" s="144"/>
      <c r="E1240" s="67"/>
      <c r="F1240" s="67"/>
      <c r="G1240" s="67"/>
      <c r="H1240" s="67">
        <f>ROUND(+E1240+G1240,4)</f>
        <v>0</v>
      </c>
      <c r="I1240" s="67"/>
      <c r="J1240" s="67">
        <f>ROUND(+I1240-H1240,4)</f>
        <v>0</v>
      </c>
      <c r="K1240" s="67">
        <f>ROUND(IF(F1240="alluminio",0,I1240*1.5%),4)</f>
        <v>0</v>
      </c>
      <c r="L1240" s="67">
        <f>ROUND(IF(K1240&lt;J1240,K1240,0),4)</f>
        <v>0</v>
      </c>
      <c r="M1240" s="67">
        <f>ROUND(IF(J1240&gt;K1240,0,J1240),4)</f>
        <v>0</v>
      </c>
      <c r="N1240" s="67">
        <f>ROUND(+L1240*D1240,4)</f>
        <v>0</v>
      </c>
      <c r="O1240" s="67">
        <f>ROUND(IF(F1240="rame",0,+I1240*3%),4)</f>
        <v>0</v>
      </c>
      <c r="P1240" s="67">
        <f>ROUND(IF(O1240&lt;J1240,O1240,0),4)</f>
        <v>0</v>
      </c>
      <c r="Q1240" s="67">
        <f>ROUND(IF(J1240&gt;O1240,0,J1240),4)</f>
        <v>0</v>
      </c>
      <c r="R1240" s="67">
        <f>ROUND(+P1240*D1240,4)</f>
        <v>0</v>
      </c>
      <c r="S1240" s="67">
        <f>ROUND(IF(K1240=0,0,M1240*D1240),4)</f>
        <v>0</v>
      </c>
      <c r="T1240" s="67">
        <f>ROUND(+IF(K1240=0,Q1240*D1240,0),4)</f>
        <v>0</v>
      </c>
      <c r="U1240" s="67">
        <f>ROUND(+N1240+R1240+S1240+T1240,4)</f>
        <v>0</v>
      </c>
      <c r="V1240" s="67">
        <f>ROUND(IF(P1240=0,0,I1240-H1240-O1240)+IF(L1240=0,0,I1240-H1240-K1240),4)</f>
        <v>0</v>
      </c>
      <c r="W1240" s="67">
        <f>ROUND(+(V1240*60%)*D1240,4)</f>
        <v>0</v>
      </c>
      <c r="X1240" s="148">
        <f>ROUND(+U1240+W1240,4)</f>
        <v>0</v>
      </c>
      <c r="Y1240" s="68"/>
      <c r="Z1240" s="148">
        <f>ROUND(IF(X1240&gt;I1240,X1240,I1240),4)</f>
        <v>0</v>
      </c>
      <c r="AD1240" s="78">
        <f t="shared" si="16"/>
        <v>0</v>
      </c>
      <c r="AE1240" s="78">
        <f t="shared" si="17"/>
        <v>0</v>
      </c>
    </row>
    <row r="1241" spans="1:31" x14ac:dyDescent="0.2">
      <c r="A1241" s="66"/>
      <c r="B1241" s="66"/>
      <c r="C1241" s="66"/>
      <c r="D1241" s="144"/>
      <c r="E1241" s="67"/>
      <c r="F1241" s="67"/>
      <c r="G1241" s="67"/>
      <c r="H1241" s="67">
        <f>ROUND(+E1241+G1241,4)</f>
        <v>0</v>
      </c>
      <c r="I1241" s="67"/>
      <c r="J1241" s="67">
        <f>ROUND(+I1241-H1241,4)</f>
        <v>0</v>
      </c>
      <c r="K1241" s="67">
        <f>ROUND(IF(F1241="alluminio",0,I1241*1.5%),4)</f>
        <v>0</v>
      </c>
      <c r="L1241" s="67">
        <f>ROUND(IF(K1241&lt;J1241,K1241,0),4)</f>
        <v>0</v>
      </c>
      <c r="M1241" s="67">
        <f>ROUND(IF(J1241&gt;K1241,0,J1241),4)</f>
        <v>0</v>
      </c>
      <c r="N1241" s="67">
        <f>ROUND(+L1241*D1241,4)</f>
        <v>0</v>
      </c>
      <c r="O1241" s="67">
        <f>ROUND(IF(F1241="rame",0,+I1241*3%),4)</f>
        <v>0</v>
      </c>
      <c r="P1241" s="67">
        <f>ROUND(IF(O1241&lt;J1241,O1241,0),4)</f>
        <v>0</v>
      </c>
      <c r="Q1241" s="67">
        <f>ROUND(IF(J1241&gt;O1241,0,J1241),4)</f>
        <v>0</v>
      </c>
      <c r="R1241" s="67">
        <f>ROUND(+P1241*D1241,4)</f>
        <v>0</v>
      </c>
      <c r="S1241" s="67">
        <f>ROUND(IF(K1241=0,0,M1241*D1241),4)</f>
        <v>0</v>
      </c>
      <c r="T1241" s="67">
        <f>ROUND(+IF(K1241=0,Q1241*D1241,0),4)</f>
        <v>0</v>
      </c>
      <c r="U1241" s="67">
        <f>ROUND(+N1241+R1241+S1241+T1241,4)</f>
        <v>0</v>
      </c>
      <c r="V1241" s="67">
        <f>ROUND(IF(P1241=0,0,I1241-H1241-O1241)+IF(L1241=0,0,I1241-H1241-K1241),4)</f>
        <v>0</v>
      </c>
      <c r="W1241" s="67">
        <f>ROUND(+(V1241*60%)*D1241,4)</f>
        <v>0</v>
      </c>
      <c r="X1241" s="148">
        <f>ROUND(+U1241+W1241,4)</f>
        <v>0</v>
      </c>
      <c r="Y1241" s="68"/>
      <c r="Z1241" s="148">
        <f>ROUND(IF(X1241&gt;I1241,X1241,I1241),4)</f>
        <v>0</v>
      </c>
      <c r="AD1241" s="78">
        <f t="shared" si="16"/>
        <v>0</v>
      </c>
      <c r="AE1241" s="78">
        <f t="shared" si="17"/>
        <v>0</v>
      </c>
    </row>
    <row r="1242" spans="1:31" x14ac:dyDescent="0.2">
      <c r="A1242" s="66"/>
      <c r="B1242" s="66"/>
      <c r="C1242" s="66"/>
      <c r="D1242" s="144"/>
      <c r="E1242" s="67"/>
      <c r="F1242" s="67"/>
      <c r="G1242" s="67"/>
      <c r="H1242" s="67">
        <f>ROUND(+E1242+G1242,4)</f>
        <v>0</v>
      </c>
      <c r="I1242" s="67"/>
      <c r="J1242" s="67">
        <f>ROUND(+I1242-H1242,4)</f>
        <v>0</v>
      </c>
      <c r="K1242" s="67">
        <f>ROUND(IF(F1242="alluminio",0,I1242*1.5%),4)</f>
        <v>0</v>
      </c>
      <c r="L1242" s="67">
        <f>ROUND(IF(K1242&lt;J1242,K1242,0),4)</f>
        <v>0</v>
      </c>
      <c r="M1242" s="67">
        <f>ROUND(IF(J1242&gt;K1242,0,J1242),4)</f>
        <v>0</v>
      </c>
      <c r="N1242" s="67">
        <f>ROUND(+L1242*D1242,4)</f>
        <v>0</v>
      </c>
      <c r="O1242" s="67">
        <f>ROUND(IF(F1242="rame",0,+I1242*3%),4)</f>
        <v>0</v>
      </c>
      <c r="P1242" s="67">
        <f>ROUND(IF(O1242&lt;J1242,O1242,0),4)</f>
        <v>0</v>
      </c>
      <c r="Q1242" s="67">
        <f>ROUND(IF(J1242&gt;O1242,0,J1242),4)</f>
        <v>0</v>
      </c>
      <c r="R1242" s="67">
        <f>ROUND(+P1242*D1242,4)</f>
        <v>0</v>
      </c>
      <c r="S1242" s="67">
        <f>ROUND(IF(K1242=0,0,M1242*D1242),4)</f>
        <v>0</v>
      </c>
      <c r="T1242" s="67">
        <f>ROUND(+IF(K1242=0,Q1242*D1242,0),4)</f>
        <v>0</v>
      </c>
      <c r="U1242" s="67">
        <f>ROUND(+N1242+R1242+S1242+T1242,4)</f>
        <v>0</v>
      </c>
      <c r="V1242" s="67">
        <f>ROUND(IF(P1242=0,0,I1242-H1242-O1242)+IF(L1242=0,0,I1242-H1242-K1242),4)</f>
        <v>0</v>
      </c>
      <c r="W1242" s="67">
        <f>ROUND(+(V1242*60%)*D1242,4)</f>
        <v>0</v>
      </c>
      <c r="X1242" s="148">
        <f>ROUND(+U1242+W1242,4)</f>
        <v>0</v>
      </c>
      <c r="Y1242" s="68"/>
      <c r="Z1242" s="148">
        <f>ROUND(IF(X1242&gt;I1242,X1242,I1242),4)</f>
        <v>0</v>
      </c>
      <c r="AD1242" s="78">
        <f t="shared" si="16"/>
        <v>0</v>
      </c>
      <c r="AE1242" s="78">
        <f t="shared" si="17"/>
        <v>0</v>
      </c>
    </row>
    <row r="1243" spans="1:31" x14ac:dyDescent="0.2">
      <c r="A1243" s="66"/>
      <c r="B1243" s="66"/>
      <c r="C1243" s="66"/>
      <c r="D1243" s="144"/>
      <c r="E1243" s="67"/>
      <c r="F1243" s="67"/>
      <c r="G1243" s="67"/>
      <c r="H1243" s="67">
        <f>ROUND(+E1243+G1243,4)</f>
        <v>0</v>
      </c>
      <c r="I1243" s="67"/>
      <c r="J1243" s="67">
        <f>ROUND(+I1243-H1243,4)</f>
        <v>0</v>
      </c>
      <c r="K1243" s="67">
        <f>ROUND(IF(F1243="alluminio",0,I1243*1.5%),4)</f>
        <v>0</v>
      </c>
      <c r="L1243" s="67">
        <f>ROUND(IF(K1243&lt;J1243,K1243,0),4)</f>
        <v>0</v>
      </c>
      <c r="M1243" s="67">
        <f>ROUND(IF(J1243&gt;K1243,0,J1243),4)</f>
        <v>0</v>
      </c>
      <c r="N1243" s="67">
        <f>ROUND(+L1243*D1243,4)</f>
        <v>0</v>
      </c>
      <c r="O1243" s="67">
        <f>ROUND(IF(F1243="rame",0,+I1243*3%),4)</f>
        <v>0</v>
      </c>
      <c r="P1243" s="67">
        <f>ROUND(IF(O1243&lt;J1243,O1243,0),4)</f>
        <v>0</v>
      </c>
      <c r="Q1243" s="67">
        <f>ROUND(IF(J1243&gt;O1243,0,J1243),4)</f>
        <v>0</v>
      </c>
      <c r="R1243" s="67">
        <f>ROUND(+P1243*D1243,4)</f>
        <v>0</v>
      </c>
      <c r="S1243" s="67">
        <f>ROUND(IF(K1243=0,0,M1243*D1243),4)</f>
        <v>0</v>
      </c>
      <c r="T1243" s="67">
        <f>ROUND(+IF(K1243=0,Q1243*D1243,0),4)</f>
        <v>0</v>
      </c>
      <c r="U1243" s="67">
        <f>ROUND(+N1243+R1243+S1243+T1243,4)</f>
        <v>0</v>
      </c>
      <c r="V1243" s="67">
        <f>ROUND(IF(P1243=0,0,I1243-H1243-O1243)+IF(L1243=0,0,I1243-H1243-K1243),4)</f>
        <v>0</v>
      </c>
      <c r="W1243" s="67">
        <f>ROUND(+(V1243*60%)*D1243,4)</f>
        <v>0</v>
      </c>
      <c r="X1243" s="148">
        <f>ROUND(+U1243+W1243,4)</f>
        <v>0</v>
      </c>
      <c r="Y1243" s="68"/>
      <c r="Z1243" s="148">
        <f>ROUND(IF(X1243&gt;I1243,X1243,I1243),4)</f>
        <v>0</v>
      </c>
      <c r="AD1243" s="78">
        <f t="shared" si="16"/>
        <v>0</v>
      </c>
      <c r="AE1243" s="78">
        <f t="shared" si="17"/>
        <v>0</v>
      </c>
    </row>
    <row r="1244" spans="1:31" x14ac:dyDescent="0.2">
      <c r="A1244" s="66"/>
      <c r="B1244" s="66"/>
      <c r="C1244" s="66"/>
      <c r="D1244" s="144"/>
      <c r="E1244" s="67"/>
      <c r="F1244" s="67"/>
      <c r="G1244" s="67"/>
      <c r="H1244" s="67">
        <f>ROUND(+E1244+G1244,4)</f>
        <v>0</v>
      </c>
      <c r="I1244" s="67"/>
      <c r="J1244" s="67">
        <f>ROUND(+I1244-H1244,4)</f>
        <v>0</v>
      </c>
      <c r="K1244" s="67">
        <f>ROUND(IF(F1244="alluminio",0,I1244*1.5%),4)</f>
        <v>0</v>
      </c>
      <c r="L1244" s="67">
        <f>ROUND(IF(K1244&lt;J1244,K1244,0),4)</f>
        <v>0</v>
      </c>
      <c r="M1244" s="67">
        <f>ROUND(IF(J1244&gt;K1244,0,J1244),4)</f>
        <v>0</v>
      </c>
      <c r="N1244" s="67">
        <f>ROUND(+L1244*D1244,4)</f>
        <v>0</v>
      </c>
      <c r="O1244" s="67">
        <f>ROUND(IF(F1244="rame",0,+I1244*3%),4)</f>
        <v>0</v>
      </c>
      <c r="P1244" s="67">
        <f>ROUND(IF(O1244&lt;J1244,O1244,0),4)</f>
        <v>0</v>
      </c>
      <c r="Q1244" s="67">
        <f>ROUND(IF(J1244&gt;O1244,0,J1244),4)</f>
        <v>0</v>
      </c>
      <c r="R1244" s="67">
        <f>ROUND(+P1244*D1244,4)</f>
        <v>0</v>
      </c>
      <c r="S1244" s="67">
        <f>ROUND(IF(K1244=0,0,M1244*D1244),4)</f>
        <v>0</v>
      </c>
      <c r="T1244" s="67">
        <f>ROUND(+IF(K1244=0,Q1244*D1244,0),4)</f>
        <v>0</v>
      </c>
      <c r="U1244" s="67">
        <f>ROUND(+N1244+R1244+S1244+T1244,4)</f>
        <v>0</v>
      </c>
      <c r="V1244" s="67">
        <f>ROUND(IF(P1244=0,0,I1244-H1244-O1244)+IF(L1244=0,0,I1244-H1244-K1244),4)</f>
        <v>0</v>
      </c>
      <c r="W1244" s="67">
        <f>ROUND(+(V1244*60%)*D1244,4)</f>
        <v>0</v>
      </c>
      <c r="X1244" s="148">
        <f>ROUND(+U1244+W1244,4)</f>
        <v>0</v>
      </c>
      <c r="Y1244" s="68"/>
      <c r="Z1244" s="148">
        <f>ROUND(IF(X1244&gt;I1244,X1244,I1244),4)</f>
        <v>0</v>
      </c>
      <c r="AD1244" s="78">
        <f t="shared" si="16"/>
        <v>0</v>
      </c>
      <c r="AE1244" s="78">
        <f t="shared" si="17"/>
        <v>0</v>
      </c>
    </row>
    <row r="1245" spans="1:31" x14ac:dyDescent="0.2">
      <c r="A1245" s="66"/>
      <c r="B1245" s="66"/>
      <c r="C1245" s="66"/>
      <c r="D1245" s="144"/>
      <c r="E1245" s="67"/>
      <c r="F1245" s="67"/>
      <c r="G1245" s="67"/>
      <c r="H1245" s="67">
        <f>ROUND(+E1245+G1245,4)</f>
        <v>0</v>
      </c>
      <c r="I1245" s="67"/>
      <c r="J1245" s="67">
        <f>ROUND(+I1245-H1245,4)</f>
        <v>0</v>
      </c>
      <c r="K1245" s="67">
        <f>ROUND(IF(F1245="alluminio",0,I1245*1.5%),4)</f>
        <v>0</v>
      </c>
      <c r="L1245" s="67">
        <f>ROUND(IF(K1245&lt;J1245,K1245,0),4)</f>
        <v>0</v>
      </c>
      <c r="M1245" s="67">
        <f>ROUND(IF(J1245&gt;K1245,0,J1245),4)</f>
        <v>0</v>
      </c>
      <c r="N1245" s="67">
        <f>ROUND(+L1245*D1245,4)</f>
        <v>0</v>
      </c>
      <c r="O1245" s="67">
        <f>ROUND(IF(F1245="rame",0,+I1245*3%),4)</f>
        <v>0</v>
      </c>
      <c r="P1245" s="67">
        <f>ROUND(IF(O1245&lt;J1245,O1245,0),4)</f>
        <v>0</v>
      </c>
      <c r="Q1245" s="67">
        <f>ROUND(IF(J1245&gt;O1245,0,J1245),4)</f>
        <v>0</v>
      </c>
      <c r="R1245" s="67">
        <f>ROUND(+P1245*D1245,4)</f>
        <v>0</v>
      </c>
      <c r="S1245" s="67">
        <f>ROUND(IF(K1245=0,0,M1245*D1245),4)</f>
        <v>0</v>
      </c>
      <c r="T1245" s="67">
        <f>ROUND(+IF(K1245=0,Q1245*D1245,0),4)</f>
        <v>0</v>
      </c>
      <c r="U1245" s="67">
        <f>ROUND(+N1245+R1245+S1245+T1245,4)</f>
        <v>0</v>
      </c>
      <c r="V1245" s="67">
        <f>ROUND(IF(P1245=0,0,I1245-H1245-O1245)+IF(L1245=0,0,I1245-H1245-K1245),4)</f>
        <v>0</v>
      </c>
      <c r="W1245" s="67">
        <f>ROUND(+(V1245*60%)*D1245,4)</f>
        <v>0</v>
      </c>
      <c r="X1245" s="148">
        <f>ROUND(+U1245+W1245,4)</f>
        <v>0</v>
      </c>
      <c r="Y1245" s="68"/>
      <c r="Z1245" s="148">
        <f>ROUND(IF(X1245&gt;I1245,X1245,I1245),4)</f>
        <v>0</v>
      </c>
      <c r="AD1245" s="78">
        <f t="shared" si="16"/>
        <v>0</v>
      </c>
      <c r="AE1245" s="78">
        <f t="shared" si="17"/>
        <v>0</v>
      </c>
    </row>
    <row r="1246" spans="1:31" x14ac:dyDescent="0.2">
      <c r="A1246" s="66"/>
      <c r="B1246" s="66"/>
      <c r="C1246" s="66"/>
      <c r="D1246" s="144"/>
      <c r="E1246" s="67"/>
      <c r="F1246" s="67"/>
      <c r="G1246" s="67"/>
      <c r="H1246" s="67">
        <f>ROUND(+E1246+G1246,4)</f>
        <v>0</v>
      </c>
      <c r="I1246" s="67"/>
      <c r="J1246" s="67">
        <f>ROUND(+I1246-H1246,4)</f>
        <v>0</v>
      </c>
      <c r="K1246" s="67">
        <f>ROUND(IF(F1246="alluminio",0,I1246*1.5%),4)</f>
        <v>0</v>
      </c>
      <c r="L1246" s="67">
        <f>ROUND(IF(K1246&lt;J1246,K1246,0),4)</f>
        <v>0</v>
      </c>
      <c r="M1246" s="67">
        <f>ROUND(IF(J1246&gt;K1246,0,J1246),4)</f>
        <v>0</v>
      </c>
      <c r="N1246" s="67">
        <f>ROUND(+L1246*D1246,4)</f>
        <v>0</v>
      </c>
      <c r="O1246" s="67">
        <f>ROUND(IF(F1246="rame",0,+I1246*3%),4)</f>
        <v>0</v>
      </c>
      <c r="P1246" s="67">
        <f>ROUND(IF(O1246&lt;J1246,O1246,0),4)</f>
        <v>0</v>
      </c>
      <c r="Q1246" s="67">
        <f>ROUND(IF(J1246&gt;O1246,0,J1246),4)</f>
        <v>0</v>
      </c>
      <c r="R1246" s="67">
        <f>ROUND(+P1246*D1246,4)</f>
        <v>0</v>
      </c>
      <c r="S1246" s="67">
        <f>ROUND(IF(K1246=0,0,M1246*D1246),4)</f>
        <v>0</v>
      </c>
      <c r="T1246" s="67">
        <f>ROUND(+IF(K1246=0,Q1246*D1246,0),4)</f>
        <v>0</v>
      </c>
      <c r="U1246" s="67">
        <f>ROUND(+N1246+R1246+S1246+T1246,4)</f>
        <v>0</v>
      </c>
      <c r="V1246" s="67">
        <f>ROUND(IF(P1246=0,0,I1246-H1246-O1246)+IF(L1246=0,0,I1246-H1246-K1246),4)</f>
        <v>0</v>
      </c>
      <c r="W1246" s="67">
        <f>ROUND(+(V1246*60%)*D1246,4)</f>
        <v>0</v>
      </c>
      <c r="X1246" s="148">
        <f>ROUND(+U1246+W1246,4)</f>
        <v>0</v>
      </c>
      <c r="Y1246" s="68"/>
      <c r="Z1246" s="148">
        <f>ROUND(IF(X1246&gt;I1246,X1246,I1246),4)</f>
        <v>0</v>
      </c>
      <c r="AD1246" s="78">
        <f t="shared" si="16"/>
        <v>0</v>
      </c>
      <c r="AE1246" s="78">
        <f t="shared" si="17"/>
        <v>0</v>
      </c>
    </row>
    <row r="1247" spans="1:31" x14ac:dyDescent="0.2">
      <c r="A1247" s="66"/>
      <c r="B1247" s="66"/>
      <c r="C1247" s="66"/>
      <c r="D1247" s="144"/>
      <c r="E1247" s="67"/>
      <c r="F1247" s="67"/>
      <c r="G1247" s="67"/>
      <c r="H1247" s="67">
        <f>ROUND(+E1247+G1247,4)</f>
        <v>0</v>
      </c>
      <c r="I1247" s="67"/>
      <c r="J1247" s="67">
        <f>ROUND(+I1247-H1247,4)</f>
        <v>0</v>
      </c>
      <c r="K1247" s="67">
        <f>ROUND(IF(F1247="alluminio",0,I1247*1.5%),4)</f>
        <v>0</v>
      </c>
      <c r="L1247" s="67">
        <f>ROUND(IF(K1247&lt;J1247,K1247,0),4)</f>
        <v>0</v>
      </c>
      <c r="M1247" s="67">
        <f>ROUND(IF(J1247&gt;K1247,0,J1247),4)</f>
        <v>0</v>
      </c>
      <c r="N1247" s="67">
        <f>ROUND(+L1247*D1247,4)</f>
        <v>0</v>
      </c>
      <c r="O1247" s="67">
        <f>ROUND(IF(F1247="rame",0,+I1247*3%),4)</f>
        <v>0</v>
      </c>
      <c r="P1247" s="67">
        <f>ROUND(IF(O1247&lt;J1247,O1247,0),4)</f>
        <v>0</v>
      </c>
      <c r="Q1247" s="67">
        <f>ROUND(IF(J1247&gt;O1247,0,J1247),4)</f>
        <v>0</v>
      </c>
      <c r="R1247" s="67">
        <f>ROUND(+P1247*D1247,4)</f>
        <v>0</v>
      </c>
      <c r="S1247" s="67">
        <f>ROUND(IF(K1247=0,0,M1247*D1247),4)</f>
        <v>0</v>
      </c>
      <c r="T1247" s="67">
        <f>ROUND(+IF(K1247=0,Q1247*D1247,0),4)</f>
        <v>0</v>
      </c>
      <c r="U1247" s="67">
        <f>ROUND(+N1247+R1247+S1247+T1247,4)</f>
        <v>0</v>
      </c>
      <c r="V1247" s="67">
        <f>ROUND(IF(P1247=0,0,I1247-H1247-O1247)+IF(L1247=0,0,I1247-H1247-K1247),4)</f>
        <v>0</v>
      </c>
      <c r="W1247" s="67">
        <f>ROUND(+(V1247*60%)*D1247,4)</f>
        <v>0</v>
      </c>
      <c r="X1247" s="148">
        <f>ROUND(+U1247+W1247,4)</f>
        <v>0</v>
      </c>
      <c r="Y1247" s="68"/>
      <c r="Z1247" s="148">
        <f>ROUND(IF(X1247&gt;I1247,X1247,I1247),4)</f>
        <v>0</v>
      </c>
      <c r="AD1247" s="78">
        <f t="shared" si="16"/>
        <v>0</v>
      </c>
      <c r="AE1247" s="78">
        <f t="shared" si="17"/>
        <v>0</v>
      </c>
    </row>
    <row r="1248" spans="1:31" x14ac:dyDescent="0.2">
      <c r="A1248" s="66"/>
      <c r="B1248" s="66"/>
      <c r="C1248" s="66"/>
      <c r="D1248" s="144"/>
      <c r="E1248" s="67"/>
      <c r="F1248" s="67"/>
      <c r="G1248" s="67"/>
      <c r="H1248" s="67">
        <f>ROUND(+E1248+G1248,4)</f>
        <v>0</v>
      </c>
      <c r="I1248" s="67"/>
      <c r="J1248" s="67">
        <f>ROUND(+I1248-H1248,4)</f>
        <v>0</v>
      </c>
      <c r="K1248" s="67">
        <f>ROUND(IF(F1248="alluminio",0,I1248*1.5%),4)</f>
        <v>0</v>
      </c>
      <c r="L1248" s="67">
        <f>ROUND(IF(K1248&lt;J1248,K1248,0),4)</f>
        <v>0</v>
      </c>
      <c r="M1248" s="67">
        <f>ROUND(IF(J1248&gt;K1248,0,J1248),4)</f>
        <v>0</v>
      </c>
      <c r="N1248" s="67">
        <f>ROUND(+L1248*D1248,4)</f>
        <v>0</v>
      </c>
      <c r="O1248" s="67">
        <f>ROUND(IF(F1248="rame",0,+I1248*3%),4)</f>
        <v>0</v>
      </c>
      <c r="P1248" s="67">
        <f>ROUND(IF(O1248&lt;J1248,O1248,0),4)</f>
        <v>0</v>
      </c>
      <c r="Q1248" s="67">
        <f>ROUND(IF(J1248&gt;O1248,0,J1248),4)</f>
        <v>0</v>
      </c>
      <c r="R1248" s="67">
        <f>ROUND(+P1248*D1248,4)</f>
        <v>0</v>
      </c>
      <c r="S1248" s="67">
        <f>ROUND(IF(K1248=0,0,M1248*D1248),4)</f>
        <v>0</v>
      </c>
      <c r="T1248" s="67">
        <f>ROUND(+IF(K1248=0,Q1248*D1248,0),4)</f>
        <v>0</v>
      </c>
      <c r="U1248" s="67">
        <f>ROUND(+N1248+R1248+S1248+T1248,4)</f>
        <v>0</v>
      </c>
      <c r="V1248" s="67">
        <f>ROUND(IF(P1248=0,0,I1248-H1248-O1248)+IF(L1248=0,0,I1248-H1248-K1248),4)</f>
        <v>0</v>
      </c>
      <c r="W1248" s="67">
        <f>ROUND(+(V1248*60%)*D1248,4)</f>
        <v>0</v>
      </c>
      <c r="X1248" s="148">
        <f>ROUND(+U1248+W1248,4)</f>
        <v>0</v>
      </c>
      <c r="Y1248" s="68"/>
      <c r="Z1248" s="148">
        <f>ROUND(IF(X1248&gt;I1248,X1248,I1248),4)</f>
        <v>0</v>
      </c>
      <c r="AD1248" s="78">
        <f t="shared" si="16"/>
        <v>0</v>
      </c>
      <c r="AE1248" s="78">
        <f t="shared" si="17"/>
        <v>0</v>
      </c>
    </row>
    <row r="1249" spans="1:31" x14ac:dyDescent="0.2">
      <c r="A1249" s="66"/>
      <c r="B1249" s="66"/>
      <c r="C1249" s="66"/>
      <c r="D1249" s="144"/>
      <c r="E1249" s="67"/>
      <c r="F1249" s="67"/>
      <c r="G1249" s="67"/>
      <c r="H1249" s="67">
        <f>ROUND(+E1249+G1249,4)</f>
        <v>0</v>
      </c>
      <c r="I1249" s="67"/>
      <c r="J1249" s="67">
        <f>ROUND(+I1249-H1249,4)</f>
        <v>0</v>
      </c>
      <c r="K1249" s="67">
        <f>ROUND(IF(F1249="alluminio",0,I1249*1.5%),4)</f>
        <v>0</v>
      </c>
      <c r="L1249" s="67">
        <f>ROUND(IF(K1249&lt;J1249,K1249,0),4)</f>
        <v>0</v>
      </c>
      <c r="M1249" s="67">
        <f>ROUND(IF(J1249&gt;K1249,0,J1249),4)</f>
        <v>0</v>
      </c>
      <c r="N1249" s="67">
        <f>ROUND(+L1249*D1249,4)</f>
        <v>0</v>
      </c>
      <c r="O1249" s="67">
        <f>ROUND(IF(F1249="rame",0,+I1249*3%),4)</f>
        <v>0</v>
      </c>
      <c r="P1249" s="67">
        <f>ROUND(IF(O1249&lt;J1249,O1249,0),4)</f>
        <v>0</v>
      </c>
      <c r="Q1249" s="67">
        <f>ROUND(IF(J1249&gt;O1249,0,J1249),4)</f>
        <v>0</v>
      </c>
      <c r="R1249" s="67">
        <f>ROUND(+P1249*D1249,4)</f>
        <v>0</v>
      </c>
      <c r="S1249" s="67">
        <f>ROUND(IF(K1249=0,0,M1249*D1249),4)</f>
        <v>0</v>
      </c>
      <c r="T1249" s="67">
        <f>ROUND(+IF(K1249=0,Q1249*D1249,0),4)</f>
        <v>0</v>
      </c>
      <c r="U1249" s="67">
        <f>ROUND(+N1249+R1249+S1249+T1249,4)</f>
        <v>0</v>
      </c>
      <c r="V1249" s="67">
        <f>ROUND(IF(P1249=0,0,I1249-H1249-O1249)+IF(L1249=0,0,I1249-H1249-K1249),4)</f>
        <v>0</v>
      </c>
      <c r="W1249" s="67">
        <f>ROUND(+(V1249*60%)*D1249,4)</f>
        <v>0</v>
      </c>
      <c r="X1249" s="148">
        <f>ROUND(+U1249+W1249,4)</f>
        <v>0</v>
      </c>
      <c r="Y1249" s="68"/>
      <c r="Z1249" s="148">
        <f>ROUND(IF(X1249&gt;I1249,X1249,I1249),4)</f>
        <v>0</v>
      </c>
      <c r="AD1249" s="78">
        <f t="shared" si="16"/>
        <v>0</v>
      </c>
      <c r="AE1249" s="78">
        <f t="shared" si="17"/>
        <v>0</v>
      </c>
    </row>
    <row r="1250" spans="1:31" x14ac:dyDescent="0.2">
      <c r="A1250" s="66"/>
      <c r="B1250" s="66"/>
      <c r="C1250" s="66"/>
      <c r="D1250" s="144"/>
      <c r="E1250" s="67"/>
      <c r="F1250" s="67"/>
      <c r="G1250" s="67"/>
      <c r="H1250" s="67">
        <f>ROUND(+E1250+G1250,4)</f>
        <v>0</v>
      </c>
      <c r="I1250" s="67"/>
      <c r="J1250" s="67">
        <f>ROUND(+I1250-H1250,4)</f>
        <v>0</v>
      </c>
      <c r="K1250" s="67">
        <f>ROUND(IF(F1250="alluminio",0,I1250*1.5%),4)</f>
        <v>0</v>
      </c>
      <c r="L1250" s="67">
        <f>ROUND(IF(K1250&lt;J1250,K1250,0),4)</f>
        <v>0</v>
      </c>
      <c r="M1250" s="67">
        <f>ROUND(IF(J1250&gt;K1250,0,J1250),4)</f>
        <v>0</v>
      </c>
      <c r="N1250" s="67">
        <f>ROUND(+L1250*D1250,4)</f>
        <v>0</v>
      </c>
      <c r="O1250" s="67">
        <f>ROUND(IF(F1250="rame",0,+I1250*3%),4)</f>
        <v>0</v>
      </c>
      <c r="P1250" s="67">
        <f>ROUND(IF(O1250&lt;J1250,O1250,0),4)</f>
        <v>0</v>
      </c>
      <c r="Q1250" s="67">
        <f>ROUND(IF(J1250&gt;O1250,0,J1250),4)</f>
        <v>0</v>
      </c>
      <c r="R1250" s="67">
        <f>ROUND(+P1250*D1250,4)</f>
        <v>0</v>
      </c>
      <c r="S1250" s="67">
        <f>ROUND(IF(K1250=0,0,M1250*D1250),4)</f>
        <v>0</v>
      </c>
      <c r="T1250" s="67">
        <f>ROUND(+IF(K1250=0,Q1250*D1250,0),4)</f>
        <v>0</v>
      </c>
      <c r="U1250" s="67">
        <f>ROUND(+N1250+R1250+S1250+T1250,4)</f>
        <v>0</v>
      </c>
      <c r="V1250" s="67">
        <f>ROUND(IF(P1250=0,0,I1250-H1250-O1250)+IF(L1250=0,0,I1250-H1250-K1250),4)</f>
        <v>0</v>
      </c>
      <c r="W1250" s="67">
        <f>ROUND(+(V1250*60%)*D1250,4)</f>
        <v>0</v>
      </c>
      <c r="X1250" s="148">
        <f>ROUND(+U1250+W1250,4)</f>
        <v>0</v>
      </c>
      <c r="Y1250" s="68"/>
      <c r="Z1250" s="148">
        <f>ROUND(IF(X1250&gt;I1250,X1250,I1250),4)</f>
        <v>0</v>
      </c>
      <c r="AD1250" s="78">
        <f t="shared" si="16"/>
        <v>0</v>
      </c>
      <c r="AE1250" s="78">
        <f t="shared" si="17"/>
        <v>0</v>
      </c>
    </row>
    <row r="1251" spans="1:31" x14ac:dyDescent="0.2">
      <c r="A1251" s="66"/>
      <c r="B1251" s="66"/>
      <c r="C1251" s="66"/>
      <c r="D1251" s="144"/>
      <c r="E1251" s="67"/>
      <c r="F1251" s="67"/>
      <c r="G1251" s="67"/>
      <c r="H1251" s="67">
        <f>ROUND(+E1251+G1251,4)</f>
        <v>0</v>
      </c>
      <c r="I1251" s="67"/>
      <c r="J1251" s="67">
        <f>ROUND(+I1251-H1251,4)</f>
        <v>0</v>
      </c>
      <c r="K1251" s="67">
        <f>ROUND(IF(F1251="alluminio",0,I1251*1.5%),4)</f>
        <v>0</v>
      </c>
      <c r="L1251" s="67">
        <f>ROUND(IF(K1251&lt;J1251,K1251,0),4)</f>
        <v>0</v>
      </c>
      <c r="M1251" s="67">
        <f>ROUND(IF(J1251&gt;K1251,0,J1251),4)</f>
        <v>0</v>
      </c>
      <c r="N1251" s="67">
        <f>ROUND(+L1251*D1251,4)</f>
        <v>0</v>
      </c>
      <c r="O1251" s="67">
        <f>ROUND(IF(F1251="rame",0,+I1251*3%),4)</f>
        <v>0</v>
      </c>
      <c r="P1251" s="67">
        <f>ROUND(IF(O1251&lt;J1251,O1251,0),4)</f>
        <v>0</v>
      </c>
      <c r="Q1251" s="67">
        <f>ROUND(IF(J1251&gt;O1251,0,J1251),4)</f>
        <v>0</v>
      </c>
      <c r="R1251" s="67">
        <f>ROUND(+P1251*D1251,4)</f>
        <v>0</v>
      </c>
      <c r="S1251" s="67">
        <f>ROUND(IF(K1251=0,0,M1251*D1251),4)</f>
        <v>0</v>
      </c>
      <c r="T1251" s="67">
        <f>ROUND(+IF(K1251=0,Q1251*D1251,0),4)</f>
        <v>0</v>
      </c>
      <c r="U1251" s="67">
        <f>ROUND(+N1251+R1251+S1251+T1251,4)</f>
        <v>0</v>
      </c>
      <c r="V1251" s="67">
        <f>ROUND(IF(P1251=0,0,I1251-H1251-O1251)+IF(L1251=0,0,I1251-H1251-K1251),4)</f>
        <v>0</v>
      </c>
      <c r="W1251" s="67">
        <f>ROUND(+(V1251*60%)*D1251,4)</f>
        <v>0</v>
      </c>
      <c r="X1251" s="148">
        <f>ROUND(+U1251+W1251,4)</f>
        <v>0</v>
      </c>
      <c r="Y1251" s="68"/>
      <c r="Z1251" s="148">
        <f>ROUND(IF(X1251&gt;I1251,X1251,I1251),4)</f>
        <v>0</v>
      </c>
      <c r="AD1251" s="78">
        <f t="shared" si="16"/>
        <v>0</v>
      </c>
      <c r="AE1251" s="78">
        <f t="shared" si="17"/>
        <v>0</v>
      </c>
    </row>
    <row r="1252" spans="1:31" x14ac:dyDescent="0.2">
      <c r="A1252" s="66"/>
      <c r="B1252" s="66"/>
      <c r="C1252" s="66"/>
      <c r="D1252" s="144"/>
      <c r="E1252" s="67"/>
      <c r="F1252" s="67"/>
      <c r="G1252" s="67"/>
      <c r="H1252" s="67">
        <f>ROUND(+E1252+G1252,4)</f>
        <v>0</v>
      </c>
      <c r="I1252" s="67"/>
      <c r="J1252" s="67">
        <f>ROUND(+I1252-H1252,4)</f>
        <v>0</v>
      </c>
      <c r="K1252" s="67">
        <f>ROUND(IF(F1252="alluminio",0,I1252*1.5%),4)</f>
        <v>0</v>
      </c>
      <c r="L1252" s="67">
        <f>ROUND(IF(K1252&lt;J1252,K1252,0),4)</f>
        <v>0</v>
      </c>
      <c r="M1252" s="67">
        <f>ROUND(IF(J1252&gt;K1252,0,J1252),4)</f>
        <v>0</v>
      </c>
      <c r="N1252" s="67">
        <f>ROUND(+L1252*D1252,4)</f>
        <v>0</v>
      </c>
      <c r="O1252" s="67">
        <f>ROUND(IF(F1252="rame",0,+I1252*3%),4)</f>
        <v>0</v>
      </c>
      <c r="P1252" s="67">
        <f>ROUND(IF(O1252&lt;J1252,O1252,0),4)</f>
        <v>0</v>
      </c>
      <c r="Q1252" s="67">
        <f>ROUND(IF(J1252&gt;O1252,0,J1252),4)</f>
        <v>0</v>
      </c>
      <c r="R1252" s="67">
        <f>ROUND(+P1252*D1252,4)</f>
        <v>0</v>
      </c>
      <c r="S1252" s="67">
        <f>ROUND(IF(K1252=0,0,M1252*D1252),4)</f>
        <v>0</v>
      </c>
      <c r="T1252" s="67">
        <f>ROUND(+IF(K1252=0,Q1252*D1252,0),4)</f>
        <v>0</v>
      </c>
      <c r="U1252" s="67">
        <f>ROUND(+N1252+R1252+S1252+T1252,4)</f>
        <v>0</v>
      </c>
      <c r="V1252" s="67">
        <f>ROUND(IF(P1252=0,0,I1252-H1252-O1252)+IF(L1252=0,0,I1252-H1252-K1252),4)</f>
        <v>0</v>
      </c>
      <c r="W1252" s="67">
        <f>ROUND(+(V1252*60%)*D1252,4)</f>
        <v>0</v>
      </c>
      <c r="X1252" s="148">
        <f>ROUND(+U1252+W1252,4)</f>
        <v>0</v>
      </c>
      <c r="Y1252" s="68"/>
      <c r="Z1252" s="148">
        <f>ROUND(IF(X1252&gt;I1252,X1252,I1252),4)</f>
        <v>0</v>
      </c>
      <c r="AD1252" s="78">
        <f t="shared" si="16"/>
        <v>0</v>
      </c>
      <c r="AE1252" s="78">
        <f t="shared" si="17"/>
        <v>0</v>
      </c>
    </row>
    <row r="1253" spans="1:31" x14ac:dyDescent="0.2">
      <c r="A1253" s="66"/>
      <c r="B1253" s="66"/>
      <c r="C1253" s="66"/>
      <c r="D1253" s="144"/>
      <c r="E1253" s="67"/>
      <c r="F1253" s="67"/>
      <c r="G1253" s="67"/>
      <c r="H1253" s="67">
        <f>ROUND(+E1253+G1253,4)</f>
        <v>0</v>
      </c>
      <c r="I1253" s="67"/>
      <c r="J1253" s="67">
        <f>ROUND(+I1253-H1253,4)</f>
        <v>0</v>
      </c>
      <c r="K1253" s="67">
        <f>ROUND(IF(F1253="alluminio",0,I1253*1.5%),4)</f>
        <v>0</v>
      </c>
      <c r="L1253" s="67">
        <f>ROUND(IF(K1253&lt;J1253,K1253,0),4)</f>
        <v>0</v>
      </c>
      <c r="M1253" s="67">
        <f>ROUND(IF(J1253&gt;K1253,0,J1253),4)</f>
        <v>0</v>
      </c>
      <c r="N1253" s="67">
        <f>ROUND(+L1253*D1253,4)</f>
        <v>0</v>
      </c>
      <c r="O1253" s="67">
        <f>ROUND(IF(F1253="rame",0,+I1253*3%),4)</f>
        <v>0</v>
      </c>
      <c r="P1253" s="67">
        <f>ROUND(IF(O1253&lt;J1253,O1253,0),4)</f>
        <v>0</v>
      </c>
      <c r="Q1253" s="67">
        <f>ROUND(IF(J1253&gt;O1253,0,J1253),4)</f>
        <v>0</v>
      </c>
      <c r="R1253" s="67">
        <f>ROUND(+P1253*D1253,4)</f>
        <v>0</v>
      </c>
      <c r="S1253" s="67">
        <f>ROUND(IF(K1253=0,0,M1253*D1253),4)</f>
        <v>0</v>
      </c>
      <c r="T1253" s="67">
        <f>ROUND(+IF(K1253=0,Q1253*D1253,0),4)</f>
        <v>0</v>
      </c>
      <c r="U1253" s="67">
        <f>ROUND(+N1253+R1253+S1253+T1253,4)</f>
        <v>0</v>
      </c>
      <c r="V1253" s="67">
        <f>ROUND(IF(P1253=0,0,I1253-H1253-O1253)+IF(L1253=0,0,I1253-H1253-K1253),4)</f>
        <v>0</v>
      </c>
      <c r="W1253" s="67">
        <f>ROUND(+(V1253*60%)*D1253,4)</f>
        <v>0</v>
      </c>
      <c r="X1253" s="148">
        <f>ROUND(+U1253+W1253,4)</f>
        <v>0</v>
      </c>
      <c r="Y1253" s="68"/>
      <c r="Z1253" s="148">
        <f>ROUND(IF(X1253&gt;I1253,X1253,I1253),4)</f>
        <v>0</v>
      </c>
      <c r="AD1253" s="78">
        <f t="shared" si="16"/>
        <v>0</v>
      </c>
      <c r="AE1253" s="78">
        <f t="shared" si="17"/>
        <v>0</v>
      </c>
    </row>
    <row r="1254" spans="1:31" x14ac:dyDescent="0.2">
      <c r="A1254" s="66"/>
      <c r="B1254" s="66"/>
      <c r="C1254" s="66"/>
      <c r="D1254" s="144"/>
      <c r="E1254" s="67"/>
      <c r="F1254" s="67"/>
      <c r="G1254" s="67"/>
      <c r="H1254" s="67">
        <f>ROUND(+E1254+G1254,4)</f>
        <v>0</v>
      </c>
      <c r="I1254" s="67"/>
      <c r="J1254" s="67">
        <f>ROUND(+I1254-H1254,4)</f>
        <v>0</v>
      </c>
      <c r="K1254" s="67">
        <f>ROUND(IF(F1254="alluminio",0,I1254*1.5%),4)</f>
        <v>0</v>
      </c>
      <c r="L1254" s="67">
        <f>ROUND(IF(K1254&lt;J1254,K1254,0),4)</f>
        <v>0</v>
      </c>
      <c r="M1254" s="67">
        <f>ROUND(IF(J1254&gt;K1254,0,J1254),4)</f>
        <v>0</v>
      </c>
      <c r="N1254" s="67">
        <f>ROUND(+L1254*D1254,4)</f>
        <v>0</v>
      </c>
      <c r="O1254" s="67">
        <f>ROUND(IF(F1254="rame",0,+I1254*3%),4)</f>
        <v>0</v>
      </c>
      <c r="P1254" s="67">
        <f>ROUND(IF(O1254&lt;J1254,O1254,0),4)</f>
        <v>0</v>
      </c>
      <c r="Q1254" s="67">
        <f>ROUND(IF(J1254&gt;O1254,0,J1254),4)</f>
        <v>0</v>
      </c>
      <c r="R1254" s="67">
        <f>ROUND(+P1254*D1254,4)</f>
        <v>0</v>
      </c>
      <c r="S1254" s="67">
        <f>ROUND(IF(K1254=0,0,M1254*D1254),4)</f>
        <v>0</v>
      </c>
      <c r="T1254" s="67">
        <f>ROUND(+IF(K1254=0,Q1254*D1254,0),4)</f>
        <v>0</v>
      </c>
      <c r="U1254" s="67">
        <f>ROUND(+N1254+R1254+S1254+T1254,4)</f>
        <v>0</v>
      </c>
      <c r="V1254" s="67">
        <f>ROUND(IF(P1254=0,0,I1254-H1254-O1254)+IF(L1254=0,0,I1254-H1254-K1254),4)</f>
        <v>0</v>
      </c>
      <c r="W1254" s="67">
        <f>ROUND(+(V1254*60%)*D1254,4)</f>
        <v>0</v>
      </c>
      <c r="X1254" s="148">
        <f>ROUND(+U1254+W1254,4)</f>
        <v>0</v>
      </c>
      <c r="Y1254" s="68"/>
      <c r="Z1254" s="148">
        <f>ROUND(IF(X1254&gt;I1254,X1254,I1254),4)</f>
        <v>0</v>
      </c>
      <c r="AD1254" s="78">
        <f t="shared" si="16"/>
        <v>0</v>
      </c>
      <c r="AE1254" s="78">
        <f t="shared" si="17"/>
        <v>0</v>
      </c>
    </row>
    <row r="1255" spans="1:31" x14ac:dyDescent="0.2">
      <c r="A1255" s="66"/>
      <c r="B1255" s="66"/>
      <c r="C1255" s="66"/>
      <c r="D1255" s="144"/>
      <c r="E1255" s="67"/>
      <c r="F1255" s="67"/>
      <c r="G1255" s="67"/>
      <c r="H1255" s="67">
        <f>ROUND(+E1255+G1255,4)</f>
        <v>0</v>
      </c>
      <c r="I1255" s="67"/>
      <c r="J1255" s="67">
        <f>ROUND(+I1255-H1255,4)</f>
        <v>0</v>
      </c>
      <c r="K1255" s="67">
        <f>ROUND(IF(F1255="alluminio",0,I1255*1.5%),4)</f>
        <v>0</v>
      </c>
      <c r="L1255" s="67">
        <f>ROUND(IF(K1255&lt;J1255,K1255,0),4)</f>
        <v>0</v>
      </c>
      <c r="M1255" s="67">
        <f>ROUND(IF(J1255&gt;K1255,0,J1255),4)</f>
        <v>0</v>
      </c>
      <c r="N1255" s="67">
        <f>ROUND(+L1255*D1255,4)</f>
        <v>0</v>
      </c>
      <c r="O1255" s="67">
        <f>ROUND(IF(F1255="rame",0,+I1255*3%),4)</f>
        <v>0</v>
      </c>
      <c r="P1255" s="67">
        <f>ROUND(IF(O1255&lt;J1255,O1255,0),4)</f>
        <v>0</v>
      </c>
      <c r="Q1255" s="67">
        <f>ROUND(IF(J1255&gt;O1255,0,J1255),4)</f>
        <v>0</v>
      </c>
      <c r="R1255" s="67">
        <f>ROUND(+P1255*D1255,4)</f>
        <v>0</v>
      </c>
      <c r="S1255" s="67">
        <f>ROUND(IF(K1255=0,0,M1255*D1255),4)</f>
        <v>0</v>
      </c>
      <c r="T1255" s="67">
        <f>ROUND(+IF(K1255=0,Q1255*D1255,0),4)</f>
        <v>0</v>
      </c>
      <c r="U1255" s="67">
        <f>ROUND(+N1255+R1255+S1255+T1255,4)</f>
        <v>0</v>
      </c>
      <c r="V1255" s="67">
        <f>ROUND(IF(P1255=0,0,I1255-H1255-O1255)+IF(L1255=0,0,I1255-H1255-K1255),4)</f>
        <v>0</v>
      </c>
      <c r="W1255" s="67">
        <f>ROUND(+(V1255*60%)*D1255,4)</f>
        <v>0</v>
      </c>
      <c r="X1255" s="148">
        <f>ROUND(+U1255+W1255,4)</f>
        <v>0</v>
      </c>
      <c r="Y1255" s="68"/>
      <c r="Z1255" s="148">
        <f>ROUND(IF(X1255&gt;I1255,X1255,I1255),4)</f>
        <v>0</v>
      </c>
      <c r="AD1255" s="78">
        <f t="shared" si="16"/>
        <v>0</v>
      </c>
      <c r="AE1255" s="78">
        <f t="shared" si="17"/>
        <v>0</v>
      </c>
    </row>
    <row r="1256" spans="1:31" x14ac:dyDescent="0.2">
      <c r="A1256" s="66"/>
      <c r="B1256" s="66"/>
      <c r="C1256" s="66"/>
      <c r="D1256" s="144"/>
      <c r="E1256" s="67"/>
      <c r="F1256" s="67"/>
      <c r="G1256" s="67"/>
      <c r="H1256" s="67">
        <f>ROUND(+E1256+G1256,4)</f>
        <v>0</v>
      </c>
      <c r="I1256" s="67"/>
      <c r="J1256" s="67">
        <f>ROUND(+I1256-H1256,4)</f>
        <v>0</v>
      </c>
      <c r="K1256" s="67">
        <f>ROUND(IF(F1256="alluminio",0,I1256*1.5%),4)</f>
        <v>0</v>
      </c>
      <c r="L1256" s="67">
        <f>ROUND(IF(K1256&lt;J1256,K1256,0),4)</f>
        <v>0</v>
      </c>
      <c r="M1256" s="67">
        <f>ROUND(IF(J1256&gt;K1256,0,J1256),4)</f>
        <v>0</v>
      </c>
      <c r="N1256" s="67">
        <f>ROUND(+L1256*D1256,4)</f>
        <v>0</v>
      </c>
      <c r="O1256" s="67">
        <f>ROUND(IF(F1256="rame",0,+I1256*3%),4)</f>
        <v>0</v>
      </c>
      <c r="P1256" s="67">
        <f>ROUND(IF(O1256&lt;J1256,O1256,0),4)</f>
        <v>0</v>
      </c>
      <c r="Q1256" s="67">
        <f>ROUND(IF(J1256&gt;O1256,0,J1256),4)</f>
        <v>0</v>
      </c>
      <c r="R1256" s="67">
        <f>ROUND(+P1256*D1256,4)</f>
        <v>0</v>
      </c>
      <c r="S1256" s="67">
        <f>ROUND(IF(K1256=0,0,M1256*D1256),4)</f>
        <v>0</v>
      </c>
      <c r="T1256" s="67">
        <f>ROUND(+IF(K1256=0,Q1256*D1256,0),4)</f>
        <v>0</v>
      </c>
      <c r="U1256" s="67">
        <f>ROUND(+N1256+R1256+S1256+T1256,4)</f>
        <v>0</v>
      </c>
      <c r="V1256" s="67">
        <f>ROUND(IF(P1256=0,0,I1256-H1256-O1256)+IF(L1256=0,0,I1256-H1256-K1256),4)</f>
        <v>0</v>
      </c>
      <c r="W1256" s="67">
        <f>ROUND(+(V1256*60%)*D1256,4)</f>
        <v>0</v>
      </c>
      <c r="X1256" s="148">
        <f>ROUND(+U1256+W1256,4)</f>
        <v>0</v>
      </c>
      <c r="Y1256" s="68"/>
      <c r="Z1256" s="148">
        <f>ROUND(IF(X1256&gt;I1256,X1256,I1256),4)</f>
        <v>0</v>
      </c>
      <c r="AD1256" s="78">
        <f t="shared" si="16"/>
        <v>0</v>
      </c>
      <c r="AE1256" s="78">
        <f t="shared" si="17"/>
        <v>0</v>
      </c>
    </row>
    <row r="1257" spans="1:31" x14ac:dyDescent="0.2">
      <c r="A1257" s="66"/>
      <c r="B1257" s="66"/>
      <c r="C1257" s="66"/>
      <c r="D1257" s="144"/>
      <c r="E1257" s="67"/>
      <c r="F1257" s="67"/>
      <c r="G1257" s="67"/>
      <c r="H1257" s="67">
        <f>ROUND(+E1257+G1257,4)</f>
        <v>0</v>
      </c>
      <c r="I1257" s="67"/>
      <c r="J1257" s="67">
        <f>ROUND(+I1257-H1257,4)</f>
        <v>0</v>
      </c>
      <c r="K1257" s="67">
        <f>ROUND(IF(F1257="alluminio",0,I1257*1.5%),4)</f>
        <v>0</v>
      </c>
      <c r="L1257" s="67">
        <f>ROUND(IF(K1257&lt;J1257,K1257,0),4)</f>
        <v>0</v>
      </c>
      <c r="M1257" s="67">
        <f>ROUND(IF(J1257&gt;K1257,0,J1257),4)</f>
        <v>0</v>
      </c>
      <c r="N1257" s="67">
        <f>ROUND(+L1257*D1257,4)</f>
        <v>0</v>
      </c>
      <c r="O1257" s="67">
        <f>ROUND(IF(F1257="rame",0,+I1257*3%),4)</f>
        <v>0</v>
      </c>
      <c r="P1257" s="67">
        <f>ROUND(IF(O1257&lt;J1257,O1257,0),4)</f>
        <v>0</v>
      </c>
      <c r="Q1257" s="67">
        <f>ROUND(IF(J1257&gt;O1257,0,J1257),4)</f>
        <v>0</v>
      </c>
      <c r="R1257" s="67">
        <f>ROUND(+P1257*D1257,4)</f>
        <v>0</v>
      </c>
      <c r="S1257" s="67">
        <f>ROUND(IF(K1257=0,0,M1257*D1257),4)</f>
        <v>0</v>
      </c>
      <c r="T1257" s="67">
        <f>ROUND(+IF(K1257=0,Q1257*D1257,0),4)</f>
        <v>0</v>
      </c>
      <c r="U1257" s="67">
        <f>ROUND(+N1257+R1257+S1257+T1257,4)</f>
        <v>0</v>
      </c>
      <c r="V1257" s="67">
        <f>ROUND(IF(P1257=0,0,I1257-H1257-O1257)+IF(L1257=0,0,I1257-H1257-K1257),4)</f>
        <v>0</v>
      </c>
      <c r="W1257" s="67">
        <f>ROUND(+(V1257*60%)*D1257,4)</f>
        <v>0</v>
      </c>
      <c r="X1257" s="148">
        <f>ROUND(+U1257+W1257,4)</f>
        <v>0</v>
      </c>
      <c r="Y1257" s="68"/>
      <c r="Z1257" s="148">
        <f>ROUND(IF(X1257&gt;I1257,X1257,I1257),4)</f>
        <v>0</v>
      </c>
      <c r="AD1257" s="78">
        <f t="shared" si="16"/>
        <v>0</v>
      </c>
      <c r="AE1257" s="78">
        <f t="shared" si="17"/>
        <v>0</v>
      </c>
    </row>
    <row r="1258" spans="1:31" x14ac:dyDescent="0.2">
      <c r="A1258" s="66"/>
      <c r="B1258" s="66"/>
      <c r="C1258" s="66"/>
      <c r="D1258" s="144"/>
      <c r="E1258" s="67"/>
      <c r="F1258" s="67"/>
      <c r="G1258" s="67"/>
      <c r="H1258" s="67">
        <f>ROUND(+E1258+G1258,4)</f>
        <v>0</v>
      </c>
      <c r="I1258" s="67"/>
      <c r="J1258" s="67">
        <f>ROUND(+I1258-H1258,4)</f>
        <v>0</v>
      </c>
      <c r="K1258" s="67">
        <f>ROUND(IF(F1258="alluminio",0,I1258*1.5%),4)</f>
        <v>0</v>
      </c>
      <c r="L1258" s="67">
        <f>ROUND(IF(K1258&lt;J1258,K1258,0),4)</f>
        <v>0</v>
      </c>
      <c r="M1258" s="67">
        <f>ROUND(IF(J1258&gt;K1258,0,J1258),4)</f>
        <v>0</v>
      </c>
      <c r="N1258" s="67">
        <f>ROUND(+L1258*D1258,4)</f>
        <v>0</v>
      </c>
      <c r="O1258" s="67">
        <f>ROUND(IF(F1258="rame",0,+I1258*3%),4)</f>
        <v>0</v>
      </c>
      <c r="P1258" s="67">
        <f>ROUND(IF(O1258&lt;J1258,O1258,0),4)</f>
        <v>0</v>
      </c>
      <c r="Q1258" s="67">
        <f>ROUND(IF(J1258&gt;O1258,0,J1258),4)</f>
        <v>0</v>
      </c>
      <c r="R1258" s="67">
        <f>ROUND(+P1258*D1258,4)</f>
        <v>0</v>
      </c>
      <c r="S1258" s="67">
        <f>ROUND(IF(K1258=0,0,M1258*D1258),4)</f>
        <v>0</v>
      </c>
      <c r="T1258" s="67">
        <f>ROUND(+IF(K1258=0,Q1258*D1258,0),4)</f>
        <v>0</v>
      </c>
      <c r="U1258" s="67">
        <f>ROUND(+N1258+R1258+S1258+T1258,4)</f>
        <v>0</v>
      </c>
      <c r="V1258" s="67">
        <f>ROUND(IF(P1258=0,0,I1258-H1258-O1258)+IF(L1258=0,0,I1258-H1258-K1258),4)</f>
        <v>0</v>
      </c>
      <c r="W1258" s="67">
        <f>ROUND(+(V1258*60%)*D1258,4)</f>
        <v>0</v>
      </c>
      <c r="X1258" s="148">
        <f>ROUND(+U1258+W1258,4)</f>
        <v>0</v>
      </c>
      <c r="Y1258" s="68"/>
      <c r="Z1258" s="148">
        <f>ROUND(IF(X1258&gt;I1258,X1258,I1258),4)</f>
        <v>0</v>
      </c>
      <c r="AD1258" s="78">
        <f t="shared" si="16"/>
        <v>0</v>
      </c>
      <c r="AE1258" s="78">
        <f t="shared" si="17"/>
        <v>0</v>
      </c>
    </row>
    <row r="1259" spans="1:31" x14ac:dyDescent="0.2">
      <c r="A1259" s="66"/>
      <c r="B1259" s="66"/>
      <c r="C1259" s="66"/>
      <c r="D1259" s="144"/>
      <c r="E1259" s="67"/>
      <c r="F1259" s="67"/>
      <c r="G1259" s="67"/>
      <c r="H1259" s="67">
        <f>ROUND(+E1259+G1259,4)</f>
        <v>0</v>
      </c>
      <c r="I1259" s="67"/>
      <c r="J1259" s="67">
        <f>ROUND(+I1259-H1259,4)</f>
        <v>0</v>
      </c>
      <c r="K1259" s="67">
        <f>ROUND(IF(F1259="alluminio",0,I1259*1.5%),4)</f>
        <v>0</v>
      </c>
      <c r="L1259" s="67">
        <f>ROUND(IF(K1259&lt;J1259,K1259,0),4)</f>
        <v>0</v>
      </c>
      <c r="M1259" s="67">
        <f>ROUND(IF(J1259&gt;K1259,0,J1259),4)</f>
        <v>0</v>
      </c>
      <c r="N1259" s="67">
        <f>ROUND(+L1259*D1259,4)</f>
        <v>0</v>
      </c>
      <c r="O1259" s="67">
        <f>ROUND(IF(F1259="rame",0,+I1259*3%),4)</f>
        <v>0</v>
      </c>
      <c r="P1259" s="67">
        <f>ROUND(IF(O1259&lt;J1259,O1259,0),4)</f>
        <v>0</v>
      </c>
      <c r="Q1259" s="67">
        <f>ROUND(IF(J1259&gt;O1259,0,J1259),4)</f>
        <v>0</v>
      </c>
      <c r="R1259" s="67">
        <f>ROUND(+P1259*D1259,4)</f>
        <v>0</v>
      </c>
      <c r="S1259" s="67">
        <f>ROUND(IF(K1259=0,0,M1259*D1259),4)</f>
        <v>0</v>
      </c>
      <c r="T1259" s="67">
        <f>ROUND(+IF(K1259=0,Q1259*D1259,0),4)</f>
        <v>0</v>
      </c>
      <c r="U1259" s="67">
        <f>ROUND(+N1259+R1259+S1259+T1259,4)</f>
        <v>0</v>
      </c>
      <c r="V1259" s="67">
        <f>ROUND(IF(P1259=0,0,I1259-H1259-O1259)+IF(L1259=0,0,I1259-H1259-K1259),4)</f>
        <v>0</v>
      </c>
      <c r="W1259" s="67">
        <f>ROUND(+(V1259*60%)*D1259,4)</f>
        <v>0</v>
      </c>
      <c r="X1259" s="148">
        <f>ROUND(+U1259+W1259,4)</f>
        <v>0</v>
      </c>
      <c r="Y1259" s="68"/>
      <c r="Z1259" s="148">
        <f>ROUND(IF(X1259&gt;I1259,X1259,I1259),4)</f>
        <v>0</v>
      </c>
      <c r="AD1259" s="78">
        <f t="shared" si="16"/>
        <v>0</v>
      </c>
      <c r="AE1259" s="78">
        <f t="shared" si="17"/>
        <v>0</v>
      </c>
    </row>
    <row r="1260" spans="1:31" x14ac:dyDescent="0.2">
      <c r="A1260" s="66"/>
      <c r="B1260" s="66"/>
      <c r="C1260" s="66"/>
      <c r="D1260" s="144"/>
      <c r="E1260" s="67"/>
      <c r="F1260" s="67"/>
      <c r="G1260" s="67"/>
      <c r="H1260" s="67">
        <f>ROUND(+E1260+G1260,4)</f>
        <v>0</v>
      </c>
      <c r="I1260" s="67"/>
      <c r="J1260" s="67">
        <f>ROUND(+I1260-H1260,4)</f>
        <v>0</v>
      </c>
      <c r="K1260" s="67">
        <f>ROUND(IF(F1260="alluminio",0,I1260*1.5%),4)</f>
        <v>0</v>
      </c>
      <c r="L1260" s="67">
        <f>ROUND(IF(K1260&lt;J1260,K1260,0),4)</f>
        <v>0</v>
      </c>
      <c r="M1260" s="67">
        <f>ROUND(IF(J1260&gt;K1260,0,J1260),4)</f>
        <v>0</v>
      </c>
      <c r="N1260" s="67">
        <f>ROUND(+L1260*D1260,4)</f>
        <v>0</v>
      </c>
      <c r="O1260" s="67">
        <f>ROUND(IF(F1260="rame",0,+I1260*3%),4)</f>
        <v>0</v>
      </c>
      <c r="P1260" s="67">
        <f>ROUND(IF(O1260&lt;J1260,O1260,0),4)</f>
        <v>0</v>
      </c>
      <c r="Q1260" s="67">
        <f>ROUND(IF(J1260&gt;O1260,0,J1260),4)</f>
        <v>0</v>
      </c>
      <c r="R1260" s="67">
        <f>ROUND(+P1260*D1260,4)</f>
        <v>0</v>
      </c>
      <c r="S1260" s="67">
        <f>ROUND(IF(K1260=0,0,M1260*D1260),4)</f>
        <v>0</v>
      </c>
      <c r="T1260" s="67">
        <f>ROUND(+IF(K1260=0,Q1260*D1260,0),4)</f>
        <v>0</v>
      </c>
      <c r="U1260" s="67">
        <f>ROUND(+N1260+R1260+S1260+T1260,4)</f>
        <v>0</v>
      </c>
      <c r="V1260" s="67">
        <f>ROUND(IF(P1260=0,0,I1260-H1260-O1260)+IF(L1260=0,0,I1260-H1260-K1260),4)</f>
        <v>0</v>
      </c>
      <c r="W1260" s="67">
        <f>ROUND(+(V1260*60%)*D1260,4)</f>
        <v>0</v>
      </c>
      <c r="X1260" s="148">
        <f>ROUND(+U1260+W1260,4)</f>
        <v>0</v>
      </c>
      <c r="Y1260" s="68"/>
      <c r="Z1260" s="148">
        <f>ROUND(IF(X1260&gt;I1260,X1260,I1260),4)</f>
        <v>0</v>
      </c>
      <c r="AD1260" s="78">
        <f t="shared" si="16"/>
        <v>0</v>
      </c>
      <c r="AE1260" s="78">
        <f t="shared" si="17"/>
        <v>0</v>
      </c>
    </row>
    <row r="1261" spans="1:31" x14ac:dyDescent="0.2">
      <c r="A1261" s="66"/>
      <c r="B1261" s="66"/>
      <c r="C1261" s="66"/>
      <c r="D1261" s="144"/>
      <c r="E1261" s="67"/>
      <c r="F1261" s="67"/>
      <c r="G1261" s="67"/>
      <c r="H1261" s="67">
        <f>ROUND(+E1261+G1261,4)</f>
        <v>0</v>
      </c>
      <c r="I1261" s="67"/>
      <c r="J1261" s="67">
        <f>ROUND(+I1261-H1261,4)</f>
        <v>0</v>
      </c>
      <c r="K1261" s="67">
        <f>ROUND(IF(F1261="alluminio",0,I1261*1.5%),4)</f>
        <v>0</v>
      </c>
      <c r="L1261" s="67">
        <f>ROUND(IF(K1261&lt;J1261,K1261,0),4)</f>
        <v>0</v>
      </c>
      <c r="M1261" s="67">
        <f>ROUND(IF(J1261&gt;K1261,0,J1261),4)</f>
        <v>0</v>
      </c>
      <c r="N1261" s="67">
        <f>ROUND(+L1261*D1261,4)</f>
        <v>0</v>
      </c>
      <c r="O1261" s="67">
        <f>ROUND(IF(F1261="rame",0,+I1261*3%),4)</f>
        <v>0</v>
      </c>
      <c r="P1261" s="67">
        <f>ROUND(IF(O1261&lt;J1261,O1261,0),4)</f>
        <v>0</v>
      </c>
      <c r="Q1261" s="67">
        <f>ROUND(IF(J1261&gt;O1261,0,J1261),4)</f>
        <v>0</v>
      </c>
      <c r="R1261" s="67">
        <f>ROUND(+P1261*D1261,4)</f>
        <v>0</v>
      </c>
      <c r="S1261" s="67">
        <f>ROUND(IF(K1261=0,0,M1261*D1261),4)</f>
        <v>0</v>
      </c>
      <c r="T1261" s="67">
        <f>ROUND(+IF(K1261=0,Q1261*D1261,0),4)</f>
        <v>0</v>
      </c>
      <c r="U1261" s="67">
        <f>ROUND(+N1261+R1261+S1261+T1261,4)</f>
        <v>0</v>
      </c>
      <c r="V1261" s="67">
        <f>ROUND(IF(P1261=0,0,I1261-H1261-O1261)+IF(L1261=0,0,I1261-H1261-K1261),4)</f>
        <v>0</v>
      </c>
      <c r="W1261" s="67">
        <f>ROUND(+(V1261*60%)*D1261,4)</f>
        <v>0</v>
      </c>
      <c r="X1261" s="148">
        <f>ROUND(+U1261+W1261,4)</f>
        <v>0</v>
      </c>
      <c r="Y1261" s="68"/>
      <c r="Z1261" s="148">
        <f>ROUND(IF(X1261&gt;I1261,X1261,I1261),4)</f>
        <v>0</v>
      </c>
      <c r="AD1261" s="78">
        <f t="shared" si="16"/>
        <v>0</v>
      </c>
      <c r="AE1261" s="78">
        <f t="shared" si="17"/>
        <v>0</v>
      </c>
    </row>
    <row r="1262" spans="1:31" x14ac:dyDescent="0.2">
      <c r="A1262" s="66"/>
      <c r="B1262" s="66"/>
      <c r="C1262" s="66"/>
      <c r="D1262" s="144"/>
      <c r="E1262" s="67"/>
      <c r="F1262" s="67"/>
      <c r="G1262" s="67"/>
      <c r="H1262" s="67">
        <f>ROUND(+E1262+G1262,4)</f>
        <v>0</v>
      </c>
      <c r="I1262" s="67"/>
      <c r="J1262" s="67">
        <f>ROUND(+I1262-H1262,4)</f>
        <v>0</v>
      </c>
      <c r="K1262" s="67">
        <f>ROUND(IF(F1262="alluminio",0,I1262*1.5%),4)</f>
        <v>0</v>
      </c>
      <c r="L1262" s="67">
        <f>ROUND(IF(K1262&lt;J1262,K1262,0),4)</f>
        <v>0</v>
      </c>
      <c r="M1262" s="67">
        <f>ROUND(IF(J1262&gt;K1262,0,J1262),4)</f>
        <v>0</v>
      </c>
      <c r="N1262" s="67">
        <f>ROUND(+L1262*D1262,4)</f>
        <v>0</v>
      </c>
      <c r="O1262" s="67">
        <f>ROUND(IF(F1262="rame",0,+I1262*3%),4)</f>
        <v>0</v>
      </c>
      <c r="P1262" s="67">
        <f>ROUND(IF(O1262&lt;J1262,O1262,0),4)</f>
        <v>0</v>
      </c>
      <c r="Q1262" s="67">
        <f>ROUND(IF(J1262&gt;O1262,0,J1262),4)</f>
        <v>0</v>
      </c>
      <c r="R1262" s="67">
        <f>ROUND(+P1262*D1262,4)</f>
        <v>0</v>
      </c>
      <c r="S1262" s="67">
        <f>ROUND(IF(K1262=0,0,M1262*D1262),4)</f>
        <v>0</v>
      </c>
      <c r="T1262" s="67">
        <f>ROUND(+IF(K1262=0,Q1262*D1262,0),4)</f>
        <v>0</v>
      </c>
      <c r="U1262" s="67">
        <f>ROUND(+N1262+R1262+S1262+T1262,4)</f>
        <v>0</v>
      </c>
      <c r="V1262" s="67">
        <f>ROUND(IF(P1262=0,0,I1262-H1262-O1262)+IF(L1262=0,0,I1262-H1262-K1262),4)</f>
        <v>0</v>
      </c>
      <c r="W1262" s="67">
        <f>ROUND(+(V1262*60%)*D1262,4)</f>
        <v>0</v>
      </c>
      <c r="X1262" s="148">
        <f>ROUND(+U1262+W1262,4)</f>
        <v>0</v>
      </c>
      <c r="Y1262" s="68"/>
      <c r="Z1262" s="148">
        <f>ROUND(IF(X1262&gt;I1262,X1262,I1262),4)</f>
        <v>0</v>
      </c>
      <c r="AD1262" s="78">
        <f t="shared" si="16"/>
        <v>0</v>
      </c>
      <c r="AE1262" s="78">
        <f t="shared" si="17"/>
        <v>0</v>
      </c>
    </row>
    <row r="1263" spans="1:31" x14ac:dyDescent="0.2">
      <c r="A1263" s="66"/>
      <c r="B1263" s="66"/>
      <c r="C1263" s="66"/>
      <c r="D1263" s="144"/>
      <c r="E1263" s="67"/>
      <c r="F1263" s="67"/>
      <c r="G1263" s="67"/>
      <c r="H1263" s="67">
        <f>ROUND(+E1263+G1263,4)</f>
        <v>0</v>
      </c>
      <c r="I1263" s="67"/>
      <c r="J1263" s="67">
        <f>ROUND(+I1263-H1263,4)</f>
        <v>0</v>
      </c>
      <c r="K1263" s="67">
        <f>ROUND(IF(F1263="alluminio",0,I1263*1.5%),4)</f>
        <v>0</v>
      </c>
      <c r="L1263" s="67">
        <f>ROUND(IF(K1263&lt;J1263,K1263,0),4)</f>
        <v>0</v>
      </c>
      <c r="M1263" s="67">
        <f>ROUND(IF(J1263&gt;K1263,0,J1263),4)</f>
        <v>0</v>
      </c>
      <c r="N1263" s="67">
        <f>ROUND(+L1263*D1263,4)</f>
        <v>0</v>
      </c>
      <c r="O1263" s="67">
        <f>ROUND(IF(F1263="rame",0,+I1263*3%),4)</f>
        <v>0</v>
      </c>
      <c r="P1263" s="67">
        <f>ROUND(IF(O1263&lt;J1263,O1263,0),4)</f>
        <v>0</v>
      </c>
      <c r="Q1263" s="67">
        <f>ROUND(IF(J1263&gt;O1263,0,J1263),4)</f>
        <v>0</v>
      </c>
      <c r="R1263" s="67">
        <f>ROUND(+P1263*D1263,4)</f>
        <v>0</v>
      </c>
      <c r="S1263" s="67">
        <f>ROUND(IF(K1263=0,0,M1263*D1263),4)</f>
        <v>0</v>
      </c>
      <c r="T1263" s="67">
        <f>ROUND(+IF(K1263=0,Q1263*D1263,0),4)</f>
        <v>0</v>
      </c>
      <c r="U1263" s="67">
        <f>ROUND(+N1263+R1263+S1263+T1263,4)</f>
        <v>0</v>
      </c>
      <c r="V1263" s="67">
        <f>ROUND(IF(P1263=0,0,I1263-H1263-O1263)+IF(L1263=0,0,I1263-H1263-K1263),4)</f>
        <v>0</v>
      </c>
      <c r="W1263" s="67">
        <f>ROUND(+(V1263*60%)*D1263,4)</f>
        <v>0</v>
      </c>
      <c r="X1263" s="148">
        <f>ROUND(+U1263+W1263,4)</f>
        <v>0</v>
      </c>
      <c r="Y1263" s="68"/>
      <c r="Z1263" s="148">
        <f>ROUND(IF(X1263&gt;I1263,X1263,I1263),4)</f>
        <v>0</v>
      </c>
      <c r="AD1263" s="78">
        <f t="shared" si="16"/>
        <v>0</v>
      </c>
      <c r="AE1263" s="78">
        <f t="shared" si="17"/>
        <v>0</v>
      </c>
    </row>
    <row r="1264" spans="1:31" x14ac:dyDescent="0.2">
      <c r="A1264" s="66"/>
      <c r="B1264" s="66"/>
      <c r="C1264" s="66"/>
      <c r="D1264" s="144"/>
      <c r="E1264" s="67"/>
      <c r="F1264" s="67"/>
      <c r="G1264" s="67"/>
      <c r="H1264" s="67">
        <f>ROUND(+E1264+G1264,4)</f>
        <v>0</v>
      </c>
      <c r="I1264" s="67"/>
      <c r="J1264" s="67">
        <f>ROUND(+I1264-H1264,4)</f>
        <v>0</v>
      </c>
      <c r="K1264" s="67">
        <f>ROUND(IF(F1264="alluminio",0,I1264*1.5%),4)</f>
        <v>0</v>
      </c>
      <c r="L1264" s="67">
        <f>ROUND(IF(K1264&lt;J1264,K1264,0),4)</f>
        <v>0</v>
      </c>
      <c r="M1264" s="67">
        <f>ROUND(IF(J1264&gt;K1264,0,J1264),4)</f>
        <v>0</v>
      </c>
      <c r="N1264" s="67">
        <f>ROUND(+L1264*D1264,4)</f>
        <v>0</v>
      </c>
      <c r="O1264" s="67">
        <f>ROUND(IF(F1264="rame",0,+I1264*3%),4)</f>
        <v>0</v>
      </c>
      <c r="P1264" s="67">
        <f>ROUND(IF(O1264&lt;J1264,O1264,0),4)</f>
        <v>0</v>
      </c>
      <c r="Q1264" s="67">
        <f>ROUND(IF(J1264&gt;O1264,0,J1264),4)</f>
        <v>0</v>
      </c>
      <c r="R1264" s="67">
        <f>ROUND(+P1264*D1264,4)</f>
        <v>0</v>
      </c>
      <c r="S1264" s="67">
        <f>ROUND(IF(K1264=0,0,M1264*D1264),4)</f>
        <v>0</v>
      </c>
      <c r="T1264" s="67">
        <f>ROUND(+IF(K1264=0,Q1264*D1264,0),4)</f>
        <v>0</v>
      </c>
      <c r="U1264" s="67">
        <f>ROUND(+N1264+R1264+S1264+T1264,4)</f>
        <v>0</v>
      </c>
      <c r="V1264" s="67">
        <f>ROUND(IF(P1264=0,0,I1264-H1264-O1264)+IF(L1264=0,0,I1264-H1264-K1264),4)</f>
        <v>0</v>
      </c>
      <c r="W1264" s="67">
        <f>ROUND(+(V1264*60%)*D1264,4)</f>
        <v>0</v>
      </c>
      <c r="X1264" s="148">
        <f>ROUND(+U1264+W1264,4)</f>
        <v>0</v>
      </c>
      <c r="Y1264" s="68"/>
      <c r="Z1264" s="148">
        <f>ROUND(IF(X1264&gt;I1264,X1264,I1264),4)</f>
        <v>0</v>
      </c>
      <c r="AD1264" s="78">
        <f t="shared" si="16"/>
        <v>0</v>
      </c>
      <c r="AE1264" s="78">
        <f t="shared" si="17"/>
        <v>0</v>
      </c>
    </row>
    <row r="1265" spans="1:31" x14ac:dyDescent="0.2">
      <c r="A1265" s="66"/>
      <c r="B1265" s="66"/>
      <c r="C1265" s="66"/>
      <c r="D1265" s="144"/>
      <c r="E1265" s="67"/>
      <c r="F1265" s="67"/>
      <c r="G1265" s="67"/>
      <c r="H1265" s="67">
        <f>ROUND(+E1265+G1265,4)</f>
        <v>0</v>
      </c>
      <c r="I1265" s="67"/>
      <c r="J1265" s="67">
        <f>ROUND(+I1265-H1265,4)</f>
        <v>0</v>
      </c>
      <c r="K1265" s="67">
        <f>ROUND(IF(F1265="alluminio",0,I1265*1.5%),4)</f>
        <v>0</v>
      </c>
      <c r="L1265" s="67">
        <f>ROUND(IF(K1265&lt;J1265,K1265,0),4)</f>
        <v>0</v>
      </c>
      <c r="M1265" s="67">
        <f>ROUND(IF(J1265&gt;K1265,0,J1265),4)</f>
        <v>0</v>
      </c>
      <c r="N1265" s="67">
        <f>ROUND(+L1265*D1265,4)</f>
        <v>0</v>
      </c>
      <c r="O1265" s="67">
        <f>ROUND(IF(F1265="rame",0,+I1265*3%),4)</f>
        <v>0</v>
      </c>
      <c r="P1265" s="67">
        <f>ROUND(IF(O1265&lt;J1265,O1265,0),4)</f>
        <v>0</v>
      </c>
      <c r="Q1265" s="67">
        <f>ROUND(IF(J1265&gt;O1265,0,J1265),4)</f>
        <v>0</v>
      </c>
      <c r="R1265" s="67">
        <f>ROUND(+P1265*D1265,4)</f>
        <v>0</v>
      </c>
      <c r="S1265" s="67">
        <f>ROUND(IF(K1265=0,0,M1265*D1265),4)</f>
        <v>0</v>
      </c>
      <c r="T1265" s="67">
        <f>ROUND(+IF(K1265=0,Q1265*D1265,0),4)</f>
        <v>0</v>
      </c>
      <c r="U1265" s="67">
        <f>ROUND(+N1265+R1265+S1265+T1265,4)</f>
        <v>0</v>
      </c>
      <c r="V1265" s="67">
        <f>ROUND(IF(P1265=0,0,I1265-H1265-O1265)+IF(L1265=0,0,I1265-H1265-K1265),4)</f>
        <v>0</v>
      </c>
      <c r="W1265" s="67">
        <f>ROUND(+(V1265*60%)*D1265,4)</f>
        <v>0</v>
      </c>
      <c r="X1265" s="148">
        <f>ROUND(+U1265+W1265,4)</f>
        <v>0</v>
      </c>
      <c r="Y1265" s="68"/>
      <c r="Z1265" s="148">
        <f>ROUND(IF(X1265&gt;I1265,X1265,I1265),4)</f>
        <v>0</v>
      </c>
      <c r="AD1265" s="78">
        <f t="shared" si="16"/>
        <v>0</v>
      </c>
      <c r="AE1265" s="78">
        <f t="shared" si="17"/>
        <v>0</v>
      </c>
    </row>
    <row r="1266" spans="1:31" x14ac:dyDescent="0.2">
      <c r="A1266" s="66"/>
      <c r="B1266" s="66"/>
      <c r="C1266" s="66"/>
      <c r="D1266" s="144"/>
      <c r="E1266" s="67"/>
      <c r="F1266" s="67"/>
      <c r="G1266" s="67"/>
      <c r="H1266" s="67">
        <f>ROUND(+E1266+G1266,4)</f>
        <v>0</v>
      </c>
      <c r="I1266" s="67"/>
      <c r="J1266" s="67">
        <f>ROUND(+I1266-H1266,4)</f>
        <v>0</v>
      </c>
      <c r="K1266" s="67">
        <f>ROUND(IF(F1266="alluminio",0,I1266*1.5%),4)</f>
        <v>0</v>
      </c>
      <c r="L1266" s="67">
        <f>ROUND(IF(K1266&lt;J1266,K1266,0),4)</f>
        <v>0</v>
      </c>
      <c r="M1266" s="67">
        <f>ROUND(IF(J1266&gt;K1266,0,J1266),4)</f>
        <v>0</v>
      </c>
      <c r="N1266" s="67">
        <f>ROUND(+L1266*D1266,4)</f>
        <v>0</v>
      </c>
      <c r="O1266" s="67">
        <f>ROUND(IF(F1266="rame",0,+I1266*3%),4)</f>
        <v>0</v>
      </c>
      <c r="P1266" s="67">
        <f>ROUND(IF(O1266&lt;J1266,O1266,0),4)</f>
        <v>0</v>
      </c>
      <c r="Q1266" s="67">
        <f>ROUND(IF(J1266&gt;O1266,0,J1266),4)</f>
        <v>0</v>
      </c>
      <c r="R1266" s="67">
        <f>ROUND(+P1266*D1266,4)</f>
        <v>0</v>
      </c>
      <c r="S1266" s="67">
        <f>ROUND(IF(K1266=0,0,M1266*D1266),4)</f>
        <v>0</v>
      </c>
      <c r="T1266" s="67">
        <f>ROUND(+IF(K1266=0,Q1266*D1266,0),4)</f>
        <v>0</v>
      </c>
      <c r="U1266" s="67">
        <f>ROUND(+N1266+R1266+S1266+T1266,4)</f>
        <v>0</v>
      </c>
      <c r="V1266" s="67">
        <f>ROUND(IF(P1266=0,0,I1266-H1266-O1266)+IF(L1266=0,0,I1266-H1266-K1266),4)</f>
        <v>0</v>
      </c>
      <c r="W1266" s="67">
        <f>ROUND(+(V1266*60%)*D1266,4)</f>
        <v>0</v>
      </c>
      <c r="X1266" s="148">
        <f>ROUND(+U1266+W1266,4)</f>
        <v>0</v>
      </c>
      <c r="Y1266" s="68"/>
      <c r="Z1266" s="148">
        <f>ROUND(IF(X1266&gt;I1266,X1266,I1266),4)</f>
        <v>0</v>
      </c>
      <c r="AD1266" s="78">
        <f t="shared" si="16"/>
        <v>0</v>
      </c>
      <c r="AE1266" s="78">
        <f t="shared" si="17"/>
        <v>0</v>
      </c>
    </row>
    <row r="1267" spans="1:31" x14ac:dyDescent="0.2">
      <c r="A1267" s="66"/>
      <c r="B1267" s="66"/>
      <c r="C1267" s="66"/>
      <c r="D1267" s="144"/>
      <c r="E1267" s="67"/>
      <c r="F1267" s="67"/>
      <c r="G1267" s="67"/>
      <c r="H1267" s="67">
        <f>ROUND(+E1267+G1267,4)</f>
        <v>0</v>
      </c>
      <c r="I1267" s="67"/>
      <c r="J1267" s="67">
        <f>ROUND(+I1267-H1267,4)</f>
        <v>0</v>
      </c>
      <c r="K1267" s="67">
        <f>ROUND(IF(F1267="alluminio",0,I1267*1.5%),4)</f>
        <v>0</v>
      </c>
      <c r="L1267" s="67">
        <f>ROUND(IF(K1267&lt;J1267,K1267,0),4)</f>
        <v>0</v>
      </c>
      <c r="M1267" s="67">
        <f>ROUND(IF(J1267&gt;K1267,0,J1267),4)</f>
        <v>0</v>
      </c>
      <c r="N1267" s="67">
        <f>ROUND(+L1267*D1267,4)</f>
        <v>0</v>
      </c>
      <c r="O1267" s="67">
        <f>ROUND(IF(F1267="rame",0,+I1267*3%),4)</f>
        <v>0</v>
      </c>
      <c r="P1267" s="67">
        <f>ROUND(IF(O1267&lt;J1267,O1267,0),4)</f>
        <v>0</v>
      </c>
      <c r="Q1267" s="67">
        <f>ROUND(IF(J1267&gt;O1267,0,J1267),4)</f>
        <v>0</v>
      </c>
      <c r="R1267" s="67">
        <f>ROUND(+P1267*D1267,4)</f>
        <v>0</v>
      </c>
      <c r="S1267" s="67">
        <f>ROUND(IF(K1267=0,0,M1267*D1267),4)</f>
        <v>0</v>
      </c>
      <c r="T1267" s="67">
        <f>ROUND(+IF(K1267=0,Q1267*D1267,0),4)</f>
        <v>0</v>
      </c>
      <c r="U1267" s="67">
        <f>ROUND(+N1267+R1267+S1267+T1267,4)</f>
        <v>0</v>
      </c>
      <c r="V1267" s="67">
        <f>ROUND(IF(P1267=0,0,I1267-H1267-O1267)+IF(L1267=0,0,I1267-H1267-K1267),4)</f>
        <v>0</v>
      </c>
      <c r="W1267" s="67">
        <f>ROUND(+(V1267*60%)*D1267,4)</f>
        <v>0</v>
      </c>
      <c r="X1267" s="148">
        <f>ROUND(+U1267+W1267,4)</f>
        <v>0</v>
      </c>
      <c r="Y1267" s="68"/>
      <c r="Z1267" s="148">
        <f>ROUND(IF(X1267&gt;I1267,X1267,I1267),4)</f>
        <v>0</v>
      </c>
      <c r="AD1267" s="78">
        <f t="shared" si="16"/>
        <v>0</v>
      </c>
      <c r="AE1267" s="78">
        <f t="shared" si="17"/>
        <v>0</v>
      </c>
    </row>
    <row r="1268" spans="1:31" x14ac:dyDescent="0.2">
      <c r="A1268" s="66"/>
      <c r="B1268" s="66"/>
      <c r="C1268" s="66"/>
      <c r="D1268" s="144"/>
      <c r="E1268" s="67"/>
      <c r="F1268" s="67"/>
      <c r="G1268" s="67"/>
      <c r="H1268" s="67">
        <f>ROUND(+E1268+G1268,4)</f>
        <v>0</v>
      </c>
      <c r="I1268" s="67"/>
      <c r="J1268" s="67">
        <f>ROUND(+I1268-H1268,4)</f>
        <v>0</v>
      </c>
      <c r="K1268" s="67">
        <f>ROUND(IF(F1268="alluminio",0,I1268*1.5%),4)</f>
        <v>0</v>
      </c>
      <c r="L1268" s="67">
        <f>ROUND(IF(K1268&lt;J1268,K1268,0),4)</f>
        <v>0</v>
      </c>
      <c r="M1268" s="67">
        <f>ROUND(IF(J1268&gt;K1268,0,J1268),4)</f>
        <v>0</v>
      </c>
      <c r="N1268" s="67">
        <f>ROUND(+L1268*D1268,4)</f>
        <v>0</v>
      </c>
      <c r="O1268" s="67">
        <f>ROUND(IF(F1268="rame",0,+I1268*3%),4)</f>
        <v>0</v>
      </c>
      <c r="P1268" s="67">
        <f>ROUND(IF(O1268&lt;J1268,O1268,0),4)</f>
        <v>0</v>
      </c>
      <c r="Q1268" s="67">
        <f>ROUND(IF(J1268&gt;O1268,0,J1268),4)</f>
        <v>0</v>
      </c>
      <c r="R1268" s="67">
        <f>ROUND(+P1268*D1268,4)</f>
        <v>0</v>
      </c>
      <c r="S1268" s="67">
        <f>ROUND(IF(K1268=0,0,M1268*D1268),4)</f>
        <v>0</v>
      </c>
      <c r="T1268" s="67">
        <f>ROUND(+IF(K1268=0,Q1268*D1268,0),4)</f>
        <v>0</v>
      </c>
      <c r="U1268" s="67">
        <f>ROUND(+N1268+R1268+S1268+T1268,4)</f>
        <v>0</v>
      </c>
      <c r="V1268" s="67">
        <f>ROUND(IF(P1268=0,0,I1268-H1268-O1268)+IF(L1268=0,0,I1268-H1268-K1268),4)</f>
        <v>0</v>
      </c>
      <c r="W1268" s="67">
        <f>ROUND(+(V1268*60%)*D1268,4)</f>
        <v>0</v>
      </c>
      <c r="X1268" s="148">
        <f>ROUND(+U1268+W1268,4)</f>
        <v>0</v>
      </c>
      <c r="Y1268" s="68"/>
      <c r="Z1268" s="148">
        <f>ROUND(IF(X1268&gt;I1268,X1268,I1268),4)</f>
        <v>0</v>
      </c>
      <c r="AD1268" s="78">
        <f t="shared" si="16"/>
        <v>0</v>
      </c>
      <c r="AE1268" s="78">
        <f t="shared" si="17"/>
        <v>0</v>
      </c>
    </row>
    <row r="1269" spans="1:31" x14ac:dyDescent="0.2">
      <c r="A1269" s="66"/>
      <c r="B1269" s="66"/>
      <c r="C1269" s="66"/>
      <c r="D1269" s="144"/>
      <c r="E1269" s="67"/>
      <c r="F1269" s="67"/>
      <c r="G1269" s="67"/>
      <c r="H1269" s="67">
        <f>ROUND(+E1269+G1269,4)</f>
        <v>0</v>
      </c>
      <c r="I1269" s="67"/>
      <c r="J1269" s="67">
        <f>ROUND(+I1269-H1269,4)</f>
        <v>0</v>
      </c>
      <c r="K1269" s="67">
        <f>ROUND(IF(F1269="alluminio",0,I1269*1.5%),4)</f>
        <v>0</v>
      </c>
      <c r="L1269" s="67">
        <f>ROUND(IF(K1269&lt;J1269,K1269,0),4)</f>
        <v>0</v>
      </c>
      <c r="M1269" s="67">
        <f>ROUND(IF(J1269&gt;K1269,0,J1269),4)</f>
        <v>0</v>
      </c>
      <c r="N1269" s="67">
        <f>ROUND(+L1269*D1269,4)</f>
        <v>0</v>
      </c>
      <c r="O1269" s="67">
        <f>ROUND(IF(F1269="rame",0,+I1269*3%),4)</f>
        <v>0</v>
      </c>
      <c r="P1269" s="67">
        <f>ROUND(IF(O1269&lt;J1269,O1269,0),4)</f>
        <v>0</v>
      </c>
      <c r="Q1269" s="67">
        <f>ROUND(IF(J1269&gt;O1269,0,J1269),4)</f>
        <v>0</v>
      </c>
      <c r="R1269" s="67">
        <f>ROUND(+P1269*D1269,4)</f>
        <v>0</v>
      </c>
      <c r="S1269" s="67">
        <f>ROUND(IF(K1269=0,0,M1269*D1269),4)</f>
        <v>0</v>
      </c>
      <c r="T1269" s="67">
        <f>ROUND(+IF(K1269=0,Q1269*D1269,0),4)</f>
        <v>0</v>
      </c>
      <c r="U1269" s="67">
        <f>ROUND(+N1269+R1269+S1269+T1269,4)</f>
        <v>0</v>
      </c>
      <c r="V1269" s="67">
        <f>ROUND(IF(P1269=0,0,I1269-H1269-O1269)+IF(L1269=0,0,I1269-H1269-K1269),4)</f>
        <v>0</v>
      </c>
      <c r="W1269" s="67">
        <f>ROUND(+(V1269*60%)*D1269,4)</f>
        <v>0</v>
      </c>
      <c r="X1269" s="148">
        <f>ROUND(+U1269+W1269,4)</f>
        <v>0</v>
      </c>
      <c r="Y1269" s="68"/>
      <c r="Z1269" s="148">
        <f>ROUND(IF(X1269&gt;I1269,X1269,I1269),4)</f>
        <v>0</v>
      </c>
      <c r="AD1269" s="78">
        <f t="shared" si="16"/>
        <v>0</v>
      </c>
      <c r="AE1269" s="78">
        <f t="shared" si="17"/>
        <v>0</v>
      </c>
    </row>
    <row r="1270" spans="1:31" x14ac:dyDescent="0.2">
      <c r="A1270" s="66"/>
      <c r="B1270" s="66"/>
      <c r="C1270" s="66"/>
      <c r="D1270" s="144"/>
      <c r="E1270" s="67"/>
      <c r="F1270" s="67"/>
      <c r="G1270" s="67"/>
      <c r="H1270" s="67">
        <f>ROUND(+E1270+G1270,4)</f>
        <v>0</v>
      </c>
      <c r="I1270" s="67"/>
      <c r="J1270" s="67">
        <f>ROUND(+I1270-H1270,4)</f>
        <v>0</v>
      </c>
      <c r="K1270" s="67">
        <f>ROUND(IF(F1270="alluminio",0,I1270*1.5%),4)</f>
        <v>0</v>
      </c>
      <c r="L1270" s="67">
        <f>ROUND(IF(K1270&lt;J1270,K1270,0),4)</f>
        <v>0</v>
      </c>
      <c r="M1270" s="67">
        <f>ROUND(IF(J1270&gt;K1270,0,J1270),4)</f>
        <v>0</v>
      </c>
      <c r="N1270" s="67">
        <f>ROUND(+L1270*D1270,4)</f>
        <v>0</v>
      </c>
      <c r="O1270" s="67">
        <f>ROUND(IF(F1270="rame",0,+I1270*3%),4)</f>
        <v>0</v>
      </c>
      <c r="P1270" s="67">
        <f>ROUND(IF(O1270&lt;J1270,O1270,0),4)</f>
        <v>0</v>
      </c>
      <c r="Q1270" s="67">
        <f>ROUND(IF(J1270&gt;O1270,0,J1270),4)</f>
        <v>0</v>
      </c>
      <c r="R1270" s="67">
        <f>ROUND(+P1270*D1270,4)</f>
        <v>0</v>
      </c>
      <c r="S1270" s="67">
        <f>ROUND(IF(K1270=0,0,M1270*D1270),4)</f>
        <v>0</v>
      </c>
      <c r="T1270" s="67">
        <f>ROUND(+IF(K1270=0,Q1270*D1270,0),4)</f>
        <v>0</v>
      </c>
      <c r="U1270" s="67">
        <f>ROUND(+N1270+R1270+S1270+T1270,4)</f>
        <v>0</v>
      </c>
      <c r="V1270" s="67">
        <f>ROUND(IF(P1270=0,0,I1270-H1270-O1270)+IF(L1270=0,0,I1270-H1270-K1270),4)</f>
        <v>0</v>
      </c>
      <c r="W1270" s="67">
        <f>ROUND(+(V1270*60%)*D1270,4)</f>
        <v>0</v>
      </c>
      <c r="X1270" s="148">
        <f>ROUND(+U1270+W1270,4)</f>
        <v>0</v>
      </c>
      <c r="Y1270" s="68"/>
      <c r="Z1270" s="148">
        <f>ROUND(IF(X1270&gt;I1270,X1270,I1270),4)</f>
        <v>0</v>
      </c>
      <c r="AD1270" s="78">
        <f t="shared" si="16"/>
        <v>0</v>
      </c>
      <c r="AE1270" s="78">
        <f t="shared" si="17"/>
        <v>0</v>
      </c>
    </row>
    <row r="1271" spans="1:31" x14ac:dyDescent="0.2">
      <c r="A1271" s="66"/>
      <c r="B1271" s="66"/>
      <c r="C1271" s="66"/>
      <c r="D1271" s="144"/>
      <c r="E1271" s="67"/>
      <c r="F1271" s="67"/>
      <c r="G1271" s="67"/>
      <c r="H1271" s="67">
        <f>ROUND(+E1271+G1271,4)</f>
        <v>0</v>
      </c>
      <c r="I1271" s="67"/>
      <c r="J1271" s="67">
        <f>ROUND(+I1271-H1271,4)</f>
        <v>0</v>
      </c>
      <c r="K1271" s="67">
        <f>ROUND(IF(F1271="alluminio",0,I1271*1.5%),4)</f>
        <v>0</v>
      </c>
      <c r="L1271" s="67">
        <f>ROUND(IF(K1271&lt;J1271,K1271,0),4)</f>
        <v>0</v>
      </c>
      <c r="M1271" s="67">
        <f>ROUND(IF(J1271&gt;K1271,0,J1271),4)</f>
        <v>0</v>
      </c>
      <c r="N1271" s="67">
        <f>ROUND(+L1271*D1271,4)</f>
        <v>0</v>
      </c>
      <c r="O1271" s="67">
        <f>ROUND(IF(F1271="rame",0,+I1271*3%),4)</f>
        <v>0</v>
      </c>
      <c r="P1271" s="67">
        <f>ROUND(IF(O1271&lt;J1271,O1271,0),4)</f>
        <v>0</v>
      </c>
      <c r="Q1271" s="67">
        <f>ROUND(IF(J1271&gt;O1271,0,J1271),4)</f>
        <v>0</v>
      </c>
      <c r="R1271" s="67">
        <f>ROUND(+P1271*D1271,4)</f>
        <v>0</v>
      </c>
      <c r="S1271" s="67">
        <f>ROUND(IF(K1271=0,0,M1271*D1271),4)</f>
        <v>0</v>
      </c>
      <c r="T1271" s="67">
        <f>ROUND(+IF(K1271=0,Q1271*D1271,0),4)</f>
        <v>0</v>
      </c>
      <c r="U1271" s="67">
        <f>ROUND(+N1271+R1271+S1271+T1271,4)</f>
        <v>0</v>
      </c>
      <c r="V1271" s="67">
        <f>ROUND(IF(P1271=0,0,I1271-H1271-O1271)+IF(L1271=0,0,I1271-H1271-K1271),4)</f>
        <v>0</v>
      </c>
      <c r="W1271" s="67">
        <f>ROUND(+(V1271*60%)*D1271,4)</f>
        <v>0</v>
      </c>
      <c r="X1271" s="148">
        <f>ROUND(+U1271+W1271,4)</f>
        <v>0</v>
      </c>
      <c r="Y1271" s="68"/>
      <c r="Z1271" s="148">
        <f>ROUND(IF(X1271&gt;I1271,X1271,I1271),4)</f>
        <v>0</v>
      </c>
      <c r="AD1271" s="78">
        <f t="shared" si="16"/>
        <v>0</v>
      </c>
      <c r="AE1271" s="78">
        <f t="shared" si="17"/>
        <v>0</v>
      </c>
    </row>
    <row r="1272" spans="1:31" x14ac:dyDescent="0.2">
      <c r="A1272" s="66"/>
      <c r="B1272" s="66"/>
      <c r="C1272" s="66"/>
      <c r="D1272" s="144"/>
      <c r="E1272" s="67"/>
      <c r="F1272" s="67"/>
      <c r="G1272" s="67"/>
      <c r="H1272" s="67">
        <f>ROUND(+E1272+G1272,4)</f>
        <v>0</v>
      </c>
      <c r="I1272" s="67"/>
      <c r="J1272" s="67">
        <f>ROUND(+I1272-H1272,4)</f>
        <v>0</v>
      </c>
      <c r="K1272" s="67">
        <f>ROUND(IF(F1272="alluminio",0,I1272*1.5%),4)</f>
        <v>0</v>
      </c>
      <c r="L1272" s="67">
        <f>ROUND(IF(K1272&lt;J1272,K1272,0),4)</f>
        <v>0</v>
      </c>
      <c r="M1272" s="67">
        <f>ROUND(IF(J1272&gt;K1272,0,J1272),4)</f>
        <v>0</v>
      </c>
      <c r="N1272" s="67">
        <f>ROUND(+L1272*D1272,4)</f>
        <v>0</v>
      </c>
      <c r="O1272" s="67">
        <f>ROUND(IF(F1272="rame",0,+I1272*3%),4)</f>
        <v>0</v>
      </c>
      <c r="P1272" s="67">
        <f>ROUND(IF(O1272&lt;J1272,O1272,0),4)</f>
        <v>0</v>
      </c>
      <c r="Q1272" s="67">
        <f>ROUND(IF(J1272&gt;O1272,0,J1272),4)</f>
        <v>0</v>
      </c>
      <c r="R1272" s="67">
        <f>ROUND(+P1272*D1272,4)</f>
        <v>0</v>
      </c>
      <c r="S1272" s="67">
        <f>ROUND(IF(K1272=0,0,M1272*D1272),4)</f>
        <v>0</v>
      </c>
      <c r="T1272" s="67">
        <f>ROUND(+IF(K1272=0,Q1272*D1272,0),4)</f>
        <v>0</v>
      </c>
      <c r="U1272" s="67">
        <f>ROUND(+N1272+R1272+S1272+T1272,4)</f>
        <v>0</v>
      </c>
      <c r="V1272" s="67">
        <f>ROUND(IF(P1272=0,0,I1272-H1272-O1272)+IF(L1272=0,0,I1272-H1272-K1272),4)</f>
        <v>0</v>
      </c>
      <c r="W1272" s="67">
        <f>ROUND(+(V1272*60%)*D1272,4)</f>
        <v>0</v>
      </c>
      <c r="X1272" s="148">
        <f>ROUND(+U1272+W1272,4)</f>
        <v>0</v>
      </c>
      <c r="Y1272" s="68"/>
      <c r="Z1272" s="148">
        <f>ROUND(IF(X1272&gt;I1272,X1272,I1272),4)</f>
        <v>0</v>
      </c>
      <c r="AD1272" s="78">
        <f t="shared" si="16"/>
        <v>0</v>
      </c>
      <c r="AE1272" s="78">
        <f t="shared" si="17"/>
        <v>0</v>
      </c>
    </row>
    <row r="1273" spans="1:31" x14ac:dyDescent="0.2">
      <c r="A1273" s="66"/>
      <c r="B1273" s="66"/>
      <c r="C1273" s="66"/>
      <c r="D1273" s="144"/>
      <c r="E1273" s="67"/>
      <c r="F1273" s="67"/>
      <c r="G1273" s="67"/>
      <c r="H1273" s="67">
        <f>ROUND(+E1273+G1273,4)</f>
        <v>0</v>
      </c>
      <c r="I1273" s="67"/>
      <c r="J1273" s="67">
        <f>ROUND(+I1273-H1273,4)</f>
        <v>0</v>
      </c>
      <c r="K1273" s="67">
        <f>ROUND(IF(F1273="alluminio",0,I1273*1.5%),4)</f>
        <v>0</v>
      </c>
      <c r="L1273" s="67">
        <f>ROUND(IF(K1273&lt;J1273,K1273,0),4)</f>
        <v>0</v>
      </c>
      <c r="M1273" s="67">
        <f>ROUND(IF(J1273&gt;K1273,0,J1273),4)</f>
        <v>0</v>
      </c>
      <c r="N1273" s="67">
        <f>ROUND(+L1273*D1273,4)</f>
        <v>0</v>
      </c>
      <c r="O1273" s="67">
        <f>ROUND(IF(F1273="rame",0,+I1273*3%),4)</f>
        <v>0</v>
      </c>
      <c r="P1273" s="67">
        <f>ROUND(IF(O1273&lt;J1273,O1273,0),4)</f>
        <v>0</v>
      </c>
      <c r="Q1273" s="67">
        <f>ROUND(IF(J1273&gt;O1273,0,J1273),4)</f>
        <v>0</v>
      </c>
      <c r="R1273" s="67">
        <f>ROUND(+P1273*D1273,4)</f>
        <v>0</v>
      </c>
      <c r="S1273" s="67">
        <f>ROUND(IF(K1273=0,0,M1273*D1273),4)</f>
        <v>0</v>
      </c>
      <c r="T1273" s="67">
        <f>ROUND(+IF(K1273=0,Q1273*D1273,0),4)</f>
        <v>0</v>
      </c>
      <c r="U1273" s="67">
        <f>ROUND(+N1273+R1273+S1273+T1273,4)</f>
        <v>0</v>
      </c>
      <c r="V1273" s="67">
        <f>ROUND(IF(P1273=0,0,I1273-H1273-O1273)+IF(L1273=0,0,I1273-H1273-K1273),4)</f>
        <v>0</v>
      </c>
      <c r="W1273" s="67">
        <f>ROUND(+(V1273*60%)*D1273,4)</f>
        <v>0</v>
      </c>
      <c r="X1273" s="148">
        <f>ROUND(+U1273+W1273,4)</f>
        <v>0</v>
      </c>
      <c r="Y1273" s="68"/>
      <c r="Z1273" s="148">
        <f>ROUND(IF(X1273&gt;I1273,X1273,I1273),4)</f>
        <v>0</v>
      </c>
      <c r="AD1273" s="78">
        <f t="shared" si="16"/>
        <v>0</v>
      </c>
      <c r="AE1273" s="78">
        <f t="shared" si="17"/>
        <v>0</v>
      </c>
    </row>
    <row r="1274" spans="1:31" x14ac:dyDescent="0.2">
      <c r="A1274" s="66"/>
      <c r="B1274" s="66"/>
      <c r="C1274" s="66"/>
      <c r="D1274" s="144"/>
      <c r="E1274" s="67"/>
      <c r="F1274" s="67"/>
      <c r="G1274" s="67"/>
      <c r="H1274" s="67">
        <f>ROUND(+E1274+G1274,4)</f>
        <v>0</v>
      </c>
      <c r="I1274" s="67"/>
      <c r="J1274" s="67">
        <f>ROUND(+I1274-H1274,4)</f>
        <v>0</v>
      </c>
      <c r="K1274" s="67">
        <f>ROUND(IF(F1274="alluminio",0,I1274*1.5%),4)</f>
        <v>0</v>
      </c>
      <c r="L1274" s="67">
        <f>ROUND(IF(K1274&lt;J1274,K1274,0),4)</f>
        <v>0</v>
      </c>
      <c r="M1274" s="67">
        <f>ROUND(IF(J1274&gt;K1274,0,J1274),4)</f>
        <v>0</v>
      </c>
      <c r="N1274" s="67">
        <f>ROUND(+L1274*D1274,4)</f>
        <v>0</v>
      </c>
      <c r="O1274" s="67">
        <f>ROUND(IF(F1274="rame",0,+I1274*3%),4)</f>
        <v>0</v>
      </c>
      <c r="P1274" s="67">
        <f>ROUND(IF(O1274&lt;J1274,O1274,0),4)</f>
        <v>0</v>
      </c>
      <c r="Q1274" s="67">
        <f>ROUND(IF(J1274&gt;O1274,0,J1274),4)</f>
        <v>0</v>
      </c>
      <c r="R1274" s="67">
        <f>ROUND(+P1274*D1274,4)</f>
        <v>0</v>
      </c>
      <c r="S1274" s="67">
        <f>ROUND(IF(K1274=0,0,M1274*D1274),4)</f>
        <v>0</v>
      </c>
      <c r="T1274" s="67">
        <f>ROUND(+IF(K1274=0,Q1274*D1274,0),4)</f>
        <v>0</v>
      </c>
      <c r="U1274" s="67">
        <f>ROUND(+N1274+R1274+S1274+T1274,4)</f>
        <v>0</v>
      </c>
      <c r="V1274" s="67">
        <f>ROUND(IF(P1274=0,0,I1274-H1274-O1274)+IF(L1274=0,0,I1274-H1274-K1274),4)</f>
        <v>0</v>
      </c>
      <c r="W1274" s="67">
        <f>ROUND(+(V1274*60%)*D1274,4)</f>
        <v>0</v>
      </c>
      <c r="X1274" s="148">
        <f>ROUND(+U1274+W1274,4)</f>
        <v>0</v>
      </c>
      <c r="Y1274" s="68"/>
      <c r="Z1274" s="148">
        <f>ROUND(IF(X1274&gt;I1274,X1274,I1274),4)</f>
        <v>0</v>
      </c>
      <c r="AD1274" s="78">
        <f t="shared" si="16"/>
        <v>0</v>
      </c>
      <c r="AE1274" s="78">
        <f t="shared" si="17"/>
        <v>0</v>
      </c>
    </row>
    <row r="1275" spans="1:31" x14ac:dyDescent="0.2">
      <c r="A1275" s="66"/>
      <c r="B1275" s="66"/>
      <c r="C1275" s="66"/>
      <c r="D1275" s="144"/>
      <c r="E1275" s="67"/>
      <c r="F1275" s="67"/>
      <c r="G1275" s="67"/>
      <c r="H1275" s="67">
        <f>ROUND(+E1275+G1275,4)</f>
        <v>0</v>
      </c>
      <c r="I1275" s="67"/>
      <c r="J1275" s="67">
        <f>ROUND(+I1275-H1275,4)</f>
        <v>0</v>
      </c>
      <c r="K1275" s="67">
        <f>ROUND(IF(F1275="alluminio",0,I1275*1.5%),4)</f>
        <v>0</v>
      </c>
      <c r="L1275" s="67">
        <f>ROUND(IF(K1275&lt;J1275,K1275,0),4)</f>
        <v>0</v>
      </c>
      <c r="M1275" s="67">
        <f>ROUND(IF(J1275&gt;K1275,0,J1275),4)</f>
        <v>0</v>
      </c>
      <c r="N1275" s="67">
        <f>ROUND(+L1275*D1275,4)</f>
        <v>0</v>
      </c>
      <c r="O1275" s="67">
        <f>ROUND(IF(F1275="rame",0,+I1275*3%),4)</f>
        <v>0</v>
      </c>
      <c r="P1275" s="67">
        <f>ROUND(IF(O1275&lt;J1275,O1275,0),4)</f>
        <v>0</v>
      </c>
      <c r="Q1275" s="67">
        <f>ROUND(IF(J1275&gt;O1275,0,J1275),4)</f>
        <v>0</v>
      </c>
      <c r="R1275" s="67">
        <f>ROUND(+P1275*D1275,4)</f>
        <v>0</v>
      </c>
      <c r="S1275" s="67">
        <f>ROUND(IF(K1275=0,0,M1275*D1275),4)</f>
        <v>0</v>
      </c>
      <c r="T1275" s="67">
        <f>ROUND(+IF(K1275=0,Q1275*D1275,0),4)</f>
        <v>0</v>
      </c>
      <c r="U1275" s="67">
        <f>ROUND(+N1275+R1275+S1275+T1275,4)</f>
        <v>0</v>
      </c>
      <c r="V1275" s="67">
        <f>ROUND(IF(P1275=0,0,I1275-H1275-O1275)+IF(L1275=0,0,I1275-H1275-K1275),4)</f>
        <v>0</v>
      </c>
      <c r="W1275" s="67">
        <f>ROUND(+(V1275*60%)*D1275,4)</f>
        <v>0</v>
      </c>
      <c r="X1275" s="148">
        <f>ROUND(+U1275+W1275,4)</f>
        <v>0</v>
      </c>
      <c r="Y1275" s="68"/>
      <c r="Z1275" s="148">
        <f>ROUND(IF(X1275&gt;I1275,X1275,I1275),4)</f>
        <v>0</v>
      </c>
      <c r="AD1275" s="78">
        <f t="shared" si="16"/>
        <v>0</v>
      </c>
      <c r="AE1275" s="78">
        <f t="shared" si="17"/>
        <v>0</v>
      </c>
    </row>
    <row r="1276" spans="1:31" x14ac:dyDescent="0.2">
      <c r="A1276" s="66"/>
      <c r="B1276" s="66"/>
      <c r="C1276" s="66"/>
      <c r="D1276" s="144"/>
      <c r="E1276" s="67"/>
      <c r="F1276" s="67"/>
      <c r="G1276" s="67"/>
      <c r="H1276" s="67">
        <f>ROUND(+E1276+G1276,4)</f>
        <v>0</v>
      </c>
      <c r="I1276" s="67"/>
      <c r="J1276" s="67">
        <f>ROUND(+I1276-H1276,4)</f>
        <v>0</v>
      </c>
      <c r="K1276" s="67">
        <f>ROUND(IF(F1276="alluminio",0,I1276*1.5%),4)</f>
        <v>0</v>
      </c>
      <c r="L1276" s="67">
        <f>ROUND(IF(K1276&lt;J1276,K1276,0),4)</f>
        <v>0</v>
      </c>
      <c r="M1276" s="67">
        <f>ROUND(IF(J1276&gt;K1276,0,J1276),4)</f>
        <v>0</v>
      </c>
      <c r="N1276" s="67">
        <f>ROUND(+L1276*D1276,4)</f>
        <v>0</v>
      </c>
      <c r="O1276" s="67">
        <f>ROUND(IF(F1276="rame",0,+I1276*3%),4)</f>
        <v>0</v>
      </c>
      <c r="P1276" s="67">
        <f>ROUND(IF(O1276&lt;J1276,O1276,0),4)</f>
        <v>0</v>
      </c>
      <c r="Q1276" s="67">
        <f>ROUND(IF(J1276&gt;O1276,0,J1276),4)</f>
        <v>0</v>
      </c>
      <c r="R1276" s="67">
        <f>ROUND(+P1276*D1276,4)</f>
        <v>0</v>
      </c>
      <c r="S1276" s="67">
        <f>ROUND(IF(K1276=0,0,M1276*D1276),4)</f>
        <v>0</v>
      </c>
      <c r="T1276" s="67">
        <f>ROUND(+IF(K1276=0,Q1276*D1276,0),4)</f>
        <v>0</v>
      </c>
      <c r="U1276" s="67">
        <f>ROUND(+N1276+R1276+S1276+T1276,4)</f>
        <v>0</v>
      </c>
      <c r="V1276" s="67">
        <f>ROUND(IF(P1276=0,0,I1276-H1276-O1276)+IF(L1276=0,0,I1276-H1276-K1276),4)</f>
        <v>0</v>
      </c>
      <c r="W1276" s="67">
        <f>ROUND(+(V1276*60%)*D1276,4)</f>
        <v>0</v>
      </c>
      <c r="X1276" s="148">
        <f>ROUND(+U1276+W1276,4)</f>
        <v>0</v>
      </c>
      <c r="Y1276" s="68"/>
      <c r="Z1276" s="148">
        <f>ROUND(IF(X1276&gt;I1276,X1276,I1276),4)</f>
        <v>0</v>
      </c>
      <c r="AD1276" s="78">
        <f t="shared" si="16"/>
        <v>0</v>
      </c>
      <c r="AE1276" s="78">
        <f t="shared" si="17"/>
        <v>0</v>
      </c>
    </row>
    <row r="1277" spans="1:31" x14ac:dyDescent="0.2">
      <c r="A1277" s="66"/>
      <c r="B1277" s="66"/>
      <c r="C1277" s="66"/>
      <c r="D1277" s="144"/>
      <c r="E1277" s="67"/>
      <c r="F1277" s="67"/>
      <c r="G1277" s="67"/>
      <c r="H1277" s="67">
        <f>ROUND(+E1277+G1277,4)</f>
        <v>0</v>
      </c>
      <c r="I1277" s="67"/>
      <c r="J1277" s="67">
        <f>ROUND(+I1277-H1277,4)</f>
        <v>0</v>
      </c>
      <c r="K1277" s="67">
        <f>ROUND(IF(F1277="alluminio",0,I1277*1.5%),4)</f>
        <v>0</v>
      </c>
      <c r="L1277" s="67">
        <f>ROUND(IF(K1277&lt;J1277,K1277,0),4)</f>
        <v>0</v>
      </c>
      <c r="M1277" s="67">
        <f>ROUND(IF(J1277&gt;K1277,0,J1277),4)</f>
        <v>0</v>
      </c>
      <c r="N1277" s="67">
        <f>ROUND(+L1277*D1277,4)</f>
        <v>0</v>
      </c>
      <c r="O1277" s="67">
        <f>ROUND(IF(F1277="rame",0,+I1277*3%),4)</f>
        <v>0</v>
      </c>
      <c r="P1277" s="67">
        <f>ROUND(IF(O1277&lt;J1277,O1277,0),4)</f>
        <v>0</v>
      </c>
      <c r="Q1277" s="67">
        <f>ROUND(IF(J1277&gt;O1277,0,J1277),4)</f>
        <v>0</v>
      </c>
      <c r="R1277" s="67">
        <f>ROUND(+P1277*D1277,4)</f>
        <v>0</v>
      </c>
      <c r="S1277" s="67">
        <f>ROUND(IF(K1277=0,0,M1277*D1277),4)</f>
        <v>0</v>
      </c>
      <c r="T1277" s="67">
        <f>ROUND(+IF(K1277=0,Q1277*D1277,0),4)</f>
        <v>0</v>
      </c>
      <c r="U1277" s="67">
        <f>ROUND(+N1277+R1277+S1277+T1277,4)</f>
        <v>0</v>
      </c>
      <c r="V1277" s="67">
        <f>ROUND(IF(P1277=0,0,I1277-H1277-O1277)+IF(L1277=0,0,I1277-H1277-K1277),4)</f>
        <v>0</v>
      </c>
      <c r="W1277" s="67">
        <f>ROUND(+(V1277*60%)*D1277,4)</f>
        <v>0</v>
      </c>
      <c r="X1277" s="148">
        <f>ROUND(+U1277+W1277,4)</f>
        <v>0</v>
      </c>
      <c r="Y1277" s="68"/>
      <c r="Z1277" s="148">
        <f>ROUND(IF(X1277&gt;I1277,X1277,I1277),4)</f>
        <v>0</v>
      </c>
      <c r="AD1277" s="78">
        <f t="shared" si="16"/>
        <v>0</v>
      </c>
      <c r="AE1277" s="78">
        <f t="shared" si="17"/>
        <v>0</v>
      </c>
    </row>
    <row r="1278" spans="1:31" x14ac:dyDescent="0.2">
      <c r="A1278" s="66"/>
      <c r="B1278" s="66"/>
      <c r="C1278" s="66"/>
      <c r="D1278" s="144"/>
      <c r="E1278" s="67"/>
      <c r="F1278" s="67"/>
      <c r="G1278" s="67"/>
      <c r="H1278" s="67">
        <f>ROUND(+E1278+G1278,4)</f>
        <v>0</v>
      </c>
      <c r="I1278" s="67"/>
      <c r="J1278" s="67">
        <f>ROUND(+I1278-H1278,4)</f>
        <v>0</v>
      </c>
      <c r="K1278" s="67">
        <f>ROUND(IF(F1278="alluminio",0,I1278*1.5%),4)</f>
        <v>0</v>
      </c>
      <c r="L1278" s="67">
        <f>ROUND(IF(K1278&lt;J1278,K1278,0),4)</f>
        <v>0</v>
      </c>
      <c r="M1278" s="67">
        <f>ROUND(IF(J1278&gt;K1278,0,J1278),4)</f>
        <v>0</v>
      </c>
      <c r="N1278" s="67">
        <f>ROUND(+L1278*D1278,4)</f>
        <v>0</v>
      </c>
      <c r="O1278" s="67">
        <f>ROUND(IF(F1278="rame",0,+I1278*3%),4)</f>
        <v>0</v>
      </c>
      <c r="P1278" s="67">
        <f>ROUND(IF(O1278&lt;J1278,O1278,0),4)</f>
        <v>0</v>
      </c>
      <c r="Q1278" s="67">
        <f>ROUND(IF(J1278&gt;O1278,0,J1278),4)</f>
        <v>0</v>
      </c>
      <c r="R1278" s="67">
        <f>ROUND(+P1278*D1278,4)</f>
        <v>0</v>
      </c>
      <c r="S1278" s="67">
        <f>ROUND(IF(K1278=0,0,M1278*D1278),4)</f>
        <v>0</v>
      </c>
      <c r="T1278" s="67">
        <f>ROUND(+IF(K1278=0,Q1278*D1278,0),4)</f>
        <v>0</v>
      </c>
      <c r="U1278" s="67">
        <f>ROUND(+N1278+R1278+S1278+T1278,4)</f>
        <v>0</v>
      </c>
      <c r="V1278" s="67">
        <f>ROUND(IF(P1278=0,0,I1278-H1278-O1278)+IF(L1278=0,0,I1278-H1278-K1278),4)</f>
        <v>0</v>
      </c>
      <c r="W1278" s="67">
        <f>ROUND(+(V1278*60%)*D1278,4)</f>
        <v>0</v>
      </c>
      <c r="X1278" s="148">
        <f>ROUND(+U1278+W1278,4)</f>
        <v>0</v>
      </c>
      <c r="Y1278" s="68"/>
      <c r="Z1278" s="148">
        <f>ROUND(IF(X1278&gt;I1278,X1278,I1278),4)</f>
        <v>0</v>
      </c>
      <c r="AD1278" s="78">
        <f t="shared" ref="AD1278:AD1341" si="18">IF(Y1278="",0,MONTH(Y1278))</f>
        <v>0</v>
      </c>
      <c r="AE1278" s="78">
        <f t="shared" ref="AE1278:AE1341" si="19">IF(Y1278="",0,YEAR(Y1278))</f>
        <v>0</v>
      </c>
    </row>
    <row r="1279" spans="1:31" x14ac:dyDescent="0.2">
      <c r="A1279" s="66"/>
      <c r="B1279" s="66"/>
      <c r="C1279" s="66"/>
      <c r="D1279" s="144"/>
      <c r="E1279" s="67"/>
      <c r="F1279" s="67"/>
      <c r="G1279" s="67"/>
      <c r="H1279" s="67">
        <f>ROUND(+E1279+G1279,4)</f>
        <v>0</v>
      </c>
      <c r="I1279" s="67"/>
      <c r="J1279" s="67">
        <f>ROUND(+I1279-H1279,4)</f>
        <v>0</v>
      </c>
      <c r="K1279" s="67">
        <f>ROUND(IF(F1279="alluminio",0,I1279*1.5%),4)</f>
        <v>0</v>
      </c>
      <c r="L1279" s="67">
        <f>ROUND(IF(K1279&lt;J1279,K1279,0),4)</f>
        <v>0</v>
      </c>
      <c r="M1279" s="67">
        <f>ROUND(IF(J1279&gt;K1279,0,J1279),4)</f>
        <v>0</v>
      </c>
      <c r="N1279" s="67">
        <f>ROUND(+L1279*D1279,4)</f>
        <v>0</v>
      </c>
      <c r="O1279" s="67">
        <f>ROUND(IF(F1279="rame",0,+I1279*3%),4)</f>
        <v>0</v>
      </c>
      <c r="P1279" s="67">
        <f>ROUND(IF(O1279&lt;J1279,O1279,0),4)</f>
        <v>0</v>
      </c>
      <c r="Q1279" s="67">
        <f>ROUND(IF(J1279&gt;O1279,0,J1279),4)</f>
        <v>0</v>
      </c>
      <c r="R1279" s="67">
        <f>ROUND(+P1279*D1279,4)</f>
        <v>0</v>
      </c>
      <c r="S1279" s="67">
        <f>ROUND(IF(K1279=0,0,M1279*D1279),4)</f>
        <v>0</v>
      </c>
      <c r="T1279" s="67">
        <f>ROUND(+IF(K1279=0,Q1279*D1279,0),4)</f>
        <v>0</v>
      </c>
      <c r="U1279" s="67">
        <f>ROUND(+N1279+R1279+S1279+T1279,4)</f>
        <v>0</v>
      </c>
      <c r="V1279" s="67">
        <f>ROUND(IF(P1279=0,0,I1279-H1279-O1279)+IF(L1279=0,0,I1279-H1279-K1279),4)</f>
        <v>0</v>
      </c>
      <c r="W1279" s="67">
        <f>ROUND(+(V1279*60%)*D1279,4)</f>
        <v>0</v>
      </c>
      <c r="X1279" s="148">
        <f>ROUND(+U1279+W1279,4)</f>
        <v>0</v>
      </c>
      <c r="Y1279" s="68"/>
      <c r="Z1279" s="148">
        <f>ROUND(IF(X1279&gt;I1279,X1279,I1279),4)</f>
        <v>0</v>
      </c>
      <c r="AD1279" s="78">
        <f t="shared" si="18"/>
        <v>0</v>
      </c>
      <c r="AE1279" s="78">
        <f t="shared" si="19"/>
        <v>0</v>
      </c>
    </row>
    <row r="1280" spans="1:31" x14ac:dyDescent="0.2">
      <c r="A1280" s="66"/>
      <c r="B1280" s="66"/>
      <c r="C1280" s="66"/>
      <c r="D1280" s="144"/>
      <c r="E1280" s="67"/>
      <c r="F1280" s="67"/>
      <c r="G1280" s="67"/>
      <c r="H1280" s="67">
        <f>ROUND(+E1280+G1280,4)</f>
        <v>0</v>
      </c>
      <c r="I1280" s="67"/>
      <c r="J1280" s="67">
        <f>ROUND(+I1280-H1280,4)</f>
        <v>0</v>
      </c>
      <c r="K1280" s="67">
        <f>ROUND(IF(F1280="alluminio",0,I1280*1.5%),4)</f>
        <v>0</v>
      </c>
      <c r="L1280" s="67">
        <f>ROUND(IF(K1280&lt;J1280,K1280,0),4)</f>
        <v>0</v>
      </c>
      <c r="M1280" s="67">
        <f>ROUND(IF(J1280&gt;K1280,0,J1280),4)</f>
        <v>0</v>
      </c>
      <c r="N1280" s="67">
        <f>ROUND(+L1280*D1280,4)</f>
        <v>0</v>
      </c>
      <c r="O1280" s="67">
        <f>ROUND(IF(F1280="rame",0,+I1280*3%),4)</f>
        <v>0</v>
      </c>
      <c r="P1280" s="67">
        <f>ROUND(IF(O1280&lt;J1280,O1280,0),4)</f>
        <v>0</v>
      </c>
      <c r="Q1280" s="67">
        <f>ROUND(IF(J1280&gt;O1280,0,J1280),4)</f>
        <v>0</v>
      </c>
      <c r="R1280" s="67">
        <f>ROUND(+P1280*D1280,4)</f>
        <v>0</v>
      </c>
      <c r="S1280" s="67">
        <f>ROUND(IF(K1280=0,0,M1280*D1280),4)</f>
        <v>0</v>
      </c>
      <c r="T1280" s="67">
        <f>ROUND(+IF(K1280=0,Q1280*D1280,0),4)</f>
        <v>0</v>
      </c>
      <c r="U1280" s="67">
        <f>ROUND(+N1280+R1280+S1280+T1280,4)</f>
        <v>0</v>
      </c>
      <c r="V1280" s="67">
        <f>ROUND(IF(P1280=0,0,I1280-H1280-O1280)+IF(L1280=0,0,I1280-H1280-K1280),4)</f>
        <v>0</v>
      </c>
      <c r="W1280" s="67">
        <f>ROUND(+(V1280*60%)*D1280,4)</f>
        <v>0</v>
      </c>
      <c r="X1280" s="148">
        <f>ROUND(+U1280+W1280,4)</f>
        <v>0</v>
      </c>
      <c r="Y1280" s="68"/>
      <c r="Z1280" s="148">
        <f>ROUND(IF(X1280&gt;I1280,X1280,I1280),4)</f>
        <v>0</v>
      </c>
      <c r="AD1280" s="78">
        <f t="shared" si="18"/>
        <v>0</v>
      </c>
      <c r="AE1280" s="78">
        <f t="shared" si="19"/>
        <v>0</v>
      </c>
    </row>
    <row r="1281" spans="1:31" x14ac:dyDescent="0.2">
      <c r="A1281" s="66"/>
      <c r="B1281" s="66"/>
      <c r="C1281" s="66"/>
      <c r="D1281" s="144"/>
      <c r="E1281" s="67"/>
      <c r="F1281" s="67"/>
      <c r="G1281" s="67"/>
      <c r="H1281" s="67">
        <f>ROUND(+E1281+G1281,4)</f>
        <v>0</v>
      </c>
      <c r="I1281" s="67"/>
      <c r="J1281" s="67">
        <f>ROUND(+I1281-H1281,4)</f>
        <v>0</v>
      </c>
      <c r="K1281" s="67">
        <f>ROUND(IF(F1281="alluminio",0,I1281*1.5%),4)</f>
        <v>0</v>
      </c>
      <c r="L1281" s="67">
        <f>ROUND(IF(K1281&lt;J1281,K1281,0),4)</f>
        <v>0</v>
      </c>
      <c r="M1281" s="67">
        <f>ROUND(IF(J1281&gt;K1281,0,J1281),4)</f>
        <v>0</v>
      </c>
      <c r="N1281" s="67">
        <f>ROUND(+L1281*D1281,4)</f>
        <v>0</v>
      </c>
      <c r="O1281" s="67">
        <f>ROUND(IF(F1281="rame",0,+I1281*3%),4)</f>
        <v>0</v>
      </c>
      <c r="P1281" s="67">
        <f>ROUND(IF(O1281&lt;J1281,O1281,0),4)</f>
        <v>0</v>
      </c>
      <c r="Q1281" s="67">
        <f>ROUND(IF(J1281&gt;O1281,0,J1281),4)</f>
        <v>0</v>
      </c>
      <c r="R1281" s="67">
        <f>ROUND(+P1281*D1281,4)</f>
        <v>0</v>
      </c>
      <c r="S1281" s="67">
        <f>ROUND(IF(K1281=0,0,M1281*D1281),4)</f>
        <v>0</v>
      </c>
      <c r="T1281" s="67">
        <f>ROUND(+IF(K1281=0,Q1281*D1281,0),4)</f>
        <v>0</v>
      </c>
      <c r="U1281" s="67">
        <f>ROUND(+N1281+R1281+S1281+T1281,4)</f>
        <v>0</v>
      </c>
      <c r="V1281" s="67">
        <f>ROUND(IF(P1281=0,0,I1281-H1281-O1281)+IF(L1281=0,0,I1281-H1281-K1281),4)</f>
        <v>0</v>
      </c>
      <c r="W1281" s="67">
        <f>ROUND(+(V1281*60%)*D1281,4)</f>
        <v>0</v>
      </c>
      <c r="X1281" s="148">
        <f>ROUND(+U1281+W1281,4)</f>
        <v>0</v>
      </c>
      <c r="Y1281" s="68"/>
      <c r="Z1281" s="148">
        <f>ROUND(IF(X1281&gt;I1281,X1281,I1281),4)</f>
        <v>0</v>
      </c>
      <c r="AD1281" s="78">
        <f t="shared" si="18"/>
        <v>0</v>
      </c>
      <c r="AE1281" s="78">
        <f t="shared" si="19"/>
        <v>0</v>
      </c>
    </row>
    <row r="1282" spans="1:31" x14ac:dyDescent="0.2">
      <c r="A1282" s="66"/>
      <c r="B1282" s="66"/>
      <c r="C1282" s="66"/>
      <c r="D1282" s="144"/>
      <c r="E1282" s="67"/>
      <c r="F1282" s="67"/>
      <c r="G1282" s="67"/>
      <c r="H1282" s="67">
        <f>ROUND(+E1282+G1282,4)</f>
        <v>0</v>
      </c>
      <c r="I1282" s="67"/>
      <c r="J1282" s="67">
        <f>ROUND(+I1282-H1282,4)</f>
        <v>0</v>
      </c>
      <c r="K1282" s="67">
        <f>ROUND(IF(F1282="alluminio",0,I1282*1.5%),4)</f>
        <v>0</v>
      </c>
      <c r="L1282" s="67">
        <f>ROUND(IF(K1282&lt;J1282,K1282,0),4)</f>
        <v>0</v>
      </c>
      <c r="M1282" s="67">
        <f>ROUND(IF(J1282&gt;K1282,0,J1282),4)</f>
        <v>0</v>
      </c>
      <c r="N1282" s="67">
        <f>ROUND(+L1282*D1282,4)</f>
        <v>0</v>
      </c>
      <c r="O1282" s="67">
        <f>ROUND(IF(F1282="rame",0,+I1282*3%),4)</f>
        <v>0</v>
      </c>
      <c r="P1282" s="67">
        <f>ROUND(IF(O1282&lt;J1282,O1282,0),4)</f>
        <v>0</v>
      </c>
      <c r="Q1282" s="67">
        <f>ROUND(IF(J1282&gt;O1282,0,J1282),4)</f>
        <v>0</v>
      </c>
      <c r="R1282" s="67">
        <f>ROUND(+P1282*D1282,4)</f>
        <v>0</v>
      </c>
      <c r="S1282" s="67">
        <f>ROUND(IF(K1282=0,0,M1282*D1282),4)</f>
        <v>0</v>
      </c>
      <c r="T1282" s="67">
        <f>ROUND(+IF(K1282=0,Q1282*D1282,0),4)</f>
        <v>0</v>
      </c>
      <c r="U1282" s="67">
        <f>ROUND(+N1282+R1282+S1282+T1282,4)</f>
        <v>0</v>
      </c>
      <c r="V1282" s="67">
        <f>ROUND(IF(P1282=0,0,I1282-H1282-O1282)+IF(L1282=0,0,I1282-H1282-K1282),4)</f>
        <v>0</v>
      </c>
      <c r="W1282" s="67">
        <f>ROUND(+(V1282*60%)*D1282,4)</f>
        <v>0</v>
      </c>
      <c r="X1282" s="148">
        <f>ROUND(+U1282+W1282,4)</f>
        <v>0</v>
      </c>
      <c r="Y1282" s="68"/>
      <c r="Z1282" s="148">
        <f>ROUND(IF(X1282&gt;I1282,X1282,I1282),4)</f>
        <v>0</v>
      </c>
      <c r="AD1282" s="78">
        <f t="shared" si="18"/>
        <v>0</v>
      </c>
      <c r="AE1282" s="78">
        <f t="shared" si="19"/>
        <v>0</v>
      </c>
    </row>
    <row r="1283" spans="1:31" x14ac:dyDescent="0.2">
      <c r="A1283" s="66"/>
      <c r="B1283" s="66"/>
      <c r="C1283" s="66"/>
      <c r="D1283" s="144"/>
      <c r="E1283" s="67"/>
      <c r="F1283" s="67"/>
      <c r="G1283" s="67"/>
      <c r="H1283" s="67">
        <f>ROUND(+E1283+G1283,4)</f>
        <v>0</v>
      </c>
      <c r="I1283" s="67"/>
      <c r="J1283" s="67">
        <f>ROUND(+I1283-H1283,4)</f>
        <v>0</v>
      </c>
      <c r="K1283" s="67">
        <f>ROUND(IF(F1283="alluminio",0,I1283*1.5%),4)</f>
        <v>0</v>
      </c>
      <c r="L1283" s="67">
        <f>ROUND(IF(K1283&lt;J1283,K1283,0),4)</f>
        <v>0</v>
      </c>
      <c r="M1283" s="67">
        <f>ROUND(IF(J1283&gt;K1283,0,J1283),4)</f>
        <v>0</v>
      </c>
      <c r="N1283" s="67">
        <f>ROUND(+L1283*D1283,4)</f>
        <v>0</v>
      </c>
      <c r="O1283" s="67">
        <f>ROUND(IF(F1283="rame",0,+I1283*3%),4)</f>
        <v>0</v>
      </c>
      <c r="P1283" s="67">
        <f>ROUND(IF(O1283&lt;J1283,O1283,0),4)</f>
        <v>0</v>
      </c>
      <c r="Q1283" s="67">
        <f>ROUND(IF(J1283&gt;O1283,0,J1283),4)</f>
        <v>0</v>
      </c>
      <c r="R1283" s="67">
        <f>ROUND(+P1283*D1283,4)</f>
        <v>0</v>
      </c>
      <c r="S1283" s="67">
        <f>ROUND(IF(K1283=0,0,M1283*D1283),4)</f>
        <v>0</v>
      </c>
      <c r="T1283" s="67">
        <f>ROUND(+IF(K1283=0,Q1283*D1283,0),4)</f>
        <v>0</v>
      </c>
      <c r="U1283" s="67">
        <f>ROUND(+N1283+R1283+S1283+T1283,4)</f>
        <v>0</v>
      </c>
      <c r="V1283" s="67">
        <f>ROUND(IF(P1283=0,0,I1283-H1283-O1283)+IF(L1283=0,0,I1283-H1283-K1283),4)</f>
        <v>0</v>
      </c>
      <c r="W1283" s="67">
        <f>ROUND(+(V1283*60%)*D1283,4)</f>
        <v>0</v>
      </c>
      <c r="X1283" s="148">
        <f>ROUND(+U1283+W1283,4)</f>
        <v>0</v>
      </c>
      <c r="Y1283" s="68"/>
      <c r="Z1283" s="148">
        <f>ROUND(IF(X1283&gt;I1283,X1283,I1283),4)</f>
        <v>0</v>
      </c>
      <c r="AD1283" s="78">
        <f t="shared" si="18"/>
        <v>0</v>
      </c>
      <c r="AE1283" s="78">
        <f t="shared" si="19"/>
        <v>0</v>
      </c>
    </row>
    <row r="1284" spans="1:31" x14ac:dyDescent="0.2">
      <c r="A1284" s="66"/>
      <c r="B1284" s="66"/>
      <c r="C1284" s="66"/>
      <c r="D1284" s="144"/>
      <c r="E1284" s="67"/>
      <c r="F1284" s="67"/>
      <c r="G1284" s="67"/>
      <c r="H1284" s="67">
        <f>ROUND(+E1284+G1284,4)</f>
        <v>0</v>
      </c>
      <c r="I1284" s="67"/>
      <c r="J1284" s="67">
        <f>ROUND(+I1284-H1284,4)</f>
        <v>0</v>
      </c>
      <c r="K1284" s="67">
        <f>ROUND(IF(F1284="alluminio",0,I1284*1.5%),4)</f>
        <v>0</v>
      </c>
      <c r="L1284" s="67">
        <f>ROUND(IF(K1284&lt;J1284,K1284,0),4)</f>
        <v>0</v>
      </c>
      <c r="M1284" s="67">
        <f>ROUND(IF(J1284&gt;K1284,0,J1284),4)</f>
        <v>0</v>
      </c>
      <c r="N1284" s="67">
        <f>ROUND(+L1284*D1284,4)</f>
        <v>0</v>
      </c>
      <c r="O1284" s="67">
        <f>ROUND(IF(F1284="rame",0,+I1284*3%),4)</f>
        <v>0</v>
      </c>
      <c r="P1284" s="67">
        <f>ROUND(IF(O1284&lt;J1284,O1284,0),4)</f>
        <v>0</v>
      </c>
      <c r="Q1284" s="67">
        <f>ROUND(IF(J1284&gt;O1284,0,J1284),4)</f>
        <v>0</v>
      </c>
      <c r="R1284" s="67">
        <f>ROUND(+P1284*D1284,4)</f>
        <v>0</v>
      </c>
      <c r="S1284" s="67">
        <f>ROUND(IF(K1284=0,0,M1284*D1284),4)</f>
        <v>0</v>
      </c>
      <c r="T1284" s="67">
        <f>ROUND(+IF(K1284=0,Q1284*D1284,0),4)</f>
        <v>0</v>
      </c>
      <c r="U1284" s="67">
        <f>ROUND(+N1284+R1284+S1284+T1284,4)</f>
        <v>0</v>
      </c>
      <c r="V1284" s="67">
        <f>ROUND(IF(P1284=0,0,I1284-H1284-O1284)+IF(L1284=0,0,I1284-H1284-K1284),4)</f>
        <v>0</v>
      </c>
      <c r="W1284" s="67">
        <f>ROUND(+(V1284*60%)*D1284,4)</f>
        <v>0</v>
      </c>
      <c r="X1284" s="148">
        <f>ROUND(+U1284+W1284,4)</f>
        <v>0</v>
      </c>
      <c r="Y1284" s="68"/>
      <c r="Z1284" s="148">
        <f>ROUND(IF(X1284&gt;I1284,X1284,I1284),4)</f>
        <v>0</v>
      </c>
      <c r="AD1284" s="78">
        <f t="shared" si="18"/>
        <v>0</v>
      </c>
      <c r="AE1284" s="78">
        <f t="shared" si="19"/>
        <v>0</v>
      </c>
    </row>
    <row r="1285" spans="1:31" x14ac:dyDescent="0.2">
      <c r="A1285" s="66"/>
      <c r="B1285" s="66"/>
      <c r="C1285" s="66"/>
      <c r="D1285" s="144"/>
      <c r="E1285" s="67"/>
      <c r="F1285" s="67"/>
      <c r="G1285" s="67"/>
      <c r="H1285" s="67">
        <f>ROUND(+E1285+G1285,4)</f>
        <v>0</v>
      </c>
      <c r="I1285" s="67"/>
      <c r="J1285" s="67">
        <f>ROUND(+I1285-H1285,4)</f>
        <v>0</v>
      </c>
      <c r="K1285" s="67">
        <f>ROUND(IF(F1285="alluminio",0,I1285*1.5%),4)</f>
        <v>0</v>
      </c>
      <c r="L1285" s="67">
        <f>ROUND(IF(K1285&lt;J1285,K1285,0),4)</f>
        <v>0</v>
      </c>
      <c r="M1285" s="67">
        <f>ROUND(IF(J1285&gt;K1285,0,J1285),4)</f>
        <v>0</v>
      </c>
      <c r="N1285" s="67">
        <f>ROUND(+L1285*D1285,4)</f>
        <v>0</v>
      </c>
      <c r="O1285" s="67">
        <f>ROUND(IF(F1285="rame",0,+I1285*3%),4)</f>
        <v>0</v>
      </c>
      <c r="P1285" s="67">
        <f>ROUND(IF(O1285&lt;J1285,O1285,0),4)</f>
        <v>0</v>
      </c>
      <c r="Q1285" s="67">
        <f>ROUND(IF(J1285&gt;O1285,0,J1285),4)</f>
        <v>0</v>
      </c>
      <c r="R1285" s="67">
        <f>ROUND(+P1285*D1285,4)</f>
        <v>0</v>
      </c>
      <c r="S1285" s="67">
        <f>ROUND(IF(K1285=0,0,M1285*D1285),4)</f>
        <v>0</v>
      </c>
      <c r="T1285" s="67">
        <f>ROUND(+IF(K1285=0,Q1285*D1285,0),4)</f>
        <v>0</v>
      </c>
      <c r="U1285" s="67">
        <f>ROUND(+N1285+R1285+S1285+T1285,4)</f>
        <v>0</v>
      </c>
      <c r="V1285" s="67">
        <f>ROUND(IF(P1285=0,0,I1285-H1285-O1285)+IF(L1285=0,0,I1285-H1285-K1285),4)</f>
        <v>0</v>
      </c>
      <c r="W1285" s="67">
        <f>ROUND(+(V1285*60%)*D1285,4)</f>
        <v>0</v>
      </c>
      <c r="X1285" s="148">
        <f>ROUND(+U1285+W1285,4)</f>
        <v>0</v>
      </c>
      <c r="Y1285" s="68"/>
      <c r="Z1285" s="148">
        <f>ROUND(IF(X1285&gt;I1285,X1285,I1285),4)</f>
        <v>0</v>
      </c>
      <c r="AD1285" s="78">
        <f t="shared" si="18"/>
        <v>0</v>
      </c>
      <c r="AE1285" s="78">
        <f t="shared" si="19"/>
        <v>0</v>
      </c>
    </row>
    <row r="1286" spans="1:31" x14ac:dyDescent="0.2">
      <c r="A1286" s="66"/>
      <c r="B1286" s="66"/>
      <c r="C1286" s="66"/>
      <c r="D1286" s="144"/>
      <c r="E1286" s="67"/>
      <c r="F1286" s="67"/>
      <c r="G1286" s="67"/>
      <c r="H1286" s="67">
        <f>ROUND(+E1286+G1286,4)</f>
        <v>0</v>
      </c>
      <c r="I1286" s="67"/>
      <c r="J1286" s="67">
        <f>ROUND(+I1286-H1286,4)</f>
        <v>0</v>
      </c>
      <c r="K1286" s="67">
        <f>ROUND(IF(F1286="alluminio",0,I1286*1.5%),4)</f>
        <v>0</v>
      </c>
      <c r="L1286" s="67">
        <f>ROUND(IF(K1286&lt;J1286,K1286,0),4)</f>
        <v>0</v>
      </c>
      <c r="M1286" s="67">
        <f>ROUND(IF(J1286&gt;K1286,0,J1286),4)</f>
        <v>0</v>
      </c>
      <c r="N1286" s="67">
        <f>ROUND(+L1286*D1286,4)</f>
        <v>0</v>
      </c>
      <c r="O1286" s="67">
        <f>ROUND(IF(F1286="rame",0,+I1286*3%),4)</f>
        <v>0</v>
      </c>
      <c r="P1286" s="67">
        <f>ROUND(IF(O1286&lt;J1286,O1286,0),4)</f>
        <v>0</v>
      </c>
      <c r="Q1286" s="67">
        <f>ROUND(IF(J1286&gt;O1286,0,J1286),4)</f>
        <v>0</v>
      </c>
      <c r="R1286" s="67">
        <f>ROUND(+P1286*D1286,4)</f>
        <v>0</v>
      </c>
      <c r="S1286" s="67">
        <f>ROUND(IF(K1286=0,0,M1286*D1286),4)</f>
        <v>0</v>
      </c>
      <c r="T1286" s="67">
        <f>ROUND(+IF(K1286=0,Q1286*D1286,0),4)</f>
        <v>0</v>
      </c>
      <c r="U1286" s="67">
        <f>ROUND(+N1286+R1286+S1286+T1286,4)</f>
        <v>0</v>
      </c>
      <c r="V1286" s="67">
        <f>ROUND(IF(P1286=0,0,I1286-H1286-O1286)+IF(L1286=0,0,I1286-H1286-K1286),4)</f>
        <v>0</v>
      </c>
      <c r="W1286" s="67">
        <f>ROUND(+(V1286*60%)*D1286,4)</f>
        <v>0</v>
      </c>
      <c r="X1286" s="148">
        <f>ROUND(+U1286+W1286,4)</f>
        <v>0</v>
      </c>
      <c r="Y1286" s="68"/>
      <c r="Z1286" s="148">
        <f>ROUND(IF(X1286&gt;I1286,X1286,I1286),4)</f>
        <v>0</v>
      </c>
      <c r="AD1286" s="78">
        <f t="shared" si="18"/>
        <v>0</v>
      </c>
      <c r="AE1286" s="78">
        <f t="shared" si="19"/>
        <v>0</v>
      </c>
    </row>
    <row r="1287" spans="1:31" x14ac:dyDescent="0.2">
      <c r="A1287" s="66"/>
      <c r="B1287" s="66"/>
      <c r="C1287" s="66"/>
      <c r="D1287" s="144"/>
      <c r="E1287" s="67"/>
      <c r="F1287" s="67"/>
      <c r="G1287" s="67"/>
      <c r="H1287" s="67">
        <f>ROUND(+E1287+G1287,4)</f>
        <v>0</v>
      </c>
      <c r="I1287" s="67"/>
      <c r="J1287" s="67">
        <f>ROUND(+I1287-H1287,4)</f>
        <v>0</v>
      </c>
      <c r="K1287" s="67">
        <f>ROUND(IF(F1287="alluminio",0,I1287*1.5%),4)</f>
        <v>0</v>
      </c>
      <c r="L1287" s="67">
        <f>ROUND(IF(K1287&lt;J1287,K1287,0),4)</f>
        <v>0</v>
      </c>
      <c r="M1287" s="67">
        <f>ROUND(IF(J1287&gt;K1287,0,J1287),4)</f>
        <v>0</v>
      </c>
      <c r="N1287" s="67">
        <f>ROUND(+L1287*D1287,4)</f>
        <v>0</v>
      </c>
      <c r="O1287" s="67">
        <f>ROUND(IF(F1287="rame",0,+I1287*3%),4)</f>
        <v>0</v>
      </c>
      <c r="P1287" s="67">
        <f>ROUND(IF(O1287&lt;J1287,O1287,0),4)</f>
        <v>0</v>
      </c>
      <c r="Q1287" s="67">
        <f>ROUND(IF(J1287&gt;O1287,0,J1287),4)</f>
        <v>0</v>
      </c>
      <c r="R1287" s="67">
        <f>ROUND(+P1287*D1287,4)</f>
        <v>0</v>
      </c>
      <c r="S1287" s="67">
        <f>ROUND(IF(K1287=0,0,M1287*D1287),4)</f>
        <v>0</v>
      </c>
      <c r="T1287" s="67">
        <f>ROUND(+IF(K1287=0,Q1287*D1287,0),4)</f>
        <v>0</v>
      </c>
      <c r="U1287" s="67">
        <f>ROUND(+N1287+R1287+S1287+T1287,4)</f>
        <v>0</v>
      </c>
      <c r="V1287" s="67">
        <f>ROUND(IF(P1287=0,0,I1287-H1287-O1287)+IF(L1287=0,0,I1287-H1287-K1287),4)</f>
        <v>0</v>
      </c>
      <c r="W1287" s="67">
        <f>ROUND(+(V1287*60%)*D1287,4)</f>
        <v>0</v>
      </c>
      <c r="X1287" s="148">
        <f>ROUND(+U1287+W1287,4)</f>
        <v>0</v>
      </c>
      <c r="Y1287" s="68"/>
      <c r="Z1287" s="148">
        <f>ROUND(IF(X1287&gt;I1287,X1287,I1287),4)</f>
        <v>0</v>
      </c>
      <c r="AD1287" s="78">
        <f t="shared" si="18"/>
        <v>0</v>
      </c>
      <c r="AE1287" s="78">
        <f t="shared" si="19"/>
        <v>0</v>
      </c>
    </row>
    <row r="1288" spans="1:31" x14ac:dyDescent="0.2">
      <c r="A1288" s="66"/>
      <c r="B1288" s="66"/>
      <c r="C1288" s="66"/>
      <c r="D1288" s="144"/>
      <c r="E1288" s="67"/>
      <c r="F1288" s="67"/>
      <c r="G1288" s="67"/>
      <c r="H1288" s="67">
        <f>ROUND(+E1288+G1288,4)</f>
        <v>0</v>
      </c>
      <c r="I1288" s="67"/>
      <c r="J1288" s="67">
        <f>ROUND(+I1288-H1288,4)</f>
        <v>0</v>
      </c>
      <c r="K1288" s="67">
        <f>ROUND(IF(F1288="alluminio",0,I1288*1.5%),4)</f>
        <v>0</v>
      </c>
      <c r="L1288" s="67">
        <f>ROUND(IF(K1288&lt;J1288,K1288,0),4)</f>
        <v>0</v>
      </c>
      <c r="M1288" s="67">
        <f>ROUND(IF(J1288&gt;K1288,0,J1288),4)</f>
        <v>0</v>
      </c>
      <c r="N1288" s="67">
        <f>ROUND(+L1288*D1288,4)</f>
        <v>0</v>
      </c>
      <c r="O1288" s="67">
        <f>ROUND(IF(F1288="rame",0,+I1288*3%),4)</f>
        <v>0</v>
      </c>
      <c r="P1288" s="67">
        <f>ROUND(IF(O1288&lt;J1288,O1288,0),4)</f>
        <v>0</v>
      </c>
      <c r="Q1288" s="67">
        <f>ROUND(IF(J1288&gt;O1288,0,J1288),4)</f>
        <v>0</v>
      </c>
      <c r="R1288" s="67">
        <f>ROUND(+P1288*D1288,4)</f>
        <v>0</v>
      </c>
      <c r="S1288" s="67">
        <f>ROUND(IF(K1288=0,0,M1288*D1288),4)</f>
        <v>0</v>
      </c>
      <c r="T1288" s="67">
        <f>ROUND(+IF(K1288=0,Q1288*D1288,0),4)</f>
        <v>0</v>
      </c>
      <c r="U1288" s="67">
        <f>ROUND(+N1288+R1288+S1288+T1288,4)</f>
        <v>0</v>
      </c>
      <c r="V1288" s="67">
        <f>ROUND(IF(P1288=0,0,I1288-H1288-O1288)+IF(L1288=0,0,I1288-H1288-K1288),4)</f>
        <v>0</v>
      </c>
      <c r="W1288" s="67">
        <f>ROUND(+(V1288*60%)*D1288,4)</f>
        <v>0</v>
      </c>
      <c r="X1288" s="148">
        <f>ROUND(+U1288+W1288,4)</f>
        <v>0</v>
      </c>
      <c r="Y1288" s="68"/>
      <c r="Z1288" s="148">
        <f>ROUND(IF(X1288&gt;I1288,X1288,I1288),4)</f>
        <v>0</v>
      </c>
      <c r="AD1288" s="78">
        <f t="shared" si="18"/>
        <v>0</v>
      </c>
      <c r="AE1288" s="78">
        <f t="shared" si="19"/>
        <v>0</v>
      </c>
    </row>
    <row r="1289" spans="1:31" x14ac:dyDescent="0.2">
      <c r="A1289" s="66"/>
      <c r="B1289" s="66"/>
      <c r="C1289" s="66"/>
      <c r="D1289" s="144"/>
      <c r="E1289" s="67"/>
      <c r="F1289" s="67"/>
      <c r="G1289" s="67"/>
      <c r="H1289" s="67">
        <f>ROUND(+E1289+G1289,4)</f>
        <v>0</v>
      </c>
      <c r="I1289" s="67"/>
      <c r="J1289" s="67">
        <f>ROUND(+I1289-H1289,4)</f>
        <v>0</v>
      </c>
      <c r="K1289" s="67">
        <f>ROUND(IF(F1289="alluminio",0,I1289*1.5%),4)</f>
        <v>0</v>
      </c>
      <c r="L1289" s="67">
        <f>ROUND(IF(K1289&lt;J1289,K1289,0),4)</f>
        <v>0</v>
      </c>
      <c r="M1289" s="67">
        <f>ROUND(IF(J1289&gt;K1289,0,J1289),4)</f>
        <v>0</v>
      </c>
      <c r="N1289" s="67">
        <f>ROUND(+L1289*D1289,4)</f>
        <v>0</v>
      </c>
      <c r="O1289" s="67">
        <f>ROUND(IF(F1289="rame",0,+I1289*3%),4)</f>
        <v>0</v>
      </c>
      <c r="P1289" s="67">
        <f>ROUND(IF(O1289&lt;J1289,O1289,0),4)</f>
        <v>0</v>
      </c>
      <c r="Q1289" s="67">
        <f>ROUND(IF(J1289&gt;O1289,0,J1289),4)</f>
        <v>0</v>
      </c>
      <c r="R1289" s="67">
        <f>ROUND(+P1289*D1289,4)</f>
        <v>0</v>
      </c>
      <c r="S1289" s="67">
        <f>ROUND(IF(K1289=0,0,M1289*D1289),4)</f>
        <v>0</v>
      </c>
      <c r="T1289" s="67">
        <f>ROUND(+IF(K1289=0,Q1289*D1289,0),4)</f>
        <v>0</v>
      </c>
      <c r="U1289" s="67">
        <f>ROUND(+N1289+R1289+S1289+T1289,4)</f>
        <v>0</v>
      </c>
      <c r="V1289" s="67">
        <f>ROUND(IF(P1289=0,0,I1289-H1289-O1289)+IF(L1289=0,0,I1289-H1289-K1289),4)</f>
        <v>0</v>
      </c>
      <c r="W1289" s="67">
        <f>ROUND(+(V1289*60%)*D1289,4)</f>
        <v>0</v>
      </c>
      <c r="X1289" s="148">
        <f>ROUND(+U1289+W1289,4)</f>
        <v>0</v>
      </c>
      <c r="Y1289" s="68"/>
      <c r="Z1289" s="148">
        <f>ROUND(IF(X1289&gt;I1289,X1289,I1289),4)</f>
        <v>0</v>
      </c>
      <c r="AD1289" s="78">
        <f t="shared" si="18"/>
        <v>0</v>
      </c>
      <c r="AE1289" s="78">
        <f t="shared" si="19"/>
        <v>0</v>
      </c>
    </row>
    <row r="1290" spans="1:31" x14ac:dyDescent="0.2">
      <c r="A1290" s="66"/>
      <c r="B1290" s="66"/>
      <c r="C1290" s="66"/>
      <c r="D1290" s="144"/>
      <c r="E1290" s="67"/>
      <c r="F1290" s="67"/>
      <c r="G1290" s="67"/>
      <c r="H1290" s="67">
        <f>ROUND(+E1290+G1290,4)</f>
        <v>0</v>
      </c>
      <c r="I1290" s="67"/>
      <c r="J1290" s="67">
        <f>ROUND(+I1290-H1290,4)</f>
        <v>0</v>
      </c>
      <c r="K1290" s="67">
        <f>ROUND(IF(F1290="alluminio",0,I1290*1.5%),4)</f>
        <v>0</v>
      </c>
      <c r="L1290" s="67">
        <f>ROUND(IF(K1290&lt;J1290,K1290,0),4)</f>
        <v>0</v>
      </c>
      <c r="M1290" s="67">
        <f>ROUND(IF(J1290&gt;K1290,0,J1290),4)</f>
        <v>0</v>
      </c>
      <c r="N1290" s="67">
        <f>ROUND(+L1290*D1290,4)</f>
        <v>0</v>
      </c>
      <c r="O1290" s="67">
        <f>ROUND(IF(F1290="rame",0,+I1290*3%),4)</f>
        <v>0</v>
      </c>
      <c r="P1290" s="67">
        <f>ROUND(IF(O1290&lt;J1290,O1290,0),4)</f>
        <v>0</v>
      </c>
      <c r="Q1290" s="67">
        <f>ROUND(IF(J1290&gt;O1290,0,J1290),4)</f>
        <v>0</v>
      </c>
      <c r="R1290" s="67">
        <f>ROUND(+P1290*D1290,4)</f>
        <v>0</v>
      </c>
      <c r="S1290" s="67">
        <f>ROUND(IF(K1290=0,0,M1290*D1290),4)</f>
        <v>0</v>
      </c>
      <c r="T1290" s="67">
        <f>ROUND(+IF(K1290=0,Q1290*D1290,0),4)</f>
        <v>0</v>
      </c>
      <c r="U1290" s="67">
        <f>ROUND(+N1290+R1290+S1290+T1290,4)</f>
        <v>0</v>
      </c>
      <c r="V1290" s="67">
        <f>ROUND(IF(P1290=0,0,I1290-H1290-O1290)+IF(L1290=0,0,I1290-H1290-K1290),4)</f>
        <v>0</v>
      </c>
      <c r="W1290" s="67">
        <f>ROUND(+(V1290*60%)*D1290,4)</f>
        <v>0</v>
      </c>
      <c r="X1290" s="148">
        <f>ROUND(+U1290+W1290,4)</f>
        <v>0</v>
      </c>
      <c r="Y1290" s="68"/>
      <c r="Z1290" s="148">
        <f>ROUND(IF(X1290&gt;I1290,X1290,I1290),4)</f>
        <v>0</v>
      </c>
      <c r="AD1290" s="78">
        <f t="shared" si="18"/>
        <v>0</v>
      </c>
      <c r="AE1290" s="78">
        <f t="shared" si="19"/>
        <v>0</v>
      </c>
    </row>
    <row r="1291" spans="1:31" x14ac:dyDescent="0.2">
      <c r="A1291" s="66"/>
      <c r="B1291" s="66"/>
      <c r="C1291" s="66"/>
      <c r="D1291" s="144"/>
      <c r="E1291" s="67"/>
      <c r="F1291" s="67"/>
      <c r="G1291" s="67"/>
      <c r="H1291" s="67">
        <f>ROUND(+E1291+G1291,4)</f>
        <v>0</v>
      </c>
      <c r="I1291" s="67"/>
      <c r="J1291" s="67">
        <f>ROUND(+I1291-H1291,4)</f>
        <v>0</v>
      </c>
      <c r="K1291" s="67">
        <f>ROUND(IF(F1291="alluminio",0,I1291*1.5%),4)</f>
        <v>0</v>
      </c>
      <c r="L1291" s="67">
        <f>ROUND(IF(K1291&lt;J1291,K1291,0),4)</f>
        <v>0</v>
      </c>
      <c r="M1291" s="67">
        <f>ROUND(IF(J1291&gt;K1291,0,J1291),4)</f>
        <v>0</v>
      </c>
      <c r="N1291" s="67">
        <f>ROUND(+L1291*D1291,4)</f>
        <v>0</v>
      </c>
      <c r="O1291" s="67">
        <f>ROUND(IF(F1291="rame",0,+I1291*3%),4)</f>
        <v>0</v>
      </c>
      <c r="P1291" s="67">
        <f>ROUND(IF(O1291&lt;J1291,O1291,0),4)</f>
        <v>0</v>
      </c>
      <c r="Q1291" s="67">
        <f>ROUND(IF(J1291&gt;O1291,0,J1291),4)</f>
        <v>0</v>
      </c>
      <c r="R1291" s="67">
        <f>ROUND(+P1291*D1291,4)</f>
        <v>0</v>
      </c>
      <c r="S1291" s="67">
        <f>ROUND(IF(K1291=0,0,M1291*D1291),4)</f>
        <v>0</v>
      </c>
      <c r="T1291" s="67">
        <f>ROUND(+IF(K1291=0,Q1291*D1291,0),4)</f>
        <v>0</v>
      </c>
      <c r="U1291" s="67">
        <f>ROUND(+N1291+R1291+S1291+T1291,4)</f>
        <v>0</v>
      </c>
      <c r="V1291" s="67">
        <f>ROUND(IF(P1291=0,0,I1291-H1291-O1291)+IF(L1291=0,0,I1291-H1291-K1291),4)</f>
        <v>0</v>
      </c>
      <c r="W1291" s="67">
        <f>ROUND(+(V1291*60%)*D1291,4)</f>
        <v>0</v>
      </c>
      <c r="X1291" s="148">
        <f>ROUND(+U1291+W1291,4)</f>
        <v>0</v>
      </c>
      <c r="Y1291" s="68"/>
      <c r="Z1291" s="148">
        <f>ROUND(IF(X1291&gt;I1291,X1291,I1291),4)</f>
        <v>0</v>
      </c>
      <c r="AD1291" s="78">
        <f t="shared" si="18"/>
        <v>0</v>
      </c>
      <c r="AE1291" s="78">
        <f t="shared" si="19"/>
        <v>0</v>
      </c>
    </row>
    <row r="1292" spans="1:31" x14ac:dyDescent="0.2">
      <c r="A1292" s="66"/>
      <c r="B1292" s="66"/>
      <c r="C1292" s="66"/>
      <c r="D1292" s="144"/>
      <c r="E1292" s="67"/>
      <c r="F1292" s="67"/>
      <c r="G1292" s="67"/>
      <c r="H1292" s="67">
        <f>ROUND(+E1292+G1292,4)</f>
        <v>0</v>
      </c>
      <c r="I1292" s="67"/>
      <c r="J1292" s="67">
        <f>ROUND(+I1292-H1292,4)</f>
        <v>0</v>
      </c>
      <c r="K1292" s="67">
        <f>ROUND(IF(F1292="alluminio",0,I1292*1.5%),4)</f>
        <v>0</v>
      </c>
      <c r="L1292" s="67">
        <f>ROUND(IF(K1292&lt;J1292,K1292,0),4)</f>
        <v>0</v>
      </c>
      <c r="M1292" s="67">
        <f>ROUND(IF(J1292&gt;K1292,0,J1292),4)</f>
        <v>0</v>
      </c>
      <c r="N1292" s="67">
        <f>ROUND(+L1292*D1292,4)</f>
        <v>0</v>
      </c>
      <c r="O1292" s="67">
        <f>ROUND(IF(F1292="rame",0,+I1292*3%),4)</f>
        <v>0</v>
      </c>
      <c r="P1292" s="67">
        <f>ROUND(IF(O1292&lt;J1292,O1292,0),4)</f>
        <v>0</v>
      </c>
      <c r="Q1292" s="67">
        <f>ROUND(IF(J1292&gt;O1292,0,J1292),4)</f>
        <v>0</v>
      </c>
      <c r="R1292" s="67">
        <f>ROUND(+P1292*D1292,4)</f>
        <v>0</v>
      </c>
      <c r="S1292" s="67">
        <f>ROUND(IF(K1292=0,0,M1292*D1292),4)</f>
        <v>0</v>
      </c>
      <c r="T1292" s="67">
        <f>ROUND(+IF(K1292=0,Q1292*D1292,0),4)</f>
        <v>0</v>
      </c>
      <c r="U1292" s="67">
        <f>ROUND(+N1292+R1292+S1292+T1292,4)</f>
        <v>0</v>
      </c>
      <c r="V1292" s="67">
        <f>ROUND(IF(P1292=0,0,I1292-H1292-O1292)+IF(L1292=0,0,I1292-H1292-K1292),4)</f>
        <v>0</v>
      </c>
      <c r="W1292" s="67">
        <f>ROUND(+(V1292*60%)*D1292,4)</f>
        <v>0</v>
      </c>
      <c r="X1292" s="148">
        <f>ROUND(+U1292+W1292,4)</f>
        <v>0</v>
      </c>
      <c r="Y1292" s="68"/>
      <c r="Z1292" s="148">
        <f>ROUND(IF(X1292&gt;I1292,X1292,I1292),4)</f>
        <v>0</v>
      </c>
      <c r="AD1292" s="78">
        <f t="shared" si="18"/>
        <v>0</v>
      </c>
      <c r="AE1292" s="78">
        <f t="shared" si="19"/>
        <v>0</v>
      </c>
    </row>
    <row r="1293" spans="1:31" x14ac:dyDescent="0.2">
      <c r="A1293" s="66"/>
      <c r="B1293" s="66"/>
      <c r="C1293" s="66"/>
      <c r="D1293" s="144"/>
      <c r="E1293" s="67"/>
      <c r="F1293" s="67"/>
      <c r="G1293" s="67"/>
      <c r="H1293" s="67">
        <f>ROUND(+E1293+G1293,4)</f>
        <v>0</v>
      </c>
      <c r="I1293" s="67"/>
      <c r="J1293" s="67">
        <f>ROUND(+I1293-H1293,4)</f>
        <v>0</v>
      </c>
      <c r="K1293" s="67">
        <f>ROUND(IF(F1293="alluminio",0,I1293*1.5%),4)</f>
        <v>0</v>
      </c>
      <c r="L1293" s="67">
        <f>ROUND(IF(K1293&lt;J1293,K1293,0),4)</f>
        <v>0</v>
      </c>
      <c r="M1293" s="67">
        <f>ROUND(IF(J1293&gt;K1293,0,J1293),4)</f>
        <v>0</v>
      </c>
      <c r="N1293" s="67">
        <f>ROUND(+L1293*D1293,4)</f>
        <v>0</v>
      </c>
      <c r="O1293" s="67">
        <f>ROUND(IF(F1293="rame",0,+I1293*3%),4)</f>
        <v>0</v>
      </c>
      <c r="P1293" s="67">
        <f>ROUND(IF(O1293&lt;J1293,O1293,0),4)</f>
        <v>0</v>
      </c>
      <c r="Q1293" s="67">
        <f>ROUND(IF(J1293&gt;O1293,0,J1293),4)</f>
        <v>0</v>
      </c>
      <c r="R1293" s="67">
        <f>ROUND(+P1293*D1293,4)</f>
        <v>0</v>
      </c>
      <c r="S1293" s="67">
        <f>ROUND(IF(K1293=0,0,M1293*D1293),4)</f>
        <v>0</v>
      </c>
      <c r="T1293" s="67">
        <f>ROUND(+IF(K1293=0,Q1293*D1293,0),4)</f>
        <v>0</v>
      </c>
      <c r="U1293" s="67">
        <f>ROUND(+N1293+R1293+S1293+T1293,4)</f>
        <v>0</v>
      </c>
      <c r="V1293" s="67">
        <f>ROUND(IF(P1293=0,0,I1293-H1293-O1293)+IF(L1293=0,0,I1293-H1293-K1293),4)</f>
        <v>0</v>
      </c>
      <c r="W1293" s="67">
        <f>ROUND(+(V1293*60%)*D1293,4)</f>
        <v>0</v>
      </c>
      <c r="X1293" s="148">
        <f>ROUND(+U1293+W1293,4)</f>
        <v>0</v>
      </c>
      <c r="Y1293" s="68"/>
      <c r="Z1293" s="148">
        <f>ROUND(IF(X1293&gt;I1293,X1293,I1293),4)</f>
        <v>0</v>
      </c>
      <c r="AD1293" s="78">
        <f t="shared" si="18"/>
        <v>0</v>
      </c>
      <c r="AE1293" s="78">
        <f t="shared" si="19"/>
        <v>0</v>
      </c>
    </row>
    <row r="1294" spans="1:31" x14ac:dyDescent="0.2">
      <c r="A1294" s="66"/>
      <c r="B1294" s="66"/>
      <c r="C1294" s="66"/>
      <c r="D1294" s="144"/>
      <c r="E1294" s="67"/>
      <c r="F1294" s="67"/>
      <c r="G1294" s="67"/>
      <c r="H1294" s="67">
        <f>ROUND(+E1294+G1294,4)</f>
        <v>0</v>
      </c>
      <c r="I1294" s="67"/>
      <c r="J1294" s="67">
        <f>ROUND(+I1294-H1294,4)</f>
        <v>0</v>
      </c>
      <c r="K1294" s="67">
        <f>ROUND(IF(F1294="alluminio",0,I1294*1.5%),4)</f>
        <v>0</v>
      </c>
      <c r="L1294" s="67">
        <f>ROUND(IF(K1294&lt;J1294,K1294,0),4)</f>
        <v>0</v>
      </c>
      <c r="M1294" s="67">
        <f>ROUND(IF(J1294&gt;K1294,0,J1294),4)</f>
        <v>0</v>
      </c>
      <c r="N1294" s="67">
        <f>ROUND(+L1294*D1294,4)</f>
        <v>0</v>
      </c>
      <c r="O1294" s="67">
        <f>ROUND(IF(F1294="rame",0,+I1294*3%),4)</f>
        <v>0</v>
      </c>
      <c r="P1294" s="67">
        <f>ROUND(IF(O1294&lt;J1294,O1294,0),4)</f>
        <v>0</v>
      </c>
      <c r="Q1294" s="67">
        <f>ROUND(IF(J1294&gt;O1294,0,J1294),4)</f>
        <v>0</v>
      </c>
      <c r="R1294" s="67">
        <f>ROUND(+P1294*D1294,4)</f>
        <v>0</v>
      </c>
      <c r="S1294" s="67">
        <f>ROUND(IF(K1294=0,0,M1294*D1294),4)</f>
        <v>0</v>
      </c>
      <c r="T1294" s="67">
        <f>ROUND(+IF(K1294=0,Q1294*D1294,0),4)</f>
        <v>0</v>
      </c>
      <c r="U1294" s="67">
        <f>ROUND(+N1294+R1294+S1294+T1294,4)</f>
        <v>0</v>
      </c>
      <c r="V1294" s="67">
        <f>ROUND(IF(P1294=0,0,I1294-H1294-O1294)+IF(L1294=0,0,I1294-H1294-K1294),4)</f>
        <v>0</v>
      </c>
      <c r="W1294" s="67">
        <f>ROUND(+(V1294*60%)*D1294,4)</f>
        <v>0</v>
      </c>
      <c r="X1294" s="148">
        <f>ROUND(+U1294+W1294,4)</f>
        <v>0</v>
      </c>
      <c r="Y1294" s="68"/>
      <c r="Z1294" s="148">
        <f>ROUND(IF(X1294&gt;I1294,X1294,I1294),4)</f>
        <v>0</v>
      </c>
      <c r="AD1294" s="78">
        <f t="shared" si="18"/>
        <v>0</v>
      </c>
      <c r="AE1294" s="78">
        <f t="shared" si="19"/>
        <v>0</v>
      </c>
    </row>
    <row r="1295" spans="1:31" x14ac:dyDescent="0.2">
      <c r="A1295" s="66"/>
      <c r="B1295" s="66"/>
      <c r="C1295" s="66"/>
      <c r="D1295" s="144"/>
      <c r="E1295" s="67"/>
      <c r="F1295" s="67"/>
      <c r="G1295" s="67"/>
      <c r="H1295" s="67">
        <f>ROUND(+E1295+G1295,4)</f>
        <v>0</v>
      </c>
      <c r="I1295" s="67"/>
      <c r="J1295" s="67">
        <f>ROUND(+I1295-H1295,4)</f>
        <v>0</v>
      </c>
      <c r="K1295" s="67">
        <f>ROUND(IF(F1295="alluminio",0,I1295*1.5%),4)</f>
        <v>0</v>
      </c>
      <c r="L1295" s="67">
        <f>ROUND(IF(K1295&lt;J1295,K1295,0),4)</f>
        <v>0</v>
      </c>
      <c r="M1295" s="67">
        <f>ROUND(IF(J1295&gt;K1295,0,J1295),4)</f>
        <v>0</v>
      </c>
      <c r="N1295" s="67">
        <f>ROUND(+L1295*D1295,4)</f>
        <v>0</v>
      </c>
      <c r="O1295" s="67">
        <f>ROUND(IF(F1295="rame",0,+I1295*3%),4)</f>
        <v>0</v>
      </c>
      <c r="P1295" s="67">
        <f>ROUND(IF(O1295&lt;J1295,O1295,0),4)</f>
        <v>0</v>
      </c>
      <c r="Q1295" s="67">
        <f>ROUND(IF(J1295&gt;O1295,0,J1295),4)</f>
        <v>0</v>
      </c>
      <c r="R1295" s="67">
        <f>ROUND(+P1295*D1295,4)</f>
        <v>0</v>
      </c>
      <c r="S1295" s="67">
        <f>ROUND(IF(K1295=0,0,M1295*D1295),4)</f>
        <v>0</v>
      </c>
      <c r="T1295" s="67">
        <f>ROUND(+IF(K1295=0,Q1295*D1295,0),4)</f>
        <v>0</v>
      </c>
      <c r="U1295" s="67">
        <f>ROUND(+N1295+R1295+S1295+T1295,4)</f>
        <v>0</v>
      </c>
      <c r="V1295" s="67">
        <f>ROUND(IF(P1295=0,0,I1295-H1295-O1295)+IF(L1295=0,0,I1295-H1295-K1295),4)</f>
        <v>0</v>
      </c>
      <c r="W1295" s="67">
        <f>ROUND(+(V1295*60%)*D1295,4)</f>
        <v>0</v>
      </c>
      <c r="X1295" s="148">
        <f>ROUND(+U1295+W1295,4)</f>
        <v>0</v>
      </c>
      <c r="Y1295" s="68"/>
      <c r="Z1295" s="148">
        <f>ROUND(IF(X1295&gt;I1295,X1295,I1295),4)</f>
        <v>0</v>
      </c>
      <c r="AD1295" s="78">
        <f t="shared" si="18"/>
        <v>0</v>
      </c>
      <c r="AE1295" s="78">
        <f t="shared" si="19"/>
        <v>0</v>
      </c>
    </row>
    <row r="1296" spans="1:31" x14ac:dyDescent="0.2">
      <c r="A1296" s="66"/>
      <c r="B1296" s="66"/>
      <c r="C1296" s="66"/>
      <c r="D1296" s="144"/>
      <c r="E1296" s="67"/>
      <c r="F1296" s="67"/>
      <c r="G1296" s="67"/>
      <c r="H1296" s="67">
        <f>ROUND(+E1296+G1296,4)</f>
        <v>0</v>
      </c>
      <c r="I1296" s="67"/>
      <c r="J1296" s="67">
        <f>ROUND(+I1296-H1296,4)</f>
        <v>0</v>
      </c>
      <c r="K1296" s="67">
        <f>ROUND(IF(F1296="alluminio",0,I1296*1.5%),4)</f>
        <v>0</v>
      </c>
      <c r="L1296" s="67">
        <f>ROUND(IF(K1296&lt;J1296,K1296,0),4)</f>
        <v>0</v>
      </c>
      <c r="M1296" s="67">
        <f>ROUND(IF(J1296&gt;K1296,0,J1296),4)</f>
        <v>0</v>
      </c>
      <c r="N1296" s="67">
        <f>ROUND(+L1296*D1296,4)</f>
        <v>0</v>
      </c>
      <c r="O1296" s="67">
        <f>ROUND(IF(F1296="rame",0,+I1296*3%),4)</f>
        <v>0</v>
      </c>
      <c r="P1296" s="67">
        <f>ROUND(IF(O1296&lt;J1296,O1296,0),4)</f>
        <v>0</v>
      </c>
      <c r="Q1296" s="67">
        <f>ROUND(IF(J1296&gt;O1296,0,J1296),4)</f>
        <v>0</v>
      </c>
      <c r="R1296" s="67">
        <f>ROUND(+P1296*D1296,4)</f>
        <v>0</v>
      </c>
      <c r="S1296" s="67">
        <f>ROUND(IF(K1296=0,0,M1296*D1296),4)</f>
        <v>0</v>
      </c>
      <c r="T1296" s="67">
        <f>ROUND(+IF(K1296=0,Q1296*D1296,0),4)</f>
        <v>0</v>
      </c>
      <c r="U1296" s="67">
        <f>ROUND(+N1296+R1296+S1296+T1296,4)</f>
        <v>0</v>
      </c>
      <c r="V1296" s="67">
        <f>ROUND(IF(P1296=0,0,I1296-H1296-O1296)+IF(L1296=0,0,I1296-H1296-K1296),4)</f>
        <v>0</v>
      </c>
      <c r="W1296" s="67">
        <f>ROUND(+(V1296*60%)*D1296,4)</f>
        <v>0</v>
      </c>
      <c r="X1296" s="148">
        <f>ROUND(+U1296+W1296,4)</f>
        <v>0</v>
      </c>
      <c r="Y1296" s="68"/>
      <c r="Z1296" s="148">
        <f>ROUND(IF(X1296&gt;I1296,X1296,I1296),4)</f>
        <v>0</v>
      </c>
      <c r="AD1296" s="78">
        <f t="shared" si="18"/>
        <v>0</v>
      </c>
      <c r="AE1296" s="78">
        <f t="shared" si="19"/>
        <v>0</v>
      </c>
    </row>
    <row r="1297" spans="1:31" x14ac:dyDescent="0.2">
      <c r="A1297" s="66"/>
      <c r="B1297" s="66"/>
      <c r="C1297" s="66"/>
      <c r="D1297" s="144"/>
      <c r="E1297" s="67"/>
      <c r="F1297" s="67"/>
      <c r="G1297" s="67"/>
      <c r="H1297" s="67">
        <f>ROUND(+E1297+G1297,4)</f>
        <v>0</v>
      </c>
      <c r="I1297" s="67"/>
      <c r="J1297" s="67">
        <f>ROUND(+I1297-H1297,4)</f>
        <v>0</v>
      </c>
      <c r="K1297" s="67">
        <f>ROUND(IF(F1297="alluminio",0,I1297*1.5%),4)</f>
        <v>0</v>
      </c>
      <c r="L1297" s="67">
        <f>ROUND(IF(K1297&lt;J1297,K1297,0),4)</f>
        <v>0</v>
      </c>
      <c r="M1297" s="67">
        <f>ROUND(IF(J1297&gt;K1297,0,J1297),4)</f>
        <v>0</v>
      </c>
      <c r="N1297" s="67">
        <f>ROUND(+L1297*D1297,4)</f>
        <v>0</v>
      </c>
      <c r="O1297" s="67">
        <f>ROUND(IF(F1297="rame",0,+I1297*3%),4)</f>
        <v>0</v>
      </c>
      <c r="P1297" s="67">
        <f>ROUND(IF(O1297&lt;J1297,O1297,0),4)</f>
        <v>0</v>
      </c>
      <c r="Q1297" s="67">
        <f>ROUND(IF(J1297&gt;O1297,0,J1297),4)</f>
        <v>0</v>
      </c>
      <c r="R1297" s="67">
        <f>ROUND(+P1297*D1297,4)</f>
        <v>0</v>
      </c>
      <c r="S1297" s="67">
        <f>ROUND(IF(K1297=0,0,M1297*D1297),4)</f>
        <v>0</v>
      </c>
      <c r="T1297" s="67">
        <f>ROUND(+IF(K1297=0,Q1297*D1297,0),4)</f>
        <v>0</v>
      </c>
      <c r="U1297" s="67">
        <f>ROUND(+N1297+R1297+S1297+T1297,4)</f>
        <v>0</v>
      </c>
      <c r="V1297" s="67">
        <f>ROUND(IF(P1297=0,0,I1297-H1297-O1297)+IF(L1297=0,0,I1297-H1297-K1297),4)</f>
        <v>0</v>
      </c>
      <c r="W1297" s="67">
        <f>ROUND(+(V1297*60%)*D1297,4)</f>
        <v>0</v>
      </c>
      <c r="X1297" s="148">
        <f>ROUND(+U1297+W1297,4)</f>
        <v>0</v>
      </c>
      <c r="Y1297" s="68"/>
      <c r="Z1297" s="148">
        <f>ROUND(IF(X1297&gt;I1297,X1297,I1297),4)</f>
        <v>0</v>
      </c>
      <c r="AD1297" s="78">
        <f t="shared" si="18"/>
        <v>0</v>
      </c>
      <c r="AE1297" s="78">
        <f t="shared" si="19"/>
        <v>0</v>
      </c>
    </row>
    <row r="1298" spans="1:31" x14ac:dyDescent="0.2">
      <c r="A1298" s="66"/>
      <c r="B1298" s="66"/>
      <c r="C1298" s="66"/>
      <c r="D1298" s="144"/>
      <c r="E1298" s="67"/>
      <c r="F1298" s="67"/>
      <c r="G1298" s="67"/>
      <c r="H1298" s="67">
        <f>ROUND(+E1298+G1298,4)</f>
        <v>0</v>
      </c>
      <c r="I1298" s="67"/>
      <c r="J1298" s="67">
        <f>ROUND(+I1298-H1298,4)</f>
        <v>0</v>
      </c>
      <c r="K1298" s="67">
        <f>ROUND(IF(F1298="alluminio",0,I1298*1.5%),4)</f>
        <v>0</v>
      </c>
      <c r="L1298" s="67">
        <f>ROUND(IF(K1298&lt;J1298,K1298,0),4)</f>
        <v>0</v>
      </c>
      <c r="M1298" s="67">
        <f>ROUND(IF(J1298&gt;K1298,0,J1298),4)</f>
        <v>0</v>
      </c>
      <c r="N1298" s="67">
        <f>ROUND(+L1298*D1298,4)</f>
        <v>0</v>
      </c>
      <c r="O1298" s="67">
        <f>ROUND(IF(F1298="rame",0,+I1298*3%),4)</f>
        <v>0</v>
      </c>
      <c r="P1298" s="67">
        <f>ROUND(IF(O1298&lt;J1298,O1298,0),4)</f>
        <v>0</v>
      </c>
      <c r="Q1298" s="67">
        <f>ROUND(IF(J1298&gt;O1298,0,J1298),4)</f>
        <v>0</v>
      </c>
      <c r="R1298" s="67">
        <f>ROUND(+P1298*D1298,4)</f>
        <v>0</v>
      </c>
      <c r="S1298" s="67">
        <f>ROUND(IF(K1298=0,0,M1298*D1298),4)</f>
        <v>0</v>
      </c>
      <c r="T1298" s="67">
        <f>ROUND(+IF(K1298=0,Q1298*D1298,0),4)</f>
        <v>0</v>
      </c>
      <c r="U1298" s="67">
        <f>ROUND(+N1298+R1298+S1298+T1298,4)</f>
        <v>0</v>
      </c>
      <c r="V1298" s="67">
        <f>ROUND(IF(P1298=0,0,I1298-H1298-O1298)+IF(L1298=0,0,I1298-H1298-K1298),4)</f>
        <v>0</v>
      </c>
      <c r="W1298" s="67">
        <f>ROUND(+(V1298*60%)*D1298,4)</f>
        <v>0</v>
      </c>
      <c r="X1298" s="148">
        <f>ROUND(+U1298+W1298,4)</f>
        <v>0</v>
      </c>
      <c r="Y1298" s="68"/>
      <c r="Z1298" s="148">
        <f>ROUND(IF(X1298&gt;I1298,X1298,I1298),4)</f>
        <v>0</v>
      </c>
      <c r="AD1298" s="78">
        <f t="shared" si="18"/>
        <v>0</v>
      </c>
      <c r="AE1298" s="78">
        <f t="shared" si="19"/>
        <v>0</v>
      </c>
    </row>
    <row r="1299" spans="1:31" x14ac:dyDescent="0.2">
      <c r="A1299" s="66"/>
      <c r="B1299" s="66"/>
      <c r="C1299" s="66"/>
      <c r="D1299" s="144"/>
      <c r="E1299" s="67"/>
      <c r="F1299" s="67"/>
      <c r="G1299" s="67"/>
      <c r="H1299" s="67">
        <f>ROUND(+E1299+G1299,4)</f>
        <v>0</v>
      </c>
      <c r="I1299" s="67"/>
      <c r="J1299" s="67">
        <f>ROUND(+I1299-H1299,4)</f>
        <v>0</v>
      </c>
      <c r="K1299" s="67">
        <f>ROUND(IF(F1299="alluminio",0,I1299*1.5%),4)</f>
        <v>0</v>
      </c>
      <c r="L1299" s="67">
        <f>ROUND(IF(K1299&lt;J1299,K1299,0),4)</f>
        <v>0</v>
      </c>
      <c r="M1299" s="67">
        <f>ROUND(IF(J1299&gt;K1299,0,J1299),4)</f>
        <v>0</v>
      </c>
      <c r="N1299" s="67">
        <f>ROUND(+L1299*D1299,4)</f>
        <v>0</v>
      </c>
      <c r="O1299" s="67">
        <f>ROUND(IF(F1299="rame",0,+I1299*3%),4)</f>
        <v>0</v>
      </c>
      <c r="P1299" s="67">
        <f>ROUND(IF(O1299&lt;J1299,O1299,0),4)</f>
        <v>0</v>
      </c>
      <c r="Q1299" s="67">
        <f>ROUND(IF(J1299&gt;O1299,0,J1299),4)</f>
        <v>0</v>
      </c>
      <c r="R1299" s="67">
        <f>ROUND(+P1299*D1299,4)</f>
        <v>0</v>
      </c>
      <c r="S1299" s="67">
        <f>ROUND(IF(K1299=0,0,M1299*D1299),4)</f>
        <v>0</v>
      </c>
      <c r="T1299" s="67">
        <f>ROUND(+IF(K1299=0,Q1299*D1299,0),4)</f>
        <v>0</v>
      </c>
      <c r="U1299" s="67">
        <f>ROUND(+N1299+R1299+S1299+T1299,4)</f>
        <v>0</v>
      </c>
      <c r="V1299" s="67">
        <f>ROUND(IF(P1299=0,0,I1299-H1299-O1299)+IF(L1299=0,0,I1299-H1299-K1299),4)</f>
        <v>0</v>
      </c>
      <c r="W1299" s="67">
        <f>ROUND(+(V1299*60%)*D1299,4)</f>
        <v>0</v>
      </c>
      <c r="X1299" s="148">
        <f>ROUND(+U1299+W1299,4)</f>
        <v>0</v>
      </c>
      <c r="Y1299" s="68"/>
      <c r="Z1299" s="148">
        <f>ROUND(IF(X1299&gt;I1299,X1299,I1299),4)</f>
        <v>0</v>
      </c>
      <c r="AD1299" s="78">
        <f t="shared" si="18"/>
        <v>0</v>
      </c>
      <c r="AE1299" s="78">
        <f t="shared" si="19"/>
        <v>0</v>
      </c>
    </row>
    <row r="1300" spans="1:31" x14ac:dyDescent="0.2">
      <c r="A1300" s="66"/>
      <c r="B1300" s="66"/>
      <c r="C1300" s="66"/>
      <c r="D1300" s="144"/>
      <c r="E1300" s="67"/>
      <c r="F1300" s="67"/>
      <c r="G1300" s="67"/>
      <c r="H1300" s="67">
        <f>ROUND(+E1300+G1300,4)</f>
        <v>0</v>
      </c>
      <c r="I1300" s="67"/>
      <c r="J1300" s="67">
        <f>ROUND(+I1300-H1300,4)</f>
        <v>0</v>
      </c>
      <c r="K1300" s="67">
        <f>ROUND(IF(F1300="alluminio",0,I1300*1.5%),4)</f>
        <v>0</v>
      </c>
      <c r="L1300" s="67">
        <f>ROUND(IF(K1300&lt;J1300,K1300,0),4)</f>
        <v>0</v>
      </c>
      <c r="M1300" s="67">
        <f>ROUND(IF(J1300&gt;K1300,0,J1300),4)</f>
        <v>0</v>
      </c>
      <c r="N1300" s="67">
        <f>ROUND(+L1300*D1300,4)</f>
        <v>0</v>
      </c>
      <c r="O1300" s="67">
        <f>ROUND(IF(F1300="rame",0,+I1300*3%),4)</f>
        <v>0</v>
      </c>
      <c r="P1300" s="67">
        <f>ROUND(IF(O1300&lt;J1300,O1300,0),4)</f>
        <v>0</v>
      </c>
      <c r="Q1300" s="67">
        <f>ROUND(IF(J1300&gt;O1300,0,J1300),4)</f>
        <v>0</v>
      </c>
      <c r="R1300" s="67">
        <f>ROUND(+P1300*D1300,4)</f>
        <v>0</v>
      </c>
      <c r="S1300" s="67">
        <f>ROUND(IF(K1300=0,0,M1300*D1300),4)</f>
        <v>0</v>
      </c>
      <c r="T1300" s="67">
        <f>ROUND(+IF(K1300=0,Q1300*D1300,0),4)</f>
        <v>0</v>
      </c>
      <c r="U1300" s="67">
        <f>ROUND(+N1300+R1300+S1300+T1300,4)</f>
        <v>0</v>
      </c>
      <c r="V1300" s="67">
        <f>ROUND(IF(P1300=0,0,I1300-H1300-O1300)+IF(L1300=0,0,I1300-H1300-K1300),4)</f>
        <v>0</v>
      </c>
      <c r="W1300" s="67">
        <f>ROUND(+(V1300*60%)*D1300,4)</f>
        <v>0</v>
      </c>
      <c r="X1300" s="148">
        <f>ROUND(+U1300+W1300,4)</f>
        <v>0</v>
      </c>
      <c r="Y1300" s="68"/>
      <c r="Z1300" s="148">
        <f>ROUND(IF(X1300&gt;I1300,X1300,I1300),4)</f>
        <v>0</v>
      </c>
      <c r="AD1300" s="78">
        <f t="shared" si="18"/>
        <v>0</v>
      </c>
      <c r="AE1300" s="78">
        <f t="shared" si="19"/>
        <v>0</v>
      </c>
    </row>
    <row r="1301" spans="1:31" x14ac:dyDescent="0.2">
      <c r="A1301" s="66"/>
      <c r="B1301" s="66"/>
      <c r="C1301" s="66"/>
      <c r="D1301" s="144"/>
      <c r="E1301" s="67"/>
      <c r="F1301" s="67"/>
      <c r="G1301" s="67"/>
      <c r="H1301" s="67">
        <f>ROUND(+E1301+G1301,4)</f>
        <v>0</v>
      </c>
      <c r="I1301" s="67"/>
      <c r="J1301" s="67">
        <f>ROUND(+I1301-H1301,4)</f>
        <v>0</v>
      </c>
      <c r="K1301" s="67">
        <f>ROUND(IF(F1301="alluminio",0,I1301*1.5%),4)</f>
        <v>0</v>
      </c>
      <c r="L1301" s="67">
        <f>ROUND(IF(K1301&lt;J1301,K1301,0),4)</f>
        <v>0</v>
      </c>
      <c r="M1301" s="67">
        <f>ROUND(IF(J1301&gt;K1301,0,J1301),4)</f>
        <v>0</v>
      </c>
      <c r="N1301" s="67">
        <f>ROUND(+L1301*D1301,4)</f>
        <v>0</v>
      </c>
      <c r="O1301" s="67">
        <f>ROUND(IF(F1301="rame",0,+I1301*3%),4)</f>
        <v>0</v>
      </c>
      <c r="P1301" s="67">
        <f>ROUND(IF(O1301&lt;J1301,O1301,0),4)</f>
        <v>0</v>
      </c>
      <c r="Q1301" s="67">
        <f>ROUND(IF(J1301&gt;O1301,0,J1301),4)</f>
        <v>0</v>
      </c>
      <c r="R1301" s="67">
        <f>ROUND(+P1301*D1301,4)</f>
        <v>0</v>
      </c>
      <c r="S1301" s="67">
        <f>ROUND(IF(K1301=0,0,M1301*D1301),4)</f>
        <v>0</v>
      </c>
      <c r="T1301" s="67">
        <f>ROUND(+IF(K1301=0,Q1301*D1301,0),4)</f>
        <v>0</v>
      </c>
      <c r="U1301" s="67">
        <f>ROUND(+N1301+R1301+S1301+T1301,4)</f>
        <v>0</v>
      </c>
      <c r="V1301" s="67">
        <f>ROUND(IF(P1301=0,0,I1301-H1301-O1301)+IF(L1301=0,0,I1301-H1301-K1301),4)</f>
        <v>0</v>
      </c>
      <c r="W1301" s="67">
        <f>ROUND(+(V1301*60%)*D1301,4)</f>
        <v>0</v>
      </c>
      <c r="X1301" s="148">
        <f>ROUND(+U1301+W1301,4)</f>
        <v>0</v>
      </c>
      <c r="Y1301" s="68"/>
      <c r="Z1301" s="148">
        <f>ROUND(IF(X1301&gt;I1301,X1301,I1301),4)</f>
        <v>0</v>
      </c>
      <c r="AD1301" s="78">
        <f t="shared" si="18"/>
        <v>0</v>
      </c>
      <c r="AE1301" s="78">
        <f t="shared" si="19"/>
        <v>0</v>
      </c>
    </row>
    <row r="1302" spans="1:31" x14ac:dyDescent="0.2">
      <c r="A1302" s="66"/>
      <c r="B1302" s="66"/>
      <c r="C1302" s="66"/>
      <c r="D1302" s="144"/>
      <c r="E1302" s="67"/>
      <c r="F1302" s="67"/>
      <c r="G1302" s="67"/>
      <c r="H1302" s="67">
        <f>ROUND(+E1302+G1302,4)</f>
        <v>0</v>
      </c>
      <c r="I1302" s="67"/>
      <c r="J1302" s="67">
        <f>ROUND(+I1302-H1302,4)</f>
        <v>0</v>
      </c>
      <c r="K1302" s="67">
        <f>ROUND(IF(F1302="alluminio",0,I1302*1.5%),4)</f>
        <v>0</v>
      </c>
      <c r="L1302" s="67">
        <f>ROUND(IF(K1302&lt;J1302,K1302,0),4)</f>
        <v>0</v>
      </c>
      <c r="M1302" s="67">
        <f>ROUND(IF(J1302&gt;K1302,0,J1302),4)</f>
        <v>0</v>
      </c>
      <c r="N1302" s="67">
        <f>ROUND(+L1302*D1302,4)</f>
        <v>0</v>
      </c>
      <c r="O1302" s="67">
        <f>ROUND(IF(F1302="rame",0,+I1302*3%),4)</f>
        <v>0</v>
      </c>
      <c r="P1302" s="67">
        <f>ROUND(IF(O1302&lt;J1302,O1302,0),4)</f>
        <v>0</v>
      </c>
      <c r="Q1302" s="67">
        <f>ROUND(IF(J1302&gt;O1302,0,J1302),4)</f>
        <v>0</v>
      </c>
      <c r="R1302" s="67">
        <f>ROUND(+P1302*D1302,4)</f>
        <v>0</v>
      </c>
      <c r="S1302" s="67">
        <f>ROUND(IF(K1302=0,0,M1302*D1302),4)</f>
        <v>0</v>
      </c>
      <c r="T1302" s="67">
        <f>ROUND(+IF(K1302=0,Q1302*D1302,0),4)</f>
        <v>0</v>
      </c>
      <c r="U1302" s="67">
        <f>ROUND(+N1302+R1302+S1302+T1302,4)</f>
        <v>0</v>
      </c>
      <c r="V1302" s="67">
        <f>ROUND(IF(P1302=0,0,I1302-H1302-O1302)+IF(L1302=0,0,I1302-H1302-K1302),4)</f>
        <v>0</v>
      </c>
      <c r="W1302" s="67">
        <f>ROUND(+(V1302*60%)*D1302,4)</f>
        <v>0</v>
      </c>
      <c r="X1302" s="148">
        <f>ROUND(+U1302+W1302,4)</f>
        <v>0</v>
      </c>
      <c r="Y1302" s="68"/>
      <c r="Z1302" s="148">
        <f>ROUND(IF(X1302&gt;I1302,X1302,I1302),4)</f>
        <v>0</v>
      </c>
      <c r="AD1302" s="78">
        <f t="shared" si="18"/>
        <v>0</v>
      </c>
      <c r="AE1302" s="78">
        <f t="shared" si="19"/>
        <v>0</v>
      </c>
    </row>
    <row r="1303" spans="1:31" x14ac:dyDescent="0.2">
      <c r="A1303" s="66"/>
      <c r="B1303" s="66"/>
      <c r="C1303" s="66"/>
      <c r="D1303" s="144"/>
      <c r="E1303" s="67"/>
      <c r="F1303" s="67"/>
      <c r="G1303" s="67"/>
      <c r="H1303" s="67">
        <f>ROUND(+E1303+G1303,4)</f>
        <v>0</v>
      </c>
      <c r="I1303" s="67"/>
      <c r="J1303" s="67">
        <f>ROUND(+I1303-H1303,4)</f>
        <v>0</v>
      </c>
      <c r="K1303" s="67">
        <f>ROUND(IF(F1303="alluminio",0,I1303*1.5%),4)</f>
        <v>0</v>
      </c>
      <c r="L1303" s="67">
        <f>ROUND(IF(K1303&lt;J1303,K1303,0),4)</f>
        <v>0</v>
      </c>
      <c r="M1303" s="67">
        <f>ROUND(IF(J1303&gt;K1303,0,J1303),4)</f>
        <v>0</v>
      </c>
      <c r="N1303" s="67">
        <f>ROUND(+L1303*D1303,4)</f>
        <v>0</v>
      </c>
      <c r="O1303" s="67">
        <f>ROUND(IF(F1303="rame",0,+I1303*3%),4)</f>
        <v>0</v>
      </c>
      <c r="P1303" s="67">
        <f>ROUND(IF(O1303&lt;J1303,O1303,0),4)</f>
        <v>0</v>
      </c>
      <c r="Q1303" s="67">
        <f>ROUND(IF(J1303&gt;O1303,0,J1303),4)</f>
        <v>0</v>
      </c>
      <c r="R1303" s="67">
        <f>ROUND(+P1303*D1303,4)</f>
        <v>0</v>
      </c>
      <c r="S1303" s="67">
        <f>ROUND(IF(K1303=0,0,M1303*D1303),4)</f>
        <v>0</v>
      </c>
      <c r="T1303" s="67">
        <f>ROUND(+IF(K1303=0,Q1303*D1303,0),4)</f>
        <v>0</v>
      </c>
      <c r="U1303" s="67">
        <f>ROUND(+N1303+R1303+S1303+T1303,4)</f>
        <v>0</v>
      </c>
      <c r="V1303" s="67">
        <f>ROUND(IF(P1303=0,0,I1303-H1303-O1303)+IF(L1303=0,0,I1303-H1303-K1303),4)</f>
        <v>0</v>
      </c>
      <c r="W1303" s="67">
        <f>ROUND(+(V1303*60%)*D1303,4)</f>
        <v>0</v>
      </c>
      <c r="X1303" s="148">
        <f>ROUND(+U1303+W1303,4)</f>
        <v>0</v>
      </c>
      <c r="Y1303" s="68"/>
      <c r="Z1303" s="148">
        <f>ROUND(IF(X1303&gt;I1303,X1303,I1303),4)</f>
        <v>0</v>
      </c>
      <c r="AD1303" s="78">
        <f t="shared" si="18"/>
        <v>0</v>
      </c>
      <c r="AE1303" s="78">
        <f t="shared" si="19"/>
        <v>0</v>
      </c>
    </row>
    <row r="1304" spans="1:31" x14ac:dyDescent="0.2">
      <c r="A1304" s="66"/>
      <c r="B1304" s="66"/>
      <c r="C1304" s="66"/>
      <c r="D1304" s="144"/>
      <c r="E1304" s="67"/>
      <c r="F1304" s="67"/>
      <c r="G1304" s="67"/>
      <c r="H1304" s="67">
        <f>ROUND(+E1304+G1304,4)</f>
        <v>0</v>
      </c>
      <c r="I1304" s="67"/>
      <c r="J1304" s="67">
        <f>ROUND(+I1304-H1304,4)</f>
        <v>0</v>
      </c>
      <c r="K1304" s="67">
        <f>ROUND(IF(F1304="alluminio",0,I1304*1.5%),4)</f>
        <v>0</v>
      </c>
      <c r="L1304" s="67">
        <f>ROUND(IF(K1304&lt;J1304,K1304,0),4)</f>
        <v>0</v>
      </c>
      <c r="M1304" s="67">
        <f>ROUND(IF(J1304&gt;K1304,0,J1304),4)</f>
        <v>0</v>
      </c>
      <c r="N1304" s="67">
        <f>ROUND(+L1304*D1304,4)</f>
        <v>0</v>
      </c>
      <c r="O1304" s="67">
        <f>ROUND(IF(F1304="rame",0,+I1304*3%),4)</f>
        <v>0</v>
      </c>
      <c r="P1304" s="67">
        <f>ROUND(IF(O1304&lt;J1304,O1304,0),4)</f>
        <v>0</v>
      </c>
      <c r="Q1304" s="67">
        <f>ROUND(IF(J1304&gt;O1304,0,J1304),4)</f>
        <v>0</v>
      </c>
      <c r="R1304" s="67">
        <f>ROUND(+P1304*D1304,4)</f>
        <v>0</v>
      </c>
      <c r="S1304" s="67">
        <f>ROUND(IF(K1304=0,0,M1304*D1304),4)</f>
        <v>0</v>
      </c>
      <c r="T1304" s="67">
        <f>ROUND(+IF(K1304=0,Q1304*D1304,0),4)</f>
        <v>0</v>
      </c>
      <c r="U1304" s="67">
        <f>ROUND(+N1304+R1304+S1304+T1304,4)</f>
        <v>0</v>
      </c>
      <c r="V1304" s="67">
        <f>ROUND(IF(P1304=0,0,I1304-H1304-O1304)+IF(L1304=0,0,I1304-H1304-K1304),4)</f>
        <v>0</v>
      </c>
      <c r="W1304" s="67">
        <f>ROUND(+(V1304*60%)*D1304,4)</f>
        <v>0</v>
      </c>
      <c r="X1304" s="148">
        <f>ROUND(+U1304+W1304,4)</f>
        <v>0</v>
      </c>
      <c r="Y1304" s="68"/>
      <c r="Z1304" s="148">
        <f>ROUND(IF(X1304&gt;I1304,X1304,I1304),4)</f>
        <v>0</v>
      </c>
      <c r="AD1304" s="78">
        <f t="shared" si="18"/>
        <v>0</v>
      </c>
      <c r="AE1304" s="78">
        <f t="shared" si="19"/>
        <v>0</v>
      </c>
    </row>
    <row r="1305" spans="1:31" x14ac:dyDescent="0.2">
      <c r="A1305" s="66"/>
      <c r="B1305" s="66"/>
      <c r="C1305" s="66"/>
      <c r="D1305" s="144"/>
      <c r="E1305" s="67"/>
      <c r="F1305" s="67"/>
      <c r="G1305" s="67"/>
      <c r="H1305" s="67">
        <f>ROUND(+E1305+G1305,4)</f>
        <v>0</v>
      </c>
      <c r="I1305" s="67"/>
      <c r="J1305" s="67">
        <f>ROUND(+I1305-H1305,4)</f>
        <v>0</v>
      </c>
      <c r="K1305" s="67">
        <f>ROUND(IF(F1305="alluminio",0,I1305*1.5%),4)</f>
        <v>0</v>
      </c>
      <c r="L1305" s="67">
        <f>ROUND(IF(K1305&lt;J1305,K1305,0),4)</f>
        <v>0</v>
      </c>
      <c r="M1305" s="67">
        <f>ROUND(IF(J1305&gt;K1305,0,J1305),4)</f>
        <v>0</v>
      </c>
      <c r="N1305" s="67">
        <f>ROUND(+L1305*D1305,4)</f>
        <v>0</v>
      </c>
      <c r="O1305" s="67">
        <f>ROUND(IF(F1305="rame",0,+I1305*3%),4)</f>
        <v>0</v>
      </c>
      <c r="P1305" s="67">
        <f>ROUND(IF(O1305&lt;J1305,O1305,0),4)</f>
        <v>0</v>
      </c>
      <c r="Q1305" s="67">
        <f>ROUND(IF(J1305&gt;O1305,0,J1305),4)</f>
        <v>0</v>
      </c>
      <c r="R1305" s="67">
        <f>ROUND(+P1305*D1305,4)</f>
        <v>0</v>
      </c>
      <c r="S1305" s="67">
        <f>ROUND(IF(K1305=0,0,M1305*D1305),4)</f>
        <v>0</v>
      </c>
      <c r="T1305" s="67">
        <f>ROUND(+IF(K1305=0,Q1305*D1305,0),4)</f>
        <v>0</v>
      </c>
      <c r="U1305" s="67">
        <f>ROUND(+N1305+R1305+S1305+T1305,4)</f>
        <v>0</v>
      </c>
      <c r="V1305" s="67">
        <f>ROUND(IF(P1305=0,0,I1305-H1305-O1305)+IF(L1305=0,0,I1305-H1305-K1305),4)</f>
        <v>0</v>
      </c>
      <c r="W1305" s="67">
        <f>ROUND(+(V1305*60%)*D1305,4)</f>
        <v>0</v>
      </c>
      <c r="X1305" s="148">
        <f>ROUND(+U1305+W1305,4)</f>
        <v>0</v>
      </c>
      <c r="Y1305" s="68"/>
      <c r="Z1305" s="148">
        <f>ROUND(IF(X1305&gt;I1305,X1305,I1305),4)</f>
        <v>0</v>
      </c>
      <c r="AD1305" s="78">
        <f t="shared" si="18"/>
        <v>0</v>
      </c>
      <c r="AE1305" s="78">
        <f t="shared" si="19"/>
        <v>0</v>
      </c>
    </row>
    <row r="1306" spans="1:31" x14ac:dyDescent="0.2">
      <c r="A1306" s="66"/>
      <c r="B1306" s="66"/>
      <c r="C1306" s="66"/>
      <c r="D1306" s="144"/>
      <c r="E1306" s="67"/>
      <c r="F1306" s="67"/>
      <c r="G1306" s="67"/>
      <c r="H1306" s="67">
        <f>ROUND(+E1306+G1306,4)</f>
        <v>0</v>
      </c>
      <c r="I1306" s="67"/>
      <c r="J1306" s="67">
        <f>ROUND(+I1306-H1306,4)</f>
        <v>0</v>
      </c>
      <c r="K1306" s="67">
        <f>ROUND(IF(F1306="alluminio",0,I1306*1.5%),4)</f>
        <v>0</v>
      </c>
      <c r="L1306" s="67">
        <f>ROUND(IF(K1306&lt;J1306,K1306,0),4)</f>
        <v>0</v>
      </c>
      <c r="M1306" s="67">
        <f>ROUND(IF(J1306&gt;K1306,0,J1306),4)</f>
        <v>0</v>
      </c>
      <c r="N1306" s="67">
        <f>ROUND(+L1306*D1306,4)</f>
        <v>0</v>
      </c>
      <c r="O1306" s="67">
        <f>ROUND(IF(F1306="rame",0,+I1306*3%),4)</f>
        <v>0</v>
      </c>
      <c r="P1306" s="67">
        <f>ROUND(IF(O1306&lt;J1306,O1306,0),4)</f>
        <v>0</v>
      </c>
      <c r="Q1306" s="67">
        <f>ROUND(IF(J1306&gt;O1306,0,J1306),4)</f>
        <v>0</v>
      </c>
      <c r="R1306" s="67">
        <f>ROUND(+P1306*D1306,4)</f>
        <v>0</v>
      </c>
      <c r="S1306" s="67">
        <f>ROUND(IF(K1306=0,0,M1306*D1306),4)</f>
        <v>0</v>
      </c>
      <c r="T1306" s="67">
        <f>ROUND(+IF(K1306=0,Q1306*D1306,0),4)</f>
        <v>0</v>
      </c>
      <c r="U1306" s="67">
        <f>ROUND(+N1306+R1306+S1306+T1306,4)</f>
        <v>0</v>
      </c>
      <c r="V1306" s="67">
        <f>ROUND(IF(P1306=0,0,I1306-H1306-O1306)+IF(L1306=0,0,I1306-H1306-K1306),4)</f>
        <v>0</v>
      </c>
      <c r="W1306" s="67">
        <f>ROUND(+(V1306*60%)*D1306,4)</f>
        <v>0</v>
      </c>
      <c r="X1306" s="148">
        <f>ROUND(+U1306+W1306,4)</f>
        <v>0</v>
      </c>
      <c r="Y1306" s="68"/>
      <c r="Z1306" s="148">
        <f>ROUND(IF(X1306&gt;I1306,X1306,I1306),4)</f>
        <v>0</v>
      </c>
      <c r="AD1306" s="78">
        <f t="shared" si="18"/>
        <v>0</v>
      </c>
      <c r="AE1306" s="78">
        <f t="shared" si="19"/>
        <v>0</v>
      </c>
    </row>
    <row r="1307" spans="1:31" x14ac:dyDescent="0.2">
      <c r="A1307" s="66"/>
      <c r="B1307" s="66"/>
      <c r="C1307" s="66"/>
      <c r="D1307" s="144"/>
      <c r="E1307" s="67"/>
      <c r="F1307" s="67"/>
      <c r="G1307" s="67"/>
      <c r="H1307" s="67">
        <f>ROUND(+E1307+G1307,4)</f>
        <v>0</v>
      </c>
      <c r="I1307" s="67"/>
      <c r="J1307" s="67">
        <f>ROUND(+I1307-H1307,4)</f>
        <v>0</v>
      </c>
      <c r="K1307" s="67">
        <f>ROUND(IF(F1307="alluminio",0,I1307*1.5%),4)</f>
        <v>0</v>
      </c>
      <c r="L1307" s="67">
        <f>ROUND(IF(K1307&lt;J1307,K1307,0),4)</f>
        <v>0</v>
      </c>
      <c r="M1307" s="67">
        <f>ROUND(IF(J1307&gt;K1307,0,J1307),4)</f>
        <v>0</v>
      </c>
      <c r="N1307" s="67">
        <f>ROUND(+L1307*D1307,4)</f>
        <v>0</v>
      </c>
      <c r="O1307" s="67">
        <f>ROUND(IF(F1307="rame",0,+I1307*3%),4)</f>
        <v>0</v>
      </c>
      <c r="P1307" s="67">
        <f>ROUND(IF(O1307&lt;J1307,O1307,0),4)</f>
        <v>0</v>
      </c>
      <c r="Q1307" s="67">
        <f>ROUND(IF(J1307&gt;O1307,0,J1307),4)</f>
        <v>0</v>
      </c>
      <c r="R1307" s="67">
        <f>ROUND(+P1307*D1307,4)</f>
        <v>0</v>
      </c>
      <c r="S1307" s="67">
        <f>ROUND(IF(K1307=0,0,M1307*D1307),4)</f>
        <v>0</v>
      </c>
      <c r="T1307" s="67">
        <f>ROUND(+IF(K1307=0,Q1307*D1307,0),4)</f>
        <v>0</v>
      </c>
      <c r="U1307" s="67">
        <f>ROUND(+N1307+R1307+S1307+T1307,4)</f>
        <v>0</v>
      </c>
      <c r="V1307" s="67">
        <f>ROUND(IF(P1307=0,0,I1307-H1307-O1307)+IF(L1307=0,0,I1307-H1307-K1307),4)</f>
        <v>0</v>
      </c>
      <c r="W1307" s="67">
        <f>ROUND(+(V1307*60%)*D1307,4)</f>
        <v>0</v>
      </c>
      <c r="X1307" s="148">
        <f>ROUND(+U1307+W1307,4)</f>
        <v>0</v>
      </c>
      <c r="Y1307" s="68"/>
      <c r="Z1307" s="148">
        <f>ROUND(IF(X1307&gt;I1307,X1307,I1307),4)</f>
        <v>0</v>
      </c>
      <c r="AD1307" s="78">
        <f t="shared" si="18"/>
        <v>0</v>
      </c>
      <c r="AE1307" s="78">
        <f t="shared" si="19"/>
        <v>0</v>
      </c>
    </row>
    <row r="1308" spans="1:31" x14ac:dyDescent="0.2">
      <c r="A1308" s="66"/>
      <c r="B1308" s="66"/>
      <c r="C1308" s="66"/>
      <c r="D1308" s="144"/>
      <c r="E1308" s="67"/>
      <c r="F1308" s="67"/>
      <c r="G1308" s="67"/>
      <c r="H1308" s="67">
        <f>ROUND(+E1308+G1308,4)</f>
        <v>0</v>
      </c>
      <c r="I1308" s="67"/>
      <c r="J1308" s="67">
        <f>ROUND(+I1308-H1308,4)</f>
        <v>0</v>
      </c>
      <c r="K1308" s="67">
        <f>ROUND(IF(F1308="alluminio",0,I1308*1.5%),4)</f>
        <v>0</v>
      </c>
      <c r="L1308" s="67">
        <f>ROUND(IF(K1308&lt;J1308,K1308,0),4)</f>
        <v>0</v>
      </c>
      <c r="M1308" s="67">
        <f>ROUND(IF(J1308&gt;K1308,0,J1308),4)</f>
        <v>0</v>
      </c>
      <c r="N1308" s="67">
        <f>ROUND(+L1308*D1308,4)</f>
        <v>0</v>
      </c>
      <c r="O1308" s="67">
        <f>ROUND(IF(F1308="rame",0,+I1308*3%),4)</f>
        <v>0</v>
      </c>
      <c r="P1308" s="67">
        <f>ROUND(IF(O1308&lt;J1308,O1308,0),4)</f>
        <v>0</v>
      </c>
      <c r="Q1308" s="67">
        <f>ROUND(IF(J1308&gt;O1308,0,J1308),4)</f>
        <v>0</v>
      </c>
      <c r="R1308" s="67">
        <f>ROUND(+P1308*D1308,4)</f>
        <v>0</v>
      </c>
      <c r="S1308" s="67">
        <f>ROUND(IF(K1308=0,0,M1308*D1308),4)</f>
        <v>0</v>
      </c>
      <c r="T1308" s="67">
        <f>ROUND(+IF(K1308=0,Q1308*D1308,0),4)</f>
        <v>0</v>
      </c>
      <c r="U1308" s="67">
        <f>ROUND(+N1308+R1308+S1308+T1308,4)</f>
        <v>0</v>
      </c>
      <c r="V1308" s="67">
        <f>ROUND(IF(P1308=0,0,I1308-H1308-O1308)+IF(L1308=0,0,I1308-H1308-K1308),4)</f>
        <v>0</v>
      </c>
      <c r="W1308" s="67">
        <f>ROUND(+(V1308*60%)*D1308,4)</f>
        <v>0</v>
      </c>
      <c r="X1308" s="148">
        <f>ROUND(+U1308+W1308,4)</f>
        <v>0</v>
      </c>
      <c r="Y1308" s="68"/>
      <c r="Z1308" s="148">
        <f>ROUND(IF(X1308&gt;I1308,X1308,I1308),4)</f>
        <v>0</v>
      </c>
      <c r="AD1308" s="78">
        <f t="shared" si="18"/>
        <v>0</v>
      </c>
      <c r="AE1308" s="78">
        <f t="shared" si="19"/>
        <v>0</v>
      </c>
    </row>
    <row r="1309" spans="1:31" x14ac:dyDescent="0.2">
      <c r="A1309" s="66"/>
      <c r="B1309" s="66"/>
      <c r="C1309" s="66"/>
      <c r="D1309" s="144"/>
      <c r="E1309" s="67"/>
      <c r="F1309" s="67"/>
      <c r="G1309" s="67"/>
      <c r="H1309" s="67">
        <f>ROUND(+E1309+G1309,4)</f>
        <v>0</v>
      </c>
      <c r="I1309" s="67"/>
      <c r="J1309" s="67">
        <f>ROUND(+I1309-H1309,4)</f>
        <v>0</v>
      </c>
      <c r="K1309" s="67">
        <f>ROUND(IF(F1309="alluminio",0,I1309*1.5%),4)</f>
        <v>0</v>
      </c>
      <c r="L1309" s="67">
        <f>ROUND(IF(K1309&lt;J1309,K1309,0),4)</f>
        <v>0</v>
      </c>
      <c r="M1309" s="67">
        <f>ROUND(IF(J1309&gt;K1309,0,J1309),4)</f>
        <v>0</v>
      </c>
      <c r="N1309" s="67">
        <f>ROUND(+L1309*D1309,4)</f>
        <v>0</v>
      </c>
      <c r="O1309" s="67">
        <f>ROUND(IF(F1309="rame",0,+I1309*3%),4)</f>
        <v>0</v>
      </c>
      <c r="P1309" s="67">
        <f>ROUND(IF(O1309&lt;J1309,O1309,0),4)</f>
        <v>0</v>
      </c>
      <c r="Q1309" s="67">
        <f>ROUND(IF(J1309&gt;O1309,0,J1309),4)</f>
        <v>0</v>
      </c>
      <c r="R1309" s="67">
        <f>ROUND(+P1309*D1309,4)</f>
        <v>0</v>
      </c>
      <c r="S1309" s="67">
        <f>ROUND(IF(K1309=0,0,M1309*D1309),4)</f>
        <v>0</v>
      </c>
      <c r="T1309" s="67">
        <f>ROUND(+IF(K1309=0,Q1309*D1309,0),4)</f>
        <v>0</v>
      </c>
      <c r="U1309" s="67">
        <f>ROUND(+N1309+R1309+S1309+T1309,4)</f>
        <v>0</v>
      </c>
      <c r="V1309" s="67">
        <f>ROUND(IF(P1309=0,0,I1309-H1309-O1309)+IF(L1309=0,0,I1309-H1309-K1309),4)</f>
        <v>0</v>
      </c>
      <c r="W1309" s="67">
        <f>ROUND(+(V1309*60%)*D1309,4)</f>
        <v>0</v>
      </c>
      <c r="X1309" s="148">
        <f>ROUND(+U1309+W1309,4)</f>
        <v>0</v>
      </c>
      <c r="Y1309" s="68"/>
      <c r="Z1309" s="148">
        <f>ROUND(IF(X1309&gt;I1309,X1309,I1309),4)</f>
        <v>0</v>
      </c>
      <c r="AD1309" s="78">
        <f t="shared" si="18"/>
        <v>0</v>
      </c>
      <c r="AE1309" s="78">
        <f t="shared" si="19"/>
        <v>0</v>
      </c>
    </row>
    <row r="1310" spans="1:31" x14ac:dyDescent="0.2">
      <c r="A1310" s="66"/>
      <c r="B1310" s="66"/>
      <c r="C1310" s="66"/>
      <c r="D1310" s="144"/>
      <c r="E1310" s="67"/>
      <c r="F1310" s="67"/>
      <c r="G1310" s="67"/>
      <c r="H1310" s="67">
        <f>ROUND(+E1310+G1310,4)</f>
        <v>0</v>
      </c>
      <c r="I1310" s="67"/>
      <c r="J1310" s="67">
        <f>ROUND(+I1310-H1310,4)</f>
        <v>0</v>
      </c>
      <c r="K1310" s="67">
        <f>ROUND(IF(F1310="alluminio",0,I1310*1.5%),4)</f>
        <v>0</v>
      </c>
      <c r="L1310" s="67">
        <f>ROUND(IF(K1310&lt;J1310,K1310,0),4)</f>
        <v>0</v>
      </c>
      <c r="M1310" s="67">
        <f>ROUND(IF(J1310&gt;K1310,0,J1310),4)</f>
        <v>0</v>
      </c>
      <c r="N1310" s="67">
        <f>ROUND(+L1310*D1310,4)</f>
        <v>0</v>
      </c>
      <c r="O1310" s="67">
        <f>ROUND(IF(F1310="rame",0,+I1310*3%),4)</f>
        <v>0</v>
      </c>
      <c r="P1310" s="67">
        <f>ROUND(IF(O1310&lt;J1310,O1310,0),4)</f>
        <v>0</v>
      </c>
      <c r="Q1310" s="67">
        <f>ROUND(IF(J1310&gt;O1310,0,J1310),4)</f>
        <v>0</v>
      </c>
      <c r="R1310" s="67">
        <f>ROUND(+P1310*D1310,4)</f>
        <v>0</v>
      </c>
      <c r="S1310" s="67">
        <f>ROUND(IF(K1310=0,0,M1310*D1310),4)</f>
        <v>0</v>
      </c>
      <c r="T1310" s="67">
        <f>ROUND(+IF(K1310=0,Q1310*D1310,0),4)</f>
        <v>0</v>
      </c>
      <c r="U1310" s="67">
        <f>ROUND(+N1310+R1310+S1310+T1310,4)</f>
        <v>0</v>
      </c>
      <c r="V1310" s="67">
        <f>ROUND(IF(P1310=0,0,I1310-H1310-O1310)+IF(L1310=0,0,I1310-H1310-K1310),4)</f>
        <v>0</v>
      </c>
      <c r="W1310" s="67">
        <f>ROUND(+(V1310*60%)*D1310,4)</f>
        <v>0</v>
      </c>
      <c r="X1310" s="148">
        <f>ROUND(+U1310+W1310,4)</f>
        <v>0</v>
      </c>
      <c r="Y1310" s="68"/>
      <c r="Z1310" s="148">
        <f>ROUND(IF(X1310&gt;I1310,X1310,I1310),4)</f>
        <v>0</v>
      </c>
      <c r="AD1310" s="78">
        <f t="shared" si="18"/>
        <v>0</v>
      </c>
      <c r="AE1310" s="78">
        <f t="shared" si="19"/>
        <v>0</v>
      </c>
    </row>
    <row r="1311" spans="1:31" x14ac:dyDescent="0.2">
      <c r="A1311" s="66"/>
      <c r="B1311" s="66"/>
      <c r="C1311" s="66"/>
      <c r="D1311" s="144"/>
      <c r="E1311" s="67"/>
      <c r="F1311" s="67"/>
      <c r="G1311" s="67"/>
      <c r="H1311" s="67">
        <f>ROUND(+E1311+G1311,4)</f>
        <v>0</v>
      </c>
      <c r="I1311" s="67"/>
      <c r="J1311" s="67">
        <f>ROUND(+I1311-H1311,4)</f>
        <v>0</v>
      </c>
      <c r="K1311" s="67">
        <f>ROUND(IF(F1311="alluminio",0,I1311*1.5%),4)</f>
        <v>0</v>
      </c>
      <c r="L1311" s="67">
        <f>ROUND(IF(K1311&lt;J1311,K1311,0),4)</f>
        <v>0</v>
      </c>
      <c r="M1311" s="67">
        <f>ROUND(IF(J1311&gt;K1311,0,J1311),4)</f>
        <v>0</v>
      </c>
      <c r="N1311" s="67">
        <f>ROUND(+L1311*D1311,4)</f>
        <v>0</v>
      </c>
      <c r="O1311" s="67">
        <f>ROUND(IF(F1311="rame",0,+I1311*3%),4)</f>
        <v>0</v>
      </c>
      <c r="P1311" s="67">
        <f>ROUND(IF(O1311&lt;J1311,O1311,0),4)</f>
        <v>0</v>
      </c>
      <c r="Q1311" s="67">
        <f>ROUND(IF(J1311&gt;O1311,0,J1311),4)</f>
        <v>0</v>
      </c>
      <c r="R1311" s="67">
        <f>ROUND(+P1311*D1311,4)</f>
        <v>0</v>
      </c>
      <c r="S1311" s="67">
        <f>ROUND(IF(K1311=0,0,M1311*D1311),4)</f>
        <v>0</v>
      </c>
      <c r="T1311" s="67">
        <f>ROUND(+IF(K1311=0,Q1311*D1311,0),4)</f>
        <v>0</v>
      </c>
      <c r="U1311" s="67">
        <f>ROUND(+N1311+R1311+S1311+T1311,4)</f>
        <v>0</v>
      </c>
      <c r="V1311" s="67">
        <f>ROUND(IF(P1311=0,0,I1311-H1311-O1311)+IF(L1311=0,0,I1311-H1311-K1311),4)</f>
        <v>0</v>
      </c>
      <c r="W1311" s="67">
        <f>ROUND(+(V1311*60%)*D1311,4)</f>
        <v>0</v>
      </c>
      <c r="X1311" s="148">
        <f>ROUND(+U1311+W1311,4)</f>
        <v>0</v>
      </c>
      <c r="Y1311" s="68"/>
      <c r="Z1311" s="148">
        <f>ROUND(IF(X1311&gt;I1311,X1311,I1311),4)</f>
        <v>0</v>
      </c>
      <c r="AD1311" s="78">
        <f t="shared" si="18"/>
        <v>0</v>
      </c>
      <c r="AE1311" s="78">
        <f t="shared" si="19"/>
        <v>0</v>
      </c>
    </row>
    <row r="1312" spans="1:31" x14ac:dyDescent="0.2">
      <c r="A1312" s="66"/>
      <c r="B1312" s="66"/>
      <c r="C1312" s="66"/>
      <c r="D1312" s="144"/>
      <c r="E1312" s="67"/>
      <c r="F1312" s="67"/>
      <c r="G1312" s="67"/>
      <c r="H1312" s="67">
        <f>ROUND(+E1312+G1312,4)</f>
        <v>0</v>
      </c>
      <c r="I1312" s="67"/>
      <c r="J1312" s="67">
        <f>ROUND(+I1312-H1312,4)</f>
        <v>0</v>
      </c>
      <c r="K1312" s="67">
        <f>ROUND(IF(F1312="alluminio",0,I1312*1.5%),4)</f>
        <v>0</v>
      </c>
      <c r="L1312" s="67">
        <f>ROUND(IF(K1312&lt;J1312,K1312,0),4)</f>
        <v>0</v>
      </c>
      <c r="M1312" s="67">
        <f>ROUND(IF(J1312&gt;K1312,0,J1312),4)</f>
        <v>0</v>
      </c>
      <c r="N1312" s="67">
        <f>ROUND(+L1312*D1312,4)</f>
        <v>0</v>
      </c>
      <c r="O1312" s="67">
        <f>ROUND(IF(F1312="rame",0,+I1312*3%),4)</f>
        <v>0</v>
      </c>
      <c r="P1312" s="67">
        <f>ROUND(IF(O1312&lt;J1312,O1312,0),4)</f>
        <v>0</v>
      </c>
      <c r="Q1312" s="67">
        <f>ROUND(IF(J1312&gt;O1312,0,J1312),4)</f>
        <v>0</v>
      </c>
      <c r="R1312" s="67">
        <f>ROUND(+P1312*D1312,4)</f>
        <v>0</v>
      </c>
      <c r="S1312" s="67">
        <f>ROUND(IF(K1312=0,0,M1312*D1312),4)</f>
        <v>0</v>
      </c>
      <c r="T1312" s="67">
        <f>ROUND(+IF(K1312=0,Q1312*D1312,0),4)</f>
        <v>0</v>
      </c>
      <c r="U1312" s="67">
        <f>ROUND(+N1312+R1312+S1312+T1312,4)</f>
        <v>0</v>
      </c>
      <c r="V1312" s="67">
        <f>ROUND(IF(P1312=0,0,I1312-H1312-O1312)+IF(L1312=0,0,I1312-H1312-K1312),4)</f>
        <v>0</v>
      </c>
      <c r="W1312" s="67">
        <f>ROUND(+(V1312*60%)*D1312,4)</f>
        <v>0</v>
      </c>
      <c r="X1312" s="148">
        <f>ROUND(+U1312+W1312,4)</f>
        <v>0</v>
      </c>
      <c r="Y1312" s="68"/>
      <c r="Z1312" s="148">
        <f>ROUND(IF(X1312&gt;I1312,X1312,I1312),4)</f>
        <v>0</v>
      </c>
      <c r="AD1312" s="78">
        <f t="shared" si="18"/>
        <v>0</v>
      </c>
      <c r="AE1312" s="78">
        <f t="shared" si="19"/>
        <v>0</v>
      </c>
    </row>
    <row r="1313" spans="1:31" x14ac:dyDescent="0.2">
      <c r="A1313" s="66"/>
      <c r="B1313" s="66"/>
      <c r="C1313" s="66"/>
      <c r="D1313" s="144"/>
      <c r="E1313" s="67"/>
      <c r="F1313" s="67"/>
      <c r="G1313" s="67"/>
      <c r="H1313" s="67">
        <f>ROUND(+E1313+G1313,4)</f>
        <v>0</v>
      </c>
      <c r="I1313" s="67"/>
      <c r="J1313" s="67">
        <f>ROUND(+I1313-H1313,4)</f>
        <v>0</v>
      </c>
      <c r="K1313" s="67">
        <f>ROUND(IF(F1313="alluminio",0,I1313*1.5%),4)</f>
        <v>0</v>
      </c>
      <c r="L1313" s="67">
        <f>ROUND(IF(K1313&lt;J1313,K1313,0),4)</f>
        <v>0</v>
      </c>
      <c r="M1313" s="67">
        <f>ROUND(IF(J1313&gt;K1313,0,J1313),4)</f>
        <v>0</v>
      </c>
      <c r="N1313" s="67">
        <f>ROUND(+L1313*D1313,4)</f>
        <v>0</v>
      </c>
      <c r="O1313" s="67">
        <f>ROUND(IF(F1313="rame",0,+I1313*3%),4)</f>
        <v>0</v>
      </c>
      <c r="P1313" s="67">
        <f>ROUND(IF(O1313&lt;J1313,O1313,0),4)</f>
        <v>0</v>
      </c>
      <c r="Q1313" s="67">
        <f>ROUND(IF(J1313&gt;O1313,0,J1313),4)</f>
        <v>0</v>
      </c>
      <c r="R1313" s="67">
        <f>ROUND(+P1313*D1313,4)</f>
        <v>0</v>
      </c>
      <c r="S1313" s="67">
        <f>ROUND(IF(K1313=0,0,M1313*D1313),4)</f>
        <v>0</v>
      </c>
      <c r="T1313" s="67">
        <f>ROUND(+IF(K1313=0,Q1313*D1313,0),4)</f>
        <v>0</v>
      </c>
      <c r="U1313" s="67">
        <f>ROUND(+N1313+R1313+S1313+T1313,4)</f>
        <v>0</v>
      </c>
      <c r="V1313" s="67">
        <f>ROUND(IF(P1313=0,0,I1313-H1313-O1313)+IF(L1313=0,0,I1313-H1313-K1313),4)</f>
        <v>0</v>
      </c>
      <c r="W1313" s="67">
        <f>ROUND(+(V1313*60%)*D1313,4)</f>
        <v>0</v>
      </c>
      <c r="X1313" s="148">
        <f>ROUND(+U1313+W1313,4)</f>
        <v>0</v>
      </c>
      <c r="Y1313" s="68"/>
      <c r="Z1313" s="148">
        <f>ROUND(IF(X1313&gt;I1313,X1313,I1313),4)</f>
        <v>0</v>
      </c>
      <c r="AD1313" s="78">
        <f t="shared" si="18"/>
        <v>0</v>
      </c>
      <c r="AE1313" s="78">
        <f t="shared" si="19"/>
        <v>0</v>
      </c>
    </row>
    <row r="1314" spans="1:31" x14ac:dyDescent="0.2">
      <c r="A1314" s="66"/>
      <c r="B1314" s="66"/>
      <c r="C1314" s="66"/>
      <c r="D1314" s="144"/>
      <c r="E1314" s="67"/>
      <c r="F1314" s="67"/>
      <c r="G1314" s="67"/>
      <c r="H1314" s="67">
        <f>ROUND(+E1314+G1314,4)</f>
        <v>0</v>
      </c>
      <c r="I1314" s="67"/>
      <c r="J1314" s="67">
        <f>ROUND(+I1314-H1314,4)</f>
        <v>0</v>
      </c>
      <c r="K1314" s="67">
        <f>ROUND(IF(F1314="alluminio",0,I1314*1.5%),4)</f>
        <v>0</v>
      </c>
      <c r="L1314" s="67">
        <f>ROUND(IF(K1314&lt;J1314,K1314,0),4)</f>
        <v>0</v>
      </c>
      <c r="M1314" s="67">
        <f>ROUND(IF(J1314&gt;K1314,0,J1314),4)</f>
        <v>0</v>
      </c>
      <c r="N1314" s="67">
        <f>ROUND(+L1314*D1314,4)</f>
        <v>0</v>
      </c>
      <c r="O1314" s="67">
        <f>ROUND(IF(F1314="rame",0,+I1314*3%),4)</f>
        <v>0</v>
      </c>
      <c r="P1314" s="67">
        <f>ROUND(IF(O1314&lt;J1314,O1314,0),4)</f>
        <v>0</v>
      </c>
      <c r="Q1314" s="67">
        <f>ROUND(IF(J1314&gt;O1314,0,J1314),4)</f>
        <v>0</v>
      </c>
      <c r="R1314" s="67">
        <f>ROUND(+P1314*D1314,4)</f>
        <v>0</v>
      </c>
      <c r="S1314" s="67">
        <f>ROUND(IF(K1314=0,0,M1314*D1314),4)</f>
        <v>0</v>
      </c>
      <c r="T1314" s="67">
        <f>ROUND(+IF(K1314=0,Q1314*D1314,0),4)</f>
        <v>0</v>
      </c>
      <c r="U1314" s="67">
        <f>ROUND(+N1314+R1314+S1314+T1314,4)</f>
        <v>0</v>
      </c>
      <c r="V1314" s="67">
        <f>ROUND(IF(P1314=0,0,I1314-H1314-O1314)+IF(L1314=0,0,I1314-H1314-K1314),4)</f>
        <v>0</v>
      </c>
      <c r="W1314" s="67">
        <f>ROUND(+(V1314*60%)*D1314,4)</f>
        <v>0</v>
      </c>
      <c r="X1314" s="148">
        <f>ROUND(+U1314+W1314,4)</f>
        <v>0</v>
      </c>
      <c r="Y1314" s="68"/>
      <c r="Z1314" s="148">
        <f>ROUND(IF(X1314&gt;I1314,X1314,I1314),4)</f>
        <v>0</v>
      </c>
      <c r="AD1314" s="78">
        <f t="shared" si="18"/>
        <v>0</v>
      </c>
      <c r="AE1314" s="78">
        <f t="shared" si="19"/>
        <v>0</v>
      </c>
    </row>
    <row r="1315" spans="1:31" x14ac:dyDescent="0.2">
      <c r="A1315" s="66"/>
      <c r="B1315" s="66"/>
      <c r="C1315" s="66"/>
      <c r="D1315" s="144"/>
      <c r="E1315" s="67"/>
      <c r="F1315" s="67"/>
      <c r="G1315" s="67"/>
      <c r="H1315" s="67">
        <f>ROUND(+E1315+G1315,4)</f>
        <v>0</v>
      </c>
      <c r="I1315" s="67"/>
      <c r="J1315" s="67">
        <f>ROUND(+I1315-H1315,4)</f>
        <v>0</v>
      </c>
      <c r="K1315" s="67">
        <f>ROUND(IF(F1315="alluminio",0,I1315*1.5%),4)</f>
        <v>0</v>
      </c>
      <c r="L1315" s="67">
        <f>ROUND(IF(K1315&lt;J1315,K1315,0),4)</f>
        <v>0</v>
      </c>
      <c r="M1315" s="67">
        <f>ROUND(IF(J1315&gt;K1315,0,J1315),4)</f>
        <v>0</v>
      </c>
      <c r="N1315" s="67">
        <f>ROUND(+L1315*D1315,4)</f>
        <v>0</v>
      </c>
      <c r="O1315" s="67">
        <f>ROUND(IF(F1315="rame",0,+I1315*3%),4)</f>
        <v>0</v>
      </c>
      <c r="P1315" s="67">
        <f>ROUND(IF(O1315&lt;J1315,O1315,0),4)</f>
        <v>0</v>
      </c>
      <c r="Q1315" s="67">
        <f>ROUND(IF(J1315&gt;O1315,0,J1315),4)</f>
        <v>0</v>
      </c>
      <c r="R1315" s="67">
        <f>ROUND(+P1315*D1315,4)</f>
        <v>0</v>
      </c>
      <c r="S1315" s="67">
        <f>ROUND(IF(K1315=0,0,M1315*D1315),4)</f>
        <v>0</v>
      </c>
      <c r="T1315" s="67">
        <f>ROUND(+IF(K1315=0,Q1315*D1315,0),4)</f>
        <v>0</v>
      </c>
      <c r="U1315" s="67">
        <f>ROUND(+N1315+R1315+S1315+T1315,4)</f>
        <v>0</v>
      </c>
      <c r="V1315" s="67">
        <f>ROUND(IF(P1315=0,0,I1315-H1315-O1315)+IF(L1315=0,0,I1315-H1315-K1315),4)</f>
        <v>0</v>
      </c>
      <c r="W1315" s="67">
        <f>ROUND(+(V1315*60%)*D1315,4)</f>
        <v>0</v>
      </c>
      <c r="X1315" s="148">
        <f>ROUND(+U1315+W1315,4)</f>
        <v>0</v>
      </c>
      <c r="Y1315" s="68"/>
      <c r="Z1315" s="148">
        <f>ROUND(IF(X1315&gt;I1315,X1315,I1315),4)</f>
        <v>0</v>
      </c>
      <c r="AD1315" s="78">
        <f t="shared" si="18"/>
        <v>0</v>
      </c>
      <c r="AE1315" s="78">
        <f t="shared" si="19"/>
        <v>0</v>
      </c>
    </row>
    <row r="1316" spans="1:31" x14ac:dyDescent="0.2">
      <c r="A1316" s="66"/>
      <c r="B1316" s="66"/>
      <c r="C1316" s="66"/>
      <c r="D1316" s="144"/>
      <c r="E1316" s="67"/>
      <c r="F1316" s="67"/>
      <c r="G1316" s="67"/>
      <c r="H1316" s="67">
        <f>ROUND(+E1316+G1316,4)</f>
        <v>0</v>
      </c>
      <c r="I1316" s="67"/>
      <c r="J1316" s="67">
        <f>ROUND(+I1316-H1316,4)</f>
        <v>0</v>
      </c>
      <c r="K1316" s="67">
        <f>ROUND(IF(F1316="alluminio",0,I1316*1.5%),4)</f>
        <v>0</v>
      </c>
      <c r="L1316" s="67">
        <f>ROUND(IF(K1316&lt;J1316,K1316,0),4)</f>
        <v>0</v>
      </c>
      <c r="M1316" s="67">
        <f>ROUND(IF(J1316&gt;K1316,0,J1316),4)</f>
        <v>0</v>
      </c>
      <c r="N1316" s="67">
        <f>ROUND(+L1316*D1316,4)</f>
        <v>0</v>
      </c>
      <c r="O1316" s="67">
        <f>ROUND(IF(F1316="rame",0,+I1316*3%),4)</f>
        <v>0</v>
      </c>
      <c r="P1316" s="67">
        <f>ROUND(IF(O1316&lt;J1316,O1316,0),4)</f>
        <v>0</v>
      </c>
      <c r="Q1316" s="67">
        <f>ROUND(IF(J1316&gt;O1316,0,J1316),4)</f>
        <v>0</v>
      </c>
      <c r="R1316" s="67">
        <f>ROUND(+P1316*D1316,4)</f>
        <v>0</v>
      </c>
      <c r="S1316" s="67">
        <f>ROUND(IF(K1316=0,0,M1316*D1316),4)</f>
        <v>0</v>
      </c>
      <c r="T1316" s="67">
        <f>ROUND(+IF(K1316=0,Q1316*D1316,0),4)</f>
        <v>0</v>
      </c>
      <c r="U1316" s="67">
        <f>ROUND(+N1316+R1316+S1316+T1316,4)</f>
        <v>0</v>
      </c>
      <c r="V1316" s="67">
        <f>ROUND(IF(P1316=0,0,I1316-H1316-O1316)+IF(L1316=0,0,I1316-H1316-K1316),4)</f>
        <v>0</v>
      </c>
      <c r="W1316" s="67">
        <f>ROUND(+(V1316*60%)*D1316,4)</f>
        <v>0</v>
      </c>
      <c r="X1316" s="148">
        <f>ROUND(+U1316+W1316,4)</f>
        <v>0</v>
      </c>
      <c r="Y1316" s="68"/>
      <c r="Z1316" s="148">
        <f>ROUND(IF(X1316&gt;I1316,X1316,I1316),4)</f>
        <v>0</v>
      </c>
      <c r="AD1316" s="78">
        <f t="shared" si="18"/>
        <v>0</v>
      </c>
      <c r="AE1316" s="78">
        <f t="shared" si="19"/>
        <v>0</v>
      </c>
    </row>
    <row r="1317" spans="1:31" x14ac:dyDescent="0.2">
      <c r="A1317" s="66"/>
      <c r="B1317" s="66"/>
      <c r="C1317" s="66"/>
      <c r="D1317" s="144"/>
      <c r="E1317" s="67"/>
      <c r="F1317" s="67"/>
      <c r="G1317" s="67"/>
      <c r="H1317" s="67">
        <f>ROUND(+E1317+G1317,4)</f>
        <v>0</v>
      </c>
      <c r="I1317" s="67"/>
      <c r="J1317" s="67">
        <f>ROUND(+I1317-H1317,4)</f>
        <v>0</v>
      </c>
      <c r="K1317" s="67">
        <f>ROUND(IF(F1317="alluminio",0,I1317*1.5%),4)</f>
        <v>0</v>
      </c>
      <c r="L1317" s="67">
        <f>ROUND(IF(K1317&lt;J1317,K1317,0),4)</f>
        <v>0</v>
      </c>
      <c r="M1317" s="67">
        <f>ROUND(IF(J1317&gt;K1317,0,J1317),4)</f>
        <v>0</v>
      </c>
      <c r="N1317" s="67">
        <f>ROUND(+L1317*D1317,4)</f>
        <v>0</v>
      </c>
      <c r="O1317" s="67">
        <f>ROUND(IF(F1317="rame",0,+I1317*3%),4)</f>
        <v>0</v>
      </c>
      <c r="P1317" s="67">
        <f>ROUND(IF(O1317&lt;J1317,O1317,0),4)</f>
        <v>0</v>
      </c>
      <c r="Q1317" s="67">
        <f>ROUND(IF(J1317&gt;O1317,0,J1317),4)</f>
        <v>0</v>
      </c>
      <c r="R1317" s="67">
        <f>ROUND(+P1317*D1317,4)</f>
        <v>0</v>
      </c>
      <c r="S1317" s="67">
        <f>ROUND(IF(K1317=0,0,M1317*D1317),4)</f>
        <v>0</v>
      </c>
      <c r="T1317" s="67">
        <f>ROUND(+IF(K1317=0,Q1317*D1317,0),4)</f>
        <v>0</v>
      </c>
      <c r="U1317" s="67">
        <f>ROUND(+N1317+R1317+S1317+T1317,4)</f>
        <v>0</v>
      </c>
      <c r="V1317" s="67">
        <f>ROUND(IF(P1317=0,0,I1317-H1317-O1317)+IF(L1317=0,0,I1317-H1317-K1317),4)</f>
        <v>0</v>
      </c>
      <c r="W1317" s="67">
        <f>ROUND(+(V1317*60%)*D1317,4)</f>
        <v>0</v>
      </c>
      <c r="X1317" s="148">
        <f>ROUND(+U1317+W1317,4)</f>
        <v>0</v>
      </c>
      <c r="Y1317" s="68"/>
      <c r="Z1317" s="148">
        <f>ROUND(IF(X1317&gt;I1317,X1317,I1317),4)</f>
        <v>0</v>
      </c>
      <c r="AD1317" s="78">
        <f t="shared" si="18"/>
        <v>0</v>
      </c>
      <c r="AE1317" s="78">
        <f t="shared" si="19"/>
        <v>0</v>
      </c>
    </row>
    <row r="1318" spans="1:31" x14ac:dyDescent="0.2">
      <c r="A1318" s="66"/>
      <c r="B1318" s="66"/>
      <c r="C1318" s="66"/>
      <c r="D1318" s="144"/>
      <c r="E1318" s="67"/>
      <c r="F1318" s="67"/>
      <c r="G1318" s="67"/>
      <c r="H1318" s="67">
        <f>ROUND(+E1318+G1318,4)</f>
        <v>0</v>
      </c>
      <c r="I1318" s="67"/>
      <c r="J1318" s="67">
        <f>ROUND(+I1318-H1318,4)</f>
        <v>0</v>
      </c>
      <c r="K1318" s="67">
        <f>ROUND(IF(F1318="alluminio",0,I1318*1.5%),4)</f>
        <v>0</v>
      </c>
      <c r="L1318" s="67">
        <f>ROUND(IF(K1318&lt;J1318,K1318,0),4)</f>
        <v>0</v>
      </c>
      <c r="M1318" s="67">
        <f>ROUND(IF(J1318&gt;K1318,0,J1318),4)</f>
        <v>0</v>
      </c>
      <c r="N1318" s="67">
        <f>ROUND(+L1318*D1318,4)</f>
        <v>0</v>
      </c>
      <c r="O1318" s="67">
        <f>ROUND(IF(F1318="rame",0,+I1318*3%),4)</f>
        <v>0</v>
      </c>
      <c r="P1318" s="67">
        <f>ROUND(IF(O1318&lt;J1318,O1318,0),4)</f>
        <v>0</v>
      </c>
      <c r="Q1318" s="67">
        <f>ROUND(IF(J1318&gt;O1318,0,J1318),4)</f>
        <v>0</v>
      </c>
      <c r="R1318" s="67">
        <f>ROUND(+P1318*D1318,4)</f>
        <v>0</v>
      </c>
      <c r="S1318" s="67">
        <f>ROUND(IF(K1318=0,0,M1318*D1318),4)</f>
        <v>0</v>
      </c>
      <c r="T1318" s="67">
        <f>ROUND(+IF(K1318=0,Q1318*D1318,0),4)</f>
        <v>0</v>
      </c>
      <c r="U1318" s="67">
        <f>ROUND(+N1318+R1318+S1318+T1318,4)</f>
        <v>0</v>
      </c>
      <c r="V1318" s="67">
        <f>ROUND(IF(P1318=0,0,I1318-H1318-O1318)+IF(L1318=0,0,I1318-H1318-K1318),4)</f>
        <v>0</v>
      </c>
      <c r="W1318" s="67">
        <f>ROUND(+(V1318*60%)*D1318,4)</f>
        <v>0</v>
      </c>
      <c r="X1318" s="148">
        <f>ROUND(+U1318+W1318,4)</f>
        <v>0</v>
      </c>
      <c r="Y1318" s="68"/>
      <c r="Z1318" s="148">
        <f>ROUND(IF(X1318&gt;I1318,X1318,I1318),4)</f>
        <v>0</v>
      </c>
      <c r="AD1318" s="78">
        <f t="shared" si="18"/>
        <v>0</v>
      </c>
      <c r="AE1318" s="78">
        <f t="shared" si="19"/>
        <v>0</v>
      </c>
    </row>
    <row r="1319" spans="1:31" x14ac:dyDescent="0.2">
      <c r="A1319" s="66"/>
      <c r="B1319" s="66"/>
      <c r="C1319" s="66"/>
      <c r="D1319" s="144"/>
      <c r="E1319" s="67"/>
      <c r="F1319" s="67"/>
      <c r="G1319" s="67"/>
      <c r="H1319" s="67">
        <f>ROUND(+E1319+G1319,4)</f>
        <v>0</v>
      </c>
      <c r="I1319" s="67"/>
      <c r="J1319" s="67">
        <f>ROUND(+I1319-H1319,4)</f>
        <v>0</v>
      </c>
      <c r="K1319" s="67">
        <f>ROUND(IF(F1319="alluminio",0,I1319*1.5%),4)</f>
        <v>0</v>
      </c>
      <c r="L1319" s="67">
        <f>ROUND(IF(K1319&lt;J1319,K1319,0),4)</f>
        <v>0</v>
      </c>
      <c r="M1319" s="67">
        <f>ROUND(IF(J1319&gt;K1319,0,J1319),4)</f>
        <v>0</v>
      </c>
      <c r="N1319" s="67">
        <f>ROUND(+L1319*D1319,4)</f>
        <v>0</v>
      </c>
      <c r="O1319" s="67">
        <f>ROUND(IF(F1319="rame",0,+I1319*3%),4)</f>
        <v>0</v>
      </c>
      <c r="P1319" s="67">
        <f>ROUND(IF(O1319&lt;J1319,O1319,0),4)</f>
        <v>0</v>
      </c>
      <c r="Q1319" s="67">
        <f>ROUND(IF(J1319&gt;O1319,0,J1319),4)</f>
        <v>0</v>
      </c>
      <c r="R1319" s="67">
        <f>ROUND(+P1319*D1319,4)</f>
        <v>0</v>
      </c>
      <c r="S1319" s="67">
        <f>ROUND(IF(K1319=0,0,M1319*D1319),4)</f>
        <v>0</v>
      </c>
      <c r="T1319" s="67">
        <f>ROUND(+IF(K1319=0,Q1319*D1319,0),4)</f>
        <v>0</v>
      </c>
      <c r="U1319" s="67">
        <f>ROUND(+N1319+R1319+S1319+T1319,4)</f>
        <v>0</v>
      </c>
      <c r="V1319" s="67">
        <f>ROUND(IF(P1319=0,0,I1319-H1319-O1319)+IF(L1319=0,0,I1319-H1319-K1319),4)</f>
        <v>0</v>
      </c>
      <c r="W1319" s="67">
        <f>ROUND(+(V1319*60%)*D1319,4)</f>
        <v>0</v>
      </c>
      <c r="X1319" s="148">
        <f>ROUND(+U1319+W1319,4)</f>
        <v>0</v>
      </c>
      <c r="Y1319" s="68"/>
      <c r="Z1319" s="148">
        <f>ROUND(IF(X1319&gt;I1319,X1319,I1319),4)</f>
        <v>0</v>
      </c>
      <c r="AD1319" s="78">
        <f t="shared" si="18"/>
        <v>0</v>
      </c>
      <c r="AE1319" s="78">
        <f t="shared" si="19"/>
        <v>0</v>
      </c>
    </row>
    <row r="1320" spans="1:31" x14ac:dyDescent="0.2">
      <c r="A1320" s="66"/>
      <c r="B1320" s="66"/>
      <c r="C1320" s="66"/>
      <c r="D1320" s="144"/>
      <c r="E1320" s="67"/>
      <c r="F1320" s="67"/>
      <c r="G1320" s="67"/>
      <c r="H1320" s="67">
        <f>ROUND(+E1320+G1320,4)</f>
        <v>0</v>
      </c>
      <c r="I1320" s="67"/>
      <c r="J1320" s="67">
        <f>ROUND(+I1320-H1320,4)</f>
        <v>0</v>
      </c>
      <c r="K1320" s="67">
        <f>ROUND(IF(F1320="alluminio",0,I1320*1.5%),4)</f>
        <v>0</v>
      </c>
      <c r="L1320" s="67">
        <f>ROUND(IF(K1320&lt;J1320,K1320,0),4)</f>
        <v>0</v>
      </c>
      <c r="M1320" s="67">
        <f>ROUND(IF(J1320&gt;K1320,0,J1320),4)</f>
        <v>0</v>
      </c>
      <c r="N1320" s="67">
        <f>ROUND(+L1320*D1320,4)</f>
        <v>0</v>
      </c>
      <c r="O1320" s="67">
        <f>ROUND(IF(F1320="rame",0,+I1320*3%),4)</f>
        <v>0</v>
      </c>
      <c r="P1320" s="67">
        <f>ROUND(IF(O1320&lt;J1320,O1320,0),4)</f>
        <v>0</v>
      </c>
      <c r="Q1320" s="67">
        <f>ROUND(IF(J1320&gt;O1320,0,J1320),4)</f>
        <v>0</v>
      </c>
      <c r="R1320" s="67">
        <f>ROUND(+P1320*D1320,4)</f>
        <v>0</v>
      </c>
      <c r="S1320" s="67">
        <f>ROUND(IF(K1320=0,0,M1320*D1320),4)</f>
        <v>0</v>
      </c>
      <c r="T1320" s="67">
        <f>ROUND(+IF(K1320=0,Q1320*D1320,0),4)</f>
        <v>0</v>
      </c>
      <c r="U1320" s="67">
        <f>ROUND(+N1320+R1320+S1320+T1320,4)</f>
        <v>0</v>
      </c>
      <c r="V1320" s="67">
        <f>ROUND(IF(P1320=0,0,I1320-H1320-O1320)+IF(L1320=0,0,I1320-H1320-K1320),4)</f>
        <v>0</v>
      </c>
      <c r="W1320" s="67">
        <f>ROUND(+(V1320*60%)*D1320,4)</f>
        <v>0</v>
      </c>
      <c r="X1320" s="148">
        <f>ROUND(+U1320+W1320,4)</f>
        <v>0</v>
      </c>
      <c r="Y1320" s="68"/>
      <c r="Z1320" s="148">
        <f>ROUND(IF(X1320&gt;I1320,X1320,I1320),4)</f>
        <v>0</v>
      </c>
      <c r="AD1320" s="78">
        <f t="shared" si="18"/>
        <v>0</v>
      </c>
      <c r="AE1320" s="78">
        <f t="shared" si="19"/>
        <v>0</v>
      </c>
    </row>
    <row r="1321" spans="1:31" x14ac:dyDescent="0.2">
      <c r="A1321" s="66"/>
      <c r="B1321" s="66"/>
      <c r="C1321" s="66"/>
      <c r="D1321" s="144"/>
      <c r="E1321" s="67"/>
      <c r="F1321" s="67"/>
      <c r="G1321" s="67"/>
      <c r="H1321" s="67">
        <f>ROUND(+E1321+G1321,4)</f>
        <v>0</v>
      </c>
      <c r="I1321" s="67"/>
      <c r="J1321" s="67">
        <f>ROUND(+I1321-H1321,4)</f>
        <v>0</v>
      </c>
      <c r="K1321" s="67">
        <f>ROUND(IF(F1321="alluminio",0,I1321*1.5%),4)</f>
        <v>0</v>
      </c>
      <c r="L1321" s="67">
        <f>ROUND(IF(K1321&lt;J1321,K1321,0),4)</f>
        <v>0</v>
      </c>
      <c r="M1321" s="67">
        <f>ROUND(IF(J1321&gt;K1321,0,J1321),4)</f>
        <v>0</v>
      </c>
      <c r="N1321" s="67">
        <f>ROUND(+L1321*D1321,4)</f>
        <v>0</v>
      </c>
      <c r="O1321" s="67">
        <f>ROUND(IF(F1321="rame",0,+I1321*3%),4)</f>
        <v>0</v>
      </c>
      <c r="P1321" s="67">
        <f>ROUND(IF(O1321&lt;J1321,O1321,0),4)</f>
        <v>0</v>
      </c>
      <c r="Q1321" s="67">
        <f>ROUND(IF(J1321&gt;O1321,0,J1321),4)</f>
        <v>0</v>
      </c>
      <c r="R1321" s="67">
        <f>ROUND(+P1321*D1321,4)</f>
        <v>0</v>
      </c>
      <c r="S1321" s="67">
        <f>ROUND(IF(K1321=0,0,M1321*D1321),4)</f>
        <v>0</v>
      </c>
      <c r="T1321" s="67">
        <f>ROUND(+IF(K1321=0,Q1321*D1321,0),4)</f>
        <v>0</v>
      </c>
      <c r="U1321" s="67">
        <f>ROUND(+N1321+R1321+S1321+T1321,4)</f>
        <v>0</v>
      </c>
      <c r="V1321" s="67">
        <f>ROUND(IF(P1321=0,0,I1321-H1321-O1321)+IF(L1321=0,0,I1321-H1321-K1321),4)</f>
        <v>0</v>
      </c>
      <c r="W1321" s="67">
        <f>ROUND(+(V1321*60%)*D1321,4)</f>
        <v>0</v>
      </c>
      <c r="X1321" s="148">
        <f>ROUND(+U1321+W1321,4)</f>
        <v>0</v>
      </c>
      <c r="Y1321" s="68"/>
      <c r="Z1321" s="148">
        <f>ROUND(IF(X1321&gt;I1321,X1321,I1321),4)</f>
        <v>0</v>
      </c>
      <c r="AD1321" s="78">
        <f t="shared" si="18"/>
        <v>0</v>
      </c>
      <c r="AE1321" s="78">
        <f t="shared" si="19"/>
        <v>0</v>
      </c>
    </row>
    <row r="1322" spans="1:31" x14ac:dyDescent="0.2">
      <c r="A1322" s="66"/>
      <c r="B1322" s="66"/>
      <c r="C1322" s="66"/>
      <c r="D1322" s="144"/>
      <c r="E1322" s="67"/>
      <c r="F1322" s="67"/>
      <c r="G1322" s="67"/>
      <c r="H1322" s="67">
        <f>ROUND(+E1322+G1322,4)</f>
        <v>0</v>
      </c>
      <c r="I1322" s="67"/>
      <c r="J1322" s="67">
        <f>ROUND(+I1322-H1322,4)</f>
        <v>0</v>
      </c>
      <c r="K1322" s="67">
        <f>ROUND(IF(F1322="alluminio",0,I1322*1.5%),4)</f>
        <v>0</v>
      </c>
      <c r="L1322" s="67">
        <f>ROUND(IF(K1322&lt;J1322,K1322,0),4)</f>
        <v>0</v>
      </c>
      <c r="M1322" s="67">
        <f>ROUND(IF(J1322&gt;K1322,0,J1322),4)</f>
        <v>0</v>
      </c>
      <c r="N1322" s="67">
        <f>ROUND(+L1322*D1322,4)</f>
        <v>0</v>
      </c>
      <c r="O1322" s="67">
        <f>ROUND(IF(F1322="rame",0,+I1322*3%),4)</f>
        <v>0</v>
      </c>
      <c r="P1322" s="67">
        <f>ROUND(IF(O1322&lt;J1322,O1322,0),4)</f>
        <v>0</v>
      </c>
      <c r="Q1322" s="67">
        <f>ROUND(IF(J1322&gt;O1322,0,J1322),4)</f>
        <v>0</v>
      </c>
      <c r="R1322" s="67">
        <f>ROUND(+P1322*D1322,4)</f>
        <v>0</v>
      </c>
      <c r="S1322" s="67">
        <f>ROUND(IF(K1322=0,0,M1322*D1322),4)</f>
        <v>0</v>
      </c>
      <c r="T1322" s="67">
        <f>ROUND(+IF(K1322=0,Q1322*D1322,0),4)</f>
        <v>0</v>
      </c>
      <c r="U1322" s="67">
        <f>ROUND(+N1322+R1322+S1322+T1322,4)</f>
        <v>0</v>
      </c>
      <c r="V1322" s="67">
        <f>ROUND(IF(P1322=0,0,I1322-H1322-O1322)+IF(L1322=0,0,I1322-H1322-K1322),4)</f>
        <v>0</v>
      </c>
      <c r="W1322" s="67">
        <f>ROUND(+(V1322*60%)*D1322,4)</f>
        <v>0</v>
      </c>
      <c r="X1322" s="148">
        <f>ROUND(+U1322+W1322,4)</f>
        <v>0</v>
      </c>
      <c r="Y1322" s="68"/>
      <c r="Z1322" s="148">
        <f>ROUND(IF(X1322&gt;I1322,X1322,I1322),4)</f>
        <v>0</v>
      </c>
      <c r="AD1322" s="78">
        <f t="shared" si="18"/>
        <v>0</v>
      </c>
      <c r="AE1322" s="78">
        <f t="shared" si="19"/>
        <v>0</v>
      </c>
    </row>
    <row r="1323" spans="1:31" x14ac:dyDescent="0.2">
      <c r="A1323" s="66"/>
      <c r="B1323" s="66"/>
      <c r="C1323" s="66"/>
      <c r="D1323" s="144"/>
      <c r="E1323" s="67"/>
      <c r="F1323" s="67"/>
      <c r="G1323" s="67"/>
      <c r="H1323" s="67">
        <f>ROUND(+E1323+G1323,4)</f>
        <v>0</v>
      </c>
      <c r="I1323" s="67"/>
      <c r="J1323" s="67">
        <f>ROUND(+I1323-H1323,4)</f>
        <v>0</v>
      </c>
      <c r="K1323" s="67">
        <f>ROUND(IF(F1323="alluminio",0,I1323*1.5%),4)</f>
        <v>0</v>
      </c>
      <c r="L1323" s="67">
        <f>ROUND(IF(K1323&lt;J1323,K1323,0),4)</f>
        <v>0</v>
      </c>
      <c r="M1323" s="67">
        <f>ROUND(IF(J1323&gt;K1323,0,J1323),4)</f>
        <v>0</v>
      </c>
      <c r="N1323" s="67">
        <f>ROUND(+L1323*D1323,4)</f>
        <v>0</v>
      </c>
      <c r="O1323" s="67">
        <f>ROUND(IF(F1323="rame",0,+I1323*3%),4)</f>
        <v>0</v>
      </c>
      <c r="P1323" s="67">
        <f>ROUND(IF(O1323&lt;J1323,O1323,0),4)</f>
        <v>0</v>
      </c>
      <c r="Q1323" s="67">
        <f>ROUND(IF(J1323&gt;O1323,0,J1323),4)</f>
        <v>0</v>
      </c>
      <c r="R1323" s="67">
        <f>ROUND(+P1323*D1323,4)</f>
        <v>0</v>
      </c>
      <c r="S1323" s="67">
        <f>ROUND(IF(K1323=0,0,M1323*D1323),4)</f>
        <v>0</v>
      </c>
      <c r="T1323" s="67">
        <f>ROUND(+IF(K1323=0,Q1323*D1323,0),4)</f>
        <v>0</v>
      </c>
      <c r="U1323" s="67">
        <f>ROUND(+N1323+R1323+S1323+T1323,4)</f>
        <v>0</v>
      </c>
      <c r="V1323" s="67">
        <f>ROUND(IF(P1323=0,0,I1323-H1323-O1323)+IF(L1323=0,0,I1323-H1323-K1323),4)</f>
        <v>0</v>
      </c>
      <c r="W1323" s="67">
        <f>ROUND(+(V1323*60%)*D1323,4)</f>
        <v>0</v>
      </c>
      <c r="X1323" s="148">
        <f>ROUND(+U1323+W1323,4)</f>
        <v>0</v>
      </c>
      <c r="Y1323" s="68"/>
      <c r="Z1323" s="148">
        <f>ROUND(IF(X1323&gt;I1323,X1323,I1323),4)</f>
        <v>0</v>
      </c>
      <c r="AD1323" s="78">
        <f t="shared" si="18"/>
        <v>0</v>
      </c>
      <c r="AE1323" s="78">
        <f t="shared" si="19"/>
        <v>0</v>
      </c>
    </row>
    <row r="1324" spans="1:31" x14ac:dyDescent="0.2">
      <c r="A1324" s="66"/>
      <c r="B1324" s="66"/>
      <c r="C1324" s="66"/>
      <c r="D1324" s="144"/>
      <c r="E1324" s="67"/>
      <c r="F1324" s="67"/>
      <c r="G1324" s="67"/>
      <c r="H1324" s="67">
        <f>ROUND(+E1324+G1324,4)</f>
        <v>0</v>
      </c>
      <c r="I1324" s="67"/>
      <c r="J1324" s="67">
        <f>ROUND(+I1324-H1324,4)</f>
        <v>0</v>
      </c>
      <c r="K1324" s="67">
        <f>ROUND(IF(F1324="alluminio",0,I1324*1.5%),4)</f>
        <v>0</v>
      </c>
      <c r="L1324" s="67">
        <f>ROUND(IF(K1324&lt;J1324,K1324,0),4)</f>
        <v>0</v>
      </c>
      <c r="M1324" s="67">
        <f>ROUND(IF(J1324&gt;K1324,0,J1324),4)</f>
        <v>0</v>
      </c>
      <c r="N1324" s="67">
        <f>ROUND(+L1324*D1324,4)</f>
        <v>0</v>
      </c>
      <c r="O1324" s="67">
        <f>ROUND(IF(F1324="rame",0,+I1324*3%),4)</f>
        <v>0</v>
      </c>
      <c r="P1324" s="67">
        <f>ROUND(IF(O1324&lt;J1324,O1324,0),4)</f>
        <v>0</v>
      </c>
      <c r="Q1324" s="67">
        <f>ROUND(IF(J1324&gt;O1324,0,J1324),4)</f>
        <v>0</v>
      </c>
      <c r="R1324" s="67">
        <f>ROUND(+P1324*D1324,4)</f>
        <v>0</v>
      </c>
      <c r="S1324" s="67">
        <f>ROUND(IF(K1324=0,0,M1324*D1324),4)</f>
        <v>0</v>
      </c>
      <c r="T1324" s="67">
        <f>ROUND(+IF(K1324=0,Q1324*D1324,0),4)</f>
        <v>0</v>
      </c>
      <c r="U1324" s="67">
        <f>ROUND(+N1324+R1324+S1324+T1324,4)</f>
        <v>0</v>
      </c>
      <c r="V1324" s="67">
        <f>ROUND(IF(P1324=0,0,I1324-H1324-O1324)+IF(L1324=0,0,I1324-H1324-K1324),4)</f>
        <v>0</v>
      </c>
      <c r="W1324" s="67">
        <f>ROUND(+(V1324*60%)*D1324,4)</f>
        <v>0</v>
      </c>
      <c r="X1324" s="148">
        <f>ROUND(+U1324+W1324,4)</f>
        <v>0</v>
      </c>
      <c r="Y1324" s="68"/>
      <c r="Z1324" s="148">
        <f>ROUND(IF(X1324&gt;I1324,X1324,I1324),4)</f>
        <v>0</v>
      </c>
      <c r="AD1324" s="78">
        <f t="shared" si="18"/>
        <v>0</v>
      </c>
      <c r="AE1324" s="78">
        <f t="shared" si="19"/>
        <v>0</v>
      </c>
    </row>
    <row r="1325" spans="1:31" x14ac:dyDescent="0.2">
      <c r="A1325" s="66"/>
      <c r="B1325" s="66"/>
      <c r="C1325" s="66"/>
      <c r="D1325" s="144"/>
      <c r="E1325" s="67"/>
      <c r="F1325" s="67"/>
      <c r="G1325" s="67"/>
      <c r="H1325" s="67">
        <f>ROUND(+E1325+G1325,4)</f>
        <v>0</v>
      </c>
      <c r="I1325" s="67"/>
      <c r="J1325" s="67">
        <f>ROUND(+I1325-H1325,4)</f>
        <v>0</v>
      </c>
      <c r="K1325" s="67">
        <f>ROUND(IF(F1325="alluminio",0,I1325*1.5%),4)</f>
        <v>0</v>
      </c>
      <c r="L1325" s="67">
        <f>ROUND(IF(K1325&lt;J1325,K1325,0),4)</f>
        <v>0</v>
      </c>
      <c r="M1325" s="67">
        <f>ROUND(IF(J1325&gt;K1325,0,J1325),4)</f>
        <v>0</v>
      </c>
      <c r="N1325" s="67">
        <f>ROUND(+L1325*D1325,4)</f>
        <v>0</v>
      </c>
      <c r="O1325" s="67">
        <f>ROUND(IF(F1325="rame",0,+I1325*3%),4)</f>
        <v>0</v>
      </c>
      <c r="P1325" s="67">
        <f>ROUND(IF(O1325&lt;J1325,O1325,0),4)</f>
        <v>0</v>
      </c>
      <c r="Q1325" s="67">
        <f>ROUND(IF(J1325&gt;O1325,0,J1325),4)</f>
        <v>0</v>
      </c>
      <c r="R1325" s="67">
        <f>ROUND(+P1325*D1325,4)</f>
        <v>0</v>
      </c>
      <c r="S1325" s="67">
        <f>ROUND(IF(K1325=0,0,M1325*D1325),4)</f>
        <v>0</v>
      </c>
      <c r="T1325" s="67">
        <f>ROUND(+IF(K1325=0,Q1325*D1325,0),4)</f>
        <v>0</v>
      </c>
      <c r="U1325" s="67">
        <f>ROUND(+N1325+R1325+S1325+T1325,4)</f>
        <v>0</v>
      </c>
      <c r="V1325" s="67">
        <f>ROUND(IF(P1325=0,0,I1325-H1325-O1325)+IF(L1325=0,0,I1325-H1325-K1325),4)</f>
        <v>0</v>
      </c>
      <c r="W1325" s="67">
        <f>ROUND(+(V1325*60%)*D1325,4)</f>
        <v>0</v>
      </c>
      <c r="X1325" s="148">
        <f>ROUND(+U1325+W1325,4)</f>
        <v>0</v>
      </c>
      <c r="Y1325" s="68"/>
      <c r="Z1325" s="148">
        <f>ROUND(IF(X1325&gt;I1325,X1325,I1325),4)</f>
        <v>0</v>
      </c>
      <c r="AD1325" s="78">
        <f t="shared" si="18"/>
        <v>0</v>
      </c>
      <c r="AE1325" s="78">
        <f t="shared" si="19"/>
        <v>0</v>
      </c>
    </row>
    <row r="1326" spans="1:31" x14ac:dyDescent="0.2">
      <c r="A1326" s="66"/>
      <c r="B1326" s="66"/>
      <c r="C1326" s="66"/>
      <c r="D1326" s="144"/>
      <c r="E1326" s="67"/>
      <c r="F1326" s="67"/>
      <c r="G1326" s="67"/>
      <c r="H1326" s="67">
        <f>ROUND(+E1326+G1326,4)</f>
        <v>0</v>
      </c>
      <c r="I1326" s="67"/>
      <c r="J1326" s="67">
        <f>ROUND(+I1326-H1326,4)</f>
        <v>0</v>
      </c>
      <c r="K1326" s="67">
        <f>ROUND(IF(F1326="alluminio",0,I1326*1.5%),4)</f>
        <v>0</v>
      </c>
      <c r="L1326" s="67">
        <f>ROUND(IF(K1326&lt;J1326,K1326,0),4)</f>
        <v>0</v>
      </c>
      <c r="M1326" s="67">
        <f>ROUND(IF(J1326&gt;K1326,0,J1326),4)</f>
        <v>0</v>
      </c>
      <c r="N1326" s="67">
        <f>ROUND(+L1326*D1326,4)</f>
        <v>0</v>
      </c>
      <c r="O1326" s="67">
        <f>ROUND(IF(F1326="rame",0,+I1326*3%),4)</f>
        <v>0</v>
      </c>
      <c r="P1326" s="67">
        <f>ROUND(IF(O1326&lt;J1326,O1326,0),4)</f>
        <v>0</v>
      </c>
      <c r="Q1326" s="67">
        <f>ROUND(IF(J1326&gt;O1326,0,J1326),4)</f>
        <v>0</v>
      </c>
      <c r="R1326" s="67">
        <f>ROUND(+P1326*D1326,4)</f>
        <v>0</v>
      </c>
      <c r="S1326" s="67">
        <f>ROUND(IF(K1326=0,0,M1326*D1326),4)</f>
        <v>0</v>
      </c>
      <c r="T1326" s="67">
        <f>ROUND(+IF(K1326=0,Q1326*D1326,0),4)</f>
        <v>0</v>
      </c>
      <c r="U1326" s="67">
        <f>ROUND(+N1326+R1326+S1326+T1326,4)</f>
        <v>0</v>
      </c>
      <c r="V1326" s="67">
        <f>ROUND(IF(P1326=0,0,I1326-H1326-O1326)+IF(L1326=0,0,I1326-H1326-K1326),4)</f>
        <v>0</v>
      </c>
      <c r="W1326" s="67">
        <f>ROUND(+(V1326*60%)*D1326,4)</f>
        <v>0</v>
      </c>
      <c r="X1326" s="148">
        <f>ROUND(+U1326+W1326,4)</f>
        <v>0</v>
      </c>
      <c r="Y1326" s="68"/>
      <c r="Z1326" s="148">
        <f>ROUND(IF(X1326&gt;I1326,X1326,I1326),4)</f>
        <v>0</v>
      </c>
      <c r="AD1326" s="78">
        <f t="shared" si="18"/>
        <v>0</v>
      </c>
      <c r="AE1326" s="78">
        <f t="shared" si="19"/>
        <v>0</v>
      </c>
    </row>
    <row r="1327" spans="1:31" x14ac:dyDescent="0.2">
      <c r="A1327" s="66"/>
      <c r="B1327" s="66"/>
      <c r="C1327" s="66"/>
      <c r="D1327" s="144"/>
      <c r="E1327" s="67"/>
      <c r="F1327" s="67"/>
      <c r="G1327" s="67"/>
      <c r="H1327" s="67">
        <f>ROUND(+E1327+G1327,4)</f>
        <v>0</v>
      </c>
      <c r="I1327" s="67"/>
      <c r="J1327" s="67">
        <f>ROUND(+I1327-H1327,4)</f>
        <v>0</v>
      </c>
      <c r="K1327" s="67">
        <f>ROUND(IF(F1327="alluminio",0,I1327*1.5%),4)</f>
        <v>0</v>
      </c>
      <c r="L1327" s="67">
        <f>ROUND(IF(K1327&lt;J1327,K1327,0),4)</f>
        <v>0</v>
      </c>
      <c r="M1327" s="67">
        <f>ROUND(IF(J1327&gt;K1327,0,J1327),4)</f>
        <v>0</v>
      </c>
      <c r="N1327" s="67">
        <f>ROUND(+L1327*D1327,4)</f>
        <v>0</v>
      </c>
      <c r="O1327" s="67">
        <f>ROUND(IF(F1327="rame",0,+I1327*3%),4)</f>
        <v>0</v>
      </c>
      <c r="P1327" s="67">
        <f>ROUND(IF(O1327&lt;J1327,O1327,0),4)</f>
        <v>0</v>
      </c>
      <c r="Q1327" s="67">
        <f>ROUND(IF(J1327&gt;O1327,0,J1327),4)</f>
        <v>0</v>
      </c>
      <c r="R1327" s="67">
        <f>ROUND(+P1327*D1327,4)</f>
        <v>0</v>
      </c>
      <c r="S1327" s="67">
        <f>ROUND(IF(K1327=0,0,M1327*D1327),4)</f>
        <v>0</v>
      </c>
      <c r="T1327" s="67">
        <f>ROUND(+IF(K1327=0,Q1327*D1327,0),4)</f>
        <v>0</v>
      </c>
      <c r="U1327" s="67">
        <f>ROUND(+N1327+R1327+S1327+T1327,4)</f>
        <v>0</v>
      </c>
      <c r="V1327" s="67">
        <f>ROUND(IF(P1327=0,0,I1327-H1327-O1327)+IF(L1327=0,0,I1327-H1327-K1327),4)</f>
        <v>0</v>
      </c>
      <c r="W1327" s="67">
        <f>ROUND(+(V1327*60%)*D1327,4)</f>
        <v>0</v>
      </c>
      <c r="X1327" s="148">
        <f>ROUND(+U1327+W1327,4)</f>
        <v>0</v>
      </c>
      <c r="Y1327" s="68"/>
      <c r="Z1327" s="148">
        <f>ROUND(IF(X1327&gt;I1327,X1327,I1327),4)</f>
        <v>0</v>
      </c>
      <c r="AD1327" s="78">
        <f t="shared" si="18"/>
        <v>0</v>
      </c>
      <c r="AE1327" s="78">
        <f t="shared" si="19"/>
        <v>0</v>
      </c>
    </row>
    <row r="1328" spans="1:31" x14ac:dyDescent="0.2">
      <c r="A1328" s="66"/>
      <c r="B1328" s="66"/>
      <c r="C1328" s="66"/>
      <c r="D1328" s="144"/>
      <c r="E1328" s="67"/>
      <c r="F1328" s="67"/>
      <c r="G1328" s="67"/>
      <c r="H1328" s="67">
        <f>ROUND(+E1328+G1328,4)</f>
        <v>0</v>
      </c>
      <c r="I1328" s="67"/>
      <c r="J1328" s="67">
        <f>ROUND(+I1328-H1328,4)</f>
        <v>0</v>
      </c>
      <c r="K1328" s="67">
        <f>ROUND(IF(F1328="alluminio",0,I1328*1.5%),4)</f>
        <v>0</v>
      </c>
      <c r="L1328" s="67">
        <f>ROUND(IF(K1328&lt;J1328,K1328,0),4)</f>
        <v>0</v>
      </c>
      <c r="M1328" s="67">
        <f>ROUND(IF(J1328&gt;K1328,0,J1328),4)</f>
        <v>0</v>
      </c>
      <c r="N1328" s="67">
        <f>ROUND(+L1328*D1328,4)</f>
        <v>0</v>
      </c>
      <c r="O1328" s="67">
        <f>ROUND(IF(F1328="rame",0,+I1328*3%),4)</f>
        <v>0</v>
      </c>
      <c r="P1328" s="67">
        <f>ROUND(IF(O1328&lt;J1328,O1328,0),4)</f>
        <v>0</v>
      </c>
      <c r="Q1328" s="67">
        <f>ROUND(IF(J1328&gt;O1328,0,J1328),4)</f>
        <v>0</v>
      </c>
      <c r="R1328" s="67">
        <f>ROUND(+P1328*D1328,4)</f>
        <v>0</v>
      </c>
      <c r="S1328" s="67">
        <f>ROUND(IF(K1328=0,0,M1328*D1328),4)</f>
        <v>0</v>
      </c>
      <c r="T1328" s="67">
        <f>ROUND(+IF(K1328=0,Q1328*D1328,0),4)</f>
        <v>0</v>
      </c>
      <c r="U1328" s="67">
        <f>ROUND(+N1328+R1328+S1328+T1328,4)</f>
        <v>0</v>
      </c>
      <c r="V1328" s="67">
        <f>ROUND(IF(P1328=0,0,I1328-H1328-O1328)+IF(L1328=0,0,I1328-H1328-K1328),4)</f>
        <v>0</v>
      </c>
      <c r="W1328" s="67">
        <f>ROUND(+(V1328*60%)*D1328,4)</f>
        <v>0</v>
      </c>
      <c r="X1328" s="148">
        <f>ROUND(+U1328+W1328,4)</f>
        <v>0</v>
      </c>
      <c r="Y1328" s="68"/>
      <c r="Z1328" s="148">
        <f>ROUND(IF(X1328&gt;I1328,X1328,I1328),4)</f>
        <v>0</v>
      </c>
      <c r="AD1328" s="78">
        <f t="shared" si="18"/>
        <v>0</v>
      </c>
      <c r="AE1328" s="78">
        <f t="shared" si="19"/>
        <v>0</v>
      </c>
    </row>
    <row r="1329" spans="1:31" x14ac:dyDescent="0.2">
      <c r="A1329" s="66"/>
      <c r="B1329" s="66"/>
      <c r="C1329" s="66"/>
      <c r="D1329" s="144"/>
      <c r="E1329" s="67"/>
      <c r="F1329" s="67"/>
      <c r="G1329" s="67"/>
      <c r="H1329" s="67">
        <f>ROUND(+E1329+G1329,4)</f>
        <v>0</v>
      </c>
      <c r="I1329" s="67"/>
      <c r="J1329" s="67">
        <f>ROUND(+I1329-H1329,4)</f>
        <v>0</v>
      </c>
      <c r="K1329" s="67">
        <f>ROUND(IF(F1329="alluminio",0,I1329*1.5%),4)</f>
        <v>0</v>
      </c>
      <c r="L1329" s="67">
        <f>ROUND(IF(K1329&lt;J1329,K1329,0),4)</f>
        <v>0</v>
      </c>
      <c r="M1329" s="67">
        <f>ROUND(IF(J1329&gt;K1329,0,J1329),4)</f>
        <v>0</v>
      </c>
      <c r="N1329" s="67">
        <f>ROUND(+L1329*D1329,4)</f>
        <v>0</v>
      </c>
      <c r="O1329" s="67">
        <f>ROUND(IF(F1329="rame",0,+I1329*3%),4)</f>
        <v>0</v>
      </c>
      <c r="P1329" s="67">
        <f>ROUND(IF(O1329&lt;J1329,O1329,0),4)</f>
        <v>0</v>
      </c>
      <c r="Q1329" s="67">
        <f>ROUND(IF(J1329&gt;O1329,0,J1329),4)</f>
        <v>0</v>
      </c>
      <c r="R1329" s="67">
        <f>ROUND(+P1329*D1329,4)</f>
        <v>0</v>
      </c>
      <c r="S1329" s="67">
        <f>ROUND(IF(K1329=0,0,M1329*D1329),4)</f>
        <v>0</v>
      </c>
      <c r="T1329" s="67">
        <f>ROUND(+IF(K1329=0,Q1329*D1329,0),4)</f>
        <v>0</v>
      </c>
      <c r="U1329" s="67">
        <f>ROUND(+N1329+R1329+S1329+T1329,4)</f>
        <v>0</v>
      </c>
      <c r="V1329" s="67">
        <f>ROUND(IF(P1329=0,0,I1329-H1329-O1329)+IF(L1329=0,0,I1329-H1329-K1329),4)</f>
        <v>0</v>
      </c>
      <c r="W1329" s="67">
        <f>ROUND(+(V1329*60%)*D1329,4)</f>
        <v>0</v>
      </c>
      <c r="X1329" s="148">
        <f>ROUND(+U1329+W1329,4)</f>
        <v>0</v>
      </c>
      <c r="Y1329" s="68"/>
      <c r="Z1329" s="148">
        <f>ROUND(IF(X1329&gt;I1329,X1329,I1329),4)</f>
        <v>0</v>
      </c>
      <c r="AD1329" s="78">
        <f t="shared" si="18"/>
        <v>0</v>
      </c>
      <c r="AE1329" s="78">
        <f t="shared" si="19"/>
        <v>0</v>
      </c>
    </row>
    <row r="1330" spans="1:31" x14ac:dyDescent="0.2">
      <c r="A1330" s="66"/>
      <c r="B1330" s="66"/>
      <c r="C1330" s="66"/>
      <c r="D1330" s="144"/>
      <c r="E1330" s="67"/>
      <c r="F1330" s="67"/>
      <c r="G1330" s="67"/>
      <c r="H1330" s="67">
        <f>ROUND(+E1330+G1330,4)</f>
        <v>0</v>
      </c>
      <c r="I1330" s="67"/>
      <c r="J1330" s="67">
        <f>ROUND(+I1330-H1330,4)</f>
        <v>0</v>
      </c>
      <c r="K1330" s="67">
        <f>ROUND(IF(F1330="alluminio",0,I1330*1.5%),4)</f>
        <v>0</v>
      </c>
      <c r="L1330" s="67">
        <f>ROUND(IF(K1330&lt;J1330,K1330,0),4)</f>
        <v>0</v>
      </c>
      <c r="M1330" s="67">
        <f>ROUND(IF(J1330&gt;K1330,0,J1330),4)</f>
        <v>0</v>
      </c>
      <c r="N1330" s="67">
        <f>ROUND(+L1330*D1330,4)</f>
        <v>0</v>
      </c>
      <c r="O1330" s="67">
        <f>ROUND(IF(F1330="rame",0,+I1330*3%),4)</f>
        <v>0</v>
      </c>
      <c r="P1330" s="67">
        <f>ROUND(IF(O1330&lt;J1330,O1330,0),4)</f>
        <v>0</v>
      </c>
      <c r="Q1330" s="67">
        <f>ROUND(IF(J1330&gt;O1330,0,J1330),4)</f>
        <v>0</v>
      </c>
      <c r="R1330" s="67">
        <f>ROUND(+P1330*D1330,4)</f>
        <v>0</v>
      </c>
      <c r="S1330" s="67">
        <f>ROUND(IF(K1330=0,0,M1330*D1330),4)</f>
        <v>0</v>
      </c>
      <c r="T1330" s="67">
        <f>ROUND(+IF(K1330=0,Q1330*D1330,0),4)</f>
        <v>0</v>
      </c>
      <c r="U1330" s="67">
        <f>ROUND(+N1330+R1330+S1330+T1330,4)</f>
        <v>0</v>
      </c>
      <c r="V1330" s="67">
        <f>ROUND(IF(P1330=0,0,I1330-H1330-O1330)+IF(L1330=0,0,I1330-H1330-K1330),4)</f>
        <v>0</v>
      </c>
      <c r="W1330" s="67">
        <f>ROUND(+(V1330*60%)*D1330,4)</f>
        <v>0</v>
      </c>
      <c r="X1330" s="148">
        <f>ROUND(+U1330+W1330,4)</f>
        <v>0</v>
      </c>
      <c r="Y1330" s="68"/>
      <c r="Z1330" s="148">
        <f>ROUND(IF(X1330&gt;I1330,X1330,I1330),4)</f>
        <v>0</v>
      </c>
      <c r="AD1330" s="78">
        <f t="shared" si="18"/>
        <v>0</v>
      </c>
      <c r="AE1330" s="78">
        <f t="shared" si="19"/>
        <v>0</v>
      </c>
    </row>
    <row r="1331" spans="1:31" x14ac:dyDescent="0.2">
      <c r="A1331" s="66"/>
      <c r="B1331" s="66"/>
      <c r="C1331" s="66"/>
      <c r="D1331" s="144"/>
      <c r="E1331" s="67"/>
      <c r="F1331" s="67"/>
      <c r="G1331" s="67"/>
      <c r="H1331" s="67">
        <f>ROUND(+E1331+G1331,4)</f>
        <v>0</v>
      </c>
      <c r="I1331" s="67"/>
      <c r="J1331" s="67">
        <f>ROUND(+I1331-H1331,4)</f>
        <v>0</v>
      </c>
      <c r="K1331" s="67">
        <f>ROUND(IF(F1331="alluminio",0,I1331*1.5%),4)</f>
        <v>0</v>
      </c>
      <c r="L1331" s="67">
        <f>ROUND(IF(K1331&lt;J1331,K1331,0),4)</f>
        <v>0</v>
      </c>
      <c r="M1331" s="67">
        <f>ROUND(IF(J1331&gt;K1331,0,J1331),4)</f>
        <v>0</v>
      </c>
      <c r="N1331" s="67">
        <f>ROUND(+L1331*D1331,4)</f>
        <v>0</v>
      </c>
      <c r="O1331" s="67">
        <f>ROUND(IF(F1331="rame",0,+I1331*3%),4)</f>
        <v>0</v>
      </c>
      <c r="P1331" s="67">
        <f>ROUND(IF(O1331&lt;J1331,O1331,0),4)</f>
        <v>0</v>
      </c>
      <c r="Q1331" s="67">
        <f>ROUND(IF(J1331&gt;O1331,0,J1331),4)</f>
        <v>0</v>
      </c>
      <c r="R1331" s="67">
        <f>ROUND(+P1331*D1331,4)</f>
        <v>0</v>
      </c>
      <c r="S1331" s="67">
        <f>ROUND(IF(K1331=0,0,M1331*D1331),4)</f>
        <v>0</v>
      </c>
      <c r="T1331" s="67">
        <f>ROUND(+IF(K1331=0,Q1331*D1331,0),4)</f>
        <v>0</v>
      </c>
      <c r="U1331" s="67">
        <f>ROUND(+N1331+R1331+S1331+T1331,4)</f>
        <v>0</v>
      </c>
      <c r="V1331" s="67">
        <f>ROUND(IF(P1331=0,0,I1331-H1331-O1331)+IF(L1331=0,0,I1331-H1331-K1331),4)</f>
        <v>0</v>
      </c>
      <c r="W1331" s="67">
        <f>ROUND(+(V1331*60%)*D1331,4)</f>
        <v>0</v>
      </c>
      <c r="X1331" s="148">
        <f>ROUND(+U1331+W1331,4)</f>
        <v>0</v>
      </c>
      <c r="Y1331" s="68"/>
      <c r="Z1331" s="148">
        <f>ROUND(IF(X1331&gt;I1331,X1331,I1331),4)</f>
        <v>0</v>
      </c>
      <c r="AD1331" s="78">
        <f t="shared" si="18"/>
        <v>0</v>
      </c>
      <c r="AE1331" s="78">
        <f t="shared" si="19"/>
        <v>0</v>
      </c>
    </row>
    <row r="1332" spans="1:31" x14ac:dyDescent="0.2">
      <c r="A1332" s="66"/>
      <c r="B1332" s="66"/>
      <c r="C1332" s="66"/>
      <c r="D1332" s="144"/>
      <c r="E1332" s="67"/>
      <c r="F1332" s="67"/>
      <c r="G1332" s="67"/>
      <c r="H1332" s="67">
        <f>ROUND(+E1332+G1332,4)</f>
        <v>0</v>
      </c>
      <c r="I1332" s="67"/>
      <c r="J1332" s="67">
        <f>ROUND(+I1332-H1332,4)</f>
        <v>0</v>
      </c>
      <c r="K1332" s="67">
        <f>ROUND(IF(F1332="alluminio",0,I1332*1.5%),4)</f>
        <v>0</v>
      </c>
      <c r="L1332" s="67">
        <f>ROUND(IF(K1332&lt;J1332,K1332,0),4)</f>
        <v>0</v>
      </c>
      <c r="M1332" s="67">
        <f>ROUND(IF(J1332&gt;K1332,0,J1332),4)</f>
        <v>0</v>
      </c>
      <c r="N1332" s="67">
        <f>ROUND(+L1332*D1332,4)</f>
        <v>0</v>
      </c>
      <c r="O1332" s="67">
        <f>ROUND(IF(F1332="rame",0,+I1332*3%),4)</f>
        <v>0</v>
      </c>
      <c r="P1332" s="67">
        <f>ROUND(IF(O1332&lt;J1332,O1332,0),4)</f>
        <v>0</v>
      </c>
      <c r="Q1332" s="67">
        <f>ROUND(IF(J1332&gt;O1332,0,J1332),4)</f>
        <v>0</v>
      </c>
      <c r="R1332" s="67">
        <f>ROUND(+P1332*D1332,4)</f>
        <v>0</v>
      </c>
      <c r="S1332" s="67">
        <f>ROUND(IF(K1332=0,0,M1332*D1332),4)</f>
        <v>0</v>
      </c>
      <c r="T1332" s="67">
        <f>ROUND(+IF(K1332=0,Q1332*D1332,0),4)</f>
        <v>0</v>
      </c>
      <c r="U1332" s="67">
        <f>ROUND(+N1332+R1332+S1332+T1332,4)</f>
        <v>0</v>
      </c>
      <c r="V1332" s="67">
        <f>ROUND(IF(P1332=0,0,I1332-H1332-O1332)+IF(L1332=0,0,I1332-H1332-K1332),4)</f>
        <v>0</v>
      </c>
      <c r="W1332" s="67">
        <f>ROUND(+(V1332*60%)*D1332,4)</f>
        <v>0</v>
      </c>
      <c r="X1332" s="148">
        <f>ROUND(+U1332+W1332,4)</f>
        <v>0</v>
      </c>
      <c r="Y1332" s="68"/>
      <c r="Z1332" s="148">
        <f>ROUND(IF(X1332&gt;I1332,X1332,I1332),4)</f>
        <v>0</v>
      </c>
      <c r="AD1332" s="78">
        <f t="shared" si="18"/>
        <v>0</v>
      </c>
      <c r="AE1332" s="78">
        <f t="shared" si="19"/>
        <v>0</v>
      </c>
    </row>
    <row r="1333" spans="1:31" x14ac:dyDescent="0.2">
      <c r="A1333" s="66"/>
      <c r="B1333" s="66"/>
      <c r="C1333" s="66"/>
      <c r="D1333" s="144"/>
      <c r="E1333" s="67"/>
      <c r="F1333" s="67"/>
      <c r="G1333" s="67"/>
      <c r="H1333" s="67">
        <f>ROUND(+E1333+G1333,4)</f>
        <v>0</v>
      </c>
      <c r="I1333" s="67"/>
      <c r="J1333" s="67">
        <f>ROUND(+I1333-H1333,4)</f>
        <v>0</v>
      </c>
      <c r="K1333" s="67">
        <f>ROUND(IF(F1333="alluminio",0,I1333*1.5%),4)</f>
        <v>0</v>
      </c>
      <c r="L1333" s="67">
        <f>ROUND(IF(K1333&lt;J1333,K1333,0),4)</f>
        <v>0</v>
      </c>
      <c r="M1333" s="67">
        <f>ROUND(IF(J1333&gt;K1333,0,J1333),4)</f>
        <v>0</v>
      </c>
      <c r="N1333" s="67">
        <f>ROUND(+L1333*D1333,4)</f>
        <v>0</v>
      </c>
      <c r="O1333" s="67">
        <f>ROUND(IF(F1333="rame",0,+I1333*3%),4)</f>
        <v>0</v>
      </c>
      <c r="P1333" s="67">
        <f>ROUND(IF(O1333&lt;J1333,O1333,0),4)</f>
        <v>0</v>
      </c>
      <c r="Q1333" s="67">
        <f>ROUND(IF(J1333&gt;O1333,0,J1333),4)</f>
        <v>0</v>
      </c>
      <c r="R1333" s="67">
        <f>ROUND(+P1333*D1333,4)</f>
        <v>0</v>
      </c>
      <c r="S1333" s="67">
        <f>ROUND(IF(K1333=0,0,M1333*D1333),4)</f>
        <v>0</v>
      </c>
      <c r="T1333" s="67">
        <f>ROUND(+IF(K1333=0,Q1333*D1333,0),4)</f>
        <v>0</v>
      </c>
      <c r="U1333" s="67">
        <f>ROUND(+N1333+R1333+S1333+T1333,4)</f>
        <v>0</v>
      </c>
      <c r="V1333" s="67">
        <f>ROUND(IF(P1333=0,0,I1333-H1333-O1333)+IF(L1333=0,0,I1333-H1333-K1333),4)</f>
        <v>0</v>
      </c>
      <c r="W1333" s="67">
        <f>ROUND(+(V1333*60%)*D1333,4)</f>
        <v>0</v>
      </c>
      <c r="X1333" s="148">
        <f>ROUND(+U1333+W1333,4)</f>
        <v>0</v>
      </c>
      <c r="Y1333" s="68"/>
      <c r="Z1333" s="148">
        <f>ROUND(IF(X1333&gt;I1333,X1333,I1333),4)</f>
        <v>0</v>
      </c>
      <c r="AD1333" s="78">
        <f t="shared" si="18"/>
        <v>0</v>
      </c>
      <c r="AE1333" s="78">
        <f t="shared" si="19"/>
        <v>0</v>
      </c>
    </row>
    <row r="1334" spans="1:31" x14ac:dyDescent="0.2">
      <c r="A1334" s="66"/>
      <c r="B1334" s="66"/>
      <c r="C1334" s="66"/>
      <c r="D1334" s="144"/>
      <c r="E1334" s="67"/>
      <c r="F1334" s="67"/>
      <c r="G1334" s="67"/>
      <c r="H1334" s="67">
        <f>ROUND(+E1334+G1334,4)</f>
        <v>0</v>
      </c>
      <c r="I1334" s="67"/>
      <c r="J1334" s="67">
        <f>ROUND(+I1334-H1334,4)</f>
        <v>0</v>
      </c>
      <c r="K1334" s="67">
        <f>ROUND(IF(F1334="alluminio",0,I1334*1.5%),4)</f>
        <v>0</v>
      </c>
      <c r="L1334" s="67">
        <f>ROUND(IF(K1334&lt;J1334,K1334,0),4)</f>
        <v>0</v>
      </c>
      <c r="M1334" s="67">
        <f>ROUND(IF(J1334&gt;K1334,0,J1334),4)</f>
        <v>0</v>
      </c>
      <c r="N1334" s="67">
        <f>ROUND(+L1334*D1334,4)</f>
        <v>0</v>
      </c>
      <c r="O1334" s="67">
        <f>ROUND(IF(F1334="rame",0,+I1334*3%),4)</f>
        <v>0</v>
      </c>
      <c r="P1334" s="67">
        <f>ROUND(IF(O1334&lt;J1334,O1334,0),4)</f>
        <v>0</v>
      </c>
      <c r="Q1334" s="67">
        <f>ROUND(IF(J1334&gt;O1334,0,J1334),4)</f>
        <v>0</v>
      </c>
      <c r="R1334" s="67">
        <f>ROUND(+P1334*D1334,4)</f>
        <v>0</v>
      </c>
      <c r="S1334" s="67">
        <f>ROUND(IF(K1334=0,0,M1334*D1334),4)</f>
        <v>0</v>
      </c>
      <c r="T1334" s="67">
        <f>ROUND(+IF(K1334=0,Q1334*D1334,0),4)</f>
        <v>0</v>
      </c>
      <c r="U1334" s="67">
        <f>ROUND(+N1334+R1334+S1334+T1334,4)</f>
        <v>0</v>
      </c>
      <c r="V1334" s="67">
        <f>ROUND(IF(P1334=0,0,I1334-H1334-O1334)+IF(L1334=0,0,I1334-H1334-K1334),4)</f>
        <v>0</v>
      </c>
      <c r="W1334" s="67">
        <f>ROUND(+(V1334*60%)*D1334,4)</f>
        <v>0</v>
      </c>
      <c r="X1334" s="148">
        <f>ROUND(+U1334+W1334,4)</f>
        <v>0</v>
      </c>
      <c r="Y1334" s="68"/>
      <c r="Z1334" s="148">
        <f>ROUND(IF(X1334&gt;I1334,X1334,I1334),4)</f>
        <v>0</v>
      </c>
      <c r="AD1334" s="78">
        <f t="shared" si="18"/>
        <v>0</v>
      </c>
      <c r="AE1334" s="78">
        <f t="shared" si="19"/>
        <v>0</v>
      </c>
    </row>
    <row r="1335" spans="1:31" x14ac:dyDescent="0.2">
      <c r="A1335" s="66"/>
      <c r="B1335" s="66"/>
      <c r="C1335" s="66"/>
      <c r="D1335" s="144"/>
      <c r="E1335" s="67"/>
      <c r="F1335" s="67"/>
      <c r="G1335" s="67"/>
      <c r="H1335" s="67">
        <f>ROUND(+E1335+G1335,4)</f>
        <v>0</v>
      </c>
      <c r="I1335" s="67"/>
      <c r="J1335" s="67">
        <f>ROUND(+I1335-H1335,4)</f>
        <v>0</v>
      </c>
      <c r="K1335" s="67">
        <f>ROUND(IF(F1335="alluminio",0,I1335*1.5%),4)</f>
        <v>0</v>
      </c>
      <c r="L1335" s="67">
        <f>ROUND(IF(K1335&lt;J1335,K1335,0),4)</f>
        <v>0</v>
      </c>
      <c r="M1335" s="67">
        <f>ROUND(IF(J1335&gt;K1335,0,J1335),4)</f>
        <v>0</v>
      </c>
      <c r="N1335" s="67">
        <f>ROUND(+L1335*D1335,4)</f>
        <v>0</v>
      </c>
      <c r="O1335" s="67">
        <f>ROUND(IF(F1335="rame",0,+I1335*3%),4)</f>
        <v>0</v>
      </c>
      <c r="P1335" s="67">
        <f>ROUND(IF(O1335&lt;J1335,O1335,0),4)</f>
        <v>0</v>
      </c>
      <c r="Q1335" s="67">
        <f>ROUND(IF(J1335&gt;O1335,0,J1335),4)</f>
        <v>0</v>
      </c>
      <c r="R1335" s="67">
        <f>ROUND(+P1335*D1335,4)</f>
        <v>0</v>
      </c>
      <c r="S1335" s="67">
        <f>ROUND(IF(K1335=0,0,M1335*D1335),4)</f>
        <v>0</v>
      </c>
      <c r="T1335" s="67">
        <f>ROUND(+IF(K1335=0,Q1335*D1335,0),4)</f>
        <v>0</v>
      </c>
      <c r="U1335" s="67">
        <f>ROUND(+N1335+R1335+S1335+T1335,4)</f>
        <v>0</v>
      </c>
      <c r="V1335" s="67">
        <f>ROUND(IF(P1335=0,0,I1335-H1335-O1335)+IF(L1335=0,0,I1335-H1335-K1335),4)</f>
        <v>0</v>
      </c>
      <c r="W1335" s="67">
        <f>ROUND(+(V1335*60%)*D1335,4)</f>
        <v>0</v>
      </c>
      <c r="X1335" s="148">
        <f>ROUND(+U1335+W1335,4)</f>
        <v>0</v>
      </c>
      <c r="Y1335" s="68"/>
      <c r="Z1335" s="148">
        <f>ROUND(IF(X1335&gt;I1335,X1335,I1335),4)</f>
        <v>0</v>
      </c>
      <c r="AD1335" s="78">
        <f t="shared" si="18"/>
        <v>0</v>
      </c>
      <c r="AE1335" s="78">
        <f t="shared" si="19"/>
        <v>0</v>
      </c>
    </row>
    <row r="1336" spans="1:31" x14ac:dyDescent="0.2">
      <c r="A1336" s="66"/>
      <c r="B1336" s="66"/>
      <c r="C1336" s="66"/>
      <c r="D1336" s="144"/>
      <c r="E1336" s="67"/>
      <c r="F1336" s="67"/>
      <c r="G1336" s="67"/>
      <c r="H1336" s="67">
        <f>ROUND(+E1336+G1336,4)</f>
        <v>0</v>
      </c>
      <c r="I1336" s="67"/>
      <c r="J1336" s="67">
        <f>ROUND(+I1336-H1336,4)</f>
        <v>0</v>
      </c>
      <c r="K1336" s="67">
        <f>ROUND(IF(F1336="alluminio",0,I1336*1.5%),4)</f>
        <v>0</v>
      </c>
      <c r="L1336" s="67">
        <f>ROUND(IF(K1336&lt;J1336,K1336,0),4)</f>
        <v>0</v>
      </c>
      <c r="M1336" s="67">
        <f>ROUND(IF(J1336&gt;K1336,0,J1336),4)</f>
        <v>0</v>
      </c>
      <c r="N1336" s="67">
        <f>ROUND(+L1336*D1336,4)</f>
        <v>0</v>
      </c>
      <c r="O1336" s="67">
        <f>ROUND(IF(F1336="rame",0,+I1336*3%),4)</f>
        <v>0</v>
      </c>
      <c r="P1336" s="67">
        <f>ROUND(IF(O1336&lt;J1336,O1336,0),4)</f>
        <v>0</v>
      </c>
      <c r="Q1336" s="67">
        <f>ROUND(IF(J1336&gt;O1336,0,J1336),4)</f>
        <v>0</v>
      </c>
      <c r="R1336" s="67">
        <f>ROUND(+P1336*D1336,4)</f>
        <v>0</v>
      </c>
      <c r="S1336" s="67">
        <f>ROUND(IF(K1336=0,0,M1336*D1336),4)</f>
        <v>0</v>
      </c>
      <c r="T1336" s="67">
        <f>ROUND(+IF(K1336=0,Q1336*D1336,0),4)</f>
        <v>0</v>
      </c>
      <c r="U1336" s="67">
        <f>ROUND(+N1336+R1336+S1336+T1336,4)</f>
        <v>0</v>
      </c>
      <c r="V1336" s="67">
        <f>ROUND(IF(P1336=0,0,I1336-H1336-O1336)+IF(L1336=0,0,I1336-H1336-K1336),4)</f>
        <v>0</v>
      </c>
      <c r="W1336" s="67">
        <f>ROUND(+(V1336*60%)*D1336,4)</f>
        <v>0</v>
      </c>
      <c r="X1336" s="148">
        <f>ROUND(+U1336+W1336,4)</f>
        <v>0</v>
      </c>
      <c r="Y1336" s="68"/>
      <c r="Z1336" s="148">
        <f>ROUND(IF(X1336&gt;I1336,X1336,I1336),4)</f>
        <v>0</v>
      </c>
      <c r="AD1336" s="78">
        <f t="shared" si="18"/>
        <v>0</v>
      </c>
      <c r="AE1336" s="78">
        <f t="shared" si="19"/>
        <v>0</v>
      </c>
    </row>
    <row r="1337" spans="1:31" x14ac:dyDescent="0.2">
      <c r="A1337" s="66"/>
      <c r="B1337" s="66"/>
      <c r="C1337" s="66"/>
      <c r="D1337" s="144"/>
      <c r="E1337" s="67"/>
      <c r="F1337" s="67"/>
      <c r="G1337" s="67"/>
      <c r="H1337" s="67">
        <f>ROUND(+E1337+G1337,4)</f>
        <v>0</v>
      </c>
      <c r="I1337" s="67"/>
      <c r="J1337" s="67">
        <f>ROUND(+I1337-H1337,4)</f>
        <v>0</v>
      </c>
      <c r="K1337" s="67">
        <f>ROUND(IF(F1337="alluminio",0,I1337*1.5%),4)</f>
        <v>0</v>
      </c>
      <c r="L1337" s="67">
        <f>ROUND(IF(K1337&lt;J1337,K1337,0),4)</f>
        <v>0</v>
      </c>
      <c r="M1337" s="67">
        <f>ROUND(IF(J1337&gt;K1337,0,J1337),4)</f>
        <v>0</v>
      </c>
      <c r="N1337" s="67">
        <f>ROUND(+L1337*D1337,4)</f>
        <v>0</v>
      </c>
      <c r="O1337" s="67">
        <f>ROUND(IF(F1337="rame",0,+I1337*3%),4)</f>
        <v>0</v>
      </c>
      <c r="P1337" s="67">
        <f>ROUND(IF(O1337&lt;J1337,O1337,0),4)</f>
        <v>0</v>
      </c>
      <c r="Q1337" s="67">
        <f>ROUND(IF(J1337&gt;O1337,0,J1337),4)</f>
        <v>0</v>
      </c>
      <c r="R1337" s="67">
        <f>ROUND(+P1337*D1337,4)</f>
        <v>0</v>
      </c>
      <c r="S1337" s="67">
        <f>ROUND(IF(K1337=0,0,M1337*D1337),4)</f>
        <v>0</v>
      </c>
      <c r="T1337" s="67">
        <f>ROUND(+IF(K1337=0,Q1337*D1337,0),4)</f>
        <v>0</v>
      </c>
      <c r="U1337" s="67">
        <f>ROUND(+N1337+R1337+S1337+T1337,4)</f>
        <v>0</v>
      </c>
      <c r="V1337" s="67">
        <f>ROUND(IF(P1337=0,0,I1337-H1337-O1337)+IF(L1337=0,0,I1337-H1337-K1337),4)</f>
        <v>0</v>
      </c>
      <c r="W1337" s="67">
        <f>ROUND(+(V1337*60%)*D1337,4)</f>
        <v>0</v>
      </c>
      <c r="X1337" s="148">
        <f>ROUND(+U1337+W1337,4)</f>
        <v>0</v>
      </c>
      <c r="Y1337" s="68"/>
      <c r="Z1337" s="148">
        <f>ROUND(IF(X1337&gt;I1337,X1337,I1337),4)</f>
        <v>0</v>
      </c>
      <c r="AD1337" s="78">
        <f t="shared" si="18"/>
        <v>0</v>
      </c>
      <c r="AE1337" s="78">
        <f t="shared" si="19"/>
        <v>0</v>
      </c>
    </row>
    <row r="1338" spans="1:31" x14ac:dyDescent="0.2">
      <c r="A1338" s="66"/>
      <c r="B1338" s="66"/>
      <c r="C1338" s="66"/>
      <c r="D1338" s="144"/>
      <c r="E1338" s="67"/>
      <c r="F1338" s="67"/>
      <c r="G1338" s="67"/>
      <c r="H1338" s="67">
        <f>ROUND(+E1338+G1338,4)</f>
        <v>0</v>
      </c>
      <c r="I1338" s="67"/>
      <c r="J1338" s="67">
        <f>ROUND(+I1338-H1338,4)</f>
        <v>0</v>
      </c>
      <c r="K1338" s="67">
        <f>ROUND(IF(F1338="alluminio",0,I1338*1.5%),4)</f>
        <v>0</v>
      </c>
      <c r="L1338" s="67">
        <f>ROUND(IF(K1338&lt;J1338,K1338,0),4)</f>
        <v>0</v>
      </c>
      <c r="M1338" s="67">
        <f>ROUND(IF(J1338&gt;K1338,0,J1338),4)</f>
        <v>0</v>
      </c>
      <c r="N1338" s="67">
        <f>ROUND(+L1338*D1338,4)</f>
        <v>0</v>
      </c>
      <c r="O1338" s="67">
        <f>ROUND(IF(F1338="rame",0,+I1338*3%),4)</f>
        <v>0</v>
      </c>
      <c r="P1338" s="67">
        <f>ROUND(IF(O1338&lt;J1338,O1338,0),4)</f>
        <v>0</v>
      </c>
      <c r="Q1338" s="67">
        <f>ROUND(IF(J1338&gt;O1338,0,J1338),4)</f>
        <v>0</v>
      </c>
      <c r="R1338" s="67">
        <f>ROUND(+P1338*D1338,4)</f>
        <v>0</v>
      </c>
      <c r="S1338" s="67">
        <f>ROUND(IF(K1338=0,0,M1338*D1338),4)</f>
        <v>0</v>
      </c>
      <c r="T1338" s="67">
        <f>ROUND(+IF(K1338=0,Q1338*D1338,0),4)</f>
        <v>0</v>
      </c>
      <c r="U1338" s="67">
        <f>ROUND(+N1338+R1338+S1338+T1338,4)</f>
        <v>0</v>
      </c>
      <c r="V1338" s="67">
        <f>ROUND(IF(P1338=0,0,I1338-H1338-O1338)+IF(L1338=0,0,I1338-H1338-K1338),4)</f>
        <v>0</v>
      </c>
      <c r="W1338" s="67">
        <f>ROUND(+(V1338*60%)*D1338,4)</f>
        <v>0</v>
      </c>
      <c r="X1338" s="148">
        <f>ROUND(+U1338+W1338,4)</f>
        <v>0</v>
      </c>
      <c r="Y1338" s="68"/>
      <c r="Z1338" s="148">
        <f>ROUND(IF(X1338&gt;I1338,X1338,I1338),4)</f>
        <v>0</v>
      </c>
      <c r="AD1338" s="78">
        <f t="shared" si="18"/>
        <v>0</v>
      </c>
      <c r="AE1338" s="78">
        <f t="shared" si="19"/>
        <v>0</v>
      </c>
    </row>
    <row r="1339" spans="1:31" x14ac:dyDescent="0.2">
      <c r="A1339" s="66"/>
      <c r="B1339" s="66"/>
      <c r="C1339" s="66"/>
      <c r="D1339" s="144"/>
      <c r="E1339" s="67"/>
      <c r="F1339" s="67"/>
      <c r="G1339" s="67"/>
      <c r="H1339" s="67">
        <f>ROUND(+E1339+G1339,4)</f>
        <v>0</v>
      </c>
      <c r="I1339" s="67"/>
      <c r="J1339" s="67">
        <f>ROUND(+I1339-H1339,4)</f>
        <v>0</v>
      </c>
      <c r="K1339" s="67">
        <f>ROUND(IF(F1339="alluminio",0,I1339*1.5%),4)</f>
        <v>0</v>
      </c>
      <c r="L1339" s="67">
        <f>ROUND(IF(K1339&lt;J1339,K1339,0),4)</f>
        <v>0</v>
      </c>
      <c r="M1339" s="67">
        <f>ROUND(IF(J1339&gt;K1339,0,J1339),4)</f>
        <v>0</v>
      </c>
      <c r="N1339" s="67">
        <f>ROUND(+L1339*D1339,4)</f>
        <v>0</v>
      </c>
      <c r="O1339" s="67">
        <f>ROUND(IF(F1339="rame",0,+I1339*3%),4)</f>
        <v>0</v>
      </c>
      <c r="P1339" s="67">
        <f>ROUND(IF(O1339&lt;J1339,O1339,0),4)</f>
        <v>0</v>
      </c>
      <c r="Q1339" s="67">
        <f>ROUND(IF(J1339&gt;O1339,0,J1339),4)</f>
        <v>0</v>
      </c>
      <c r="R1339" s="67">
        <f>ROUND(+P1339*D1339,4)</f>
        <v>0</v>
      </c>
      <c r="S1339" s="67">
        <f>ROUND(IF(K1339=0,0,M1339*D1339),4)</f>
        <v>0</v>
      </c>
      <c r="T1339" s="67">
        <f>ROUND(+IF(K1339=0,Q1339*D1339,0),4)</f>
        <v>0</v>
      </c>
      <c r="U1339" s="67">
        <f>ROUND(+N1339+R1339+S1339+T1339,4)</f>
        <v>0</v>
      </c>
      <c r="V1339" s="67">
        <f>ROUND(IF(P1339=0,0,I1339-H1339-O1339)+IF(L1339=0,0,I1339-H1339-K1339),4)</f>
        <v>0</v>
      </c>
      <c r="W1339" s="67">
        <f>ROUND(+(V1339*60%)*D1339,4)</f>
        <v>0</v>
      </c>
      <c r="X1339" s="148">
        <f>ROUND(+U1339+W1339,4)</f>
        <v>0</v>
      </c>
      <c r="Y1339" s="68"/>
      <c r="Z1339" s="148">
        <f>ROUND(IF(X1339&gt;I1339,X1339,I1339),4)</f>
        <v>0</v>
      </c>
      <c r="AD1339" s="78">
        <f t="shared" si="18"/>
        <v>0</v>
      </c>
      <c r="AE1339" s="78">
        <f t="shared" si="19"/>
        <v>0</v>
      </c>
    </row>
    <row r="1340" spans="1:31" x14ac:dyDescent="0.2">
      <c r="A1340" s="66"/>
      <c r="B1340" s="66"/>
      <c r="C1340" s="66"/>
      <c r="D1340" s="144"/>
      <c r="E1340" s="67"/>
      <c r="F1340" s="67"/>
      <c r="G1340" s="67"/>
      <c r="H1340" s="67">
        <f>ROUND(+E1340+G1340,4)</f>
        <v>0</v>
      </c>
      <c r="I1340" s="67"/>
      <c r="J1340" s="67">
        <f>ROUND(+I1340-H1340,4)</f>
        <v>0</v>
      </c>
      <c r="K1340" s="67">
        <f>ROUND(IF(F1340="alluminio",0,I1340*1.5%),4)</f>
        <v>0</v>
      </c>
      <c r="L1340" s="67">
        <f>ROUND(IF(K1340&lt;J1340,K1340,0),4)</f>
        <v>0</v>
      </c>
      <c r="M1340" s="67">
        <f>ROUND(IF(J1340&gt;K1340,0,J1340),4)</f>
        <v>0</v>
      </c>
      <c r="N1340" s="67">
        <f>ROUND(+L1340*D1340,4)</f>
        <v>0</v>
      </c>
      <c r="O1340" s="67">
        <f>ROUND(IF(F1340="rame",0,+I1340*3%),4)</f>
        <v>0</v>
      </c>
      <c r="P1340" s="67">
        <f>ROUND(IF(O1340&lt;J1340,O1340,0),4)</f>
        <v>0</v>
      </c>
      <c r="Q1340" s="67">
        <f>ROUND(IF(J1340&gt;O1340,0,J1340),4)</f>
        <v>0</v>
      </c>
      <c r="R1340" s="67">
        <f>ROUND(+P1340*D1340,4)</f>
        <v>0</v>
      </c>
      <c r="S1340" s="67">
        <f>ROUND(IF(K1340=0,0,M1340*D1340),4)</f>
        <v>0</v>
      </c>
      <c r="T1340" s="67">
        <f>ROUND(+IF(K1340=0,Q1340*D1340,0),4)</f>
        <v>0</v>
      </c>
      <c r="U1340" s="67">
        <f>ROUND(+N1340+R1340+S1340+T1340,4)</f>
        <v>0</v>
      </c>
      <c r="V1340" s="67">
        <f>ROUND(IF(P1340=0,0,I1340-H1340-O1340)+IF(L1340=0,0,I1340-H1340-K1340),4)</f>
        <v>0</v>
      </c>
      <c r="W1340" s="67">
        <f>ROUND(+(V1340*60%)*D1340,4)</f>
        <v>0</v>
      </c>
      <c r="X1340" s="148">
        <f>ROUND(+U1340+W1340,4)</f>
        <v>0</v>
      </c>
      <c r="Y1340" s="68"/>
      <c r="Z1340" s="148">
        <f>ROUND(IF(X1340&gt;I1340,X1340,I1340),4)</f>
        <v>0</v>
      </c>
      <c r="AD1340" s="78">
        <f t="shared" si="18"/>
        <v>0</v>
      </c>
      <c r="AE1340" s="78">
        <f t="shared" si="19"/>
        <v>0</v>
      </c>
    </row>
    <row r="1341" spans="1:31" x14ac:dyDescent="0.2">
      <c r="A1341" s="66"/>
      <c r="B1341" s="66"/>
      <c r="C1341" s="66"/>
      <c r="D1341" s="144"/>
      <c r="E1341" s="67"/>
      <c r="F1341" s="67"/>
      <c r="G1341" s="67"/>
      <c r="H1341" s="67">
        <f>ROUND(+E1341+G1341,4)</f>
        <v>0</v>
      </c>
      <c r="I1341" s="67"/>
      <c r="J1341" s="67">
        <f>ROUND(+I1341-H1341,4)</f>
        <v>0</v>
      </c>
      <c r="K1341" s="67">
        <f>ROUND(IF(F1341="alluminio",0,I1341*1.5%),4)</f>
        <v>0</v>
      </c>
      <c r="L1341" s="67">
        <f>ROUND(IF(K1341&lt;J1341,K1341,0),4)</f>
        <v>0</v>
      </c>
      <c r="M1341" s="67">
        <f>ROUND(IF(J1341&gt;K1341,0,J1341),4)</f>
        <v>0</v>
      </c>
      <c r="N1341" s="67">
        <f>ROUND(+L1341*D1341,4)</f>
        <v>0</v>
      </c>
      <c r="O1341" s="67">
        <f>ROUND(IF(F1341="rame",0,+I1341*3%),4)</f>
        <v>0</v>
      </c>
      <c r="P1341" s="67">
        <f>ROUND(IF(O1341&lt;J1341,O1341,0),4)</f>
        <v>0</v>
      </c>
      <c r="Q1341" s="67">
        <f>ROUND(IF(J1341&gt;O1341,0,J1341),4)</f>
        <v>0</v>
      </c>
      <c r="R1341" s="67">
        <f>ROUND(+P1341*D1341,4)</f>
        <v>0</v>
      </c>
      <c r="S1341" s="67">
        <f>ROUND(IF(K1341=0,0,M1341*D1341),4)</f>
        <v>0</v>
      </c>
      <c r="T1341" s="67">
        <f>ROUND(+IF(K1341=0,Q1341*D1341,0),4)</f>
        <v>0</v>
      </c>
      <c r="U1341" s="67">
        <f>ROUND(+N1341+R1341+S1341+T1341,4)</f>
        <v>0</v>
      </c>
      <c r="V1341" s="67">
        <f>ROUND(IF(P1341=0,0,I1341-H1341-O1341)+IF(L1341=0,0,I1341-H1341-K1341),4)</f>
        <v>0</v>
      </c>
      <c r="W1341" s="67">
        <f>ROUND(+(V1341*60%)*D1341,4)</f>
        <v>0</v>
      </c>
      <c r="X1341" s="148">
        <f>ROUND(+U1341+W1341,4)</f>
        <v>0</v>
      </c>
      <c r="Y1341" s="68"/>
      <c r="Z1341" s="148">
        <f>ROUND(IF(X1341&gt;I1341,X1341,I1341),4)</f>
        <v>0</v>
      </c>
      <c r="AD1341" s="78">
        <f t="shared" si="18"/>
        <v>0</v>
      </c>
      <c r="AE1341" s="78">
        <f t="shared" si="19"/>
        <v>0</v>
      </c>
    </row>
    <row r="1342" spans="1:31" x14ac:dyDescent="0.2">
      <c r="A1342" s="66"/>
      <c r="B1342" s="66"/>
      <c r="C1342" s="66"/>
      <c r="D1342" s="144"/>
      <c r="E1342" s="67"/>
      <c r="F1342" s="67"/>
      <c r="G1342" s="67"/>
      <c r="H1342" s="67">
        <f>ROUND(+E1342+G1342,4)</f>
        <v>0</v>
      </c>
      <c r="I1342" s="67"/>
      <c r="J1342" s="67">
        <f>ROUND(+I1342-H1342,4)</f>
        <v>0</v>
      </c>
      <c r="K1342" s="67">
        <f>ROUND(IF(F1342="alluminio",0,I1342*1.5%),4)</f>
        <v>0</v>
      </c>
      <c r="L1342" s="67">
        <f>ROUND(IF(K1342&lt;J1342,K1342,0),4)</f>
        <v>0</v>
      </c>
      <c r="M1342" s="67">
        <f>ROUND(IF(J1342&gt;K1342,0,J1342),4)</f>
        <v>0</v>
      </c>
      <c r="N1342" s="67">
        <f>ROUND(+L1342*D1342,4)</f>
        <v>0</v>
      </c>
      <c r="O1342" s="67">
        <f>ROUND(IF(F1342="rame",0,+I1342*3%),4)</f>
        <v>0</v>
      </c>
      <c r="P1342" s="67">
        <f>ROUND(IF(O1342&lt;J1342,O1342,0),4)</f>
        <v>0</v>
      </c>
      <c r="Q1342" s="67">
        <f>ROUND(IF(J1342&gt;O1342,0,J1342),4)</f>
        <v>0</v>
      </c>
      <c r="R1342" s="67">
        <f>ROUND(+P1342*D1342,4)</f>
        <v>0</v>
      </c>
      <c r="S1342" s="67">
        <f>ROUND(IF(K1342=0,0,M1342*D1342),4)</f>
        <v>0</v>
      </c>
      <c r="T1342" s="67">
        <f>ROUND(+IF(K1342=0,Q1342*D1342,0),4)</f>
        <v>0</v>
      </c>
      <c r="U1342" s="67">
        <f>ROUND(+N1342+R1342+S1342+T1342,4)</f>
        <v>0</v>
      </c>
      <c r="V1342" s="67">
        <f>ROUND(IF(P1342=0,0,I1342-H1342-O1342)+IF(L1342=0,0,I1342-H1342-K1342),4)</f>
        <v>0</v>
      </c>
      <c r="W1342" s="67">
        <f>ROUND(+(V1342*60%)*D1342,4)</f>
        <v>0</v>
      </c>
      <c r="X1342" s="148">
        <f>ROUND(+U1342+W1342,4)</f>
        <v>0</v>
      </c>
      <c r="Y1342" s="68"/>
      <c r="Z1342" s="148">
        <f>ROUND(IF(X1342&gt;I1342,X1342,I1342),4)</f>
        <v>0</v>
      </c>
      <c r="AD1342" s="78">
        <f t="shared" ref="AD1342:AD1405" si="20">IF(Y1342="",0,MONTH(Y1342))</f>
        <v>0</v>
      </c>
      <c r="AE1342" s="78">
        <f t="shared" ref="AE1342:AE1405" si="21">IF(Y1342="",0,YEAR(Y1342))</f>
        <v>0</v>
      </c>
    </row>
    <row r="1343" spans="1:31" x14ac:dyDescent="0.2">
      <c r="A1343" s="66"/>
      <c r="B1343" s="66"/>
      <c r="C1343" s="66"/>
      <c r="D1343" s="144"/>
      <c r="E1343" s="67"/>
      <c r="F1343" s="67"/>
      <c r="G1343" s="67"/>
      <c r="H1343" s="67">
        <f>ROUND(+E1343+G1343,4)</f>
        <v>0</v>
      </c>
      <c r="I1343" s="67"/>
      <c r="J1343" s="67">
        <f>ROUND(+I1343-H1343,4)</f>
        <v>0</v>
      </c>
      <c r="K1343" s="67">
        <f>ROUND(IF(F1343="alluminio",0,I1343*1.5%),4)</f>
        <v>0</v>
      </c>
      <c r="L1343" s="67">
        <f>ROUND(IF(K1343&lt;J1343,K1343,0),4)</f>
        <v>0</v>
      </c>
      <c r="M1343" s="67">
        <f>ROUND(IF(J1343&gt;K1343,0,J1343),4)</f>
        <v>0</v>
      </c>
      <c r="N1343" s="67">
        <f>ROUND(+L1343*D1343,4)</f>
        <v>0</v>
      </c>
      <c r="O1343" s="67">
        <f>ROUND(IF(F1343="rame",0,+I1343*3%),4)</f>
        <v>0</v>
      </c>
      <c r="P1343" s="67">
        <f>ROUND(IF(O1343&lt;J1343,O1343,0),4)</f>
        <v>0</v>
      </c>
      <c r="Q1343" s="67">
        <f>ROUND(IF(J1343&gt;O1343,0,J1343),4)</f>
        <v>0</v>
      </c>
      <c r="R1343" s="67">
        <f>ROUND(+P1343*D1343,4)</f>
        <v>0</v>
      </c>
      <c r="S1343" s="67">
        <f>ROUND(IF(K1343=0,0,M1343*D1343),4)</f>
        <v>0</v>
      </c>
      <c r="T1343" s="67">
        <f>ROUND(+IF(K1343=0,Q1343*D1343,0),4)</f>
        <v>0</v>
      </c>
      <c r="U1343" s="67">
        <f>ROUND(+N1343+R1343+S1343+T1343,4)</f>
        <v>0</v>
      </c>
      <c r="V1343" s="67">
        <f>ROUND(IF(P1343=0,0,I1343-H1343-O1343)+IF(L1343=0,0,I1343-H1343-K1343),4)</f>
        <v>0</v>
      </c>
      <c r="W1343" s="67">
        <f>ROUND(+(V1343*60%)*D1343,4)</f>
        <v>0</v>
      </c>
      <c r="X1343" s="148">
        <f>ROUND(+U1343+W1343,4)</f>
        <v>0</v>
      </c>
      <c r="Y1343" s="68"/>
      <c r="Z1343" s="148">
        <f>ROUND(IF(X1343&gt;I1343,X1343,I1343),4)</f>
        <v>0</v>
      </c>
      <c r="AD1343" s="78">
        <f t="shared" si="20"/>
        <v>0</v>
      </c>
      <c r="AE1343" s="78">
        <f t="shared" si="21"/>
        <v>0</v>
      </c>
    </row>
    <row r="1344" spans="1:31" x14ac:dyDescent="0.2">
      <c r="A1344" s="66"/>
      <c r="B1344" s="66"/>
      <c r="C1344" s="66"/>
      <c r="D1344" s="144"/>
      <c r="E1344" s="67"/>
      <c r="F1344" s="67"/>
      <c r="G1344" s="67"/>
      <c r="H1344" s="67">
        <f>ROUND(+E1344+G1344,4)</f>
        <v>0</v>
      </c>
      <c r="I1344" s="67"/>
      <c r="J1344" s="67">
        <f>ROUND(+I1344-H1344,4)</f>
        <v>0</v>
      </c>
      <c r="K1344" s="67">
        <f>ROUND(IF(F1344="alluminio",0,I1344*1.5%),4)</f>
        <v>0</v>
      </c>
      <c r="L1344" s="67">
        <f>ROUND(IF(K1344&lt;J1344,K1344,0),4)</f>
        <v>0</v>
      </c>
      <c r="M1344" s="67">
        <f>ROUND(IF(J1344&gt;K1344,0,J1344),4)</f>
        <v>0</v>
      </c>
      <c r="N1344" s="67">
        <f>ROUND(+L1344*D1344,4)</f>
        <v>0</v>
      </c>
      <c r="O1344" s="67">
        <f>ROUND(IF(F1344="rame",0,+I1344*3%),4)</f>
        <v>0</v>
      </c>
      <c r="P1344" s="67">
        <f>ROUND(IF(O1344&lt;J1344,O1344,0),4)</f>
        <v>0</v>
      </c>
      <c r="Q1344" s="67">
        <f>ROUND(IF(J1344&gt;O1344,0,J1344),4)</f>
        <v>0</v>
      </c>
      <c r="R1344" s="67">
        <f>ROUND(+P1344*D1344,4)</f>
        <v>0</v>
      </c>
      <c r="S1344" s="67">
        <f>ROUND(IF(K1344=0,0,M1344*D1344),4)</f>
        <v>0</v>
      </c>
      <c r="T1344" s="67">
        <f>ROUND(+IF(K1344=0,Q1344*D1344,0),4)</f>
        <v>0</v>
      </c>
      <c r="U1344" s="67">
        <f>ROUND(+N1344+R1344+S1344+T1344,4)</f>
        <v>0</v>
      </c>
      <c r="V1344" s="67">
        <f>ROUND(IF(P1344=0,0,I1344-H1344-O1344)+IF(L1344=0,0,I1344-H1344-K1344),4)</f>
        <v>0</v>
      </c>
      <c r="W1344" s="67">
        <f>ROUND(+(V1344*60%)*D1344,4)</f>
        <v>0</v>
      </c>
      <c r="X1344" s="148">
        <f>ROUND(+U1344+W1344,4)</f>
        <v>0</v>
      </c>
      <c r="Y1344" s="68"/>
      <c r="Z1344" s="148">
        <f>ROUND(IF(X1344&gt;I1344,X1344,I1344),4)</f>
        <v>0</v>
      </c>
      <c r="AD1344" s="78">
        <f t="shared" si="20"/>
        <v>0</v>
      </c>
      <c r="AE1344" s="78">
        <f t="shared" si="21"/>
        <v>0</v>
      </c>
    </row>
    <row r="1345" spans="1:31" x14ac:dyDescent="0.2">
      <c r="A1345" s="66"/>
      <c r="B1345" s="66"/>
      <c r="C1345" s="66"/>
      <c r="D1345" s="144"/>
      <c r="E1345" s="67"/>
      <c r="F1345" s="67"/>
      <c r="G1345" s="67"/>
      <c r="H1345" s="67">
        <f>ROUND(+E1345+G1345,4)</f>
        <v>0</v>
      </c>
      <c r="I1345" s="67"/>
      <c r="J1345" s="67">
        <f>ROUND(+I1345-H1345,4)</f>
        <v>0</v>
      </c>
      <c r="K1345" s="67">
        <f>ROUND(IF(F1345="alluminio",0,I1345*1.5%),4)</f>
        <v>0</v>
      </c>
      <c r="L1345" s="67">
        <f>ROUND(IF(K1345&lt;J1345,K1345,0),4)</f>
        <v>0</v>
      </c>
      <c r="M1345" s="67">
        <f>ROUND(IF(J1345&gt;K1345,0,J1345),4)</f>
        <v>0</v>
      </c>
      <c r="N1345" s="67">
        <f>ROUND(+L1345*D1345,4)</f>
        <v>0</v>
      </c>
      <c r="O1345" s="67">
        <f>ROUND(IF(F1345="rame",0,+I1345*3%),4)</f>
        <v>0</v>
      </c>
      <c r="P1345" s="67">
        <f>ROUND(IF(O1345&lt;J1345,O1345,0),4)</f>
        <v>0</v>
      </c>
      <c r="Q1345" s="67">
        <f>ROUND(IF(J1345&gt;O1345,0,J1345),4)</f>
        <v>0</v>
      </c>
      <c r="R1345" s="67">
        <f>ROUND(+P1345*D1345,4)</f>
        <v>0</v>
      </c>
      <c r="S1345" s="67">
        <f>ROUND(IF(K1345=0,0,M1345*D1345),4)</f>
        <v>0</v>
      </c>
      <c r="T1345" s="67">
        <f>ROUND(+IF(K1345=0,Q1345*D1345,0),4)</f>
        <v>0</v>
      </c>
      <c r="U1345" s="67">
        <f>ROUND(+N1345+R1345+S1345+T1345,4)</f>
        <v>0</v>
      </c>
      <c r="V1345" s="67">
        <f>ROUND(IF(P1345=0,0,I1345-H1345-O1345)+IF(L1345=0,0,I1345-H1345-K1345),4)</f>
        <v>0</v>
      </c>
      <c r="W1345" s="67">
        <f>ROUND(+(V1345*60%)*D1345,4)</f>
        <v>0</v>
      </c>
      <c r="X1345" s="148">
        <f>ROUND(+U1345+W1345,4)</f>
        <v>0</v>
      </c>
      <c r="Y1345" s="68"/>
      <c r="Z1345" s="148">
        <f>ROUND(IF(X1345&gt;I1345,X1345,I1345),4)</f>
        <v>0</v>
      </c>
      <c r="AD1345" s="78">
        <f t="shared" si="20"/>
        <v>0</v>
      </c>
      <c r="AE1345" s="78">
        <f t="shared" si="21"/>
        <v>0</v>
      </c>
    </row>
    <row r="1346" spans="1:31" x14ac:dyDescent="0.2">
      <c r="A1346" s="66"/>
      <c r="B1346" s="66"/>
      <c r="C1346" s="66"/>
      <c r="D1346" s="144"/>
      <c r="E1346" s="67"/>
      <c r="F1346" s="67"/>
      <c r="G1346" s="67"/>
      <c r="H1346" s="67">
        <f>ROUND(+E1346+G1346,4)</f>
        <v>0</v>
      </c>
      <c r="I1346" s="67"/>
      <c r="J1346" s="67">
        <f>ROUND(+I1346-H1346,4)</f>
        <v>0</v>
      </c>
      <c r="K1346" s="67">
        <f>ROUND(IF(F1346="alluminio",0,I1346*1.5%),4)</f>
        <v>0</v>
      </c>
      <c r="L1346" s="67">
        <f>ROUND(IF(K1346&lt;J1346,K1346,0),4)</f>
        <v>0</v>
      </c>
      <c r="M1346" s="67">
        <f>ROUND(IF(J1346&gt;K1346,0,J1346),4)</f>
        <v>0</v>
      </c>
      <c r="N1346" s="67">
        <f>ROUND(+L1346*D1346,4)</f>
        <v>0</v>
      </c>
      <c r="O1346" s="67">
        <f>ROUND(IF(F1346="rame",0,+I1346*3%),4)</f>
        <v>0</v>
      </c>
      <c r="P1346" s="67">
        <f>ROUND(IF(O1346&lt;J1346,O1346,0),4)</f>
        <v>0</v>
      </c>
      <c r="Q1346" s="67">
        <f>ROUND(IF(J1346&gt;O1346,0,J1346),4)</f>
        <v>0</v>
      </c>
      <c r="R1346" s="67">
        <f>ROUND(+P1346*D1346,4)</f>
        <v>0</v>
      </c>
      <c r="S1346" s="67">
        <f>ROUND(IF(K1346=0,0,M1346*D1346),4)</f>
        <v>0</v>
      </c>
      <c r="T1346" s="67">
        <f>ROUND(+IF(K1346=0,Q1346*D1346,0),4)</f>
        <v>0</v>
      </c>
      <c r="U1346" s="67">
        <f>ROUND(+N1346+R1346+S1346+T1346,4)</f>
        <v>0</v>
      </c>
      <c r="V1346" s="67">
        <f>ROUND(IF(P1346=0,0,I1346-H1346-O1346)+IF(L1346=0,0,I1346-H1346-K1346),4)</f>
        <v>0</v>
      </c>
      <c r="W1346" s="67">
        <f>ROUND(+(V1346*60%)*D1346,4)</f>
        <v>0</v>
      </c>
      <c r="X1346" s="148">
        <f>ROUND(+U1346+W1346,4)</f>
        <v>0</v>
      </c>
      <c r="Y1346" s="68"/>
      <c r="Z1346" s="148">
        <f>ROUND(IF(X1346&gt;I1346,X1346,I1346),4)</f>
        <v>0</v>
      </c>
      <c r="AD1346" s="78">
        <f t="shared" si="20"/>
        <v>0</v>
      </c>
      <c r="AE1346" s="78">
        <f t="shared" si="21"/>
        <v>0</v>
      </c>
    </row>
    <row r="1347" spans="1:31" x14ac:dyDescent="0.2">
      <c r="A1347" s="66"/>
      <c r="B1347" s="66"/>
      <c r="C1347" s="66"/>
      <c r="D1347" s="144"/>
      <c r="E1347" s="67"/>
      <c r="F1347" s="67"/>
      <c r="G1347" s="67"/>
      <c r="H1347" s="67">
        <f>ROUND(+E1347+G1347,4)</f>
        <v>0</v>
      </c>
      <c r="I1347" s="67"/>
      <c r="J1347" s="67">
        <f>ROUND(+I1347-H1347,4)</f>
        <v>0</v>
      </c>
      <c r="K1347" s="67">
        <f>ROUND(IF(F1347="alluminio",0,I1347*1.5%),4)</f>
        <v>0</v>
      </c>
      <c r="L1347" s="67">
        <f>ROUND(IF(K1347&lt;J1347,K1347,0),4)</f>
        <v>0</v>
      </c>
      <c r="M1347" s="67">
        <f>ROUND(IF(J1347&gt;K1347,0,J1347),4)</f>
        <v>0</v>
      </c>
      <c r="N1347" s="67">
        <f>ROUND(+L1347*D1347,4)</f>
        <v>0</v>
      </c>
      <c r="O1347" s="67">
        <f>ROUND(IF(F1347="rame",0,+I1347*3%),4)</f>
        <v>0</v>
      </c>
      <c r="P1347" s="67">
        <f>ROUND(IF(O1347&lt;J1347,O1347,0),4)</f>
        <v>0</v>
      </c>
      <c r="Q1347" s="67">
        <f>ROUND(IF(J1347&gt;O1347,0,J1347),4)</f>
        <v>0</v>
      </c>
      <c r="R1347" s="67">
        <f>ROUND(+P1347*D1347,4)</f>
        <v>0</v>
      </c>
      <c r="S1347" s="67">
        <f>ROUND(IF(K1347=0,0,M1347*D1347),4)</f>
        <v>0</v>
      </c>
      <c r="T1347" s="67">
        <f>ROUND(+IF(K1347=0,Q1347*D1347,0),4)</f>
        <v>0</v>
      </c>
      <c r="U1347" s="67">
        <f>ROUND(+N1347+R1347+S1347+T1347,4)</f>
        <v>0</v>
      </c>
      <c r="V1347" s="67">
        <f>ROUND(IF(P1347=0,0,I1347-H1347-O1347)+IF(L1347=0,0,I1347-H1347-K1347),4)</f>
        <v>0</v>
      </c>
      <c r="W1347" s="67">
        <f>ROUND(+(V1347*60%)*D1347,4)</f>
        <v>0</v>
      </c>
      <c r="X1347" s="148">
        <f>ROUND(+U1347+W1347,4)</f>
        <v>0</v>
      </c>
      <c r="Y1347" s="68"/>
      <c r="Z1347" s="148">
        <f>ROUND(IF(X1347&gt;I1347,X1347,I1347),4)</f>
        <v>0</v>
      </c>
      <c r="AD1347" s="78">
        <f t="shared" si="20"/>
        <v>0</v>
      </c>
      <c r="AE1347" s="78">
        <f t="shared" si="21"/>
        <v>0</v>
      </c>
    </row>
    <row r="1348" spans="1:31" x14ac:dyDescent="0.2">
      <c r="A1348" s="66"/>
      <c r="B1348" s="66"/>
      <c r="C1348" s="66"/>
      <c r="D1348" s="144"/>
      <c r="E1348" s="67"/>
      <c r="F1348" s="67"/>
      <c r="G1348" s="67"/>
      <c r="H1348" s="67">
        <f>ROUND(+E1348+G1348,4)</f>
        <v>0</v>
      </c>
      <c r="I1348" s="67"/>
      <c r="J1348" s="67">
        <f>ROUND(+I1348-H1348,4)</f>
        <v>0</v>
      </c>
      <c r="K1348" s="67">
        <f>ROUND(IF(F1348="alluminio",0,I1348*1.5%),4)</f>
        <v>0</v>
      </c>
      <c r="L1348" s="67">
        <f>ROUND(IF(K1348&lt;J1348,K1348,0),4)</f>
        <v>0</v>
      </c>
      <c r="M1348" s="67">
        <f>ROUND(IF(J1348&gt;K1348,0,J1348),4)</f>
        <v>0</v>
      </c>
      <c r="N1348" s="67">
        <f>ROUND(+L1348*D1348,4)</f>
        <v>0</v>
      </c>
      <c r="O1348" s="67">
        <f>ROUND(IF(F1348="rame",0,+I1348*3%),4)</f>
        <v>0</v>
      </c>
      <c r="P1348" s="67">
        <f>ROUND(IF(O1348&lt;J1348,O1348,0),4)</f>
        <v>0</v>
      </c>
      <c r="Q1348" s="67">
        <f>ROUND(IF(J1348&gt;O1348,0,J1348),4)</f>
        <v>0</v>
      </c>
      <c r="R1348" s="67">
        <f>ROUND(+P1348*D1348,4)</f>
        <v>0</v>
      </c>
      <c r="S1348" s="67">
        <f>ROUND(IF(K1348=0,0,M1348*D1348),4)</f>
        <v>0</v>
      </c>
      <c r="T1348" s="67">
        <f>ROUND(+IF(K1348=0,Q1348*D1348,0),4)</f>
        <v>0</v>
      </c>
      <c r="U1348" s="67">
        <f>ROUND(+N1348+R1348+S1348+T1348,4)</f>
        <v>0</v>
      </c>
      <c r="V1348" s="67">
        <f>ROUND(IF(P1348=0,0,I1348-H1348-O1348)+IF(L1348=0,0,I1348-H1348-K1348),4)</f>
        <v>0</v>
      </c>
      <c r="W1348" s="67">
        <f>ROUND(+(V1348*60%)*D1348,4)</f>
        <v>0</v>
      </c>
      <c r="X1348" s="148">
        <f>ROUND(+U1348+W1348,4)</f>
        <v>0</v>
      </c>
      <c r="Y1348" s="68"/>
      <c r="Z1348" s="148">
        <f>ROUND(IF(X1348&gt;I1348,X1348,I1348),4)</f>
        <v>0</v>
      </c>
      <c r="AD1348" s="78">
        <f t="shared" si="20"/>
        <v>0</v>
      </c>
      <c r="AE1348" s="78">
        <f t="shared" si="21"/>
        <v>0</v>
      </c>
    </row>
    <row r="1349" spans="1:31" x14ac:dyDescent="0.2">
      <c r="A1349" s="66"/>
      <c r="B1349" s="66"/>
      <c r="C1349" s="66"/>
      <c r="D1349" s="144"/>
      <c r="E1349" s="67"/>
      <c r="F1349" s="67"/>
      <c r="G1349" s="67"/>
      <c r="H1349" s="67">
        <f>ROUND(+E1349+G1349,4)</f>
        <v>0</v>
      </c>
      <c r="I1349" s="67"/>
      <c r="J1349" s="67">
        <f>ROUND(+I1349-H1349,4)</f>
        <v>0</v>
      </c>
      <c r="K1349" s="67">
        <f>ROUND(IF(F1349="alluminio",0,I1349*1.5%),4)</f>
        <v>0</v>
      </c>
      <c r="L1349" s="67">
        <f>ROUND(IF(K1349&lt;J1349,K1349,0),4)</f>
        <v>0</v>
      </c>
      <c r="M1349" s="67">
        <f>ROUND(IF(J1349&gt;K1349,0,J1349),4)</f>
        <v>0</v>
      </c>
      <c r="N1349" s="67">
        <f>ROUND(+L1349*D1349,4)</f>
        <v>0</v>
      </c>
      <c r="O1349" s="67">
        <f>ROUND(IF(F1349="rame",0,+I1349*3%),4)</f>
        <v>0</v>
      </c>
      <c r="P1349" s="67">
        <f>ROUND(IF(O1349&lt;J1349,O1349,0),4)</f>
        <v>0</v>
      </c>
      <c r="Q1349" s="67">
        <f>ROUND(IF(J1349&gt;O1349,0,J1349),4)</f>
        <v>0</v>
      </c>
      <c r="R1349" s="67">
        <f>ROUND(+P1349*D1349,4)</f>
        <v>0</v>
      </c>
      <c r="S1349" s="67">
        <f>ROUND(IF(K1349=0,0,M1349*D1349),4)</f>
        <v>0</v>
      </c>
      <c r="T1349" s="67">
        <f>ROUND(+IF(K1349=0,Q1349*D1349,0),4)</f>
        <v>0</v>
      </c>
      <c r="U1349" s="67">
        <f>ROUND(+N1349+R1349+S1349+T1349,4)</f>
        <v>0</v>
      </c>
      <c r="V1349" s="67">
        <f>ROUND(IF(P1349=0,0,I1349-H1349-O1349)+IF(L1349=0,0,I1349-H1349-K1349),4)</f>
        <v>0</v>
      </c>
      <c r="W1349" s="67">
        <f>ROUND(+(V1349*60%)*D1349,4)</f>
        <v>0</v>
      </c>
      <c r="X1349" s="148">
        <f>ROUND(+U1349+W1349,4)</f>
        <v>0</v>
      </c>
      <c r="Y1349" s="68"/>
      <c r="Z1349" s="148">
        <f>ROUND(IF(X1349&gt;I1349,X1349,I1349),4)</f>
        <v>0</v>
      </c>
      <c r="AD1349" s="78">
        <f t="shared" si="20"/>
        <v>0</v>
      </c>
      <c r="AE1349" s="78">
        <f t="shared" si="21"/>
        <v>0</v>
      </c>
    </row>
    <row r="1350" spans="1:31" x14ac:dyDescent="0.2">
      <c r="A1350" s="66"/>
      <c r="B1350" s="66"/>
      <c r="C1350" s="66"/>
      <c r="D1350" s="144"/>
      <c r="E1350" s="67"/>
      <c r="F1350" s="67"/>
      <c r="G1350" s="67"/>
      <c r="H1350" s="67">
        <f>ROUND(+E1350+G1350,4)</f>
        <v>0</v>
      </c>
      <c r="I1350" s="67"/>
      <c r="J1350" s="67">
        <f>ROUND(+I1350-H1350,4)</f>
        <v>0</v>
      </c>
      <c r="K1350" s="67">
        <f>ROUND(IF(F1350="alluminio",0,I1350*1.5%),4)</f>
        <v>0</v>
      </c>
      <c r="L1350" s="67">
        <f>ROUND(IF(K1350&lt;J1350,K1350,0),4)</f>
        <v>0</v>
      </c>
      <c r="M1350" s="67">
        <f>ROUND(IF(J1350&gt;K1350,0,J1350),4)</f>
        <v>0</v>
      </c>
      <c r="N1350" s="67">
        <f>ROUND(+L1350*D1350,4)</f>
        <v>0</v>
      </c>
      <c r="O1350" s="67">
        <f>ROUND(IF(F1350="rame",0,+I1350*3%),4)</f>
        <v>0</v>
      </c>
      <c r="P1350" s="67">
        <f>ROUND(IF(O1350&lt;J1350,O1350,0),4)</f>
        <v>0</v>
      </c>
      <c r="Q1350" s="67">
        <f>ROUND(IF(J1350&gt;O1350,0,J1350),4)</f>
        <v>0</v>
      </c>
      <c r="R1350" s="67">
        <f>ROUND(+P1350*D1350,4)</f>
        <v>0</v>
      </c>
      <c r="S1350" s="67">
        <f>ROUND(IF(K1350=0,0,M1350*D1350),4)</f>
        <v>0</v>
      </c>
      <c r="T1350" s="67">
        <f>ROUND(+IF(K1350=0,Q1350*D1350,0),4)</f>
        <v>0</v>
      </c>
      <c r="U1350" s="67">
        <f>ROUND(+N1350+R1350+S1350+T1350,4)</f>
        <v>0</v>
      </c>
      <c r="V1350" s="67">
        <f>ROUND(IF(P1350=0,0,I1350-H1350-O1350)+IF(L1350=0,0,I1350-H1350-K1350),4)</f>
        <v>0</v>
      </c>
      <c r="W1350" s="67">
        <f>ROUND(+(V1350*60%)*D1350,4)</f>
        <v>0</v>
      </c>
      <c r="X1350" s="148">
        <f>ROUND(+U1350+W1350,4)</f>
        <v>0</v>
      </c>
      <c r="Y1350" s="68"/>
      <c r="Z1350" s="148">
        <f>ROUND(IF(X1350&gt;I1350,X1350,I1350),4)</f>
        <v>0</v>
      </c>
      <c r="AD1350" s="78">
        <f t="shared" si="20"/>
        <v>0</v>
      </c>
      <c r="AE1350" s="78">
        <f t="shared" si="21"/>
        <v>0</v>
      </c>
    </row>
    <row r="1351" spans="1:31" x14ac:dyDescent="0.2">
      <c r="A1351" s="66"/>
      <c r="B1351" s="66"/>
      <c r="C1351" s="66"/>
      <c r="D1351" s="144"/>
      <c r="E1351" s="67"/>
      <c r="F1351" s="67"/>
      <c r="G1351" s="67"/>
      <c r="H1351" s="67">
        <f>ROUND(+E1351+G1351,4)</f>
        <v>0</v>
      </c>
      <c r="I1351" s="67"/>
      <c r="J1351" s="67">
        <f>ROUND(+I1351-H1351,4)</f>
        <v>0</v>
      </c>
      <c r="K1351" s="67">
        <f>ROUND(IF(F1351="alluminio",0,I1351*1.5%),4)</f>
        <v>0</v>
      </c>
      <c r="L1351" s="67">
        <f>ROUND(IF(K1351&lt;J1351,K1351,0),4)</f>
        <v>0</v>
      </c>
      <c r="M1351" s="67">
        <f>ROUND(IF(J1351&gt;K1351,0,J1351),4)</f>
        <v>0</v>
      </c>
      <c r="N1351" s="67">
        <f>ROUND(+L1351*D1351,4)</f>
        <v>0</v>
      </c>
      <c r="O1351" s="67">
        <f>ROUND(IF(F1351="rame",0,+I1351*3%),4)</f>
        <v>0</v>
      </c>
      <c r="P1351" s="67">
        <f>ROUND(IF(O1351&lt;J1351,O1351,0),4)</f>
        <v>0</v>
      </c>
      <c r="Q1351" s="67">
        <f>ROUND(IF(J1351&gt;O1351,0,J1351),4)</f>
        <v>0</v>
      </c>
      <c r="R1351" s="67">
        <f>ROUND(+P1351*D1351,4)</f>
        <v>0</v>
      </c>
      <c r="S1351" s="67">
        <f>ROUND(IF(K1351=0,0,M1351*D1351),4)</f>
        <v>0</v>
      </c>
      <c r="T1351" s="67">
        <f>ROUND(+IF(K1351=0,Q1351*D1351,0),4)</f>
        <v>0</v>
      </c>
      <c r="U1351" s="67">
        <f>ROUND(+N1351+R1351+S1351+T1351,4)</f>
        <v>0</v>
      </c>
      <c r="V1351" s="67">
        <f>ROUND(IF(P1351=0,0,I1351-H1351-O1351)+IF(L1351=0,0,I1351-H1351-K1351),4)</f>
        <v>0</v>
      </c>
      <c r="W1351" s="67">
        <f>ROUND(+(V1351*60%)*D1351,4)</f>
        <v>0</v>
      </c>
      <c r="X1351" s="148">
        <f>ROUND(+U1351+W1351,4)</f>
        <v>0</v>
      </c>
      <c r="Y1351" s="68"/>
      <c r="Z1351" s="148">
        <f>ROUND(IF(X1351&gt;I1351,X1351,I1351),4)</f>
        <v>0</v>
      </c>
      <c r="AD1351" s="78">
        <f t="shared" si="20"/>
        <v>0</v>
      </c>
      <c r="AE1351" s="78">
        <f t="shared" si="21"/>
        <v>0</v>
      </c>
    </row>
    <row r="1352" spans="1:31" x14ac:dyDescent="0.2">
      <c r="A1352" s="66"/>
      <c r="B1352" s="66"/>
      <c r="C1352" s="66"/>
      <c r="D1352" s="144"/>
      <c r="E1352" s="67"/>
      <c r="F1352" s="67"/>
      <c r="G1352" s="67"/>
      <c r="H1352" s="67">
        <f>ROUND(+E1352+G1352,4)</f>
        <v>0</v>
      </c>
      <c r="I1352" s="67"/>
      <c r="J1352" s="67">
        <f>ROUND(+I1352-H1352,4)</f>
        <v>0</v>
      </c>
      <c r="K1352" s="67">
        <f>ROUND(IF(F1352="alluminio",0,I1352*1.5%),4)</f>
        <v>0</v>
      </c>
      <c r="L1352" s="67">
        <f>ROUND(IF(K1352&lt;J1352,K1352,0),4)</f>
        <v>0</v>
      </c>
      <c r="M1352" s="67">
        <f>ROUND(IF(J1352&gt;K1352,0,J1352),4)</f>
        <v>0</v>
      </c>
      <c r="N1352" s="67">
        <f>ROUND(+L1352*D1352,4)</f>
        <v>0</v>
      </c>
      <c r="O1352" s="67">
        <f>ROUND(IF(F1352="rame",0,+I1352*3%),4)</f>
        <v>0</v>
      </c>
      <c r="P1352" s="67">
        <f>ROUND(IF(O1352&lt;J1352,O1352,0),4)</f>
        <v>0</v>
      </c>
      <c r="Q1352" s="67">
        <f>ROUND(IF(J1352&gt;O1352,0,J1352),4)</f>
        <v>0</v>
      </c>
      <c r="R1352" s="67">
        <f>ROUND(+P1352*D1352,4)</f>
        <v>0</v>
      </c>
      <c r="S1352" s="67">
        <f>ROUND(IF(K1352=0,0,M1352*D1352),4)</f>
        <v>0</v>
      </c>
      <c r="T1352" s="67">
        <f>ROUND(+IF(K1352=0,Q1352*D1352,0),4)</f>
        <v>0</v>
      </c>
      <c r="U1352" s="67">
        <f>ROUND(+N1352+R1352+S1352+T1352,4)</f>
        <v>0</v>
      </c>
      <c r="V1352" s="67">
        <f>ROUND(IF(P1352=0,0,I1352-H1352-O1352)+IF(L1352=0,0,I1352-H1352-K1352),4)</f>
        <v>0</v>
      </c>
      <c r="W1352" s="67">
        <f>ROUND(+(V1352*60%)*D1352,4)</f>
        <v>0</v>
      </c>
      <c r="X1352" s="148">
        <f>ROUND(+U1352+W1352,4)</f>
        <v>0</v>
      </c>
      <c r="Y1352" s="68"/>
      <c r="Z1352" s="148">
        <f>ROUND(IF(X1352&gt;I1352,X1352,I1352),4)</f>
        <v>0</v>
      </c>
      <c r="AD1352" s="78">
        <f t="shared" si="20"/>
        <v>0</v>
      </c>
      <c r="AE1352" s="78">
        <f t="shared" si="21"/>
        <v>0</v>
      </c>
    </row>
    <row r="1353" spans="1:31" x14ac:dyDescent="0.2">
      <c r="A1353" s="66"/>
      <c r="B1353" s="66"/>
      <c r="C1353" s="66"/>
      <c r="D1353" s="144"/>
      <c r="E1353" s="67"/>
      <c r="F1353" s="67"/>
      <c r="G1353" s="67"/>
      <c r="H1353" s="67">
        <f>ROUND(+E1353+G1353,4)</f>
        <v>0</v>
      </c>
      <c r="I1353" s="67"/>
      <c r="J1353" s="67">
        <f>ROUND(+I1353-H1353,4)</f>
        <v>0</v>
      </c>
      <c r="K1353" s="67">
        <f>ROUND(IF(F1353="alluminio",0,I1353*1.5%),4)</f>
        <v>0</v>
      </c>
      <c r="L1353" s="67">
        <f>ROUND(IF(K1353&lt;J1353,K1353,0),4)</f>
        <v>0</v>
      </c>
      <c r="M1353" s="67">
        <f>ROUND(IF(J1353&gt;K1353,0,J1353),4)</f>
        <v>0</v>
      </c>
      <c r="N1353" s="67">
        <f>ROUND(+L1353*D1353,4)</f>
        <v>0</v>
      </c>
      <c r="O1353" s="67">
        <f>ROUND(IF(F1353="rame",0,+I1353*3%),4)</f>
        <v>0</v>
      </c>
      <c r="P1353" s="67">
        <f>ROUND(IF(O1353&lt;J1353,O1353,0),4)</f>
        <v>0</v>
      </c>
      <c r="Q1353" s="67">
        <f>ROUND(IF(J1353&gt;O1353,0,J1353),4)</f>
        <v>0</v>
      </c>
      <c r="R1353" s="67">
        <f>ROUND(+P1353*D1353,4)</f>
        <v>0</v>
      </c>
      <c r="S1353" s="67">
        <f>ROUND(IF(K1353=0,0,M1353*D1353),4)</f>
        <v>0</v>
      </c>
      <c r="T1353" s="67">
        <f>ROUND(+IF(K1353=0,Q1353*D1353,0),4)</f>
        <v>0</v>
      </c>
      <c r="U1353" s="67">
        <f>ROUND(+N1353+R1353+S1353+T1353,4)</f>
        <v>0</v>
      </c>
      <c r="V1353" s="67">
        <f>ROUND(IF(P1353=0,0,I1353-H1353-O1353)+IF(L1353=0,0,I1353-H1353-K1353),4)</f>
        <v>0</v>
      </c>
      <c r="W1353" s="67">
        <f>ROUND(+(V1353*60%)*D1353,4)</f>
        <v>0</v>
      </c>
      <c r="X1353" s="148">
        <f>ROUND(+U1353+W1353,4)</f>
        <v>0</v>
      </c>
      <c r="Y1353" s="68"/>
      <c r="Z1353" s="148">
        <f>ROUND(IF(X1353&gt;I1353,X1353,I1353),4)</f>
        <v>0</v>
      </c>
      <c r="AD1353" s="78">
        <f t="shared" si="20"/>
        <v>0</v>
      </c>
      <c r="AE1353" s="78">
        <f t="shared" si="21"/>
        <v>0</v>
      </c>
    </row>
    <row r="1354" spans="1:31" x14ac:dyDescent="0.2">
      <c r="A1354" s="66"/>
      <c r="B1354" s="66"/>
      <c r="C1354" s="66"/>
      <c r="D1354" s="144"/>
      <c r="E1354" s="67"/>
      <c r="F1354" s="67"/>
      <c r="G1354" s="67"/>
      <c r="H1354" s="67">
        <f>ROUND(+E1354+G1354,4)</f>
        <v>0</v>
      </c>
      <c r="I1354" s="67"/>
      <c r="J1354" s="67">
        <f>ROUND(+I1354-H1354,4)</f>
        <v>0</v>
      </c>
      <c r="K1354" s="67">
        <f>ROUND(IF(F1354="alluminio",0,I1354*1.5%),4)</f>
        <v>0</v>
      </c>
      <c r="L1354" s="67">
        <f>ROUND(IF(K1354&lt;J1354,K1354,0),4)</f>
        <v>0</v>
      </c>
      <c r="M1354" s="67">
        <f>ROUND(IF(J1354&gt;K1354,0,J1354),4)</f>
        <v>0</v>
      </c>
      <c r="N1354" s="67">
        <f>ROUND(+L1354*D1354,4)</f>
        <v>0</v>
      </c>
      <c r="O1354" s="67">
        <f>ROUND(IF(F1354="rame",0,+I1354*3%),4)</f>
        <v>0</v>
      </c>
      <c r="P1354" s="67">
        <f>ROUND(IF(O1354&lt;J1354,O1354,0),4)</f>
        <v>0</v>
      </c>
      <c r="Q1354" s="67">
        <f>ROUND(IF(J1354&gt;O1354,0,J1354),4)</f>
        <v>0</v>
      </c>
      <c r="R1354" s="67">
        <f>ROUND(+P1354*D1354,4)</f>
        <v>0</v>
      </c>
      <c r="S1354" s="67">
        <f>ROUND(IF(K1354=0,0,M1354*D1354),4)</f>
        <v>0</v>
      </c>
      <c r="T1354" s="67">
        <f>ROUND(+IF(K1354=0,Q1354*D1354,0),4)</f>
        <v>0</v>
      </c>
      <c r="U1354" s="67">
        <f>ROUND(+N1354+R1354+S1354+T1354,4)</f>
        <v>0</v>
      </c>
      <c r="V1354" s="67">
        <f>ROUND(IF(P1354=0,0,I1354-H1354-O1354)+IF(L1354=0,0,I1354-H1354-K1354),4)</f>
        <v>0</v>
      </c>
      <c r="W1354" s="67">
        <f>ROUND(+(V1354*60%)*D1354,4)</f>
        <v>0</v>
      </c>
      <c r="X1354" s="148">
        <f>ROUND(+U1354+W1354,4)</f>
        <v>0</v>
      </c>
      <c r="Y1354" s="68"/>
      <c r="Z1354" s="148">
        <f>ROUND(IF(X1354&gt;I1354,X1354,I1354),4)</f>
        <v>0</v>
      </c>
      <c r="AD1354" s="78">
        <f t="shared" si="20"/>
        <v>0</v>
      </c>
      <c r="AE1354" s="78">
        <f t="shared" si="21"/>
        <v>0</v>
      </c>
    </row>
    <row r="1355" spans="1:31" x14ac:dyDescent="0.2">
      <c r="A1355" s="66"/>
      <c r="B1355" s="66"/>
      <c r="C1355" s="66"/>
      <c r="D1355" s="144"/>
      <c r="E1355" s="67"/>
      <c r="F1355" s="67"/>
      <c r="G1355" s="67"/>
      <c r="H1355" s="67">
        <f>ROUND(+E1355+G1355,4)</f>
        <v>0</v>
      </c>
      <c r="I1355" s="67"/>
      <c r="J1355" s="67">
        <f>ROUND(+I1355-H1355,4)</f>
        <v>0</v>
      </c>
      <c r="K1355" s="67">
        <f>ROUND(IF(F1355="alluminio",0,I1355*1.5%),4)</f>
        <v>0</v>
      </c>
      <c r="L1355" s="67">
        <f>ROUND(IF(K1355&lt;J1355,K1355,0),4)</f>
        <v>0</v>
      </c>
      <c r="M1355" s="67">
        <f>ROUND(IF(J1355&gt;K1355,0,J1355),4)</f>
        <v>0</v>
      </c>
      <c r="N1355" s="67">
        <f>ROUND(+L1355*D1355,4)</f>
        <v>0</v>
      </c>
      <c r="O1355" s="67">
        <f>ROUND(IF(F1355="rame",0,+I1355*3%),4)</f>
        <v>0</v>
      </c>
      <c r="P1355" s="67">
        <f>ROUND(IF(O1355&lt;J1355,O1355,0),4)</f>
        <v>0</v>
      </c>
      <c r="Q1355" s="67">
        <f>ROUND(IF(J1355&gt;O1355,0,J1355),4)</f>
        <v>0</v>
      </c>
      <c r="R1355" s="67">
        <f>ROUND(+P1355*D1355,4)</f>
        <v>0</v>
      </c>
      <c r="S1355" s="67">
        <f>ROUND(IF(K1355=0,0,M1355*D1355),4)</f>
        <v>0</v>
      </c>
      <c r="T1355" s="67">
        <f>ROUND(+IF(K1355=0,Q1355*D1355,0),4)</f>
        <v>0</v>
      </c>
      <c r="U1355" s="67">
        <f>ROUND(+N1355+R1355+S1355+T1355,4)</f>
        <v>0</v>
      </c>
      <c r="V1355" s="67">
        <f>ROUND(IF(P1355=0,0,I1355-H1355-O1355)+IF(L1355=0,0,I1355-H1355-K1355),4)</f>
        <v>0</v>
      </c>
      <c r="W1355" s="67">
        <f>ROUND(+(V1355*60%)*D1355,4)</f>
        <v>0</v>
      </c>
      <c r="X1355" s="148">
        <f>ROUND(+U1355+W1355,4)</f>
        <v>0</v>
      </c>
      <c r="Y1355" s="68"/>
      <c r="Z1355" s="148">
        <f>ROUND(IF(X1355&gt;I1355,X1355,I1355),4)</f>
        <v>0</v>
      </c>
      <c r="AD1355" s="78">
        <f t="shared" si="20"/>
        <v>0</v>
      </c>
      <c r="AE1355" s="78">
        <f t="shared" si="21"/>
        <v>0</v>
      </c>
    </row>
    <row r="1356" spans="1:31" x14ac:dyDescent="0.2">
      <c r="A1356" s="66"/>
      <c r="B1356" s="66"/>
      <c r="C1356" s="66"/>
      <c r="D1356" s="144"/>
      <c r="E1356" s="67"/>
      <c r="F1356" s="67"/>
      <c r="G1356" s="67"/>
      <c r="H1356" s="67">
        <f>ROUND(+E1356+G1356,4)</f>
        <v>0</v>
      </c>
      <c r="I1356" s="67"/>
      <c r="J1356" s="67">
        <f>ROUND(+I1356-H1356,4)</f>
        <v>0</v>
      </c>
      <c r="K1356" s="67">
        <f>ROUND(IF(F1356="alluminio",0,I1356*1.5%),4)</f>
        <v>0</v>
      </c>
      <c r="L1356" s="67">
        <f>ROUND(IF(K1356&lt;J1356,K1356,0),4)</f>
        <v>0</v>
      </c>
      <c r="M1356" s="67">
        <f>ROUND(IF(J1356&gt;K1356,0,J1356),4)</f>
        <v>0</v>
      </c>
      <c r="N1356" s="67">
        <f>ROUND(+L1356*D1356,4)</f>
        <v>0</v>
      </c>
      <c r="O1356" s="67">
        <f>ROUND(IF(F1356="rame",0,+I1356*3%),4)</f>
        <v>0</v>
      </c>
      <c r="P1356" s="67">
        <f>ROUND(IF(O1356&lt;J1356,O1356,0),4)</f>
        <v>0</v>
      </c>
      <c r="Q1356" s="67">
        <f>ROUND(IF(J1356&gt;O1356,0,J1356),4)</f>
        <v>0</v>
      </c>
      <c r="R1356" s="67">
        <f>ROUND(+P1356*D1356,4)</f>
        <v>0</v>
      </c>
      <c r="S1356" s="67">
        <f>ROUND(IF(K1356=0,0,M1356*D1356),4)</f>
        <v>0</v>
      </c>
      <c r="T1356" s="67">
        <f>ROUND(+IF(K1356=0,Q1356*D1356,0),4)</f>
        <v>0</v>
      </c>
      <c r="U1356" s="67">
        <f>ROUND(+N1356+R1356+S1356+T1356,4)</f>
        <v>0</v>
      </c>
      <c r="V1356" s="67">
        <f>ROUND(IF(P1356=0,0,I1356-H1356-O1356)+IF(L1356=0,0,I1356-H1356-K1356),4)</f>
        <v>0</v>
      </c>
      <c r="W1356" s="67">
        <f>ROUND(+(V1356*60%)*D1356,4)</f>
        <v>0</v>
      </c>
      <c r="X1356" s="148">
        <f>ROUND(+U1356+W1356,4)</f>
        <v>0</v>
      </c>
      <c r="Y1356" s="68"/>
      <c r="Z1356" s="148">
        <f>ROUND(IF(X1356&gt;I1356,X1356,I1356),4)</f>
        <v>0</v>
      </c>
      <c r="AD1356" s="78">
        <f t="shared" si="20"/>
        <v>0</v>
      </c>
      <c r="AE1356" s="78">
        <f t="shared" si="21"/>
        <v>0</v>
      </c>
    </row>
    <row r="1357" spans="1:31" x14ac:dyDescent="0.2">
      <c r="A1357" s="66"/>
      <c r="B1357" s="66"/>
      <c r="C1357" s="66"/>
      <c r="D1357" s="144"/>
      <c r="E1357" s="67"/>
      <c r="F1357" s="67"/>
      <c r="G1357" s="67"/>
      <c r="H1357" s="67">
        <f>ROUND(+E1357+G1357,4)</f>
        <v>0</v>
      </c>
      <c r="I1357" s="67"/>
      <c r="J1357" s="67">
        <f>ROUND(+I1357-H1357,4)</f>
        <v>0</v>
      </c>
      <c r="K1357" s="67">
        <f>ROUND(IF(F1357="alluminio",0,I1357*1.5%),4)</f>
        <v>0</v>
      </c>
      <c r="L1357" s="67">
        <f>ROUND(IF(K1357&lt;J1357,K1357,0),4)</f>
        <v>0</v>
      </c>
      <c r="M1357" s="67">
        <f>ROUND(IF(J1357&gt;K1357,0,J1357),4)</f>
        <v>0</v>
      </c>
      <c r="N1357" s="67">
        <f>ROUND(+L1357*D1357,4)</f>
        <v>0</v>
      </c>
      <c r="O1357" s="67">
        <f>ROUND(IF(F1357="rame",0,+I1357*3%),4)</f>
        <v>0</v>
      </c>
      <c r="P1357" s="67">
        <f>ROUND(IF(O1357&lt;J1357,O1357,0),4)</f>
        <v>0</v>
      </c>
      <c r="Q1357" s="67">
        <f>ROUND(IF(J1357&gt;O1357,0,J1357),4)</f>
        <v>0</v>
      </c>
      <c r="R1357" s="67">
        <f>ROUND(+P1357*D1357,4)</f>
        <v>0</v>
      </c>
      <c r="S1357" s="67">
        <f>ROUND(IF(K1357=0,0,M1357*D1357),4)</f>
        <v>0</v>
      </c>
      <c r="T1357" s="67">
        <f>ROUND(+IF(K1357=0,Q1357*D1357,0),4)</f>
        <v>0</v>
      </c>
      <c r="U1357" s="67">
        <f>ROUND(+N1357+R1357+S1357+T1357,4)</f>
        <v>0</v>
      </c>
      <c r="V1357" s="67">
        <f>ROUND(IF(P1357=0,0,I1357-H1357-O1357)+IF(L1357=0,0,I1357-H1357-K1357),4)</f>
        <v>0</v>
      </c>
      <c r="W1357" s="67">
        <f>ROUND(+(V1357*60%)*D1357,4)</f>
        <v>0</v>
      </c>
      <c r="X1357" s="148">
        <f>ROUND(+U1357+W1357,4)</f>
        <v>0</v>
      </c>
      <c r="Y1357" s="68"/>
      <c r="Z1357" s="148">
        <f>ROUND(IF(X1357&gt;I1357,X1357,I1357),4)</f>
        <v>0</v>
      </c>
      <c r="AD1357" s="78">
        <f t="shared" si="20"/>
        <v>0</v>
      </c>
      <c r="AE1357" s="78">
        <f t="shared" si="21"/>
        <v>0</v>
      </c>
    </row>
    <row r="1358" spans="1:31" x14ac:dyDescent="0.2">
      <c r="A1358" s="66"/>
      <c r="B1358" s="66"/>
      <c r="C1358" s="66"/>
      <c r="D1358" s="144"/>
      <c r="E1358" s="67"/>
      <c r="F1358" s="67"/>
      <c r="G1358" s="67"/>
      <c r="H1358" s="67">
        <f>ROUND(+E1358+G1358,4)</f>
        <v>0</v>
      </c>
      <c r="I1358" s="67"/>
      <c r="J1358" s="67">
        <f>ROUND(+I1358-H1358,4)</f>
        <v>0</v>
      </c>
      <c r="K1358" s="67">
        <f>ROUND(IF(F1358="alluminio",0,I1358*1.5%),4)</f>
        <v>0</v>
      </c>
      <c r="L1358" s="67">
        <f>ROUND(IF(K1358&lt;J1358,K1358,0),4)</f>
        <v>0</v>
      </c>
      <c r="M1358" s="67">
        <f>ROUND(IF(J1358&gt;K1358,0,J1358),4)</f>
        <v>0</v>
      </c>
      <c r="N1358" s="67">
        <f>ROUND(+L1358*D1358,4)</f>
        <v>0</v>
      </c>
      <c r="O1358" s="67">
        <f>ROUND(IF(F1358="rame",0,+I1358*3%),4)</f>
        <v>0</v>
      </c>
      <c r="P1358" s="67">
        <f>ROUND(IF(O1358&lt;J1358,O1358,0),4)</f>
        <v>0</v>
      </c>
      <c r="Q1358" s="67">
        <f>ROUND(IF(J1358&gt;O1358,0,J1358),4)</f>
        <v>0</v>
      </c>
      <c r="R1358" s="67">
        <f>ROUND(+P1358*D1358,4)</f>
        <v>0</v>
      </c>
      <c r="S1358" s="67">
        <f>ROUND(IF(K1358=0,0,M1358*D1358),4)</f>
        <v>0</v>
      </c>
      <c r="T1358" s="67">
        <f>ROUND(+IF(K1358=0,Q1358*D1358,0),4)</f>
        <v>0</v>
      </c>
      <c r="U1358" s="67">
        <f>ROUND(+N1358+R1358+S1358+T1358,4)</f>
        <v>0</v>
      </c>
      <c r="V1358" s="67">
        <f>ROUND(IF(P1358=0,0,I1358-H1358-O1358)+IF(L1358=0,0,I1358-H1358-K1358),4)</f>
        <v>0</v>
      </c>
      <c r="W1358" s="67">
        <f>ROUND(+(V1358*60%)*D1358,4)</f>
        <v>0</v>
      </c>
      <c r="X1358" s="148">
        <f>ROUND(+U1358+W1358,4)</f>
        <v>0</v>
      </c>
      <c r="Y1358" s="68"/>
      <c r="Z1358" s="148">
        <f>ROUND(IF(X1358&gt;I1358,X1358,I1358),4)</f>
        <v>0</v>
      </c>
      <c r="AD1358" s="78">
        <f t="shared" si="20"/>
        <v>0</v>
      </c>
      <c r="AE1358" s="78">
        <f t="shared" si="21"/>
        <v>0</v>
      </c>
    </row>
    <row r="1359" spans="1:31" x14ac:dyDescent="0.2">
      <c r="A1359" s="66"/>
      <c r="B1359" s="66"/>
      <c r="C1359" s="66"/>
      <c r="D1359" s="144"/>
      <c r="E1359" s="67"/>
      <c r="F1359" s="67"/>
      <c r="G1359" s="67"/>
      <c r="H1359" s="67">
        <f>ROUND(+E1359+G1359,4)</f>
        <v>0</v>
      </c>
      <c r="I1359" s="67"/>
      <c r="J1359" s="67">
        <f>ROUND(+I1359-H1359,4)</f>
        <v>0</v>
      </c>
      <c r="K1359" s="67">
        <f>ROUND(IF(F1359="alluminio",0,I1359*1.5%),4)</f>
        <v>0</v>
      </c>
      <c r="L1359" s="67">
        <f>ROUND(IF(K1359&lt;J1359,K1359,0),4)</f>
        <v>0</v>
      </c>
      <c r="M1359" s="67">
        <f>ROUND(IF(J1359&gt;K1359,0,J1359),4)</f>
        <v>0</v>
      </c>
      <c r="N1359" s="67">
        <f>ROUND(+L1359*D1359,4)</f>
        <v>0</v>
      </c>
      <c r="O1359" s="67">
        <f>ROUND(IF(F1359="rame",0,+I1359*3%),4)</f>
        <v>0</v>
      </c>
      <c r="P1359" s="67">
        <f>ROUND(IF(O1359&lt;J1359,O1359,0),4)</f>
        <v>0</v>
      </c>
      <c r="Q1359" s="67">
        <f>ROUND(IF(J1359&gt;O1359,0,J1359),4)</f>
        <v>0</v>
      </c>
      <c r="R1359" s="67">
        <f>ROUND(+P1359*D1359,4)</f>
        <v>0</v>
      </c>
      <c r="S1359" s="67">
        <f>ROUND(IF(K1359=0,0,M1359*D1359),4)</f>
        <v>0</v>
      </c>
      <c r="T1359" s="67">
        <f>ROUND(+IF(K1359=0,Q1359*D1359,0),4)</f>
        <v>0</v>
      </c>
      <c r="U1359" s="67">
        <f>ROUND(+N1359+R1359+S1359+T1359,4)</f>
        <v>0</v>
      </c>
      <c r="V1359" s="67">
        <f>ROUND(IF(P1359=0,0,I1359-H1359-O1359)+IF(L1359=0,0,I1359-H1359-K1359),4)</f>
        <v>0</v>
      </c>
      <c r="W1359" s="67">
        <f>ROUND(+(V1359*60%)*D1359,4)</f>
        <v>0</v>
      </c>
      <c r="X1359" s="148">
        <f>ROUND(+U1359+W1359,4)</f>
        <v>0</v>
      </c>
      <c r="Y1359" s="68"/>
      <c r="Z1359" s="148">
        <f>ROUND(IF(X1359&gt;I1359,X1359,I1359),4)</f>
        <v>0</v>
      </c>
      <c r="AD1359" s="78">
        <f t="shared" si="20"/>
        <v>0</v>
      </c>
      <c r="AE1359" s="78">
        <f t="shared" si="21"/>
        <v>0</v>
      </c>
    </row>
    <row r="1360" spans="1:31" x14ac:dyDescent="0.2">
      <c r="A1360" s="66"/>
      <c r="B1360" s="66"/>
      <c r="C1360" s="66"/>
      <c r="D1360" s="144"/>
      <c r="E1360" s="67"/>
      <c r="F1360" s="67"/>
      <c r="G1360" s="67"/>
      <c r="H1360" s="67">
        <f>ROUND(+E1360+G1360,4)</f>
        <v>0</v>
      </c>
      <c r="I1360" s="67"/>
      <c r="J1360" s="67">
        <f>ROUND(+I1360-H1360,4)</f>
        <v>0</v>
      </c>
      <c r="K1360" s="67">
        <f>ROUND(IF(F1360="alluminio",0,I1360*1.5%),4)</f>
        <v>0</v>
      </c>
      <c r="L1360" s="67">
        <f>ROUND(IF(K1360&lt;J1360,K1360,0),4)</f>
        <v>0</v>
      </c>
      <c r="M1360" s="67">
        <f>ROUND(IF(J1360&gt;K1360,0,J1360),4)</f>
        <v>0</v>
      </c>
      <c r="N1360" s="67">
        <f>ROUND(+L1360*D1360,4)</f>
        <v>0</v>
      </c>
      <c r="O1360" s="67">
        <f>ROUND(IF(F1360="rame",0,+I1360*3%),4)</f>
        <v>0</v>
      </c>
      <c r="P1360" s="67">
        <f>ROUND(IF(O1360&lt;J1360,O1360,0),4)</f>
        <v>0</v>
      </c>
      <c r="Q1360" s="67">
        <f>ROUND(IF(J1360&gt;O1360,0,J1360),4)</f>
        <v>0</v>
      </c>
      <c r="R1360" s="67">
        <f>ROUND(+P1360*D1360,4)</f>
        <v>0</v>
      </c>
      <c r="S1360" s="67">
        <f>ROUND(IF(K1360=0,0,M1360*D1360),4)</f>
        <v>0</v>
      </c>
      <c r="T1360" s="67">
        <f>ROUND(+IF(K1360=0,Q1360*D1360,0),4)</f>
        <v>0</v>
      </c>
      <c r="U1360" s="67">
        <f>ROUND(+N1360+R1360+S1360+T1360,4)</f>
        <v>0</v>
      </c>
      <c r="V1360" s="67">
        <f>ROUND(IF(P1360=0,0,I1360-H1360-O1360)+IF(L1360=0,0,I1360-H1360-K1360),4)</f>
        <v>0</v>
      </c>
      <c r="W1360" s="67">
        <f>ROUND(+(V1360*60%)*D1360,4)</f>
        <v>0</v>
      </c>
      <c r="X1360" s="148">
        <f>ROUND(+U1360+W1360,4)</f>
        <v>0</v>
      </c>
      <c r="Y1360" s="68"/>
      <c r="Z1360" s="148">
        <f>ROUND(IF(X1360&gt;I1360,X1360,I1360),4)</f>
        <v>0</v>
      </c>
      <c r="AD1360" s="78">
        <f t="shared" si="20"/>
        <v>0</v>
      </c>
      <c r="AE1360" s="78">
        <f t="shared" si="21"/>
        <v>0</v>
      </c>
    </row>
    <row r="1361" spans="1:31" x14ac:dyDescent="0.2">
      <c r="A1361" s="66"/>
      <c r="B1361" s="66"/>
      <c r="C1361" s="66"/>
      <c r="D1361" s="144"/>
      <c r="E1361" s="67"/>
      <c r="F1361" s="67"/>
      <c r="G1361" s="67"/>
      <c r="H1361" s="67">
        <f>ROUND(+E1361+G1361,4)</f>
        <v>0</v>
      </c>
      <c r="I1361" s="67"/>
      <c r="J1361" s="67">
        <f>ROUND(+I1361-H1361,4)</f>
        <v>0</v>
      </c>
      <c r="K1361" s="67">
        <f>ROUND(IF(F1361="alluminio",0,I1361*1.5%),4)</f>
        <v>0</v>
      </c>
      <c r="L1361" s="67">
        <f>ROUND(IF(K1361&lt;J1361,K1361,0),4)</f>
        <v>0</v>
      </c>
      <c r="M1361" s="67">
        <f>ROUND(IF(J1361&gt;K1361,0,J1361),4)</f>
        <v>0</v>
      </c>
      <c r="N1361" s="67">
        <f>ROUND(+L1361*D1361,4)</f>
        <v>0</v>
      </c>
      <c r="O1361" s="67">
        <f>ROUND(IF(F1361="rame",0,+I1361*3%),4)</f>
        <v>0</v>
      </c>
      <c r="P1361" s="67">
        <f>ROUND(IF(O1361&lt;J1361,O1361,0),4)</f>
        <v>0</v>
      </c>
      <c r="Q1361" s="67">
        <f>ROUND(IF(J1361&gt;O1361,0,J1361),4)</f>
        <v>0</v>
      </c>
      <c r="R1361" s="67">
        <f>ROUND(+P1361*D1361,4)</f>
        <v>0</v>
      </c>
      <c r="S1361" s="67">
        <f>ROUND(IF(K1361=0,0,M1361*D1361),4)</f>
        <v>0</v>
      </c>
      <c r="T1361" s="67">
        <f>ROUND(+IF(K1361=0,Q1361*D1361,0),4)</f>
        <v>0</v>
      </c>
      <c r="U1361" s="67">
        <f>ROUND(+N1361+R1361+S1361+T1361,4)</f>
        <v>0</v>
      </c>
      <c r="V1361" s="67">
        <f>ROUND(IF(P1361=0,0,I1361-H1361-O1361)+IF(L1361=0,0,I1361-H1361-K1361),4)</f>
        <v>0</v>
      </c>
      <c r="W1361" s="67">
        <f>ROUND(+(V1361*60%)*D1361,4)</f>
        <v>0</v>
      </c>
      <c r="X1361" s="148">
        <f>ROUND(+U1361+W1361,4)</f>
        <v>0</v>
      </c>
      <c r="Y1361" s="68"/>
      <c r="Z1361" s="148">
        <f>ROUND(IF(X1361&gt;I1361,X1361,I1361),4)</f>
        <v>0</v>
      </c>
      <c r="AD1361" s="78">
        <f t="shared" si="20"/>
        <v>0</v>
      </c>
      <c r="AE1361" s="78">
        <f t="shared" si="21"/>
        <v>0</v>
      </c>
    </row>
    <row r="1362" spans="1:31" x14ac:dyDescent="0.2">
      <c r="A1362" s="66"/>
      <c r="B1362" s="66"/>
      <c r="C1362" s="66"/>
      <c r="D1362" s="144"/>
      <c r="E1362" s="67"/>
      <c r="F1362" s="67"/>
      <c r="G1362" s="67"/>
      <c r="H1362" s="67">
        <f>ROUND(+E1362+G1362,4)</f>
        <v>0</v>
      </c>
      <c r="I1362" s="67"/>
      <c r="J1362" s="67">
        <f>ROUND(+I1362-H1362,4)</f>
        <v>0</v>
      </c>
      <c r="K1362" s="67">
        <f>ROUND(IF(F1362="alluminio",0,I1362*1.5%),4)</f>
        <v>0</v>
      </c>
      <c r="L1362" s="67">
        <f>ROUND(IF(K1362&lt;J1362,K1362,0),4)</f>
        <v>0</v>
      </c>
      <c r="M1362" s="67">
        <f>ROUND(IF(J1362&gt;K1362,0,J1362),4)</f>
        <v>0</v>
      </c>
      <c r="N1362" s="67">
        <f>ROUND(+L1362*D1362,4)</f>
        <v>0</v>
      </c>
      <c r="O1362" s="67">
        <f>ROUND(IF(F1362="rame",0,+I1362*3%),4)</f>
        <v>0</v>
      </c>
      <c r="P1362" s="67">
        <f>ROUND(IF(O1362&lt;J1362,O1362,0),4)</f>
        <v>0</v>
      </c>
      <c r="Q1362" s="67">
        <f>ROUND(IF(J1362&gt;O1362,0,J1362),4)</f>
        <v>0</v>
      </c>
      <c r="R1362" s="67">
        <f>ROUND(+P1362*D1362,4)</f>
        <v>0</v>
      </c>
      <c r="S1362" s="67">
        <f>ROUND(IF(K1362=0,0,M1362*D1362),4)</f>
        <v>0</v>
      </c>
      <c r="T1362" s="67">
        <f>ROUND(+IF(K1362=0,Q1362*D1362,0),4)</f>
        <v>0</v>
      </c>
      <c r="U1362" s="67">
        <f>ROUND(+N1362+R1362+S1362+T1362,4)</f>
        <v>0</v>
      </c>
      <c r="V1362" s="67">
        <f>ROUND(IF(P1362=0,0,I1362-H1362-O1362)+IF(L1362=0,0,I1362-H1362-K1362),4)</f>
        <v>0</v>
      </c>
      <c r="W1362" s="67">
        <f>ROUND(+(V1362*60%)*D1362,4)</f>
        <v>0</v>
      </c>
      <c r="X1362" s="148">
        <f>ROUND(+U1362+W1362,4)</f>
        <v>0</v>
      </c>
      <c r="Y1362" s="68"/>
      <c r="Z1362" s="148">
        <f>ROUND(IF(X1362&gt;I1362,X1362,I1362),4)</f>
        <v>0</v>
      </c>
      <c r="AD1362" s="78">
        <f t="shared" si="20"/>
        <v>0</v>
      </c>
      <c r="AE1362" s="78">
        <f t="shared" si="21"/>
        <v>0</v>
      </c>
    </row>
    <row r="1363" spans="1:31" x14ac:dyDescent="0.2">
      <c r="A1363" s="66"/>
      <c r="B1363" s="66"/>
      <c r="C1363" s="66"/>
      <c r="D1363" s="144"/>
      <c r="E1363" s="67"/>
      <c r="F1363" s="67"/>
      <c r="G1363" s="67"/>
      <c r="H1363" s="67">
        <f>ROUND(+E1363+G1363,4)</f>
        <v>0</v>
      </c>
      <c r="I1363" s="67"/>
      <c r="J1363" s="67">
        <f>ROUND(+I1363-H1363,4)</f>
        <v>0</v>
      </c>
      <c r="K1363" s="67">
        <f>ROUND(IF(F1363="alluminio",0,I1363*1.5%),4)</f>
        <v>0</v>
      </c>
      <c r="L1363" s="67">
        <f>ROUND(IF(K1363&lt;J1363,K1363,0),4)</f>
        <v>0</v>
      </c>
      <c r="M1363" s="67">
        <f>ROUND(IF(J1363&gt;K1363,0,J1363),4)</f>
        <v>0</v>
      </c>
      <c r="N1363" s="67">
        <f>ROUND(+L1363*D1363,4)</f>
        <v>0</v>
      </c>
      <c r="O1363" s="67">
        <f>ROUND(IF(F1363="rame",0,+I1363*3%),4)</f>
        <v>0</v>
      </c>
      <c r="P1363" s="67">
        <f>ROUND(IF(O1363&lt;J1363,O1363,0),4)</f>
        <v>0</v>
      </c>
      <c r="Q1363" s="67">
        <f>ROUND(IF(J1363&gt;O1363,0,J1363),4)</f>
        <v>0</v>
      </c>
      <c r="R1363" s="67">
        <f>ROUND(+P1363*D1363,4)</f>
        <v>0</v>
      </c>
      <c r="S1363" s="67">
        <f>ROUND(IF(K1363=0,0,M1363*D1363),4)</f>
        <v>0</v>
      </c>
      <c r="T1363" s="67">
        <f>ROUND(+IF(K1363=0,Q1363*D1363,0),4)</f>
        <v>0</v>
      </c>
      <c r="U1363" s="67">
        <f>ROUND(+N1363+R1363+S1363+T1363,4)</f>
        <v>0</v>
      </c>
      <c r="V1363" s="67">
        <f>ROUND(IF(P1363=0,0,I1363-H1363-O1363)+IF(L1363=0,0,I1363-H1363-K1363),4)</f>
        <v>0</v>
      </c>
      <c r="W1363" s="67">
        <f>ROUND(+(V1363*60%)*D1363,4)</f>
        <v>0</v>
      </c>
      <c r="X1363" s="148">
        <f>ROUND(+U1363+W1363,4)</f>
        <v>0</v>
      </c>
      <c r="Y1363" s="68"/>
      <c r="Z1363" s="148">
        <f>ROUND(IF(X1363&gt;I1363,X1363,I1363),4)</f>
        <v>0</v>
      </c>
      <c r="AD1363" s="78">
        <f t="shared" si="20"/>
        <v>0</v>
      </c>
      <c r="AE1363" s="78">
        <f t="shared" si="21"/>
        <v>0</v>
      </c>
    </row>
    <row r="1364" spans="1:31" x14ac:dyDescent="0.2">
      <c r="A1364" s="66"/>
      <c r="B1364" s="66"/>
      <c r="C1364" s="66"/>
      <c r="D1364" s="144"/>
      <c r="E1364" s="67"/>
      <c r="F1364" s="67"/>
      <c r="G1364" s="67"/>
      <c r="H1364" s="67">
        <f>ROUND(+E1364+G1364,4)</f>
        <v>0</v>
      </c>
      <c r="I1364" s="67"/>
      <c r="J1364" s="67">
        <f>ROUND(+I1364-H1364,4)</f>
        <v>0</v>
      </c>
      <c r="K1364" s="67">
        <f>ROUND(IF(F1364="alluminio",0,I1364*1.5%),4)</f>
        <v>0</v>
      </c>
      <c r="L1364" s="67">
        <f>ROUND(IF(K1364&lt;J1364,K1364,0),4)</f>
        <v>0</v>
      </c>
      <c r="M1364" s="67">
        <f>ROUND(IF(J1364&gt;K1364,0,J1364),4)</f>
        <v>0</v>
      </c>
      <c r="N1364" s="67">
        <f>ROUND(+L1364*D1364,4)</f>
        <v>0</v>
      </c>
      <c r="O1364" s="67">
        <f>ROUND(IF(F1364="rame",0,+I1364*3%),4)</f>
        <v>0</v>
      </c>
      <c r="P1364" s="67">
        <f>ROUND(IF(O1364&lt;J1364,O1364,0),4)</f>
        <v>0</v>
      </c>
      <c r="Q1364" s="67">
        <f>ROUND(IF(J1364&gt;O1364,0,J1364),4)</f>
        <v>0</v>
      </c>
      <c r="R1364" s="67">
        <f>ROUND(+P1364*D1364,4)</f>
        <v>0</v>
      </c>
      <c r="S1364" s="67">
        <f>ROUND(IF(K1364=0,0,M1364*D1364),4)</f>
        <v>0</v>
      </c>
      <c r="T1364" s="67">
        <f>ROUND(+IF(K1364=0,Q1364*D1364,0),4)</f>
        <v>0</v>
      </c>
      <c r="U1364" s="67">
        <f>ROUND(+N1364+R1364+S1364+T1364,4)</f>
        <v>0</v>
      </c>
      <c r="V1364" s="67">
        <f>ROUND(IF(P1364=0,0,I1364-H1364-O1364)+IF(L1364=0,0,I1364-H1364-K1364),4)</f>
        <v>0</v>
      </c>
      <c r="W1364" s="67">
        <f>ROUND(+(V1364*60%)*D1364,4)</f>
        <v>0</v>
      </c>
      <c r="X1364" s="148">
        <f>ROUND(+U1364+W1364,4)</f>
        <v>0</v>
      </c>
      <c r="Y1364" s="68"/>
      <c r="Z1364" s="148">
        <f>ROUND(IF(X1364&gt;I1364,X1364,I1364),4)</f>
        <v>0</v>
      </c>
      <c r="AD1364" s="78">
        <f t="shared" si="20"/>
        <v>0</v>
      </c>
      <c r="AE1364" s="78">
        <f t="shared" si="21"/>
        <v>0</v>
      </c>
    </row>
    <row r="1365" spans="1:31" x14ac:dyDescent="0.2">
      <c r="A1365" s="66"/>
      <c r="B1365" s="66"/>
      <c r="C1365" s="66"/>
      <c r="D1365" s="144"/>
      <c r="E1365" s="67"/>
      <c r="F1365" s="67"/>
      <c r="G1365" s="67"/>
      <c r="H1365" s="67">
        <f>ROUND(+E1365+G1365,4)</f>
        <v>0</v>
      </c>
      <c r="I1365" s="67"/>
      <c r="J1365" s="67">
        <f>ROUND(+I1365-H1365,4)</f>
        <v>0</v>
      </c>
      <c r="K1365" s="67">
        <f>ROUND(IF(F1365="alluminio",0,I1365*1.5%),4)</f>
        <v>0</v>
      </c>
      <c r="L1365" s="67">
        <f>ROUND(IF(K1365&lt;J1365,K1365,0),4)</f>
        <v>0</v>
      </c>
      <c r="M1365" s="67">
        <f>ROUND(IF(J1365&gt;K1365,0,J1365),4)</f>
        <v>0</v>
      </c>
      <c r="N1365" s="67">
        <f>ROUND(+L1365*D1365,4)</f>
        <v>0</v>
      </c>
      <c r="O1365" s="67">
        <f>ROUND(IF(F1365="rame",0,+I1365*3%),4)</f>
        <v>0</v>
      </c>
      <c r="P1365" s="67">
        <f>ROUND(IF(O1365&lt;J1365,O1365,0),4)</f>
        <v>0</v>
      </c>
      <c r="Q1365" s="67">
        <f>ROUND(IF(J1365&gt;O1365,0,J1365),4)</f>
        <v>0</v>
      </c>
      <c r="R1365" s="67">
        <f>ROUND(+P1365*D1365,4)</f>
        <v>0</v>
      </c>
      <c r="S1365" s="67">
        <f>ROUND(IF(K1365=0,0,M1365*D1365),4)</f>
        <v>0</v>
      </c>
      <c r="T1365" s="67">
        <f>ROUND(+IF(K1365=0,Q1365*D1365,0),4)</f>
        <v>0</v>
      </c>
      <c r="U1365" s="67">
        <f>ROUND(+N1365+R1365+S1365+T1365,4)</f>
        <v>0</v>
      </c>
      <c r="V1365" s="67">
        <f>ROUND(IF(P1365=0,0,I1365-H1365-O1365)+IF(L1365=0,0,I1365-H1365-K1365),4)</f>
        <v>0</v>
      </c>
      <c r="W1365" s="67">
        <f>ROUND(+(V1365*60%)*D1365,4)</f>
        <v>0</v>
      </c>
      <c r="X1365" s="148">
        <f>ROUND(+U1365+W1365,4)</f>
        <v>0</v>
      </c>
      <c r="Y1365" s="68"/>
      <c r="Z1365" s="148">
        <f>ROUND(IF(X1365&gt;I1365,X1365,I1365),4)</f>
        <v>0</v>
      </c>
      <c r="AD1365" s="78">
        <f t="shared" si="20"/>
        <v>0</v>
      </c>
      <c r="AE1365" s="78">
        <f t="shared" si="21"/>
        <v>0</v>
      </c>
    </row>
    <row r="1366" spans="1:31" x14ac:dyDescent="0.2">
      <c r="A1366" s="66"/>
      <c r="B1366" s="66"/>
      <c r="C1366" s="66"/>
      <c r="D1366" s="144"/>
      <c r="E1366" s="67"/>
      <c r="F1366" s="67"/>
      <c r="G1366" s="67"/>
      <c r="H1366" s="67">
        <f>ROUND(+E1366+G1366,4)</f>
        <v>0</v>
      </c>
      <c r="I1366" s="67"/>
      <c r="J1366" s="67">
        <f>ROUND(+I1366-H1366,4)</f>
        <v>0</v>
      </c>
      <c r="K1366" s="67">
        <f>ROUND(IF(F1366="alluminio",0,I1366*1.5%),4)</f>
        <v>0</v>
      </c>
      <c r="L1366" s="67">
        <f>ROUND(IF(K1366&lt;J1366,K1366,0),4)</f>
        <v>0</v>
      </c>
      <c r="M1366" s="67">
        <f>ROUND(IF(J1366&gt;K1366,0,J1366),4)</f>
        <v>0</v>
      </c>
      <c r="N1366" s="67">
        <f>ROUND(+L1366*D1366,4)</f>
        <v>0</v>
      </c>
      <c r="O1366" s="67">
        <f>ROUND(IF(F1366="rame",0,+I1366*3%),4)</f>
        <v>0</v>
      </c>
      <c r="P1366" s="67">
        <f>ROUND(IF(O1366&lt;J1366,O1366,0),4)</f>
        <v>0</v>
      </c>
      <c r="Q1366" s="67">
        <f>ROUND(IF(J1366&gt;O1366,0,J1366),4)</f>
        <v>0</v>
      </c>
      <c r="R1366" s="67">
        <f>ROUND(+P1366*D1366,4)</f>
        <v>0</v>
      </c>
      <c r="S1366" s="67">
        <f>ROUND(IF(K1366=0,0,M1366*D1366),4)</f>
        <v>0</v>
      </c>
      <c r="T1366" s="67">
        <f>ROUND(+IF(K1366=0,Q1366*D1366,0),4)</f>
        <v>0</v>
      </c>
      <c r="U1366" s="67">
        <f>ROUND(+N1366+R1366+S1366+T1366,4)</f>
        <v>0</v>
      </c>
      <c r="V1366" s="67">
        <f>ROUND(IF(P1366=0,0,I1366-H1366-O1366)+IF(L1366=0,0,I1366-H1366-K1366),4)</f>
        <v>0</v>
      </c>
      <c r="W1366" s="67">
        <f>ROUND(+(V1366*60%)*D1366,4)</f>
        <v>0</v>
      </c>
      <c r="X1366" s="148">
        <f>ROUND(+U1366+W1366,4)</f>
        <v>0</v>
      </c>
      <c r="Y1366" s="68"/>
      <c r="Z1366" s="148">
        <f>ROUND(IF(X1366&gt;I1366,X1366,I1366),4)</f>
        <v>0</v>
      </c>
      <c r="AD1366" s="78">
        <f t="shared" si="20"/>
        <v>0</v>
      </c>
      <c r="AE1366" s="78">
        <f t="shared" si="21"/>
        <v>0</v>
      </c>
    </row>
    <row r="1367" spans="1:31" x14ac:dyDescent="0.2">
      <c r="A1367" s="66"/>
      <c r="B1367" s="66"/>
      <c r="C1367" s="66"/>
      <c r="D1367" s="144"/>
      <c r="E1367" s="67"/>
      <c r="F1367" s="67"/>
      <c r="G1367" s="67"/>
      <c r="H1367" s="67">
        <f>ROUND(+E1367+G1367,4)</f>
        <v>0</v>
      </c>
      <c r="I1367" s="67"/>
      <c r="J1367" s="67">
        <f>ROUND(+I1367-H1367,4)</f>
        <v>0</v>
      </c>
      <c r="K1367" s="67">
        <f>ROUND(IF(F1367="alluminio",0,I1367*1.5%),4)</f>
        <v>0</v>
      </c>
      <c r="L1367" s="67">
        <f>ROUND(IF(K1367&lt;J1367,K1367,0),4)</f>
        <v>0</v>
      </c>
      <c r="M1367" s="67">
        <f>ROUND(IF(J1367&gt;K1367,0,J1367),4)</f>
        <v>0</v>
      </c>
      <c r="N1367" s="67">
        <f>ROUND(+L1367*D1367,4)</f>
        <v>0</v>
      </c>
      <c r="O1367" s="67">
        <f>ROUND(IF(F1367="rame",0,+I1367*3%),4)</f>
        <v>0</v>
      </c>
      <c r="P1367" s="67">
        <f>ROUND(IF(O1367&lt;J1367,O1367,0),4)</f>
        <v>0</v>
      </c>
      <c r="Q1367" s="67">
        <f>ROUND(IF(J1367&gt;O1367,0,J1367),4)</f>
        <v>0</v>
      </c>
      <c r="R1367" s="67">
        <f>ROUND(+P1367*D1367,4)</f>
        <v>0</v>
      </c>
      <c r="S1367" s="67">
        <f>ROUND(IF(K1367=0,0,M1367*D1367),4)</f>
        <v>0</v>
      </c>
      <c r="T1367" s="67">
        <f>ROUND(+IF(K1367=0,Q1367*D1367,0),4)</f>
        <v>0</v>
      </c>
      <c r="U1367" s="67">
        <f>ROUND(+N1367+R1367+S1367+T1367,4)</f>
        <v>0</v>
      </c>
      <c r="V1367" s="67">
        <f>ROUND(IF(P1367=0,0,I1367-H1367-O1367)+IF(L1367=0,0,I1367-H1367-K1367),4)</f>
        <v>0</v>
      </c>
      <c r="W1367" s="67">
        <f>ROUND(+(V1367*60%)*D1367,4)</f>
        <v>0</v>
      </c>
      <c r="X1367" s="148">
        <f>ROUND(+U1367+W1367,4)</f>
        <v>0</v>
      </c>
      <c r="Y1367" s="68"/>
      <c r="Z1367" s="148">
        <f>ROUND(IF(X1367&gt;I1367,X1367,I1367),4)</f>
        <v>0</v>
      </c>
      <c r="AD1367" s="78">
        <f t="shared" si="20"/>
        <v>0</v>
      </c>
      <c r="AE1367" s="78">
        <f t="shared" si="21"/>
        <v>0</v>
      </c>
    </row>
    <row r="1368" spans="1:31" x14ac:dyDescent="0.2">
      <c r="A1368" s="66"/>
      <c r="B1368" s="66"/>
      <c r="C1368" s="66"/>
      <c r="D1368" s="144"/>
      <c r="E1368" s="67"/>
      <c r="F1368" s="67"/>
      <c r="G1368" s="67"/>
      <c r="H1368" s="67">
        <f>ROUND(+E1368+G1368,4)</f>
        <v>0</v>
      </c>
      <c r="I1368" s="67"/>
      <c r="J1368" s="67">
        <f>ROUND(+I1368-H1368,4)</f>
        <v>0</v>
      </c>
      <c r="K1368" s="67">
        <f>ROUND(IF(F1368="alluminio",0,I1368*1.5%),4)</f>
        <v>0</v>
      </c>
      <c r="L1368" s="67">
        <f>ROUND(IF(K1368&lt;J1368,K1368,0),4)</f>
        <v>0</v>
      </c>
      <c r="M1368" s="67">
        <f>ROUND(IF(J1368&gt;K1368,0,J1368),4)</f>
        <v>0</v>
      </c>
      <c r="N1368" s="67">
        <f>ROUND(+L1368*D1368,4)</f>
        <v>0</v>
      </c>
      <c r="O1368" s="67">
        <f>ROUND(IF(F1368="rame",0,+I1368*3%),4)</f>
        <v>0</v>
      </c>
      <c r="P1368" s="67">
        <f>ROUND(IF(O1368&lt;J1368,O1368,0),4)</f>
        <v>0</v>
      </c>
      <c r="Q1368" s="67">
        <f>ROUND(IF(J1368&gt;O1368,0,J1368),4)</f>
        <v>0</v>
      </c>
      <c r="R1368" s="67">
        <f>ROUND(+P1368*D1368,4)</f>
        <v>0</v>
      </c>
      <c r="S1368" s="67">
        <f>ROUND(IF(K1368=0,0,M1368*D1368),4)</f>
        <v>0</v>
      </c>
      <c r="T1368" s="67">
        <f>ROUND(+IF(K1368=0,Q1368*D1368,0),4)</f>
        <v>0</v>
      </c>
      <c r="U1368" s="67">
        <f>ROUND(+N1368+R1368+S1368+T1368,4)</f>
        <v>0</v>
      </c>
      <c r="V1368" s="67">
        <f>ROUND(IF(P1368=0,0,I1368-H1368-O1368)+IF(L1368=0,0,I1368-H1368-K1368),4)</f>
        <v>0</v>
      </c>
      <c r="W1368" s="67">
        <f>ROUND(+(V1368*60%)*D1368,4)</f>
        <v>0</v>
      </c>
      <c r="X1368" s="148">
        <f>ROUND(+U1368+W1368,4)</f>
        <v>0</v>
      </c>
      <c r="Y1368" s="68"/>
      <c r="Z1368" s="148">
        <f>ROUND(IF(X1368&gt;I1368,X1368,I1368),4)</f>
        <v>0</v>
      </c>
      <c r="AD1368" s="78">
        <f t="shared" si="20"/>
        <v>0</v>
      </c>
      <c r="AE1368" s="78">
        <f t="shared" si="21"/>
        <v>0</v>
      </c>
    </row>
    <row r="1369" spans="1:31" x14ac:dyDescent="0.2">
      <c r="A1369" s="66"/>
      <c r="B1369" s="66"/>
      <c r="C1369" s="66"/>
      <c r="D1369" s="144"/>
      <c r="E1369" s="67"/>
      <c r="F1369" s="67"/>
      <c r="G1369" s="67"/>
      <c r="H1369" s="67">
        <f>ROUND(+E1369+G1369,4)</f>
        <v>0</v>
      </c>
      <c r="I1369" s="67"/>
      <c r="J1369" s="67">
        <f>ROUND(+I1369-H1369,4)</f>
        <v>0</v>
      </c>
      <c r="K1369" s="67">
        <f>ROUND(IF(F1369="alluminio",0,I1369*1.5%),4)</f>
        <v>0</v>
      </c>
      <c r="L1369" s="67">
        <f>ROUND(IF(K1369&lt;J1369,K1369,0),4)</f>
        <v>0</v>
      </c>
      <c r="M1369" s="67">
        <f>ROUND(IF(J1369&gt;K1369,0,J1369),4)</f>
        <v>0</v>
      </c>
      <c r="N1369" s="67">
        <f>ROUND(+L1369*D1369,4)</f>
        <v>0</v>
      </c>
      <c r="O1369" s="67">
        <f>ROUND(IF(F1369="rame",0,+I1369*3%),4)</f>
        <v>0</v>
      </c>
      <c r="P1369" s="67">
        <f>ROUND(IF(O1369&lt;J1369,O1369,0),4)</f>
        <v>0</v>
      </c>
      <c r="Q1369" s="67">
        <f>ROUND(IF(J1369&gt;O1369,0,J1369),4)</f>
        <v>0</v>
      </c>
      <c r="R1369" s="67">
        <f>ROUND(+P1369*D1369,4)</f>
        <v>0</v>
      </c>
      <c r="S1369" s="67">
        <f>ROUND(IF(K1369=0,0,M1369*D1369),4)</f>
        <v>0</v>
      </c>
      <c r="T1369" s="67">
        <f>ROUND(+IF(K1369=0,Q1369*D1369,0),4)</f>
        <v>0</v>
      </c>
      <c r="U1369" s="67">
        <f>ROUND(+N1369+R1369+S1369+T1369,4)</f>
        <v>0</v>
      </c>
      <c r="V1369" s="67">
        <f>ROUND(IF(P1369=0,0,I1369-H1369-O1369)+IF(L1369=0,0,I1369-H1369-K1369),4)</f>
        <v>0</v>
      </c>
      <c r="W1369" s="67">
        <f>ROUND(+(V1369*60%)*D1369,4)</f>
        <v>0</v>
      </c>
      <c r="X1369" s="148">
        <f>ROUND(+U1369+W1369,4)</f>
        <v>0</v>
      </c>
      <c r="Y1369" s="68"/>
      <c r="Z1369" s="148">
        <f>ROUND(IF(X1369&gt;I1369,X1369,I1369),4)</f>
        <v>0</v>
      </c>
      <c r="AD1369" s="78">
        <f t="shared" si="20"/>
        <v>0</v>
      </c>
      <c r="AE1369" s="78">
        <f t="shared" si="21"/>
        <v>0</v>
      </c>
    </row>
    <row r="1370" spans="1:31" x14ac:dyDescent="0.2">
      <c r="A1370" s="66"/>
      <c r="B1370" s="66"/>
      <c r="C1370" s="66"/>
      <c r="D1370" s="144"/>
      <c r="E1370" s="67"/>
      <c r="F1370" s="67"/>
      <c r="G1370" s="67"/>
      <c r="H1370" s="67">
        <f>ROUND(+E1370+G1370,4)</f>
        <v>0</v>
      </c>
      <c r="I1370" s="67"/>
      <c r="J1370" s="67">
        <f>ROUND(+I1370-H1370,4)</f>
        <v>0</v>
      </c>
      <c r="K1370" s="67">
        <f>ROUND(IF(F1370="alluminio",0,I1370*1.5%),4)</f>
        <v>0</v>
      </c>
      <c r="L1370" s="67">
        <f>ROUND(IF(K1370&lt;J1370,K1370,0),4)</f>
        <v>0</v>
      </c>
      <c r="M1370" s="67">
        <f>ROUND(IF(J1370&gt;K1370,0,J1370),4)</f>
        <v>0</v>
      </c>
      <c r="N1370" s="67">
        <f>ROUND(+L1370*D1370,4)</f>
        <v>0</v>
      </c>
      <c r="O1370" s="67">
        <f>ROUND(IF(F1370="rame",0,+I1370*3%),4)</f>
        <v>0</v>
      </c>
      <c r="P1370" s="67">
        <f>ROUND(IF(O1370&lt;J1370,O1370,0),4)</f>
        <v>0</v>
      </c>
      <c r="Q1370" s="67">
        <f>ROUND(IF(J1370&gt;O1370,0,J1370),4)</f>
        <v>0</v>
      </c>
      <c r="R1370" s="67">
        <f>ROUND(+P1370*D1370,4)</f>
        <v>0</v>
      </c>
      <c r="S1370" s="67">
        <f>ROUND(IF(K1370=0,0,M1370*D1370),4)</f>
        <v>0</v>
      </c>
      <c r="T1370" s="67">
        <f>ROUND(+IF(K1370=0,Q1370*D1370,0),4)</f>
        <v>0</v>
      </c>
      <c r="U1370" s="67">
        <f>ROUND(+N1370+R1370+S1370+T1370,4)</f>
        <v>0</v>
      </c>
      <c r="V1370" s="67">
        <f>ROUND(IF(P1370=0,0,I1370-H1370-O1370)+IF(L1370=0,0,I1370-H1370-K1370),4)</f>
        <v>0</v>
      </c>
      <c r="W1370" s="67">
        <f>ROUND(+(V1370*60%)*D1370,4)</f>
        <v>0</v>
      </c>
      <c r="X1370" s="148">
        <f>ROUND(+U1370+W1370,4)</f>
        <v>0</v>
      </c>
      <c r="Y1370" s="68"/>
      <c r="Z1370" s="148">
        <f>ROUND(IF(X1370&gt;I1370,X1370,I1370),4)</f>
        <v>0</v>
      </c>
      <c r="AD1370" s="78">
        <f t="shared" si="20"/>
        <v>0</v>
      </c>
      <c r="AE1370" s="78">
        <f t="shared" si="21"/>
        <v>0</v>
      </c>
    </row>
    <row r="1371" spans="1:31" x14ac:dyDescent="0.2">
      <c r="A1371" s="66"/>
      <c r="B1371" s="66"/>
      <c r="C1371" s="66"/>
      <c r="D1371" s="144"/>
      <c r="E1371" s="67"/>
      <c r="F1371" s="67"/>
      <c r="G1371" s="67"/>
      <c r="H1371" s="67">
        <f>ROUND(+E1371+G1371,4)</f>
        <v>0</v>
      </c>
      <c r="I1371" s="67"/>
      <c r="J1371" s="67">
        <f>ROUND(+I1371-H1371,4)</f>
        <v>0</v>
      </c>
      <c r="K1371" s="67">
        <f>ROUND(IF(F1371="alluminio",0,I1371*1.5%),4)</f>
        <v>0</v>
      </c>
      <c r="L1371" s="67">
        <f>ROUND(IF(K1371&lt;J1371,K1371,0),4)</f>
        <v>0</v>
      </c>
      <c r="M1371" s="67">
        <f>ROUND(IF(J1371&gt;K1371,0,J1371),4)</f>
        <v>0</v>
      </c>
      <c r="N1371" s="67">
        <f>ROUND(+L1371*D1371,4)</f>
        <v>0</v>
      </c>
      <c r="O1371" s="67">
        <f>ROUND(IF(F1371="rame",0,+I1371*3%),4)</f>
        <v>0</v>
      </c>
      <c r="P1371" s="67">
        <f>ROUND(IF(O1371&lt;J1371,O1371,0),4)</f>
        <v>0</v>
      </c>
      <c r="Q1371" s="67">
        <f>ROUND(IF(J1371&gt;O1371,0,J1371),4)</f>
        <v>0</v>
      </c>
      <c r="R1371" s="67">
        <f>ROUND(+P1371*D1371,4)</f>
        <v>0</v>
      </c>
      <c r="S1371" s="67">
        <f>ROUND(IF(K1371=0,0,M1371*D1371),4)</f>
        <v>0</v>
      </c>
      <c r="T1371" s="67">
        <f>ROUND(+IF(K1371=0,Q1371*D1371,0),4)</f>
        <v>0</v>
      </c>
      <c r="U1371" s="67">
        <f>ROUND(+N1371+R1371+S1371+T1371,4)</f>
        <v>0</v>
      </c>
      <c r="V1371" s="67">
        <f>ROUND(IF(P1371=0,0,I1371-H1371-O1371)+IF(L1371=0,0,I1371-H1371-K1371),4)</f>
        <v>0</v>
      </c>
      <c r="W1371" s="67">
        <f>ROUND(+(V1371*60%)*D1371,4)</f>
        <v>0</v>
      </c>
      <c r="X1371" s="148">
        <f>ROUND(+U1371+W1371,4)</f>
        <v>0</v>
      </c>
      <c r="Y1371" s="68"/>
      <c r="Z1371" s="148">
        <f>ROUND(IF(X1371&gt;I1371,X1371,I1371),4)</f>
        <v>0</v>
      </c>
      <c r="AD1371" s="78">
        <f t="shared" si="20"/>
        <v>0</v>
      </c>
      <c r="AE1371" s="78">
        <f t="shared" si="21"/>
        <v>0</v>
      </c>
    </row>
    <row r="1372" spans="1:31" x14ac:dyDescent="0.2">
      <c r="A1372" s="66"/>
      <c r="B1372" s="66"/>
      <c r="C1372" s="66"/>
      <c r="D1372" s="144"/>
      <c r="E1372" s="67"/>
      <c r="F1372" s="67"/>
      <c r="G1372" s="67"/>
      <c r="H1372" s="67">
        <f>ROUND(+E1372+G1372,4)</f>
        <v>0</v>
      </c>
      <c r="I1372" s="67"/>
      <c r="J1372" s="67">
        <f>ROUND(+I1372-H1372,4)</f>
        <v>0</v>
      </c>
      <c r="K1372" s="67">
        <f>ROUND(IF(F1372="alluminio",0,I1372*1.5%),4)</f>
        <v>0</v>
      </c>
      <c r="L1372" s="67">
        <f>ROUND(IF(K1372&lt;J1372,K1372,0),4)</f>
        <v>0</v>
      </c>
      <c r="M1372" s="67">
        <f>ROUND(IF(J1372&gt;K1372,0,J1372),4)</f>
        <v>0</v>
      </c>
      <c r="N1372" s="67">
        <f>ROUND(+L1372*D1372,4)</f>
        <v>0</v>
      </c>
      <c r="O1372" s="67">
        <f>ROUND(IF(F1372="rame",0,+I1372*3%),4)</f>
        <v>0</v>
      </c>
      <c r="P1372" s="67">
        <f>ROUND(IF(O1372&lt;J1372,O1372,0),4)</f>
        <v>0</v>
      </c>
      <c r="Q1372" s="67">
        <f>ROUND(IF(J1372&gt;O1372,0,J1372),4)</f>
        <v>0</v>
      </c>
      <c r="R1372" s="67">
        <f>ROUND(+P1372*D1372,4)</f>
        <v>0</v>
      </c>
      <c r="S1372" s="67">
        <f>ROUND(IF(K1372=0,0,M1372*D1372),4)</f>
        <v>0</v>
      </c>
      <c r="T1372" s="67">
        <f>ROUND(+IF(K1372=0,Q1372*D1372,0),4)</f>
        <v>0</v>
      </c>
      <c r="U1372" s="67">
        <f>ROUND(+N1372+R1372+S1372+T1372,4)</f>
        <v>0</v>
      </c>
      <c r="V1372" s="67">
        <f>ROUND(IF(P1372=0,0,I1372-H1372-O1372)+IF(L1372=0,0,I1372-H1372-K1372),4)</f>
        <v>0</v>
      </c>
      <c r="W1372" s="67">
        <f>ROUND(+(V1372*60%)*D1372,4)</f>
        <v>0</v>
      </c>
      <c r="X1372" s="148">
        <f>ROUND(+U1372+W1372,4)</f>
        <v>0</v>
      </c>
      <c r="Y1372" s="68"/>
      <c r="Z1372" s="148">
        <f>ROUND(IF(X1372&gt;I1372,X1372,I1372),4)</f>
        <v>0</v>
      </c>
      <c r="AD1372" s="78">
        <f t="shared" si="20"/>
        <v>0</v>
      </c>
      <c r="AE1372" s="78">
        <f t="shared" si="21"/>
        <v>0</v>
      </c>
    </row>
    <row r="1373" spans="1:31" x14ac:dyDescent="0.2">
      <c r="A1373" s="66"/>
      <c r="B1373" s="66"/>
      <c r="C1373" s="66"/>
      <c r="D1373" s="144"/>
      <c r="E1373" s="67"/>
      <c r="F1373" s="67"/>
      <c r="G1373" s="67"/>
      <c r="H1373" s="67">
        <f>ROUND(+E1373+G1373,4)</f>
        <v>0</v>
      </c>
      <c r="I1373" s="67"/>
      <c r="J1373" s="67">
        <f>ROUND(+I1373-H1373,4)</f>
        <v>0</v>
      </c>
      <c r="K1373" s="67">
        <f>ROUND(IF(F1373="alluminio",0,I1373*1.5%),4)</f>
        <v>0</v>
      </c>
      <c r="L1373" s="67">
        <f>ROUND(IF(K1373&lt;J1373,K1373,0),4)</f>
        <v>0</v>
      </c>
      <c r="M1373" s="67">
        <f>ROUND(IF(J1373&gt;K1373,0,J1373),4)</f>
        <v>0</v>
      </c>
      <c r="N1373" s="67">
        <f>ROUND(+L1373*D1373,4)</f>
        <v>0</v>
      </c>
      <c r="O1373" s="67">
        <f>ROUND(IF(F1373="rame",0,+I1373*3%),4)</f>
        <v>0</v>
      </c>
      <c r="P1373" s="67">
        <f>ROUND(IF(O1373&lt;J1373,O1373,0),4)</f>
        <v>0</v>
      </c>
      <c r="Q1373" s="67">
        <f>ROUND(IF(J1373&gt;O1373,0,J1373),4)</f>
        <v>0</v>
      </c>
      <c r="R1373" s="67">
        <f>ROUND(+P1373*D1373,4)</f>
        <v>0</v>
      </c>
      <c r="S1373" s="67">
        <f>ROUND(IF(K1373=0,0,M1373*D1373),4)</f>
        <v>0</v>
      </c>
      <c r="T1373" s="67">
        <f>ROUND(+IF(K1373=0,Q1373*D1373,0),4)</f>
        <v>0</v>
      </c>
      <c r="U1373" s="67">
        <f>ROUND(+N1373+R1373+S1373+T1373,4)</f>
        <v>0</v>
      </c>
      <c r="V1373" s="67">
        <f>ROUND(IF(P1373=0,0,I1373-H1373-O1373)+IF(L1373=0,0,I1373-H1373-K1373),4)</f>
        <v>0</v>
      </c>
      <c r="W1373" s="67">
        <f>ROUND(+(V1373*60%)*D1373,4)</f>
        <v>0</v>
      </c>
      <c r="X1373" s="148">
        <f>ROUND(+U1373+W1373,4)</f>
        <v>0</v>
      </c>
      <c r="Y1373" s="68"/>
      <c r="Z1373" s="148">
        <f>ROUND(IF(X1373&gt;I1373,X1373,I1373),4)</f>
        <v>0</v>
      </c>
      <c r="AD1373" s="78">
        <f t="shared" si="20"/>
        <v>0</v>
      </c>
      <c r="AE1373" s="78">
        <f t="shared" si="21"/>
        <v>0</v>
      </c>
    </row>
    <row r="1374" spans="1:31" x14ac:dyDescent="0.2">
      <c r="A1374" s="66"/>
      <c r="B1374" s="66"/>
      <c r="C1374" s="66"/>
      <c r="D1374" s="144"/>
      <c r="E1374" s="67"/>
      <c r="F1374" s="67"/>
      <c r="G1374" s="67"/>
      <c r="H1374" s="67">
        <f>ROUND(+E1374+G1374,4)</f>
        <v>0</v>
      </c>
      <c r="I1374" s="67"/>
      <c r="J1374" s="67">
        <f>ROUND(+I1374-H1374,4)</f>
        <v>0</v>
      </c>
      <c r="K1374" s="67">
        <f>ROUND(IF(F1374="alluminio",0,I1374*1.5%),4)</f>
        <v>0</v>
      </c>
      <c r="L1374" s="67">
        <f>ROUND(IF(K1374&lt;J1374,K1374,0),4)</f>
        <v>0</v>
      </c>
      <c r="M1374" s="67">
        <f>ROUND(IF(J1374&gt;K1374,0,J1374),4)</f>
        <v>0</v>
      </c>
      <c r="N1374" s="67">
        <f>ROUND(+L1374*D1374,4)</f>
        <v>0</v>
      </c>
      <c r="O1374" s="67">
        <f>ROUND(IF(F1374="rame",0,+I1374*3%),4)</f>
        <v>0</v>
      </c>
      <c r="P1374" s="67">
        <f>ROUND(IF(O1374&lt;J1374,O1374,0),4)</f>
        <v>0</v>
      </c>
      <c r="Q1374" s="67">
        <f>ROUND(IF(J1374&gt;O1374,0,J1374),4)</f>
        <v>0</v>
      </c>
      <c r="R1374" s="67">
        <f>ROUND(+P1374*D1374,4)</f>
        <v>0</v>
      </c>
      <c r="S1374" s="67">
        <f>ROUND(IF(K1374=0,0,M1374*D1374),4)</f>
        <v>0</v>
      </c>
      <c r="T1374" s="67">
        <f>ROUND(+IF(K1374=0,Q1374*D1374,0),4)</f>
        <v>0</v>
      </c>
      <c r="U1374" s="67">
        <f>ROUND(+N1374+R1374+S1374+T1374,4)</f>
        <v>0</v>
      </c>
      <c r="V1374" s="67">
        <f>ROUND(IF(P1374=0,0,I1374-H1374-O1374)+IF(L1374=0,0,I1374-H1374-K1374),4)</f>
        <v>0</v>
      </c>
      <c r="W1374" s="67">
        <f>ROUND(+(V1374*60%)*D1374,4)</f>
        <v>0</v>
      </c>
      <c r="X1374" s="148">
        <f>ROUND(+U1374+W1374,4)</f>
        <v>0</v>
      </c>
      <c r="Y1374" s="68"/>
      <c r="Z1374" s="148">
        <f>ROUND(IF(X1374&gt;I1374,X1374,I1374),4)</f>
        <v>0</v>
      </c>
      <c r="AD1374" s="78">
        <f t="shared" si="20"/>
        <v>0</v>
      </c>
      <c r="AE1374" s="78">
        <f t="shared" si="21"/>
        <v>0</v>
      </c>
    </row>
    <row r="1375" spans="1:31" x14ac:dyDescent="0.2">
      <c r="A1375" s="66"/>
      <c r="B1375" s="66"/>
      <c r="C1375" s="66"/>
      <c r="D1375" s="144"/>
      <c r="E1375" s="67"/>
      <c r="F1375" s="67"/>
      <c r="G1375" s="67"/>
      <c r="H1375" s="67">
        <f>ROUND(+E1375+G1375,4)</f>
        <v>0</v>
      </c>
      <c r="I1375" s="67"/>
      <c r="J1375" s="67">
        <f>ROUND(+I1375-H1375,4)</f>
        <v>0</v>
      </c>
      <c r="K1375" s="67">
        <f>ROUND(IF(F1375="alluminio",0,I1375*1.5%),4)</f>
        <v>0</v>
      </c>
      <c r="L1375" s="67">
        <f>ROUND(IF(K1375&lt;J1375,K1375,0),4)</f>
        <v>0</v>
      </c>
      <c r="M1375" s="67">
        <f>ROUND(IF(J1375&gt;K1375,0,J1375),4)</f>
        <v>0</v>
      </c>
      <c r="N1375" s="67">
        <f>ROUND(+L1375*D1375,4)</f>
        <v>0</v>
      </c>
      <c r="O1375" s="67">
        <f>ROUND(IF(F1375="rame",0,+I1375*3%),4)</f>
        <v>0</v>
      </c>
      <c r="P1375" s="67">
        <f>ROUND(IF(O1375&lt;J1375,O1375,0),4)</f>
        <v>0</v>
      </c>
      <c r="Q1375" s="67">
        <f>ROUND(IF(J1375&gt;O1375,0,J1375),4)</f>
        <v>0</v>
      </c>
      <c r="R1375" s="67">
        <f>ROUND(+P1375*D1375,4)</f>
        <v>0</v>
      </c>
      <c r="S1375" s="67">
        <f>ROUND(IF(K1375=0,0,M1375*D1375),4)</f>
        <v>0</v>
      </c>
      <c r="T1375" s="67">
        <f>ROUND(+IF(K1375=0,Q1375*D1375,0),4)</f>
        <v>0</v>
      </c>
      <c r="U1375" s="67">
        <f>ROUND(+N1375+R1375+S1375+T1375,4)</f>
        <v>0</v>
      </c>
      <c r="V1375" s="67">
        <f>ROUND(IF(P1375=0,0,I1375-H1375-O1375)+IF(L1375=0,0,I1375-H1375-K1375),4)</f>
        <v>0</v>
      </c>
      <c r="W1375" s="67">
        <f>ROUND(+(V1375*60%)*D1375,4)</f>
        <v>0</v>
      </c>
      <c r="X1375" s="148">
        <f>ROUND(+U1375+W1375,4)</f>
        <v>0</v>
      </c>
      <c r="Y1375" s="68"/>
      <c r="Z1375" s="148">
        <f>ROUND(IF(X1375&gt;I1375,X1375,I1375),4)</f>
        <v>0</v>
      </c>
      <c r="AD1375" s="78">
        <f t="shared" si="20"/>
        <v>0</v>
      </c>
      <c r="AE1375" s="78">
        <f t="shared" si="21"/>
        <v>0</v>
      </c>
    </row>
    <row r="1376" spans="1:31" x14ac:dyDescent="0.2">
      <c r="A1376" s="66"/>
      <c r="B1376" s="66"/>
      <c r="C1376" s="66"/>
      <c r="D1376" s="144"/>
      <c r="E1376" s="67"/>
      <c r="F1376" s="67"/>
      <c r="G1376" s="67"/>
      <c r="H1376" s="67">
        <f>ROUND(+E1376+G1376,4)</f>
        <v>0</v>
      </c>
      <c r="I1376" s="67"/>
      <c r="J1376" s="67">
        <f>ROUND(+I1376-H1376,4)</f>
        <v>0</v>
      </c>
      <c r="K1376" s="67">
        <f>ROUND(IF(F1376="alluminio",0,I1376*1.5%),4)</f>
        <v>0</v>
      </c>
      <c r="L1376" s="67">
        <f>ROUND(IF(K1376&lt;J1376,K1376,0),4)</f>
        <v>0</v>
      </c>
      <c r="M1376" s="67">
        <f>ROUND(IF(J1376&gt;K1376,0,J1376),4)</f>
        <v>0</v>
      </c>
      <c r="N1376" s="67">
        <f>ROUND(+L1376*D1376,4)</f>
        <v>0</v>
      </c>
      <c r="O1376" s="67">
        <f>ROUND(IF(F1376="rame",0,+I1376*3%),4)</f>
        <v>0</v>
      </c>
      <c r="P1376" s="67">
        <f>ROUND(IF(O1376&lt;J1376,O1376,0),4)</f>
        <v>0</v>
      </c>
      <c r="Q1376" s="67">
        <f>ROUND(IF(J1376&gt;O1376,0,J1376),4)</f>
        <v>0</v>
      </c>
      <c r="R1376" s="67">
        <f>ROUND(+P1376*D1376,4)</f>
        <v>0</v>
      </c>
      <c r="S1376" s="67">
        <f>ROUND(IF(K1376=0,0,M1376*D1376),4)</f>
        <v>0</v>
      </c>
      <c r="T1376" s="67">
        <f>ROUND(+IF(K1376=0,Q1376*D1376,0),4)</f>
        <v>0</v>
      </c>
      <c r="U1376" s="67">
        <f>ROUND(+N1376+R1376+S1376+T1376,4)</f>
        <v>0</v>
      </c>
      <c r="V1376" s="67">
        <f>ROUND(IF(P1376=0,0,I1376-H1376-O1376)+IF(L1376=0,0,I1376-H1376-K1376),4)</f>
        <v>0</v>
      </c>
      <c r="W1376" s="67">
        <f>ROUND(+(V1376*60%)*D1376,4)</f>
        <v>0</v>
      </c>
      <c r="X1376" s="148">
        <f>ROUND(+U1376+W1376,4)</f>
        <v>0</v>
      </c>
      <c r="Y1376" s="68"/>
      <c r="Z1376" s="148">
        <f>ROUND(IF(X1376&gt;I1376,X1376,I1376),4)</f>
        <v>0</v>
      </c>
      <c r="AD1376" s="78">
        <f t="shared" si="20"/>
        <v>0</v>
      </c>
      <c r="AE1376" s="78">
        <f t="shared" si="21"/>
        <v>0</v>
      </c>
    </row>
    <row r="1377" spans="1:31" x14ac:dyDescent="0.2">
      <c r="A1377" s="66"/>
      <c r="B1377" s="66"/>
      <c r="C1377" s="66"/>
      <c r="D1377" s="144"/>
      <c r="E1377" s="67"/>
      <c r="F1377" s="67"/>
      <c r="G1377" s="67"/>
      <c r="H1377" s="67">
        <f>ROUND(+E1377+G1377,4)</f>
        <v>0</v>
      </c>
      <c r="I1377" s="67"/>
      <c r="J1377" s="67">
        <f>ROUND(+I1377-H1377,4)</f>
        <v>0</v>
      </c>
      <c r="K1377" s="67">
        <f>ROUND(IF(F1377="alluminio",0,I1377*1.5%),4)</f>
        <v>0</v>
      </c>
      <c r="L1377" s="67">
        <f>ROUND(IF(K1377&lt;J1377,K1377,0),4)</f>
        <v>0</v>
      </c>
      <c r="M1377" s="67">
        <f>ROUND(IF(J1377&gt;K1377,0,J1377),4)</f>
        <v>0</v>
      </c>
      <c r="N1377" s="67">
        <f>ROUND(+L1377*D1377,4)</f>
        <v>0</v>
      </c>
      <c r="O1377" s="67">
        <f>ROUND(IF(F1377="rame",0,+I1377*3%),4)</f>
        <v>0</v>
      </c>
      <c r="P1377" s="67">
        <f>ROUND(IF(O1377&lt;J1377,O1377,0),4)</f>
        <v>0</v>
      </c>
      <c r="Q1377" s="67">
        <f>ROUND(IF(J1377&gt;O1377,0,J1377),4)</f>
        <v>0</v>
      </c>
      <c r="R1377" s="67">
        <f>ROUND(+P1377*D1377,4)</f>
        <v>0</v>
      </c>
      <c r="S1377" s="67">
        <f>ROUND(IF(K1377=0,0,M1377*D1377),4)</f>
        <v>0</v>
      </c>
      <c r="T1377" s="67">
        <f>ROUND(+IF(K1377=0,Q1377*D1377,0),4)</f>
        <v>0</v>
      </c>
      <c r="U1377" s="67">
        <f>ROUND(+N1377+R1377+S1377+T1377,4)</f>
        <v>0</v>
      </c>
      <c r="V1377" s="67">
        <f>ROUND(IF(P1377=0,0,I1377-H1377-O1377)+IF(L1377=0,0,I1377-H1377-K1377),4)</f>
        <v>0</v>
      </c>
      <c r="W1377" s="67">
        <f>ROUND(+(V1377*60%)*D1377,4)</f>
        <v>0</v>
      </c>
      <c r="X1377" s="148">
        <f>ROUND(+U1377+W1377,4)</f>
        <v>0</v>
      </c>
      <c r="Y1377" s="68"/>
      <c r="Z1377" s="148">
        <f>ROUND(IF(X1377&gt;I1377,X1377,I1377),4)</f>
        <v>0</v>
      </c>
      <c r="AD1377" s="78">
        <f t="shared" si="20"/>
        <v>0</v>
      </c>
      <c r="AE1377" s="78">
        <f t="shared" si="21"/>
        <v>0</v>
      </c>
    </row>
    <row r="1378" spans="1:31" x14ac:dyDescent="0.2">
      <c r="A1378" s="66"/>
      <c r="B1378" s="66"/>
      <c r="C1378" s="66"/>
      <c r="D1378" s="144"/>
      <c r="E1378" s="67"/>
      <c r="F1378" s="67"/>
      <c r="G1378" s="67"/>
      <c r="H1378" s="67">
        <f>ROUND(+E1378+G1378,4)</f>
        <v>0</v>
      </c>
      <c r="I1378" s="67"/>
      <c r="J1378" s="67">
        <f>ROUND(+I1378-H1378,4)</f>
        <v>0</v>
      </c>
      <c r="K1378" s="67">
        <f>ROUND(IF(F1378="alluminio",0,I1378*1.5%),4)</f>
        <v>0</v>
      </c>
      <c r="L1378" s="67">
        <f>ROUND(IF(K1378&lt;J1378,K1378,0),4)</f>
        <v>0</v>
      </c>
      <c r="M1378" s="67">
        <f>ROUND(IF(J1378&gt;K1378,0,J1378),4)</f>
        <v>0</v>
      </c>
      <c r="N1378" s="67">
        <f>ROUND(+L1378*D1378,4)</f>
        <v>0</v>
      </c>
      <c r="O1378" s="67">
        <f>ROUND(IF(F1378="rame",0,+I1378*3%),4)</f>
        <v>0</v>
      </c>
      <c r="P1378" s="67">
        <f>ROUND(IF(O1378&lt;J1378,O1378,0),4)</f>
        <v>0</v>
      </c>
      <c r="Q1378" s="67">
        <f>ROUND(IF(J1378&gt;O1378,0,J1378),4)</f>
        <v>0</v>
      </c>
      <c r="R1378" s="67">
        <f>ROUND(+P1378*D1378,4)</f>
        <v>0</v>
      </c>
      <c r="S1378" s="67">
        <f>ROUND(IF(K1378=0,0,M1378*D1378),4)</f>
        <v>0</v>
      </c>
      <c r="T1378" s="67">
        <f>ROUND(+IF(K1378=0,Q1378*D1378,0),4)</f>
        <v>0</v>
      </c>
      <c r="U1378" s="67">
        <f>ROUND(+N1378+R1378+S1378+T1378,4)</f>
        <v>0</v>
      </c>
      <c r="V1378" s="67">
        <f>ROUND(IF(P1378=0,0,I1378-H1378-O1378)+IF(L1378=0,0,I1378-H1378-K1378),4)</f>
        <v>0</v>
      </c>
      <c r="W1378" s="67">
        <f>ROUND(+(V1378*60%)*D1378,4)</f>
        <v>0</v>
      </c>
      <c r="X1378" s="148">
        <f>ROUND(+U1378+W1378,4)</f>
        <v>0</v>
      </c>
      <c r="Y1378" s="68"/>
      <c r="Z1378" s="148">
        <f>ROUND(IF(X1378&gt;I1378,X1378,I1378),4)</f>
        <v>0</v>
      </c>
      <c r="AD1378" s="78">
        <f t="shared" si="20"/>
        <v>0</v>
      </c>
      <c r="AE1378" s="78">
        <f t="shared" si="21"/>
        <v>0</v>
      </c>
    </row>
    <row r="1379" spans="1:31" x14ac:dyDescent="0.2">
      <c r="A1379" s="66"/>
      <c r="B1379" s="66"/>
      <c r="C1379" s="66"/>
      <c r="D1379" s="144"/>
      <c r="E1379" s="67"/>
      <c r="F1379" s="67"/>
      <c r="G1379" s="67"/>
      <c r="H1379" s="67">
        <f>ROUND(+E1379+G1379,4)</f>
        <v>0</v>
      </c>
      <c r="I1379" s="67"/>
      <c r="J1379" s="67">
        <f>ROUND(+I1379-H1379,4)</f>
        <v>0</v>
      </c>
      <c r="K1379" s="67">
        <f>ROUND(IF(F1379="alluminio",0,I1379*1.5%),4)</f>
        <v>0</v>
      </c>
      <c r="L1379" s="67">
        <f>ROUND(IF(K1379&lt;J1379,K1379,0),4)</f>
        <v>0</v>
      </c>
      <c r="M1379" s="67">
        <f>ROUND(IF(J1379&gt;K1379,0,J1379),4)</f>
        <v>0</v>
      </c>
      <c r="N1379" s="67">
        <f>ROUND(+L1379*D1379,4)</f>
        <v>0</v>
      </c>
      <c r="O1379" s="67">
        <f>ROUND(IF(F1379="rame",0,+I1379*3%),4)</f>
        <v>0</v>
      </c>
      <c r="P1379" s="67">
        <f>ROUND(IF(O1379&lt;J1379,O1379,0),4)</f>
        <v>0</v>
      </c>
      <c r="Q1379" s="67">
        <f>ROUND(IF(J1379&gt;O1379,0,J1379),4)</f>
        <v>0</v>
      </c>
      <c r="R1379" s="67">
        <f>ROUND(+P1379*D1379,4)</f>
        <v>0</v>
      </c>
      <c r="S1379" s="67">
        <f>ROUND(IF(K1379=0,0,M1379*D1379),4)</f>
        <v>0</v>
      </c>
      <c r="T1379" s="67">
        <f>ROUND(+IF(K1379=0,Q1379*D1379,0),4)</f>
        <v>0</v>
      </c>
      <c r="U1379" s="67">
        <f>ROUND(+N1379+R1379+S1379+T1379,4)</f>
        <v>0</v>
      </c>
      <c r="V1379" s="67">
        <f>ROUND(IF(P1379=0,0,I1379-H1379-O1379)+IF(L1379=0,0,I1379-H1379-K1379),4)</f>
        <v>0</v>
      </c>
      <c r="W1379" s="67">
        <f>ROUND(+(V1379*60%)*D1379,4)</f>
        <v>0</v>
      </c>
      <c r="X1379" s="148">
        <f>ROUND(+U1379+W1379,4)</f>
        <v>0</v>
      </c>
      <c r="Y1379" s="68"/>
      <c r="Z1379" s="148">
        <f>ROUND(IF(X1379&gt;I1379,X1379,I1379),4)</f>
        <v>0</v>
      </c>
      <c r="AD1379" s="78">
        <f t="shared" si="20"/>
        <v>0</v>
      </c>
      <c r="AE1379" s="78">
        <f t="shared" si="21"/>
        <v>0</v>
      </c>
    </row>
    <row r="1380" spans="1:31" x14ac:dyDescent="0.2">
      <c r="A1380" s="66"/>
      <c r="B1380" s="66"/>
      <c r="C1380" s="66"/>
      <c r="D1380" s="144"/>
      <c r="E1380" s="67"/>
      <c r="F1380" s="67"/>
      <c r="G1380" s="67"/>
      <c r="H1380" s="67">
        <f>ROUND(+E1380+G1380,4)</f>
        <v>0</v>
      </c>
      <c r="I1380" s="67"/>
      <c r="J1380" s="67">
        <f>ROUND(+I1380-H1380,4)</f>
        <v>0</v>
      </c>
      <c r="K1380" s="67">
        <f>ROUND(IF(F1380="alluminio",0,I1380*1.5%),4)</f>
        <v>0</v>
      </c>
      <c r="L1380" s="67">
        <f>ROUND(IF(K1380&lt;J1380,K1380,0),4)</f>
        <v>0</v>
      </c>
      <c r="M1380" s="67">
        <f>ROUND(IF(J1380&gt;K1380,0,J1380),4)</f>
        <v>0</v>
      </c>
      <c r="N1380" s="67">
        <f>ROUND(+L1380*D1380,4)</f>
        <v>0</v>
      </c>
      <c r="O1380" s="67">
        <f>ROUND(IF(F1380="rame",0,+I1380*3%),4)</f>
        <v>0</v>
      </c>
      <c r="P1380" s="67">
        <f>ROUND(IF(O1380&lt;J1380,O1380,0),4)</f>
        <v>0</v>
      </c>
      <c r="Q1380" s="67">
        <f>ROUND(IF(J1380&gt;O1380,0,J1380),4)</f>
        <v>0</v>
      </c>
      <c r="R1380" s="67">
        <f>ROUND(+P1380*D1380,4)</f>
        <v>0</v>
      </c>
      <c r="S1380" s="67">
        <f>ROUND(IF(K1380=0,0,M1380*D1380),4)</f>
        <v>0</v>
      </c>
      <c r="T1380" s="67">
        <f>ROUND(+IF(K1380=0,Q1380*D1380,0),4)</f>
        <v>0</v>
      </c>
      <c r="U1380" s="67">
        <f>ROUND(+N1380+R1380+S1380+T1380,4)</f>
        <v>0</v>
      </c>
      <c r="V1380" s="67">
        <f>ROUND(IF(P1380=0,0,I1380-H1380-O1380)+IF(L1380=0,0,I1380-H1380-K1380),4)</f>
        <v>0</v>
      </c>
      <c r="W1380" s="67">
        <f>ROUND(+(V1380*60%)*D1380,4)</f>
        <v>0</v>
      </c>
      <c r="X1380" s="148">
        <f>ROUND(+U1380+W1380,4)</f>
        <v>0</v>
      </c>
      <c r="Y1380" s="68"/>
      <c r="Z1380" s="148">
        <f>ROUND(IF(X1380&gt;I1380,X1380,I1380),4)</f>
        <v>0</v>
      </c>
      <c r="AD1380" s="78">
        <f t="shared" si="20"/>
        <v>0</v>
      </c>
      <c r="AE1380" s="78">
        <f t="shared" si="21"/>
        <v>0</v>
      </c>
    </row>
    <row r="1381" spans="1:31" x14ac:dyDescent="0.2">
      <c r="A1381" s="66"/>
      <c r="B1381" s="66"/>
      <c r="C1381" s="66"/>
      <c r="D1381" s="144"/>
      <c r="E1381" s="67"/>
      <c r="F1381" s="67"/>
      <c r="G1381" s="67"/>
      <c r="H1381" s="67">
        <f>ROUND(+E1381+G1381,4)</f>
        <v>0</v>
      </c>
      <c r="I1381" s="67"/>
      <c r="J1381" s="67">
        <f>ROUND(+I1381-H1381,4)</f>
        <v>0</v>
      </c>
      <c r="K1381" s="67">
        <f>ROUND(IF(F1381="alluminio",0,I1381*1.5%),4)</f>
        <v>0</v>
      </c>
      <c r="L1381" s="67">
        <f>ROUND(IF(K1381&lt;J1381,K1381,0),4)</f>
        <v>0</v>
      </c>
      <c r="M1381" s="67">
        <f>ROUND(IF(J1381&gt;K1381,0,J1381),4)</f>
        <v>0</v>
      </c>
      <c r="N1381" s="67">
        <f>ROUND(+L1381*D1381,4)</f>
        <v>0</v>
      </c>
      <c r="O1381" s="67">
        <f>ROUND(IF(F1381="rame",0,+I1381*3%),4)</f>
        <v>0</v>
      </c>
      <c r="P1381" s="67">
        <f>ROUND(IF(O1381&lt;J1381,O1381,0),4)</f>
        <v>0</v>
      </c>
      <c r="Q1381" s="67">
        <f>ROUND(IF(J1381&gt;O1381,0,J1381),4)</f>
        <v>0</v>
      </c>
      <c r="R1381" s="67">
        <f>ROUND(+P1381*D1381,4)</f>
        <v>0</v>
      </c>
      <c r="S1381" s="67">
        <f>ROUND(IF(K1381=0,0,M1381*D1381),4)</f>
        <v>0</v>
      </c>
      <c r="T1381" s="67">
        <f>ROUND(+IF(K1381=0,Q1381*D1381,0),4)</f>
        <v>0</v>
      </c>
      <c r="U1381" s="67">
        <f>ROUND(+N1381+R1381+S1381+T1381,4)</f>
        <v>0</v>
      </c>
      <c r="V1381" s="67">
        <f>ROUND(IF(P1381=0,0,I1381-H1381-O1381)+IF(L1381=0,0,I1381-H1381-K1381),4)</f>
        <v>0</v>
      </c>
      <c r="W1381" s="67">
        <f>ROUND(+(V1381*60%)*D1381,4)</f>
        <v>0</v>
      </c>
      <c r="X1381" s="148">
        <f>ROUND(+U1381+W1381,4)</f>
        <v>0</v>
      </c>
      <c r="Y1381" s="68"/>
      <c r="Z1381" s="148">
        <f>ROUND(IF(X1381&gt;I1381,X1381,I1381),4)</f>
        <v>0</v>
      </c>
      <c r="AD1381" s="78">
        <f t="shared" si="20"/>
        <v>0</v>
      </c>
      <c r="AE1381" s="78">
        <f t="shared" si="21"/>
        <v>0</v>
      </c>
    </row>
    <row r="1382" spans="1:31" x14ac:dyDescent="0.2">
      <c r="A1382" s="66"/>
      <c r="B1382" s="66"/>
      <c r="C1382" s="66"/>
      <c r="D1382" s="144"/>
      <c r="E1382" s="67"/>
      <c r="F1382" s="67"/>
      <c r="G1382" s="67"/>
      <c r="H1382" s="67">
        <f>ROUND(+E1382+G1382,4)</f>
        <v>0</v>
      </c>
      <c r="I1382" s="67"/>
      <c r="J1382" s="67">
        <f>ROUND(+I1382-H1382,4)</f>
        <v>0</v>
      </c>
      <c r="K1382" s="67">
        <f>ROUND(IF(F1382="alluminio",0,I1382*1.5%),4)</f>
        <v>0</v>
      </c>
      <c r="L1382" s="67">
        <f>ROUND(IF(K1382&lt;J1382,K1382,0),4)</f>
        <v>0</v>
      </c>
      <c r="M1382" s="67">
        <f>ROUND(IF(J1382&gt;K1382,0,J1382),4)</f>
        <v>0</v>
      </c>
      <c r="N1382" s="67">
        <f>ROUND(+L1382*D1382,4)</f>
        <v>0</v>
      </c>
      <c r="O1382" s="67">
        <f>ROUND(IF(F1382="rame",0,+I1382*3%),4)</f>
        <v>0</v>
      </c>
      <c r="P1382" s="67">
        <f>ROUND(IF(O1382&lt;J1382,O1382,0),4)</f>
        <v>0</v>
      </c>
      <c r="Q1382" s="67">
        <f>ROUND(IF(J1382&gt;O1382,0,J1382),4)</f>
        <v>0</v>
      </c>
      <c r="R1382" s="67">
        <f>ROUND(+P1382*D1382,4)</f>
        <v>0</v>
      </c>
      <c r="S1382" s="67">
        <f>ROUND(IF(K1382=0,0,M1382*D1382),4)</f>
        <v>0</v>
      </c>
      <c r="T1382" s="67">
        <f>ROUND(+IF(K1382=0,Q1382*D1382,0),4)</f>
        <v>0</v>
      </c>
      <c r="U1382" s="67">
        <f>ROUND(+N1382+R1382+S1382+T1382,4)</f>
        <v>0</v>
      </c>
      <c r="V1382" s="67">
        <f>ROUND(IF(P1382=0,0,I1382-H1382-O1382)+IF(L1382=0,0,I1382-H1382-K1382),4)</f>
        <v>0</v>
      </c>
      <c r="W1382" s="67">
        <f>ROUND(+(V1382*60%)*D1382,4)</f>
        <v>0</v>
      </c>
      <c r="X1382" s="148">
        <f>ROUND(+U1382+W1382,4)</f>
        <v>0</v>
      </c>
      <c r="Y1382" s="68"/>
      <c r="Z1382" s="148">
        <f>ROUND(IF(X1382&gt;I1382,X1382,I1382),4)</f>
        <v>0</v>
      </c>
      <c r="AD1382" s="78">
        <f t="shared" si="20"/>
        <v>0</v>
      </c>
      <c r="AE1382" s="78">
        <f t="shared" si="21"/>
        <v>0</v>
      </c>
    </row>
    <row r="1383" spans="1:31" x14ac:dyDescent="0.2">
      <c r="A1383" s="66"/>
      <c r="B1383" s="66"/>
      <c r="C1383" s="66"/>
      <c r="D1383" s="144"/>
      <c r="E1383" s="67"/>
      <c r="F1383" s="67"/>
      <c r="G1383" s="67"/>
      <c r="H1383" s="67">
        <f>ROUND(+E1383+G1383,4)</f>
        <v>0</v>
      </c>
      <c r="I1383" s="67"/>
      <c r="J1383" s="67">
        <f>ROUND(+I1383-H1383,4)</f>
        <v>0</v>
      </c>
      <c r="K1383" s="67">
        <f>ROUND(IF(F1383="alluminio",0,I1383*1.5%),4)</f>
        <v>0</v>
      </c>
      <c r="L1383" s="67">
        <f>ROUND(IF(K1383&lt;J1383,K1383,0),4)</f>
        <v>0</v>
      </c>
      <c r="M1383" s="67">
        <f>ROUND(IF(J1383&gt;K1383,0,J1383),4)</f>
        <v>0</v>
      </c>
      <c r="N1383" s="67">
        <f>ROUND(+L1383*D1383,4)</f>
        <v>0</v>
      </c>
      <c r="O1383" s="67">
        <f>ROUND(IF(F1383="rame",0,+I1383*3%),4)</f>
        <v>0</v>
      </c>
      <c r="P1383" s="67">
        <f>ROUND(IF(O1383&lt;J1383,O1383,0),4)</f>
        <v>0</v>
      </c>
      <c r="Q1383" s="67">
        <f>ROUND(IF(J1383&gt;O1383,0,J1383),4)</f>
        <v>0</v>
      </c>
      <c r="R1383" s="67">
        <f>ROUND(+P1383*D1383,4)</f>
        <v>0</v>
      </c>
      <c r="S1383" s="67">
        <f>ROUND(IF(K1383=0,0,M1383*D1383),4)</f>
        <v>0</v>
      </c>
      <c r="T1383" s="67">
        <f>ROUND(+IF(K1383=0,Q1383*D1383,0),4)</f>
        <v>0</v>
      </c>
      <c r="U1383" s="67">
        <f>ROUND(+N1383+R1383+S1383+T1383,4)</f>
        <v>0</v>
      </c>
      <c r="V1383" s="67">
        <f>ROUND(IF(P1383=0,0,I1383-H1383-O1383)+IF(L1383=0,0,I1383-H1383-K1383),4)</f>
        <v>0</v>
      </c>
      <c r="W1383" s="67">
        <f>ROUND(+(V1383*60%)*D1383,4)</f>
        <v>0</v>
      </c>
      <c r="X1383" s="148">
        <f>ROUND(+U1383+W1383,4)</f>
        <v>0</v>
      </c>
      <c r="Y1383" s="68"/>
      <c r="Z1383" s="148">
        <f>ROUND(IF(X1383&gt;I1383,X1383,I1383),4)</f>
        <v>0</v>
      </c>
      <c r="AD1383" s="78">
        <f t="shared" si="20"/>
        <v>0</v>
      </c>
      <c r="AE1383" s="78">
        <f t="shared" si="21"/>
        <v>0</v>
      </c>
    </row>
    <row r="1384" spans="1:31" x14ac:dyDescent="0.2">
      <c r="A1384" s="66"/>
      <c r="B1384" s="66"/>
      <c r="C1384" s="66"/>
      <c r="D1384" s="144"/>
      <c r="E1384" s="67"/>
      <c r="F1384" s="67"/>
      <c r="G1384" s="67"/>
      <c r="H1384" s="67">
        <f>ROUND(+E1384+G1384,4)</f>
        <v>0</v>
      </c>
      <c r="I1384" s="67"/>
      <c r="J1384" s="67">
        <f>ROUND(+I1384-H1384,4)</f>
        <v>0</v>
      </c>
      <c r="K1384" s="67">
        <f>ROUND(IF(F1384="alluminio",0,I1384*1.5%),4)</f>
        <v>0</v>
      </c>
      <c r="L1384" s="67">
        <f>ROUND(IF(K1384&lt;J1384,K1384,0),4)</f>
        <v>0</v>
      </c>
      <c r="M1384" s="67">
        <f>ROUND(IF(J1384&gt;K1384,0,J1384),4)</f>
        <v>0</v>
      </c>
      <c r="N1384" s="67">
        <f>ROUND(+L1384*D1384,4)</f>
        <v>0</v>
      </c>
      <c r="O1384" s="67">
        <f>ROUND(IF(F1384="rame",0,+I1384*3%),4)</f>
        <v>0</v>
      </c>
      <c r="P1384" s="67">
        <f>ROUND(IF(O1384&lt;J1384,O1384,0),4)</f>
        <v>0</v>
      </c>
      <c r="Q1384" s="67">
        <f>ROUND(IF(J1384&gt;O1384,0,J1384),4)</f>
        <v>0</v>
      </c>
      <c r="R1384" s="67">
        <f>ROUND(+P1384*D1384,4)</f>
        <v>0</v>
      </c>
      <c r="S1384" s="67">
        <f>ROUND(IF(K1384=0,0,M1384*D1384),4)</f>
        <v>0</v>
      </c>
      <c r="T1384" s="67">
        <f>ROUND(+IF(K1384=0,Q1384*D1384,0),4)</f>
        <v>0</v>
      </c>
      <c r="U1384" s="67">
        <f>ROUND(+N1384+R1384+S1384+T1384,4)</f>
        <v>0</v>
      </c>
      <c r="V1384" s="67">
        <f>ROUND(IF(P1384=0,0,I1384-H1384-O1384)+IF(L1384=0,0,I1384-H1384-K1384),4)</f>
        <v>0</v>
      </c>
      <c r="W1384" s="67">
        <f>ROUND(+(V1384*60%)*D1384,4)</f>
        <v>0</v>
      </c>
      <c r="X1384" s="148">
        <f>ROUND(+U1384+W1384,4)</f>
        <v>0</v>
      </c>
      <c r="Y1384" s="68"/>
      <c r="Z1384" s="148">
        <f>ROUND(IF(X1384&gt;I1384,X1384,I1384),4)</f>
        <v>0</v>
      </c>
      <c r="AD1384" s="78">
        <f t="shared" si="20"/>
        <v>0</v>
      </c>
      <c r="AE1384" s="78">
        <f t="shared" si="21"/>
        <v>0</v>
      </c>
    </row>
    <row r="1385" spans="1:31" x14ac:dyDescent="0.2">
      <c r="A1385" s="66"/>
      <c r="B1385" s="66"/>
      <c r="C1385" s="66"/>
      <c r="D1385" s="144"/>
      <c r="E1385" s="67"/>
      <c r="F1385" s="67"/>
      <c r="G1385" s="67"/>
      <c r="H1385" s="67">
        <f>ROUND(+E1385+G1385,4)</f>
        <v>0</v>
      </c>
      <c r="I1385" s="67"/>
      <c r="J1385" s="67">
        <f>ROUND(+I1385-H1385,4)</f>
        <v>0</v>
      </c>
      <c r="K1385" s="67">
        <f>ROUND(IF(F1385="alluminio",0,I1385*1.5%),4)</f>
        <v>0</v>
      </c>
      <c r="L1385" s="67">
        <f>ROUND(IF(K1385&lt;J1385,K1385,0),4)</f>
        <v>0</v>
      </c>
      <c r="M1385" s="67">
        <f>ROUND(IF(J1385&gt;K1385,0,J1385),4)</f>
        <v>0</v>
      </c>
      <c r="N1385" s="67">
        <f>ROUND(+L1385*D1385,4)</f>
        <v>0</v>
      </c>
      <c r="O1385" s="67">
        <f>ROUND(IF(F1385="rame",0,+I1385*3%),4)</f>
        <v>0</v>
      </c>
      <c r="P1385" s="67">
        <f>ROUND(IF(O1385&lt;J1385,O1385,0),4)</f>
        <v>0</v>
      </c>
      <c r="Q1385" s="67">
        <f>ROUND(IF(J1385&gt;O1385,0,J1385),4)</f>
        <v>0</v>
      </c>
      <c r="R1385" s="67">
        <f>ROUND(+P1385*D1385,4)</f>
        <v>0</v>
      </c>
      <c r="S1385" s="67">
        <f>ROUND(IF(K1385=0,0,M1385*D1385),4)</f>
        <v>0</v>
      </c>
      <c r="T1385" s="67">
        <f>ROUND(+IF(K1385=0,Q1385*D1385,0),4)</f>
        <v>0</v>
      </c>
      <c r="U1385" s="67">
        <f>ROUND(+N1385+R1385+S1385+T1385,4)</f>
        <v>0</v>
      </c>
      <c r="V1385" s="67">
        <f>ROUND(IF(P1385=0,0,I1385-H1385-O1385)+IF(L1385=0,0,I1385-H1385-K1385),4)</f>
        <v>0</v>
      </c>
      <c r="W1385" s="67">
        <f>ROUND(+(V1385*60%)*D1385,4)</f>
        <v>0</v>
      </c>
      <c r="X1385" s="148">
        <f>ROUND(+U1385+W1385,4)</f>
        <v>0</v>
      </c>
      <c r="Y1385" s="68"/>
      <c r="Z1385" s="148">
        <f>ROUND(IF(X1385&gt;I1385,X1385,I1385),4)</f>
        <v>0</v>
      </c>
      <c r="AD1385" s="78">
        <f t="shared" si="20"/>
        <v>0</v>
      </c>
      <c r="AE1385" s="78">
        <f t="shared" si="21"/>
        <v>0</v>
      </c>
    </row>
    <row r="1386" spans="1:31" x14ac:dyDescent="0.2">
      <c r="A1386" s="66"/>
      <c r="B1386" s="66"/>
      <c r="C1386" s="66"/>
      <c r="D1386" s="144"/>
      <c r="E1386" s="67"/>
      <c r="F1386" s="67"/>
      <c r="G1386" s="67"/>
      <c r="H1386" s="67">
        <f>ROUND(+E1386+G1386,4)</f>
        <v>0</v>
      </c>
      <c r="I1386" s="67"/>
      <c r="J1386" s="67">
        <f>ROUND(+I1386-H1386,4)</f>
        <v>0</v>
      </c>
      <c r="K1386" s="67">
        <f>ROUND(IF(F1386="alluminio",0,I1386*1.5%),4)</f>
        <v>0</v>
      </c>
      <c r="L1386" s="67">
        <f>ROUND(IF(K1386&lt;J1386,K1386,0),4)</f>
        <v>0</v>
      </c>
      <c r="M1386" s="67">
        <f>ROUND(IF(J1386&gt;K1386,0,J1386),4)</f>
        <v>0</v>
      </c>
      <c r="N1386" s="67">
        <f>ROUND(+L1386*D1386,4)</f>
        <v>0</v>
      </c>
      <c r="O1386" s="67">
        <f>ROUND(IF(F1386="rame",0,+I1386*3%),4)</f>
        <v>0</v>
      </c>
      <c r="P1386" s="67">
        <f>ROUND(IF(O1386&lt;J1386,O1386,0),4)</f>
        <v>0</v>
      </c>
      <c r="Q1386" s="67">
        <f>ROUND(IF(J1386&gt;O1386,0,J1386),4)</f>
        <v>0</v>
      </c>
      <c r="R1386" s="67">
        <f>ROUND(+P1386*D1386,4)</f>
        <v>0</v>
      </c>
      <c r="S1386" s="67">
        <f>ROUND(IF(K1386=0,0,M1386*D1386),4)</f>
        <v>0</v>
      </c>
      <c r="T1386" s="67">
        <f>ROUND(+IF(K1386=0,Q1386*D1386,0),4)</f>
        <v>0</v>
      </c>
      <c r="U1386" s="67">
        <f>ROUND(+N1386+R1386+S1386+T1386,4)</f>
        <v>0</v>
      </c>
      <c r="V1386" s="67">
        <f>ROUND(IF(P1386=0,0,I1386-H1386-O1386)+IF(L1386=0,0,I1386-H1386-K1386),4)</f>
        <v>0</v>
      </c>
      <c r="W1386" s="67">
        <f>ROUND(+(V1386*60%)*D1386,4)</f>
        <v>0</v>
      </c>
      <c r="X1386" s="148">
        <f>ROUND(+U1386+W1386,4)</f>
        <v>0</v>
      </c>
      <c r="Y1386" s="68"/>
      <c r="Z1386" s="148">
        <f>ROUND(IF(X1386&gt;I1386,X1386,I1386),4)</f>
        <v>0</v>
      </c>
      <c r="AD1386" s="78">
        <f t="shared" si="20"/>
        <v>0</v>
      </c>
      <c r="AE1386" s="78">
        <f t="shared" si="21"/>
        <v>0</v>
      </c>
    </row>
    <row r="1387" spans="1:31" x14ac:dyDescent="0.2">
      <c r="A1387" s="66"/>
      <c r="B1387" s="66"/>
      <c r="C1387" s="66"/>
      <c r="D1387" s="144"/>
      <c r="E1387" s="67"/>
      <c r="F1387" s="67"/>
      <c r="G1387" s="67"/>
      <c r="H1387" s="67">
        <f>ROUND(+E1387+G1387,4)</f>
        <v>0</v>
      </c>
      <c r="I1387" s="67"/>
      <c r="J1387" s="67">
        <f>ROUND(+I1387-H1387,4)</f>
        <v>0</v>
      </c>
      <c r="K1387" s="67">
        <f>ROUND(IF(F1387="alluminio",0,I1387*1.5%),4)</f>
        <v>0</v>
      </c>
      <c r="L1387" s="67">
        <f>ROUND(IF(K1387&lt;J1387,K1387,0),4)</f>
        <v>0</v>
      </c>
      <c r="M1387" s="67">
        <f>ROUND(IF(J1387&gt;K1387,0,J1387),4)</f>
        <v>0</v>
      </c>
      <c r="N1387" s="67">
        <f>ROUND(+L1387*D1387,4)</f>
        <v>0</v>
      </c>
      <c r="O1387" s="67">
        <f>ROUND(IF(F1387="rame",0,+I1387*3%),4)</f>
        <v>0</v>
      </c>
      <c r="P1387" s="67">
        <f>ROUND(IF(O1387&lt;J1387,O1387,0),4)</f>
        <v>0</v>
      </c>
      <c r="Q1387" s="67">
        <f>ROUND(IF(J1387&gt;O1387,0,J1387),4)</f>
        <v>0</v>
      </c>
      <c r="R1387" s="67">
        <f>ROUND(+P1387*D1387,4)</f>
        <v>0</v>
      </c>
      <c r="S1387" s="67">
        <f>ROUND(IF(K1387=0,0,M1387*D1387),4)</f>
        <v>0</v>
      </c>
      <c r="T1387" s="67">
        <f>ROUND(+IF(K1387=0,Q1387*D1387,0),4)</f>
        <v>0</v>
      </c>
      <c r="U1387" s="67">
        <f>ROUND(+N1387+R1387+S1387+T1387,4)</f>
        <v>0</v>
      </c>
      <c r="V1387" s="67">
        <f>ROUND(IF(P1387=0,0,I1387-H1387-O1387)+IF(L1387=0,0,I1387-H1387-K1387),4)</f>
        <v>0</v>
      </c>
      <c r="W1387" s="67">
        <f>ROUND(+(V1387*60%)*D1387,4)</f>
        <v>0</v>
      </c>
      <c r="X1387" s="148">
        <f>ROUND(+U1387+W1387,4)</f>
        <v>0</v>
      </c>
      <c r="Y1387" s="68"/>
      <c r="Z1387" s="148">
        <f>ROUND(IF(X1387&gt;I1387,X1387,I1387),4)</f>
        <v>0</v>
      </c>
      <c r="AD1387" s="78">
        <f t="shared" si="20"/>
        <v>0</v>
      </c>
      <c r="AE1387" s="78">
        <f t="shared" si="21"/>
        <v>0</v>
      </c>
    </row>
    <row r="1388" spans="1:31" x14ac:dyDescent="0.2">
      <c r="A1388" s="66"/>
      <c r="B1388" s="66"/>
      <c r="C1388" s="66"/>
      <c r="D1388" s="144"/>
      <c r="E1388" s="67"/>
      <c r="F1388" s="67"/>
      <c r="G1388" s="67"/>
      <c r="H1388" s="67">
        <f>ROUND(+E1388+G1388,4)</f>
        <v>0</v>
      </c>
      <c r="I1388" s="67"/>
      <c r="J1388" s="67">
        <f>ROUND(+I1388-H1388,4)</f>
        <v>0</v>
      </c>
      <c r="K1388" s="67">
        <f>ROUND(IF(F1388="alluminio",0,I1388*1.5%),4)</f>
        <v>0</v>
      </c>
      <c r="L1388" s="67">
        <f>ROUND(IF(K1388&lt;J1388,K1388,0),4)</f>
        <v>0</v>
      </c>
      <c r="M1388" s="67">
        <f>ROUND(IF(J1388&gt;K1388,0,J1388),4)</f>
        <v>0</v>
      </c>
      <c r="N1388" s="67">
        <f>ROUND(+L1388*D1388,4)</f>
        <v>0</v>
      </c>
      <c r="O1388" s="67">
        <f>ROUND(IF(F1388="rame",0,+I1388*3%),4)</f>
        <v>0</v>
      </c>
      <c r="P1388" s="67">
        <f>ROUND(IF(O1388&lt;J1388,O1388,0),4)</f>
        <v>0</v>
      </c>
      <c r="Q1388" s="67">
        <f>ROUND(IF(J1388&gt;O1388,0,J1388),4)</f>
        <v>0</v>
      </c>
      <c r="R1388" s="67">
        <f>ROUND(+P1388*D1388,4)</f>
        <v>0</v>
      </c>
      <c r="S1388" s="67">
        <f>ROUND(IF(K1388=0,0,M1388*D1388),4)</f>
        <v>0</v>
      </c>
      <c r="T1388" s="67">
        <f>ROUND(+IF(K1388=0,Q1388*D1388,0),4)</f>
        <v>0</v>
      </c>
      <c r="U1388" s="67">
        <f>ROUND(+N1388+R1388+S1388+T1388,4)</f>
        <v>0</v>
      </c>
      <c r="V1388" s="67">
        <f>ROUND(IF(P1388=0,0,I1388-H1388-O1388)+IF(L1388=0,0,I1388-H1388-K1388),4)</f>
        <v>0</v>
      </c>
      <c r="W1388" s="67">
        <f>ROUND(+(V1388*60%)*D1388,4)</f>
        <v>0</v>
      </c>
      <c r="X1388" s="148">
        <f>ROUND(+U1388+W1388,4)</f>
        <v>0</v>
      </c>
      <c r="Y1388" s="68"/>
      <c r="Z1388" s="148">
        <f>ROUND(IF(X1388&gt;I1388,X1388,I1388),4)</f>
        <v>0</v>
      </c>
      <c r="AD1388" s="78">
        <f t="shared" si="20"/>
        <v>0</v>
      </c>
      <c r="AE1388" s="78">
        <f t="shared" si="21"/>
        <v>0</v>
      </c>
    </row>
    <row r="1389" spans="1:31" x14ac:dyDescent="0.2">
      <c r="A1389" s="66"/>
      <c r="B1389" s="66"/>
      <c r="C1389" s="66"/>
      <c r="D1389" s="144"/>
      <c r="E1389" s="67"/>
      <c r="F1389" s="67"/>
      <c r="G1389" s="67"/>
      <c r="H1389" s="67">
        <f>ROUND(+E1389+G1389,4)</f>
        <v>0</v>
      </c>
      <c r="I1389" s="67"/>
      <c r="J1389" s="67">
        <f>ROUND(+I1389-H1389,4)</f>
        <v>0</v>
      </c>
      <c r="K1389" s="67">
        <f>ROUND(IF(F1389="alluminio",0,I1389*1.5%),4)</f>
        <v>0</v>
      </c>
      <c r="L1389" s="67">
        <f>ROUND(IF(K1389&lt;J1389,K1389,0),4)</f>
        <v>0</v>
      </c>
      <c r="M1389" s="67">
        <f>ROUND(IF(J1389&gt;K1389,0,J1389),4)</f>
        <v>0</v>
      </c>
      <c r="N1389" s="67">
        <f>ROUND(+L1389*D1389,4)</f>
        <v>0</v>
      </c>
      <c r="O1389" s="67">
        <f>ROUND(IF(F1389="rame",0,+I1389*3%),4)</f>
        <v>0</v>
      </c>
      <c r="P1389" s="67">
        <f>ROUND(IF(O1389&lt;J1389,O1389,0),4)</f>
        <v>0</v>
      </c>
      <c r="Q1389" s="67">
        <f>ROUND(IF(J1389&gt;O1389,0,J1389),4)</f>
        <v>0</v>
      </c>
      <c r="R1389" s="67">
        <f>ROUND(+P1389*D1389,4)</f>
        <v>0</v>
      </c>
      <c r="S1389" s="67">
        <f>ROUND(IF(K1389=0,0,M1389*D1389),4)</f>
        <v>0</v>
      </c>
      <c r="T1389" s="67">
        <f>ROUND(+IF(K1389=0,Q1389*D1389,0),4)</f>
        <v>0</v>
      </c>
      <c r="U1389" s="67">
        <f>ROUND(+N1389+R1389+S1389+T1389,4)</f>
        <v>0</v>
      </c>
      <c r="V1389" s="67">
        <f>ROUND(IF(P1389=0,0,I1389-H1389-O1389)+IF(L1389=0,0,I1389-H1389-K1389),4)</f>
        <v>0</v>
      </c>
      <c r="W1389" s="67">
        <f>ROUND(+(V1389*60%)*D1389,4)</f>
        <v>0</v>
      </c>
      <c r="X1389" s="148">
        <f>ROUND(+U1389+W1389,4)</f>
        <v>0</v>
      </c>
      <c r="Y1389" s="68"/>
      <c r="Z1389" s="148">
        <f>ROUND(IF(X1389&gt;I1389,X1389,I1389),4)</f>
        <v>0</v>
      </c>
      <c r="AD1389" s="78">
        <f t="shared" si="20"/>
        <v>0</v>
      </c>
      <c r="AE1389" s="78">
        <f t="shared" si="21"/>
        <v>0</v>
      </c>
    </row>
    <row r="1390" spans="1:31" x14ac:dyDescent="0.2">
      <c r="A1390" s="66"/>
      <c r="B1390" s="66"/>
      <c r="C1390" s="66"/>
      <c r="D1390" s="144"/>
      <c r="E1390" s="67"/>
      <c r="F1390" s="67"/>
      <c r="G1390" s="67"/>
      <c r="H1390" s="67">
        <f>ROUND(+E1390+G1390,4)</f>
        <v>0</v>
      </c>
      <c r="I1390" s="67"/>
      <c r="J1390" s="67">
        <f>ROUND(+I1390-H1390,4)</f>
        <v>0</v>
      </c>
      <c r="K1390" s="67">
        <f>ROUND(IF(F1390="alluminio",0,I1390*1.5%),4)</f>
        <v>0</v>
      </c>
      <c r="L1390" s="67">
        <f>ROUND(IF(K1390&lt;J1390,K1390,0),4)</f>
        <v>0</v>
      </c>
      <c r="M1390" s="67">
        <f>ROUND(IF(J1390&gt;K1390,0,J1390),4)</f>
        <v>0</v>
      </c>
      <c r="N1390" s="67">
        <f>ROUND(+L1390*D1390,4)</f>
        <v>0</v>
      </c>
      <c r="O1390" s="67">
        <f>ROUND(IF(F1390="rame",0,+I1390*3%),4)</f>
        <v>0</v>
      </c>
      <c r="P1390" s="67">
        <f>ROUND(IF(O1390&lt;J1390,O1390,0),4)</f>
        <v>0</v>
      </c>
      <c r="Q1390" s="67">
        <f>ROUND(IF(J1390&gt;O1390,0,J1390),4)</f>
        <v>0</v>
      </c>
      <c r="R1390" s="67">
        <f>ROUND(+P1390*D1390,4)</f>
        <v>0</v>
      </c>
      <c r="S1390" s="67">
        <f>ROUND(IF(K1390=0,0,M1390*D1390),4)</f>
        <v>0</v>
      </c>
      <c r="T1390" s="67">
        <f>ROUND(+IF(K1390=0,Q1390*D1390,0),4)</f>
        <v>0</v>
      </c>
      <c r="U1390" s="67">
        <f>ROUND(+N1390+R1390+S1390+T1390,4)</f>
        <v>0</v>
      </c>
      <c r="V1390" s="67">
        <f>ROUND(IF(P1390=0,0,I1390-H1390-O1390)+IF(L1390=0,0,I1390-H1390-K1390),4)</f>
        <v>0</v>
      </c>
      <c r="W1390" s="67">
        <f>ROUND(+(V1390*60%)*D1390,4)</f>
        <v>0</v>
      </c>
      <c r="X1390" s="148">
        <f>ROUND(+U1390+W1390,4)</f>
        <v>0</v>
      </c>
      <c r="Y1390" s="68"/>
      <c r="Z1390" s="148">
        <f>ROUND(IF(X1390&gt;I1390,X1390,I1390),4)</f>
        <v>0</v>
      </c>
      <c r="AD1390" s="78">
        <f t="shared" si="20"/>
        <v>0</v>
      </c>
      <c r="AE1390" s="78">
        <f t="shared" si="21"/>
        <v>0</v>
      </c>
    </row>
    <row r="1391" spans="1:31" x14ac:dyDescent="0.2">
      <c r="A1391" s="66"/>
      <c r="B1391" s="66"/>
      <c r="C1391" s="66"/>
      <c r="D1391" s="144"/>
      <c r="E1391" s="67"/>
      <c r="F1391" s="67"/>
      <c r="G1391" s="67"/>
      <c r="H1391" s="67">
        <f>ROUND(+E1391+G1391,4)</f>
        <v>0</v>
      </c>
      <c r="I1391" s="67"/>
      <c r="J1391" s="67">
        <f>ROUND(+I1391-H1391,4)</f>
        <v>0</v>
      </c>
      <c r="K1391" s="67">
        <f>ROUND(IF(F1391="alluminio",0,I1391*1.5%),4)</f>
        <v>0</v>
      </c>
      <c r="L1391" s="67">
        <f>ROUND(IF(K1391&lt;J1391,K1391,0),4)</f>
        <v>0</v>
      </c>
      <c r="M1391" s="67">
        <f>ROUND(IF(J1391&gt;K1391,0,J1391),4)</f>
        <v>0</v>
      </c>
      <c r="N1391" s="67">
        <f>ROUND(+L1391*D1391,4)</f>
        <v>0</v>
      </c>
      <c r="O1391" s="67">
        <f>ROUND(IF(F1391="rame",0,+I1391*3%),4)</f>
        <v>0</v>
      </c>
      <c r="P1391" s="67">
        <f>ROUND(IF(O1391&lt;J1391,O1391,0),4)</f>
        <v>0</v>
      </c>
      <c r="Q1391" s="67">
        <f>ROUND(IF(J1391&gt;O1391,0,J1391),4)</f>
        <v>0</v>
      </c>
      <c r="R1391" s="67">
        <f>ROUND(+P1391*D1391,4)</f>
        <v>0</v>
      </c>
      <c r="S1391" s="67">
        <f>ROUND(IF(K1391=0,0,M1391*D1391),4)</f>
        <v>0</v>
      </c>
      <c r="T1391" s="67">
        <f>ROUND(+IF(K1391=0,Q1391*D1391,0),4)</f>
        <v>0</v>
      </c>
      <c r="U1391" s="67">
        <f>ROUND(+N1391+R1391+S1391+T1391,4)</f>
        <v>0</v>
      </c>
      <c r="V1391" s="67">
        <f>ROUND(IF(P1391=0,0,I1391-H1391-O1391)+IF(L1391=0,0,I1391-H1391-K1391),4)</f>
        <v>0</v>
      </c>
      <c r="W1391" s="67">
        <f>ROUND(+(V1391*60%)*D1391,4)</f>
        <v>0</v>
      </c>
      <c r="X1391" s="148">
        <f>ROUND(+U1391+W1391,4)</f>
        <v>0</v>
      </c>
      <c r="Y1391" s="68"/>
      <c r="Z1391" s="148">
        <f>ROUND(IF(X1391&gt;I1391,X1391,I1391),4)</f>
        <v>0</v>
      </c>
      <c r="AD1391" s="78">
        <f t="shared" si="20"/>
        <v>0</v>
      </c>
      <c r="AE1391" s="78">
        <f t="shared" si="21"/>
        <v>0</v>
      </c>
    </row>
    <row r="1392" spans="1:31" x14ac:dyDescent="0.2">
      <c r="A1392" s="66"/>
      <c r="B1392" s="66"/>
      <c r="C1392" s="66"/>
      <c r="D1392" s="144"/>
      <c r="E1392" s="67"/>
      <c r="F1392" s="67"/>
      <c r="G1392" s="67"/>
      <c r="H1392" s="67">
        <f>ROUND(+E1392+G1392,4)</f>
        <v>0</v>
      </c>
      <c r="I1392" s="67"/>
      <c r="J1392" s="67">
        <f>ROUND(+I1392-H1392,4)</f>
        <v>0</v>
      </c>
      <c r="K1392" s="67">
        <f>ROUND(IF(F1392="alluminio",0,I1392*1.5%),4)</f>
        <v>0</v>
      </c>
      <c r="L1392" s="67">
        <f>ROUND(IF(K1392&lt;J1392,K1392,0),4)</f>
        <v>0</v>
      </c>
      <c r="M1392" s="67">
        <f>ROUND(IF(J1392&gt;K1392,0,J1392),4)</f>
        <v>0</v>
      </c>
      <c r="N1392" s="67">
        <f>ROUND(+L1392*D1392,4)</f>
        <v>0</v>
      </c>
      <c r="O1392" s="67">
        <f>ROUND(IF(F1392="rame",0,+I1392*3%),4)</f>
        <v>0</v>
      </c>
      <c r="P1392" s="67">
        <f>ROUND(IF(O1392&lt;J1392,O1392,0),4)</f>
        <v>0</v>
      </c>
      <c r="Q1392" s="67">
        <f>ROUND(IF(J1392&gt;O1392,0,J1392),4)</f>
        <v>0</v>
      </c>
      <c r="R1392" s="67">
        <f>ROUND(+P1392*D1392,4)</f>
        <v>0</v>
      </c>
      <c r="S1392" s="67">
        <f>ROUND(IF(K1392=0,0,M1392*D1392),4)</f>
        <v>0</v>
      </c>
      <c r="T1392" s="67">
        <f>ROUND(+IF(K1392=0,Q1392*D1392,0),4)</f>
        <v>0</v>
      </c>
      <c r="U1392" s="67">
        <f>ROUND(+N1392+R1392+S1392+T1392,4)</f>
        <v>0</v>
      </c>
      <c r="V1392" s="67">
        <f>ROUND(IF(P1392=0,0,I1392-H1392-O1392)+IF(L1392=0,0,I1392-H1392-K1392),4)</f>
        <v>0</v>
      </c>
      <c r="W1392" s="67">
        <f>ROUND(+(V1392*60%)*D1392,4)</f>
        <v>0</v>
      </c>
      <c r="X1392" s="148">
        <f>ROUND(+U1392+W1392,4)</f>
        <v>0</v>
      </c>
      <c r="Y1392" s="68"/>
      <c r="Z1392" s="148">
        <f>ROUND(IF(X1392&gt;I1392,X1392,I1392),4)</f>
        <v>0</v>
      </c>
      <c r="AD1392" s="78">
        <f t="shared" si="20"/>
        <v>0</v>
      </c>
      <c r="AE1392" s="78">
        <f t="shared" si="21"/>
        <v>0</v>
      </c>
    </row>
    <row r="1393" spans="1:31" x14ac:dyDescent="0.2">
      <c r="A1393" s="66"/>
      <c r="B1393" s="66"/>
      <c r="C1393" s="66"/>
      <c r="D1393" s="144"/>
      <c r="E1393" s="67"/>
      <c r="F1393" s="67"/>
      <c r="G1393" s="67"/>
      <c r="H1393" s="67">
        <f>ROUND(+E1393+G1393,4)</f>
        <v>0</v>
      </c>
      <c r="I1393" s="67"/>
      <c r="J1393" s="67">
        <f>ROUND(+I1393-H1393,4)</f>
        <v>0</v>
      </c>
      <c r="K1393" s="67">
        <f>ROUND(IF(F1393="alluminio",0,I1393*1.5%),4)</f>
        <v>0</v>
      </c>
      <c r="L1393" s="67">
        <f>ROUND(IF(K1393&lt;J1393,K1393,0),4)</f>
        <v>0</v>
      </c>
      <c r="M1393" s="67">
        <f>ROUND(IF(J1393&gt;K1393,0,J1393),4)</f>
        <v>0</v>
      </c>
      <c r="N1393" s="67">
        <f>ROUND(+L1393*D1393,4)</f>
        <v>0</v>
      </c>
      <c r="O1393" s="67">
        <f>ROUND(IF(F1393="rame",0,+I1393*3%),4)</f>
        <v>0</v>
      </c>
      <c r="P1393" s="67">
        <f>ROUND(IF(O1393&lt;J1393,O1393,0),4)</f>
        <v>0</v>
      </c>
      <c r="Q1393" s="67">
        <f>ROUND(IF(J1393&gt;O1393,0,J1393),4)</f>
        <v>0</v>
      </c>
      <c r="R1393" s="67">
        <f>ROUND(+P1393*D1393,4)</f>
        <v>0</v>
      </c>
      <c r="S1393" s="67">
        <f>ROUND(IF(K1393=0,0,M1393*D1393),4)</f>
        <v>0</v>
      </c>
      <c r="T1393" s="67">
        <f>ROUND(+IF(K1393=0,Q1393*D1393,0),4)</f>
        <v>0</v>
      </c>
      <c r="U1393" s="67">
        <f>ROUND(+N1393+R1393+S1393+T1393,4)</f>
        <v>0</v>
      </c>
      <c r="V1393" s="67">
        <f>ROUND(IF(P1393=0,0,I1393-H1393-O1393)+IF(L1393=0,0,I1393-H1393-K1393),4)</f>
        <v>0</v>
      </c>
      <c r="W1393" s="67">
        <f>ROUND(+(V1393*60%)*D1393,4)</f>
        <v>0</v>
      </c>
      <c r="X1393" s="148">
        <f>ROUND(+U1393+W1393,4)</f>
        <v>0</v>
      </c>
      <c r="Y1393" s="68"/>
      <c r="Z1393" s="148">
        <f>ROUND(IF(X1393&gt;I1393,X1393,I1393),4)</f>
        <v>0</v>
      </c>
      <c r="AD1393" s="78">
        <f t="shared" si="20"/>
        <v>0</v>
      </c>
      <c r="AE1393" s="78">
        <f t="shared" si="21"/>
        <v>0</v>
      </c>
    </row>
    <row r="1394" spans="1:31" x14ac:dyDescent="0.2">
      <c r="A1394" s="66"/>
      <c r="B1394" s="66"/>
      <c r="C1394" s="66"/>
      <c r="D1394" s="144"/>
      <c r="E1394" s="67"/>
      <c r="F1394" s="67"/>
      <c r="G1394" s="67"/>
      <c r="H1394" s="67">
        <f>ROUND(+E1394+G1394,4)</f>
        <v>0</v>
      </c>
      <c r="I1394" s="67"/>
      <c r="J1394" s="67">
        <f>ROUND(+I1394-H1394,4)</f>
        <v>0</v>
      </c>
      <c r="K1394" s="67">
        <f>ROUND(IF(F1394="alluminio",0,I1394*1.5%),4)</f>
        <v>0</v>
      </c>
      <c r="L1394" s="67">
        <f>ROUND(IF(K1394&lt;J1394,K1394,0),4)</f>
        <v>0</v>
      </c>
      <c r="M1394" s="67">
        <f>ROUND(IF(J1394&gt;K1394,0,J1394),4)</f>
        <v>0</v>
      </c>
      <c r="N1394" s="67">
        <f>ROUND(+L1394*D1394,4)</f>
        <v>0</v>
      </c>
      <c r="O1394" s="67">
        <f>ROUND(IF(F1394="rame",0,+I1394*3%),4)</f>
        <v>0</v>
      </c>
      <c r="P1394" s="67">
        <f>ROUND(IF(O1394&lt;J1394,O1394,0),4)</f>
        <v>0</v>
      </c>
      <c r="Q1394" s="67">
        <f>ROUND(IF(J1394&gt;O1394,0,J1394),4)</f>
        <v>0</v>
      </c>
      <c r="R1394" s="67">
        <f>ROUND(+P1394*D1394,4)</f>
        <v>0</v>
      </c>
      <c r="S1394" s="67">
        <f>ROUND(IF(K1394=0,0,M1394*D1394),4)</f>
        <v>0</v>
      </c>
      <c r="T1394" s="67">
        <f>ROUND(+IF(K1394=0,Q1394*D1394,0),4)</f>
        <v>0</v>
      </c>
      <c r="U1394" s="67">
        <f>ROUND(+N1394+R1394+S1394+T1394,4)</f>
        <v>0</v>
      </c>
      <c r="V1394" s="67">
        <f>ROUND(IF(P1394=0,0,I1394-H1394-O1394)+IF(L1394=0,0,I1394-H1394-K1394),4)</f>
        <v>0</v>
      </c>
      <c r="W1394" s="67">
        <f>ROUND(+(V1394*60%)*D1394,4)</f>
        <v>0</v>
      </c>
      <c r="X1394" s="148">
        <f>ROUND(+U1394+W1394,4)</f>
        <v>0</v>
      </c>
      <c r="Y1394" s="68"/>
      <c r="Z1394" s="148">
        <f>ROUND(IF(X1394&gt;I1394,X1394,I1394),4)</f>
        <v>0</v>
      </c>
      <c r="AD1394" s="78">
        <f t="shared" si="20"/>
        <v>0</v>
      </c>
      <c r="AE1394" s="78">
        <f t="shared" si="21"/>
        <v>0</v>
      </c>
    </row>
    <row r="1395" spans="1:31" x14ac:dyDescent="0.2">
      <c r="A1395" s="66"/>
      <c r="B1395" s="66"/>
      <c r="C1395" s="66"/>
      <c r="D1395" s="144"/>
      <c r="E1395" s="67"/>
      <c r="F1395" s="67"/>
      <c r="G1395" s="67"/>
      <c r="H1395" s="67">
        <f>ROUND(+E1395+G1395,4)</f>
        <v>0</v>
      </c>
      <c r="I1395" s="67"/>
      <c r="J1395" s="67">
        <f>ROUND(+I1395-H1395,4)</f>
        <v>0</v>
      </c>
      <c r="K1395" s="67">
        <f>ROUND(IF(F1395="alluminio",0,I1395*1.5%),4)</f>
        <v>0</v>
      </c>
      <c r="L1395" s="67">
        <f>ROUND(IF(K1395&lt;J1395,K1395,0),4)</f>
        <v>0</v>
      </c>
      <c r="M1395" s="67">
        <f>ROUND(IF(J1395&gt;K1395,0,J1395),4)</f>
        <v>0</v>
      </c>
      <c r="N1395" s="67">
        <f>ROUND(+L1395*D1395,4)</f>
        <v>0</v>
      </c>
      <c r="O1395" s="67">
        <f>ROUND(IF(F1395="rame",0,+I1395*3%),4)</f>
        <v>0</v>
      </c>
      <c r="P1395" s="67">
        <f>ROUND(IF(O1395&lt;J1395,O1395,0),4)</f>
        <v>0</v>
      </c>
      <c r="Q1395" s="67">
        <f>ROUND(IF(J1395&gt;O1395,0,J1395),4)</f>
        <v>0</v>
      </c>
      <c r="R1395" s="67">
        <f>ROUND(+P1395*D1395,4)</f>
        <v>0</v>
      </c>
      <c r="S1395" s="67">
        <f>ROUND(IF(K1395=0,0,M1395*D1395),4)</f>
        <v>0</v>
      </c>
      <c r="T1395" s="67">
        <f>ROUND(+IF(K1395=0,Q1395*D1395,0),4)</f>
        <v>0</v>
      </c>
      <c r="U1395" s="67">
        <f>ROUND(+N1395+R1395+S1395+T1395,4)</f>
        <v>0</v>
      </c>
      <c r="V1395" s="67">
        <f>ROUND(IF(P1395=0,0,I1395-H1395-O1395)+IF(L1395=0,0,I1395-H1395-K1395),4)</f>
        <v>0</v>
      </c>
      <c r="W1395" s="67">
        <f>ROUND(+(V1395*60%)*D1395,4)</f>
        <v>0</v>
      </c>
      <c r="X1395" s="148">
        <f>ROUND(+U1395+W1395,4)</f>
        <v>0</v>
      </c>
      <c r="Y1395" s="68"/>
      <c r="Z1395" s="148">
        <f>ROUND(IF(X1395&gt;I1395,X1395,I1395),4)</f>
        <v>0</v>
      </c>
      <c r="AD1395" s="78">
        <f t="shared" si="20"/>
        <v>0</v>
      </c>
      <c r="AE1395" s="78">
        <f t="shared" si="21"/>
        <v>0</v>
      </c>
    </row>
    <row r="1396" spans="1:31" x14ac:dyDescent="0.2">
      <c r="A1396" s="66"/>
      <c r="B1396" s="66"/>
      <c r="C1396" s="66"/>
      <c r="D1396" s="144"/>
      <c r="E1396" s="67"/>
      <c r="F1396" s="67"/>
      <c r="G1396" s="67"/>
      <c r="H1396" s="67">
        <f>ROUND(+E1396+G1396,4)</f>
        <v>0</v>
      </c>
      <c r="I1396" s="67"/>
      <c r="J1396" s="67">
        <f>ROUND(+I1396-H1396,4)</f>
        <v>0</v>
      </c>
      <c r="K1396" s="67">
        <f>ROUND(IF(F1396="alluminio",0,I1396*1.5%),4)</f>
        <v>0</v>
      </c>
      <c r="L1396" s="67">
        <f>ROUND(IF(K1396&lt;J1396,K1396,0),4)</f>
        <v>0</v>
      </c>
      <c r="M1396" s="67">
        <f>ROUND(IF(J1396&gt;K1396,0,J1396),4)</f>
        <v>0</v>
      </c>
      <c r="N1396" s="67">
        <f>ROUND(+L1396*D1396,4)</f>
        <v>0</v>
      </c>
      <c r="O1396" s="67">
        <f>ROUND(IF(F1396="rame",0,+I1396*3%),4)</f>
        <v>0</v>
      </c>
      <c r="P1396" s="67">
        <f>ROUND(IF(O1396&lt;J1396,O1396,0),4)</f>
        <v>0</v>
      </c>
      <c r="Q1396" s="67">
        <f>ROUND(IF(J1396&gt;O1396,0,J1396),4)</f>
        <v>0</v>
      </c>
      <c r="R1396" s="67">
        <f>ROUND(+P1396*D1396,4)</f>
        <v>0</v>
      </c>
      <c r="S1396" s="67">
        <f>ROUND(IF(K1396=0,0,M1396*D1396),4)</f>
        <v>0</v>
      </c>
      <c r="T1396" s="67">
        <f>ROUND(+IF(K1396=0,Q1396*D1396,0),4)</f>
        <v>0</v>
      </c>
      <c r="U1396" s="67">
        <f>ROUND(+N1396+R1396+S1396+T1396,4)</f>
        <v>0</v>
      </c>
      <c r="V1396" s="67">
        <f>ROUND(IF(P1396=0,0,I1396-H1396-O1396)+IF(L1396=0,0,I1396-H1396-K1396),4)</f>
        <v>0</v>
      </c>
      <c r="W1396" s="67">
        <f>ROUND(+(V1396*60%)*D1396,4)</f>
        <v>0</v>
      </c>
      <c r="X1396" s="148">
        <f>ROUND(+U1396+W1396,4)</f>
        <v>0</v>
      </c>
      <c r="Y1396" s="68"/>
      <c r="Z1396" s="148">
        <f>ROUND(IF(X1396&gt;I1396,X1396,I1396),4)</f>
        <v>0</v>
      </c>
      <c r="AD1396" s="78">
        <f t="shared" si="20"/>
        <v>0</v>
      </c>
      <c r="AE1396" s="78">
        <f t="shared" si="21"/>
        <v>0</v>
      </c>
    </row>
    <row r="1397" spans="1:31" x14ac:dyDescent="0.2">
      <c r="A1397" s="66"/>
      <c r="B1397" s="66"/>
      <c r="C1397" s="66"/>
      <c r="D1397" s="144"/>
      <c r="E1397" s="67"/>
      <c r="F1397" s="67"/>
      <c r="G1397" s="67"/>
      <c r="H1397" s="67">
        <f>ROUND(+E1397+G1397,4)</f>
        <v>0</v>
      </c>
      <c r="I1397" s="67"/>
      <c r="J1397" s="67">
        <f>ROUND(+I1397-H1397,4)</f>
        <v>0</v>
      </c>
      <c r="K1397" s="67">
        <f>ROUND(IF(F1397="alluminio",0,I1397*1.5%),4)</f>
        <v>0</v>
      </c>
      <c r="L1397" s="67">
        <f>ROUND(IF(K1397&lt;J1397,K1397,0),4)</f>
        <v>0</v>
      </c>
      <c r="M1397" s="67">
        <f>ROUND(IF(J1397&gt;K1397,0,J1397),4)</f>
        <v>0</v>
      </c>
      <c r="N1397" s="67">
        <f>ROUND(+L1397*D1397,4)</f>
        <v>0</v>
      </c>
      <c r="O1397" s="67">
        <f>ROUND(IF(F1397="rame",0,+I1397*3%),4)</f>
        <v>0</v>
      </c>
      <c r="P1397" s="67">
        <f>ROUND(IF(O1397&lt;J1397,O1397,0),4)</f>
        <v>0</v>
      </c>
      <c r="Q1397" s="67">
        <f>ROUND(IF(J1397&gt;O1397,0,J1397),4)</f>
        <v>0</v>
      </c>
      <c r="R1397" s="67">
        <f>ROUND(+P1397*D1397,4)</f>
        <v>0</v>
      </c>
      <c r="S1397" s="67">
        <f>ROUND(IF(K1397=0,0,M1397*D1397),4)</f>
        <v>0</v>
      </c>
      <c r="T1397" s="67">
        <f>ROUND(+IF(K1397=0,Q1397*D1397,0),4)</f>
        <v>0</v>
      </c>
      <c r="U1397" s="67">
        <f>ROUND(+N1397+R1397+S1397+T1397,4)</f>
        <v>0</v>
      </c>
      <c r="V1397" s="67">
        <f>ROUND(IF(P1397=0,0,I1397-H1397-O1397)+IF(L1397=0,0,I1397-H1397-K1397),4)</f>
        <v>0</v>
      </c>
      <c r="W1397" s="67">
        <f>ROUND(+(V1397*60%)*D1397,4)</f>
        <v>0</v>
      </c>
      <c r="X1397" s="148">
        <f>ROUND(+U1397+W1397,4)</f>
        <v>0</v>
      </c>
      <c r="Y1397" s="68"/>
      <c r="Z1397" s="148">
        <f>ROUND(IF(X1397&gt;I1397,X1397,I1397),4)</f>
        <v>0</v>
      </c>
      <c r="AD1397" s="78">
        <f t="shared" si="20"/>
        <v>0</v>
      </c>
      <c r="AE1397" s="78">
        <f t="shared" si="21"/>
        <v>0</v>
      </c>
    </row>
    <row r="1398" spans="1:31" x14ac:dyDescent="0.2">
      <c r="A1398" s="66"/>
      <c r="B1398" s="66"/>
      <c r="C1398" s="66"/>
      <c r="D1398" s="144"/>
      <c r="E1398" s="67"/>
      <c r="F1398" s="67"/>
      <c r="G1398" s="67"/>
      <c r="H1398" s="67">
        <f>ROUND(+E1398+G1398,4)</f>
        <v>0</v>
      </c>
      <c r="I1398" s="67"/>
      <c r="J1398" s="67">
        <f>ROUND(+I1398-H1398,4)</f>
        <v>0</v>
      </c>
      <c r="K1398" s="67">
        <f>ROUND(IF(F1398="alluminio",0,I1398*1.5%),4)</f>
        <v>0</v>
      </c>
      <c r="L1398" s="67">
        <f>ROUND(IF(K1398&lt;J1398,K1398,0),4)</f>
        <v>0</v>
      </c>
      <c r="M1398" s="67">
        <f>ROUND(IF(J1398&gt;K1398,0,J1398),4)</f>
        <v>0</v>
      </c>
      <c r="N1398" s="67">
        <f>ROUND(+L1398*D1398,4)</f>
        <v>0</v>
      </c>
      <c r="O1398" s="67">
        <f>ROUND(IF(F1398="rame",0,+I1398*3%),4)</f>
        <v>0</v>
      </c>
      <c r="P1398" s="67">
        <f>ROUND(IF(O1398&lt;J1398,O1398,0),4)</f>
        <v>0</v>
      </c>
      <c r="Q1398" s="67">
        <f>ROUND(IF(J1398&gt;O1398,0,J1398),4)</f>
        <v>0</v>
      </c>
      <c r="R1398" s="67">
        <f>ROUND(+P1398*D1398,4)</f>
        <v>0</v>
      </c>
      <c r="S1398" s="67">
        <f>ROUND(IF(K1398=0,0,M1398*D1398),4)</f>
        <v>0</v>
      </c>
      <c r="T1398" s="67">
        <f>ROUND(+IF(K1398=0,Q1398*D1398,0),4)</f>
        <v>0</v>
      </c>
      <c r="U1398" s="67">
        <f>ROUND(+N1398+R1398+S1398+T1398,4)</f>
        <v>0</v>
      </c>
      <c r="V1398" s="67">
        <f>ROUND(IF(P1398=0,0,I1398-H1398-O1398)+IF(L1398=0,0,I1398-H1398-K1398),4)</f>
        <v>0</v>
      </c>
      <c r="W1398" s="67">
        <f>ROUND(+(V1398*60%)*D1398,4)</f>
        <v>0</v>
      </c>
      <c r="X1398" s="148">
        <f>ROUND(+U1398+W1398,4)</f>
        <v>0</v>
      </c>
      <c r="Y1398" s="68"/>
      <c r="Z1398" s="148">
        <f>ROUND(IF(X1398&gt;I1398,X1398,I1398),4)</f>
        <v>0</v>
      </c>
      <c r="AD1398" s="78">
        <f t="shared" si="20"/>
        <v>0</v>
      </c>
      <c r="AE1398" s="78">
        <f t="shared" si="21"/>
        <v>0</v>
      </c>
    </row>
    <row r="1399" spans="1:31" x14ac:dyDescent="0.2">
      <c r="A1399" s="66"/>
      <c r="B1399" s="66"/>
      <c r="C1399" s="66"/>
      <c r="D1399" s="144"/>
      <c r="E1399" s="67"/>
      <c r="F1399" s="67"/>
      <c r="G1399" s="67"/>
      <c r="H1399" s="67">
        <f>ROUND(+E1399+G1399,4)</f>
        <v>0</v>
      </c>
      <c r="I1399" s="67"/>
      <c r="J1399" s="67">
        <f>ROUND(+I1399-H1399,4)</f>
        <v>0</v>
      </c>
      <c r="K1399" s="67">
        <f>ROUND(IF(F1399="alluminio",0,I1399*1.5%),4)</f>
        <v>0</v>
      </c>
      <c r="L1399" s="67">
        <f>ROUND(IF(K1399&lt;J1399,K1399,0),4)</f>
        <v>0</v>
      </c>
      <c r="M1399" s="67">
        <f>ROUND(IF(J1399&gt;K1399,0,J1399),4)</f>
        <v>0</v>
      </c>
      <c r="N1399" s="67">
        <f>ROUND(+L1399*D1399,4)</f>
        <v>0</v>
      </c>
      <c r="O1399" s="67">
        <f>ROUND(IF(F1399="rame",0,+I1399*3%),4)</f>
        <v>0</v>
      </c>
      <c r="P1399" s="67">
        <f>ROUND(IF(O1399&lt;J1399,O1399,0),4)</f>
        <v>0</v>
      </c>
      <c r="Q1399" s="67">
        <f>ROUND(IF(J1399&gt;O1399,0,J1399),4)</f>
        <v>0</v>
      </c>
      <c r="R1399" s="67">
        <f>ROUND(+P1399*D1399,4)</f>
        <v>0</v>
      </c>
      <c r="S1399" s="67">
        <f>ROUND(IF(K1399=0,0,M1399*D1399),4)</f>
        <v>0</v>
      </c>
      <c r="T1399" s="67">
        <f>ROUND(+IF(K1399=0,Q1399*D1399,0),4)</f>
        <v>0</v>
      </c>
      <c r="U1399" s="67">
        <f>ROUND(+N1399+R1399+S1399+T1399,4)</f>
        <v>0</v>
      </c>
      <c r="V1399" s="67">
        <f>ROUND(IF(P1399=0,0,I1399-H1399-O1399)+IF(L1399=0,0,I1399-H1399-K1399),4)</f>
        <v>0</v>
      </c>
      <c r="W1399" s="67">
        <f>ROUND(+(V1399*60%)*D1399,4)</f>
        <v>0</v>
      </c>
      <c r="X1399" s="148">
        <f>ROUND(+U1399+W1399,4)</f>
        <v>0</v>
      </c>
      <c r="Y1399" s="68"/>
      <c r="Z1399" s="148">
        <f>ROUND(IF(X1399&gt;I1399,X1399,I1399),4)</f>
        <v>0</v>
      </c>
      <c r="AD1399" s="78">
        <f t="shared" si="20"/>
        <v>0</v>
      </c>
      <c r="AE1399" s="78">
        <f t="shared" si="21"/>
        <v>0</v>
      </c>
    </row>
    <row r="1400" spans="1:31" x14ac:dyDescent="0.2">
      <c r="A1400" s="66"/>
      <c r="B1400" s="66"/>
      <c r="C1400" s="66"/>
      <c r="D1400" s="144"/>
      <c r="E1400" s="67"/>
      <c r="F1400" s="67"/>
      <c r="G1400" s="67"/>
      <c r="H1400" s="67">
        <f>ROUND(+E1400+G1400,4)</f>
        <v>0</v>
      </c>
      <c r="I1400" s="67"/>
      <c r="J1400" s="67">
        <f>ROUND(+I1400-H1400,4)</f>
        <v>0</v>
      </c>
      <c r="K1400" s="67">
        <f>ROUND(IF(F1400="alluminio",0,I1400*1.5%),4)</f>
        <v>0</v>
      </c>
      <c r="L1400" s="67">
        <f>ROUND(IF(K1400&lt;J1400,K1400,0),4)</f>
        <v>0</v>
      </c>
      <c r="M1400" s="67">
        <f>ROUND(IF(J1400&gt;K1400,0,J1400),4)</f>
        <v>0</v>
      </c>
      <c r="N1400" s="67">
        <f>ROUND(+L1400*D1400,4)</f>
        <v>0</v>
      </c>
      <c r="O1400" s="67">
        <f>ROUND(IF(F1400="rame",0,+I1400*3%),4)</f>
        <v>0</v>
      </c>
      <c r="P1400" s="67">
        <f>ROUND(IF(O1400&lt;J1400,O1400,0),4)</f>
        <v>0</v>
      </c>
      <c r="Q1400" s="67">
        <f>ROUND(IF(J1400&gt;O1400,0,J1400),4)</f>
        <v>0</v>
      </c>
      <c r="R1400" s="67">
        <f>ROUND(+P1400*D1400,4)</f>
        <v>0</v>
      </c>
      <c r="S1400" s="67">
        <f>ROUND(IF(K1400=0,0,M1400*D1400),4)</f>
        <v>0</v>
      </c>
      <c r="T1400" s="67">
        <f>ROUND(+IF(K1400=0,Q1400*D1400,0),4)</f>
        <v>0</v>
      </c>
      <c r="U1400" s="67">
        <f>ROUND(+N1400+R1400+S1400+T1400,4)</f>
        <v>0</v>
      </c>
      <c r="V1400" s="67">
        <f>ROUND(IF(P1400=0,0,I1400-H1400-O1400)+IF(L1400=0,0,I1400-H1400-K1400),4)</f>
        <v>0</v>
      </c>
      <c r="W1400" s="67">
        <f>ROUND(+(V1400*60%)*D1400,4)</f>
        <v>0</v>
      </c>
      <c r="X1400" s="148">
        <f>ROUND(+U1400+W1400,4)</f>
        <v>0</v>
      </c>
      <c r="Y1400" s="68"/>
      <c r="Z1400" s="148">
        <f>ROUND(IF(X1400&gt;I1400,X1400,I1400),4)</f>
        <v>0</v>
      </c>
      <c r="AD1400" s="78">
        <f t="shared" si="20"/>
        <v>0</v>
      </c>
      <c r="AE1400" s="78">
        <f t="shared" si="21"/>
        <v>0</v>
      </c>
    </row>
    <row r="1401" spans="1:31" x14ac:dyDescent="0.2">
      <c r="A1401" s="66"/>
      <c r="B1401" s="66"/>
      <c r="C1401" s="66"/>
      <c r="D1401" s="144"/>
      <c r="E1401" s="67"/>
      <c r="F1401" s="67"/>
      <c r="G1401" s="67"/>
      <c r="H1401" s="67">
        <f>ROUND(+E1401+G1401,4)</f>
        <v>0</v>
      </c>
      <c r="I1401" s="67"/>
      <c r="J1401" s="67">
        <f>ROUND(+I1401-H1401,4)</f>
        <v>0</v>
      </c>
      <c r="K1401" s="67">
        <f>ROUND(IF(F1401="alluminio",0,I1401*1.5%),4)</f>
        <v>0</v>
      </c>
      <c r="L1401" s="67">
        <f>ROUND(IF(K1401&lt;J1401,K1401,0),4)</f>
        <v>0</v>
      </c>
      <c r="M1401" s="67">
        <f>ROUND(IF(J1401&gt;K1401,0,J1401),4)</f>
        <v>0</v>
      </c>
      <c r="N1401" s="67">
        <f>ROUND(+L1401*D1401,4)</f>
        <v>0</v>
      </c>
      <c r="O1401" s="67">
        <f>ROUND(IF(F1401="rame",0,+I1401*3%),4)</f>
        <v>0</v>
      </c>
      <c r="P1401" s="67">
        <f>ROUND(IF(O1401&lt;J1401,O1401,0),4)</f>
        <v>0</v>
      </c>
      <c r="Q1401" s="67">
        <f>ROUND(IF(J1401&gt;O1401,0,J1401),4)</f>
        <v>0</v>
      </c>
      <c r="R1401" s="67">
        <f>ROUND(+P1401*D1401,4)</f>
        <v>0</v>
      </c>
      <c r="S1401" s="67">
        <f>ROUND(IF(K1401=0,0,M1401*D1401),4)</f>
        <v>0</v>
      </c>
      <c r="T1401" s="67">
        <f>ROUND(+IF(K1401=0,Q1401*D1401,0),4)</f>
        <v>0</v>
      </c>
      <c r="U1401" s="67">
        <f>ROUND(+N1401+R1401+S1401+T1401,4)</f>
        <v>0</v>
      </c>
      <c r="V1401" s="67">
        <f>ROUND(IF(P1401=0,0,I1401-H1401-O1401)+IF(L1401=0,0,I1401-H1401-K1401),4)</f>
        <v>0</v>
      </c>
      <c r="W1401" s="67">
        <f>ROUND(+(V1401*60%)*D1401,4)</f>
        <v>0</v>
      </c>
      <c r="X1401" s="148">
        <f>ROUND(+U1401+W1401,4)</f>
        <v>0</v>
      </c>
      <c r="Y1401" s="68"/>
      <c r="Z1401" s="148">
        <f>ROUND(IF(X1401&gt;I1401,X1401,I1401),4)</f>
        <v>0</v>
      </c>
      <c r="AD1401" s="78">
        <f t="shared" si="20"/>
        <v>0</v>
      </c>
      <c r="AE1401" s="78">
        <f t="shared" si="21"/>
        <v>0</v>
      </c>
    </row>
    <row r="1402" spans="1:31" x14ac:dyDescent="0.2">
      <c r="A1402" s="66"/>
      <c r="B1402" s="66"/>
      <c r="C1402" s="66"/>
      <c r="D1402" s="144"/>
      <c r="E1402" s="67"/>
      <c r="F1402" s="67"/>
      <c r="G1402" s="67"/>
      <c r="H1402" s="67">
        <f>ROUND(+E1402+G1402,4)</f>
        <v>0</v>
      </c>
      <c r="I1402" s="67"/>
      <c r="J1402" s="67">
        <f>ROUND(+I1402-H1402,4)</f>
        <v>0</v>
      </c>
      <c r="K1402" s="67">
        <f>ROUND(IF(F1402="alluminio",0,I1402*1.5%),4)</f>
        <v>0</v>
      </c>
      <c r="L1402" s="67">
        <f>ROUND(IF(K1402&lt;J1402,K1402,0),4)</f>
        <v>0</v>
      </c>
      <c r="M1402" s="67">
        <f>ROUND(IF(J1402&gt;K1402,0,J1402),4)</f>
        <v>0</v>
      </c>
      <c r="N1402" s="67">
        <f>ROUND(+L1402*D1402,4)</f>
        <v>0</v>
      </c>
      <c r="O1402" s="67">
        <f>ROUND(IF(F1402="rame",0,+I1402*3%),4)</f>
        <v>0</v>
      </c>
      <c r="P1402" s="67">
        <f>ROUND(IF(O1402&lt;J1402,O1402,0),4)</f>
        <v>0</v>
      </c>
      <c r="Q1402" s="67">
        <f>ROUND(IF(J1402&gt;O1402,0,J1402),4)</f>
        <v>0</v>
      </c>
      <c r="R1402" s="67">
        <f>ROUND(+P1402*D1402,4)</f>
        <v>0</v>
      </c>
      <c r="S1402" s="67">
        <f>ROUND(IF(K1402=0,0,M1402*D1402),4)</f>
        <v>0</v>
      </c>
      <c r="T1402" s="67">
        <f>ROUND(+IF(K1402=0,Q1402*D1402,0),4)</f>
        <v>0</v>
      </c>
      <c r="U1402" s="67">
        <f>ROUND(+N1402+R1402+S1402+T1402,4)</f>
        <v>0</v>
      </c>
      <c r="V1402" s="67">
        <f>ROUND(IF(P1402=0,0,I1402-H1402-O1402)+IF(L1402=0,0,I1402-H1402-K1402),4)</f>
        <v>0</v>
      </c>
      <c r="W1402" s="67">
        <f>ROUND(+(V1402*60%)*D1402,4)</f>
        <v>0</v>
      </c>
      <c r="X1402" s="148">
        <f>ROUND(+U1402+W1402,4)</f>
        <v>0</v>
      </c>
      <c r="Y1402" s="68"/>
      <c r="Z1402" s="148">
        <f>ROUND(IF(X1402&gt;I1402,X1402,I1402),4)</f>
        <v>0</v>
      </c>
      <c r="AD1402" s="78">
        <f t="shared" si="20"/>
        <v>0</v>
      </c>
      <c r="AE1402" s="78">
        <f t="shared" si="21"/>
        <v>0</v>
      </c>
    </row>
    <row r="1403" spans="1:31" x14ac:dyDescent="0.2">
      <c r="A1403" s="66"/>
      <c r="B1403" s="66"/>
      <c r="C1403" s="66"/>
      <c r="D1403" s="144"/>
      <c r="E1403" s="67"/>
      <c r="F1403" s="67"/>
      <c r="G1403" s="67"/>
      <c r="H1403" s="67">
        <f>ROUND(+E1403+G1403,4)</f>
        <v>0</v>
      </c>
      <c r="I1403" s="67"/>
      <c r="J1403" s="67">
        <f>ROUND(+I1403-H1403,4)</f>
        <v>0</v>
      </c>
      <c r="K1403" s="67">
        <f>ROUND(IF(F1403="alluminio",0,I1403*1.5%),4)</f>
        <v>0</v>
      </c>
      <c r="L1403" s="67">
        <f>ROUND(IF(K1403&lt;J1403,K1403,0),4)</f>
        <v>0</v>
      </c>
      <c r="M1403" s="67">
        <f>ROUND(IF(J1403&gt;K1403,0,J1403),4)</f>
        <v>0</v>
      </c>
      <c r="N1403" s="67">
        <f>ROUND(+L1403*D1403,4)</f>
        <v>0</v>
      </c>
      <c r="O1403" s="67">
        <f>ROUND(IF(F1403="rame",0,+I1403*3%),4)</f>
        <v>0</v>
      </c>
      <c r="P1403" s="67">
        <f>ROUND(IF(O1403&lt;J1403,O1403,0),4)</f>
        <v>0</v>
      </c>
      <c r="Q1403" s="67">
        <f>ROUND(IF(J1403&gt;O1403,0,J1403),4)</f>
        <v>0</v>
      </c>
      <c r="R1403" s="67">
        <f>ROUND(+P1403*D1403,4)</f>
        <v>0</v>
      </c>
      <c r="S1403" s="67">
        <f>ROUND(IF(K1403=0,0,M1403*D1403),4)</f>
        <v>0</v>
      </c>
      <c r="T1403" s="67">
        <f>ROUND(+IF(K1403=0,Q1403*D1403,0),4)</f>
        <v>0</v>
      </c>
      <c r="U1403" s="67">
        <f>ROUND(+N1403+R1403+S1403+T1403,4)</f>
        <v>0</v>
      </c>
      <c r="V1403" s="67">
        <f>ROUND(IF(P1403=0,0,I1403-H1403-O1403)+IF(L1403=0,0,I1403-H1403-K1403),4)</f>
        <v>0</v>
      </c>
      <c r="W1403" s="67">
        <f>ROUND(+(V1403*60%)*D1403,4)</f>
        <v>0</v>
      </c>
      <c r="X1403" s="148">
        <f>ROUND(+U1403+W1403,4)</f>
        <v>0</v>
      </c>
      <c r="Y1403" s="68"/>
      <c r="Z1403" s="148">
        <f>ROUND(IF(X1403&gt;I1403,X1403,I1403),4)</f>
        <v>0</v>
      </c>
      <c r="AD1403" s="78">
        <f t="shared" si="20"/>
        <v>0</v>
      </c>
      <c r="AE1403" s="78">
        <f t="shared" si="21"/>
        <v>0</v>
      </c>
    </row>
    <row r="1404" spans="1:31" x14ac:dyDescent="0.2">
      <c r="A1404" s="66"/>
      <c r="B1404" s="66"/>
      <c r="C1404" s="66"/>
      <c r="D1404" s="144"/>
      <c r="E1404" s="67"/>
      <c r="F1404" s="67"/>
      <c r="G1404" s="67"/>
      <c r="H1404" s="67">
        <f>ROUND(+E1404+G1404,4)</f>
        <v>0</v>
      </c>
      <c r="I1404" s="67"/>
      <c r="J1404" s="67">
        <f>ROUND(+I1404-H1404,4)</f>
        <v>0</v>
      </c>
      <c r="K1404" s="67">
        <f>ROUND(IF(F1404="alluminio",0,I1404*1.5%),4)</f>
        <v>0</v>
      </c>
      <c r="L1404" s="67">
        <f>ROUND(IF(K1404&lt;J1404,K1404,0),4)</f>
        <v>0</v>
      </c>
      <c r="M1404" s="67">
        <f>ROUND(IF(J1404&gt;K1404,0,J1404),4)</f>
        <v>0</v>
      </c>
      <c r="N1404" s="67">
        <f>ROUND(+L1404*D1404,4)</f>
        <v>0</v>
      </c>
      <c r="O1404" s="67">
        <f>ROUND(IF(F1404="rame",0,+I1404*3%),4)</f>
        <v>0</v>
      </c>
      <c r="P1404" s="67">
        <f>ROUND(IF(O1404&lt;J1404,O1404,0),4)</f>
        <v>0</v>
      </c>
      <c r="Q1404" s="67">
        <f>ROUND(IF(J1404&gt;O1404,0,J1404),4)</f>
        <v>0</v>
      </c>
      <c r="R1404" s="67">
        <f>ROUND(+P1404*D1404,4)</f>
        <v>0</v>
      </c>
      <c r="S1404" s="67">
        <f>ROUND(IF(K1404=0,0,M1404*D1404),4)</f>
        <v>0</v>
      </c>
      <c r="T1404" s="67">
        <f>ROUND(+IF(K1404=0,Q1404*D1404,0),4)</f>
        <v>0</v>
      </c>
      <c r="U1404" s="67">
        <f>ROUND(+N1404+R1404+S1404+T1404,4)</f>
        <v>0</v>
      </c>
      <c r="V1404" s="67">
        <f>ROUND(IF(P1404=0,0,I1404-H1404-O1404)+IF(L1404=0,0,I1404-H1404-K1404),4)</f>
        <v>0</v>
      </c>
      <c r="W1404" s="67">
        <f>ROUND(+(V1404*60%)*D1404,4)</f>
        <v>0</v>
      </c>
      <c r="X1404" s="148">
        <f>ROUND(+U1404+W1404,4)</f>
        <v>0</v>
      </c>
      <c r="Y1404" s="68"/>
      <c r="Z1404" s="148">
        <f>ROUND(IF(X1404&gt;I1404,X1404,I1404),4)</f>
        <v>0</v>
      </c>
      <c r="AD1404" s="78">
        <f t="shared" si="20"/>
        <v>0</v>
      </c>
      <c r="AE1404" s="78">
        <f t="shared" si="21"/>
        <v>0</v>
      </c>
    </row>
    <row r="1405" spans="1:31" x14ac:dyDescent="0.2">
      <c r="A1405" s="66"/>
      <c r="B1405" s="66"/>
      <c r="C1405" s="66"/>
      <c r="D1405" s="144"/>
      <c r="E1405" s="67"/>
      <c r="F1405" s="67"/>
      <c r="G1405" s="67"/>
      <c r="H1405" s="67">
        <f>ROUND(+E1405+G1405,4)</f>
        <v>0</v>
      </c>
      <c r="I1405" s="67"/>
      <c r="J1405" s="67">
        <f>ROUND(+I1405-H1405,4)</f>
        <v>0</v>
      </c>
      <c r="K1405" s="67">
        <f>ROUND(IF(F1405="alluminio",0,I1405*1.5%),4)</f>
        <v>0</v>
      </c>
      <c r="L1405" s="67">
        <f>ROUND(IF(K1405&lt;J1405,K1405,0),4)</f>
        <v>0</v>
      </c>
      <c r="M1405" s="67">
        <f>ROUND(IF(J1405&gt;K1405,0,J1405),4)</f>
        <v>0</v>
      </c>
      <c r="N1405" s="67">
        <f>ROUND(+L1405*D1405,4)</f>
        <v>0</v>
      </c>
      <c r="O1405" s="67">
        <f>ROUND(IF(F1405="rame",0,+I1405*3%),4)</f>
        <v>0</v>
      </c>
      <c r="P1405" s="67">
        <f>ROUND(IF(O1405&lt;J1405,O1405,0),4)</f>
        <v>0</v>
      </c>
      <c r="Q1405" s="67">
        <f>ROUND(IF(J1405&gt;O1405,0,J1405),4)</f>
        <v>0</v>
      </c>
      <c r="R1405" s="67">
        <f>ROUND(+P1405*D1405,4)</f>
        <v>0</v>
      </c>
      <c r="S1405" s="67">
        <f>ROUND(IF(K1405=0,0,M1405*D1405),4)</f>
        <v>0</v>
      </c>
      <c r="T1405" s="67">
        <f>ROUND(+IF(K1405=0,Q1405*D1405,0),4)</f>
        <v>0</v>
      </c>
      <c r="U1405" s="67">
        <f>ROUND(+N1405+R1405+S1405+T1405,4)</f>
        <v>0</v>
      </c>
      <c r="V1405" s="67">
        <f>ROUND(IF(P1405=0,0,I1405-H1405-O1405)+IF(L1405=0,0,I1405-H1405-K1405),4)</f>
        <v>0</v>
      </c>
      <c r="W1405" s="67">
        <f>ROUND(+(V1405*60%)*D1405,4)</f>
        <v>0</v>
      </c>
      <c r="X1405" s="148">
        <f>ROUND(+U1405+W1405,4)</f>
        <v>0</v>
      </c>
      <c r="Y1405" s="68"/>
      <c r="Z1405" s="148">
        <f>ROUND(IF(X1405&gt;I1405,X1405,I1405),4)</f>
        <v>0</v>
      </c>
      <c r="AD1405" s="78">
        <f t="shared" si="20"/>
        <v>0</v>
      </c>
      <c r="AE1405" s="78">
        <f t="shared" si="21"/>
        <v>0</v>
      </c>
    </row>
    <row r="1406" spans="1:31" x14ac:dyDescent="0.2">
      <c r="A1406" s="66"/>
      <c r="B1406" s="66"/>
      <c r="C1406" s="66"/>
      <c r="D1406" s="144"/>
      <c r="E1406" s="67"/>
      <c r="F1406" s="67"/>
      <c r="G1406" s="67"/>
      <c r="H1406" s="67">
        <f>ROUND(+E1406+G1406,4)</f>
        <v>0</v>
      </c>
      <c r="I1406" s="67"/>
      <c r="J1406" s="67">
        <f>ROUND(+I1406-H1406,4)</f>
        <v>0</v>
      </c>
      <c r="K1406" s="67">
        <f>ROUND(IF(F1406="alluminio",0,I1406*1.5%),4)</f>
        <v>0</v>
      </c>
      <c r="L1406" s="67">
        <f>ROUND(IF(K1406&lt;J1406,K1406,0),4)</f>
        <v>0</v>
      </c>
      <c r="M1406" s="67">
        <f>ROUND(IF(J1406&gt;K1406,0,J1406),4)</f>
        <v>0</v>
      </c>
      <c r="N1406" s="67">
        <f>ROUND(+L1406*D1406,4)</f>
        <v>0</v>
      </c>
      <c r="O1406" s="67">
        <f>ROUND(IF(F1406="rame",0,+I1406*3%),4)</f>
        <v>0</v>
      </c>
      <c r="P1406" s="67">
        <f>ROUND(IF(O1406&lt;J1406,O1406,0),4)</f>
        <v>0</v>
      </c>
      <c r="Q1406" s="67">
        <f>ROUND(IF(J1406&gt;O1406,0,J1406),4)</f>
        <v>0</v>
      </c>
      <c r="R1406" s="67">
        <f>ROUND(+P1406*D1406,4)</f>
        <v>0</v>
      </c>
      <c r="S1406" s="67">
        <f>ROUND(IF(K1406=0,0,M1406*D1406),4)</f>
        <v>0</v>
      </c>
      <c r="T1406" s="67">
        <f>ROUND(+IF(K1406=0,Q1406*D1406,0),4)</f>
        <v>0</v>
      </c>
      <c r="U1406" s="67">
        <f>ROUND(+N1406+R1406+S1406+T1406,4)</f>
        <v>0</v>
      </c>
      <c r="V1406" s="67">
        <f>ROUND(IF(P1406=0,0,I1406-H1406-O1406)+IF(L1406=0,0,I1406-H1406-K1406),4)</f>
        <v>0</v>
      </c>
      <c r="W1406" s="67">
        <f>ROUND(+(V1406*60%)*D1406,4)</f>
        <v>0</v>
      </c>
      <c r="X1406" s="148">
        <f>ROUND(+U1406+W1406,4)</f>
        <v>0</v>
      </c>
      <c r="Y1406" s="68"/>
      <c r="Z1406" s="148">
        <f>ROUND(IF(X1406&gt;I1406,X1406,I1406),4)</f>
        <v>0</v>
      </c>
      <c r="AD1406" s="78">
        <f t="shared" ref="AD1406:AD1469" si="22">IF(Y1406="",0,MONTH(Y1406))</f>
        <v>0</v>
      </c>
      <c r="AE1406" s="78">
        <f t="shared" ref="AE1406:AE1469" si="23">IF(Y1406="",0,YEAR(Y1406))</f>
        <v>0</v>
      </c>
    </row>
    <row r="1407" spans="1:31" x14ac:dyDescent="0.2">
      <c r="A1407" s="66"/>
      <c r="B1407" s="66"/>
      <c r="C1407" s="66"/>
      <c r="D1407" s="144"/>
      <c r="E1407" s="67"/>
      <c r="F1407" s="67"/>
      <c r="G1407" s="67"/>
      <c r="H1407" s="67">
        <f>ROUND(+E1407+G1407,4)</f>
        <v>0</v>
      </c>
      <c r="I1407" s="67"/>
      <c r="J1407" s="67">
        <f>ROUND(+I1407-H1407,4)</f>
        <v>0</v>
      </c>
      <c r="K1407" s="67">
        <f>ROUND(IF(F1407="alluminio",0,I1407*1.5%),4)</f>
        <v>0</v>
      </c>
      <c r="L1407" s="67">
        <f>ROUND(IF(K1407&lt;J1407,K1407,0),4)</f>
        <v>0</v>
      </c>
      <c r="M1407" s="67">
        <f>ROUND(IF(J1407&gt;K1407,0,J1407),4)</f>
        <v>0</v>
      </c>
      <c r="N1407" s="67">
        <f>ROUND(+L1407*D1407,4)</f>
        <v>0</v>
      </c>
      <c r="O1407" s="67">
        <f>ROUND(IF(F1407="rame",0,+I1407*3%),4)</f>
        <v>0</v>
      </c>
      <c r="P1407" s="67">
        <f>ROUND(IF(O1407&lt;J1407,O1407,0),4)</f>
        <v>0</v>
      </c>
      <c r="Q1407" s="67">
        <f>ROUND(IF(J1407&gt;O1407,0,J1407),4)</f>
        <v>0</v>
      </c>
      <c r="R1407" s="67">
        <f>ROUND(+P1407*D1407,4)</f>
        <v>0</v>
      </c>
      <c r="S1407" s="67">
        <f>ROUND(IF(K1407=0,0,M1407*D1407),4)</f>
        <v>0</v>
      </c>
      <c r="T1407" s="67">
        <f>ROUND(+IF(K1407=0,Q1407*D1407,0),4)</f>
        <v>0</v>
      </c>
      <c r="U1407" s="67">
        <f>ROUND(+N1407+R1407+S1407+T1407,4)</f>
        <v>0</v>
      </c>
      <c r="V1407" s="67">
        <f>ROUND(IF(P1407=0,0,I1407-H1407-O1407)+IF(L1407=0,0,I1407-H1407-K1407),4)</f>
        <v>0</v>
      </c>
      <c r="W1407" s="67">
        <f>ROUND(+(V1407*60%)*D1407,4)</f>
        <v>0</v>
      </c>
      <c r="X1407" s="148">
        <f>ROUND(+U1407+W1407,4)</f>
        <v>0</v>
      </c>
      <c r="Y1407" s="68"/>
      <c r="Z1407" s="148">
        <f>ROUND(IF(X1407&gt;I1407,X1407,I1407),4)</f>
        <v>0</v>
      </c>
      <c r="AD1407" s="78">
        <f t="shared" si="22"/>
        <v>0</v>
      </c>
      <c r="AE1407" s="78">
        <f t="shared" si="23"/>
        <v>0</v>
      </c>
    </row>
    <row r="1408" spans="1:31" x14ac:dyDescent="0.2">
      <c r="A1408" s="66"/>
      <c r="B1408" s="66"/>
      <c r="C1408" s="66"/>
      <c r="D1408" s="144"/>
      <c r="E1408" s="67"/>
      <c r="F1408" s="67"/>
      <c r="G1408" s="67"/>
      <c r="H1408" s="67">
        <f>ROUND(+E1408+G1408,4)</f>
        <v>0</v>
      </c>
      <c r="I1408" s="67"/>
      <c r="J1408" s="67">
        <f>ROUND(+I1408-H1408,4)</f>
        <v>0</v>
      </c>
      <c r="K1408" s="67">
        <f>ROUND(IF(F1408="alluminio",0,I1408*1.5%),4)</f>
        <v>0</v>
      </c>
      <c r="L1408" s="67">
        <f>ROUND(IF(K1408&lt;J1408,K1408,0),4)</f>
        <v>0</v>
      </c>
      <c r="M1408" s="67">
        <f>ROUND(IF(J1408&gt;K1408,0,J1408),4)</f>
        <v>0</v>
      </c>
      <c r="N1408" s="67">
        <f>ROUND(+L1408*D1408,4)</f>
        <v>0</v>
      </c>
      <c r="O1408" s="67">
        <f>ROUND(IF(F1408="rame",0,+I1408*3%),4)</f>
        <v>0</v>
      </c>
      <c r="P1408" s="67">
        <f>ROUND(IF(O1408&lt;J1408,O1408,0),4)</f>
        <v>0</v>
      </c>
      <c r="Q1408" s="67">
        <f>ROUND(IF(J1408&gt;O1408,0,J1408),4)</f>
        <v>0</v>
      </c>
      <c r="R1408" s="67">
        <f>ROUND(+P1408*D1408,4)</f>
        <v>0</v>
      </c>
      <c r="S1408" s="67">
        <f>ROUND(IF(K1408=0,0,M1408*D1408),4)</f>
        <v>0</v>
      </c>
      <c r="T1408" s="67">
        <f>ROUND(+IF(K1408=0,Q1408*D1408,0),4)</f>
        <v>0</v>
      </c>
      <c r="U1408" s="67">
        <f>ROUND(+N1408+R1408+S1408+T1408,4)</f>
        <v>0</v>
      </c>
      <c r="V1408" s="67">
        <f>ROUND(IF(P1408=0,0,I1408-H1408-O1408)+IF(L1408=0,0,I1408-H1408-K1408),4)</f>
        <v>0</v>
      </c>
      <c r="W1408" s="67">
        <f>ROUND(+(V1408*60%)*D1408,4)</f>
        <v>0</v>
      </c>
      <c r="X1408" s="148">
        <f>ROUND(+U1408+W1408,4)</f>
        <v>0</v>
      </c>
      <c r="Y1408" s="68"/>
      <c r="Z1408" s="148">
        <f>ROUND(IF(X1408&gt;I1408,X1408,I1408),4)</f>
        <v>0</v>
      </c>
      <c r="AD1408" s="78">
        <f t="shared" si="22"/>
        <v>0</v>
      </c>
      <c r="AE1408" s="78">
        <f t="shared" si="23"/>
        <v>0</v>
      </c>
    </row>
    <row r="1409" spans="1:31" x14ac:dyDescent="0.2">
      <c r="A1409" s="66"/>
      <c r="B1409" s="66"/>
      <c r="C1409" s="66"/>
      <c r="D1409" s="144"/>
      <c r="E1409" s="67"/>
      <c r="F1409" s="67"/>
      <c r="G1409" s="67"/>
      <c r="H1409" s="67">
        <f>ROUND(+E1409+G1409,4)</f>
        <v>0</v>
      </c>
      <c r="I1409" s="67"/>
      <c r="J1409" s="67">
        <f>ROUND(+I1409-H1409,4)</f>
        <v>0</v>
      </c>
      <c r="K1409" s="67">
        <f>ROUND(IF(F1409="alluminio",0,I1409*1.5%),4)</f>
        <v>0</v>
      </c>
      <c r="L1409" s="67">
        <f>ROUND(IF(K1409&lt;J1409,K1409,0),4)</f>
        <v>0</v>
      </c>
      <c r="M1409" s="67">
        <f>ROUND(IF(J1409&gt;K1409,0,J1409),4)</f>
        <v>0</v>
      </c>
      <c r="N1409" s="67">
        <f>ROUND(+L1409*D1409,4)</f>
        <v>0</v>
      </c>
      <c r="O1409" s="67">
        <f>ROUND(IF(F1409="rame",0,+I1409*3%),4)</f>
        <v>0</v>
      </c>
      <c r="P1409" s="67">
        <f>ROUND(IF(O1409&lt;J1409,O1409,0),4)</f>
        <v>0</v>
      </c>
      <c r="Q1409" s="67">
        <f>ROUND(IF(J1409&gt;O1409,0,J1409),4)</f>
        <v>0</v>
      </c>
      <c r="R1409" s="67">
        <f>ROUND(+P1409*D1409,4)</f>
        <v>0</v>
      </c>
      <c r="S1409" s="67">
        <f>ROUND(IF(K1409=0,0,M1409*D1409),4)</f>
        <v>0</v>
      </c>
      <c r="T1409" s="67">
        <f>ROUND(+IF(K1409=0,Q1409*D1409,0),4)</f>
        <v>0</v>
      </c>
      <c r="U1409" s="67">
        <f>ROUND(+N1409+R1409+S1409+T1409,4)</f>
        <v>0</v>
      </c>
      <c r="V1409" s="67">
        <f>ROUND(IF(P1409=0,0,I1409-H1409-O1409)+IF(L1409=0,0,I1409-H1409-K1409),4)</f>
        <v>0</v>
      </c>
      <c r="W1409" s="67">
        <f>ROUND(+(V1409*60%)*D1409,4)</f>
        <v>0</v>
      </c>
      <c r="X1409" s="148">
        <f>ROUND(+U1409+W1409,4)</f>
        <v>0</v>
      </c>
      <c r="Y1409" s="68"/>
      <c r="Z1409" s="148">
        <f>ROUND(IF(X1409&gt;I1409,X1409,I1409),4)</f>
        <v>0</v>
      </c>
      <c r="AD1409" s="78">
        <f t="shared" si="22"/>
        <v>0</v>
      </c>
      <c r="AE1409" s="78">
        <f t="shared" si="23"/>
        <v>0</v>
      </c>
    </row>
    <row r="1410" spans="1:31" x14ac:dyDescent="0.2">
      <c r="A1410" s="66"/>
      <c r="B1410" s="66"/>
      <c r="C1410" s="66"/>
      <c r="D1410" s="144"/>
      <c r="E1410" s="67"/>
      <c r="F1410" s="67"/>
      <c r="G1410" s="67"/>
      <c r="H1410" s="67">
        <f>ROUND(+E1410+G1410,4)</f>
        <v>0</v>
      </c>
      <c r="I1410" s="67"/>
      <c r="J1410" s="67">
        <f>ROUND(+I1410-H1410,4)</f>
        <v>0</v>
      </c>
      <c r="K1410" s="67">
        <f>ROUND(IF(F1410="alluminio",0,I1410*1.5%),4)</f>
        <v>0</v>
      </c>
      <c r="L1410" s="67">
        <f>ROUND(IF(K1410&lt;J1410,K1410,0),4)</f>
        <v>0</v>
      </c>
      <c r="M1410" s="67">
        <f>ROUND(IF(J1410&gt;K1410,0,J1410),4)</f>
        <v>0</v>
      </c>
      <c r="N1410" s="67">
        <f>ROUND(+L1410*D1410,4)</f>
        <v>0</v>
      </c>
      <c r="O1410" s="67">
        <f>ROUND(IF(F1410="rame",0,+I1410*3%),4)</f>
        <v>0</v>
      </c>
      <c r="P1410" s="67">
        <f>ROUND(IF(O1410&lt;J1410,O1410,0),4)</f>
        <v>0</v>
      </c>
      <c r="Q1410" s="67">
        <f>ROUND(IF(J1410&gt;O1410,0,J1410),4)</f>
        <v>0</v>
      </c>
      <c r="R1410" s="67">
        <f>ROUND(+P1410*D1410,4)</f>
        <v>0</v>
      </c>
      <c r="S1410" s="67">
        <f>ROUND(IF(K1410=0,0,M1410*D1410),4)</f>
        <v>0</v>
      </c>
      <c r="T1410" s="67">
        <f>ROUND(+IF(K1410=0,Q1410*D1410,0),4)</f>
        <v>0</v>
      </c>
      <c r="U1410" s="67">
        <f>ROUND(+N1410+R1410+S1410+T1410,4)</f>
        <v>0</v>
      </c>
      <c r="V1410" s="67">
        <f>ROUND(IF(P1410=0,0,I1410-H1410-O1410)+IF(L1410=0,0,I1410-H1410-K1410),4)</f>
        <v>0</v>
      </c>
      <c r="W1410" s="67">
        <f>ROUND(+(V1410*60%)*D1410,4)</f>
        <v>0</v>
      </c>
      <c r="X1410" s="148">
        <f>ROUND(+U1410+W1410,4)</f>
        <v>0</v>
      </c>
      <c r="Y1410" s="68"/>
      <c r="Z1410" s="148">
        <f>ROUND(IF(X1410&gt;I1410,X1410,I1410),4)</f>
        <v>0</v>
      </c>
      <c r="AD1410" s="78">
        <f t="shared" si="22"/>
        <v>0</v>
      </c>
      <c r="AE1410" s="78">
        <f t="shared" si="23"/>
        <v>0</v>
      </c>
    </row>
    <row r="1411" spans="1:31" x14ac:dyDescent="0.2">
      <c r="A1411" s="66"/>
      <c r="B1411" s="66"/>
      <c r="C1411" s="66"/>
      <c r="D1411" s="144"/>
      <c r="E1411" s="67"/>
      <c r="F1411" s="67"/>
      <c r="G1411" s="67"/>
      <c r="H1411" s="67">
        <f>ROUND(+E1411+G1411,4)</f>
        <v>0</v>
      </c>
      <c r="I1411" s="67"/>
      <c r="J1411" s="67">
        <f>ROUND(+I1411-H1411,4)</f>
        <v>0</v>
      </c>
      <c r="K1411" s="67">
        <f>ROUND(IF(F1411="alluminio",0,I1411*1.5%),4)</f>
        <v>0</v>
      </c>
      <c r="L1411" s="67">
        <f>ROUND(IF(K1411&lt;J1411,K1411,0),4)</f>
        <v>0</v>
      </c>
      <c r="M1411" s="67">
        <f>ROUND(IF(J1411&gt;K1411,0,J1411),4)</f>
        <v>0</v>
      </c>
      <c r="N1411" s="67">
        <f>ROUND(+L1411*D1411,4)</f>
        <v>0</v>
      </c>
      <c r="O1411" s="67">
        <f>ROUND(IF(F1411="rame",0,+I1411*3%),4)</f>
        <v>0</v>
      </c>
      <c r="P1411" s="67">
        <f>ROUND(IF(O1411&lt;J1411,O1411,0),4)</f>
        <v>0</v>
      </c>
      <c r="Q1411" s="67">
        <f>ROUND(IF(J1411&gt;O1411,0,J1411),4)</f>
        <v>0</v>
      </c>
      <c r="R1411" s="67">
        <f>ROUND(+P1411*D1411,4)</f>
        <v>0</v>
      </c>
      <c r="S1411" s="67">
        <f>ROUND(IF(K1411=0,0,M1411*D1411),4)</f>
        <v>0</v>
      </c>
      <c r="T1411" s="67">
        <f>ROUND(+IF(K1411=0,Q1411*D1411,0),4)</f>
        <v>0</v>
      </c>
      <c r="U1411" s="67">
        <f>ROUND(+N1411+R1411+S1411+T1411,4)</f>
        <v>0</v>
      </c>
      <c r="V1411" s="67">
        <f>ROUND(IF(P1411=0,0,I1411-H1411-O1411)+IF(L1411=0,0,I1411-H1411-K1411),4)</f>
        <v>0</v>
      </c>
      <c r="W1411" s="67">
        <f>ROUND(+(V1411*60%)*D1411,4)</f>
        <v>0</v>
      </c>
      <c r="X1411" s="148">
        <f>ROUND(+U1411+W1411,4)</f>
        <v>0</v>
      </c>
      <c r="Y1411" s="68"/>
      <c r="Z1411" s="148">
        <f>ROUND(IF(X1411&gt;I1411,X1411,I1411),4)</f>
        <v>0</v>
      </c>
      <c r="AD1411" s="78">
        <f t="shared" si="22"/>
        <v>0</v>
      </c>
      <c r="AE1411" s="78">
        <f t="shared" si="23"/>
        <v>0</v>
      </c>
    </row>
    <row r="1412" spans="1:31" x14ac:dyDescent="0.2">
      <c r="A1412" s="66"/>
      <c r="B1412" s="66"/>
      <c r="C1412" s="66"/>
      <c r="D1412" s="144"/>
      <c r="E1412" s="67"/>
      <c r="F1412" s="67"/>
      <c r="G1412" s="67"/>
      <c r="H1412" s="67">
        <f>ROUND(+E1412+G1412,4)</f>
        <v>0</v>
      </c>
      <c r="I1412" s="67"/>
      <c r="J1412" s="67">
        <f>ROUND(+I1412-H1412,4)</f>
        <v>0</v>
      </c>
      <c r="K1412" s="67">
        <f>ROUND(IF(F1412="alluminio",0,I1412*1.5%),4)</f>
        <v>0</v>
      </c>
      <c r="L1412" s="67">
        <f>ROUND(IF(K1412&lt;J1412,K1412,0),4)</f>
        <v>0</v>
      </c>
      <c r="M1412" s="67">
        <f>ROUND(IF(J1412&gt;K1412,0,J1412),4)</f>
        <v>0</v>
      </c>
      <c r="N1412" s="67">
        <f>ROUND(+L1412*D1412,4)</f>
        <v>0</v>
      </c>
      <c r="O1412" s="67">
        <f>ROUND(IF(F1412="rame",0,+I1412*3%),4)</f>
        <v>0</v>
      </c>
      <c r="P1412" s="67">
        <f>ROUND(IF(O1412&lt;J1412,O1412,0),4)</f>
        <v>0</v>
      </c>
      <c r="Q1412" s="67">
        <f>ROUND(IF(J1412&gt;O1412,0,J1412),4)</f>
        <v>0</v>
      </c>
      <c r="R1412" s="67">
        <f>ROUND(+P1412*D1412,4)</f>
        <v>0</v>
      </c>
      <c r="S1412" s="67">
        <f>ROUND(IF(K1412=0,0,M1412*D1412),4)</f>
        <v>0</v>
      </c>
      <c r="T1412" s="67">
        <f>ROUND(+IF(K1412=0,Q1412*D1412,0),4)</f>
        <v>0</v>
      </c>
      <c r="U1412" s="67">
        <f>ROUND(+N1412+R1412+S1412+T1412,4)</f>
        <v>0</v>
      </c>
      <c r="V1412" s="67">
        <f>ROUND(IF(P1412=0,0,I1412-H1412-O1412)+IF(L1412=0,0,I1412-H1412-K1412),4)</f>
        <v>0</v>
      </c>
      <c r="W1412" s="67">
        <f>ROUND(+(V1412*60%)*D1412,4)</f>
        <v>0</v>
      </c>
      <c r="X1412" s="148">
        <f>ROUND(+U1412+W1412,4)</f>
        <v>0</v>
      </c>
      <c r="Y1412" s="68"/>
      <c r="Z1412" s="148">
        <f>ROUND(IF(X1412&gt;I1412,X1412,I1412),4)</f>
        <v>0</v>
      </c>
      <c r="AD1412" s="78">
        <f t="shared" si="22"/>
        <v>0</v>
      </c>
      <c r="AE1412" s="78">
        <f t="shared" si="23"/>
        <v>0</v>
      </c>
    </row>
    <row r="1413" spans="1:31" x14ac:dyDescent="0.2">
      <c r="A1413" s="66"/>
      <c r="B1413" s="66"/>
      <c r="C1413" s="66"/>
      <c r="D1413" s="144"/>
      <c r="E1413" s="67"/>
      <c r="F1413" s="67"/>
      <c r="G1413" s="67"/>
      <c r="H1413" s="67">
        <f>ROUND(+E1413+G1413,4)</f>
        <v>0</v>
      </c>
      <c r="I1413" s="67"/>
      <c r="J1413" s="67">
        <f>ROUND(+I1413-H1413,4)</f>
        <v>0</v>
      </c>
      <c r="K1413" s="67">
        <f>ROUND(IF(F1413="alluminio",0,I1413*1.5%),4)</f>
        <v>0</v>
      </c>
      <c r="L1413" s="67">
        <f>ROUND(IF(K1413&lt;J1413,K1413,0),4)</f>
        <v>0</v>
      </c>
      <c r="M1413" s="67">
        <f>ROUND(IF(J1413&gt;K1413,0,J1413),4)</f>
        <v>0</v>
      </c>
      <c r="N1413" s="67">
        <f>ROUND(+L1413*D1413,4)</f>
        <v>0</v>
      </c>
      <c r="O1413" s="67">
        <f>ROUND(IF(F1413="rame",0,+I1413*3%),4)</f>
        <v>0</v>
      </c>
      <c r="P1413" s="67">
        <f>ROUND(IF(O1413&lt;J1413,O1413,0),4)</f>
        <v>0</v>
      </c>
      <c r="Q1413" s="67">
        <f>ROUND(IF(J1413&gt;O1413,0,J1413),4)</f>
        <v>0</v>
      </c>
      <c r="R1413" s="67">
        <f>ROUND(+P1413*D1413,4)</f>
        <v>0</v>
      </c>
      <c r="S1413" s="67">
        <f>ROUND(IF(K1413=0,0,M1413*D1413),4)</f>
        <v>0</v>
      </c>
      <c r="T1413" s="67">
        <f>ROUND(+IF(K1413=0,Q1413*D1413,0),4)</f>
        <v>0</v>
      </c>
      <c r="U1413" s="67">
        <f>ROUND(+N1413+R1413+S1413+T1413,4)</f>
        <v>0</v>
      </c>
      <c r="V1413" s="67">
        <f>ROUND(IF(P1413=0,0,I1413-H1413-O1413)+IF(L1413=0,0,I1413-H1413-K1413),4)</f>
        <v>0</v>
      </c>
      <c r="W1413" s="67">
        <f>ROUND(+(V1413*60%)*D1413,4)</f>
        <v>0</v>
      </c>
      <c r="X1413" s="148">
        <f>ROUND(+U1413+W1413,4)</f>
        <v>0</v>
      </c>
      <c r="Y1413" s="68"/>
      <c r="Z1413" s="148">
        <f>ROUND(IF(X1413&gt;I1413,X1413,I1413),4)</f>
        <v>0</v>
      </c>
      <c r="AD1413" s="78">
        <f t="shared" si="22"/>
        <v>0</v>
      </c>
      <c r="AE1413" s="78">
        <f t="shared" si="23"/>
        <v>0</v>
      </c>
    </row>
    <row r="1414" spans="1:31" x14ac:dyDescent="0.2">
      <c r="A1414" s="66"/>
      <c r="B1414" s="66"/>
      <c r="C1414" s="66"/>
      <c r="D1414" s="144"/>
      <c r="E1414" s="67"/>
      <c r="F1414" s="67"/>
      <c r="G1414" s="67"/>
      <c r="H1414" s="67">
        <f>ROUND(+E1414+G1414,4)</f>
        <v>0</v>
      </c>
      <c r="I1414" s="67"/>
      <c r="J1414" s="67">
        <f>ROUND(+I1414-H1414,4)</f>
        <v>0</v>
      </c>
      <c r="K1414" s="67">
        <f>ROUND(IF(F1414="alluminio",0,I1414*1.5%),4)</f>
        <v>0</v>
      </c>
      <c r="L1414" s="67">
        <f>ROUND(IF(K1414&lt;J1414,K1414,0),4)</f>
        <v>0</v>
      </c>
      <c r="M1414" s="67">
        <f>ROUND(IF(J1414&gt;K1414,0,J1414),4)</f>
        <v>0</v>
      </c>
      <c r="N1414" s="67">
        <f>ROUND(+L1414*D1414,4)</f>
        <v>0</v>
      </c>
      <c r="O1414" s="67">
        <f>ROUND(IF(F1414="rame",0,+I1414*3%),4)</f>
        <v>0</v>
      </c>
      <c r="P1414" s="67">
        <f>ROUND(IF(O1414&lt;J1414,O1414,0),4)</f>
        <v>0</v>
      </c>
      <c r="Q1414" s="67">
        <f>ROUND(IF(J1414&gt;O1414,0,J1414),4)</f>
        <v>0</v>
      </c>
      <c r="R1414" s="67">
        <f>ROUND(+P1414*D1414,4)</f>
        <v>0</v>
      </c>
      <c r="S1414" s="67">
        <f>ROUND(IF(K1414=0,0,M1414*D1414),4)</f>
        <v>0</v>
      </c>
      <c r="T1414" s="67">
        <f>ROUND(+IF(K1414=0,Q1414*D1414,0),4)</f>
        <v>0</v>
      </c>
      <c r="U1414" s="67">
        <f>ROUND(+N1414+R1414+S1414+T1414,4)</f>
        <v>0</v>
      </c>
      <c r="V1414" s="67">
        <f>ROUND(IF(P1414=0,0,I1414-H1414-O1414)+IF(L1414=0,0,I1414-H1414-K1414),4)</f>
        <v>0</v>
      </c>
      <c r="W1414" s="67">
        <f>ROUND(+(V1414*60%)*D1414,4)</f>
        <v>0</v>
      </c>
      <c r="X1414" s="148">
        <f>ROUND(+U1414+W1414,4)</f>
        <v>0</v>
      </c>
      <c r="Y1414" s="68"/>
      <c r="Z1414" s="148">
        <f>ROUND(IF(X1414&gt;I1414,X1414,I1414),4)</f>
        <v>0</v>
      </c>
      <c r="AD1414" s="78">
        <f t="shared" si="22"/>
        <v>0</v>
      </c>
      <c r="AE1414" s="78">
        <f t="shared" si="23"/>
        <v>0</v>
      </c>
    </row>
    <row r="1415" spans="1:31" x14ac:dyDescent="0.2">
      <c r="A1415" s="66"/>
      <c r="B1415" s="66"/>
      <c r="C1415" s="66"/>
      <c r="D1415" s="144"/>
      <c r="E1415" s="67"/>
      <c r="F1415" s="67"/>
      <c r="G1415" s="67"/>
      <c r="H1415" s="67">
        <f>ROUND(+E1415+G1415,4)</f>
        <v>0</v>
      </c>
      <c r="I1415" s="67"/>
      <c r="J1415" s="67">
        <f>ROUND(+I1415-H1415,4)</f>
        <v>0</v>
      </c>
      <c r="K1415" s="67">
        <f>ROUND(IF(F1415="alluminio",0,I1415*1.5%),4)</f>
        <v>0</v>
      </c>
      <c r="L1415" s="67">
        <f>ROUND(IF(K1415&lt;J1415,K1415,0),4)</f>
        <v>0</v>
      </c>
      <c r="M1415" s="67">
        <f>ROUND(IF(J1415&gt;K1415,0,J1415),4)</f>
        <v>0</v>
      </c>
      <c r="N1415" s="67">
        <f>ROUND(+L1415*D1415,4)</f>
        <v>0</v>
      </c>
      <c r="O1415" s="67">
        <f>ROUND(IF(F1415="rame",0,+I1415*3%),4)</f>
        <v>0</v>
      </c>
      <c r="P1415" s="67">
        <f>ROUND(IF(O1415&lt;J1415,O1415,0),4)</f>
        <v>0</v>
      </c>
      <c r="Q1415" s="67">
        <f>ROUND(IF(J1415&gt;O1415,0,J1415),4)</f>
        <v>0</v>
      </c>
      <c r="R1415" s="67">
        <f>ROUND(+P1415*D1415,4)</f>
        <v>0</v>
      </c>
      <c r="S1415" s="67">
        <f>ROUND(IF(K1415=0,0,M1415*D1415),4)</f>
        <v>0</v>
      </c>
      <c r="T1415" s="67">
        <f>ROUND(+IF(K1415=0,Q1415*D1415,0),4)</f>
        <v>0</v>
      </c>
      <c r="U1415" s="67">
        <f>ROUND(+N1415+R1415+S1415+T1415,4)</f>
        <v>0</v>
      </c>
      <c r="V1415" s="67">
        <f>ROUND(IF(P1415=0,0,I1415-H1415-O1415)+IF(L1415=0,0,I1415-H1415-K1415),4)</f>
        <v>0</v>
      </c>
      <c r="W1415" s="67">
        <f>ROUND(+(V1415*60%)*D1415,4)</f>
        <v>0</v>
      </c>
      <c r="X1415" s="148">
        <f>ROUND(+U1415+W1415,4)</f>
        <v>0</v>
      </c>
      <c r="Y1415" s="68"/>
      <c r="Z1415" s="148">
        <f>ROUND(IF(X1415&gt;I1415,X1415,I1415),4)</f>
        <v>0</v>
      </c>
      <c r="AD1415" s="78">
        <f t="shared" si="22"/>
        <v>0</v>
      </c>
      <c r="AE1415" s="78">
        <f t="shared" si="23"/>
        <v>0</v>
      </c>
    </row>
    <row r="1416" spans="1:31" x14ac:dyDescent="0.2">
      <c r="A1416" s="66"/>
      <c r="B1416" s="66"/>
      <c r="C1416" s="66"/>
      <c r="D1416" s="144"/>
      <c r="E1416" s="67"/>
      <c r="F1416" s="67"/>
      <c r="G1416" s="67"/>
      <c r="H1416" s="67">
        <f>ROUND(+E1416+G1416,4)</f>
        <v>0</v>
      </c>
      <c r="I1416" s="67"/>
      <c r="J1416" s="67">
        <f>ROUND(+I1416-H1416,4)</f>
        <v>0</v>
      </c>
      <c r="K1416" s="67">
        <f>ROUND(IF(F1416="alluminio",0,I1416*1.5%),4)</f>
        <v>0</v>
      </c>
      <c r="L1416" s="67">
        <f>ROUND(IF(K1416&lt;J1416,K1416,0),4)</f>
        <v>0</v>
      </c>
      <c r="M1416" s="67">
        <f>ROUND(IF(J1416&gt;K1416,0,J1416),4)</f>
        <v>0</v>
      </c>
      <c r="N1416" s="67">
        <f>ROUND(+L1416*D1416,4)</f>
        <v>0</v>
      </c>
      <c r="O1416" s="67">
        <f>ROUND(IF(F1416="rame",0,+I1416*3%),4)</f>
        <v>0</v>
      </c>
      <c r="P1416" s="67">
        <f>ROUND(IF(O1416&lt;J1416,O1416,0),4)</f>
        <v>0</v>
      </c>
      <c r="Q1416" s="67">
        <f>ROUND(IF(J1416&gt;O1416,0,J1416),4)</f>
        <v>0</v>
      </c>
      <c r="R1416" s="67">
        <f>ROUND(+P1416*D1416,4)</f>
        <v>0</v>
      </c>
      <c r="S1416" s="67">
        <f>ROUND(IF(K1416=0,0,M1416*D1416),4)</f>
        <v>0</v>
      </c>
      <c r="T1416" s="67">
        <f>ROUND(+IF(K1416=0,Q1416*D1416,0),4)</f>
        <v>0</v>
      </c>
      <c r="U1416" s="67">
        <f>ROUND(+N1416+R1416+S1416+T1416,4)</f>
        <v>0</v>
      </c>
      <c r="V1416" s="67">
        <f>ROUND(IF(P1416=0,0,I1416-H1416-O1416)+IF(L1416=0,0,I1416-H1416-K1416),4)</f>
        <v>0</v>
      </c>
      <c r="W1416" s="67">
        <f>ROUND(+(V1416*60%)*D1416,4)</f>
        <v>0</v>
      </c>
      <c r="X1416" s="148">
        <f>ROUND(+U1416+W1416,4)</f>
        <v>0</v>
      </c>
      <c r="Y1416" s="68"/>
      <c r="Z1416" s="148">
        <f>ROUND(IF(X1416&gt;I1416,X1416,I1416),4)</f>
        <v>0</v>
      </c>
      <c r="AD1416" s="78">
        <f t="shared" si="22"/>
        <v>0</v>
      </c>
      <c r="AE1416" s="78">
        <f t="shared" si="23"/>
        <v>0</v>
      </c>
    </row>
    <row r="1417" spans="1:31" x14ac:dyDescent="0.2">
      <c r="A1417" s="66"/>
      <c r="B1417" s="66"/>
      <c r="C1417" s="66"/>
      <c r="D1417" s="144"/>
      <c r="E1417" s="67"/>
      <c r="F1417" s="67"/>
      <c r="G1417" s="67"/>
      <c r="H1417" s="67">
        <f>ROUND(+E1417+G1417,4)</f>
        <v>0</v>
      </c>
      <c r="I1417" s="67"/>
      <c r="J1417" s="67">
        <f>ROUND(+I1417-H1417,4)</f>
        <v>0</v>
      </c>
      <c r="K1417" s="67">
        <f>ROUND(IF(F1417="alluminio",0,I1417*1.5%),4)</f>
        <v>0</v>
      </c>
      <c r="L1417" s="67">
        <f>ROUND(IF(K1417&lt;J1417,K1417,0),4)</f>
        <v>0</v>
      </c>
      <c r="M1417" s="67">
        <f>ROUND(IF(J1417&gt;K1417,0,J1417),4)</f>
        <v>0</v>
      </c>
      <c r="N1417" s="67">
        <f>ROUND(+L1417*D1417,4)</f>
        <v>0</v>
      </c>
      <c r="O1417" s="67">
        <f>ROUND(IF(F1417="rame",0,+I1417*3%),4)</f>
        <v>0</v>
      </c>
      <c r="P1417" s="67">
        <f>ROUND(IF(O1417&lt;J1417,O1417,0),4)</f>
        <v>0</v>
      </c>
      <c r="Q1417" s="67">
        <f>ROUND(IF(J1417&gt;O1417,0,J1417),4)</f>
        <v>0</v>
      </c>
      <c r="R1417" s="67">
        <f>ROUND(+P1417*D1417,4)</f>
        <v>0</v>
      </c>
      <c r="S1417" s="67">
        <f>ROUND(IF(K1417=0,0,M1417*D1417),4)</f>
        <v>0</v>
      </c>
      <c r="T1417" s="67">
        <f>ROUND(+IF(K1417=0,Q1417*D1417,0),4)</f>
        <v>0</v>
      </c>
      <c r="U1417" s="67">
        <f>ROUND(+N1417+R1417+S1417+T1417,4)</f>
        <v>0</v>
      </c>
      <c r="V1417" s="67">
        <f>ROUND(IF(P1417=0,0,I1417-H1417-O1417)+IF(L1417=0,0,I1417-H1417-K1417),4)</f>
        <v>0</v>
      </c>
      <c r="W1417" s="67">
        <f>ROUND(+(V1417*60%)*D1417,4)</f>
        <v>0</v>
      </c>
      <c r="X1417" s="148">
        <f>ROUND(+U1417+W1417,4)</f>
        <v>0</v>
      </c>
      <c r="Y1417" s="68"/>
      <c r="Z1417" s="148">
        <f>ROUND(IF(X1417&gt;I1417,X1417,I1417),4)</f>
        <v>0</v>
      </c>
      <c r="AD1417" s="78">
        <f t="shared" si="22"/>
        <v>0</v>
      </c>
      <c r="AE1417" s="78">
        <f t="shared" si="23"/>
        <v>0</v>
      </c>
    </row>
    <row r="1418" spans="1:31" x14ac:dyDescent="0.2">
      <c r="A1418" s="66"/>
      <c r="B1418" s="66"/>
      <c r="C1418" s="66"/>
      <c r="D1418" s="144"/>
      <c r="E1418" s="67"/>
      <c r="F1418" s="67"/>
      <c r="G1418" s="67"/>
      <c r="H1418" s="67">
        <f>ROUND(+E1418+G1418,4)</f>
        <v>0</v>
      </c>
      <c r="I1418" s="67"/>
      <c r="J1418" s="67">
        <f>ROUND(+I1418-H1418,4)</f>
        <v>0</v>
      </c>
      <c r="K1418" s="67">
        <f>ROUND(IF(F1418="alluminio",0,I1418*1.5%),4)</f>
        <v>0</v>
      </c>
      <c r="L1418" s="67">
        <f>ROUND(IF(K1418&lt;J1418,K1418,0),4)</f>
        <v>0</v>
      </c>
      <c r="M1418" s="67">
        <f>ROUND(IF(J1418&gt;K1418,0,J1418),4)</f>
        <v>0</v>
      </c>
      <c r="N1418" s="67">
        <f>ROUND(+L1418*D1418,4)</f>
        <v>0</v>
      </c>
      <c r="O1418" s="67">
        <f>ROUND(IF(F1418="rame",0,+I1418*3%),4)</f>
        <v>0</v>
      </c>
      <c r="P1418" s="67">
        <f>ROUND(IF(O1418&lt;J1418,O1418,0),4)</f>
        <v>0</v>
      </c>
      <c r="Q1418" s="67">
        <f>ROUND(IF(J1418&gt;O1418,0,J1418),4)</f>
        <v>0</v>
      </c>
      <c r="R1418" s="67">
        <f>ROUND(+P1418*D1418,4)</f>
        <v>0</v>
      </c>
      <c r="S1418" s="67">
        <f>ROUND(IF(K1418=0,0,M1418*D1418),4)</f>
        <v>0</v>
      </c>
      <c r="T1418" s="67">
        <f>ROUND(+IF(K1418=0,Q1418*D1418,0),4)</f>
        <v>0</v>
      </c>
      <c r="U1418" s="67">
        <f>ROUND(+N1418+R1418+S1418+T1418,4)</f>
        <v>0</v>
      </c>
      <c r="V1418" s="67">
        <f>ROUND(IF(P1418=0,0,I1418-H1418-O1418)+IF(L1418=0,0,I1418-H1418-K1418),4)</f>
        <v>0</v>
      </c>
      <c r="W1418" s="67">
        <f>ROUND(+(V1418*60%)*D1418,4)</f>
        <v>0</v>
      </c>
      <c r="X1418" s="148">
        <f>ROUND(+U1418+W1418,4)</f>
        <v>0</v>
      </c>
      <c r="Y1418" s="68"/>
      <c r="Z1418" s="148">
        <f>ROUND(IF(X1418&gt;I1418,X1418,I1418),4)</f>
        <v>0</v>
      </c>
      <c r="AD1418" s="78">
        <f t="shared" si="22"/>
        <v>0</v>
      </c>
      <c r="AE1418" s="78">
        <f t="shared" si="23"/>
        <v>0</v>
      </c>
    </row>
    <row r="1419" spans="1:31" x14ac:dyDescent="0.2">
      <c r="A1419" s="66"/>
      <c r="B1419" s="66"/>
      <c r="C1419" s="66"/>
      <c r="D1419" s="144"/>
      <c r="E1419" s="67"/>
      <c r="F1419" s="67"/>
      <c r="G1419" s="67"/>
      <c r="H1419" s="67">
        <f>ROUND(+E1419+G1419,4)</f>
        <v>0</v>
      </c>
      <c r="I1419" s="67"/>
      <c r="J1419" s="67">
        <f>ROUND(+I1419-H1419,4)</f>
        <v>0</v>
      </c>
      <c r="K1419" s="67">
        <f>ROUND(IF(F1419="alluminio",0,I1419*1.5%),4)</f>
        <v>0</v>
      </c>
      <c r="L1419" s="67">
        <f>ROUND(IF(K1419&lt;J1419,K1419,0),4)</f>
        <v>0</v>
      </c>
      <c r="M1419" s="67">
        <f>ROUND(IF(J1419&gt;K1419,0,J1419),4)</f>
        <v>0</v>
      </c>
      <c r="N1419" s="67">
        <f>ROUND(+L1419*D1419,4)</f>
        <v>0</v>
      </c>
      <c r="O1419" s="67">
        <f>ROUND(IF(F1419="rame",0,+I1419*3%),4)</f>
        <v>0</v>
      </c>
      <c r="P1419" s="67">
        <f>ROUND(IF(O1419&lt;J1419,O1419,0),4)</f>
        <v>0</v>
      </c>
      <c r="Q1419" s="67">
        <f>ROUND(IF(J1419&gt;O1419,0,J1419),4)</f>
        <v>0</v>
      </c>
      <c r="R1419" s="67">
        <f>ROUND(+P1419*D1419,4)</f>
        <v>0</v>
      </c>
      <c r="S1419" s="67">
        <f>ROUND(IF(K1419=0,0,M1419*D1419),4)</f>
        <v>0</v>
      </c>
      <c r="T1419" s="67">
        <f>ROUND(+IF(K1419=0,Q1419*D1419,0),4)</f>
        <v>0</v>
      </c>
      <c r="U1419" s="67">
        <f>ROUND(+N1419+R1419+S1419+T1419,4)</f>
        <v>0</v>
      </c>
      <c r="V1419" s="67">
        <f>ROUND(IF(P1419=0,0,I1419-H1419-O1419)+IF(L1419=0,0,I1419-H1419-K1419),4)</f>
        <v>0</v>
      </c>
      <c r="W1419" s="67">
        <f>ROUND(+(V1419*60%)*D1419,4)</f>
        <v>0</v>
      </c>
      <c r="X1419" s="148">
        <f>ROUND(+U1419+W1419,4)</f>
        <v>0</v>
      </c>
      <c r="Y1419" s="68"/>
      <c r="Z1419" s="148">
        <f>ROUND(IF(X1419&gt;I1419,X1419,I1419),4)</f>
        <v>0</v>
      </c>
      <c r="AD1419" s="78">
        <f t="shared" si="22"/>
        <v>0</v>
      </c>
      <c r="AE1419" s="78">
        <f t="shared" si="23"/>
        <v>0</v>
      </c>
    </row>
    <row r="1420" spans="1:31" x14ac:dyDescent="0.2">
      <c r="A1420" s="66"/>
      <c r="B1420" s="66"/>
      <c r="C1420" s="66"/>
      <c r="D1420" s="144"/>
      <c r="E1420" s="67"/>
      <c r="F1420" s="67"/>
      <c r="G1420" s="67"/>
      <c r="H1420" s="67">
        <f>ROUND(+E1420+G1420,4)</f>
        <v>0</v>
      </c>
      <c r="I1420" s="67"/>
      <c r="J1420" s="67">
        <f>ROUND(+I1420-H1420,4)</f>
        <v>0</v>
      </c>
      <c r="K1420" s="67">
        <f>ROUND(IF(F1420="alluminio",0,I1420*1.5%),4)</f>
        <v>0</v>
      </c>
      <c r="L1420" s="67">
        <f>ROUND(IF(K1420&lt;J1420,K1420,0),4)</f>
        <v>0</v>
      </c>
      <c r="M1420" s="67">
        <f>ROUND(IF(J1420&gt;K1420,0,J1420),4)</f>
        <v>0</v>
      </c>
      <c r="N1420" s="67">
        <f>ROUND(+L1420*D1420,4)</f>
        <v>0</v>
      </c>
      <c r="O1420" s="67">
        <f>ROUND(IF(F1420="rame",0,+I1420*3%),4)</f>
        <v>0</v>
      </c>
      <c r="P1420" s="67">
        <f>ROUND(IF(O1420&lt;J1420,O1420,0),4)</f>
        <v>0</v>
      </c>
      <c r="Q1420" s="67">
        <f>ROUND(IF(J1420&gt;O1420,0,J1420),4)</f>
        <v>0</v>
      </c>
      <c r="R1420" s="67">
        <f>ROUND(+P1420*D1420,4)</f>
        <v>0</v>
      </c>
      <c r="S1420" s="67">
        <f>ROUND(IF(K1420=0,0,M1420*D1420),4)</f>
        <v>0</v>
      </c>
      <c r="T1420" s="67">
        <f>ROUND(+IF(K1420=0,Q1420*D1420,0),4)</f>
        <v>0</v>
      </c>
      <c r="U1420" s="67">
        <f>ROUND(+N1420+R1420+S1420+T1420,4)</f>
        <v>0</v>
      </c>
      <c r="V1420" s="67">
        <f>ROUND(IF(P1420=0,0,I1420-H1420-O1420)+IF(L1420=0,0,I1420-H1420-K1420),4)</f>
        <v>0</v>
      </c>
      <c r="W1420" s="67">
        <f>ROUND(+(V1420*60%)*D1420,4)</f>
        <v>0</v>
      </c>
      <c r="X1420" s="148">
        <f>ROUND(+U1420+W1420,4)</f>
        <v>0</v>
      </c>
      <c r="Y1420" s="68"/>
      <c r="Z1420" s="148">
        <f>ROUND(IF(X1420&gt;I1420,X1420,I1420),4)</f>
        <v>0</v>
      </c>
      <c r="AD1420" s="78">
        <f t="shared" si="22"/>
        <v>0</v>
      </c>
      <c r="AE1420" s="78">
        <f t="shared" si="23"/>
        <v>0</v>
      </c>
    </row>
    <row r="1421" spans="1:31" x14ac:dyDescent="0.2">
      <c r="A1421" s="66"/>
      <c r="B1421" s="66"/>
      <c r="C1421" s="66"/>
      <c r="D1421" s="144"/>
      <c r="E1421" s="67"/>
      <c r="F1421" s="67"/>
      <c r="G1421" s="67"/>
      <c r="H1421" s="67">
        <f>ROUND(+E1421+G1421,4)</f>
        <v>0</v>
      </c>
      <c r="I1421" s="67"/>
      <c r="J1421" s="67">
        <f>ROUND(+I1421-H1421,4)</f>
        <v>0</v>
      </c>
      <c r="K1421" s="67">
        <f>ROUND(IF(F1421="alluminio",0,I1421*1.5%),4)</f>
        <v>0</v>
      </c>
      <c r="L1421" s="67">
        <f>ROUND(IF(K1421&lt;J1421,K1421,0),4)</f>
        <v>0</v>
      </c>
      <c r="M1421" s="67">
        <f>ROUND(IF(J1421&gt;K1421,0,J1421),4)</f>
        <v>0</v>
      </c>
      <c r="N1421" s="67">
        <f>ROUND(+L1421*D1421,4)</f>
        <v>0</v>
      </c>
      <c r="O1421" s="67">
        <f>ROUND(IF(F1421="rame",0,+I1421*3%),4)</f>
        <v>0</v>
      </c>
      <c r="P1421" s="67">
        <f>ROUND(IF(O1421&lt;J1421,O1421,0),4)</f>
        <v>0</v>
      </c>
      <c r="Q1421" s="67">
        <f>ROUND(IF(J1421&gt;O1421,0,J1421),4)</f>
        <v>0</v>
      </c>
      <c r="R1421" s="67">
        <f>ROUND(+P1421*D1421,4)</f>
        <v>0</v>
      </c>
      <c r="S1421" s="67">
        <f>ROUND(IF(K1421=0,0,M1421*D1421),4)</f>
        <v>0</v>
      </c>
      <c r="T1421" s="67">
        <f>ROUND(+IF(K1421=0,Q1421*D1421,0),4)</f>
        <v>0</v>
      </c>
      <c r="U1421" s="67">
        <f>ROUND(+N1421+R1421+S1421+T1421,4)</f>
        <v>0</v>
      </c>
      <c r="V1421" s="67">
        <f>ROUND(IF(P1421=0,0,I1421-H1421-O1421)+IF(L1421=0,0,I1421-H1421-K1421),4)</f>
        <v>0</v>
      </c>
      <c r="W1421" s="67">
        <f>ROUND(+(V1421*60%)*D1421,4)</f>
        <v>0</v>
      </c>
      <c r="X1421" s="148">
        <f>ROUND(+U1421+W1421,4)</f>
        <v>0</v>
      </c>
      <c r="Y1421" s="68"/>
      <c r="Z1421" s="148">
        <f>ROUND(IF(X1421&gt;I1421,X1421,I1421),4)</f>
        <v>0</v>
      </c>
      <c r="AD1421" s="78">
        <f t="shared" si="22"/>
        <v>0</v>
      </c>
      <c r="AE1421" s="78">
        <f t="shared" si="23"/>
        <v>0</v>
      </c>
    </row>
    <row r="1422" spans="1:31" x14ac:dyDescent="0.2">
      <c r="A1422" s="66"/>
      <c r="B1422" s="66"/>
      <c r="C1422" s="66"/>
      <c r="D1422" s="144"/>
      <c r="E1422" s="67"/>
      <c r="F1422" s="67"/>
      <c r="G1422" s="67"/>
      <c r="H1422" s="67">
        <f>ROUND(+E1422+G1422,4)</f>
        <v>0</v>
      </c>
      <c r="I1422" s="67"/>
      <c r="J1422" s="67">
        <f>ROUND(+I1422-H1422,4)</f>
        <v>0</v>
      </c>
      <c r="K1422" s="67">
        <f>ROUND(IF(F1422="alluminio",0,I1422*1.5%),4)</f>
        <v>0</v>
      </c>
      <c r="L1422" s="67">
        <f>ROUND(IF(K1422&lt;J1422,K1422,0),4)</f>
        <v>0</v>
      </c>
      <c r="M1422" s="67">
        <f>ROUND(IF(J1422&gt;K1422,0,J1422),4)</f>
        <v>0</v>
      </c>
      <c r="N1422" s="67">
        <f>ROUND(+L1422*D1422,4)</f>
        <v>0</v>
      </c>
      <c r="O1422" s="67">
        <f>ROUND(IF(F1422="rame",0,+I1422*3%),4)</f>
        <v>0</v>
      </c>
      <c r="P1422" s="67">
        <f>ROUND(IF(O1422&lt;J1422,O1422,0),4)</f>
        <v>0</v>
      </c>
      <c r="Q1422" s="67">
        <f>ROUND(IF(J1422&gt;O1422,0,J1422),4)</f>
        <v>0</v>
      </c>
      <c r="R1422" s="67">
        <f>ROUND(+P1422*D1422,4)</f>
        <v>0</v>
      </c>
      <c r="S1422" s="67">
        <f>ROUND(IF(K1422=0,0,M1422*D1422),4)</f>
        <v>0</v>
      </c>
      <c r="T1422" s="67">
        <f>ROUND(+IF(K1422=0,Q1422*D1422,0),4)</f>
        <v>0</v>
      </c>
      <c r="U1422" s="67">
        <f>ROUND(+N1422+R1422+S1422+T1422,4)</f>
        <v>0</v>
      </c>
      <c r="V1422" s="67">
        <f>ROUND(IF(P1422=0,0,I1422-H1422-O1422)+IF(L1422=0,0,I1422-H1422-K1422),4)</f>
        <v>0</v>
      </c>
      <c r="W1422" s="67">
        <f>ROUND(+(V1422*60%)*D1422,4)</f>
        <v>0</v>
      </c>
      <c r="X1422" s="148">
        <f>ROUND(+U1422+W1422,4)</f>
        <v>0</v>
      </c>
      <c r="Y1422" s="68"/>
      <c r="Z1422" s="148">
        <f>ROUND(IF(X1422&gt;I1422,X1422,I1422),4)</f>
        <v>0</v>
      </c>
      <c r="AD1422" s="78">
        <f t="shared" si="22"/>
        <v>0</v>
      </c>
      <c r="AE1422" s="78">
        <f t="shared" si="23"/>
        <v>0</v>
      </c>
    </row>
    <row r="1423" spans="1:31" x14ac:dyDescent="0.2">
      <c r="A1423" s="66"/>
      <c r="B1423" s="66"/>
      <c r="C1423" s="66"/>
      <c r="D1423" s="144"/>
      <c r="E1423" s="67"/>
      <c r="F1423" s="67"/>
      <c r="G1423" s="67"/>
      <c r="H1423" s="67">
        <f>ROUND(+E1423+G1423,4)</f>
        <v>0</v>
      </c>
      <c r="I1423" s="67"/>
      <c r="J1423" s="67">
        <f>ROUND(+I1423-H1423,4)</f>
        <v>0</v>
      </c>
      <c r="K1423" s="67">
        <f>ROUND(IF(F1423="alluminio",0,I1423*1.5%),4)</f>
        <v>0</v>
      </c>
      <c r="L1423" s="67">
        <f>ROUND(IF(K1423&lt;J1423,K1423,0),4)</f>
        <v>0</v>
      </c>
      <c r="M1423" s="67">
        <f>ROUND(IF(J1423&gt;K1423,0,J1423),4)</f>
        <v>0</v>
      </c>
      <c r="N1423" s="67">
        <f>ROUND(+L1423*D1423,4)</f>
        <v>0</v>
      </c>
      <c r="O1423" s="67">
        <f>ROUND(IF(F1423="rame",0,+I1423*3%),4)</f>
        <v>0</v>
      </c>
      <c r="P1423" s="67">
        <f>ROUND(IF(O1423&lt;J1423,O1423,0),4)</f>
        <v>0</v>
      </c>
      <c r="Q1423" s="67">
        <f>ROUND(IF(J1423&gt;O1423,0,J1423),4)</f>
        <v>0</v>
      </c>
      <c r="R1423" s="67">
        <f>ROUND(+P1423*D1423,4)</f>
        <v>0</v>
      </c>
      <c r="S1423" s="67">
        <f>ROUND(IF(K1423=0,0,M1423*D1423),4)</f>
        <v>0</v>
      </c>
      <c r="T1423" s="67">
        <f>ROUND(+IF(K1423=0,Q1423*D1423,0),4)</f>
        <v>0</v>
      </c>
      <c r="U1423" s="67">
        <f>ROUND(+N1423+R1423+S1423+T1423,4)</f>
        <v>0</v>
      </c>
      <c r="V1423" s="67">
        <f>ROUND(IF(P1423=0,0,I1423-H1423-O1423)+IF(L1423=0,0,I1423-H1423-K1423),4)</f>
        <v>0</v>
      </c>
      <c r="W1423" s="67">
        <f>ROUND(+(V1423*60%)*D1423,4)</f>
        <v>0</v>
      </c>
      <c r="X1423" s="148">
        <f>ROUND(+U1423+W1423,4)</f>
        <v>0</v>
      </c>
      <c r="Y1423" s="68"/>
      <c r="Z1423" s="148">
        <f>ROUND(IF(X1423&gt;I1423,X1423,I1423),4)</f>
        <v>0</v>
      </c>
      <c r="AD1423" s="78">
        <f t="shared" si="22"/>
        <v>0</v>
      </c>
      <c r="AE1423" s="78">
        <f t="shared" si="23"/>
        <v>0</v>
      </c>
    </row>
    <row r="1424" spans="1:31" x14ac:dyDescent="0.2">
      <c r="A1424" s="66"/>
      <c r="B1424" s="66"/>
      <c r="C1424" s="66"/>
      <c r="D1424" s="144"/>
      <c r="E1424" s="67"/>
      <c r="F1424" s="67"/>
      <c r="G1424" s="67"/>
      <c r="H1424" s="67">
        <f>ROUND(+E1424+G1424,4)</f>
        <v>0</v>
      </c>
      <c r="I1424" s="67"/>
      <c r="J1424" s="67">
        <f>ROUND(+I1424-H1424,4)</f>
        <v>0</v>
      </c>
      <c r="K1424" s="67">
        <f>ROUND(IF(F1424="alluminio",0,I1424*1.5%),4)</f>
        <v>0</v>
      </c>
      <c r="L1424" s="67">
        <f>ROUND(IF(K1424&lt;J1424,K1424,0),4)</f>
        <v>0</v>
      </c>
      <c r="M1424" s="67">
        <f>ROUND(IF(J1424&gt;K1424,0,J1424),4)</f>
        <v>0</v>
      </c>
      <c r="N1424" s="67">
        <f>ROUND(+L1424*D1424,4)</f>
        <v>0</v>
      </c>
      <c r="O1424" s="67">
        <f>ROUND(IF(F1424="rame",0,+I1424*3%),4)</f>
        <v>0</v>
      </c>
      <c r="P1424" s="67">
        <f>ROUND(IF(O1424&lt;J1424,O1424,0),4)</f>
        <v>0</v>
      </c>
      <c r="Q1424" s="67">
        <f>ROUND(IF(J1424&gt;O1424,0,J1424),4)</f>
        <v>0</v>
      </c>
      <c r="R1424" s="67">
        <f>ROUND(+P1424*D1424,4)</f>
        <v>0</v>
      </c>
      <c r="S1424" s="67">
        <f>ROUND(IF(K1424=0,0,M1424*D1424),4)</f>
        <v>0</v>
      </c>
      <c r="T1424" s="67">
        <f>ROUND(+IF(K1424=0,Q1424*D1424,0),4)</f>
        <v>0</v>
      </c>
      <c r="U1424" s="67">
        <f>ROUND(+N1424+R1424+S1424+T1424,4)</f>
        <v>0</v>
      </c>
      <c r="V1424" s="67">
        <f>ROUND(IF(P1424=0,0,I1424-H1424-O1424)+IF(L1424=0,0,I1424-H1424-K1424),4)</f>
        <v>0</v>
      </c>
      <c r="W1424" s="67">
        <f>ROUND(+(V1424*60%)*D1424,4)</f>
        <v>0</v>
      </c>
      <c r="X1424" s="148">
        <f>ROUND(+U1424+W1424,4)</f>
        <v>0</v>
      </c>
      <c r="Y1424" s="68"/>
      <c r="Z1424" s="148">
        <f>ROUND(IF(X1424&gt;I1424,X1424,I1424),4)</f>
        <v>0</v>
      </c>
      <c r="AD1424" s="78">
        <f t="shared" si="22"/>
        <v>0</v>
      </c>
      <c r="AE1424" s="78">
        <f t="shared" si="23"/>
        <v>0</v>
      </c>
    </row>
    <row r="1425" spans="1:31" x14ac:dyDescent="0.2">
      <c r="A1425" s="66"/>
      <c r="B1425" s="66"/>
      <c r="C1425" s="66"/>
      <c r="D1425" s="144"/>
      <c r="E1425" s="67"/>
      <c r="F1425" s="67"/>
      <c r="G1425" s="67"/>
      <c r="H1425" s="67">
        <f>ROUND(+E1425+G1425,4)</f>
        <v>0</v>
      </c>
      <c r="I1425" s="67"/>
      <c r="J1425" s="67">
        <f>ROUND(+I1425-H1425,4)</f>
        <v>0</v>
      </c>
      <c r="K1425" s="67">
        <f>ROUND(IF(F1425="alluminio",0,I1425*1.5%),4)</f>
        <v>0</v>
      </c>
      <c r="L1425" s="67">
        <f>ROUND(IF(K1425&lt;J1425,K1425,0),4)</f>
        <v>0</v>
      </c>
      <c r="M1425" s="67">
        <f>ROUND(IF(J1425&gt;K1425,0,J1425),4)</f>
        <v>0</v>
      </c>
      <c r="N1425" s="67">
        <f>ROUND(+L1425*D1425,4)</f>
        <v>0</v>
      </c>
      <c r="O1425" s="67">
        <f>ROUND(IF(F1425="rame",0,+I1425*3%),4)</f>
        <v>0</v>
      </c>
      <c r="P1425" s="67">
        <f>ROUND(IF(O1425&lt;J1425,O1425,0),4)</f>
        <v>0</v>
      </c>
      <c r="Q1425" s="67">
        <f>ROUND(IF(J1425&gt;O1425,0,J1425),4)</f>
        <v>0</v>
      </c>
      <c r="R1425" s="67">
        <f>ROUND(+P1425*D1425,4)</f>
        <v>0</v>
      </c>
      <c r="S1425" s="67">
        <f>ROUND(IF(K1425=0,0,M1425*D1425),4)</f>
        <v>0</v>
      </c>
      <c r="T1425" s="67">
        <f>ROUND(+IF(K1425=0,Q1425*D1425,0),4)</f>
        <v>0</v>
      </c>
      <c r="U1425" s="67">
        <f>ROUND(+N1425+R1425+S1425+T1425,4)</f>
        <v>0</v>
      </c>
      <c r="V1425" s="67">
        <f>ROUND(IF(P1425=0,0,I1425-H1425-O1425)+IF(L1425=0,0,I1425-H1425-K1425),4)</f>
        <v>0</v>
      </c>
      <c r="W1425" s="67">
        <f>ROUND(+(V1425*60%)*D1425,4)</f>
        <v>0</v>
      </c>
      <c r="X1425" s="148">
        <f>ROUND(+U1425+W1425,4)</f>
        <v>0</v>
      </c>
      <c r="Y1425" s="68"/>
      <c r="Z1425" s="148">
        <f>ROUND(IF(X1425&gt;I1425,X1425,I1425),4)</f>
        <v>0</v>
      </c>
      <c r="AD1425" s="78">
        <f t="shared" si="22"/>
        <v>0</v>
      </c>
      <c r="AE1425" s="78">
        <f t="shared" si="23"/>
        <v>0</v>
      </c>
    </row>
    <row r="1426" spans="1:31" x14ac:dyDescent="0.2">
      <c r="A1426" s="66"/>
      <c r="B1426" s="66"/>
      <c r="C1426" s="66"/>
      <c r="D1426" s="144"/>
      <c r="E1426" s="67"/>
      <c r="F1426" s="67"/>
      <c r="G1426" s="67"/>
      <c r="H1426" s="67">
        <f>ROUND(+E1426+G1426,4)</f>
        <v>0</v>
      </c>
      <c r="I1426" s="67"/>
      <c r="J1426" s="67">
        <f>ROUND(+I1426-H1426,4)</f>
        <v>0</v>
      </c>
      <c r="K1426" s="67">
        <f>ROUND(IF(F1426="alluminio",0,I1426*1.5%),4)</f>
        <v>0</v>
      </c>
      <c r="L1426" s="67">
        <f>ROUND(IF(K1426&lt;J1426,K1426,0),4)</f>
        <v>0</v>
      </c>
      <c r="M1426" s="67">
        <f>ROUND(IF(J1426&gt;K1426,0,J1426),4)</f>
        <v>0</v>
      </c>
      <c r="N1426" s="67">
        <f>ROUND(+L1426*D1426,4)</f>
        <v>0</v>
      </c>
      <c r="O1426" s="67">
        <f>ROUND(IF(F1426="rame",0,+I1426*3%),4)</f>
        <v>0</v>
      </c>
      <c r="P1426" s="67">
        <f>ROUND(IF(O1426&lt;J1426,O1426,0),4)</f>
        <v>0</v>
      </c>
      <c r="Q1426" s="67">
        <f>ROUND(IF(J1426&gt;O1426,0,J1426),4)</f>
        <v>0</v>
      </c>
      <c r="R1426" s="67">
        <f>ROUND(+P1426*D1426,4)</f>
        <v>0</v>
      </c>
      <c r="S1426" s="67">
        <f>ROUND(IF(K1426=0,0,M1426*D1426),4)</f>
        <v>0</v>
      </c>
      <c r="T1426" s="67">
        <f>ROUND(+IF(K1426=0,Q1426*D1426,0),4)</f>
        <v>0</v>
      </c>
      <c r="U1426" s="67">
        <f>ROUND(+N1426+R1426+S1426+T1426,4)</f>
        <v>0</v>
      </c>
      <c r="V1426" s="67">
        <f>ROUND(IF(P1426=0,0,I1426-H1426-O1426)+IF(L1426=0,0,I1426-H1426-K1426),4)</f>
        <v>0</v>
      </c>
      <c r="W1426" s="67">
        <f>ROUND(+(V1426*60%)*D1426,4)</f>
        <v>0</v>
      </c>
      <c r="X1426" s="148">
        <f>ROUND(+U1426+W1426,4)</f>
        <v>0</v>
      </c>
      <c r="Y1426" s="68"/>
      <c r="Z1426" s="148">
        <f>ROUND(IF(X1426&gt;I1426,X1426,I1426),4)</f>
        <v>0</v>
      </c>
      <c r="AD1426" s="78">
        <f t="shared" si="22"/>
        <v>0</v>
      </c>
      <c r="AE1426" s="78">
        <f t="shared" si="23"/>
        <v>0</v>
      </c>
    </row>
    <row r="1427" spans="1:31" x14ac:dyDescent="0.2">
      <c r="A1427" s="66"/>
      <c r="B1427" s="66"/>
      <c r="C1427" s="66"/>
      <c r="D1427" s="144"/>
      <c r="E1427" s="67"/>
      <c r="F1427" s="67"/>
      <c r="G1427" s="67"/>
      <c r="H1427" s="67">
        <f>ROUND(+E1427+G1427,4)</f>
        <v>0</v>
      </c>
      <c r="I1427" s="67"/>
      <c r="J1427" s="67">
        <f>ROUND(+I1427-H1427,4)</f>
        <v>0</v>
      </c>
      <c r="K1427" s="67">
        <f>ROUND(IF(F1427="alluminio",0,I1427*1.5%),4)</f>
        <v>0</v>
      </c>
      <c r="L1427" s="67">
        <f>ROUND(IF(K1427&lt;J1427,K1427,0),4)</f>
        <v>0</v>
      </c>
      <c r="M1427" s="67">
        <f>ROUND(IF(J1427&gt;K1427,0,J1427),4)</f>
        <v>0</v>
      </c>
      <c r="N1427" s="67">
        <f>ROUND(+L1427*D1427,4)</f>
        <v>0</v>
      </c>
      <c r="O1427" s="67">
        <f>ROUND(IF(F1427="rame",0,+I1427*3%),4)</f>
        <v>0</v>
      </c>
      <c r="P1427" s="67">
        <f>ROUND(IF(O1427&lt;J1427,O1427,0),4)</f>
        <v>0</v>
      </c>
      <c r="Q1427" s="67">
        <f>ROUND(IF(J1427&gt;O1427,0,J1427),4)</f>
        <v>0</v>
      </c>
      <c r="R1427" s="67">
        <f>ROUND(+P1427*D1427,4)</f>
        <v>0</v>
      </c>
      <c r="S1427" s="67">
        <f>ROUND(IF(K1427=0,0,M1427*D1427),4)</f>
        <v>0</v>
      </c>
      <c r="T1427" s="67">
        <f>ROUND(+IF(K1427=0,Q1427*D1427,0),4)</f>
        <v>0</v>
      </c>
      <c r="U1427" s="67">
        <f>ROUND(+N1427+R1427+S1427+T1427,4)</f>
        <v>0</v>
      </c>
      <c r="V1427" s="67">
        <f>ROUND(IF(P1427=0,0,I1427-H1427-O1427)+IF(L1427=0,0,I1427-H1427-K1427),4)</f>
        <v>0</v>
      </c>
      <c r="W1427" s="67">
        <f>ROUND(+(V1427*60%)*D1427,4)</f>
        <v>0</v>
      </c>
      <c r="X1427" s="148">
        <f>ROUND(+U1427+W1427,4)</f>
        <v>0</v>
      </c>
      <c r="Y1427" s="68"/>
      <c r="Z1427" s="148">
        <f>ROUND(IF(X1427&gt;I1427,X1427,I1427),4)</f>
        <v>0</v>
      </c>
      <c r="AD1427" s="78">
        <f t="shared" si="22"/>
        <v>0</v>
      </c>
      <c r="AE1427" s="78">
        <f t="shared" si="23"/>
        <v>0</v>
      </c>
    </row>
    <row r="1428" spans="1:31" x14ac:dyDescent="0.2">
      <c r="A1428" s="66"/>
      <c r="B1428" s="66"/>
      <c r="C1428" s="66"/>
      <c r="D1428" s="144"/>
      <c r="E1428" s="67"/>
      <c r="F1428" s="67"/>
      <c r="G1428" s="67"/>
      <c r="H1428" s="67">
        <f>ROUND(+E1428+G1428,4)</f>
        <v>0</v>
      </c>
      <c r="I1428" s="67"/>
      <c r="J1428" s="67">
        <f>ROUND(+I1428-H1428,4)</f>
        <v>0</v>
      </c>
      <c r="K1428" s="67">
        <f>ROUND(IF(F1428="alluminio",0,I1428*1.5%),4)</f>
        <v>0</v>
      </c>
      <c r="L1428" s="67">
        <f>ROUND(IF(K1428&lt;J1428,K1428,0),4)</f>
        <v>0</v>
      </c>
      <c r="M1428" s="67">
        <f>ROUND(IF(J1428&gt;K1428,0,J1428),4)</f>
        <v>0</v>
      </c>
      <c r="N1428" s="67">
        <f>ROUND(+L1428*D1428,4)</f>
        <v>0</v>
      </c>
      <c r="O1428" s="67">
        <f>ROUND(IF(F1428="rame",0,+I1428*3%),4)</f>
        <v>0</v>
      </c>
      <c r="P1428" s="67">
        <f>ROUND(IF(O1428&lt;J1428,O1428,0),4)</f>
        <v>0</v>
      </c>
      <c r="Q1428" s="67">
        <f>ROUND(IF(J1428&gt;O1428,0,J1428),4)</f>
        <v>0</v>
      </c>
      <c r="R1428" s="67">
        <f>ROUND(+P1428*D1428,4)</f>
        <v>0</v>
      </c>
      <c r="S1428" s="67">
        <f>ROUND(IF(K1428=0,0,M1428*D1428),4)</f>
        <v>0</v>
      </c>
      <c r="T1428" s="67">
        <f>ROUND(+IF(K1428=0,Q1428*D1428,0),4)</f>
        <v>0</v>
      </c>
      <c r="U1428" s="67">
        <f>ROUND(+N1428+R1428+S1428+T1428,4)</f>
        <v>0</v>
      </c>
      <c r="V1428" s="67">
        <f>ROUND(IF(P1428=0,0,I1428-H1428-O1428)+IF(L1428=0,0,I1428-H1428-K1428),4)</f>
        <v>0</v>
      </c>
      <c r="W1428" s="67">
        <f>ROUND(+(V1428*60%)*D1428,4)</f>
        <v>0</v>
      </c>
      <c r="X1428" s="148">
        <f>ROUND(+U1428+W1428,4)</f>
        <v>0</v>
      </c>
      <c r="Y1428" s="68"/>
      <c r="Z1428" s="148">
        <f>ROUND(IF(X1428&gt;I1428,X1428,I1428),4)</f>
        <v>0</v>
      </c>
      <c r="AD1428" s="78">
        <f t="shared" si="22"/>
        <v>0</v>
      </c>
      <c r="AE1428" s="78">
        <f t="shared" si="23"/>
        <v>0</v>
      </c>
    </row>
    <row r="1429" spans="1:31" x14ac:dyDescent="0.2">
      <c r="A1429" s="66"/>
      <c r="B1429" s="66"/>
      <c r="C1429" s="66"/>
      <c r="D1429" s="144"/>
      <c r="E1429" s="67"/>
      <c r="F1429" s="67"/>
      <c r="G1429" s="67"/>
      <c r="H1429" s="67">
        <f>ROUND(+E1429+G1429,4)</f>
        <v>0</v>
      </c>
      <c r="I1429" s="67"/>
      <c r="J1429" s="67">
        <f>ROUND(+I1429-H1429,4)</f>
        <v>0</v>
      </c>
      <c r="K1429" s="67">
        <f>ROUND(IF(F1429="alluminio",0,I1429*1.5%),4)</f>
        <v>0</v>
      </c>
      <c r="L1429" s="67">
        <f>ROUND(IF(K1429&lt;J1429,K1429,0),4)</f>
        <v>0</v>
      </c>
      <c r="M1429" s="67">
        <f>ROUND(IF(J1429&gt;K1429,0,J1429),4)</f>
        <v>0</v>
      </c>
      <c r="N1429" s="67">
        <f>ROUND(+L1429*D1429,4)</f>
        <v>0</v>
      </c>
      <c r="O1429" s="67">
        <f>ROUND(IF(F1429="rame",0,+I1429*3%),4)</f>
        <v>0</v>
      </c>
      <c r="P1429" s="67">
        <f>ROUND(IF(O1429&lt;J1429,O1429,0),4)</f>
        <v>0</v>
      </c>
      <c r="Q1429" s="67">
        <f>ROUND(IF(J1429&gt;O1429,0,J1429),4)</f>
        <v>0</v>
      </c>
      <c r="R1429" s="67">
        <f>ROUND(+P1429*D1429,4)</f>
        <v>0</v>
      </c>
      <c r="S1429" s="67">
        <f>ROUND(IF(K1429=0,0,M1429*D1429),4)</f>
        <v>0</v>
      </c>
      <c r="T1429" s="67">
        <f>ROUND(+IF(K1429=0,Q1429*D1429,0),4)</f>
        <v>0</v>
      </c>
      <c r="U1429" s="67">
        <f>ROUND(+N1429+R1429+S1429+T1429,4)</f>
        <v>0</v>
      </c>
      <c r="V1429" s="67">
        <f>ROUND(IF(P1429=0,0,I1429-H1429-O1429)+IF(L1429=0,0,I1429-H1429-K1429),4)</f>
        <v>0</v>
      </c>
      <c r="W1429" s="67">
        <f>ROUND(+(V1429*60%)*D1429,4)</f>
        <v>0</v>
      </c>
      <c r="X1429" s="148">
        <f>ROUND(+U1429+W1429,4)</f>
        <v>0</v>
      </c>
      <c r="Y1429" s="68"/>
      <c r="Z1429" s="148">
        <f>ROUND(IF(X1429&gt;I1429,X1429,I1429),4)</f>
        <v>0</v>
      </c>
      <c r="AD1429" s="78">
        <f t="shared" si="22"/>
        <v>0</v>
      </c>
      <c r="AE1429" s="78">
        <f t="shared" si="23"/>
        <v>0</v>
      </c>
    </row>
    <row r="1430" spans="1:31" x14ac:dyDescent="0.2">
      <c r="A1430" s="66"/>
      <c r="B1430" s="66"/>
      <c r="C1430" s="66"/>
      <c r="D1430" s="144"/>
      <c r="E1430" s="67"/>
      <c r="F1430" s="67"/>
      <c r="G1430" s="67"/>
      <c r="H1430" s="67">
        <f>ROUND(+E1430+G1430,4)</f>
        <v>0</v>
      </c>
      <c r="I1430" s="67"/>
      <c r="J1430" s="67">
        <f>ROUND(+I1430-H1430,4)</f>
        <v>0</v>
      </c>
      <c r="K1430" s="67">
        <f>ROUND(IF(F1430="alluminio",0,I1430*1.5%),4)</f>
        <v>0</v>
      </c>
      <c r="L1430" s="67">
        <f>ROUND(IF(K1430&lt;J1430,K1430,0),4)</f>
        <v>0</v>
      </c>
      <c r="M1430" s="67">
        <f>ROUND(IF(J1430&gt;K1430,0,J1430),4)</f>
        <v>0</v>
      </c>
      <c r="N1430" s="67">
        <f>ROUND(+L1430*D1430,4)</f>
        <v>0</v>
      </c>
      <c r="O1430" s="67">
        <f>ROUND(IF(F1430="rame",0,+I1430*3%),4)</f>
        <v>0</v>
      </c>
      <c r="P1430" s="67">
        <f>ROUND(IF(O1430&lt;J1430,O1430,0),4)</f>
        <v>0</v>
      </c>
      <c r="Q1430" s="67">
        <f>ROUND(IF(J1430&gt;O1430,0,J1430),4)</f>
        <v>0</v>
      </c>
      <c r="R1430" s="67">
        <f>ROUND(+P1430*D1430,4)</f>
        <v>0</v>
      </c>
      <c r="S1430" s="67">
        <f>ROUND(IF(K1430=0,0,M1430*D1430),4)</f>
        <v>0</v>
      </c>
      <c r="T1430" s="67">
        <f>ROUND(+IF(K1430=0,Q1430*D1430,0),4)</f>
        <v>0</v>
      </c>
      <c r="U1430" s="67">
        <f>ROUND(+N1430+R1430+S1430+T1430,4)</f>
        <v>0</v>
      </c>
      <c r="V1430" s="67">
        <f>ROUND(IF(P1430=0,0,I1430-H1430-O1430)+IF(L1430=0,0,I1430-H1430-K1430),4)</f>
        <v>0</v>
      </c>
      <c r="W1430" s="67">
        <f>ROUND(+(V1430*60%)*D1430,4)</f>
        <v>0</v>
      </c>
      <c r="X1430" s="148">
        <f>ROUND(+U1430+W1430,4)</f>
        <v>0</v>
      </c>
      <c r="Y1430" s="68"/>
      <c r="Z1430" s="148">
        <f>ROUND(IF(X1430&gt;I1430,X1430,I1430),4)</f>
        <v>0</v>
      </c>
      <c r="AD1430" s="78">
        <f t="shared" si="22"/>
        <v>0</v>
      </c>
      <c r="AE1430" s="78">
        <f t="shared" si="23"/>
        <v>0</v>
      </c>
    </row>
    <row r="1431" spans="1:31" x14ac:dyDescent="0.2">
      <c r="A1431" s="66"/>
      <c r="B1431" s="66"/>
      <c r="C1431" s="66"/>
      <c r="D1431" s="144"/>
      <c r="E1431" s="67"/>
      <c r="F1431" s="67"/>
      <c r="G1431" s="67"/>
      <c r="H1431" s="67">
        <f>ROUND(+E1431+G1431,4)</f>
        <v>0</v>
      </c>
      <c r="I1431" s="67"/>
      <c r="J1431" s="67">
        <f>ROUND(+I1431-H1431,4)</f>
        <v>0</v>
      </c>
      <c r="K1431" s="67">
        <f>ROUND(IF(F1431="alluminio",0,I1431*1.5%),4)</f>
        <v>0</v>
      </c>
      <c r="L1431" s="67">
        <f>ROUND(IF(K1431&lt;J1431,K1431,0),4)</f>
        <v>0</v>
      </c>
      <c r="M1431" s="67">
        <f>ROUND(IF(J1431&gt;K1431,0,J1431),4)</f>
        <v>0</v>
      </c>
      <c r="N1431" s="67">
        <f>ROUND(+L1431*D1431,4)</f>
        <v>0</v>
      </c>
      <c r="O1431" s="67">
        <f>ROUND(IF(F1431="rame",0,+I1431*3%),4)</f>
        <v>0</v>
      </c>
      <c r="P1431" s="67">
        <f>ROUND(IF(O1431&lt;J1431,O1431,0),4)</f>
        <v>0</v>
      </c>
      <c r="Q1431" s="67">
        <f>ROUND(IF(J1431&gt;O1431,0,J1431),4)</f>
        <v>0</v>
      </c>
      <c r="R1431" s="67">
        <f>ROUND(+P1431*D1431,4)</f>
        <v>0</v>
      </c>
      <c r="S1431" s="67">
        <f>ROUND(IF(K1431=0,0,M1431*D1431),4)</f>
        <v>0</v>
      </c>
      <c r="T1431" s="67">
        <f>ROUND(+IF(K1431=0,Q1431*D1431,0),4)</f>
        <v>0</v>
      </c>
      <c r="U1431" s="67">
        <f>ROUND(+N1431+R1431+S1431+T1431,4)</f>
        <v>0</v>
      </c>
      <c r="V1431" s="67">
        <f>ROUND(IF(P1431=0,0,I1431-H1431-O1431)+IF(L1431=0,0,I1431-H1431-K1431),4)</f>
        <v>0</v>
      </c>
      <c r="W1431" s="67">
        <f>ROUND(+(V1431*60%)*D1431,4)</f>
        <v>0</v>
      </c>
      <c r="X1431" s="148">
        <f>ROUND(+U1431+W1431,4)</f>
        <v>0</v>
      </c>
      <c r="Y1431" s="68"/>
      <c r="Z1431" s="148">
        <f>ROUND(IF(X1431&gt;I1431,X1431,I1431),4)</f>
        <v>0</v>
      </c>
      <c r="AD1431" s="78">
        <f t="shared" si="22"/>
        <v>0</v>
      </c>
      <c r="AE1431" s="78">
        <f t="shared" si="23"/>
        <v>0</v>
      </c>
    </row>
    <row r="1432" spans="1:31" x14ac:dyDescent="0.2">
      <c r="A1432" s="66"/>
      <c r="B1432" s="66"/>
      <c r="C1432" s="66"/>
      <c r="D1432" s="144"/>
      <c r="E1432" s="67"/>
      <c r="F1432" s="67"/>
      <c r="G1432" s="67"/>
      <c r="H1432" s="67">
        <f>ROUND(+E1432+G1432,4)</f>
        <v>0</v>
      </c>
      <c r="I1432" s="67"/>
      <c r="J1432" s="67">
        <f>ROUND(+I1432-H1432,4)</f>
        <v>0</v>
      </c>
      <c r="K1432" s="67">
        <f>ROUND(IF(F1432="alluminio",0,I1432*1.5%),4)</f>
        <v>0</v>
      </c>
      <c r="L1432" s="67">
        <f>ROUND(IF(K1432&lt;J1432,K1432,0),4)</f>
        <v>0</v>
      </c>
      <c r="M1432" s="67">
        <f>ROUND(IF(J1432&gt;K1432,0,J1432),4)</f>
        <v>0</v>
      </c>
      <c r="N1432" s="67">
        <f>ROUND(+L1432*D1432,4)</f>
        <v>0</v>
      </c>
      <c r="O1432" s="67">
        <f>ROUND(IF(F1432="rame",0,+I1432*3%),4)</f>
        <v>0</v>
      </c>
      <c r="P1432" s="67">
        <f>ROUND(IF(O1432&lt;J1432,O1432,0),4)</f>
        <v>0</v>
      </c>
      <c r="Q1432" s="67">
        <f>ROUND(IF(J1432&gt;O1432,0,J1432),4)</f>
        <v>0</v>
      </c>
      <c r="R1432" s="67">
        <f>ROUND(+P1432*D1432,4)</f>
        <v>0</v>
      </c>
      <c r="S1432" s="67">
        <f>ROUND(IF(K1432=0,0,M1432*D1432),4)</f>
        <v>0</v>
      </c>
      <c r="T1432" s="67">
        <f>ROUND(+IF(K1432=0,Q1432*D1432,0),4)</f>
        <v>0</v>
      </c>
      <c r="U1432" s="67">
        <f>ROUND(+N1432+R1432+S1432+T1432,4)</f>
        <v>0</v>
      </c>
      <c r="V1432" s="67">
        <f>ROUND(IF(P1432=0,0,I1432-H1432-O1432)+IF(L1432=0,0,I1432-H1432-K1432),4)</f>
        <v>0</v>
      </c>
      <c r="W1432" s="67">
        <f>ROUND(+(V1432*60%)*D1432,4)</f>
        <v>0</v>
      </c>
      <c r="X1432" s="148">
        <f>ROUND(+U1432+W1432,4)</f>
        <v>0</v>
      </c>
      <c r="Y1432" s="68"/>
      <c r="Z1432" s="148">
        <f>ROUND(IF(X1432&gt;I1432,X1432,I1432),4)</f>
        <v>0</v>
      </c>
      <c r="AD1432" s="78">
        <f t="shared" si="22"/>
        <v>0</v>
      </c>
      <c r="AE1432" s="78">
        <f t="shared" si="23"/>
        <v>0</v>
      </c>
    </row>
    <row r="1433" spans="1:31" x14ac:dyDescent="0.2">
      <c r="A1433" s="66"/>
      <c r="B1433" s="66"/>
      <c r="C1433" s="66"/>
      <c r="D1433" s="144"/>
      <c r="E1433" s="67"/>
      <c r="F1433" s="67"/>
      <c r="G1433" s="67"/>
      <c r="H1433" s="67">
        <f>ROUND(+E1433+G1433,4)</f>
        <v>0</v>
      </c>
      <c r="I1433" s="67"/>
      <c r="J1433" s="67">
        <f>ROUND(+I1433-H1433,4)</f>
        <v>0</v>
      </c>
      <c r="K1433" s="67">
        <f>ROUND(IF(F1433="alluminio",0,I1433*1.5%),4)</f>
        <v>0</v>
      </c>
      <c r="L1433" s="67">
        <f>ROUND(IF(K1433&lt;J1433,K1433,0),4)</f>
        <v>0</v>
      </c>
      <c r="M1433" s="67">
        <f>ROUND(IF(J1433&gt;K1433,0,J1433),4)</f>
        <v>0</v>
      </c>
      <c r="N1433" s="67">
        <f>ROUND(+L1433*D1433,4)</f>
        <v>0</v>
      </c>
      <c r="O1433" s="67">
        <f>ROUND(IF(F1433="rame",0,+I1433*3%),4)</f>
        <v>0</v>
      </c>
      <c r="P1433" s="67">
        <f>ROUND(IF(O1433&lt;J1433,O1433,0),4)</f>
        <v>0</v>
      </c>
      <c r="Q1433" s="67">
        <f>ROUND(IF(J1433&gt;O1433,0,J1433),4)</f>
        <v>0</v>
      </c>
      <c r="R1433" s="67">
        <f>ROUND(+P1433*D1433,4)</f>
        <v>0</v>
      </c>
      <c r="S1433" s="67">
        <f>ROUND(IF(K1433=0,0,M1433*D1433),4)</f>
        <v>0</v>
      </c>
      <c r="T1433" s="67">
        <f>ROUND(+IF(K1433=0,Q1433*D1433,0),4)</f>
        <v>0</v>
      </c>
      <c r="U1433" s="67">
        <f>ROUND(+N1433+R1433+S1433+T1433,4)</f>
        <v>0</v>
      </c>
      <c r="V1433" s="67">
        <f>ROUND(IF(P1433=0,0,I1433-H1433-O1433)+IF(L1433=0,0,I1433-H1433-K1433),4)</f>
        <v>0</v>
      </c>
      <c r="W1433" s="67">
        <f>ROUND(+(V1433*60%)*D1433,4)</f>
        <v>0</v>
      </c>
      <c r="X1433" s="148">
        <f>ROUND(+U1433+W1433,4)</f>
        <v>0</v>
      </c>
      <c r="Y1433" s="68"/>
      <c r="Z1433" s="148">
        <f>ROUND(IF(X1433&gt;I1433,X1433,I1433),4)</f>
        <v>0</v>
      </c>
      <c r="AD1433" s="78">
        <f t="shared" si="22"/>
        <v>0</v>
      </c>
      <c r="AE1433" s="78">
        <f t="shared" si="23"/>
        <v>0</v>
      </c>
    </row>
    <row r="1434" spans="1:31" x14ac:dyDescent="0.2">
      <c r="A1434" s="66"/>
      <c r="B1434" s="66"/>
      <c r="C1434" s="66"/>
      <c r="D1434" s="144"/>
      <c r="E1434" s="67"/>
      <c r="F1434" s="67"/>
      <c r="G1434" s="67"/>
      <c r="H1434" s="67">
        <f>ROUND(+E1434+G1434,4)</f>
        <v>0</v>
      </c>
      <c r="I1434" s="67"/>
      <c r="J1434" s="67">
        <f>ROUND(+I1434-H1434,4)</f>
        <v>0</v>
      </c>
      <c r="K1434" s="67">
        <f>ROUND(IF(F1434="alluminio",0,I1434*1.5%),4)</f>
        <v>0</v>
      </c>
      <c r="L1434" s="67">
        <f>ROUND(IF(K1434&lt;J1434,K1434,0),4)</f>
        <v>0</v>
      </c>
      <c r="M1434" s="67">
        <f>ROUND(IF(J1434&gt;K1434,0,J1434),4)</f>
        <v>0</v>
      </c>
      <c r="N1434" s="67">
        <f>ROUND(+L1434*D1434,4)</f>
        <v>0</v>
      </c>
      <c r="O1434" s="67">
        <f>ROUND(IF(F1434="rame",0,+I1434*3%),4)</f>
        <v>0</v>
      </c>
      <c r="P1434" s="67">
        <f>ROUND(IF(O1434&lt;J1434,O1434,0),4)</f>
        <v>0</v>
      </c>
      <c r="Q1434" s="67">
        <f>ROUND(IF(J1434&gt;O1434,0,J1434),4)</f>
        <v>0</v>
      </c>
      <c r="R1434" s="67">
        <f>ROUND(+P1434*D1434,4)</f>
        <v>0</v>
      </c>
      <c r="S1434" s="67">
        <f>ROUND(IF(K1434=0,0,M1434*D1434),4)</f>
        <v>0</v>
      </c>
      <c r="T1434" s="67">
        <f>ROUND(+IF(K1434=0,Q1434*D1434,0),4)</f>
        <v>0</v>
      </c>
      <c r="U1434" s="67">
        <f>ROUND(+N1434+R1434+S1434+T1434,4)</f>
        <v>0</v>
      </c>
      <c r="V1434" s="67">
        <f>ROUND(IF(P1434=0,0,I1434-H1434-O1434)+IF(L1434=0,0,I1434-H1434-K1434),4)</f>
        <v>0</v>
      </c>
      <c r="W1434" s="67">
        <f>ROUND(+(V1434*60%)*D1434,4)</f>
        <v>0</v>
      </c>
      <c r="X1434" s="148">
        <f>ROUND(+U1434+W1434,4)</f>
        <v>0</v>
      </c>
      <c r="Y1434" s="68"/>
      <c r="Z1434" s="148">
        <f>ROUND(IF(X1434&gt;I1434,X1434,I1434),4)</f>
        <v>0</v>
      </c>
      <c r="AD1434" s="78">
        <f t="shared" si="22"/>
        <v>0</v>
      </c>
      <c r="AE1434" s="78">
        <f t="shared" si="23"/>
        <v>0</v>
      </c>
    </row>
    <row r="1435" spans="1:31" x14ac:dyDescent="0.2">
      <c r="A1435" s="66"/>
      <c r="B1435" s="66"/>
      <c r="C1435" s="66"/>
      <c r="D1435" s="144"/>
      <c r="E1435" s="67"/>
      <c r="F1435" s="67"/>
      <c r="G1435" s="67"/>
      <c r="H1435" s="67">
        <f>ROUND(+E1435+G1435,4)</f>
        <v>0</v>
      </c>
      <c r="I1435" s="67"/>
      <c r="J1435" s="67">
        <f>ROUND(+I1435-H1435,4)</f>
        <v>0</v>
      </c>
      <c r="K1435" s="67">
        <f>ROUND(IF(F1435="alluminio",0,I1435*1.5%),4)</f>
        <v>0</v>
      </c>
      <c r="L1435" s="67">
        <f>ROUND(IF(K1435&lt;J1435,K1435,0),4)</f>
        <v>0</v>
      </c>
      <c r="M1435" s="67">
        <f>ROUND(IF(J1435&gt;K1435,0,J1435),4)</f>
        <v>0</v>
      </c>
      <c r="N1435" s="67">
        <f>ROUND(+L1435*D1435,4)</f>
        <v>0</v>
      </c>
      <c r="O1435" s="67">
        <f>ROUND(IF(F1435="rame",0,+I1435*3%),4)</f>
        <v>0</v>
      </c>
      <c r="P1435" s="67">
        <f>ROUND(IF(O1435&lt;J1435,O1435,0),4)</f>
        <v>0</v>
      </c>
      <c r="Q1435" s="67">
        <f>ROUND(IF(J1435&gt;O1435,0,J1435),4)</f>
        <v>0</v>
      </c>
      <c r="R1435" s="67">
        <f>ROUND(+P1435*D1435,4)</f>
        <v>0</v>
      </c>
      <c r="S1435" s="67">
        <f>ROUND(IF(K1435=0,0,M1435*D1435),4)</f>
        <v>0</v>
      </c>
      <c r="T1435" s="67">
        <f>ROUND(+IF(K1435=0,Q1435*D1435,0),4)</f>
        <v>0</v>
      </c>
      <c r="U1435" s="67">
        <f>ROUND(+N1435+R1435+S1435+T1435,4)</f>
        <v>0</v>
      </c>
      <c r="V1435" s="67">
        <f>ROUND(IF(P1435=0,0,I1435-H1435-O1435)+IF(L1435=0,0,I1435-H1435-K1435),4)</f>
        <v>0</v>
      </c>
      <c r="W1435" s="67">
        <f>ROUND(+(V1435*60%)*D1435,4)</f>
        <v>0</v>
      </c>
      <c r="X1435" s="148">
        <f>ROUND(+U1435+W1435,4)</f>
        <v>0</v>
      </c>
      <c r="Y1435" s="68"/>
      <c r="Z1435" s="148">
        <f>ROUND(IF(X1435&gt;I1435,X1435,I1435),4)</f>
        <v>0</v>
      </c>
      <c r="AD1435" s="78">
        <f t="shared" si="22"/>
        <v>0</v>
      </c>
      <c r="AE1435" s="78">
        <f t="shared" si="23"/>
        <v>0</v>
      </c>
    </row>
    <row r="1436" spans="1:31" x14ac:dyDescent="0.2">
      <c r="A1436" s="66"/>
      <c r="B1436" s="66"/>
      <c r="C1436" s="66"/>
      <c r="D1436" s="144"/>
      <c r="E1436" s="67"/>
      <c r="F1436" s="67"/>
      <c r="G1436" s="67"/>
      <c r="H1436" s="67">
        <f>ROUND(+E1436+G1436,4)</f>
        <v>0</v>
      </c>
      <c r="I1436" s="67"/>
      <c r="J1436" s="67">
        <f>ROUND(+I1436-H1436,4)</f>
        <v>0</v>
      </c>
      <c r="K1436" s="67">
        <f>ROUND(IF(F1436="alluminio",0,I1436*1.5%),4)</f>
        <v>0</v>
      </c>
      <c r="L1436" s="67">
        <f>ROUND(IF(K1436&lt;J1436,K1436,0),4)</f>
        <v>0</v>
      </c>
      <c r="M1436" s="67">
        <f>ROUND(IF(J1436&gt;K1436,0,J1436),4)</f>
        <v>0</v>
      </c>
      <c r="N1436" s="67">
        <f>ROUND(+L1436*D1436,4)</f>
        <v>0</v>
      </c>
      <c r="O1436" s="67">
        <f>ROUND(IF(F1436="rame",0,+I1436*3%),4)</f>
        <v>0</v>
      </c>
      <c r="P1436" s="67">
        <f>ROUND(IF(O1436&lt;J1436,O1436,0),4)</f>
        <v>0</v>
      </c>
      <c r="Q1436" s="67">
        <f>ROUND(IF(J1436&gt;O1436,0,J1436),4)</f>
        <v>0</v>
      </c>
      <c r="R1436" s="67">
        <f>ROUND(+P1436*D1436,4)</f>
        <v>0</v>
      </c>
      <c r="S1436" s="67">
        <f>ROUND(IF(K1436=0,0,M1436*D1436),4)</f>
        <v>0</v>
      </c>
      <c r="T1436" s="67">
        <f>ROUND(+IF(K1436=0,Q1436*D1436,0),4)</f>
        <v>0</v>
      </c>
      <c r="U1436" s="67">
        <f>ROUND(+N1436+R1436+S1436+T1436,4)</f>
        <v>0</v>
      </c>
      <c r="V1436" s="67">
        <f>ROUND(IF(P1436=0,0,I1436-H1436-O1436)+IF(L1436=0,0,I1436-H1436-K1436),4)</f>
        <v>0</v>
      </c>
      <c r="W1436" s="67">
        <f>ROUND(+(V1436*60%)*D1436,4)</f>
        <v>0</v>
      </c>
      <c r="X1436" s="148">
        <f>ROUND(+U1436+W1436,4)</f>
        <v>0</v>
      </c>
      <c r="Y1436" s="68"/>
      <c r="Z1436" s="148">
        <f>ROUND(IF(X1436&gt;I1436,X1436,I1436),4)</f>
        <v>0</v>
      </c>
      <c r="AD1436" s="78">
        <f t="shared" si="22"/>
        <v>0</v>
      </c>
      <c r="AE1436" s="78">
        <f t="shared" si="23"/>
        <v>0</v>
      </c>
    </row>
    <row r="1437" spans="1:31" x14ac:dyDescent="0.2">
      <c r="A1437" s="66"/>
      <c r="B1437" s="66"/>
      <c r="C1437" s="66"/>
      <c r="D1437" s="144"/>
      <c r="E1437" s="67"/>
      <c r="F1437" s="67"/>
      <c r="G1437" s="67"/>
      <c r="H1437" s="67">
        <f>ROUND(+E1437+G1437,4)</f>
        <v>0</v>
      </c>
      <c r="I1437" s="67"/>
      <c r="J1437" s="67">
        <f>ROUND(+I1437-H1437,4)</f>
        <v>0</v>
      </c>
      <c r="K1437" s="67">
        <f>ROUND(IF(F1437="alluminio",0,I1437*1.5%),4)</f>
        <v>0</v>
      </c>
      <c r="L1437" s="67">
        <f>ROUND(IF(K1437&lt;J1437,K1437,0),4)</f>
        <v>0</v>
      </c>
      <c r="M1437" s="67">
        <f>ROUND(IF(J1437&gt;K1437,0,J1437),4)</f>
        <v>0</v>
      </c>
      <c r="N1437" s="67">
        <f>ROUND(+L1437*D1437,4)</f>
        <v>0</v>
      </c>
      <c r="O1437" s="67">
        <f>ROUND(IF(F1437="rame",0,+I1437*3%),4)</f>
        <v>0</v>
      </c>
      <c r="P1437" s="67">
        <f>ROUND(IF(O1437&lt;J1437,O1437,0),4)</f>
        <v>0</v>
      </c>
      <c r="Q1437" s="67">
        <f>ROUND(IF(J1437&gt;O1437,0,J1437),4)</f>
        <v>0</v>
      </c>
      <c r="R1437" s="67">
        <f>ROUND(+P1437*D1437,4)</f>
        <v>0</v>
      </c>
      <c r="S1437" s="67">
        <f>ROUND(IF(K1437=0,0,M1437*D1437),4)</f>
        <v>0</v>
      </c>
      <c r="T1437" s="67">
        <f>ROUND(+IF(K1437=0,Q1437*D1437,0),4)</f>
        <v>0</v>
      </c>
      <c r="U1437" s="67">
        <f>ROUND(+N1437+R1437+S1437+T1437,4)</f>
        <v>0</v>
      </c>
      <c r="V1437" s="67">
        <f>ROUND(IF(P1437=0,0,I1437-H1437-O1437)+IF(L1437=0,0,I1437-H1437-K1437),4)</f>
        <v>0</v>
      </c>
      <c r="W1437" s="67">
        <f>ROUND(+(V1437*60%)*D1437,4)</f>
        <v>0</v>
      </c>
      <c r="X1437" s="148">
        <f>ROUND(+U1437+W1437,4)</f>
        <v>0</v>
      </c>
      <c r="Y1437" s="68"/>
      <c r="Z1437" s="148">
        <f>ROUND(IF(X1437&gt;I1437,X1437,I1437),4)</f>
        <v>0</v>
      </c>
      <c r="AD1437" s="78">
        <f t="shared" si="22"/>
        <v>0</v>
      </c>
      <c r="AE1437" s="78">
        <f t="shared" si="23"/>
        <v>0</v>
      </c>
    </row>
    <row r="1438" spans="1:31" x14ac:dyDescent="0.2">
      <c r="A1438" s="66"/>
      <c r="B1438" s="66"/>
      <c r="C1438" s="66"/>
      <c r="D1438" s="144"/>
      <c r="E1438" s="67"/>
      <c r="F1438" s="67"/>
      <c r="G1438" s="67"/>
      <c r="H1438" s="67">
        <f>ROUND(+E1438+G1438,4)</f>
        <v>0</v>
      </c>
      <c r="I1438" s="67"/>
      <c r="J1438" s="67">
        <f>ROUND(+I1438-H1438,4)</f>
        <v>0</v>
      </c>
      <c r="K1438" s="67">
        <f>ROUND(IF(F1438="alluminio",0,I1438*1.5%),4)</f>
        <v>0</v>
      </c>
      <c r="L1438" s="67">
        <f>ROUND(IF(K1438&lt;J1438,K1438,0),4)</f>
        <v>0</v>
      </c>
      <c r="M1438" s="67">
        <f>ROUND(IF(J1438&gt;K1438,0,J1438),4)</f>
        <v>0</v>
      </c>
      <c r="N1438" s="67">
        <f>ROUND(+L1438*D1438,4)</f>
        <v>0</v>
      </c>
      <c r="O1438" s="67">
        <f>ROUND(IF(F1438="rame",0,+I1438*3%),4)</f>
        <v>0</v>
      </c>
      <c r="P1438" s="67">
        <f>ROUND(IF(O1438&lt;J1438,O1438,0),4)</f>
        <v>0</v>
      </c>
      <c r="Q1438" s="67">
        <f>ROUND(IF(J1438&gt;O1438,0,J1438),4)</f>
        <v>0</v>
      </c>
      <c r="R1438" s="67">
        <f>ROUND(+P1438*D1438,4)</f>
        <v>0</v>
      </c>
      <c r="S1438" s="67">
        <f>ROUND(IF(K1438=0,0,M1438*D1438),4)</f>
        <v>0</v>
      </c>
      <c r="T1438" s="67">
        <f>ROUND(+IF(K1438=0,Q1438*D1438,0),4)</f>
        <v>0</v>
      </c>
      <c r="U1438" s="67">
        <f>ROUND(+N1438+R1438+S1438+T1438,4)</f>
        <v>0</v>
      </c>
      <c r="V1438" s="67">
        <f>ROUND(IF(P1438=0,0,I1438-H1438-O1438)+IF(L1438=0,0,I1438-H1438-K1438),4)</f>
        <v>0</v>
      </c>
      <c r="W1438" s="67">
        <f>ROUND(+(V1438*60%)*D1438,4)</f>
        <v>0</v>
      </c>
      <c r="X1438" s="148">
        <f>ROUND(+U1438+W1438,4)</f>
        <v>0</v>
      </c>
      <c r="Y1438" s="68"/>
      <c r="Z1438" s="148">
        <f>ROUND(IF(X1438&gt;I1438,X1438,I1438),4)</f>
        <v>0</v>
      </c>
      <c r="AD1438" s="78">
        <f t="shared" si="22"/>
        <v>0</v>
      </c>
      <c r="AE1438" s="78">
        <f t="shared" si="23"/>
        <v>0</v>
      </c>
    </row>
    <row r="1439" spans="1:31" x14ac:dyDescent="0.2">
      <c r="A1439" s="66"/>
      <c r="B1439" s="66"/>
      <c r="C1439" s="66"/>
      <c r="D1439" s="144"/>
      <c r="E1439" s="67"/>
      <c r="F1439" s="67"/>
      <c r="G1439" s="67"/>
      <c r="H1439" s="67">
        <f>ROUND(+E1439+G1439,4)</f>
        <v>0</v>
      </c>
      <c r="I1439" s="67"/>
      <c r="J1439" s="67">
        <f>ROUND(+I1439-H1439,4)</f>
        <v>0</v>
      </c>
      <c r="K1439" s="67">
        <f>ROUND(IF(F1439="alluminio",0,I1439*1.5%),4)</f>
        <v>0</v>
      </c>
      <c r="L1439" s="67">
        <f>ROUND(IF(K1439&lt;J1439,K1439,0),4)</f>
        <v>0</v>
      </c>
      <c r="M1439" s="67">
        <f>ROUND(IF(J1439&gt;K1439,0,J1439),4)</f>
        <v>0</v>
      </c>
      <c r="N1439" s="67">
        <f>ROUND(+L1439*D1439,4)</f>
        <v>0</v>
      </c>
      <c r="O1439" s="67">
        <f>ROUND(IF(F1439="rame",0,+I1439*3%),4)</f>
        <v>0</v>
      </c>
      <c r="P1439" s="67">
        <f>ROUND(IF(O1439&lt;J1439,O1439,0),4)</f>
        <v>0</v>
      </c>
      <c r="Q1439" s="67">
        <f>ROUND(IF(J1439&gt;O1439,0,J1439),4)</f>
        <v>0</v>
      </c>
      <c r="R1439" s="67">
        <f>ROUND(+P1439*D1439,4)</f>
        <v>0</v>
      </c>
      <c r="S1439" s="67">
        <f>ROUND(IF(K1439=0,0,M1439*D1439),4)</f>
        <v>0</v>
      </c>
      <c r="T1439" s="67">
        <f>ROUND(+IF(K1439=0,Q1439*D1439,0),4)</f>
        <v>0</v>
      </c>
      <c r="U1439" s="67">
        <f>ROUND(+N1439+R1439+S1439+T1439,4)</f>
        <v>0</v>
      </c>
      <c r="V1439" s="67">
        <f>ROUND(IF(P1439=0,0,I1439-H1439-O1439)+IF(L1439=0,0,I1439-H1439-K1439),4)</f>
        <v>0</v>
      </c>
      <c r="W1439" s="67">
        <f>ROUND(+(V1439*60%)*D1439,4)</f>
        <v>0</v>
      </c>
      <c r="X1439" s="148">
        <f>ROUND(+U1439+W1439,4)</f>
        <v>0</v>
      </c>
      <c r="Y1439" s="68"/>
      <c r="Z1439" s="148">
        <f>ROUND(IF(X1439&gt;I1439,X1439,I1439),4)</f>
        <v>0</v>
      </c>
      <c r="AD1439" s="78">
        <f t="shared" si="22"/>
        <v>0</v>
      </c>
      <c r="AE1439" s="78">
        <f t="shared" si="23"/>
        <v>0</v>
      </c>
    </row>
    <row r="1440" spans="1:31" x14ac:dyDescent="0.2">
      <c r="A1440" s="66"/>
      <c r="B1440" s="66"/>
      <c r="C1440" s="66"/>
      <c r="D1440" s="144"/>
      <c r="E1440" s="67"/>
      <c r="F1440" s="67"/>
      <c r="G1440" s="67"/>
      <c r="H1440" s="67">
        <f>ROUND(+E1440+G1440,4)</f>
        <v>0</v>
      </c>
      <c r="I1440" s="67"/>
      <c r="J1440" s="67">
        <f>ROUND(+I1440-H1440,4)</f>
        <v>0</v>
      </c>
      <c r="K1440" s="67">
        <f>ROUND(IF(F1440="alluminio",0,I1440*1.5%),4)</f>
        <v>0</v>
      </c>
      <c r="L1440" s="67">
        <f>ROUND(IF(K1440&lt;J1440,K1440,0),4)</f>
        <v>0</v>
      </c>
      <c r="M1440" s="67">
        <f>ROUND(IF(J1440&gt;K1440,0,J1440),4)</f>
        <v>0</v>
      </c>
      <c r="N1440" s="67">
        <f>ROUND(+L1440*D1440,4)</f>
        <v>0</v>
      </c>
      <c r="O1440" s="67">
        <f>ROUND(IF(F1440="rame",0,+I1440*3%),4)</f>
        <v>0</v>
      </c>
      <c r="P1440" s="67">
        <f>ROUND(IF(O1440&lt;J1440,O1440,0),4)</f>
        <v>0</v>
      </c>
      <c r="Q1440" s="67">
        <f>ROUND(IF(J1440&gt;O1440,0,J1440),4)</f>
        <v>0</v>
      </c>
      <c r="R1440" s="67">
        <f>ROUND(+P1440*D1440,4)</f>
        <v>0</v>
      </c>
      <c r="S1440" s="67">
        <f>ROUND(IF(K1440=0,0,M1440*D1440),4)</f>
        <v>0</v>
      </c>
      <c r="T1440" s="67">
        <f>ROUND(+IF(K1440=0,Q1440*D1440,0),4)</f>
        <v>0</v>
      </c>
      <c r="U1440" s="67">
        <f>ROUND(+N1440+R1440+S1440+T1440,4)</f>
        <v>0</v>
      </c>
      <c r="V1440" s="67">
        <f>ROUND(IF(P1440=0,0,I1440-H1440-O1440)+IF(L1440=0,0,I1440-H1440-K1440),4)</f>
        <v>0</v>
      </c>
      <c r="W1440" s="67">
        <f>ROUND(+(V1440*60%)*D1440,4)</f>
        <v>0</v>
      </c>
      <c r="X1440" s="148">
        <f>ROUND(+U1440+W1440,4)</f>
        <v>0</v>
      </c>
      <c r="Y1440" s="68"/>
      <c r="Z1440" s="148">
        <f>ROUND(IF(X1440&gt;I1440,X1440,I1440),4)</f>
        <v>0</v>
      </c>
      <c r="AD1440" s="78">
        <f t="shared" si="22"/>
        <v>0</v>
      </c>
      <c r="AE1440" s="78">
        <f t="shared" si="23"/>
        <v>0</v>
      </c>
    </row>
    <row r="1441" spans="1:31" x14ac:dyDescent="0.2">
      <c r="A1441" s="66"/>
      <c r="B1441" s="66"/>
      <c r="C1441" s="66"/>
      <c r="D1441" s="144"/>
      <c r="E1441" s="67"/>
      <c r="F1441" s="67"/>
      <c r="G1441" s="67"/>
      <c r="H1441" s="67">
        <f>ROUND(+E1441+G1441,4)</f>
        <v>0</v>
      </c>
      <c r="I1441" s="67"/>
      <c r="J1441" s="67">
        <f>ROUND(+I1441-H1441,4)</f>
        <v>0</v>
      </c>
      <c r="K1441" s="67">
        <f>ROUND(IF(F1441="alluminio",0,I1441*1.5%),4)</f>
        <v>0</v>
      </c>
      <c r="L1441" s="67">
        <f>ROUND(IF(K1441&lt;J1441,K1441,0),4)</f>
        <v>0</v>
      </c>
      <c r="M1441" s="67">
        <f>ROUND(IF(J1441&gt;K1441,0,J1441),4)</f>
        <v>0</v>
      </c>
      <c r="N1441" s="67">
        <f>ROUND(+L1441*D1441,4)</f>
        <v>0</v>
      </c>
      <c r="O1441" s="67">
        <f>ROUND(IF(F1441="rame",0,+I1441*3%),4)</f>
        <v>0</v>
      </c>
      <c r="P1441" s="67">
        <f>ROUND(IF(O1441&lt;J1441,O1441,0),4)</f>
        <v>0</v>
      </c>
      <c r="Q1441" s="67">
        <f>ROUND(IF(J1441&gt;O1441,0,J1441),4)</f>
        <v>0</v>
      </c>
      <c r="R1441" s="67">
        <f>ROUND(+P1441*D1441,4)</f>
        <v>0</v>
      </c>
      <c r="S1441" s="67">
        <f>ROUND(IF(K1441=0,0,M1441*D1441),4)</f>
        <v>0</v>
      </c>
      <c r="T1441" s="67">
        <f>ROUND(+IF(K1441=0,Q1441*D1441,0),4)</f>
        <v>0</v>
      </c>
      <c r="U1441" s="67">
        <f>ROUND(+N1441+R1441+S1441+T1441,4)</f>
        <v>0</v>
      </c>
      <c r="V1441" s="67">
        <f>ROUND(IF(P1441=0,0,I1441-H1441-O1441)+IF(L1441=0,0,I1441-H1441-K1441),4)</f>
        <v>0</v>
      </c>
      <c r="W1441" s="67">
        <f>ROUND(+(V1441*60%)*D1441,4)</f>
        <v>0</v>
      </c>
      <c r="X1441" s="148">
        <f>ROUND(+U1441+W1441,4)</f>
        <v>0</v>
      </c>
      <c r="Y1441" s="68"/>
      <c r="Z1441" s="148">
        <f>ROUND(IF(X1441&gt;I1441,X1441,I1441),4)</f>
        <v>0</v>
      </c>
      <c r="AD1441" s="78">
        <f t="shared" si="22"/>
        <v>0</v>
      </c>
      <c r="AE1441" s="78">
        <f t="shared" si="23"/>
        <v>0</v>
      </c>
    </row>
    <row r="1442" spans="1:31" x14ac:dyDescent="0.2">
      <c r="A1442" s="66"/>
      <c r="B1442" s="66"/>
      <c r="C1442" s="66"/>
      <c r="D1442" s="144"/>
      <c r="E1442" s="67"/>
      <c r="F1442" s="67"/>
      <c r="G1442" s="67"/>
      <c r="H1442" s="67">
        <f>ROUND(+E1442+G1442,4)</f>
        <v>0</v>
      </c>
      <c r="I1442" s="67"/>
      <c r="J1442" s="67">
        <f>ROUND(+I1442-H1442,4)</f>
        <v>0</v>
      </c>
      <c r="K1442" s="67">
        <f>ROUND(IF(F1442="alluminio",0,I1442*1.5%),4)</f>
        <v>0</v>
      </c>
      <c r="L1442" s="67">
        <f>ROUND(IF(K1442&lt;J1442,K1442,0),4)</f>
        <v>0</v>
      </c>
      <c r="M1442" s="67">
        <f>ROUND(IF(J1442&gt;K1442,0,J1442),4)</f>
        <v>0</v>
      </c>
      <c r="N1442" s="67">
        <f>ROUND(+L1442*D1442,4)</f>
        <v>0</v>
      </c>
      <c r="O1442" s="67">
        <f>ROUND(IF(F1442="rame",0,+I1442*3%),4)</f>
        <v>0</v>
      </c>
      <c r="P1442" s="67">
        <f>ROUND(IF(O1442&lt;J1442,O1442,0),4)</f>
        <v>0</v>
      </c>
      <c r="Q1442" s="67">
        <f>ROUND(IF(J1442&gt;O1442,0,J1442),4)</f>
        <v>0</v>
      </c>
      <c r="R1442" s="67">
        <f>ROUND(+P1442*D1442,4)</f>
        <v>0</v>
      </c>
      <c r="S1442" s="67">
        <f>ROUND(IF(K1442=0,0,M1442*D1442),4)</f>
        <v>0</v>
      </c>
      <c r="T1442" s="67">
        <f>ROUND(+IF(K1442=0,Q1442*D1442,0),4)</f>
        <v>0</v>
      </c>
      <c r="U1442" s="67">
        <f>ROUND(+N1442+R1442+S1442+T1442,4)</f>
        <v>0</v>
      </c>
      <c r="V1442" s="67">
        <f>ROUND(IF(P1442=0,0,I1442-H1442-O1442)+IF(L1442=0,0,I1442-H1442-K1442),4)</f>
        <v>0</v>
      </c>
      <c r="W1442" s="67">
        <f>ROUND(+(V1442*60%)*D1442,4)</f>
        <v>0</v>
      </c>
      <c r="X1442" s="148">
        <f>ROUND(+U1442+W1442,4)</f>
        <v>0</v>
      </c>
      <c r="Y1442" s="68"/>
      <c r="Z1442" s="148">
        <f>ROUND(IF(X1442&gt;I1442,X1442,I1442),4)</f>
        <v>0</v>
      </c>
      <c r="AD1442" s="78">
        <f t="shared" si="22"/>
        <v>0</v>
      </c>
      <c r="AE1442" s="78">
        <f t="shared" si="23"/>
        <v>0</v>
      </c>
    </row>
    <row r="1443" spans="1:31" x14ac:dyDescent="0.2">
      <c r="A1443" s="66"/>
      <c r="B1443" s="66"/>
      <c r="C1443" s="66"/>
      <c r="D1443" s="144"/>
      <c r="E1443" s="67"/>
      <c r="F1443" s="67"/>
      <c r="G1443" s="67"/>
      <c r="H1443" s="67">
        <f>ROUND(+E1443+G1443,4)</f>
        <v>0</v>
      </c>
      <c r="I1443" s="67"/>
      <c r="J1443" s="67">
        <f>ROUND(+I1443-H1443,4)</f>
        <v>0</v>
      </c>
      <c r="K1443" s="67">
        <f>ROUND(IF(F1443="alluminio",0,I1443*1.5%),4)</f>
        <v>0</v>
      </c>
      <c r="L1443" s="67">
        <f>ROUND(IF(K1443&lt;J1443,K1443,0),4)</f>
        <v>0</v>
      </c>
      <c r="M1443" s="67">
        <f>ROUND(IF(J1443&gt;K1443,0,J1443),4)</f>
        <v>0</v>
      </c>
      <c r="N1443" s="67">
        <f>ROUND(+L1443*D1443,4)</f>
        <v>0</v>
      </c>
      <c r="O1443" s="67">
        <f>ROUND(IF(F1443="rame",0,+I1443*3%),4)</f>
        <v>0</v>
      </c>
      <c r="P1443" s="67">
        <f>ROUND(IF(O1443&lt;J1443,O1443,0),4)</f>
        <v>0</v>
      </c>
      <c r="Q1443" s="67">
        <f>ROUND(IF(J1443&gt;O1443,0,J1443),4)</f>
        <v>0</v>
      </c>
      <c r="R1443" s="67">
        <f>ROUND(+P1443*D1443,4)</f>
        <v>0</v>
      </c>
      <c r="S1443" s="67">
        <f>ROUND(IF(K1443=0,0,M1443*D1443),4)</f>
        <v>0</v>
      </c>
      <c r="T1443" s="67">
        <f>ROUND(+IF(K1443=0,Q1443*D1443,0),4)</f>
        <v>0</v>
      </c>
      <c r="U1443" s="67">
        <f>ROUND(+N1443+R1443+S1443+T1443,4)</f>
        <v>0</v>
      </c>
      <c r="V1443" s="67">
        <f>ROUND(IF(P1443=0,0,I1443-H1443-O1443)+IF(L1443=0,0,I1443-H1443-K1443),4)</f>
        <v>0</v>
      </c>
      <c r="W1443" s="67">
        <f>ROUND(+(V1443*60%)*D1443,4)</f>
        <v>0</v>
      </c>
      <c r="X1443" s="148">
        <f>ROUND(+U1443+W1443,4)</f>
        <v>0</v>
      </c>
      <c r="Y1443" s="68"/>
      <c r="Z1443" s="148">
        <f>ROUND(IF(X1443&gt;I1443,X1443,I1443),4)</f>
        <v>0</v>
      </c>
      <c r="AD1443" s="78">
        <f t="shared" si="22"/>
        <v>0</v>
      </c>
      <c r="AE1443" s="78">
        <f t="shared" si="23"/>
        <v>0</v>
      </c>
    </row>
    <row r="1444" spans="1:31" x14ac:dyDescent="0.2">
      <c r="A1444" s="66"/>
      <c r="B1444" s="66"/>
      <c r="C1444" s="66"/>
      <c r="D1444" s="144"/>
      <c r="E1444" s="67"/>
      <c r="F1444" s="67"/>
      <c r="G1444" s="67"/>
      <c r="H1444" s="67">
        <f>ROUND(+E1444+G1444,4)</f>
        <v>0</v>
      </c>
      <c r="I1444" s="67"/>
      <c r="J1444" s="67">
        <f>ROUND(+I1444-H1444,4)</f>
        <v>0</v>
      </c>
      <c r="K1444" s="67">
        <f>ROUND(IF(F1444="alluminio",0,I1444*1.5%),4)</f>
        <v>0</v>
      </c>
      <c r="L1444" s="67">
        <f>ROUND(IF(K1444&lt;J1444,K1444,0),4)</f>
        <v>0</v>
      </c>
      <c r="M1444" s="67">
        <f>ROUND(IF(J1444&gt;K1444,0,J1444),4)</f>
        <v>0</v>
      </c>
      <c r="N1444" s="67">
        <f>ROUND(+L1444*D1444,4)</f>
        <v>0</v>
      </c>
      <c r="O1444" s="67">
        <f>ROUND(IF(F1444="rame",0,+I1444*3%),4)</f>
        <v>0</v>
      </c>
      <c r="P1444" s="67">
        <f>ROUND(IF(O1444&lt;J1444,O1444,0),4)</f>
        <v>0</v>
      </c>
      <c r="Q1444" s="67">
        <f>ROUND(IF(J1444&gt;O1444,0,J1444),4)</f>
        <v>0</v>
      </c>
      <c r="R1444" s="67">
        <f>ROUND(+P1444*D1444,4)</f>
        <v>0</v>
      </c>
      <c r="S1444" s="67">
        <f>ROUND(IF(K1444=0,0,M1444*D1444),4)</f>
        <v>0</v>
      </c>
      <c r="T1444" s="67">
        <f>ROUND(+IF(K1444=0,Q1444*D1444,0),4)</f>
        <v>0</v>
      </c>
      <c r="U1444" s="67">
        <f>ROUND(+N1444+R1444+S1444+T1444,4)</f>
        <v>0</v>
      </c>
      <c r="V1444" s="67">
        <f>ROUND(IF(P1444=0,0,I1444-H1444-O1444)+IF(L1444=0,0,I1444-H1444-K1444),4)</f>
        <v>0</v>
      </c>
      <c r="W1444" s="67">
        <f>ROUND(+(V1444*60%)*D1444,4)</f>
        <v>0</v>
      </c>
      <c r="X1444" s="148">
        <f>ROUND(+U1444+W1444,4)</f>
        <v>0</v>
      </c>
      <c r="Y1444" s="68"/>
      <c r="Z1444" s="148">
        <f>ROUND(IF(X1444&gt;I1444,X1444,I1444),4)</f>
        <v>0</v>
      </c>
      <c r="AD1444" s="78">
        <f t="shared" si="22"/>
        <v>0</v>
      </c>
      <c r="AE1444" s="78">
        <f t="shared" si="23"/>
        <v>0</v>
      </c>
    </row>
    <row r="1445" spans="1:31" x14ac:dyDescent="0.2">
      <c r="A1445" s="66"/>
      <c r="B1445" s="66"/>
      <c r="C1445" s="66"/>
      <c r="D1445" s="144"/>
      <c r="E1445" s="67"/>
      <c r="F1445" s="67"/>
      <c r="G1445" s="67"/>
      <c r="H1445" s="67">
        <f>ROUND(+E1445+G1445,4)</f>
        <v>0</v>
      </c>
      <c r="I1445" s="67"/>
      <c r="J1445" s="67">
        <f>ROUND(+I1445-H1445,4)</f>
        <v>0</v>
      </c>
      <c r="K1445" s="67">
        <f>ROUND(IF(F1445="alluminio",0,I1445*1.5%),4)</f>
        <v>0</v>
      </c>
      <c r="L1445" s="67">
        <f>ROUND(IF(K1445&lt;J1445,K1445,0),4)</f>
        <v>0</v>
      </c>
      <c r="M1445" s="67">
        <f>ROUND(IF(J1445&gt;K1445,0,J1445),4)</f>
        <v>0</v>
      </c>
      <c r="N1445" s="67">
        <f>ROUND(+L1445*D1445,4)</f>
        <v>0</v>
      </c>
      <c r="O1445" s="67">
        <f>ROUND(IF(F1445="rame",0,+I1445*3%),4)</f>
        <v>0</v>
      </c>
      <c r="P1445" s="67">
        <f>ROUND(IF(O1445&lt;J1445,O1445,0),4)</f>
        <v>0</v>
      </c>
      <c r="Q1445" s="67">
        <f>ROUND(IF(J1445&gt;O1445,0,J1445),4)</f>
        <v>0</v>
      </c>
      <c r="R1445" s="67">
        <f>ROUND(+P1445*D1445,4)</f>
        <v>0</v>
      </c>
      <c r="S1445" s="67">
        <f>ROUND(IF(K1445=0,0,M1445*D1445),4)</f>
        <v>0</v>
      </c>
      <c r="T1445" s="67">
        <f>ROUND(+IF(K1445=0,Q1445*D1445,0),4)</f>
        <v>0</v>
      </c>
      <c r="U1445" s="67">
        <f>ROUND(+N1445+R1445+S1445+T1445,4)</f>
        <v>0</v>
      </c>
      <c r="V1445" s="67">
        <f>ROUND(IF(P1445=0,0,I1445-H1445-O1445)+IF(L1445=0,0,I1445-H1445-K1445),4)</f>
        <v>0</v>
      </c>
      <c r="W1445" s="67">
        <f>ROUND(+(V1445*60%)*D1445,4)</f>
        <v>0</v>
      </c>
      <c r="X1445" s="148">
        <f>ROUND(+U1445+W1445,4)</f>
        <v>0</v>
      </c>
      <c r="Y1445" s="68"/>
      <c r="Z1445" s="148">
        <f>ROUND(IF(X1445&gt;I1445,X1445,I1445),4)</f>
        <v>0</v>
      </c>
      <c r="AD1445" s="78">
        <f t="shared" si="22"/>
        <v>0</v>
      </c>
      <c r="AE1445" s="78">
        <f t="shared" si="23"/>
        <v>0</v>
      </c>
    </row>
    <row r="1446" spans="1:31" x14ac:dyDescent="0.2">
      <c r="A1446" s="66"/>
      <c r="B1446" s="66"/>
      <c r="C1446" s="66"/>
      <c r="D1446" s="144"/>
      <c r="E1446" s="67"/>
      <c r="F1446" s="67"/>
      <c r="G1446" s="67"/>
      <c r="H1446" s="67">
        <f>ROUND(+E1446+G1446,4)</f>
        <v>0</v>
      </c>
      <c r="I1446" s="67"/>
      <c r="J1446" s="67">
        <f>ROUND(+I1446-H1446,4)</f>
        <v>0</v>
      </c>
      <c r="K1446" s="67">
        <f>ROUND(IF(F1446="alluminio",0,I1446*1.5%),4)</f>
        <v>0</v>
      </c>
      <c r="L1446" s="67">
        <f>ROUND(IF(K1446&lt;J1446,K1446,0),4)</f>
        <v>0</v>
      </c>
      <c r="M1446" s="67">
        <f>ROUND(IF(J1446&gt;K1446,0,J1446),4)</f>
        <v>0</v>
      </c>
      <c r="N1446" s="67">
        <f>ROUND(+L1446*D1446,4)</f>
        <v>0</v>
      </c>
      <c r="O1446" s="67">
        <f>ROUND(IF(F1446="rame",0,+I1446*3%),4)</f>
        <v>0</v>
      </c>
      <c r="P1446" s="67">
        <f>ROUND(IF(O1446&lt;J1446,O1446,0),4)</f>
        <v>0</v>
      </c>
      <c r="Q1446" s="67">
        <f>ROUND(IF(J1446&gt;O1446,0,J1446),4)</f>
        <v>0</v>
      </c>
      <c r="R1446" s="67">
        <f>ROUND(+P1446*D1446,4)</f>
        <v>0</v>
      </c>
      <c r="S1446" s="67">
        <f>ROUND(IF(K1446=0,0,M1446*D1446),4)</f>
        <v>0</v>
      </c>
      <c r="T1446" s="67">
        <f>ROUND(+IF(K1446=0,Q1446*D1446,0),4)</f>
        <v>0</v>
      </c>
      <c r="U1446" s="67">
        <f>ROUND(+N1446+R1446+S1446+T1446,4)</f>
        <v>0</v>
      </c>
      <c r="V1446" s="67">
        <f>ROUND(IF(P1446=0,0,I1446-H1446-O1446)+IF(L1446=0,0,I1446-H1446-K1446),4)</f>
        <v>0</v>
      </c>
      <c r="W1446" s="67">
        <f>ROUND(+(V1446*60%)*D1446,4)</f>
        <v>0</v>
      </c>
      <c r="X1446" s="148">
        <f>ROUND(+U1446+W1446,4)</f>
        <v>0</v>
      </c>
      <c r="Y1446" s="68"/>
      <c r="Z1446" s="148">
        <f>ROUND(IF(X1446&gt;I1446,X1446,I1446),4)</f>
        <v>0</v>
      </c>
      <c r="AD1446" s="78">
        <f t="shared" si="22"/>
        <v>0</v>
      </c>
      <c r="AE1446" s="78">
        <f t="shared" si="23"/>
        <v>0</v>
      </c>
    </row>
    <row r="1447" spans="1:31" x14ac:dyDescent="0.2">
      <c r="A1447" s="66"/>
      <c r="B1447" s="66"/>
      <c r="C1447" s="66"/>
      <c r="D1447" s="144"/>
      <c r="E1447" s="67"/>
      <c r="F1447" s="67"/>
      <c r="G1447" s="67"/>
      <c r="H1447" s="67">
        <f>ROUND(+E1447+G1447,4)</f>
        <v>0</v>
      </c>
      <c r="I1447" s="67"/>
      <c r="J1447" s="67">
        <f>ROUND(+I1447-H1447,4)</f>
        <v>0</v>
      </c>
      <c r="K1447" s="67">
        <f>ROUND(IF(F1447="alluminio",0,I1447*1.5%),4)</f>
        <v>0</v>
      </c>
      <c r="L1447" s="67">
        <f>ROUND(IF(K1447&lt;J1447,K1447,0),4)</f>
        <v>0</v>
      </c>
      <c r="M1447" s="67">
        <f>ROUND(IF(J1447&gt;K1447,0,J1447),4)</f>
        <v>0</v>
      </c>
      <c r="N1447" s="67">
        <f>ROUND(+L1447*D1447,4)</f>
        <v>0</v>
      </c>
      <c r="O1447" s="67">
        <f>ROUND(IF(F1447="rame",0,+I1447*3%),4)</f>
        <v>0</v>
      </c>
      <c r="P1447" s="67">
        <f>ROUND(IF(O1447&lt;J1447,O1447,0),4)</f>
        <v>0</v>
      </c>
      <c r="Q1447" s="67">
        <f>ROUND(IF(J1447&gt;O1447,0,J1447),4)</f>
        <v>0</v>
      </c>
      <c r="R1447" s="67">
        <f>ROUND(+P1447*D1447,4)</f>
        <v>0</v>
      </c>
      <c r="S1447" s="67">
        <f>ROUND(IF(K1447=0,0,M1447*D1447),4)</f>
        <v>0</v>
      </c>
      <c r="T1447" s="67">
        <f>ROUND(+IF(K1447=0,Q1447*D1447,0),4)</f>
        <v>0</v>
      </c>
      <c r="U1447" s="67">
        <f>ROUND(+N1447+R1447+S1447+T1447,4)</f>
        <v>0</v>
      </c>
      <c r="V1447" s="67">
        <f>ROUND(IF(P1447=0,0,I1447-H1447-O1447)+IF(L1447=0,0,I1447-H1447-K1447),4)</f>
        <v>0</v>
      </c>
      <c r="W1447" s="67">
        <f>ROUND(+(V1447*60%)*D1447,4)</f>
        <v>0</v>
      </c>
      <c r="X1447" s="148">
        <f>ROUND(+U1447+W1447,4)</f>
        <v>0</v>
      </c>
      <c r="Y1447" s="68"/>
      <c r="Z1447" s="148">
        <f>ROUND(IF(X1447&gt;I1447,X1447,I1447),4)</f>
        <v>0</v>
      </c>
      <c r="AD1447" s="78">
        <f t="shared" si="22"/>
        <v>0</v>
      </c>
      <c r="AE1447" s="78">
        <f t="shared" si="23"/>
        <v>0</v>
      </c>
    </row>
    <row r="1448" spans="1:31" x14ac:dyDescent="0.2">
      <c r="A1448" s="66"/>
      <c r="B1448" s="66"/>
      <c r="C1448" s="66"/>
      <c r="D1448" s="144"/>
      <c r="E1448" s="67"/>
      <c r="F1448" s="67"/>
      <c r="G1448" s="67"/>
      <c r="H1448" s="67">
        <f>ROUND(+E1448+G1448,4)</f>
        <v>0</v>
      </c>
      <c r="I1448" s="67"/>
      <c r="J1448" s="67">
        <f>ROUND(+I1448-H1448,4)</f>
        <v>0</v>
      </c>
      <c r="K1448" s="67">
        <f>ROUND(IF(F1448="alluminio",0,I1448*1.5%),4)</f>
        <v>0</v>
      </c>
      <c r="L1448" s="67">
        <f>ROUND(IF(K1448&lt;J1448,K1448,0),4)</f>
        <v>0</v>
      </c>
      <c r="M1448" s="67">
        <f>ROUND(IF(J1448&gt;K1448,0,J1448),4)</f>
        <v>0</v>
      </c>
      <c r="N1448" s="67">
        <f>ROUND(+L1448*D1448,4)</f>
        <v>0</v>
      </c>
      <c r="O1448" s="67">
        <f>ROUND(IF(F1448="rame",0,+I1448*3%),4)</f>
        <v>0</v>
      </c>
      <c r="P1448" s="67">
        <f>ROUND(IF(O1448&lt;J1448,O1448,0),4)</f>
        <v>0</v>
      </c>
      <c r="Q1448" s="67">
        <f>ROUND(IF(J1448&gt;O1448,0,J1448),4)</f>
        <v>0</v>
      </c>
      <c r="R1448" s="67">
        <f>ROUND(+P1448*D1448,4)</f>
        <v>0</v>
      </c>
      <c r="S1448" s="67">
        <f>ROUND(IF(K1448=0,0,M1448*D1448),4)</f>
        <v>0</v>
      </c>
      <c r="T1448" s="67">
        <f>ROUND(+IF(K1448=0,Q1448*D1448,0),4)</f>
        <v>0</v>
      </c>
      <c r="U1448" s="67">
        <f>ROUND(+N1448+R1448+S1448+T1448,4)</f>
        <v>0</v>
      </c>
      <c r="V1448" s="67">
        <f>ROUND(IF(P1448=0,0,I1448-H1448-O1448)+IF(L1448=0,0,I1448-H1448-K1448),4)</f>
        <v>0</v>
      </c>
      <c r="W1448" s="67">
        <f>ROUND(+(V1448*60%)*D1448,4)</f>
        <v>0</v>
      </c>
      <c r="X1448" s="148">
        <f>ROUND(+U1448+W1448,4)</f>
        <v>0</v>
      </c>
      <c r="Y1448" s="68"/>
      <c r="Z1448" s="148">
        <f>ROUND(IF(X1448&gt;I1448,X1448,I1448),4)</f>
        <v>0</v>
      </c>
      <c r="AD1448" s="78">
        <f t="shared" si="22"/>
        <v>0</v>
      </c>
      <c r="AE1448" s="78">
        <f t="shared" si="23"/>
        <v>0</v>
      </c>
    </row>
    <row r="1449" spans="1:31" x14ac:dyDescent="0.2">
      <c r="A1449" s="66"/>
      <c r="B1449" s="66"/>
      <c r="C1449" s="66"/>
      <c r="D1449" s="144"/>
      <c r="E1449" s="67"/>
      <c r="F1449" s="67"/>
      <c r="G1449" s="67"/>
      <c r="H1449" s="67">
        <f>ROUND(+E1449+G1449,4)</f>
        <v>0</v>
      </c>
      <c r="I1449" s="67"/>
      <c r="J1449" s="67">
        <f>ROUND(+I1449-H1449,4)</f>
        <v>0</v>
      </c>
      <c r="K1449" s="67">
        <f>ROUND(IF(F1449="alluminio",0,I1449*1.5%),4)</f>
        <v>0</v>
      </c>
      <c r="L1449" s="67">
        <f>ROUND(IF(K1449&lt;J1449,K1449,0),4)</f>
        <v>0</v>
      </c>
      <c r="M1449" s="67">
        <f>ROUND(IF(J1449&gt;K1449,0,J1449),4)</f>
        <v>0</v>
      </c>
      <c r="N1449" s="67">
        <f>ROUND(+L1449*D1449,4)</f>
        <v>0</v>
      </c>
      <c r="O1449" s="67">
        <f>ROUND(IF(F1449="rame",0,+I1449*3%),4)</f>
        <v>0</v>
      </c>
      <c r="P1449" s="67">
        <f>ROUND(IF(O1449&lt;J1449,O1449,0),4)</f>
        <v>0</v>
      </c>
      <c r="Q1449" s="67">
        <f>ROUND(IF(J1449&gt;O1449,0,J1449),4)</f>
        <v>0</v>
      </c>
      <c r="R1449" s="67">
        <f>ROUND(+P1449*D1449,4)</f>
        <v>0</v>
      </c>
      <c r="S1449" s="67">
        <f>ROUND(IF(K1449=0,0,M1449*D1449),4)</f>
        <v>0</v>
      </c>
      <c r="T1449" s="67">
        <f>ROUND(+IF(K1449=0,Q1449*D1449,0),4)</f>
        <v>0</v>
      </c>
      <c r="U1449" s="67">
        <f>ROUND(+N1449+R1449+S1449+T1449,4)</f>
        <v>0</v>
      </c>
      <c r="V1449" s="67">
        <f>ROUND(IF(P1449=0,0,I1449-H1449-O1449)+IF(L1449=0,0,I1449-H1449-K1449),4)</f>
        <v>0</v>
      </c>
      <c r="W1449" s="67">
        <f>ROUND(+(V1449*60%)*D1449,4)</f>
        <v>0</v>
      </c>
      <c r="X1449" s="148">
        <f>ROUND(+U1449+W1449,4)</f>
        <v>0</v>
      </c>
      <c r="Y1449" s="68"/>
      <c r="Z1449" s="148">
        <f>ROUND(IF(X1449&gt;I1449,X1449,I1449),4)</f>
        <v>0</v>
      </c>
      <c r="AD1449" s="78">
        <f t="shared" si="22"/>
        <v>0</v>
      </c>
      <c r="AE1449" s="78">
        <f t="shared" si="23"/>
        <v>0</v>
      </c>
    </row>
    <row r="1450" spans="1:31" x14ac:dyDescent="0.2">
      <c r="A1450" s="66"/>
      <c r="B1450" s="66"/>
      <c r="C1450" s="66"/>
      <c r="D1450" s="144"/>
      <c r="E1450" s="67"/>
      <c r="F1450" s="67"/>
      <c r="G1450" s="67"/>
      <c r="H1450" s="67">
        <f>ROUND(+E1450+G1450,4)</f>
        <v>0</v>
      </c>
      <c r="I1450" s="67"/>
      <c r="J1450" s="67">
        <f>ROUND(+I1450-H1450,4)</f>
        <v>0</v>
      </c>
      <c r="K1450" s="67">
        <f>ROUND(IF(F1450="alluminio",0,I1450*1.5%),4)</f>
        <v>0</v>
      </c>
      <c r="L1450" s="67">
        <f>ROUND(IF(K1450&lt;J1450,K1450,0),4)</f>
        <v>0</v>
      </c>
      <c r="M1450" s="67">
        <f>ROUND(IF(J1450&gt;K1450,0,J1450),4)</f>
        <v>0</v>
      </c>
      <c r="N1450" s="67">
        <f>ROUND(+L1450*D1450,4)</f>
        <v>0</v>
      </c>
      <c r="O1450" s="67">
        <f>ROUND(IF(F1450="rame",0,+I1450*3%),4)</f>
        <v>0</v>
      </c>
      <c r="P1450" s="67">
        <f>ROUND(IF(O1450&lt;J1450,O1450,0),4)</f>
        <v>0</v>
      </c>
      <c r="Q1450" s="67">
        <f>ROUND(IF(J1450&gt;O1450,0,J1450),4)</f>
        <v>0</v>
      </c>
      <c r="R1450" s="67">
        <f>ROUND(+P1450*D1450,4)</f>
        <v>0</v>
      </c>
      <c r="S1450" s="67">
        <f>ROUND(IF(K1450=0,0,M1450*D1450),4)</f>
        <v>0</v>
      </c>
      <c r="T1450" s="67">
        <f>ROUND(+IF(K1450=0,Q1450*D1450,0),4)</f>
        <v>0</v>
      </c>
      <c r="U1450" s="67">
        <f>ROUND(+N1450+R1450+S1450+T1450,4)</f>
        <v>0</v>
      </c>
      <c r="V1450" s="67">
        <f>ROUND(IF(P1450=0,0,I1450-H1450-O1450)+IF(L1450=0,0,I1450-H1450-K1450),4)</f>
        <v>0</v>
      </c>
      <c r="W1450" s="67">
        <f>ROUND(+(V1450*60%)*D1450,4)</f>
        <v>0</v>
      </c>
      <c r="X1450" s="148">
        <f>ROUND(+U1450+W1450,4)</f>
        <v>0</v>
      </c>
      <c r="Y1450" s="68"/>
      <c r="Z1450" s="148">
        <f>ROUND(IF(X1450&gt;I1450,X1450,I1450),4)</f>
        <v>0</v>
      </c>
      <c r="AD1450" s="78">
        <f t="shared" si="22"/>
        <v>0</v>
      </c>
      <c r="AE1450" s="78">
        <f t="shared" si="23"/>
        <v>0</v>
      </c>
    </row>
    <row r="1451" spans="1:31" x14ac:dyDescent="0.2">
      <c r="A1451" s="66"/>
      <c r="B1451" s="66"/>
      <c r="C1451" s="66"/>
      <c r="D1451" s="144"/>
      <c r="E1451" s="67"/>
      <c r="F1451" s="67"/>
      <c r="G1451" s="67"/>
      <c r="H1451" s="67">
        <f>ROUND(+E1451+G1451,4)</f>
        <v>0</v>
      </c>
      <c r="I1451" s="67"/>
      <c r="J1451" s="67">
        <f>ROUND(+I1451-H1451,4)</f>
        <v>0</v>
      </c>
      <c r="K1451" s="67">
        <f>ROUND(IF(F1451="alluminio",0,I1451*1.5%),4)</f>
        <v>0</v>
      </c>
      <c r="L1451" s="67">
        <f>ROUND(IF(K1451&lt;J1451,K1451,0),4)</f>
        <v>0</v>
      </c>
      <c r="M1451" s="67">
        <f>ROUND(IF(J1451&gt;K1451,0,J1451),4)</f>
        <v>0</v>
      </c>
      <c r="N1451" s="67">
        <f>ROUND(+L1451*D1451,4)</f>
        <v>0</v>
      </c>
      <c r="O1451" s="67">
        <f>ROUND(IF(F1451="rame",0,+I1451*3%),4)</f>
        <v>0</v>
      </c>
      <c r="P1451" s="67">
        <f>ROUND(IF(O1451&lt;J1451,O1451,0),4)</f>
        <v>0</v>
      </c>
      <c r="Q1451" s="67">
        <f>ROUND(IF(J1451&gt;O1451,0,J1451),4)</f>
        <v>0</v>
      </c>
      <c r="R1451" s="67">
        <f>ROUND(+P1451*D1451,4)</f>
        <v>0</v>
      </c>
      <c r="S1451" s="67">
        <f>ROUND(IF(K1451=0,0,M1451*D1451),4)</f>
        <v>0</v>
      </c>
      <c r="T1451" s="67">
        <f>ROUND(+IF(K1451=0,Q1451*D1451,0),4)</f>
        <v>0</v>
      </c>
      <c r="U1451" s="67">
        <f>ROUND(+N1451+R1451+S1451+T1451,4)</f>
        <v>0</v>
      </c>
      <c r="V1451" s="67">
        <f>ROUND(IF(P1451=0,0,I1451-H1451-O1451)+IF(L1451=0,0,I1451-H1451-K1451),4)</f>
        <v>0</v>
      </c>
      <c r="W1451" s="67">
        <f>ROUND(+(V1451*60%)*D1451,4)</f>
        <v>0</v>
      </c>
      <c r="X1451" s="148">
        <f>ROUND(+U1451+W1451,4)</f>
        <v>0</v>
      </c>
      <c r="Y1451" s="68"/>
      <c r="Z1451" s="148">
        <f>ROUND(IF(X1451&gt;I1451,X1451,I1451),4)</f>
        <v>0</v>
      </c>
      <c r="AD1451" s="78">
        <f t="shared" si="22"/>
        <v>0</v>
      </c>
      <c r="AE1451" s="78">
        <f t="shared" si="23"/>
        <v>0</v>
      </c>
    </row>
    <row r="1452" spans="1:31" x14ac:dyDescent="0.2">
      <c r="A1452" s="66"/>
      <c r="B1452" s="66"/>
      <c r="C1452" s="66"/>
      <c r="D1452" s="144"/>
      <c r="E1452" s="67"/>
      <c r="F1452" s="67"/>
      <c r="G1452" s="67"/>
      <c r="H1452" s="67">
        <f>ROUND(+E1452+G1452,4)</f>
        <v>0</v>
      </c>
      <c r="I1452" s="67"/>
      <c r="J1452" s="67">
        <f>ROUND(+I1452-H1452,4)</f>
        <v>0</v>
      </c>
      <c r="K1452" s="67">
        <f>ROUND(IF(F1452="alluminio",0,I1452*1.5%),4)</f>
        <v>0</v>
      </c>
      <c r="L1452" s="67">
        <f>ROUND(IF(K1452&lt;J1452,K1452,0),4)</f>
        <v>0</v>
      </c>
      <c r="M1452" s="67">
        <f>ROUND(IF(J1452&gt;K1452,0,J1452),4)</f>
        <v>0</v>
      </c>
      <c r="N1452" s="67">
        <f>ROUND(+L1452*D1452,4)</f>
        <v>0</v>
      </c>
      <c r="O1452" s="67">
        <f>ROUND(IF(F1452="rame",0,+I1452*3%),4)</f>
        <v>0</v>
      </c>
      <c r="P1452" s="67">
        <f>ROUND(IF(O1452&lt;J1452,O1452,0),4)</f>
        <v>0</v>
      </c>
      <c r="Q1452" s="67">
        <f>ROUND(IF(J1452&gt;O1452,0,J1452),4)</f>
        <v>0</v>
      </c>
      <c r="R1452" s="67">
        <f>ROUND(+P1452*D1452,4)</f>
        <v>0</v>
      </c>
      <c r="S1452" s="67">
        <f>ROUND(IF(K1452=0,0,M1452*D1452),4)</f>
        <v>0</v>
      </c>
      <c r="T1452" s="67">
        <f>ROUND(+IF(K1452=0,Q1452*D1452,0),4)</f>
        <v>0</v>
      </c>
      <c r="U1452" s="67">
        <f>ROUND(+N1452+R1452+S1452+T1452,4)</f>
        <v>0</v>
      </c>
      <c r="V1452" s="67">
        <f>ROUND(IF(P1452=0,0,I1452-H1452-O1452)+IF(L1452=0,0,I1452-H1452-K1452),4)</f>
        <v>0</v>
      </c>
      <c r="W1452" s="67">
        <f>ROUND(+(V1452*60%)*D1452,4)</f>
        <v>0</v>
      </c>
      <c r="X1452" s="148">
        <f>ROUND(+U1452+W1452,4)</f>
        <v>0</v>
      </c>
      <c r="Y1452" s="68"/>
      <c r="Z1452" s="148">
        <f>ROUND(IF(X1452&gt;I1452,X1452,I1452),4)</f>
        <v>0</v>
      </c>
      <c r="AD1452" s="78">
        <f t="shared" si="22"/>
        <v>0</v>
      </c>
      <c r="AE1452" s="78">
        <f t="shared" si="23"/>
        <v>0</v>
      </c>
    </row>
    <row r="1453" spans="1:31" x14ac:dyDescent="0.2">
      <c r="A1453" s="66"/>
      <c r="B1453" s="66"/>
      <c r="C1453" s="66"/>
      <c r="D1453" s="144"/>
      <c r="E1453" s="67"/>
      <c r="F1453" s="67"/>
      <c r="G1453" s="67"/>
      <c r="H1453" s="67">
        <f>ROUND(+E1453+G1453,4)</f>
        <v>0</v>
      </c>
      <c r="I1453" s="67"/>
      <c r="J1453" s="67">
        <f>ROUND(+I1453-H1453,4)</f>
        <v>0</v>
      </c>
      <c r="K1453" s="67">
        <f>ROUND(IF(F1453="alluminio",0,I1453*1.5%),4)</f>
        <v>0</v>
      </c>
      <c r="L1453" s="67">
        <f>ROUND(IF(K1453&lt;J1453,K1453,0),4)</f>
        <v>0</v>
      </c>
      <c r="M1453" s="67">
        <f>ROUND(IF(J1453&gt;K1453,0,J1453),4)</f>
        <v>0</v>
      </c>
      <c r="N1453" s="67">
        <f>ROUND(+L1453*D1453,4)</f>
        <v>0</v>
      </c>
      <c r="O1453" s="67">
        <f>ROUND(IF(F1453="rame",0,+I1453*3%),4)</f>
        <v>0</v>
      </c>
      <c r="P1453" s="67">
        <f>ROUND(IF(O1453&lt;J1453,O1453,0),4)</f>
        <v>0</v>
      </c>
      <c r="Q1453" s="67">
        <f>ROUND(IF(J1453&gt;O1453,0,J1453),4)</f>
        <v>0</v>
      </c>
      <c r="R1453" s="67">
        <f>ROUND(+P1453*D1453,4)</f>
        <v>0</v>
      </c>
      <c r="S1453" s="67">
        <f>ROUND(IF(K1453=0,0,M1453*D1453),4)</f>
        <v>0</v>
      </c>
      <c r="T1453" s="67">
        <f>ROUND(+IF(K1453=0,Q1453*D1453,0),4)</f>
        <v>0</v>
      </c>
      <c r="U1453" s="67">
        <f>ROUND(+N1453+R1453+S1453+T1453,4)</f>
        <v>0</v>
      </c>
      <c r="V1453" s="67">
        <f>ROUND(IF(P1453=0,0,I1453-H1453-O1453)+IF(L1453=0,0,I1453-H1453-K1453),4)</f>
        <v>0</v>
      </c>
      <c r="W1453" s="67">
        <f>ROUND(+(V1453*60%)*D1453,4)</f>
        <v>0</v>
      </c>
      <c r="X1453" s="148">
        <f>ROUND(+U1453+W1453,4)</f>
        <v>0</v>
      </c>
      <c r="Y1453" s="68"/>
      <c r="Z1453" s="148">
        <f>ROUND(IF(X1453&gt;I1453,X1453,I1453),4)</f>
        <v>0</v>
      </c>
      <c r="AD1453" s="78">
        <f t="shared" si="22"/>
        <v>0</v>
      </c>
      <c r="AE1453" s="78">
        <f t="shared" si="23"/>
        <v>0</v>
      </c>
    </row>
    <row r="1454" spans="1:31" x14ac:dyDescent="0.2">
      <c r="A1454" s="66"/>
      <c r="B1454" s="66"/>
      <c r="C1454" s="66"/>
      <c r="D1454" s="144"/>
      <c r="E1454" s="67"/>
      <c r="F1454" s="67"/>
      <c r="G1454" s="67"/>
      <c r="H1454" s="67">
        <f>ROUND(+E1454+G1454,4)</f>
        <v>0</v>
      </c>
      <c r="I1454" s="67"/>
      <c r="J1454" s="67">
        <f>ROUND(+I1454-H1454,4)</f>
        <v>0</v>
      </c>
      <c r="K1454" s="67">
        <f>ROUND(IF(F1454="alluminio",0,I1454*1.5%),4)</f>
        <v>0</v>
      </c>
      <c r="L1454" s="67">
        <f>ROUND(IF(K1454&lt;J1454,K1454,0),4)</f>
        <v>0</v>
      </c>
      <c r="M1454" s="67">
        <f>ROUND(IF(J1454&gt;K1454,0,J1454),4)</f>
        <v>0</v>
      </c>
      <c r="N1454" s="67">
        <f>ROUND(+L1454*D1454,4)</f>
        <v>0</v>
      </c>
      <c r="O1454" s="67">
        <f>ROUND(IF(F1454="rame",0,+I1454*3%),4)</f>
        <v>0</v>
      </c>
      <c r="P1454" s="67">
        <f>ROUND(IF(O1454&lt;J1454,O1454,0),4)</f>
        <v>0</v>
      </c>
      <c r="Q1454" s="67">
        <f>ROUND(IF(J1454&gt;O1454,0,J1454),4)</f>
        <v>0</v>
      </c>
      <c r="R1454" s="67">
        <f>ROUND(+P1454*D1454,4)</f>
        <v>0</v>
      </c>
      <c r="S1454" s="67">
        <f>ROUND(IF(K1454=0,0,M1454*D1454),4)</f>
        <v>0</v>
      </c>
      <c r="T1454" s="67">
        <f>ROUND(+IF(K1454=0,Q1454*D1454,0),4)</f>
        <v>0</v>
      </c>
      <c r="U1454" s="67">
        <f>ROUND(+N1454+R1454+S1454+T1454,4)</f>
        <v>0</v>
      </c>
      <c r="V1454" s="67">
        <f>ROUND(IF(P1454=0,0,I1454-H1454-O1454)+IF(L1454=0,0,I1454-H1454-K1454),4)</f>
        <v>0</v>
      </c>
      <c r="W1454" s="67">
        <f>ROUND(+(V1454*60%)*D1454,4)</f>
        <v>0</v>
      </c>
      <c r="X1454" s="148">
        <f>ROUND(+U1454+W1454,4)</f>
        <v>0</v>
      </c>
      <c r="Y1454" s="68"/>
      <c r="Z1454" s="148">
        <f>ROUND(IF(X1454&gt;I1454,X1454,I1454),4)</f>
        <v>0</v>
      </c>
      <c r="AD1454" s="78">
        <f t="shared" si="22"/>
        <v>0</v>
      </c>
      <c r="AE1454" s="78">
        <f t="shared" si="23"/>
        <v>0</v>
      </c>
    </row>
    <row r="1455" spans="1:31" x14ac:dyDescent="0.2">
      <c r="A1455" s="66"/>
      <c r="B1455" s="66"/>
      <c r="C1455" s="66"/>
      <c r="D1455" s="144"/>
      <c r="E1455" s="67"/>
      <c r="F1455" s="67"/>
      <c r="G1455" s="67"/>
      <c r="H1455" s="67">
        <f>ROUND(+E1455+G1455,4)</f>
        <v>0</v>
      </c>
      <c r="I1455" s="67"/>
      <c r="J1455" s="67">
        <f>ROUND(+I1455-H1455,4)</f>
        <v>0</v>
      </c>
      <c r="K1455" s="67">
        <f>ROUND(IF(F1455="alluminio",0,I1455*1.5%),4)</f>
        <v>0</v>
      </c>
      <c r="L1455" s="67">
        <f>ROUND(IF(K1455&lt;J1455,K1455,0),4)</f>
        <v>0</v>
      </c>
      <c r="M1455" s="67">
        <f>ROUND(IF(J1455&gt;K1455,0,J1455),4)</f>
        <v>0</v>
      </c>
      <c r="N1455" s="67">
        <f>ROUND(+L1455*D1455,4)</f>
        <v>0</v>
      </c>
      <c r="O1455" s="67">
        <f>ROUND(IF(F1455="rame",0,+I1455*3%),4)</f>
        <v>0</v>
      </c>
      <c r="P1455" s="67">
        <f>ROUND(IF(O1455&lt;J1455,O1455,0),4)</f>
        <v>0</v>
      </c>
      <c r="Q1455" s="67">
        <f>ROUND(IF(J1455&gt;O1455,0,J1455),4)</f>
        <v>0</v>
      </c>
      <c r="R1455" s="67">
        <f>ROUND(+P1455*D1455,4)</f>
        <v>0</v>
      </c>
      <c r="S1455" s="67">
        <f>ROUND(IF(K1455=0,0,M1455*D1455),4)</f>
        <v>0</v>
      </c>
      <c r="T1455" s="67">
        <f>ROUND(+IF(K1455=0,Q1455*D1455,0),4)</f>
        <v>0</v>
      </c>
      <c r="U1455" s="67">
        <f>ROUND(+N1455+R1455+S1455+T1455,4)</f>
        <v>0</v>
      </c>
      <c r="V1455" s="67">
        <f>ROUND(IF(P1455=0,0,I1455-H1455-O1455)+IF(L1455=0,0,I1455-H1455-K1455),4)</f>
        <v>0</v>
      </c>
      <c r="W1455" s="67">
        <f>ROUND(+(V1455*60%)*D1455,4)</f>
        <v>0</v>
      </c>
      <c r="X1455" s="148">
        <f>ROUND(+U1455+W1455,4)</f>
        <v>0</v>
      </c>
      <c r="Y1455" s="68"/>
      <c r="Z1455" s="148">
        <f>ROUND(IF(X1455&gt;I1455,X1455,I1455),4)</f>
        <v>0</v>
      </c>
      <c r="AD1455" s="78">
        <f t="shared" si="22"/>
        <v>0</v>
      </c>
      <c r="AE1455" s="78">
        <f t="shared" si="23"/>
        <v>0</v>
      </c>
    </row>
    <row r="1456" spans="1:31" x14ac:dyDescent="0.2">
      <c r="A1456" s="66"/>
      <c r="B1456" s="66"/>
      <c r="C1456" s="66"/>
      <c r="D1456" s="144"/>
      <c r="E1456" s="67"/>
      <c r="F1456" s="67"/>
      <c r="G1456" s="67"/>
      <c r="H1456" s="67">
        <f>ROUND(+E1456+G1456,4)</f>
        <v>0</v>
      </c>
      <c r="I1456" s="67"/>
      <c r="J1456" s="67">
        <f>ROUND(+I1456-H1456,4)</f>
        <v>0</v>
      </c>
      <c r="K1456" s="67">
        <f>ROUND(IF(F1456="alluminio",0,I1456*1.5%),4)</f>
        <v>0</v>
      </c>
      <c r="L1456" s="67">
        <f>ROUND(IF(K1456&lt;J1456,K1456,0),4)</f>
        <v>0</v>
      </c>
      <c r="M1456" s="67">
        <f>ROUND(IF(J1456&gt;K1456,0,J1456),4)</f>
        <v>0</v>
      </c>
      <c r="N1456" s="67">
        <f>ROUND(+L1456*D1456,4)</f>
        <v>0</v>
      </c>
      <c r="O1456" s="67">
        <f>ROUND(IF(F1456="rame",0,+I1456*3%),4)</f>
        <v>0</v>
      </c>
      <c r="P1456" s="67">
        <f>ROUND(IF(O1456&lt;J1456,O1456,0),4)</f>
        <v>0</v>
      </c>
      <c r="Q1456" s="67">
        <f>ROUND(IF(J1456&gt;O1456,0,J1456),4)</f>
        <v>0</v>
      </c>
      <c r="R1456" s="67">
        <f>ROUND(+P1456*D1456,4)</f>
        <v>0</v>
      </c>
      <c r="S1456" s="67">
        <f>ROUND(IF(K1456=0,0,M1456*D1456),4)</f>
        <v>0</v>
      </c>
      <c r="T1456" s="67">
        <f>ROUND(+IF(K1456=0,Q1456*D1456,0),4)</f>
        <v>0</v>
      </c>
      <c r="U1456" s="67">
        <f>ROUND(+N1456+R1456+S1456+T1456,4)</f>
        <v>0</v>
      </c>
      <c r="V1456" s="67">
        <f>ROUND(IF(P1456=0,0,I1456-H1456-O1456)+IF(L1456=0,0,I1456-H1456-K1456),4)</f>
        <v>0</v>
      </c>
      <c r="W1456" s="67">
        <f>ROUND(+(V1456*60%)*D1456,4)</f>
        <v>0</v>
      </c>
      <c r="X1456" s="148">
        <f>ROUND(+U1456+W1456,4)</f>
        <v>0</v>
      </c>
      <c r="Y1456" s="68"/>
      <c r="Z1456" s="148">
        <f>ROUND(IF(X1456&gt;I1456,X1456,I1456),4)</f>
        <v>0</v>
      </c>
      <c r="AD1456" s="78">
        <f t="shared" si="22"/>
        <v>0</v>
      </c>
      <c r="AE1456" s="78">
        <f t="shared" si="23"/>
        <v>0</v>
      </c>
    </row>
    <row r="1457" spans="1:31" x14ac:dyDescent="0.2">
      <c r="A1457" s="66"/>
      <c r="B1457" s="66"/>
      <c r="C1457" s="66"/>
      <c r="D1457" s="144"/>
      <c r="E1457" s="67"/>
      <c r="F1457" s="67"/>
      <c r="G1457" s="67"/>
      <c r="H1457" s="67">
        <f>ROUND(+E1457+G1457,4)</f>
        <v>0</v>
      </c>
      <c r="I1457" s="67"/>
      <c r="J1457" s="67">
        <f>ROUND(+I1457-H1457,4)</f>
        <v>0</v>
      </c>
      <c r="K1457" s="67">
        <f>ROUND(IF(F1457="alluminio",0,I1457*1.5%),4)</f>
        <v>0</v>
      </c>
      <c r="L1457" s="67">
        <f>ROUND(IF(K1457&lt;J1457,K1457,0),4)</f>
        <v>0</v>
      </c>
      <c r="M1457" s="67">
        <f>ROUND(IF(J1457&gt;K1457,0,J1457),4)</f>
        <v>0</v>
      </c>
      <c r="N1457" s="67">
        <f>ROUND(+L1457*D1457,4)</f>
        <v>0</v>
      </c>
      <c r="O1457" s="67">
        <f>ROUND(IF(F1457="rame",0,+I1457*3%),4)</f>
        <v>0</v>
      </c>
      <c r="P1457" s="67">
        <f>ROUND(IF(O1457&lt;J1457,O1457,0),4)</f>
        <v>0</v>
      </c>
      <c r="Q1457" s="67">
        <f>ROUND(IF(J1457&gt;O1457,0,J1457),4)</f>
        <v>0</v>
      </c>
      <c r="R1457" s="67">
        <f>ROUND(+P1457*D1457,4)</f>
        <v>0</v>
      </c>
      <c r="S1457" s="67">
        <f>ROUND(IF(K1457=0,0,M1457*D1457),4)</f>
        <v>0</v>
      </c>
      <c r="T1457" s="67">
        <f>ROUND(+IF(K1457=0,Q1457*D1457,0),4)</f>
        <v>0</v>
      </c>
      <c r="U1457" s="67">
        <f>ROUND(+N1457+R1457+S1457+T1457,4)</f>
        <v>0</v>
      </c>
      <c r="V1457" s="67">
        <f>ROUND(IF(P1457=0,0,I1457-H1457-O1457)+IF(L1457=0,0,I1457-H1457-K1457),4)</f>
        <v>0</v>
      </c>
      <c r="W1457" s="67">
        <f>ROUND(+(V1457*60%)*D1457,4)</f>
        <v>0</v>
      </c>
      <c r="X1457" s="148">
        <f>ROUND(+U1457+W1457,4)</f>
        <v>0</v>
      </c>
      <c r="Y1457" s="68"/>
      <c r="Z1457" s="148">
        <f>ROUND(IF(X1457&gt;I1457,X1457,I1457),4)</f>
        <v>0</v>
      </c>
      <c r="AD1457" s="78">
        <f t="shared" si="22"/>
        <v>0</v>
      </c>
      <c r="AE1457" s="78">
        <f t="shared" si="23"/>
        <v>0</v>
      </c>
    </row>
    <row r="1458" spans="1:31" x14ac:dyDescent="0.2">
      <c r="A1458" s="66"/>
      <c r="B1458" s="66"/>
      <c r="C1458" s="66"/>
      <c r="D1458" s="144"/>
      <c r="E1458" s="67"/>
      <c r="F1458" s="67"/>
      <c r="G1458" s="67"/>
      <c r="H1458" s="67">
        <f>ROUND(+E1458+G1458,4)</f>
        <v>0</v>
      </c>
      <c r="I1458" s="67"/>
      <c r="J1458" s="67">
        <f>ROUND(+I1458-H1458,4)</f>
        <v>0</v>
      </c>
      <c r="K1458" s="67">
        <f>ROUND(IF(F1458="alluminio",0,I1458*1.5%),4)</f>
        <v>0</v>
      </c>
      <c r="L1458" s="67">
        <f>ROUND(IF(K1458&lt;J1458,K1458,0),4)</f>
        <v>0</v>
      </c>
      <c r="M1458" s="67">
        <f>ROUND(IF(J1458&gt;K1458,0,J1458),4)</f>
        <v>0</v>
      </c>
      <c r="N1458" s="67">
        <f>ROUND(+L1458*D1458,4)</f>
        <v>0</v>
      </c>
      <c r="O1458" s="67">
        <f>ROUND(IF(F1458="rame",0,+I1458*3%),4)</f>
        <v>0</v>
      </c>
      <c r="P1458" s="67">
        <f>ROUND(IF(O1458&lt;J1458,O1458,0),4)</f>
        <v>0</v>
      </c>
      <c r="Q1458" s="67">
        <f>ROUND(IF(J1458&gt;O1458,0,J1458),4)</f>
        <v>0</v>
      </c>
      <c r="R1458" s="67">
        <f>ROUND(+P1458*D1458,4)</f>
        <v>0</v>
      </c>
      <c r="S1458" s="67">
        <f>ROUND(IF(K1458=0,0,M1458*D1458),4)</f>
        <v>0</v>
      </c>
      <c r="T1458" s="67">
        <f>ROUND(+IF(K1458=0,Q1458*D1458,0),4)</f>
        <v>0</v>
      </c>
      <c r="U1458" s="67">
        <f>ROUND(+N1458+R1458+S1458+T1458,4)</f>
        <v>0</v>
      </c>
      <c r="V1458" s="67">
        <f>ROUND(IF(P1458=0,0,I1458-H1458-O1458)+IF(L1458=0,0,I1458-H1458-K1458),4)</f>
        <v>0</v>
      </c>
      <c r="W1458" s="67">
        <f>ROUND(+(V1458*60%)*D1458,4)</f>
        <v>0</v>
      </c>
      <c r="X1458" s="148">
        <f>ROUND(+U1458+W1458,4)</f>
        <v>0</v>
      </c>
      <c r="Y1458" s="68"/>
      <c r="Z1458" s="148">
        <f>ROUND(IF(X1458&gt;I1458,X1458,I1458),4)</f>
        <v>0</v>
      </c>
      <c r="AD1458" s="78">
        <f t="shared" si="22"/>
        <v>0</v>
      </c>
      <c r="AE1458" s="78">
        <f t="shared" si="23"/>
        <v>0</v>
      </c>
    </row>
    <row r="1459" spans="1:31" x14ac:dyDescent="0.2">
      <c r="A1459" s="66"/>
      <c r="B1459" s="66"/>
      <c r="C1459" s="66"/>
      <c r="D1459" s="144"/>
      <c r="E1459" s="67"/>
      <c r="F1459" s="67"/>
      <c r="G1459" s="67"/>
      <c r="H1459" s="67">
        <f>ROUND(+E1459+G1459,4)</f>
        <v>0</v>
      </c>
      <c r="I1459" s="67"/>
      <c r="J1459" s="67">
        <f>ROUND(+I1459-H1459,4)</f>
        <v>0</v>
      </c>
      <c r="K1459" s="67">
        <f>ROUND(IF(F1459="alluminio",0,I1459*1.5%),4)</f>
        <v>0</v>
      </c>
      <c r="L1459" s="67">
        <f>ROUND(IF(K1459&lt;J1459,K1459,0),4)</f>
        <v>0</v>
      </c>
      <c r="M1459" s="67">
        <f>ROUND(IF(J1459&gt;K1459,0,J1459),4)</f>
        <v>0</v>
      </c>
      <c r="N1459" s="67">
        <f>ROUND(+L1459*D1459,4)</f>
        <v>0</v>
      </c>
      <c r="O1459" s="67">
        <f>ROUND(IF(F1459="rame",0,+I1459*3%),4)</f>
        <v>0</v>
      </c>
      <c r="P1459" s="67">
        <f>ROUND(IF(O1459&lt;J1459,O1459,0),4)</f>
        <v>0</v>
      </c>
      <c r="Q1459" s="67">
        <f>ROUND(IF(J1459&gt;O1459,0,J1459),4)</f>
        <v>0</v>
      </c>
      <c r="R1459" s="67">
        <f>ROUND(+P1459*D1459,4)</f>
        <v>0</v>
      </c>
      <c r="S1459" s="67">
        <f>ROUND(IF(K1459=0,0,M1459*D1459),4)</f>
        <v>0</v>
      </c>
      <c r="T1459" s="67">
        <f>ROUND(+IF(K1459=0,Q1459*D1459,0),4)</f>
        <v>0</v>
      </c>
      <c r="U1459" s="67">
        <f>ROUND(+N1459+R1459+S1459+T1459,4)</f>
        <v>0</v>
      </c>
      <c r="V1459" s="67">
        <f>ROUND(IF(P1459=0,0,I1459-H1459-O1459)+IF(L1459=0,0,I1459-H1459-K1459),4)</f>
        <v>0</v>
      </c>
      <c r="W1459" s="67">
        <f>ROUND(+(V1459*60%)*D1459,4)</f>
        <v>0</v>
      </c>
      <c r="X1459" s="148">
        <f>ROUND(+U1459+W1459,4)</f>
        <v>0</v>
      </c>
      <c r="Y1459" s="68"/>
      <c r="Z1459" s="148">
        <f>ROUND(IF(X1459&gt;I1459,X1459,I1459),4)</f>
        <v>0</v>
      </c>
      <c r="AD1459" s="78">
        <f t="shared" si="22"/>
        <v>0</v>
      </c>
      <c r="AE1459" s="78">
        <f t="shared" si="23"/>
        <v>0</v>
      </c>
    </row>
    <row r="1460" spans="1:31" x14ac:dyDescent="0.2">
      <c r="A1460" s="66"/>
      <c r="B1460" s="66"/>
      <c r="C1460" s="66"/>
      <c r="D1460" s="144"/>
      <c r="E1460" s="67"/>
      <c r="F1460" s="67"/>
      <c r="G1460" s="67"/>
      <c r="H1460" s="67">
        <f>ROUND(+E1460+G1460,4)</f>
        <v>0</v>
      </c>
      <c r="I1460" s="67"/>
      <c r="J1460" s="67">
        <f>ROUND(+I1460-H1460,4)</f>
        <v>0</v>
      </c>
      <c r="K1460" s="67">
        <f>ROUND(IF(F1460="alluminio",0,I1460*1.5%),4)</f>
        <v>0</v>
      </c>
      <c r="L1460" s="67">
        <f>ROUND(IF(K1460&lt;J1460,K1460,0),4)</f>
        <v>0</v>
      </c>
      <c r="M1460" s="67">
        <f>ROUND(IF(J1460&gt;K1460,0,J1460),4)</f>
        <v>0</v>
      </c>
      <c r="N1460" s="67">
        <f>ROUND(+L1460*D1460,4)</f>
        <v>0</v>
      </c>
      <c r="O1460" s="67">
        <f>ROUND(IF(F1460="rame",0,+I1460*3%),4)</f>
        <v>0</v>
      </c>
      <c r="P1460" s="67">
        <f>ROUND(IF(O1460&lt;J1460,O1460,0),4)</f>
        <v>0</v>
      </c>
      <c r="Q1460" s="67">
        <f>ROUND(IF(J1460&gt;O1460,0,J1460),4)</f>
        <v>0</v>
      </c>
      <c r="R1460" s="67">
        <f>ROUND(+P1460*D1460,4)</f>
        <v>0</v>
      </c>
      <c r="S1460" s="67">
        <f>ROUND(IF(K1460=0,0,M1460*D1460),4)</f>
        <v>0</v>
      </c>
      <c r="T1460" s="67">
        <f>ROUND(+IF(K1460=0,Q1460*D1460,0),4)</f>
        <v>0</v>
      </c>
      <c r="U1460" s="67">
        <f>ROUND(+N1460+R1460+S1460+T1460,4)</f>
        <v>0</v>
      </c>
      <c r="V1460" s="67">
        <f>ROUND(IF(P1460=0,0,I1460-H1460-O1460)+IF(L1460=0,0,I1460-H1460-K1460),4)</f>
        <v>0</v>
      </c>
      <c r="W1460" s="67">
        <f>ROUND(+(V1460*60%)*D1460,4)</f>
        <v>0</v>
      </c>
      <c r="X1460" s="148">
        <f>ROUND(+U1460+W1460,4)</f>
        <v>0</v>
      </c>
      <c r="Y1460" s="68"/>
      <c r="Z1460" s="148">
        <f>ROUND(IF(X1460&gt;I1460,X1460,I1460),4)</f>
        <v>0</v>
      </c>
      <c r="AD1460" s="78">
        <f t="shared" si="22"/>
        <v>0</v>
      </c>
      <c r="AE1460" s="78">
        <f t="shared" si="23"/>
        <v>0</v>
      </c>
    </row>
    <row r="1461" spans="1:31" x14ac:dyDescent="0.2">
      <c r="A1461" s="66"/>
      <c r="B1461" s="66"/>
      <c r="C1461" s="66"/>
      <c r="D1461" s="144"/>
      <c r="E1461" s="67"/>
      <c r="F1461" s="67"/>
      <c r="G1461" s="67"/>
      <c r="H1461" s="67">
        <f>ROUND(+E1461+G1461,4)</f>
        <v>0</v>
      </c>
      <c r="I1461" s="67"/>
      <c r="J1461" s="67">
        <f>ROUND(+I1461-H1461,4)</f>
        <v>0</v>
      </c>
      <c r="K1461" s="67">
        <f>ROUND(IF(F1461="alluminio",0,I1461*1.5%),4)</f>
        <v>0</v>
      </c>
      <c r="L1461" s="67">
        <f>ROUND(IF(K1461&lt;J1461,K1461,0),4)</f>
        <v>0</v>
      </c>
      <c r="M1461" s="67">
        <f>ROUND(IF(J1461&gt;K1461,0,J1461),4)</f>
        <v>0</v>
      </c>
      <c r="N1461" s="67">
        <f>ROUND(+L1461*D1461,4)</f>
        <v>0</v>
      </c>
      <c r="O1461" s="67">
        <f>ROUND(IF(F1461="rame",0,+I1461*3%),4)</f>
        <v>0</v>
      </c>
      <c r="P1461" s="67">
        <f>ROUND(IF(O1461&lt;J1461,O1461,0),4)</f>
        <v>0</v>
      </c>
      <c r="Q1461" s="67">
        <f>ROUND(IF(J1461&gt;O1461,0,J1461),4)</f>
        <v>0</v>
      </c>
      <c r="R1461" s="67">
        <f>ROUND(+P1461*D1461,4)</f>
        <v>0</v>
      </c>
      <c r="S1461" s="67">
        <f>ROUND(IF(K1461=0,0,M1461*D1461),4)</f>
        <v>0</v>
      </c>
      <c r="T1461" s="67">
        <f>ROUND(+IF(K1461=0,Q1461*D1461,0),4)</f>
        <v>0</v>
      </c>
      <c r="U1461" s="67">
        <f>ROUND(+N1461+R1461+S1461+T1461,4)</f>
        <v>0</v>
      </c>
      <c r="V1461" s="67">
        <f>ROUND(IF(P1461=0,0,I1461-H1461-O1461)+IF(L1461=0,0,I1461-H1461-K1461),4)</f>
        <v>0</v>
      </c>
      <c r="W1461" s="67">
        <f>ROUND(+(V1461*60%)*D1461,4)</f>
        <v>0</v>
      </c>
      <c r="X1461" s="148">
        <f>ROUND(+U1461+W1461,4)</f>
        <v>0</v>
      </c>
      <c r="Y1461" s="68"/>
      <c r="Z1461" s="148">
        <f>ROUND(IF(X1461&gt;I1461,X1461,I1461),4)</f>
        <v>0</v>
      </c>
      <c r="AD1461" s="78">
        <f t="shared" si="22"/>
        <v>0</v>
      </c>
      <c r="AE1461" s="78">
        <f t="shared" si="23"/>
        <v>0</v>
      </c>
    </row>
    <row r="1462" spans="1:31" x14ac:dyDescent="0.2">
      <c r="A1462" s="66"/>
      <c r="B1462" s="66"/>
      <c r="C1462" s="66"/>
      <c r="D1462" s="144"/>
      <c r="E1462" s="67"/>
      <c r="F1462" s="67"/>
      <c r="G1462" s="67"/>
      <c r="H1462" s="67">
        <f>ROUND(+E1462+G1462,4)</f>
        <v>0</v>
      </c>
      <c r="I1462" s="67"/>
      <c r="J1462" s="67">
        <f>ROUND(+I1462-H1462,4)</f>
        <v>0</v>
      </c>
      <c r="K1462" s="67">
        <f>ROUND(IF(F1462="alluminio",0,I1462*1.5%),4)</f>
        <v>0</v>
      </c>
      <c r="L1462" s="67">
        <f>ROUND(IF(K1462&lt;J1462,K1462,0),4)</f>
        <v>0</v>
      </c>
      <c r="M1462" s="67">
        <f>ROUND(IF(J1462&gt;K1462,0,J1462),4)</f>
        <v>0</v>
      </c>
      <c r="N1462" s="67">
        <f>ROUND(+L1462*D1462,4)</f>
        <v>0</v>
      </c>
      <c r="O1462" s="67">
        <f>ROUND(IF(F1462="rame",0,+I1462*3%),4)</f>
        <v>0</v>
      </c>
      <c r="P1462" s="67">
        <f>ROUND(IF(O1462&lt;J1462,O1462,0),4)</f>
        <v>0</v>
      </c>
      <c r="Q1462" s="67">
        <f>ROUND(IF(J1462&gt;O1462,0,J1462),4)</f>
        <v>0</v>
      </c>
      <c r="R1462" s="67">
        <f>ROUND(+P1462*D1462,4)</f>
        <v>0</v>
      </c>
      <c r="S1462" s="67">
        <f>ROUND(IF(K1462=0,0,M1462*D1462),4)</f>
        <v>0</v>
      </c>
      <c r="T1462" s="67">
        <f>ROUND(+IF(K1462=0,Q1462*D1462,0),4)</f>
        <v>0</v>
      </c>
      <c r="U1462" s="67">
        <f>ROUND(+N1462+R1462+S1462+T1462,4)</f>
        <v>0</v>
      </c>
      <c r="V1462" s="67">
        <f>ROUND(IF(P1462=0,0,I1462-H1462-O1462)+IF(L1462=0,0,I1462-H1462-K1462),4)</f>
        <v>0</v>
      </c>
      <c r="W1462" s="67">
        <f>ROUND(+(V1462*60%)*D1462,4)</f>
        <v>0</v>
      </c>
      <c r="X1462" s="148">
        <f>ROUND(+U1462+W1462,4)</f>
        <v>0</v>
      </c>
      <c r="Y1462" s="68"/>
      <c r="Z1462" s="148">
        <f>ROUND(IF(X1462&gt;I1462,X1462,I1462),4)</f>
        <v>0</v>
      </c>
      <c r="AD1462" s="78">
        <f t="shared" si="22"/>
        <v>0</v>
      </c>
      <c r="AE1462" s="78">
        <f t="shared" si="23"/>
        <v>0</v>
      </c>
    </row>
    <row r="1463" spans="1:31" x14ac:dyDescent="0.2">
      <c r="A1463" s="66"/>
      <c r="B1463" s="66"/>
      <c r="C1463" s="66"/>
      <c r="D1463" s="144"/>
      <c r="E1463" s="67"/>
      <c r="F1463" s="67"/>
      <c r="G1463" s="67"/>
      <c r="H1463" s="67">
        <f>ROUND(+E1463+G1463,4)</f>
        <v>0</v>
      </c>
      <c r="I1463" s="67"/>
      <c r="J1463" s="67">
        <f>ROUND(+I1463-H1463,4)</f>
        <v>0</v>
      </c>
      <c r="K1463" s="67">
        <f>ROUND(IF(F1463="alluminio",0,I1463*1.5%),4)</f>
        <v>0</v>
      </c>
      <c r="L1463" s="67">
        <f>ROUND(IF(K1463&lt;J1463,K1463,0),4)</f>
        <v>0</v>
      </c>
      <c r="M1463" s="67">
        <f>ROUND(IF(J1463&gt;K1463,0,J1463),4)</f>
        <v>0</v>
      </c>
      <c r="N1463" s="67">
        <f>ROUND(+L1463*D1463,4)</f>
        <v>0</v>
      </c>
      <c r="O1463" s="67">
        <f>ROUND(IF(F1463="rame",0,+I1463*3%),4)</f>
        <v>0</v>
      </c>
      <c r="P1463" s="67">
        <f>ROUND(IF(O1463&lt;J1463,O1463,0),4)</f>
        <v>0</v>
      </c>
      <c r="Q1463" s="67">
        <f>ROUND(IF(J1463&gt;O1463,0,J1463),4)</f>
        <v>0</v>
      </c>
      <c r="R1463" s="67">
        <f>ROUND(+P1463*D1463,4)</f>
        <v>0</v>
      </c>
      <c r="S1463" s="67">
        <f>ROUND(IF(K1463=0,0,M1463*D1463),4)</f>
        <v>0</v>
      </c>
      <c r="T1463" s="67">
        <f>ROUND(+IF(K1463=0,Q1463*D1463,0),4)</f>
        <v>0</v>
      </c>
      <c r="U1463" s="67">
        <f>ROUND(+N1463+R1463+S1463+T1463,4)</f>
        <v>0</v>
      </c>
      <c r="V1463" s="67">
        <f>ROUND(IF(P1463=0,0,I1463-H1463-O1463)+IF(L1463=0,0,I1463-H1463-K1463),4)</f>
        <v>0</v>
      </c>
      <c r="W1463" s="67">
        <f>ROUND(+(V1463*60%)*D1463,4)</f>
        <v>0</v>
      </c>
      <c r="X1463" s="148">
        <f>ROUND(+U1463+W1463,4)</f>
        <v>0</v>
      </c>
      <c r="Y1463" s="68"/>
      <c r="Z1463" s="148">
        <f>ROUND(IF(X1463&gt;I1463,X1463,I1463),4)</f>
        <v>0</v>
      </c>
      <c r="AD1463" s="78">
        <f t="shared" si="22"/>
        <v>0</v>
      </c>
      <c r="AE1463" s="78">
        <f t="shared" si="23"/>
        <v>0</v>
      </c>
    </row>
    <row r="1464" spans="1:31" x14ac:dyDescent="0.2">
      <c r="A1464" s="66"/>
      <c r="B1464" s="66"/>
      <c r="C1464" s="66"/>
      <c r="D1464" s="144"/>
      <c r="E1464" s="67"/>
      <c r="F1464" s="67"/>
      <c r="G1464" s="67"/>
      <c r="H1464" s="67">
        <f>ROUND(+E1464+G1464,4)</f>
        <v>0</v>
      </c>
      <c r="I1464" s="67"/>
      <c r="J1464" s="67">
        <f>ROUND(+I1464-H1464,4)</f>
        <v>0</v>
      </c>
      <c r="K1464" s="67">
        <f>ROUND(IF(F1464="alluminio",0,I1464*1.5%),4)</f>
        <v>0</v>
      </c>
      <c r="L1464" s="67">
        <f>ROUND(IF(K1464&lt;J1464,K1464,0),4)</f>
        <v>0</v>
      </c>
      <c r="M1464" s="67">
        <f>ROUND(IF(J1464&gt;K1464,0,J1464),4)</f>
        <v>0</v>
      </c>
      <c r="N1464" s="67">
        <f>ROUND(+L1464*D1464,4)</f>
        <v>0</v>
      </c>
      <c r="O1464" s="67">
        <f>ROUND(IF(F1464="rame",0,+I1464*3%),4)</f>
        <v>0</v>
      </c>
      <c r="P1464" s="67">
        <f>ROUND(IF(O1464&lt;J1464,O1464,0),4)</f>
        <v>0</v>
      </c>
      <c r="Q1464" s="67">
        <f>ROUND(IF(J1464&gt;O1464,0,J1464),4)</f>
        <v>0</v>
      </c>
      <c r="R1464" s="67">
        <f>ROUND(+P1464*D1464,4)</f>
        <v>0</v>
      </c>
      <c r="S1464" s="67">
        <f>ROUND(IF(K1464=0,0,M1464*D1464),4)</f>
        <v>0</v>
      </c>
      <c r="T1464" s="67">
        <f>ROUND(+IF(K1464=0,Q1464*D1464,0),4)</f>
        <v>0</v>
      </c>
      <c r="U1464" s="67">
        <f>ROUND(+N1464+R1464+S1464+T1464,4)</f>
        <v>0</v>
      </c>
      <c r="V1464" s="67">
        <f>ROUND(IF(P1464=0,0,I1464-H1464-O1464)+IF(L1464=0,0,I1464-H1464-K1464),4)</f>
        <v>0</v>
      </c>
      <c r="W1464" s="67">
        <f>ROUND(+(V1464*60%)*D1464,4)</f>
        <v>0</v>
      </c>
      <c r="X1464" s="148">
        <f>ROUND(+U1464+W1464,4)</f>
        <v>0</v>
      </c>
      <c r="Y1464" s="68"/>
      <c r="Z1464" s="148">
        <f>ROUND(IF(X1464&gt;I1464,X1464,I1464),4)</f>
        <v>0</v>
      </c>
      <c r="AD1464" s="78">
        <f t="shared" si="22"/>
        <v>0</v>
      </c>
      <c r="AE1464" s="78">
        <f t="shared" si="23"/>
        <v>0</v>
      </c>
    </row>
    <row r="1465" spans="1:31" x14ac:dyDescent="0.2">
      <c r="A1465" s="66"/>
      <c r="B1465" s="66"/>
      <c r="C1465" s="66"/>
      <c r="D1465" s="144"/>
      <c r="E1465" s="67"/>
      <c r="F1465" s="67"/>
      <c r="G1465" s="67"/>
      <c r="H1465" s="67">
        <f>ROUND(+E1465+G1465,4)</f>
        <v>0</v>
      </c>
      <c r="I1465" s="67"/>
      <c r="J1465" s="67">
        <f>ROUND(+I1465-H1465,4)</f>
        <v>0</v>
      </c>
      <c r="K1465" s="67">
        <f>ROUND(IF(F1465="alluminio",0,I1465*1.5%),4)</f>
        <v>0</v>
      </c>
      <c r="L1465" s="67">
        <f>ROUND(IF(K1465&lt;J1465,K1465,0),4)</f>
        <v>0</v>
      </c>
      <c r="M1465" s="67">
        <f>ROUND(IF(J1465&gt;K1465,0,J1465),4)</f>
        <v>0</v>
      </c>
      <c r="N1465" s="67">
        <f>ROUND(+L1465*D1465,4)</f>
        <v>0</v>
      </c>
      <c r="O1465" s="67">
        <f>ROUND(IF(F1465="rame",0,+I1465*3%),4)</f>
        <v>0</v>
      </c>
      <c r="P1465" s="67">
        <f>ROUND(IF(O1465&lt;J1465,O1465,0),4)</f>
        <v>0</v>
      </c>
      <c r="Q1465" s="67">
        <f>ROUND(IF(J1465&gt;O1465,0,J1465),4)</f>
        <v>0</v>
      </c>
      <c r="R1465" s="67">
        <f>ROUND(+P1465*D1465,4)</f>
        <v>0</v>
      </c>
      <c r="S1465" s="67">
        <f>ROUND(IF(K1465=0,0,M1465*D1465),4)</f>
        <v>0</v>
      </c>
      <c r="T1465" s="67">
        <f>ROUND(+IF(K1465=0,Q1465*D1465,0),4)</f>
        <v>0</v>
      </c>
      <c r="U1465" s="67">
        <f>ROUND(+N1465+R1465+S1465+T1465,4)</f>
        <v>0</v>
      </c>
      <c r="V1465" s="67">
        <f>ROUND(IF(P1465=0,0,I1465-H1465-O1465)+IF(L1465=0,0,I1465-H1465-K1465),4)</f>
        <v>0</v>
      </c>
      <c r="W1465" s="67">
        <f>ROUND(+(V1465*60%)*D1465,4)</f>
        <v>0</v>
      </c>
      <c r="X1465" s="148">
        <f>ROUND(+U1465+W1465,4)</f>
        <v>0</v>
      </c>
      <c r="Y1465" s="68"/>
      <c r="Z1465" s="148">
        <f>ROUND(IF(X1465&gt;I1465,X1465,I1465),4)</f>
        <v>0</v>
      </c>
      <c r="AD1465" s="78">
        <f t="shared" si="22"/>
        <v>0</v>
      </c>
      <c r="AE1465" s="78">
        <f t="shared" si="23"/>
        <v>0</v>
      </c>
    </row>
    <row r="1466" spans="1:31" x14ac:dyDescent="0.2">
      <c r="A1466" s="66"/>
      <c r="B1466" s="66"/>
      <c r="C1466" s="66"/>
      <c r="D1466" s="144"/>
      <c r="E1466" s="67"/>
      <c r="F1466" s="67"/>
      <c r="G1466" s="67"/>
      <c r="H1466" s="67">
        <f>ROUND(+E1466+G1466,4)</f>
        <v>0</v>
      </c>
      <c r="I1466" s="67"/>
      <c r="J1466" s="67">
        <f>ROUND(+I1466-H1466,4)</f>
        <v>0</v>
      </c>
      <c r="K1466" s="67">
        <f>ROUND(IF(F1466="alluminio",0,I1466*1.5%),4)</f>
        <v>0</v>
      </c>
      <c r="L1466" s="67">
        <f>ROUND(IF(K1466&lt;J1466,K1466,0),4)</f>
        <v>0</v>
      </c>
      <c r="M1466" s="67">
        <f>ROUND(IF(J1466&gt;K1466,0,J1466),4)</f>
        <v>0</v>
      </c>
      <c r="N1466" s="67">
        <f>ROUND(+L1466*D1466,4)</f>
        <v>0</v>
      </c>
      <c r="O1466" s="67">
        <f>ROUND(IF(F1466="rame",0,+I1466*3%),4)</f>
        <v>0</v>
      </c>
      <c r="P1466" s="67">
        <f>ROUND(IF(O1466&lt;J1466,O1466,0),4)</f>
        <v>0</v>
      </c>
      <c r="Q1466" s="67">
        <f>ROUND(IF(J1466&gt;O1466,0,J1466),4)</f>
        <v>0</v>
      </c>
      <c r="R1466" s="67">
        <f>ROUND(+P1466*D1466,4)</f>
        <v>0</v>
      </c>
      <c r="S1466" s="67">
        <f>ROUND(IF(K1466=0,0,M1466*D1466),4)</f>
        <v>0</v>
      </c>
      <c r="T1466" s="67">
        <f>ROUND(+IF(K1466=0,Q1466*D1466,0),4)</f>
        <v>0</v>
      </c>
      <c r="U1466" s="67">
        <f>ROUND(+N1466+R1466+S1466+T1466,4)</f>
        <v>0</v>
      </c>
      <c r="V1466" s="67">
        <f>ROUND(IF(P1466=0,0,I1466-H1466-O1466)+IF(L1466=0,0,I1466-H1466-K1466),4)</f>
        <v>0</v>
      </c>
      <c r="W1466" s="67">
        <f>ROUND(+(V1466*60%)*D1466,4)</f>
        <v>0</v>
      </c>
      <c r="X1466" s="148">
        <f>ROUND(+U1466+W1466,4)</f>
        <v>0</v>
      </c>
      <c r="Y1466" s="68"/>
      <c r="Z1466" s="148">
        <f>ROUND(IF(X1466&gt;I1466,X1466,I1466),4)</f>
        <v>0</v>
      </c>
      <c r="AD1466" s="78">
        <f t="shared" si="22"/>
        <v>0</v>
      </c>
      <c r="AE1466" s="78">
        <f t="shared" si="23"/>
        <v>0</v>
      </c>
    </row>
    <row r="1467" spans="1:31" x14ac:dyDescent="0.2">
      <c r="A1467" s="66"/>
      <c r="B1467" s="66"/>
      <c r="C1467" s="66"/>
      <c r="D1467" s="144"/>
      <c r="E1467" s="67"/>
      <c r="F1467" s="67"/>
      <c r="G1467" s="67"/>
      <c r="H1467" s="67">
        <f>ROUND(+E1467+G1467,4)</f>
        <v>0</v>
      </c>
      <c r="I1467" s="67"/>
      <c r="J1467" s="67">
        <f>ROUND(+I1467-H1467,4)</f>
        <v>0</v>
      </c>
      <c r="K1467" s="67">
        <f>ROUND(IF(F1467="alluminio",0,I1467*1.5%),4)</f>
        <v>0</v>
      </c>
      <c r="L1467" s="67">
        <f>ROUND(IF(K1467&lt;J1467,K1467,0),4)</f>
        <v>0</v>
      </c>
      <c r="M1467" s="67">
        <f>ROUND(IF(J1467&gt;K1467,0,J1467),4)</f>
        <v>0</v>
      </c>
      <c r="N1467" s="67">
        <f>ROUND(+L1467*D1467,4)</f>
        <v>0</v>
      </c>
      <c r="O1467" s="67">
        <f>ROUND(IF(F1467="rame",0,+I1467*3%),4)</f>
        <v>0</v>
      </c>
      <c r="P1467" s="67">
        <f>ROUND(IF(O1467&lt;J1467,O1467,0),4)</f>
        <v>0</v>
      </c>
      <c r="Q1467" s="67">
        <f>ROUND(IF(J1467&gt;O1467,0,J1467),4)</f>
        <v>0</v>
      </c>
      <c r="R1467" s="67">
        <f>ROUND(+P1467*D1467,4)</f>
        <v>0</v>
      </c>
      <c r="S1467" s="67">
        <f>ROUND(IF(K1467=0,0,M1467*D1467),4)</f>
        <v>0</v>
      </c>
      <c r="T1467" s="67">
        <f>ROUND(+IF(K1467=0,Q1467*D1467,0),4)</f>
        <v>0</v>
      </c>
      <c r="U1467" s="67">
        <f>ROUND(+N1467+R1467+S1467+T1467,4)</f>
        <v>0</v>
      </c>
      <c r="V1467" s="67">
        <f>ROUND(IF(P1467=0,0,I1467-H1467-O1467)+IF(L1467=0,0,I1467-H1467-K1467),4)</f>
        <v>0</v>
      </c>
      <c r="W1467" s="67">
        <f>ROUND(+(V1467*60%)*D1467,4)</f>
        <v>0</v>
      </c>
      <c r="X1467" s="148">
        <f>ROUND(+U1467+W1467,4)</f>
        <v>0</v>
      </c>
      <c r="Y1467" s="68"/>
      <c r="Z1467" s="148">
        <f>ROUND(IF(X1467&gt;I1467,X1467,I1467),4)</f>
        <v>0</v>
      </c>
      <c r="AD1467" s="78">
        <f t="shared" si="22"/>
        <v>0</v>
      </c>
      <c r="AE1467" s="78">
        <f t="shared" si="23"/>
        <v>0</v>
      </c>
    </row>
    <row r="1468" spans="1:31" x14ac:dyDescent="0.2">
      <c r="A1468" s="66"/>
      <c r="B1468" s="66"/>
      <c r="C1468" s="66"/>
      <c r="D1468" s="144"/>
      <c r="E1468" s="67"/>
      <c r="F1468" s="67"/>
      <c r="G1468" s="67"/>
      <c r="H1468" s="67">
        <f>ROUND(+E1468+G1468,4)</f>
        <v>0</v>
      </c>
      <c r="I1468" s="67"/>
      <c r="J1468" s="67">
        <f>ROUND(+I1468-H1468,4)</f>
        <v>0</v>
      </c>
      <c r="K1468" s="67">
        <f>ROUND(IF(F1468="alluminio",0,I1468*1.5%),4)</f>
        <v>0</v>
      </c>
      <c r="L1468" s="67">
        <f>ROUND(IF(K1468&lt;J1468,K1468,0),4)</f>
        <v>0</v>
      </c>
      <c r="M1468" s="67">
        <f>ROUND(IF(J1468&gt;K1468,0,J1468),4)</f>
        <v>0</v>
      </c>
      <c r="N1468" s="67">
        <f>ROUND(+L1468*D1468,4)</f>
        <v>0</v>
      </c>
      <c r="O1468" s="67">
        <f>ROUND(IF(F1468="rame",0,+I1468*3%),4)</f>
        <v>0</v>
      </c>
      <c r="P1468" s="67">
        <f>ROUND(IF(O1468&lt;J1468,O1468,0),4)</f>
        <v>0</v>
      </c>
      <c r="Q1468" s="67">
        <f>ROUND(IF(J1468&gt;O1468,0,J1468),4)</f>
        <v>0</v>
      </c>
      <c r="R1468" s="67">
        <f>ROUND(+P1468*D1468,4)</f>
        <v>0</v>
      </c>
      <c r="S1468" s="67">
        <f>ROUND(IF(K1468=0,0,M1468*D1468),4)</f>
        <v>0</v>
      </c>
      <c r="T1468" s="67">
        <f>ROUND(+IF(K1468=0,Q1468*D1468,0),4)</f>
        <v>0</v>
      </c>
      <c r="U1468" s="67">
        <f>ROUND(+N1468+R1468+S1468+T1468,4)</f>
        <v>0</v>
      </c>
      <c r="V1468" s="67">
        <f>ROUND(IF(P1468=0,0,I1468-H1468-O1468)+IF(L1468=0,0,I1468-H1468-K1468),4)</f>
        <v>0</v>
      </c>
      <c r="W1468" s="67">
        <f>ROUND(+(V1468*60%)*D1468,4)</f>
        <v>0</v>
      </c>
      <c r="X1468" s="148">
        <f>ROUND(+U1468+W1468,4)</f>
        <v>0</v>
      </c>
      <c r="Y1468" s="68"/>
      <c r="Z1468" s="148">
        <f>ROUND(IF(X1468&gt;I1468,X1468,I1468),4)</f>
        <v>0</v>
      </c>
      <c r="AD1468" s="78">
        <f t="shared" si="22"/>
        <v>0</v>
      </c>
      <c r="AE1468" s="78">
        <f t="shared" si="23"/>
        <v>0</v>
      </c>
    </row>
    <row r="1469" spans="1:31" x14ac:dyDescent="0.2">
      <c r="A1469" s="66"/>
      <c r="B1469" s="66"/>
      <c r="C1469" s="66"/>
      <c r="D1469" s="144"/>
      <c r="E1469" s="67"/>
      <c r="F1469" s="67"/>
      <c r="G1469" s="67"/>
      <c r="H1469" s="67">
        <f>ROUND(+E1469+G1469,4)</f>
        <v>0</v>
      </c>
      <c r="I1469" s="67"/>
      <c r="J1469" s="67">
        <f>ROUND(+I1469-H1469,4)</f>
        <v>0</v>
      </c>
      <c r="K1469" s="67">
        <f>ROUND(IF(F1469="alluminio",0,I1469*1.5%),4)</f>
        <v>0</v>
      </c>
      <c r="L1469" s="67">
        <f>ROUND(IF(K1469&lt;J1469,K1469,0),4)</f>
        <v>0</v>
      </c>
      <c r="M1469" s="67">
        <f>ROUND(IF(J1469&gt;K1469,0,J1469),4)</f>
        <v>0</v>
      </c>
      <c r="N1469" s="67">
        <f>ROUND(+L1469*D1469,4)</f>
        <v>0</v>
      </c>
      <c r="O1469" s="67">
        <f>ROUND(IF(F1469="rame",0,+I1469*3%),4)</f>
        <v>0</v>
      </c>
      <c r="P1469" s="67">
        <f>ROUND(IF(O1469&lt;J1469,O1469,0),4)</f>
        <v>0</v>
      </c>
      <c r="Q1469" s="67">
        <f>ROUND(IF(J1469&gt;O1469,0,J1469),4)</f>
        <v>0</v>
      </c>
      <c r="R1469" s="67">
        <f>ROUND(+P1469*D1469,4)</f>
        <v>0</v>
      </c>
      <c r="S1469" s="67">
        <f>ROUND(IF(K1469=0,0,M1469*D1469),4)</f>
        <v>0</v>
      </c>
      <c r="T1469" s="67">
        <f>ROUND(+IF(K1469=0,Q1469*D1469,0),4)</f>
        <v>0</v>
      </c>
      <c r="U1469" s="67">
        <f>ROUND(+N1469+R1469+S1469+T1469,4)</f>
        <v>0</v>
      </c>
      <c r="V1469" s="67">
        <f>ROUND(IF(P1469=0,0,I1469-H1469-O1469)+IF(L1469=0,0,I1469-H1469-K1469),4)</f>
        <v>0</v>
      </c>
      <c r="W1469" s="67">
        <f>ROUND(+(V1469*60%)*D1469,4)</f>
        <v>0</v>
      </c>
      <c r="X1469" s="148">
        <f>ROUND(+U1469+W1469,4)</f>
        <v>0</v>
      </c>
      <c r="Y1469" s="68"/>
      <c r="Z1469" s="148">
        <f>ROUND(IF(X1469&gt;I1469,X1469,I1469),4)</f>
        <v>0</v>
      </c>
      <c r="AD1469" s="78">
        <f t="shared" si="22"/>
        <v>0</v>
      </c>
      <c r="AE1469" s="78">
        <f t="shared" si="23"/>
        <v>0</v>
      </c>
    </row>
    <row r="1470" spans="1:31" x14ac:dyDescent="0.2">
      <c r="A1470" s="66"/>
      <c r="B1470" s="66"/>
      <c r="C1470" s="66"/>
      <c r="D1470" s="144"/>
      <c r="E1470" s="67"/>
      <c r="F1470" s="67"/>
      <c r="G1470" s="67"/>
      <c r="H1470" s="67">
        <f>ROUND(+E1470+G1470,4)</f>
        <v>0</v>
      </c>
      <c r="I1470" s="67"/>
      <c r="J1470" s="67">
        <f>ROUND(+I1470-H1470,4)</f>
        <v>0</v>
      </c>
      <c r="K1470" s="67">
        <f>ROUND(IF(F1470="alluminio",0,I1470*1.5%),4)</f>
        <v>0</v>
      </c>
      <c r="L1470" s="67">
        <f>ROUND(IF(K1470&lt;J1470,K1470,0),4)</f>
        <v>0</v>
      </c>
      <c r="M1470" s="67">
        <f>ROUND(IF(J1470&gt;K1470,0,J1470),4)</f>
        <v>0</v>
      </c>
      <c r="N1470" s="67">
        <f>ROUND(+L1470*D1470,4)</f>
        <v>0</v>
      </c>
      <c r="O1470" s="67">
        <f>ROUND(IF(F1470="rame",0,+I1470*3%),4)</f>
        <v>0</v>
      </c>
      <c r="P1470" s="67">
        <f>ROUND(IF(O1470&lt;J1470,O1470,0),4)</f>
        <v>0</v>
      </c>
      <c r="Q1470" s="67">
        <f>ROUND(IF(J1470&gt;O1470,0,J1470),4)</f>
        <v>0</v>
      </c>
      <c r="R1470" s="67">
        <f>ROUND(+P1470*D1470,4)</f>
        <v>0</v>
      </c>
      <c r="S1470" s="67">
        <f>ROUND(IF(K1470=0,0,M1470*D1470),4)</f>
        <v>0</v>
      </c>
      <c r="T1470" s="67">
        <f>ROUND(+IF(K1470=0,Q1470*D1470,0),4)</f>
        <v>0</v>
      </c>
      <c r="U1470" s="67">
        <f>ROUND(+N1470+R1470+S1470+T1470,4)</f>
        <v>0</v>
      </c>
      <c r="V1470" s="67">
        <f>ROUND(IF(P1470=0,0,I1470-H1470-O1470)+IF(L1470=0,0,I1470-H1470-K1470),4)</f>
        <v>0</v>
      </c>
      <c r="W1470" s="67">
        <f>ROUND(+(V1470*60%)*D1470,4)</f>
        <v>0</v>
      </c>
      <c r="X1470" s="148">
        <f>ROUND(+U1470+W1470,4)</f>
        <v>0</v>
      </c>
      <c r="Y1470" s="68"/>
      <c r="Z1470" s="148">
        <f>ROUND(IF(X1470&gt;I1470,X1470,I1470),4)</f>
        <v>0</v>
      </c>
      <c r="AD1470" s="78">
        <f t="shared" ref="AD1470:AD1533" si="24">IF(Y1470="",0,MONTH(Y1470))</f>
        <v>0</v>
      </c>
      <c r="AE1470" s="78">
        <f t="shared" ref="AE1470:AE1533" si="25">IF(Y1470="",0,YEAR(Y1470))</f>
        <v>0</v>
      </c>
    </row>
    <row r="1471" spans="1:31" x14ac:dyDescent="0.2">
      <c r="A1471" s="66"/>
      <c r="B1471" s="66"/>
      <c r="C1471" s="66"/>
      <c r="D1471" s="144"/>
      <c r="E1471" s="67"/>
      <c r="F1471" s="67"/>
      <c r="G1471" s="67"/>
      <c r="H1471" s="67">
        <f>ROUND(+E1471+G1471,4)</f>
        <v>0</v>
      </c>
      <c r="I1471" s="67"/>
      <c r="J1471" s="67">
        <f>ROUND(+I1471-H1471,4)</f>
        <v>0</v>
      </c>
      <c r="K1471" s="67">
        <f>ROUND(IF(F1471="alluminio",0,I1471*1.5%),4)</f>
        <v>0</v>
      </c>
      <c r="L1471" s="67">
        <f>ROUND(IF(K1471&lt;J1471,K1471,0),4)</f>
        <v>0</v>
      </c>
      <c r="M1471" s="67">
        <f>ROUND(IF(J1471&gt;K1471,0,J1471),4)</f>
        <v>0</v>
      </c>
      <c r="N1471" s="67">
        <f>ROUND(+L1471*D1471,4)</f>
        <v>0</v>
      </c>
      <c r="O1471" s="67">
        <f>ROUND(IF(F1471="rame",0,+I1471*3%),4)</f>
        <v>0</v>
      </c>
      <c r="P1471" s="67">
        <f>ROUND(IF(O1471&lt;J1471,O1471,0),4)</f>
        <v>0</v>
      </c>
      <c r="Q1471" s="67">
        <f>ROUND(IF(J1471&gt;O1471,0,J1471),4)</f>
        <v>0</v>
      </c>
      <c r="R1471" s="67">
        <f>ROUND(+P1471*D1471,4)</f>
        <v>0</v>
      </c>
      <c r="S1471" s="67">
        <f>ROUND(IF(K1471=0,0,M1471*D1471),4)</f>
        <v>0</v>
      </c>
      <c r="T1471" s="67">
        <f>ROUND(+IF(K1471=0,Q1471*D1471,0),4)</f>
        <v>0</v>
      </c>
      <c r="U1471" s="67">
        <f>ROUND(+N1471+R1471+S1471+T1471,4)</f>
        <v>0</v>
      </c>
      <c r="V1471" s="67">
        <f>ROUND(IF(P1471=0,0,I1471-H1471-O1471)+IF(L1471=0,0,I1471-H1471-K1471),4)</f>
        <v>0</v>
      </c>
      <c r="W1471" s="67">
        <f>ROUND(+(V1471*60%)*D1471,4)</f>
        <v>0</v>
      </c>
      <c r="X1471" s="148">
        <f>ROUND(+U1471+W1471,4)</f>
        <v>0</v>
      </c>
      <c r="Y1471" s="68"/>
      <c r="Z1471" s="148">
        <f>ROUND(IF(X1471&gt;I1471,X1471,I1471),4)</f>
        <v>0</v>
      </c>
      <c r="AD1471" s="78">
        <f t="shared" si="24"/>
        <v>0</v>
      </c>
      <c r="AE1471" s="78">
        <f t="shared" si="25"/>
        <v>0</v>
      </c>
    </row>
    <row r="1472" spans="1:31" x14ac:dyDescent="0.2">
      <c r="A1472" s="66"/>
      <c r="B1472" s="66"/>
      <c r="C1472" s="66"/>
      <c r="D1472" s="144"/>
      <c r="E1472" s="67"/>
      <c r="F1472" s="67"/>
      <c r="G1472" s="67"/>
      <c r="H1472" s="67">
        <f>ROUND(+E1472+G1472,4)</f>
        <v>0</v>
      </c>
      <c r="I1472" s="67"/>
      <c r="J1472" s="67">
        <f>ROUND(+I1472-H1472,4)</f>
        <v>0</v>
      </c>
      <c r="K1472" s="67">
        <f>ROUND(IF(F1472="alluminio",0,I1472*1.5%),4)</f>
        <v>0</v>
      </c>
      <c r="L1472" s="67">
        <f>ROUND(IF(K1472&lt;J1472,K1472,0),4)</f>
        <v>0</v>
      </c>
      <c r="M1472" s="67">
        <f>ROUND(IF(J1472&gt;K1472,0,J1472),4)</f>
        <v>0</v>
      </c>
      <c r="N1472" s="67">
        <f>ROUND(+L1472*D1472,4)</f>
        <v>0</v>
      </c>
      <c r="O1472" s="67">
        <f>ROUND(IF(F1472="rame",0,+I1472*3%),4)</f>
        <v>0</v>
      </c>
      <c r="P1472" s="67">
        <f>ROUND(IF(O1472&lt;J1472,O1472,0),4)</f>
        <v>0</v>
      </c>
      <c r="Q1472" s="67">
        <f>ROUND(IF(J1472&gt;O1472,0,J1472),4)</f>
        <v>0</v>
      </c>
      <c r="R1472" s="67">
        <f>ROUND(+P1472*D1472,4)</f>
        <v>0</v>
      </c>
      <c r="S1472" s="67">
        <f>ROUND(IF(K1472=0,0,M1472*D1472),4)</f>
        <v>0</v>
      </c>
      <c r="T1472" s="67">
        <f>ROUND(+IF(K1472=0,Q1472*D1472,0),4)</f>
        <v>0</v>
      </c>
      <c r="U1472" s="67">
        <f>ROUND(+N1472+R1472+S1472+T1472,4)</f>
        <v>0</v>
      </c>
      <c r="V1472" s="67">
        <f>ROUND(IF(P1472=0,0,I1472-H1472-O1472)+IF(L1472=0,0,I1472-H1472-K1472),4)</f>
        <v>0</v>
      </c>
      <c r="W1472" s="67">
        <f>ROUND(+(V1472*60%)*D1472,4)</f>
        <v>0</v>
      </c>
      <c r="X1472" s="148">
        <f>ROUND(+U1472+W1472,4)</f>
        <v>0</v>
      </c>
      <c r="Y1472" s="68"/>
      <c r="Z1472" s="148">
        <f>ROUND(IF(X1472&gt;I1472,X1472,I1472),4)</f>
        <v>0</v>
      </c>
      <c r="AD1472" s="78">
        <f t="shared" si="24"/>
        <v>0</v>
      </c>
      <c r="AE1472" s="78">
        <f t="shared" si="25"/>
        <v>0</v>
      </c>
    </row>
    <row r="1473" spans="1:31" x14ac:dyDescent="0.2">
      <c r="A1473" s="66"/>
      <c r="B1473" s="66"/>
      <c r="C1473" s="66"/>
      <c r="D1473" s="144"/>
      <c r="E1473" s="67"/>
      <c r="F1473" s="67"/>
      <c r="G1473" s="67"/>
      <c r="H1473" s="67">
        <f>ROUND(+E1473+G1473,4)</f>
        <v>0</v>
      </c>
      <c r="I1473" s="67"/>
      <c r="J1473" s="67">
        <f>ROUND(+I1473-H1473,4)</f>
        <v>0</v>
      </c>
      <c r="K1473" s="67">
        <f>ROUND(IF(F1473="alluminio",0,I1473*1.5%),4)</f>
        <v>0</v>
      </c>
      <c r="L1473" s="67">
        <f>ROUND(IF(K1473&lt;J1473,K1473,0),4)</f>
        <v>0</v>
      </c>
      <c r="M1473" s="67">
        <f>ROUND(IF(J1473&gt;K1473,0,J1473),4)</f>
        <v>0</v>
      </c>
      <c r="N1473" s="67">
        <f>ROUND(+L1473*D1473,4)</f>
        <v>0</v>
      </c>
      <c r="O1473" s="67">
        <f>ROUND(IF(F1473="rame",0,+I1473*3%),4)</f>
        <v>0</v>
      </c>
      <c r="P1473" s="67">
        <f>ROUND(IF(O1473&lt;J1473,O1473,0),4)</f>
        <v>0</v>
      </c>
      <c r="Q1473" s="67">
        <f>ROUND(IF(J1473&gt;O1473,0,J1473),4)</f>
        <v>0</v>
      </c>
      <c r="R1473" s="67">
        <f>ROUND(+P1473*D1473,4)</f>
        <v>0</v>
      </c>
      <c r="S1473" s="67">
        <f>ROUND(IF(K1473=0,0,M1473*D1473),4)</f>
        <v>0</v>
      </c>
      <c r="T1473" s="67">
        <f>ROUND(+IF(K1473=0,Q1473*D1473,0),4)</f>
        <v>0</v>
      </c>
      <c r="U1473" s="67">
        <f>ROUND(+N1473+R1473+S1473+T1473,4)</f>
        <v>0</v>
      </c>
      <c r="V1473" s="67">
        <f>ROUND(IF(P1473=0,0,I1473-H1473-O1473)+IF(L1473=0,0,I1473-H1473-K1473),4)</f>
        <v>0</v>
      </c>
      <c r="W1473" s="67">
        <f>ROUND(+(V1473*60%)*D1473,4)</f>
        <v>0</v>
      </c>
      <c r="X1473" s="148">
        <f>ROUND(+U1473+W1473,4)</f>
        <v>0</v>
      </c>
      <c r="Y1473" s="68"/>
      <c r="Z1473" s="148">
        <f>ROUND(IF(X1473&gt;I1473,X1473,I1473),4)</f>
        <v>0</v>
      </c>
      <c r="AD1473" s="78">
        <f t="shared" si="24"/>
        <v>0</v>
      </c>
      <c r="AE1473" s="78">
        <f t="shared" si="25"/>
        <v>0</v>
      </c>
    </row>
    <row r="1474" spans="1:31" x14ac:dyDescent="0.2">
      <c r="A1474" s="66"/>
      <c r="B1474" s="66"/>
      <c r="C1474" s="66"/>
      <c r="D1474" s="144"/>
      <c r="E1474" s="67"/>
      <c r="F1474" s="67"/>
      <c r="G1474" s="67"/>
      <c r="H1474" s="67">
        <f>ROUND(+E1474+G1474,4)</f>
        <v>0</v>
      </c>
      <c r="I1474" s="67"/>
      <c r="J1474" s="67">
        <f>ROUND(+I1474-H1474,4)</f>
        <v>0</v>
      </c>
      <c r="K1474" s="67">
        <f>ROUND(IF(F1474="alluminio",0,I1474*1.5%),4)</f>
        <v>0</v>
      </c>
      <c r="L1474" s="67">
        <f>ROUND(IF(K1474&lt;J1474,K1474,0),4)</f>
        <v>0</v>
      </c>
      <c r="M1474" s="67">
        <f>ROUND(IF(J1474&gt;K1474,0,J1474),4)</f>
        <v>0</v>
      </c>
      <c r="N1474" s="67">
        <f>ROUND(+L1474*D1474,4)</f>
        <v>0</v>
      </c>
      <c r="O1474" s="67">
        <f>ROUND(IF(F1474="rame",0,+I1474*3%),4)</f>
        <v>0</v>
      </c>
      <c r="P1474" s="67">
        <f>ROUND(IF(O1474&lt;J1474,O1474,0),4)</f>
        <v>0</v>
      </c>
      <c r="Q1474" s="67">
        <f>ROUND(IF(J1474&gt;O1474,0,J1474),4)</f>
        <v>0</v>
      </c>
      <c r="R1474" s="67">
        <f>ROUND(+P1474*D1474,4)</f>
        <v>0</v>
      </c>
      <c r="S1474" s="67">
        <f>ROUND(IF(K1474=0,0,M1474*D1474),4)</f>
        <v>0</v>
      </c>
      <c r="T1474" s="67">
        <f>ROUND(+IF(K1474=0,Q1474*D1474,0),4)</f>
        <v>0</v>
      </c>
      <c r="U1474" s="67">
        <f>ROUND(+N1474+R1474+S1474+T1474,4)</f>
        <v>0</v>
      </c>
      <c r="V1474" s="67">
        <f>ROUND(IF(P1474=0,0,I1474-H1474-O1474)+IF(L1474=0,0,I1474-H1474-K1474),4)</f>
        <v>0</v>
      </c>
      <c r="W1474" s="67">
        <f>ROUND(+(V1474*60%)*D1474,4)</f>
        <v>0</v>
      </c>
      <c r="X1474" s="148">
        <f>ROUND(+U1474+W1474,4)</f>
        <v>0</v>
      </c>
      <c r="Y1474" s="68"/>
      <c r="Z1474" s="148">
        <f>ROUND(IF(X1474&gt;I1474,X1474,I1474),4)</f>
        <v>0</v>
      </c>
      <c r="AD1474" s="78">
        <f t="shared" si="24"/>
        <v>0</v>
      </c>
      <c r="AE1474" s="78">
        <f t="shared" si="25"/>
        <v>0</v>
      </c>
    </row>
    <row r="1475" spans="1:31" x14ac:dyDescent="0.2">
      <c r="A1475" s="66"/>
      <c r="B1475" s="66"/>
      <c r="C1475" s="66"/>
      <c r="D1475" s="144"/>
      <c r="E1475" s="67"/>
      <c r="F1475" s="67"/>
      <c r="G1475" s="67"/>
      <c r="H1475" s="67">
        <f>ROUND(+E1475+G1475,4)</f>
        <v>0</v>
      </c>
      <c r="I1475" s="67"/>
      <c r="J1475" s="67">
        <f>ROUND(+I1475-H1475,4)</f>
        <v>0</v>
      </c>
      <c r="K1475" s="67">
        <f>ROUND(IF(F1475="alluminio",0,I1475*1.5%),4)</f>
        <v>0</v>
      </c>
      <c r="L1475" s="67">
        <f>ROUND(IF(K1475&lt;J1475,K1475,0),4)</f>
        <v>0</v>
      </c>
      <c r="M1475" s="67">
        <f>ROUND(IF(J1475&gt;K1475,0,J1475),4)</f>
        <v>0</v>
      </c>
      <c r="N1475" s="67">
        <f>ROUND(+L1475*D1475,4)</f>
        <v>0</v>
      </c>
      <c r="O1475" s="67">
        <f>ROUND(IF(F1475="rame",0,+I1475*3%),4)</f>
        <v>0</v>
      </c>
      <c r="P1475" s="67">
        <f>ROUND(IF(O1475&lt;J1475,O1475,0),4)</f>
        <v>0</v>
      </c>
      <c r="Q1475" s="67">
        <f>ROUND(IF(J1475&gt;O1475,0,J1475),4)</f>
        <v>0</v>
      </c>
      <c r="R1475" s="67">
        <f>ROUND(+P1475*D1475,4)</f>
        <v>0</v>
      </c>
      <c r="S1475" s="67">
        <f>ROUND(IF(K1475=0,0,M1475*D1475),4)</f>
        <v>0</v>
      </c>
      <c r="T1475" s="67">
        <f>ROUND(+IF(K1475=0,Q1475*D1475,0),4)</f>
        <v>0</v>
      </c>
      <c r="U1475" s="67">
        <f>ROUND(+N1475+R1475+S1475+T1475,4)</f>
        <v>0</v>
      </c>
      <c r="V1475" s="67">
        <f>ROUND(IF(P1475=0,0,I1475-H1475-O1475)+IF(L1475=0,0,I1475-H1475-K1475),4)</f>
        <v>0</v>
      </c>
      <c r="W1475" s="67">
        <f>ROUND(+(V1475*60%)*D1475,4)</f>
        <v>0</v>
      </c>
      <c r="X1475" s="148">
        <f>ROUND(+U1475+W1475,4)</f>
        <v>0</v>
      </c>
      <c r="Y1475" s="68"/>
      <c r="Z1475" s="148">
        <f>ROUND(IF(X1475&gt;I1475,X1475,I1475),4)</f>
        <v>0</v>
      </c>
      <c r="AD1475" s="78">
        <f t="shared" si="24"/>
        <v>0</v>
      </c>
      <c r="AE1475" s="78">
        <f t="shared" si="25"/>
        <v>0</v>
      </c>
    </row>
    <row r="1476" spans="1:31" x14ac:dyDescent="0.2">
      <c r="A1476" s="66"/>
      <c r="B1476" s="66"/>
      <c r="C1476" s="66"/>
      <c r="D1476" s="144"/>
      <c r="E1476" s="67"/>
      <c r="F1476" s="67"/>
      <c r="G1476" s="67"/>
      <c r="H1476" s="67">
        <f>ROUND(+E1476+G1476,4)</f>
        <v>0</v>
      </c>
      <c r="I1476" s="67"/>
      <c r="J1476" s="67">
        <f>ROUND(+I1476-H1476,4)</f>
        <v>0</v>
      </c>
      <c r="K1476" s="67">
        <f>ROUND(IF(F1476="alluminio",0,I1476*1.5%),4)</f>
        <v>0</v>
      </c>
      <c r="L1476" s="67">
        <f>ROUND(IF(K1476&lt;J1476,K1476,0),4)</f>
        <v>0</v>
      </c>
      <c r="M1476" s="67">
        <f>ROUND(IF(J1476&gt;K1476,0,J1476),4)</f>
        <v>0</v>
      </c>
      <c r="N1476" s="67">
        <f>ROUND(+L1476*D1476,4)</f>
        <v>0</v>
      </c>
      <c r="O1476" s="67">
        <f>ROUND(IF(F1476="rame",0,+I1476*3%),4)</f>
        <v>0</v>
      </c>
      <c r="P1476" s="67">
        <f>ROUND(IF(O1476&lt;J1476,O1476,0),4)</f>
        <v>0</v>
      </c>
      <c r="Q1476" s="67">
        <f>ROUND(IF(J1476&gt;O1476,0,J1476),4)</f>
        <v>0</v>
      </c>
      <c r="R1476" s="67">
        <f>ROUND(+P1476*D1476,4)</f>
        <v>0</v>
      </c>
      <c r="S1476" s="67">
        <f>ROUND(IF(K1476=0,0,M1476*D1476),4)</f>
        <v>0</v>
      </c>
      <c r="T1476" s="67">
        <f>ROUND(+IF(K1476=0,Q1476*D1476,0),4)</f>
        <v>0</v>
      </c>
      <c r="U1476" s="67">
        <f>ROUND(+N1476+R1476+S1476+T1476,4)</f>
        <v>0</v>
      </c>
      <c r="V1476" s="67">
        <f>ROUND(IF(P1476=0,0,I1476-H1476-O1476)+IF(L1476=0,0,I1476-H1476-K1476),4)</f>
        <v>0</v>
      </c>
      <c r="W1476" s="67">
        <f>ROUND(+(V1476*60%)*D1476,4)</f>
        <v>0</v>
      </c>
      <c r="X1476" s="148">
        <f>ROUND(+U1476+W1476,4)</f>
        <v>0</v>
      </c>
      <c r="Y1476" s="68"/>
      <c r="Z1476" s="148">
        <f>ROUND(IF(X1476&gt;I1476,X1476,I1476),4)</f>
        <v>0</v>
      </c>
      <c r="AD1476" s="78">
        <f t="shared" si="24"/>
        <v>0</v>
      </c>
      <c r="AE1476" s="78">
        <f t="shared" si="25"/>
        <v>0</v>
      </c>
    </row>
    <row r="1477" spans="1:31" x14ac:dyDescent="0.2">
      <c r="A1477" s="66"/>
      <c r="B1477" s="66"/>
      <c r="C1477" s="66"/>
      <c r="D1477" s="144"/>
      <c r="E1477" s="67"/>
      <c r="F1477" s="67"/>
      <c r="G1477" s="67"/>
      <c r="H1477" s="67">
        <f>ROUND(+E1477+G1477,4)</f>
        <v>0</v>
      </c>
      <c r="I1477" s="67"/>
      <c r="J1477" s="67">
        <f>ROUND(+I1477-H1477,4)</f>
        <v>0</v>
      </c>
      <c r="K1477" s="67">
        <f>ROUND(IF(F1477="alluminio",0,I1477*1.5%),4)</f>
        <v>0</v>
      </c>
      <c r="L1477" s="67">
        <f>ROUND(IF(K1477&lt;J1477,K1477,0),4)</f>
        <v>0</v>
      </c>
      <c r="M1477" s="67">
        <f>ROUND(IF(J1477&gt;K1477,0,J1477),4)</f>
        <v>0</v>
      </c>
      <c r="N1477" s="67">
        <f>ROUND(+L1477*D1477,4)</f>
        <v>0</v>
      </c>
      <c r="O1477" s="67">
        <f>ROUND(IF(F1477="rame",0,+I1477*3%),4)</f>
        <v>0</v>
      </c>
      <c r="P1477" s="67">
        <f>ROUND(IF(O1477&lt;J1477,O1477,0),4)</f>
        <v>0</v>
      </c>
      <c r="Q1477" s="67">
        <f>ROUND(IF(J1477&gt;O1477,0,J1477),4)</f>
        <v>0</v>
      </c>
      <c r="R1477" s="67">
        <f>ROUND(+P1477*D1477,4)</f>
        <v>0</v>
      </c>
      <c r="S1477" s="67">
        <f>ROUND(IF(K1477=0,0,M1477*D1477),4)</f>
        <v>0</v>
      </c>
      <c r="T1477" s="67">
        <f>ROUND(+IF(K1477=0,Q1477*D1477,0),4)</f>
        <v>0</v>
      </c>
      <c r="U1477" s="67">
        <f>ROUND(+N1477+R1477+S1477+T1477,4)</f>
        <v>0</v>
      </c>
      <c r="V1477" s="67">
        <f>ROUND(IF(P1477=0,0,I1477-H1477-O1477)+IF(L1477=0,0,I1477-H1477-K1477),4)</f>
        <v>0</v>
      </c>
      <c r="W1477" s="67">
        <f>ROUND(+(V1477*60%)*D1477,4)</f>
        <v>0</v>
      </c>
      <c r="X1477" s="148">
        <f>ROUND(+U1477+W1477,4)</f>
        <v>0</v>
      </c>
      <c r="Y1477" s="68"/>
      <c r="Z1477" s="148">
        <f>ROUND(IF(X1477&gt;I1477,X1477,I1477),4)</f>
        <v>0</v>
      </c>
      <c r="AD1477" s="78">
        <f t="shared" si="24"/>
        <v>0</v>
      </c>
      <c r="AE1477" s="78">
        <f t="shared" si="25"/>
        <v>0</v>
      </c>
    </row>
    <row r="1478" spans="1:31" x14ac:dyDescent="0.2">
      <c r="A1478" s="66"/>
      <c r="B1478" s="66"/>
      <c r="C1478" s="66"/>
      <c r="D1478" s="144"/>
      <c r="E1478" s="67"/>
      <c r="F1478" s="67"/>
      <c r="G1478" s="67"/>
      <c r="H1478" s="67">
        <f>ROUND(+E1478+G1478,4)</f>
        <v>0</v>
      </c>
      <c r="I1478" s="67"/>
      <c r="J1478" s="67">
        <f>ROUND(+I1478-H1478,4)</f>
        <v>0</v>
      </c>
      <c r="K1478" s="67">
        <f>ROUND(IF(F1478="alluminio",0,I1478*1.5%),4)</f>
        <v>0</v>
      </c>
      <c r="L1478" s="67">
        <f>ROUND(IF(K1478&lt;J1478,K1478,0),4)</f>
        <v>0</v>
      </c>
      <c r="M1478" s="67">
        <f>ROUND(IF(J1478&gt;K1478,0,J1478),4)</f>
        <v>0</v>
      </c>
      <c r="N1478" s="67">
        <f>ROUND(+L1478*D1478,4)</f>
        <v>0</v>
      </c>
      <c r="O1478" s="67">
        <f>ROUND(IF(F1478="rame",0,+I1478*3%),4)</f>
        <v>0</v>
      </c>
      <c r="P1478" s="67">
        <f>ROUND(IF(O1478&lt;J1478,O1478,0),4)</f>
        <v>0</v>
      </c>
      <c r="Q1478" s="67">
        <f>ROUND(IF(J1478&gt;O1478,0,J1478),4)</f>
        <v>0</v>
      </c>
      <c r="R1478" s="67">
        <f>ROUND(+P1478*D1478,4)</f>
        <v>0</v>
      </c>
      <c r="S1478" s="67">
        <f>ROUND(IF(K1478=0,0,M1478*D1478),4)</f>
        <v>0</v>
      </c>
      <c r="T1478" s="67">
        <f>ROUND(+IF(K1478=0,Q1478*D1478,0),4)</f>
        <v>0</v>
      </c>
      <c r="U1478" s="67">
        <f>ROUND(+N1478+R1478+S1478+T1478,4)</f>
        <v>0</v>
      </c>
      <c r="V1478" s="67">
        <f>ROUND(IF(P1478=0,0,I1478-H1478-O1478)+IF(L1478=0,0,I1478-H1478-K1478),4)</f>
        <v>0</v>
      </c>
      <c r="W1478" s="67">
        <f>ROUND(+(V1478*60%)*D1478,4)</f>
        <v>0</v>
      </c>
      <c r="X1478" s="148">
        <f>ROUND(+U1478+W1478,4)</f>
        <v>0</v>
      </c>
      <c r="Y1478" s="68"/>
      <c r="Z1478" s="148">
        <f>ROUND(IF(X1478&gt;I1478,X1478,I1478),4)</f>
        <v>0</v>
      </c>
      <c r="AD1478" s="78">
        <f t="shared" si="24"/>
        <v>0</v>
      </c>
      <c r="AE1478" s="78">
        <f t="shared" si="25"/>
        <v>0</v>
      </c>
    </row>
    <row r="1479" spans="1:31" x14ac:dyDescent="0.2">
      <c r="A1479" s="66"/>
      <c r="B1479" s="66"/>
      <c r="C1479" s="66"/>
      <c r="D1479" s="144"/>
      <c r="E1479" s="67"/>
      <c r="F1479" s="67"/>
      <c r="G1479" s="67"/>
      <c r="H1479" s="67">
        <f>ROUND(+E1479+G1479,4)</f>
        <v>0</v>
      </c>
      <c r="I1479" s="67"/>
      <c r="J1479" s="67">
        <f>ROUND(+I1479-H1479,4)</f>
        <v>0</v>
      </c>
      <c r="K1479" s="67">
        <f>ROUND(IF(F1479="alluminio",0,I1479*1.5%),4)</f>
        <v>0</v>
      </c>
      <c r="L1479" s="67">
        <f>ROUND(IF(K1479&lt;J1479,K1479,0),4)</f>
        <v>0</v>
      </c>
      <c r="M1479" s="67">
        <f>ROUND(IF(J1479&gt;K1479,0,J1479),4)</f>
        <v>0</v>
      </c>
      <c r="N1479" s="67">
        <f>ROUND(+L1479*D1479,4)</f>
        <v>0</v>
      </c>
      <c r="O1479" s="67">
        <f>ROUND(IF(F1479="rame",0,+I1479*3%),4)</f>
        <v>0</v>
      </c>
      <c r="P1479" s="67">
        <f>ROUND(IF(O1479&lt;J1479,O1479,0),4)</f>
        <v>0</v>
      </c>
      <c r="Q1479" s="67">
        <f>ROUND(IF(J1479&gt;O1479,0,J1479),4)</f>
        <v>0</v>
      </c>
      <c r="R1479" s="67">
        <f>ROUND(+P1479*D1479,4)</f>
        <v>0</v>
      </c>
      <c r="S1479" s="67">
        <f>ROUND(IF(K1479=0,0,M1479*D1479),4)</f>
        <v>0</v>
      </c>
      <c r="T1479" s="67">
        <f>ROUND(+IF(K1479=0,Q1479*D1479,0),4)</f>
        <v>0</v>
      </c>
      <c r="U1479" s="67">
        <f>ROUND(+N1479+R1479+S1479+T1479,4)</f>
        <v>0</v>
      </c>
      <c r="V1479" s="67">
        <f>ROUND(IF(P1479=0,0,I1479-H1479-O1479)+IF(L1479=0,0,I1479-H1479-K1479),4)</f>
        <v>0</v>
      </c>
      <c r="W1479" s="67">
        <f>ROUND(+(V1479*60%)*D1479,4)</f>
        <v>0</v>
      </c>
      <c r="X1479" s="148">
        <f>ROUND(+U1479+W1479,4)</f>
        <v>0</v>
      </c>
      <c r="Y1479" s="68"/>
      <c r="Z1479" s="148">
        <f>ROUND(IF(X1479&gt;I1479,X1479,I1479),4)</f>
        <v>0</v>
      </c>
      <c r="AD1479" s="78">
        <f t="shared" si="24"/>
        <v>0</v>
      </c>
      <c r="AE1479" s="78">
        <f t="shared" si="25"/>
        <v>0</v>
      </c>
    </row>
    <row r="1480" spans="1:31" x14ac:dyDescent="0.2">
      <c r="A1480" s="66"/>
      <c r="B1480" s="66"/>
      <c r="C1480" s="66"/>
      <c r="D1480" s="144"/>
      <c r="E1480" s="67"/>
      <c r="F1480" s="67"/>
      <c r="G1480" s="67"/>
      <c r="H1480" s="67">
        <f>ROUND(+E1480+G1480,4)</f>
        <v>0</v>
      </c>
      <c r="I1480" s="67"/>
      <c r="J1480" s="67">
        <f>ROUND(+I1480-H1480,4)</f>
        <v>0</v>
      </c>
      <c r="K1480" s="67">
        <f>ROUND(IF(F1480="alluminio",0,I1480*1.5%),4)</f>
        <v>0</v>
      </c>
      <c r="L1480" s="67">
        <f>ROUND(IF(K1480&lt;J1480,K1480,0),4)</f>
        <v>0</v>
      </c>
      <c r="M1480" s="67">
        <f>ROUND(IF(J1480&gt;K1480,0,J1480),4)</f>
        <v>0</v>
      </c>
      <c r="N1480" s="67">
        <f>ROUND(+L1480*D1480,4)</f>
        <v>0</v>
      </c>
      <c r="O1480" s="67">
        <f>ROUND(IF(F1480="rame",0,+I1480*3%),4)</f>
        <v>0</v>
      </c>
      <c r="P1480" s="67">
        <f>ROUND(IF(O1480&lt;J1480,O1480,0),4)</f>
        <v>0</v>
      </c>
      <c r="Q1480" s="67">
        <f>ROUND(IF(J1480&gt;O1480,0,J1480),4)</f>
        <v>0</v>
      </c>
      <c r="R1480" s="67">
        <f>ROUND(+P1480*D1480,4)</f>
        <v>0</v>
      </c>
      <c r="S1480" s="67">
        <f>ROUND(IF(K1480=0,0,M1480*D1480),4)</f>
        <v>0</v>
      </c>
      <c r="T1480" s="67">
        <f>ROUND(+IF(K1480=0,Q1480*D1480,0),4)</f>
        <v>0</v>
      </c>
      <c r="U1480" s="67">
        <f>ROUND(+N1480+R1480+S1480+T1480,4)</f>
        <v>0</v>
      </c>
      <c r="V1480" s="67">
        <f>ROUND(IF(P1480=0,0,I1480-H1480-O1480)+IF(L1480=0,0,I1480-H1480-K1480),4)</f>
        <v>0</v>
      </c>
      <c r="W1480" s="67">
        <f>ROUND(+(V1480*60%)*D1480,4)</f>
        <v>0</v>
      </c>
      <c r="X1480" s="148">
        <f>ROUND(+U1480+W1480,4)</f>
        <v>0</v>
      </c>
      <c r="Y1480" s="68"/>
      <c r="Z1480" s="148">
        <f>ROUND(IF(X1480&gt;I1480,X1480,I1480),4)</f>
        <v>0</v>
      </c>
      <c r="AD1480" s="78">
        <f t="shared" si="24"/>
        <v>0</v>
      </c>
      <c r="AE1480" s="78">
        <f t="shared" si="25"/>
        <v>0</v>
      </c>
    </row>
    <row r="1481" spans="1:31" x14ac:dyDescent="0.2">
      <c r="A1481" s="66"/>
      <c r="B1481" s="66"/>
      <c r="C1481" s="66"/>
      <c r="D1481" s="144"/>
      <c r="E1481" s="67"/>
      <c r="F1481" s="67"/>
      <c r="G1481" s="67"/>
      <c r="H1481" s="67">
        <f>ROUND(+E1481+G1481,4)</f>
        <v>0</v>
      </c>
      <c r="I1481" s="67"/>
      <c r="J1481" s="67">
        <f>ROUND(+I1481-H1481,4)</f>
        <v>0</v>
      </c>
      <c r="K1481" s="67">
        <f>ROUND(IF(F1481="alluminio",0,I1481*1.5%),4)</f>
        <v>0</v>
      </c>
      <c r="L1481" s="67">
        <f>ROUND(IF(K1481&lt;J1481,K1481,0),4)</f>
        <v>0</v>
      </c>
      <c r="M1481" s="67">
        <f>ROUND(IF(J1481&gt;K1481,0,J1481),4)</f>
        <v>0</v>
      </c>
      <c r="N1481" s="67">
        <f>ROUND(+L1481*D1481,4)</f>
        <v>0</v>
      </c>
      <c r="O1481" s="67">
        <f>ROUND(IF(F1481="rame",0,+I1481*3%),4)</f>
        <v>0</v>
      </c>
      <c r="P1481" s="67">
        <f>ROUND(IF(O1481&lt;J1481,O1481,0),4)</f>
        <v>0</v>
      </c>
      <c r="Q1481" s="67">
        <f>ROUND(IF(J1481&gt;O1481,0,J1481),4)</f>
        <v>0</v>
      </c>
      <c r="R1481" s="67">
        <f>ROUND(+P1481*D1481,4)</f>
        <v>0</v>
      </c>
      <c r="S1481" s="67">
        <f>ROUND(IF(K1481=0,0,M1481*D1481),4)</f>
        <v>0</v>
      </c>
      <c r="T1481" s="67">
        <f>ROUND(+IF(K1481=0,Q1481*D1481,0),4)</f>
        <v>0</v>
      </c>
      <c r="U1481" s="67">
        <f>ROUND(+N1481+R1481+S1481+T1481,4)</f>
        <v>0</v>
      </c>
      <c r="V1481" s="67">
        <f>ROUND(IF(P1481=0,0,I1481-H1481-O1481)+IF(L1481=0,0,I1481-H1481-K1481),4)</f>
        <v>0</v>
      </c>
      <c r="W1481" s="67">
        <f>ROUND(+(V1481*60%)*D1481,4)</f>
        <v>0</v>
      </c>
      <c r="X1481" s="148">
        <f>ROUND(+U1481+W1481,4)</f>
        <v>0</v>
      </c>
      <c r="Y1481" s="68"/>
      <c r="Z1481" s="148">
        <f>ROUND(IF(X1481&gt;I1481,X1481,I1481),4)</f>
        <v>0</v>
      </c>
      <c r="AD1481" s="78">
        <f t="shared" si="24"/>
        <v>0</v>
      </c>
      <c r="AE1481" s="78">
        <f t="shared" si="25"/>
        <v>0</v>
      </c>
    </row>
    <row r="1482" spans="1:31" x14ac:dyDescent="0.2">
      <c r="A1482" s="66"/>
      <c r="B1482" s="66"/>
      <c r="C1482" s="66"/>
      <c r="D1482" s="144"/>
      <c r="E1482" s="67"/>
      <c r="F1482" s="67"/>
      <c r="G1482" s="67"/>
      <c r="H1482" s="67">
        <f>ROUND(+E1482+G1482,4)</f>
        <v>0</v>
      </c>
      <c r="I1482" s="67"/>
      <c r="J1482" s="67">
        <f>ROUND(+I1482-H1482,4)</f>
        <v>0</v>
      </c>
      <c r="K1482" s="67">
        <f>ROUND(IF(F1482="alluminio",0,I1482*1.5%),4)</f>
        <v>0</v>
      </c>
      <c r="L1482" s="67">
        <f>ROUND(IF(K1482&lt;J1482,K1482,0),4)</f>
        <v>0</v>
      </c>
      <c r="M1482" s="67">
        <f>ROUND(IF(J1482&gt;K1482,0,J1482),4)</f>
        <v>0</v>
      </c>
      <c r="N1482" s="67">
        <f>ROUND(+L1482*D1482,4)</f>
        <v>0</v>
      </c>
      <c r="O1482" s="67">
        <f>ROUND(IF(F1482="rame",0,+I1482*3%),4)</f>
        <v>0</v>
      </c>
      <c r="P1482" s="67">
        <f>ROUND(IF(O1482&lt;J1482,O1482,0),4)</f>
        <v>0</v>
      </c>
      <c r="Q1482" s="67">
        <f>ROUND(IF(J1482&gt;O1482,0,J1482),4)</f>
        <v>0</v>
      </c>
      <c r="R1482" s="67">
        <f>ROUND(+P1482*D1482,4)</f>
        <v>0</v>
      </c>
      <c r="S1482" s="67">
        <f>ROUND(IF(K1482=0,0,M1482*D1482),4)</f>
        <v>0</v>
      </c>
      <c r="T1482" s="67">
        <f>ROUND(+IF(K1482=0,Q1482*D1482,0),4)</f>
        <v>0</v>
      </c>
      <c r="U1482" s="67">
        <f>ROUND(+N1482+R1482+S1482+T1482,4)</f>
        <v>0</v>
      </c>
      <c r="V1482" s="67">
        <f>ROUND(IF(P1482=0,0,I1482-H1482-O1482)+IF(L1482=0,0,I1482-H1482-K1482),4)</f>
        <v>0</v>
      </c>
      <c r="W1482" s="67">
        <f>ROUND(+(V1482*60%)*D1482,4)</f>
        <v>0</v>
      </c>
      <c r="X1482" s="148">
        <f>ROUND(+U1482+W1482,4)</f>
        <v>0</v>
      </c>
      <c r="Y1482" s="68"/>
      <c r="Z1482" s="148">
        <f>ROUND(IF(X1482&gt;I1482,X1482,I1482),4)</f>
        <v>0</v>
      </c>
      <c r="AD1482" s="78">
        <f t="shared" si="24"/>
        <v>0</v>
      </c>
      <c r="AE1482" s="78">
        <f t="shared" si="25"/>
        <v>0</v>
      </c>
    </row>
    <row r="1483" spans="1:31" x14ac:dyDescent="0.2">
      <c r="A1483" s="66"/>
      <c r="B1483" s="66"/>
      <c r="C1483" s="66"/>
      <c r="D1483" s="144"/>
      <c r="E1483" s="67"/>
      <c r="F1483" s="67"/>
      <c r="G1483" s="67"/>
      <c r="H1483" s="67">
        <f>ROUND(+E1483+G1483,4)</f>
        <v>0</v>
      </c>
      <c r="I1483" s="67"/>
      <c r="J1483" s="67">
        <f>ROUND(+I1483-H1483,4)</f>
        <v>0</v>
      </c>
      <c r="K1483" s="67">
        <f>ROUND(IF(F1483="alluminio",0,I1483*1.5%),4)</f>
        <v>0</v>
      </c>
      <c r="L1483" s="67">
        <f>ROUND(IF(K1483&lt;J1483,K1483,0),4)</f>
        <v>0</v>
      </c>
      <c r="M1483" s="67">
        <f>ROUND(IF(J1483&gt;K1483,0,J1483),4)</f>
        <v>0</v>
      </c>
      <c r="N1483" s="67">
        <f>ROUND(+L1483*D1483,4)</f>
        <v>0</v>
      </c>
      <c r="O1483" s="67">
        <f>ROUND(IF(F1483="rame",0,+I1483*3%),4)</f>
        <v>0</v>
      </c>
      <c r="P1483" s="67">
        <f>ROUND(IF(O1483&lt;J1483,O1483,0),4)</f>
        <v>0</v>
      </c>
      <c r="Q1483" s="67">
        <f>ROUND(IF(J1483&gt;O1483,0,J1483),4)</f>
        <v>0</v>
      </c>
      <c r="R1483" s="67">
        <f>ROUND(+P1483*D1483,4)</f>
        <v>0</v>
      </c>
      <c r="S1483" s="67">
        <f>ROUND(IF(K1483=0,0,M1483*D1483),4)</f>
        <v>0</v>
      </c>
      <c r="T1483" s="67">
        <f>ROUND(+IF(K1483=0,Q1483*D1483,0),4)</f>
        <v>0</v>
      </c>
      <c r="U1483" s="67">
        <f>ROUND(+N1483+R1483+S1483+T1483,4)</f>
        <v>0</v>
      </c>
      <c r="V1483" s="67">
        <f>ROUND(IF(P1483=0,0,I1483-H1483-O1483)+IF(L1483=0,0,I1483-H1483-K1483),4)</f>
        <v>0</v>
      </c>
      <c r="W1483" s="67">
        <f>ROUND(+(V1483*60%)*D1483,4)</f>
        <v>0</v>
      </c>
      <c r="X1483" s="148">
        <f>ROUND(+U1483+W1483,4)</f>
        <v>0</v>
      </c>
      <c r="Y1483" s="68"/>
      <c r="Z1483" s="148">
        <f>ROUND(IF(X1483&gt;I1483,X1483,I1483),4)</f>
        <v>0</v>
      </c>
      <c r="AD1483" s="78">
        <f t="shared" si="24"/>
        <v>0</v>
      </c>
      <c r="AE1483" s="78">
        <f t="shared" si="25"/>
        <v>0</v>
      </c>
    </row>
    <row r="1484" spans="1:31" x14ac:dyDescent="0.2">
      <c r="A1484" s="66"/>
      <c r="B1484" s="66"/>
      <c r="C1484" s="66"/>
      <c r="D1484" s="144"/>
      <c r="E1484" s="67"/>
      <c r="F1484" s="67"/>
      <c r="G1484" s="67"/>
      <c r="H1484" s="67">
        <f>ROUND(+E1484+G1484,4)</f>
        <v>0</v>
      </c>
      <c r="I1484" s="67"/>
      <c r="J1484" s="67">
        <f>ROUND(+I1484-H1484,4)</f>
        <v>0</v>
      </c>
      <c r="K1484" s="67">
        <f>ROUND(IF(F1484="alluminio",0,I1484*1.5%),4)</f>
        <v>0</v>
      </c>
      <c r="L1484" s="67">
        <f>ROUND(IF(K1484&lt;J1484,K1484,0),4)</f>
        <v>0</v>
      </c>
      <c r="M1484" s="67">
        <f>ROUND(IF(J1484&gt;K1484,0,J1484),4)</f>
        <v>0</v>
      </c>
      <c r="N1484" s="67">
        <f>ROUND(+L1484*D1484,4)</f>
        <v>0</v>
      </c>
      <c r="O1484" s="67">
        <f>ROUND(IF(F1484="rame",0,+I1484*3%),4)</f>
        <v>0</v>
      </c>
      <c r="P1484" s="67">
        <f>ROUND(IF(O1484&lt;J1484,O1484,0),4)</f>
        <v>0</v>
      </c>
      <c r="Q1484" s="67">
        <f>ROUND(IF(J1484&gt;O1484,0,J1484),4)</f>
        <v>0</v>
      </c>
      <c r="R1484" s="67">
        <f>ROUND(+P1484*D1484,4)</f>
        <v>0</v>
      </c>
      <c r="S1484" s="67">
        <f>ROUND(IF(K1484=0,0,M1484*D1484),4)</f>
        <v>0</v>
      </c>
      <c r="T1484" s="67">
        <f>ROUND(+IF(K1484=0,Q1484*D1484,0),4)</f>
        <v>0</v>
      </c>
      <c r="U1484" s="67">
        <f>ROUND(+N1484+R1484+S1484+T1484,4)</f>
        <v>0</v>
      </c>
      <c r="V1484" s="67">
        <f>ROUND(IF(P1484=0,0,I1484-H1484-O1484)+IF(L1484=0,0,I1484-H1484-K1484),4)</f>
        <v>0</v>
      </c>
      <c r="W1484" s="67">
        <f>ROUND(+(V1484*60%)*D1484,4)</f>
        <v>0</v>
      </c>
      <c r="X1484" s="148">
        <f>ROUND(+U1484+W1484,4)</f>
        <v>0</v>
      </c>
      <c r="Y1484" s="68"/>
      <c r="Z1484" s="148">
        <f>ROUND(IF(X1484&gt;I1484,X1484,I1484),4)</f>
        <v>0</v>
      </c>
      <c r="AD1484" s="78">
        <f t="shared" si="24"/>
        <v>0</v>
      </c>
      <c r="AE1484" s="78">
        <f t="shared" si="25"/>
        <v>0</v>
      </c>
    </row>
    <row r="1485" spans="1:31" x14ac:dyDescent="0.2">
      <c r="A1485" s="66"/>
      <c r="B1485" s="66"/>
      <c r="C1485" s="66"/>
      <c r="D1485" s="144"/>
      <c r="E1485" s="67"/>
      <c r="F1485" s="67"/>
      <c r="G1485" s="67"/>
      <c r="H1485" s="67">
        <f>ROUND(+E1485+G1485,4)</f>
        <v>0</v>
      </c>
      <c r="I1485" s="67"/>
      <c r="J1485" s="67">
        <f>ROUND(+I1485-H1485,4)</f>
        <v>0</v>
      </c>
      <c r="K1485" s="67">
        <f>ROUND(IF(F1485="alluminio",0,I1485*1.5%),4)</f>
        <v>0</v>
      </c>
      <c r="L1485" s="67">
        <f>ROUND(IF(K1485&lt;J1485,K1485,0),4)</f>
        <v>0</v>
      </c>
      <c r="M1485" s="67">
        <f>ROUND(IF(J1485&gt;K1485,0,J1485),4)</f>
        <v>0</v>
      </c>
      <c r="N1485" s="67">
        <f>ROUND(+L1485*D1485,4)</f>
        <v>0</v>
      </c>
      <c r="O1485" s="67">
        <f>ROUND(IF(F1485="rame",0,+I1485*3%),4)</f>
        <v>0</v>
      </c>
      <c r="P1485" s="67">
        <f>ROUND(IF(O1485&lt;J1485,O1485,0),4)</f>
        <v>0</v>
      </c>
      <c r="Q1485" s="67">
        <f>ROUND(IF(J1485&gt;O1485,0,J1485),4)</f>
        <v>0</v>
      </c>
      <c r="R1485" s="67">
        <f>ROUND(+P1485*D1485,4)</f>
        <v>0</v>
      </c>
      <c r="S1485" s="67">
        <f>ROUND(IF(K1485=0,0,M1485*D1485),4)</f>
        <v>0</v>
      </c>
      <c r="T1485" s="67">
        <f>ROUND(+IF(K1485=0,Q1485*D1485,0),4)</f>
        <v>0</v>
      </c>
      <c r="U1485" s="67">
        <f>ROUND(+N1485+R1485+S1485+T1485,4)</f>
        <v>0</v>
      </c>
      <c r="V1485" s="67">
        <f>ROUND(IF(P1485=0,0,I1485-H1485-O1485)+IF(L1485=0,0,I1485-H1485-K1485),4)</f>
        <v>0</v>
      </c>
      <c r="W1485" s="67">
        <f>ROUND(+(V1485*60%)*D1485,4)</f>
        <v>0</v>
      </c>
      <c r="X1485" s="148">
        <f>ROUND(+U1485+W1485,4)</f>
        <v>0</v>
      </c>
      <c r="Y1485" s="68"/>
      <c r="Z1485" s="148">
        <f>ROUND(IF(X1485&gt;I1485,X1485,I1485),4)</f>
        <v>0</v>
      </c>
      <c r="AD1485" s="78">
        <f t="shared" si="24"/>
        <v>0</v>
      </c>
      <c r="AE1485" s="78">
        <f t="shared" si="25"/>
        <v>0</v>
      </c>
    </row>
    <row r="1486" spans="1:31" x14ac:dyDescent="0.2">
      <c r="A1486" s="66"/>
      <c r="B1486" s="66"/>
      <c r="C1486" s="66"/>
      <c r="D1486" s="144"/>
      <c r="E1486" s="67"/>
      <c r="F1486" s="67"/>
      <c r="G1486" s="67"/>
      <c r="H1486" s="67">
        <f>ROUND(+E1486+G1486,4)</f>
        <v>0</v>
      </c>
      <c r="I1486" s="67"/>
      <c r="J1486" s="67">
        <f>ROUND(+I1486-H1486,4)</f>
        <v>0</v>
      </c>
      <c r="K1486" s="67">
        <f>ROUND(IF(F1486="alluminio",0,I1486*1.5%),4)</f>
        <v>0</v>
      </c>
      <c r="L1486" s="67">
        <f>ROUND(IF(K1486&lt;J1486,K1486,0),4)</f>
        <v>0</v>
      </c>
      <c r="M1486" s="67">
        <f>ROUND(IF(J1486&gt;K1486,0,J1486),4)</f>
        <v>0</v>
      </c>
      <c r="N1486" s="67">
        <f>ROUND(+L1486*D1486,4)</f>
        <v>0</v>
      </c>
      <c r="O1486" s="67">
        <f>ROUND(IF(F1486="rame",0,+I1486*3%),4)</f>
        <v>0</v>
      </c>
      <c r="P1486" s="67">
        <f>ROUND(IF(O1486&lt;J1486,O1486,0),4)</f>
        <v>0</v>
      </c>
      <c r="Q1486" s="67">
        <f>ROUND(IF(J1486&gt;O1486,0,J1486),4)</f>
        <v>0</v>
      </c>
      <c r="R1486" s="67">
        <f>ROUND(+P1486*D1486,4)</f>
        <v>0</v>
      </c>
      <c r="S1486" s="67">
        <f>ROUND(IF(K1486=0,0,M1486*D1486),4)</f>
        <v>0</v>
      </c>
      <c r="T1486" s="67">
        <f>ROUND(+IF(K1486=0,Q1486*D1486,0),4)</f>
        <v>0</v>
      </c>
      <c r="U1486" s="67">
        <f>ROUND(+N1486+R1486+S1486+T1486,4)</f>
        <v>0</v>
      </c>
      <c r="V1486" s="67">
        <f>ROUND(IF(P1486=0,0,I1486-H1486-O1486)+IF(L1486=0,0,I1486-H1486-K1486),4)</f>
        <v>0</v>
      </c>
      <c r="W1486" s="67">
        <f>ROUND(+(V1486*60%)*D1486,4)</f>
        <v>0</v>
      </c>
      <c r="X1486" s="148">
        <f>ROUND(+U1486+W1486,4)</f>
        <v>0</v>
      </c>
      <c r="Y1486" s="68"/>
      <c r="Z1486" s="148">
        <f>ROUND(IF(X1486&gt;I1486,X1486,I1486),4)</f>
        <v>0</v>
      </c>
      <c r="AD1486" s="78">
        <f t="shared" si="24"/>
        <v>0</v>
      </c>
      <c r="AE1486" s="78">
        <f t="shared" si="25"/>
        <v>0</v>
      </c>
    </row>
    <row r="1487" spans="1:31" x14ac:dyDescent="0.2">
      <c r="A1487" s="66"/>
      <c r="B1487" s="66"/>
      <c r="C1487" s="66"/>
      <c r="D1487" s="144"/>
      <c r="E1487" s="67"/>
      <c r="F1487" s="67"/>
      <c r="G1487" s="67"/>
      <c r="H1487" s="67">
        <f>ROUND(+E1487+G1487,4)</f>
        <v>0</v>
      </c>
      <c r="I1487" s="67"/>
      <c r="J1487" s="67">
        <f>ROUND(+I1487-H1487,4)</f>
        <v>0</v>
      </c>
      <c r="K1487" s="67">
        <f>ROUND(IF(F1487="alluminio",0,I1487*1.5%),4)</f>
        <v>0</v>
      </c>
      <c r="L1487" s="67">
        <f>ROUND(IF(K1487&lt;J1487,K1487,0),4)</f>
        <v>0</v>
      </c>
      <c r="M1487" s="67">
        <f>ROUND(IF(J1487&gt;K1487,0,J1487),4)</f>
        <v>0</v>
      </c>
      <c r="N1487" s="67">
        <f>ROUND(+L1487*D1487,4)</f>
        <v>0</v>
      </c>
      <c r="O1487" s="67">
        <f>ROUND(IF(F1487="rame",0,+I1487*3%),4)</f>
        <v>0</v>
      </c>
      <c r="P1487" s="67">
        <f>ROUND(IF(O1487&lt;J1487,O1487,0),4)</f>
        <v>0</v>
      </c>
      <c r="Q1487" s="67">
        <f>ROUND(IF(J1487&gt;O1487,0,J1487),4)</f>
        <v>0</v>
      </c>
      <c r="R1487" s="67">
        <f>ROUND(+P1487*D1487,4)</f>
        <v>0</v>
      </c>
      <c r="S1487" s="67">
        <f>ROUND(IF(K1487=0,0,M1487*D1487),4)</f>
        <v>0</v>
      </c>
      <c r="T1487" s="67">
        <f>ROUND(+IF(K1487=0,Q1487*D1487,0),4)</f>
        <v>0</v>
      </c>
      <c r="U1487" s="67">
        <f>ROUND(+N1487+R1487+S1487+T1487,4)</f>
        <v>0</v>
      </c>
      <c r="V1487" s="67">
        <f>ROUND(IF(P1487=0,0,I1487-H1487-O1487)+IF(L1487=0,0,I1487-H1487-K1487),4)</f>
        <v>0</v>
      </c>
      <c r="W1487" s="67">
        <f>ROUND(+(V1487*60%)*D1487,4)</f>
        <v>0</v>
      </c>
      <c r="X1487" s="148">
        <f>ROUND(+U1487+W1487,4)</f>
        <v>0</v>
      </c>
      <c r="Y1487" s="68"/>
      <c r="Z1487" s="148">
        <f>ROUND(IF(X1487&gt;I1487,X1487,I1487),4)</f>
        <v>0</v>
      </c>
      <c r="AD1487" s="78">
        <f t="shared" si="24"/>
        <v>0</v>
      </c>
      <c r="AE1487" s="78">
        <f t="shared" si="25"/>
        <v>0</v>
      </c>
    </row>
    <row r="1488" spans="1:31" x14ac:dyDescent="0.2">
      <c r="A1488" s="66"/>
      <c r="B1488" s="66"/>
      <c r="C1488" s="66"/>
      <c r="D1488" s="144"/>
      <c r="E1488" s="67"/>
      <c r="F1488" s="67"/>
      <c r="G1488" s="67"/>
      <c r="H1488" s="67">
        <f>ROUND(+E1488+G1488,4)</f>
        <v>0</v>
      </c>
      <c r="I1488" s="67"/>
      <c r="J1488" s="67">
        <f>ROUND(+I1488-H1488,4)</f>
        <v>0</v>
      </c>
      <c r="K1488" s="67">
        <f>ROUND(IF(F1488="alluminio",0,I1488*1.5%),4)</f>
        <v>0</v>
      </c>
      <c r="L1488" s="67">
        <f>ROUND(IF(K1488&lt;J1488,K1488,0),4)</f>
        <v>0</v>
      </c>
      <c r="M1488" s="67">
        <f>ROUND(IF(J1488&gt;K1488,0,J1488),4)</f>
        <v>0</v>
      </c>
      <c r="N1488" s="67">
        <f>ROUND(+L1488*D1488,4)</f>
        <v>0</v>
      </c>
      <c r="O1488" s="67">
        <f>ROUND(IF(F1488="rame",0,+I1488*3%),4)</f>
        <v>0</v>
      </c>
      <c r="P1488" s="67">
        <f>ROUND(IF(O1488&lt;J1488,O1488,0),4)</f>
        <v>0</v>
      </c>
      <c r="Q1488" s="67">
        <f>ROUND(IF(J1488&gt;O1488,0,J1488),4)</f>
        <v>0</v>
      </c>
      <c r="R1488" s="67">
        <f>ROUND(+P1488*D1488,4)</f>
        <v>0</v>
      </c>
      <c r="S1488" s="67">
        <f>ROUND(IF(K1488=0,0,M1488*D1488),4)</f>
        <v>0</v>
      </c>
      <c r="T1488" s="67">
        <f>ROUND(+IF(K1488=0,Q1488*D1488,0),4)</f>
        <v>0</v>
      </c>
      <c r="U1488" s="67">
        <f>ROUND(+N1488+R1488+S1488+T1488,4)</f>
        <v>0</v>
      </c>
      <c r="V1488" s="67">
        <f>ROUND(IF(P1488=0,0,I1488-H1488-O1488)+IF(L1488=0,0,I1488-H1488-K1488),4)</f>
        <v>0</v>
      </c>
      <c r="W1488" s="67">
        <f>ROUND(+(V1488*60%)*D1488,4)</f>
        <v>0</v>
      </c>
      <c r="X1488" s="148">
        <f>ROUND(+U1488+W1488,4)</f>
        <v>0</v>
      </c>
      <c r="Y1488" s="68"/>
      <c r="Z1488" s="148">
        <f>ROUND(IF(X1488&gt;I1488,X1488,I1488),4)</f>
        <v>0</v>
      </c>
      <c r="AD1488" s="78">
        <f t="shared" si="24"/>
        <v>0</v>
      </c>
      <c r="AE1488" s="78">
        <f t="shared" si="25"/>
        <v>0</v>
      </c>
    </row>
    <row r="1489" spans="1:31" x14ac:dyDescent="0.2">
      <c r="A1489" s="66"/>
      <c r="B1489" s="66"/>
      <c r="C1489" s="66"/>
      <c r="D1489" s="144"/>
      <c r="E1489" s="67"/>
      <c r="F1489" s="67"/>
      <c r="G1489" s="67"/>
      <c r="H1489" s="67">
        <f>ROUND(+E1489+G1489,4)</f>
        <v>0</v>
      </c>
      <c r="I1489" s="67"/>
      <c r="J1489" s="67">
        <f>ROUND(+I1489-H1489,4)</f>
        <v>0</v>
      </c>
      <c r="K1489" s="67">
        <f>ROUND(IF(F1489="alluminio",0,I1489*1.5%),4)</f>
        <v>0</v>
      </c>
      <c r="L1489" s="67">
        <f>ROUND(IF(K1489&lt;J1489,K1489,0),4)</f>
        <v>0</v>
      </c>
      <c r="M1489" s="67">
        <f>ROUND(IF(J1489&gt;K1489,0,J1489),4)</f>
        <v>0</v>
      </c>
      <c r="N1489" s="67">
        <f>ROUND(+L1489*D1489,4)</f>
        <v>0</v>
      </c>
      <c r="O1489" s="67">
        <f>ROUND(IF(F1489="rame",0,+I1489*3%),4)</f>
        <v>0</v>
      </c>
      <c r="P1489" s="67">
        <f>ROUND(IF(O1489&lt;J1489,O1489,0),4)</f>
        <v>0</v>
      </c>
      <c r="Q1489" s="67">
        <f>ROUND(IF(J1489&gt;O1489,0,J1489),4)</f>
        <v>0</v>
      </c>
      <c r="R1489" s="67">
        <f>ROUND(+P1489*D1489,4)</f>
        <v>0</v>
      </c>
      <c r="S1489" s="67">
        <f>ROUND(IF(K1489=0,0,M1489*D1489),4)</f>
        <v>0</v>
      </c>
      <c r="T1489" s="67">
        <f>ROUND(+IF(K1489=0,Q1489*D1489,0),4)</f>
        <v>0</v>
      </c>
      <c r="U1489" s="67">
        <f>ROUND(+N1489+R1489+S1489+T1489,4)</f>
        <v>0</v>
      </c>
      <c r="V1489" s="67">
        <f>ROUND(IF(P1489=0,0,I1489-H1489-O1489)+IF(L1489=0,0,I1489-H1489-K1489),4)</f>
        <v>0</v>
      </c>
      <c r="W1489" s="67">
        <f>ROUND(+(V1489*60%)*D1489,4)</f>
        <v>0</v>
      </c>
      <c r="X1489" s="148">
        <f>ROUND(+U1489+W1489,4)</f>
        <v>0</v>
      </c>
      <c r="Y1489" s="68"/>
      <c r="Z1489" s="148">
        <f>ROUND(IF(X1489&gt;I1489,X1489,I1489),4)</f>
        <v>0</v>
      </c>
      <c r="AD1489" s="78">
        <f t="shared" si="24"/>
        <v>0</v>
      </c>
      <c r="AE1489" s="78">
        <f t="shared" si="25"/>
        <v>0</v>
      </c>
    </row>
    <row r="1490" spans="1:31" x14ac:dyDescent="0.2">
      <c r="A1490" s="66"/>
      <c r="B1490" s="66"/>
      <c r="C1490" s="66"/>
      <c r="D1490" s="144"/>
      <c r="E1490" s="67"/>
      <c r="F1490" s="67"/>
      <c r="G1490" s="67"/>
      <c r="H1490" s="67">
        <f>ROUND(+E1490+G1490,4)</f>
        <v>0</v>
      </c>
      <c r="I1490" s="67"/>
      <c r="J1490" s="67">
        <f>ROUND(+I1490-H1490,4)</f>
        <v>0</v>
      </c>
      <c r="K1490" s="67">
        <f>ROUND(IF(F1490="alluminio",0,I1490*1.5%),4)</f>
        <v>0</v>
      </c>
      <c r="L1490" s="67">
        <f>ROUND(IF(K1490&lt;J1490,K1490,0),4)</f>
        <v>0</v>
      </c>
      <c r="M1490" s="67">
        <f>ROUND(IF(J1490&gt;K1490,0,J1490),4)</f>
        <v>0</v>
      </c>
      <c r="N1490" s="67">
        <f>ROUND(+L1490*D1490,4)</f>
        <v>0</v>
      </c>
      <c r="O1490" s="67">
        <f>ROUND(IF(F1490="rame",0,+I1490*3%),4)</f>
        <v>0</v>
      </c>
      <c r="P1490" s="67">
        <f>ROUND(IF(O1490&lt;J1490,O1490,0),4)</f>
        <v>0</v>
      </c>
      <c r="Q1490" s="67">
        <f>ROUND(IF(J1490&gt;O1490,0,J1490),4)</f>
        <v>0</v>
      </c>
      <c r="R1490" s="67">
        <f>ROUND(+P1490*D1490,4)</f>
        <v>0</v>
      </c>
      <c r="S1490" s="67">
        <f>ROUND(IF(K1490=0,0,M1490*D1490),4)</f>
        <v>0</v>
      </c>
      <c r="T1490" s="67">
        <f>ROUND(+IF(K1490=0,Q1490*D1490,0),4)</f>
        <v>0</v>
      </c>
      <c r="U1490" s="67">
        <f>ROUND(+N1490+R1490+S1490+T1490,4)</f>
        <v>0</v>
      </c>
      <c r="V1490" s="67">
        <f>ROUND(IF(P1490=0,0,I1490-H1490-O1490)+IF(L1490=0,0,I1490-H1490-K1490),4)</f>
        <v>0</v>
      </c>
      <c r="W1490" s="67">
        <f>ROUND(+(V1490*60%)*D1490,4)</f>
        <v>0</v>
      </c>
      <c r="X1490" s="148">
        <f>ROUND(+U1490+W1490,4)</f>
        <v>0</v>
      </c>
      <c r="Y1490" s="68"/>
      <c r="Z1490" s="148">
        <f>ROUND(IF(X1490&gt;I1490,X1490,I1490),4)</f>
        <v>0</v>
      </c>
      <c r="AD1490" s="78">
        <f t="shared" si="24"/>
        <v>0</v>
      </c>
      <c r="AE1490" s="78">
        <f t="shared" si="25"/>
        <v>0</v>
      </c>
    </row>
    <row r="1491" spans="1:31" x14ac:dyDescent="0.2">
      <c r="A1491" s="66"/>
      <c r="B1491" s="66"/>
      <c r="C1491" s="66"/>
      <c r="D1491" s="144"/>
      <c r="E1491" s="67"/>
      <c r="F1491" s="67"/>
      <c r="G1491" s="67"/>
      <c r="H1491" s="67">
        <f>ROUND(+E1491+G1491,4)</f>
        <v>0</v>
      </c>
      <c r="I1491" s="67"/>
      <c r="J1491" s="67">
        <f>ROUND(+I1491-H1491,4)</f>
        <v>0</v>
      </c>
      <c r="K1491" s="67">
        <f>ROUND(IF(F1491="alluminio",0,I1491*1.5%),4)</f>
        <v>0</v>
      </c>
      <c r="L1491" s="67">
        <f>ROUND(IF(K1491&lt;J1491,K1491,0),4)</f>
        <v>0</v>
      </c>
      <c r="M1491" s="67">
        <f>ROUND(IF(J1491&gt;K1491,0,J1491),4)</f>
        <v>0</v>
      </c>
      <c r="N1491" s="67">
        <f>ROUND(+L1491*D1491,4)</f>
        <v>0</v>
      </c>
      <c r="O1491" s="67">
        <f>ROUND(IF(F1491="rame",0,+I1491*3%),4)</f>
        <v>0</v>
      </c>
      <c r="P1491" s="67">
        <f>ROUND(IF(O1491&lt;J1491,O1491,0),4)</f>
        <v>0</v>
      </c>
      <c r="Q1491" s="67">
        <f>ROUND(IF(J1491&gt;O1491,0,J1491),4)</f>
        <v>0</v>
      </c>
      <c r="R1491" s="67">
        <f>ROUND(+P1491*D1491,4)</f>
        <v>0</v>
      </c>
      <c r="S1491" s="67">
        <f>ROUND(IF(K1491=0,0,M1491*D1491),4)</f>
        <v>0</v>
      </c>
      <c r="T1491" s="67">
        <f>ROUND(+IF(K1491=0,Q1491*D1491,0),4)</f>
        <v>0</v>
      </c>
      <c r="U1491" s="67">
        <f>ROUND(+N1491+R1491+S1491+T1491,4)</f>
        <v>0</v>
      </c>
      <c r="V1491" s="67">
        <f>ROUND(IF(P1491=0,0,I1491-H1491-O1491)+IF(L1491=0,0,I1491-H1491-K1491),4)</f>
        <v>0</v>
      </c>
      <c r="W1491" s="67">
        <f>ROUND(+(V1491*60%)*D1491,4)</f>
        <v>0</v>
      </c>
      <c r="X1491" s="148">
        <f>ROUND(+U1491+W1491,4)</f>
        <v>0</v>
      </c>
      <c r="Y1491" s="68"/>
      <c r="Z1491" s="148">
        <f>ROUND(IF(X1491&gt;I1491,X1491,I1491),4)</f>
        <v>0</v>
      </c>
      <c r="AD1491" s="78">
        <f t="shared" si="24"/>
        <v>0</v>
      </c>
      <c r="AE1491" s="78">
        <f t="shared" si="25"/>
        <v>0</v>
      </c>
    </row>
    <row r="1492" spans="1:31" x14ac:dyDescent="0.2">
      <c r="A1492" s="66"/>
      <c r="B1492" s="66"/>
      <c r="C1492" s="66"/>
      <c r="D1492" s="144"/>
      <c r="E1492" s="67"/>
      <c r="F1492" s="67"/>
      <c r="G1492" s="67"/>
      <c r="H1492" s="67">
        <f>ROUND(+E1492+G1492,4)</f>
        <v>0</v>
      </c>
      <c r="I1492" s="67"/>
      <c r="J1492" s="67">
        <f>ROUND(+I1492-H1492,4)</f>
        <v>0</v>
      </c>
      <c r="K1492" s="67">
        <f>ROUND(IF(F1492="alluminio",0,I1492*1.5%),4)</f>
        <v>0</v>
      </c>
      <c r="L1492" s="67">
        <f>ROUND(IF(K1492&lt;J1492,K1492,0),4)</f>
        <v>0</v>
      </c>
      <c r="M1492" s="67">
        <f>ROUND(IF(J1492&gt;K1492,0,J1492),4)</f>
        <v>0</v>
      </c>
      <c r="N1492" s="67">
        <f>ROUND(+L1492*D1492,4)</f>
        <v>0</v>
      </c>
      <c r="O1492" s="67">
        <f>ROUND(IF(F1492="rame",0,+I1492*3%),4)</f>
        <v>0</v>
      </c>
      <c r="P1492" s="67">
        <f>ROUND(IF(O1492&lt;J1492,O1492,0),4)</f>
        <v>0</v>
      </c>
      <c r="Q1492" s="67">
        <f>ROUND(IF(J1492&gt;O1492,0,J1492),4)</f>
        <v>0</v>
      </c>
      <c r="R1492" s="67">
        <f>ROUND(+P1492*D1492,4)</f>
        <v>0</v>
      </c>
      <c r="S1492" s="67">
        <f>ROUND(IF(K1492=0,0,M1492*D1492),4)</f>
        <v>0</v>
      </c>
      <c r="T1492" s="67">
        <f>ROUND(+IF(K1492=0,Q1492*D1492,0),4)</f>
        <v>0</v>
      </c>
      <c r="U1492" s="67">
        <f>ROUND(+N1492+R1492+S1492+T1492,4)</f>
        <v>0</v>
      </c>
      <c r="V1492" s="67">
        <f>ROUND(IF(P1492=0,0,I1492-H1492-O1492)+IF(L1492=0,0,I1492-H1492-K1492),4)</f>
        <v>0</v>
      </c>
      <c r="W1492" s="67">
        <f>ROUND(+(V1492*60%)*D1492,4)</f>
        <v>0</v>
      </c>
      <c r="X1492" s="148">
        <f>ROUND(+U1492+W1492,4)</f>
        <v>0</v>
      </c>
      <c r="Y1492" s="68"/>
      <c r="Z1492" s="148">
        <f>ROUND(IF(X1492&gt;I1492,X1492,I1492),4)</f>
        <v>0</v>
      </c>
      <c r="AD1492" s="78">
        <f t="shared" si="24"/>
        <v>0</v>
      </c>
      <c r="AE1492" s="78">
        <f t="shared" si="25"/>
        <v>0</v>
      </c>
    </row>
    <row r="1493" spans="1:31" x14ac:dyDescent="0.2">
      <c r="A1493" s="66"/>
      <c r="B1493" s="66"/>
      <c r="C1493" s="66"/>
      <c r="D1493" s="144"/>
      <c r="E1493" s="67"/>
      <c r="F1493" s="67"/>
      <c r="G1493" s="67"/>
      <c r="H1493" s="67">
        <f>ROUND(+E1493+G1493,4)</f>
        <v>0</v>
      </c>
      <c r="I1493" s="67"/>
      <c r="J1493" s="67">
        <f>ROUND(+I1493-H1493,4)</f>
        <v>0</v>
      </c>
      <c r="K1493" s="67">
        <f>ROUND(IF(F1493="alluminio",0,I1493*1.5%),4)</f>
        <v>0</v>
      </c>
      <c r="L1493" s="67">
        <f>ROUND(IF(K1493&lt;J1493,K1493,0),4)</f>
        <v>0</v>
      </c>
      <c r="M1493" s="67">
        <f>ROUND(IF(J1493&gt;K1493,0,J1493),4)</f>
        <v>0</v>
      </c>
      <c r="N1493" s="67">
        <f>ROUND(+L1493*D1493,4)</f>
        <v>0</v>
      </c>
      <c r="O1493" s="67">
        <f>ROUND(IF(F1493="rame",0,+I1493*3%),4)</f>
        <v>0</v>
      </c>
      <c r="P1493" s="67">
        <f>ROUND(IF(O1493&lt;J1493,O1493,0),4)</f>
        <v>0</v>
      </c>
      <c r="Q1493" s="67">
        <f>ROUND(IF(J1493&gt;O1493,0,J1493),4)</f>
        <v>0</v>
      </c>
      <c r="R1493" s="67">
        <f>ROUND(+P1493*D1493,4)</f>
        <v>0</v>
      </c>
      <c r="S1493" s="67">
        <f>ROUND(IF(K1493=0,0,M1493*D1493),4)</f>
        <v>0</v>
      </c>
      <c r="T1493" s="67">
        <f>ROUND(+IF(K1493=0,Q1493*D1493,0),4)</f>
        <v>0</v>
      </c>
      <c r="U1493" s="67">
        <f>ROUND(+N1493+R1493+S1493+T1493,4)</f>
        <v>0</v>
      </c>
      <c r="V1493" s="67">
        <f>ROUND(IF(P1493=0,0,I1493-H1493-O1493)+IF(L1493=0,0,I1493-H1493-K1493),4)</f>
        <v>0</v>
      </c>
      <c r="W1493" s="67">
        <f>ROUND(+(V1493*60%)*D1493,4)</f>
        <v>0</v>
      </c>
      <c r="X1493" s="148">
        <f>ROUND(+U1493+W1493,4)</f>
        <v>0</v>
      </c>
      <c r="Y1493" s="68"/>
      <c r="Z1493" s="148">
        <f>ROUND(IF(X1493&gt;I1493,X1493,I1493),4)</f>
        <v>0</v>
      </c>
      <c r="AD1493" s="78">
        <f t="shared" si="24"/>
        <v>0</v>
      </c>
      <c r="AE1493" s="78">
        <f t="shared" si="25"/>
        <v>0</v>
      </c>
    </row>
    <row r="1494" spans="1:31" x14ac:dyDescent="0.2">
      <c r="A1494" s="66"/>
      <c r="B1494" s="66"/>
      <c r="C1494" s="66"/>
      <c r="D1494" s="144"/>
      <c r="E1494" s="67"/>
      <c r="F1494" s="67"/>
      <c r="G1494" s="67"/>
      <c r="H1494" s="67">
        <f>ROUND(+E1494+G1494,4)</f>
        <v>0</v>
      </c>
      <c r="I1494" s="67"/>
      <c r="J1494" s="67">
        <f>ROUND(+I1494-H1494,4)</f>
        <v>0</v>
      </c>
      <c r="K1494" s="67">
        <f>ROUND(IF(F1494="alluminio",0,I1494*1.5%),4)</f>
        <v>0</v>
      </c>
      <c r="L1494" s="67">
        <f>ROUND(IF(K1494&lt;J1494,K1494,0),4)</f>
        <v>0</v>
      </c>
      <c r="M1494" s="67">
        <f>ROUND(IF(J1494&gt;K1494,0,J1494),4)</f>
        <v>0</v>
      </c>
      <c r="N1494" s="67">
        <f>ROUND(+L1494*D1494,4)</f>
        <v>0</v>
      </c>
      <c r="O1494" s="67">
        <f>ROUND(IF(F1494="rame",0,+I1494*3%),4)</f>
        <v>0</v>
      </c>
      <c r="P1494" s="67">
        <f>ROUND(IF(O1494&lt;J1494,O1494,0),4)</f>
        <v>0</v>
      </c>
      <c r="Q1494" s="67">
        <f>ROUND(IF(J1494&gt;O1494,0,J1494),4)</f>
        <v>0</v>
      </c>
      <c r="R1494" s="67">
        <f>ROUND(+P1494*D1494,4)</f>
        <v>0</v>
      </c>
      <c r="S1494" s="67">
        <f>ROUND(IF(K1494=0,0,M1494*D1494),4)</f>
        <v>0</v>
      </c>
      <c r="T1494" s="67">
        <f>ROUND(+IF(K1494=0,Q1494*D1494,0),4)</f>
        <v>0</v>
      </c>
      <c r="U1494" s="67">
        <f>ROUND(+N1494+R1494+S1494+T1494,4)</f>
        <v>0</v>
      </c>
      <c r="V1494" s="67">
        <f>ROUND(IF(P1494=0,0,I1494-H1494-O1494)+IF(L1494=0,0,I1494-H1494-K1494),4)</f>
        <v>0</v>
      </c>
      <c r="W1494" s="67">
        <f>ROUND(+(V1494*60%)*D1494,4)</f>
        <v>0</v>
      </c>
      <c r="X1494" s="148">
        <f>ROUND(+U1494+W1494,4)</f>
        <v>0</v>
      </c>
      <c r="Y1494" s="68"/>
      <c r="Z1494" s="148">
        <f>ROUND(IF(X1494&gt;I1494,X1494,I1494),4)</f>
        <v>0</v>
      </c>
      <c r="AD1494" s="78">
        <f t="shared" si="24"/>
        <v>0</v>
      </c>
      <c r="AE1494" s="78">
        <f t="shared" si="25"/>
        <v>0</v>
      </c>
    </row>
    <row r="1495" spans="1:31" x14ac:dyDescent="0.2">
      <c r="A1495" s="66"/>
      <c r="B1495" s="66"/>
      <c r="C1495" s="66"/>
      <c r="D1495" s="144"/>
      <c r="E1495" s="67"/>
      <c r="F1495" s="67"/>
      <c r="G1495" s="67"/>
      <c r="H1495" s="67">
        <f>ROUND(+E1495+G1495,4)</f>
        <v>0</v>
      </c>
      <c r="I1495" s="67"/>
      <c r="J1495" s="67">
        <f>ROUND(+I1495-H1495,4)</f>
        <v>0</v>
      </c>
      <c r="K1495" s="67">
        <f>ROUND(IF(F1495="alluminio",0,I1495*1.5%),4)</f>
        <v>0</v>
      </c>
      <c r="L1495" s="67">
        <f>ROUND(IF(K1495&lt;J1495,K1495,0),4)</f>
        <v>0</v>
      </c>
      <c r="M1495" s="67">
        <f>ROUND(IF(J1495&gt;K1495,0,J1495),4)</f>
        <v>0</v>
      </c>
      <c r="N1495" s="67">
        <f>ROUND(+L1495*D1495,4)</f>
        <v>0</v>
      </c>
      <c r="O1495" s="67">
        <f>ROUND(IF(F1495="rame",0,+I1495*3%),4)</f>
        <v>0</v>
      </c>
      <c r="P1495" s="67">
        <f>ROUND(IF(O1495&lt;J1495,O1495,0),4)</f>
        <v>0</v>
      </c>
      <c r="Q1495" s="67">
        <f>ROUND(IF(J1495&gt;O1495,0,J1495),4)</f>
        <v>0</v>
      </c>
      <c r="R1495" s="67">
        <f>ROUND(+P1495*D1495,4)</f>
        <v>0</v>
      </c>
      <c r="S1495" s="67">
        <f>ROUND(IF(K1495=0,0,M1495*D1495),4)</f>
        <v>0</v>
      </c>
      <c r="T1495" s="67">
        <f>ROUND(+IF(K1495=0,Q1495*D1495,0),4)</f>
        <v>0</v>
      </c>
      <c r="U1495" s="67">
        <f>ROUND(+N1495+R1495+S1495+T1495,4)</f>
        <v>0</v>
      </c>
      <c r="V1495" s="67">
        <f>ROUND(IF(P1495=0,0,I1495-H1495-O1495)+IF(L1495=0,0,I1495-H1495-K1495),4)</f>
        <v>0</v>
      </c>
      <c r="W1495" s="67">
        <f>ROUND(+(V1495*60%)*D1495,4)</f>
        <v>0</v>
      </c>
      <c r="X1495" s="148">
        <f>ROUND(+U1495+W1495,4)</f>
        <v>0</v>
      </c>
      <c r="Y1495" s="68"/>
      <c r="Z1495" s="148">
        <f>ROUND(IF(X1495&gt;I1495,X1495,I1495),4)</f>
        <v>0</v>
      </c>
      <c r="AD1495" s="78">
        <f t="shared" si="24"/>
        <v>0</v>
      </c>
      <c r="AE1495" s="78">
        <f t="shared" si="25"/>
        <v>0</v>
      </c>
    </row>
    <row r="1496" spans="1:31" x14ac:dyDescent="0.2">
      <c r="A1496" s="66"/>
      <c r="B1496" s="66"/>
      <c r="C1496" s="66"/>
      <c r="D1496" s="144"/>
      <c r="E1496" s="67"/>
      <c r="F1496" s="67"/>
      <c r="G1496" s="67"/>
      <c r="H1496" s="67">
        <f>ROUND(+E1496+G1496,4)</f>
        <v>0</v>
      </c>
      <c r="I1496" s="67"/>
      <c r="J1496" s="67">
        <f>ROUND(+I1496-H1496,4)</f>
        <v>0</v>
      </c>
      <c r="K1496" s="67">
        <f>ROUND(IF(F1496="alluminio",0,I1496*1.5%),4)</f>
        <v>0</v>
      </c>
      <c r="L1496" s="67">
        <f>ROUND(IF(K1496&lt;J1496,K1496,0),4)</f>
        <v>0</v>
      </c>
      <c r="M1496" s="67">
        <f>ROUND(IF(J1496&gt;K1496,0,J1496),4)</f>
        <v>0</v>
      </c>
      <c r="N1496" s="67">
        <f>ROUND(+L1496*D1496,4)</f>
        <v>0</v>
      </c>
      <c r="O1496" s="67">
        <f>ROUND(IF(F1496="rame",0,+I1496*3%),4)</f>
        <v>0</v>
      </c>
      <c r="P1496" s="67">
        <f>ROUND(IF(O1496&lt;J1496,O1496,0),4)</f>
        <v>0</v>
      </c>
      <c r="Q1496" s="67">
        <f>ROUND(IF(J1496&gt;O1496,0,J1496),4)</f>
        <v>0</v>
      </c>
      <c r="R1496" s="67">
        <f>ROUND(+P1496*D1496,4)</f>
        <v>0</v>
      </c>
      <c r="S1496" s="67">
        <f>ROUND(IF(K1496=0,0,M1496*D1496),4)</f>
        <v>0</v>
      </c>
      <c r="T1496" s="67">
        <f>ROUND(+IF(K1496=0,Q1496*D1496,0),4)</f>
        <v>0</v>
      </c>
      <c r="U1496" s="67">
        <f>ROUND(+N1496+R1496+S1496+T1496,4)</f>
        <v>0</v>
      </c>
      <c r="V1496" s="67">
        <f>ROUND(IF(P1496=0,0,I1496-H1496-O1496)+IF(L1496=0,0,I1496-H1496-K1496),4)</f>
        <v>0</v>
      </c>
      <c r="W1496" s="67">
        <f>ROUND(+(V1496*60%)*D1496,4)</f>
        <v>0</v>
      </c>
      <c r="X1496" s="148">
        <f>ROUND(+U1496+W1496,4)</f>
        <v>0</v>
      </c>
      <c r="Y1496" s="68"/>
      <c r="Z1496" s="148">
        <f>ROUND(IF(X1496&gt;I1496,X1496,I1496),4)</f>
        <v>0</v>
      </c>
      <c r="AD1496" s="78">
        <f t="shared" si="24"/>
        <v>0</v>
      </c>
      <c r="AE1496" s="78">
        <f t="shared" si="25"/>
        <v>0</v>
      </c>
    </row>
    <row r="1497" spans="1:31" x14ac:dyDescent="0.2">
      <c r="A1497" s="66"/>
      <c r="B1497" s="66"/>
      <c r="C1497" s="66"/>
      <c r="D1497" s="144"/>
      <c r="E1497" s="67"/>
      <c r="F1497" s="67"/>
      <c r="G1497" s="67"/>
      <c r="H1497" s="67">
        <f>ROUND(+E1497+G1497,4)</f>
        <v>0</v>
      </c>
      <c r="I1497" s="67"/>
      <c r="J1497" s="67">
        <f>ROUND(+I1497-H1497,4)</f>
        <v>0</v>
      </c>
      <c r="K1497" s="67">
        <f>ROUND(IF(F1497="alluminio",0,I1497*1.5%),4)</f>
        <v>0</v>
      </c>
      <c r="L1497" s="67">
        <f>ROUND(IF(K1497&lt;J1497,K1497,0),4)</f>
        <v>0</v>
      </c>
      <c r="M1497" s="67">
        <f>ROUND(IF(J1497&gt;K1497,0,J1497),4)</f>
        <v>0</v>
      </c>
      <c r="N1497" s="67">
        <f>ROUND(+L1497*D1497,4)</f>
        <v>0</v>
      </c>
      <c r="O1497" s="67">
        <f>ROUND(IF(F1497="rame",0,+I1497*3%),4)</f>
        <v>0</v>
      </c>
      <c r="P1497" s="67">
        <f>ROUND(IF(O1497&lt;J1497,O1497,0),4)</f>
        <v>0</v>
      </c>
      <c r="Q1497" s="67">
        <f>ROUND(IF(J1497&gt;O1497,0,J1497),4)</f>
        <v>0</v>
      </c>
      <c r="R1497" s="67">
        <f>ROUND(+P1497*D1497,4)</f>
        <v>0</v>
      </c>
      <c r="S1497" s="67">
        <f>ROUND(IF(K1497=0,0,M1497*D1497),4)</f>
        <v>0</v>
      </c>
      <c r="T1497" s="67">
        <f>ROUND(+IF(K1497=0,Q1497*D1497,0),4)</f>
        <v>0</v>
      </c>
      <c r="U1497" s="67">
        <f>ROUND(+N1497+R1497+S1497+T1497,4)</f>
        <v>0</v>
      </c>
      <c r="V1497" s="67">
        <f>ROUND(IF(P1497=0,0,I1497-H1497-O1497)+IF(L1497=0,0,I1497-H1497-K1497),4)</f>
        <v>0</v>
      </c>
      <c r="W1497" s="67">
        <f>ROUND(+(V1497*60%)*D1497,4)</f>
        <v>0</v>
      </c>
      <c r="X1497" s="148">
        <f>ROUND(+U1497+W1497,4)</f>
        <v>0</v>
      </c>
      <c r="Y1497" s="68"/>
      <c r="Z1497" s="148">
        <f>ROUND(IF(X1497&gt;I1497,X1497,I1497),4)</f>
        <v>0</v>
      </c>
      <c r="AD1497" s="78">
        <f t="shared" si="24"/>
        <v>0</v>
      </c>
      <c r="AE1497" s="78">
        <f t="shared" si="25"/>
        <v>0</v>
      </c>
    </row>
    <row r="1498" spans="1:31" x14ac:dyDescent="0.2">
      <c r="A1498" s="66"/>
      <c r="B1498" s="66"/>
      <c r="C1498" s="66"/>
      <c r="D1498" s="144"/>
      <c r="E1498" s="67"/>
      <c r="F1498" s="67"/>
      <c r="G1498" s="67"/>
      <c r="H1498" s="67">
        <f>ROUND(+E1498+G1498,4)</f>
        <v>0</v>
      </c>
      <c r="I1498" s="67"/>
      <c r="J1498" s="67">
        <f>ROUND(+I1498-H1498,4)</f>
        <v>0</v>
      </c>
      <c r="K1498" s="67">
        <f>ROUND(IF(F1498="alluminio",0,I1498*1.5%),4)</f>
        <v>0</v>
      </c>
      <c r="L1498" s="67">
        <f>ROUND(IF(K1498&lt;J1498,K1498,0),4)</f>
        <v>0</v>
      </c>
      <c r="M1498" s="67">
        <f>ROUND(IF(J1498&gt;K1498,0,J1498),4)</f>
        <v>0</v>
      </c>
      <c r="N1498" s="67">
        <f>ROUND(+L1498*D1498,4)</f>
        <v>0</v>
      </c>
      <c r="O1498" s="67">
        <f>ROUND(IF(F1498="rame",0,+I1498*3%),4)</f>
        <v>0</v>
      </c>
      <c r="P1498" s="67">
        <f>ROUND(IF(O1498&lt;J1498,O1498,0),4)</f>
        <v>0</v>
      </c>
      <c r="Q1498" s="67">
        <f>ROUND(IF(J1498&gt;O1498,0,J1498),4)</f>
        <v>0</v>
      </c>
      <c r="R1498" s="67">
        <f>ROUND(+P1498*D1498,4)</f>
        <v>0</v>
      </c>
      <c r="S1498" s="67">
        <f>ROUND(IF(K1498=0,0,M1498*D1498),4)</f>
        <v>0</v>
      </c>
      <c r="T1498" s="67">
        <f>ROUND(+IF(K1498=0,Q1498*D1498,0),4)</f>
        <v>0</v>
      </c>
      <c r="U1498" s="67">
        <f>ROUND(+N1498+R1498+S1498+T1498,4)</f>
        <v>0</v>
      </c>
      <c r="V1498" s="67">
        <f>ROUND(IF(P1498=0,0,I1498-H1498-O1498)+IF(L1498=0,0,I1498-H1498-K1498),4)</f>
        <v>0</v>
      </c>
      <c r="W1498" s="67">
        <f>ROUND(+(V1498*60%)*D1498,4)</f>
        <v>0</v>
      </c>
      <c r="X1498" s="148">
        <f>ROUND(+U1498+W1498,4)</f>
        <v>0</v>
      </c>
      <c r="Y1498" s="68"/>
      <c r="Z1498" s="148">
        <f>ROUND(IF(X1498&gt;I1498,X1498,I1498),4)</f>
        <v>0</v>
      </c>
      <c r="AD1498" s="78">
        <f t="shared" si="24"/>
        <v>0</v>
      </c>
      <c r="AE1498" s="78">
        <f t="shared" si="25"/>
        <v>0</v>
      </c>
    </row>
    <row r="1499" spans="1:31" x14ac:dyDescent="0.2">
      <c r="A1499" s="66"/>
      <c r="B1499" s="66"/>
      <c r="C1499" s="66"/>
      <c r="D1499" s="144"/>
      <c r="E1499" s="67"/>
      <c r="F1499" s="67"/>
      <c r="G1499" s="67"/>
      <c r="H1499" s="67">
        <f>ROUND(+E1499+G1499,4)</f>
        <v>0</v>
      </c>
      <c r="I1499" s="67"/>
      <c r="J1499" s="67">
        <f>ROUND(+I1499-H1499,4)</f>
        <v>0</v>
      </c>
      <c r="K1499" s="67">
        <f>ROUND(IF(F1499="alluminio",0,I1499*1.5%),4)</f>
        <v>0</v>
      </c>
      <c r="L1499" s="67">
        <f>ROUND(IF(K1499&lt;J1499,K1499,0),4)</f>
        <v>0</v>
      </c>
      <c r="M1499" s="67">
        <f>ROUND(IF(J1499&gt;K1499,0,J1499),4)</f>
        <v>0</v>
      </c>
      <c r="N1499" s="67">
        <f>ROUND(+L1499*D1499,4)</f>
        <v>0</v>
      </c>
      <c r="O1499" s="67">
        <f>ROUND(IF(F1499="rame",0,+I1499*3%),4)</f>
        <v>0</v>
      </c>
      <c r="P1499" s="67">
        <f>ROUND(IF(O1499&lt;J1499,O1499,0),4)</f>
        <v>0</v>
      </c>
      <c r="Q1499" s="67">
        <f>ROUND(IF(J1499&gt;O1499,0,J1499),4)</f>
        <v>0</v>
      </c>
      <c r="R1499" s="67">
        <f>ROUND(+P1499*D1499,4)</f>
        <v>0</v>
      </c>
      <c r="S1499" s="67">
        <f>ROUND(IF(K1499=0,0,M1499*D1499),4)</f>
        <v>0</v>
      </c>
      <c r="T1499" s="67">
        <f>ROUND(+IF(K1499=0,Q1499*D1499,0),4)</f>
        <v>0</v>
      </c>
      <c r="U1499" s="67">
        <f>ROUND(+N1499+R1499+S1499+T1499,4)</f>
        <v>0</v>
      </c>
      <c r="V1499" s="67">
        <f>ROUND(IF(P1499=0,0,I1499-H1499-O1499)+IF(L1499=0,0,I1499-H1499-K1499),4)</f>
        <v>0</v>
      </c>
      <c r="W1499" s="67">
        <f>ROUND(+(V1499*60%)*D1499,4)</f>
        <v>0</v>
      </c>
      <c r="X1499" s="148">
        <f>ROUND(+U1499+W1499,4)</f>
        <v>0</v>
      </c>
      <c r="Y1499" s="68"/>
      <c r="Z1499" s="148">
        <f>ROUND(IF(X1499&gt;I1499,X1499,I1499),4)</f>
        <v>0</v>
      </c>
      <c r="AD1499" s="78">
        <f t="shared" si="24"/>
        <v>0</v>
      </c>
      <c r="AE1499" s="78">
        <f t="shared" si="25"/>
        <v>0</v>
      </c>
    </row>
    <row r="1500" spans="1:31" x14ac:dyDescent="0.2">
      <c r="A1500" s="66"/>
      <c r="B1500" s="66"/>
      <c r="C1500" s="66"/>
      <c r="D1500" s="144"/>
      <c r="E1500" s="67"/>
      <c r="F1500" s="67"/>
      <c r="G1500" s="67"/>
      <c r="H1500" s="67">
        <f>ROUND(+E1500+G1500,4)</f>
        <v>0</v>
      </c>
      <c r="I1500" s="67"/>
      <c r="J1500" s="67">
        <f>ROUND(+I1500-H1500,4)</f>
        <v>0</v>
      </c>
      <c r="K1500" s="67">
        <f>ROUND(IF(F1500="alluminio",0,I1500*1.5%),4)</f>
        <v>0</v>
      </c>
      <c r="L1500" s="67">
        <f>ROUND(IF(K1500&lt;J1500,K1500,0),4)</f>
        <v>0</v>
      </c>
      <c r="M1500" s="67">
        <f>ROUND(IF(J1500&gt;K1500,0,J1500),4)</f>
        <v>0</v>
      </c>
      <c r="N1500" s="67">
        <f>ROUND(+L1500*D1500,4)</f>
        <v>0</v>
      </c>
      <c r="O1500" s="67">
        <f>ROUND(IF(F1500="rame",0,+I1500*3%),4)</f>
        <v>0</v>
      </c>
      <c r="P1500" s="67">
        <f>ROUND(IF(O1500&lt;J1500,O1500,0),4)</f>
        <v>0</v>
      </c>
      <c r="Q1500" s="67">
        <f>ROUND(IF(J1500&gt;O1500,0,J1500),4)</f>
        <v>0</v>
      </c>
      <c r="R1500" s="67">
        <f>ROUND(+P1500*D1500,4)</f>
        <v>0</v>
      </c>
      <c r="S1500" s="67">
        <f>ROUND(IF(K1500=0,0,M1500*D1500),4)</f>
        <v>0</v>
      </c>
      <c r="T1500" s="67">
        <f>ROUND(+IF(K1500=0,Q1500*D1500,0),4)</f>
        <v>0</v>
      </c>
      <c r="U1500" s="67">
        <f>ROUND(+N1500+R1500+S1500+T1500,4)</f>
        <v>0</v>
      </c>
      <c r="V1500" s="67">
        <f>ROUND(IF(P1500=0,0,I1500-H1500-O1500)+IF(L1500=0,0,I1500-H1500-K1500),4)</f>
        <v>0</v>
      </c>
      <c r="W1500" s="67">
        <f>ROUND(+(V1500*60%)*D1500,4)</f>
        <v>0</v>
      </c>
      <c r="X1500" s="148">
        <f>ROUND(+U1500+W1500,4)</f>
        <v>0</v>
      </c>
      <c r="Y1500" s="68"/>
      <c r="Z1500" s="148">
        <f>ROUND(IF(X1500&gt;I1500,X1500,I1500),4)</f>
        <v>0</v>
      </c>
      <c r="AD1500" s="78">
        <f t="shared" si="24"/>
        <v>0</v>
      </c>
      <c r="AE1500" s="78">
        <f t="shared" si="25"/>
        <v>0</v>
      </c>
    </row>
    <row r="1501" spans="1:31" x14ac:dyDescent="0.2">
      <c r="A1501" s="66"/>
      <c r="B1501" s="66"/>
      <c r="C1501" s="66"/>
      <c r="D1501" s="144"/>
      <c r="E1501" s="67"/>
      <c r="F1501" s="67"/>
      <c r="G1501" s="67"/>
      <c r="H1501" s="67">
        <f>ROUND(+E1501+G1501,4)</f>
        <v>0</v>
      </c>
      <c r="I1501" s="67"/>
      <c r="J1501" s="67">
        <f>ROUND(+I1501-H1501,4)</f>
        <v>0</v>
      </c>
      <c r="K1501" s="67">
        <f>ROUND(IF(F1501="alluminio",0,I1501*1.5%),4)</f>
        <v>0</v>
      </c>
      <c r="L1501" s="67">
        <f>ROUND(IF(K1501&lt;J1501,K1501,0),4)</f>
        <v>0</v>
      </c>
      <c r="M1501" s="67">
        <f>ROUND(IF(J1501&gt;K1501,0,J1501),4)</f>
        <v>0</v>
      </c>
      <c r="N1501" s="67">
        <f>ROUND(+L1501*D1501,4)</f>
        <v>0</v>
      </c>
      <c r="O1501" s="67">
        <f>ROUND(IF(F1501="rame",0,+I1501*3%),4)</f>
        <v>0</v>
      </c>
      <c r="P1501" s="67">
        <f>ROUND(IF(O1501&lt;J1501,O1501,0),4)</f>
        <v>0</v>
      </c>
      <c r="Q1501" s="67">
        <f>ROUND(IF(J1501&gt;O1501,0,J1501),4)</f>
        <v>0</v>
      </c>
      <c r="R1501" s="67">
        <f>ROUND(+P1501*D1501,4)</f>
        <v>0</v>
      </c>
      <c r="S1501" s="67">
        <f>ROUND(IF(K1501=0,0,M1501*D1501),4)</f>
        <v>0</v>
      </c>
      <c r="T1501" s="67">
        <f>ROUND(+IF(K1501=0,Q1501*D1501,0),4)</f>
        <v>0</v>
      </c>
      <c r="U1501" s="67">
        <f>ROUND(+N1501+R1501+S1501+T1501,4)</f>
        <v>0</v>
      </c>
      <c r="V1501" s="67">
        <f>ROUND(IF(P1501=0,0,I1501-H1501-O1501)+IF(L1501=0,0,I1501-H1501-K1501),4)</f>
        <v>0</v>
      </c>
      <c r="W1501" s="67">
        <f>ROUND(+(V1501*60%)*D1501,4)</f>
        <v>0</v>
      </c>
      <c r="X1501" s="148">
        <f>ROUND(+U1501+W1501,4)</f>
        <v>0</v>
      </c>
      <c r="Y1501" s="68"/>
      <c r="Z1501" s="148">
        <f>ROUND(IF(X1501&gt;I1501,X1501,I1501),4)</f>
        <v>0</v>
      </c>
      <c r="AD1501" s="78">
        <f t="shared" si="24"/>
        <v>0</v>
      </c>
      <c r="AE1501" s="78">
        <f t="shared" si="25"/>
        <v>0</v>
      </c>
    </row>
    <row r="1502" spans="1:31" x14ac:dyDescent="0.2">
      <c r="A1502" s="66"/>
      <c r="B1502" s="66"/>
      <c r="C1502" s="66"/>
      <c r="D1502" s="144"/>
      <c r="E1502" s="67"/>
      <c r="F1502" s="67"/>
      <c r="G1502" s="67"/>
      <c r="H1502" s="67">
        <f>ROUND(+E1502+G1502,4)</f>
        <v>0</v>
      </c>
      <c r="I1502" s="67"/>
      <c r="J1502" s="67">
        <f>ROUND(+I1502-H1502,4)</f>
        <v>0</v>
      </c>
      <c r="K1502" s="67">
        <f>ROUND(IF(F1502="alluminio",0,I1502*1.5%),4)</f>
        <v>0</v>
      </c>
      <c r="L1502" s="67">
        <f>ROUND(IF(K1502&lt;J1502,K1502,0),4)</f>
        <v>0</v>
      </c>
      <c r="M1502" s="67">
        <f>ROUND(IF(J1502&gt;K1502,0,J1502),4)</f>
        <v>0</v>
      </c>
      <c r="N1502" s="67">
        <f>ROUND(+L1502*D1502,4)</f>
        <v>0</v>
      </c>
      <c r="O1502" s="67">
        <f>ROUND(IF(F1502="rame",0,+I1502*3%),4)</f>
        <v>0</v>
      </c>
      <c r="P1502" s="67">
        <f>ROUND(IF(O1502&lt;J1502,O1502,0),4)</f>
        <v>0</v>
      </c>
      <c r="Q1502" s="67">
        <f>ROUND(IF(J1502&gt;O1502,0,J1502),4)</f>
        <v>0</v>
      </c>
      <c r="R1502" s="67">
        <f>ROUND(+P1502*D1502,4)</f>
        <v>0</v>
      </c>
      <c r="S1502" s="67">
        <f>ROUND(IF(K1502=0,0,M1502*D1502),4)</f>
        <v>0</v>
      </c>
      <c r="T1502" s="67">
        <f>ROUND(+IF(K1502=0,Q1502*D1502,0),4)</f>
        <v>0</v>
      </c>
      <c r="U1502" s="67">
        <f>ROUND(+N1502+R1502+S1502+T1502,4)</f>
        <v>0</v>
      </c>
      <c r="V1502" s="67">
        <f>ROUND(IF(P1502=0,0,I1502-H1502-O1502)+IF(L1502=0,0,I1502-H1502-K1502),4)</f>
        <v>0</v>
      </c>
      <c r="W1502" s="67">
        <f>ROUND(+(V1502*60%)*D1502,4)</f>
        <v>0</v>
      </c>
      <c r="X1502" s="148">
        <f>ROUND(+U1502+W1502,4)</f>
        <v>0</v>
      </c>
      <c r="Y1502" s="68"/>
      <c r="Z1502" s="148">
        <f>ROUND(IF(X1502&gt;I1502,X1502,I1502),4)</f>
        <v>0</v>
      </c>
      <c r="AD1502" s="78">
        <f t="shared" si="24"/>
        <v>0</v>
      </c>
      <c r="AE1502" s="78">
        <f t="shared" si="25"/>
        <v>0</v>
      </c>
    </row>
    <row r="1503" spans="1:31" x14ac:dyDescent="0.2">
      <c r="A1503" s="66"/>
      <c r="B1503" s="66"/>
      <c r="C1503" s="66"/>
      <c r="D1503" s="144"/>
      <c r="E1503" s="67"/>
      <c r="F1503" s="67"/>
      <c r="G1503" s="67"/>
      <c r="H1503" s="67">
        <f>ROUND(+E1503+G1503,4)</f>
        <v>0</v>
      </c>
      <c r="I1503" s="67"/>
      <c r="J1503" s="67">
        <f>ROUND(+I1503-H1503,4)</f>
        <v>0</v>
      </c>
      <c r="K1503" s="67">
        <f>ROUND(IF(F1503="alluminio",0,I1503*1.5%),4)</f>
        <v>0</v>
      </c>
      <c r="L1503" s="67">
        <f>ROUND(IF(K1503&lt;J1503,K1503,0),4)</f>
        <v>0</v>
      </c>
      <c r="M1503" s="67">
        <f>ROUND(IF(J1503&gt;K1503,0,J1503),4)</f>
        <v>0</v>
      </c>
      <c r="N1503" s="67">
        <f>ROUND(+L1503*D1503,4)</f>
        <v>0</v>
      </c>
      <c r="O1503" s="67">
        <f>ROUND(IF(F1503="rame",0,+I1503*3%),4)</f>
        <v>0</v>
      </c>
      <c r="P1503" s="67">
        <f>ROUND(IF(O1503&lt;J1503,O1503,0),4)</f>
        <v>0</v>
      </c>
      <c r="Q1503" s="67">
        <f>ROUND(IF(J1503&gt;O1503,0,J1503),4)</f>
        <v>0</v>
      </c>
      <c r="R1503" s="67">
        <f>ROUND(+P1503*D1503,4)</f>
        <v>0</v>
      </c>
      <c r="S1503" s="67">
        <f>ROUND(IF(K1503=0,0,M1503*D1503),4)</f>
        <v>0</v>
      </c>
      <c r="T1503" s="67">
        <f>ROUND(+IF(K1503=0,Q1503*D1503,0),4)</f>
        <v>0</v>
      </c>
      <c r="U1503" s="67">
        <f>ROUND(+N1503+R1503+S1503+T1503,4)</f>
        <v>0</v>
      </c>
      <c r="V1503" s="67">
        <f>ROUND(IF(P1503=0,0,I1503-H1503-O1503)+IF(L1503=0,0,I1503-H1503-K1503),4)</f>
        <v>0</v>
      </c>
      <c r="W1503" s="67">
        <f>ROUND(+(V1503*60%)*D1503,4)</f>
        <v>0</v>
      </c>
      <c r="X1503" s="148">
        <f>ROUND(+U1503+W1503,4)</f>
        <v>0</v>
      </c>
      <c r="Y1503" s="68"/>
      <c r="Z1503" s="148">
        <f>ROUND(IF(X1503&gt;I1503,X1503,I1503),4)</f>
        <v>0</v>
      </c>
      <c r="AD1503" s="78">
        <f t="shared" si="24"/>
        <v>0</v>
      </c>
      <c r="AE1503" s="78">
        <f t="shared" si="25"/>
        <v>0</v>
      </c>
    </row>
    <row r="1504" spans="1:31" x14ac:dyDescent="0.2">
      <c r="A1504" s="66"/>
      <c r="B1504" s="66"/>
      <c r="C1504" s="66"/>
      <c r="D1504" s="144"/>
      <c r="E1504" s="67"/>
      <c r="F1504" s="67"/>
      <c r="G1504" s="67"/>
      <c r="H1504" s="67">
        <f>ROUND(+E1504+G1504,4)</f>
        <v>0</v>
      </c>
      <c r="I1504" s="67"/>
      <c r="J1504" s="67">
        <f>ROUND(+I1504-H1504,4)</f>
        <v>0</v>
      </c>
      <c r="K1504" s="67">
        <f>ROUND(IF(F1504="alluminio",0,I1504*1.5%),4)</f>
        <v>0</v>
      </c>
      <c r="L1504" s="67">
        <f>ROUND(IF(K1504&lt;J1504,K1504,0),4)</f>
        <v>0</v>
      </c>
      <c r="M1504" s="67">
        <f>ROUND(IF(J1504&gt;K1504,0,J1504),4)</f>
        <v>0</v>
      </c>
      <c r="N1504" s="67">
        <f>ROUND(+L1504*D1504,4)</f>
        <v>0</v>
      </c>
      <c r="O1504" s="67">
        <f>ROUND(IF(F1504="rame",0,+I1504*3%),4)</f>
        <v>0</v>
      </c>
      <c r="P1504" s="67">
        <f>ROUND(IF(O1504&lt;J1504,O1504,0),4)</f>
        <v>0</v>
      </c>
      <c r="Q1504" s="67">
        <f>ROUND(IF(J1504&gt;O1504,0,J1504),4)</f>
        <v>0</v>
      </c>
      <c r="R1504" s="67">
        <f>ROUND(+P1504*D1504,4)</f>
        <v>0</v>
      </c>
      <c r="S1504" s="67">
        <f>ROUND(IF(K1504=0,0,M1504*D1504),4)</f>
        <v>0</v>
      </c>
      <c r="T1504" s="67">
        <f>ROUND(+IF(K1504=0,Q1504*D1504,0),4)</f>
        <v>0</v>
      </c>
      <c r="U1504" s="67">
        <f>ROUND(+N1504+R1504+S1504+T1504,4)</f>
        <v>0</v>
      </c>
      <c r="V1504" s="67">
        <f>ROUND(IF(P1504=0,0,I1504-H1504-O1504)+IF(L1504=0,0,I1504-H1504-K1504),4)</f>
        <v>0</v>
      </c>
      <c r="W1504" s="67">
        <f>ROUND(+(V1504*60%)*D1504,4)</f>
        <v>0</v>
      </c>
      <c r="X1504" s="148">
        <f>ROUND(+U1504+W1504,4)</f>
        <v>0</v>
      </c>
      <c r="Y1504" s="68"/>
      <c r="Z1504" s="148">
        <f>ROUND(IF(X1504&gt;I1504,X1504,I1504),4)</f>
        <v>0</v>
      </c>
      <c r="AD1504" s="78">
        <f t="shared" si="24"/>
        <v>0</v>
      </c>
      <c r="AE1504" s="78">
        <f t="shared" si="25"/>
        <v>0</v>
      </c>
    </row>
    <row r="1505" spans="1:31" x14ac:dyDescent="0.2">
      <c r="A1505" s="66"/>
      <c r="B1505" s="66"/>
      <c r="C1505" s="66"/>
      <c r="D1505" s="144"/>
      <c r="E1505" s="67"/>
      <c r="F1505" s="67"/>
      <c r="G1505" s="67"/>
      <c r="H1505" s="67">
        <f>ROUND(+E1505+G1505,4)</f>
        <v>0</v>
      </c>
      <c r="I1505" s="67"/>
      <c r="J1505" s="67">
        <f>ROUND(+I1505-H1505,4)</f>
        <v>0</v>
      </c>
      <c r="K1505" s="67">
        <f>ROUND(IF(F1505="alluminio",0,I1505*1.5%),4)</f>
        <v>0</v>
      </c>
      <c r="L1505" s="67">
        <f>ROUND(IF(K1505&lt;J1505,K1505,0),4)</f>
        <v>0</v>
      </c>
      <c r="M1505" s="67">
        <f>ROUND(IF(J1505&gt;K1505,0,J1505),4)</f>
        <v>0</v>
      </c>
      <c r="N1505" s="67">
        <f>ROUND(+L1505*D1505,4)</f>
        <v>0</v>
      </c>
      <c r="O1505" s="67">
        <f>ROUND(IF(F1505="rame",0,+I1505*3%),4)</f>
        <v>0</v>
      </c>
      <c r="P1505" s="67">
        <f>ROUND(IF(O1505&lt;J1505,O1505,0),4)</f>
        <v>0</v>
      </c>
      <c r="Q1505" s="67">
        <f>ROUND(IF(J1505&gt;O1505,0,J1505),4)</f>
        <v>0</v>
      </c>
      <c r="R1505" s="67">
        <f>ROUND(+P1505*D1505,4)</f>
        <v>0</v>
      </c>
      <c r="S1505" s="67">
        <f>ROUND(IF(K1505=0,0,M1505*D1505),4)</f>
        <v>0</v>
      </c>
      <c r="T1505" s="67">
        <f>ROUND(+IF(K1505=0,Q1505*D1505,0),4)</f>
        <v>0</v>
      </c>
      <c r="U1505" s="67">
        <f>ROUND(+N1505+R1505+S1505+T1505,4)</f>
        <v>0</v>
      </c>
      <c r="V1505" s="67">
        <f>ROUND(IF(P1505=0,0,I1505-H1505-O1505)+IF(L1505=0,0,I1505-H1505-K1505),4)</f>
        <v>0</v>
      </c>
      <c r="W1505" s="67">
        <f>ROUND(+(V1505*60%)*D1505,4)</f>
        <v>0</v>
      </c>
      <c r="X1505" s="148">
        <f>ROUND(+U1505+W1505,4)</f>
        <v>0</v>
      </c>
      <c r="Y1505" s="68"/>
      <c r="Z1505" s="148">
        <f>ROUND(IF(X1505&gt;I1505,X1505,I1505),4)</f>
        <v>0</v>
      </c>
      <c r="AD1505" s="78">
        <f t="shared" si="24"/>
        <v>0</v>
      </c>
      <c r="AE1505" s="78">
        <f t="shared" si="25"/>
        <v>0</v>
      </c>
    </row>
    <row r="1506" spans="1:31" x14ac:dyDescent="0.2">
      <c r="A1506" s="66"/>
      <c r="B1506" s="66"/>
      <c r="C1506" s="66"/>
      <c r="D1506" s="144"/>
      <c r="E1506" s="67"/>
      <c r="F1506" s="67"/>
      <c r="G1506" s="67"/>
      <c r="H1506" s="67">
        <f>ROUND(+E1506+G1506,4)</f>
        <v>0</v>
      </c>
      <c r="I1506" s="67"/>
      <c r="J1506" s="67">
        <f>ROUND(+I1506-H1506,4)</f>
        <v>0</v>
      </c>
      <c r="K1506" s="67">
        <f>ROUND(IF(F1506="alluminio",0,I1506*1.5%),4)</f>
        <v>0</v>
      </c>
      <c r="L1506" s="67">
        <f>ROUND(IF(K1506&lt;J1506,K1506,0),4)</f>
        <v>0</v>
      </c>
      <c r="M1506" s="67">
        <f>ROUND(IF(J1506&gt;K1506,0,J1506),4)</f>
        <v>0</v>
      </c>
      <c r="N1506" s="67">
        <f>ROUND(+L1506*D1506,4)</f>
        <v>0</v>
      </c>
      <c r="O1506" s="67">
        <f>ROUND(IF(F1506="rame",0,+I1506*3%),4)</f>
        <v>0</v>
      </c>
      <c r="P1506" s="67">
        <f>ROUND(IF(O1506&lt;J1506,O1506,0),4)</f>
        <v>0</v>
      </c>
      <c r="Q1506" s="67">
        <f>ROUND(IF(J1506&gt;O1506,0,J1506),4)</f>
        <v>0</v>
      </c>
      <c r="R1506" s="67">
        <f>ROUND(+P1506*D1506,4)</f>
        <v>0</v>
      </c>
      <c r="S1506" s="67">
        <f>ROUND(IF(K1506=0,0,M1506*D1506),4)</f>
        <v>0</v>
      </c>
      <c r="T1506" s="67">
        <f>ROUND(+IF(K1506=0,Q1506*D1506,0),4)</f>
        <v>0</v>
      </c>
      <c r="U1506" s="67">
        <f>ROUND(+N1506+R1506+S1506+T1506,4)</f>
        <v>0</v>
      </c>
      <c r="V1506" s="67">
        <f>ROUND(IF(P1506=0,0,I1506-H1506-O1506)+IF(L1506=0,0,I1506-H1506-K1506),4)</f>
        <v>0</v>
      </c>
      <c r="W1506" s="67">
        <f>ROUND(+(V1506*60%)*D1506,4)</f>
        <v>0</v>
      </c>
      <c r="X1506" s="148">
        <f>ROUND(+U1506+W1506,4)</f>
        <v>0</v>
      </c>
      <c r="Y1506" s="68"/>
      <c r="Z1506" s="148">
        <f>ROUND(IF(X1506&gt;I1506,X1506,I1506),4)</f>
        <v>0</v>
      </c>
      <c r="AD1506" s="78">
        <f t="shared" si="24"/>
        <v>0</v>
      </c>
      <c r="AE1506" s="78">
        <f t="shared" si="25"/>
        <v>0</v>
      </c>
    </row>
    <row r="1507" spans="1:31" x14ac:dyDescent="0.2">
      <c r="A1507" s="66"/>
      <c r="B1507" s="66"/>
      <c r="C1507" s="66"/>
      <c r="D1507" s="144"/>
      <c r="E1507" s="67"/>
      <c r="F1507" s="67"/>
      <c r="G1507" s="67"/>
      <c r="H1507" s="67">
        <f>ROUND(+E1507+G1507,4)</f>
        <v>0</v>
      </c>
      <c r="I1507" s="67"/>
      <c r="J1507" s="67">
        <f>ROUND(+I1507-H1507,4)</f>
        <v>0</v>
      </c>
      <c r="K1507" s="67">
        <f>ROUND(IF(F1507="alluminio",0,I1507*1.5%),4)</f>
        <v>0</v>
      </c>
      <c r="L1507" s="67">
        <f>ROUND(IF(K1507&lt;J1507,K1507,0),4)</f>
        <v>0</v>
      </c>
      <c r="M1507" s="67">
        <f>ROUND(IF(J1507&gt;K1507,0,J1507),4)</f>
        <v>0</v>
      </c>
      <c r="N1507" s="67">
        <f>ROUND(+L1507*D1507,4)</f>
        <v>0</v>
      </c>
      <c r="O1507" s="67">
        <f>ROUND(IF(F1507="rame",0,+I1507*3%),4)</f>
        <v>0</v>
      </c>
      <c r="P1507" s="67">
        <f>ROUND(IF(O1507&lt;J1507,O1507,0),4)</f>
        <v>0</v>
      </c>
      <c r="Q1507" s="67">
        <f>ROUND(IF(J1507&gt;O1507,0,J1507),4)</f>
        <v>0</v>
      </c>
      <c r="R1507" s="67">
        <f>ROUND(+P1507*D1507,4)</f>
        <v>0</v>
      </c>
      <c r="S1507" s="67">
        <f>ROUND(IF(K1507=0,0,M1507*D1507),4)</f>
        <v>0</v>
      </c>
      <c r="T1507" s="67">
        <f>ROUND(+IF(K1507=0,Q1507*D1507,0),4)</f>
        <v>0</v>
      </c>
      <c r="U1507" s="67">
        <f>ROUND(+N1507+R1507+S1507+T1507,4)</f>
        <v>0</v>
      </c>
      <c r="V1507" s="67">
        <f>ROUND(IF(P1507=0,0,I1507-H1507-O1507)+IF(L1507=0,0,I1507-H1507-K1507),4)</f>
        <v>0</v>
      </c>
      <c r="W1507" s="67">
        <f>ROUND(+(V1507*60%)*D1507,4)</f>
        <v>0</v>
      </c>
      <c r="X1507" s="148">
        <f>ROUND(+U1507+W1507,4)</f>
        <v>0</v>
      </c>
      <c r="Y1507" s="68"/>
      <c r="Z1507" s="148">
        <f>ROUND(IF(X1507&gt;I1507,X1507,I1507),4)</f>
        <v>0</v>
      </c>
      <c r="AD1507" s="78">
        <f t="shared" si="24"/>
        <v>0</v>
      </c>
      <c r="AE1507" s="78">
        <f t="shared" si="25"/>
        <v>0</v>
      </c>
    </row>
    <row r="1508" spans="1:31" x14ac:dyDescent="0.2">
      <c r="A1508" s="66"/>
      <c r="B1508" s="66"/>
      <c r="C1508" s="66"/>
      <c r="D1508" s="144"/>
      <c r="E1508" s="67"/>
      <c r="F1508" s="67"/>
      <c r="G1508" s="67"/>
      <c r="H1508" s="67">
        <f>ROUND(+E1508+G1508,4)</f>
        <v>0</v>
      </c>
      <c r="I1508" s="67"/>
      <c r="J1508" s="67">
        <f>ROUND(+I1508-H1508,4)</f>
        <v>0</v>
      </c>
      <c r="K1508" s="67">
        <f>ROUND(IF(F1508="alluminio",0,I1508*1.5%),4)</f>
        <v>0</v>
      </c>
      <c r="L1508" s="67">
        <f>ROUND(IF(K1508&lt;J1508,K1508,0),4)</f>
        <v>0</v>
      </c>
      <c r="M1508" s="67">
        <f>ROUND(IF(J1508&gt;K1508,0,J1508),4)</f>
        <v>0</v>
      </c>
      <c r="N1508" s="67">
        <f>ROUND(+L1508*D1508,4)</f>
        <v>0</v>
      </c>
      <c r="O1508" s="67">
        <f>ROUND(IF(F1508="rame",0,+I1508*3%),4)</f>
        <v>0</v>
      </c>
      <c r="P1508" s="67">
        <f>ROUND(IF(O1508&lt;J1508,O1508,0),4)</f>
        <v>0</v>
      </c>
      <c r="Q1508" s="67">
        <f>ROUND(IF(J1508&gt;O1508,0,J1508),4)</f>
        <v>0</v>
      </c>
      <c r="R1508" s="67">
        <f>ROUND(+P1508*D1508,4)</f>
        <v>0</v>
      </c>
      <c r="S1508" s="67">
        <f>ROUND(IF(K1508=0,0,M1508*D1508),4)</f>
        <v>0</v>
      </c>
      <c r="T1508" s="67">
        <f>ROUND(+IF(K1508=0,Q1508*D1508,0),4)</f>
        <v>0</v>
      </c>
      <c r="U1508" s="67">
        <f>ROUND(+N1508+R1508+S1508+T1508,4)</f>
        <v>0</v>
      </c>
      <c r="V1508" s="67">
        <f>ROUND(IF(P1508=0,0,I1508-H1508-O1508)+IF(L1508=0,0,I1508-H1508-K1508),4)</f>
        <v>0</v>
      </c>
      <c r="W1508" s="67">
        <f>ROUND(+(V1508*60%)*D1508,4)</f>
        <v>0</v>
      </c>
      <c r="X1508" s="148">
        <f>ROUND(+U1508+W1508,4)</f>
        <v>0</v>
      </c>
      <c r="Y1508" s="68"/>
      <c r="Z1508" s="148">
        <f>ROUND(IF(X1508&gt;I1508,X1508,I1508),4)</f>
        <v>0</v>
      </c>
      <c r="AD1508" s="78">
        <f t="shared" si="24"/>
        <v>0</v>
      </c>
      <c r="AE1508" s="78">
        <f t="shared" si="25"/>
        <v>0</v>
      </c>
    </row>
    <row r="1509" spans="1:31" x14ac:dyDescent="0.2">
      <c r="A1509" s="66"/>
      <c r="B1509" s="66"/>
      <c r="C1509" s="66"/>
      <c r="D1509" s="144"/>
      <c r="E1509" s="67"/>
      <c r="F1509" s="67"/>
      <c r="G1509" s="67"/>
      <c r="H1509" s="67">
        <f>ROUND(+E1509+G1509,4)</f>
        <v>0</v>
      </c>
      <c r="I1509" s="67"/>
      <c r="J1509" s="67">
        <f>ROUND(+I1509-H1509,4)</f>
        <v>0</v>
      </c>
      <c r="K1509" s="67">
        <f>ROUND(IF(F1509="alluminio",0,I1509*1.5%),4)</f>
        <v>0</v>
      </c>
      <c r="L1509" s="67">
        <f>ROUND(IF(K1509&lt;J1509,K1509,0),4)</f>
        <v>0</v>
      </c>
      <c r="M1509" s="67">
        <f>ROUND(IF(J1509&gt;K1509,0,J1509),4)</f>
        <v>0</v>
      </c>
      <c r="N1509" s="67">
        <f>ROUND(+L1509*D1509,4)</f>
        <v>0</v>
      </c>
      <c r="O1509" s="67">
        <f>ROUND(IF(F1509="rame",0,+I1509*3%),4)</f>
        <v>0</v>
      </c>
      <c r="P1509" s="67">
        <f>ROUND(IF(O1509&lt;J1509,O1509,0),4)</f>
        <v>0</v>
      </c>
      <c r="Q1509" s="67">
        <f>ROUND(IF(J1509&gt;O1509,0,J1509),4)</f>
        <v>0</v>
      </c>
      <c r="R1509" s="67">
        <f>ROUND(+P1509*D1509,4)</f>
        <v>0</v>
      </c>
      <c r="S1509" s="67">
        <f>ROUND(IF(K1509=0,0,M1509*D1509),4)</f>
        <v>0</v>
      </c>
      <c r="T1509" s="67">
        <f>ROUND(+IF(K1509=0,Q1509*D1509,0),4)</f>
        <v>0</v>
      </c>
      <c r="U1509" s="67">
        <f>ROUND(+N1509+R1509+S1509+T1509,4)</f>
        <v>0</v>
      </c>
      <c r="V1509" s="67">
        <f>ROUND(IF(P1509=0,0,I1509-H1509-O1509)+IF(L1509=0,0,I1509-H1509-K1509),4)</f>
        <v>0</v>
      </c>
      <c r="W1509" s="67">
        <f>ROUND(+(V1509*60%)*D1509,4)</f>
        <v>0</v>
      </c>
      <c r="X1509" s="148">
        <f>ROUND(+U1509+W1509,4)</f>
        <v>0</v>
      </c>
      <c r="Y1509" s="68"/>
      <c r="Z1509" s="148">
        <f>ROUND(IF(X1509&gt;I1509,X1509,I1509),4)</f>
        <v>0</v>
      </c>
      <c r="AD1509" s="78">
        <f t="shared" si="24"/>
        <v>0</v>
      </c>
      <c r="AE1509" s="78">
        <f t="shared" si="25"/>
        <v>0</v>
      </c>
    </row>
    <row r="1510" spans="1:31" x14ac:dyDescent="0.2">
      <c r="A1510" s="66"/>
      <c r="B1510" s="66"/>
      <c r="C1510" s="66"/>
      <c r="D1510" s="144"/>
      <c r="E1510" s="67"/>
      <c r="F1510" s="67"/>
      <c r="G1510" s="67"/>
      <c r="H1510" s="67">
        <f>ROUND(+E1510+G1510,4)</f>
        <v>0</v>
      </c>
      <c r="I1510" s="67"/>
      <c r="J1510" s="67">
        <f>ROUND(+I1510-H1510,4)</f>
        <v>0</v>
      </c>
      <c r="K1510" s="67">
        <f>ROUND(IF(F1510="alluminio",0,I1510*1.5%),4)</f>
        <v>0</v>
      </c>
      <c r="L1510" s="67">
        <f>ROUND(IF(K1510&lt;J1510,K1510,0),4)</f>
        <v>0</v>
      </c>
      <c r="M1510" s="67">
        <f>ROUND(IF(J1510&gt;K1510,0,J1510),4)</f>
        <v>0</v>
      </c>
      <c r="N1510" s="67">
        <f>ROUND(+L1510*D1510,4)</f>
        <v>0</v>
      </c>
      <c r="O1510" s="67">
        <f>ROUND(IF(F1510="rame",0,+I1510*3%),4)</f>
        <v>0</v>
      </c>
      <c r="P1510" s="67">
        <f>ROUND(IF(O1510&lt;J1510,O1510,0),4)</f>
        <v>0</v>
      </c>
      <c r="Q1510" s="67">
        <f>ROUND(IF(J1510&gt;O1510,0,J1510),4)</f>
        <v>0</v>
      </c>
      <c r="R1510" s="67">
        <f>ROUND(+P1510*D1510,4)</f>
        <v>0</v>
      </c>
      <c r="S1510" s="67">
        <f>ROUND(IF(K1510=0,0,M1510*D1510),4)</f>
        <v>0</v>
      </c>
      <c r="T1510" s="67">
        <f>ROUND(+IF(K1510=0,Q1510*D1510,0),4)</f>
        <v>0</v>
      </c>
      <c r="U1510" s="67">
        <f>ROUND(+N1510+R1510+S1510+T1510,4)</f>
        <v>0</v>
      </c>
      <c r="V1510" s="67">
        <f>ROUND(IF(P1510=0,0,I1510-H1510-O1510)+IF(L1510=0,0,I1510-H1510-K1510),4)</f>
        <v>0</v>
      </c>
      <c r="W1510" s="67">
        <f>ROUND(+(V1510*60%)*D1510,4)</f>
        <v>0</v>
      </c>
      <c r="X1510" s="148">
        <f>ROUND(+U1510+W1510,4)</f>
        <v>0</v>
      </c>
      <c r="Y1510" s="68"/>
      <c r="Z1510" s="148">
        <f>ROUND(IF(X1510&gt;I1510,X1510,I1510),4)</f>
        <v>0</v>
      </c>
      <c r="AD1510" s="78">
        <f t="shared" si="24"/>
        <v>0</v>
      </c>
      <c r="AE1510" s="78">
        <f t="shared" si="25"/>
        <v>0</v>
      </c>
    </row>
    <row r="1511" spans="1:31" x14ac:dyDescent="0.2">
      <c r="A1511" s="66"/>
      <c r="B1511" s="66"/>
      <c r="C1511" s="66"/>
      <c r="D1511" s="144"/>
      <c r="E1511" s="67"/>
      <c r="F1511" s="67"/>
      <c r="G1511" s="67"/>
      <c r="H1511" s="67">
        <f>ROUND(+E1511+G1511,4)</f>
        <v>0</v>
      </c>
      <c r="I1511" s="67"/>
      <c r="J1511" s="67">
        <f>ROUND(+I1511-H1511,4)</f>
        <v>0</v>
      </c>
      <c r="K1511" s="67">
        <f>ROUND(IF(F1511="alluminio",0,I1511*1.5%),4)</f>
        <v>0</v>
      </c>
      <c r="L1511" s="67">
        <f>ROUND(IF(K1511&lt;J1511,K1511,0),4)</f>
        <v>0</v>
      </c>
      <c r="M1511" s="67">
        <f>ROUND(IF(J1511&gt;K1511,0,J1511),4)</f>
        <v>0</v>
      </c>
      <c r="N1511" s="67">
        <f>ROUND(+L1511*D1511,4)</f>
        <v>0</v>
      </c>
      <c r="O1511" s="67">
        <f>ROUND(IF(F1511="rame",0,+I1511*3%),4)</f>
        <v>0</v>
      </c>
      <c r="P1511" s="67">
        <f>ROUND(IF(O1511&lt;J1511,O1511,0),4)</f>
        <v>0</v>
      </c>
      <c r="Q1511" s="67">
        <f>ROUND(IF(J1511&gt;O1511,0,J1511),4)</f>
        <v>0</v>
      </c>
      <c r="R1511" s="67">
        <f>ROUND(+P1511*D1511,4)</f>
        <v>0</v>
      </c>
      <c r="S1511" s="67">
        <f>ROUND(IF(K1511=0,0,M1511*D1511),4)</f>
        <v>0</v>
      </c>
      <c r="T1511" s="67">
        <f>ROUND(+IF(K1511=0,Q1511*D1511,0),4)</f>
        <v>0</v>
      </c>
      <c r="U1511" s="67">
        <f>ROUND(+N1511+R1511+S1511+T1511,4)</f>
        <v>0</v>
      </c>
      <c r="V1511" s="67">
        <f>ROUND(IF(P1511=0,0,I1511-H1511-O1511)+IF(L1511=0,0,I1511-H1511-K1511),4)</f>
        <v>0</v>
      </c>
      <c r="W1511" s="67">
        <f>ROUND(+(V1511*60%)*D1511,4)</f>
        <v>0</v>
      </c>
      <c r="X1511" s="148">
        <f>ROUND(+U1511+W1511,4)</f>
        <v>0</v>
      </c>
      <c r="Y1511" s="68"/>
      <c r="Z1511" s="148">
        <f>ROUND(IF(X1511&gt;I1511,X1511,I1511),4)</f>
        <v>0</v>
      </c>
      <c r="AD1511" s="78">
        <f t="shared" si="24"/>
        <v>0</v>
      </c>
      <c r="AE1511" s="78">
        <f t="shared" si="25"/>
        <v>0</v>
      </c>
    </row>
    <row r="1512" spans="1:31" x14ac:dyDescent="0.2">
      <c r="A1512" s="66"/>
      <c r="B1512" s="66"/>
      <c r="C1512" s="66"/>
      <c r="D1512" s="144"/>
      <c r="E1512" s="67"/>
      <c r="F1512" s="67"/>
      <c r="G1512" s="67"/>
      <c r="H1512" s="67">
        <f>ROUND(+E1512+G1512,4)</f>
        <v>0</v>
      </c>
      <c r="I1512" s="67"/>
      <c r="J1512" s="67">
        <f>ROUND(+I1512-H1512,4)</f>
        <v>0</v>
      </c>
      <c r="K1512" s="67">
        <f>ROUND(IF(F1512="alluminio",0,I1512*1.5%),4)</f>
        <v>0</v>
      </c>
      <c r="L1512" s="67">
        <f>ROUND(IF(K1512&lt;J1512,K1512,0),4)</f>
        <v>0</v>
      </c>
      <c r="M1512" s="67">
        <f>ROUND(IF(J1512&gt;K1512,0,J1512),4)</f>
        <v>0</v>
      </c>
      <c r="N1512" s="67">
        <f>ROUND(+L1512*D1512,4)</f>
        <v>0</v>
      </c>
      <c r="O1512" s="67">
        <f>ROUND(IF(F1512="rame",0,+I1512*3%),4)</f>
        <v>0</v>
      </c>
      <c r="P1512" s="67">
        <f>ROUND(IF(O1512&lt;J1512,O1512,0),4)</f>
        <v>0</v>
      </c>
      <c r="Q1512" s="67">
        <f>ROUND(IF(J1512&gt;O1512,0,J1512),4)</f>
        <v>0</v>
      </c>
      <c r="R1512" s="67">
        <f>ROUND(+P1512*D1512,4)</f>
        <v>0</v>
      </c>
      <c r="S1512" s="67">
        <f>ROUND(IF(K1512=0,0,M1512*D1512),4)</f>
        <v>0</v>
      </c>
      <c r="T1512" s="67">
        <f>ROUND(+IF(K1512=0,Q1512*D1512,0),4)</f>
        <v>0</v>
      </c>
      <c r="U1512" s="67">
        <f>ROUND(+N1512+R1512+S1512+T1512,4)</f>
        <v>0</v>
      </c>
      <c r="V1512" s="67">
        <f>ROUND(IF(P1512=0,0,I1512-H1512-O1512)+IF(L1512=0,0,I1512-H1512-K1512),4)</f>
        <v>0</v>
      </c>
      <c r="W1512" s="67">
        <f>ROUND(+(V1512*60%)*D1512,4)</f>
        <v>0</v>
      </c>
      <c r="X1512" s="148">
        <f>ROUND(+U1512+W1512,4)</f>
        <v>0</v>
      </c>
      <c r="Y1512" s="68"/>
      <c r="Z1512" s="148">
        <f>ROUND(IF(X1512&gt;I1512,X1512,I1512),4)</f>
        <v>0</v>
      </c>
      <c r="AD1512" s="78">
        <f t="shared" si="24"/>
        <v>0</v>
      </c>
      <c r="AE1512" s="78">
        <f t="shared" si="25"/>
        <v>0</v>
      </c>
    </row>
    <row r="1513" spans="1:31" x14ac:dyDescent="0.2">
      <c r="A1513" s="66"/>
      <c r="B1513" s="66"/>
      <c r="C1513" s="66"/>
      <c r="D1513" s="144"/>
      <c r="E1513" s="67"/>
      <c r="F1513" s="67"/>
      <c r="G1513" s="67"/>
      <c r="H1513" s="67">
        <f>ROUND(+E1513+G1513,4)</f>
        <v>0</v>
      </c>
      <c r="I1513" s="67"/>
      <c r="J1513" s="67">
        <f>ROUND(+I1513-H1513,4)</f>
        <v>0</v>
      </c>
      <c r="K1513" s="67">
        <f>ROUND(IF(F1513="alluminio",0,I1513*1.5%),4)</f>
        <v>0</v>
      </c>
      <c r="L1513" s="67">
        <f>ROUND(IF(K1513&lt;J1513,K1513,0),4)</f>
        <v>0</v>
      </c>
      <c r="M1513" s="67">
        <f>ROUND(IF(J1513&gt;K1513,0,J1513),4)</f>
        <v>0</v>
      </c>
      <c r="N1513" s="67">
        <f>ROUND(+L1513*D1513,4)</f>
        <v>0</v>
      </c>
      <c r="O1513" s="67">
        <f>ROUND(IF(F1513="rame",0,+I1513*3%),4)</f>
        <v>0</v>
      </c>
      <c r="P1513" s="67">
        <f>ROUND(IF(O1513&lt;J1513,O1513,0),4)</f>
        <v>0</v>
      </c>
      <c r="Q1513" s="67">
        <f>ROUND(IF(J1513&gt;O1513,0,J1513),4)</f>
        <v>0</v>
      </c>
      <c r="R1513" s="67">
        <f>ROUND(+P1513*D1513,4)</f>
        <v>0</v>
      </c>
      <c r="S1513" s="67">
        <f>ROUND(IF(K1513=0,0,M1513*D1513),4)</f>
        <v>0</v>
      </c>
      <c r="T1513" s="67">
        <f>ROUND(+IF(K1513=0,Q1513*D1513,0),4)</f>
        <v>0</v>
      </c>
      <c r="U1513" s="67">
        <f>ROUND(+N1513+R1513+S1513+T1513,4)</f>
        <v>0</v>
      </c>
      <c r="V1513" s="67">
        <f>ROUND(IF(P1513=0,0,I1513-H1513-O1513)+IF(L1513=0,0,I1513-H1513-K1513),4)</f>
        <v>0</v>
      </c>
      <c r="W1513" s="67">
        <f>ROUND(+(V1513*60%)*D1513,4)</f>
        <v>0</v>
      </c>
      <c r="X1513" s="148">
        <f>ROUND(+U1513+W1513,4)</f>
        <v>0</v>
      </c>
      <c r="Y1513" s="68"/>
      <c r="Z1513" s="148">
        <f>ROUND(IF(X1513&gt;I1513,X1513,I1513),4)</f>
        <v>0</v>
      </c>
      <c r="AD1513" s="78">
        <f t="shared" si="24"/>
        <v>0</v>
      </c>
      <c r="AE1513" s="78">
        <f t="shared" si="25"/>
        <v>0</v>
      </c>
    </row>
    <row r="1514" spans="1:31" x14ac:dyDescent="0.2">
      <c r="A1514" s="66"/>
      <c r="B1514" s="66"/>
      <c r="C1514" s="66"/>
      <c r="D1514" s="144"/>
      <c r="E1514" s="67"/>
      <c r="F1514" s="67"/>
      <c r="G1514" s="67"/>
      <c r="H1514" s="67">
        <f>ROUND(+E1514+G1514,4)</f>
        <v>0</v>
      </c>
      <c r="I1514" s="67"/>
      <c r="J1514" s="67">
        <f>ROUND(+I1514-H1514,4)</f>
        <v>0</v>
      </c>
      <c r="K1514" s="67">
        <f>ROUND(IF(F1514="alluminio",0,I1514*1.5%),4)</f>
        <v>0</v>
      </c>
      <c r="L1514" s="67">
        <f>ROUND(IF(K1514&lt;J1514,K1514,0),4)</f>
        <v>0</v>
      </c>
      <c r="M1514" s="67">
        <f>ROUND(IF(J1514&gt;K1514,0,J1514),4)</f>
        <v>0</v>
      </c>
      <c r="N1514" s="67">
        <f>ROUND(+L1514*D1514,4)</f>
        <v>0</v>
      </c>
      <c r="O1514" s="67">
        <f>ROUND(IF(F1514="rame",0,+I1514*3%),4)</f>
        <v>0</v>
      </c>
      <c r="P1514" s="67">
        <f>ROUND(IF(O1514&lt;J1514,O1514,0),4)</f>
        <v>0</v>
      </c>
      <c r="Q1514" s="67">
        <f>ROUND(IF(J1514&gt;O1514,0,J1514),4)</f>
        <v>0</v>
      </c>
      <c r="R1514" s="67">
        <f>ROUND(+P1514*D1514,4)</f>
        <v>0</v>
      </c>
      <c r="S1514" s="67">
        <f>ROUND(IF(K1514=0,0,M1514*D1514),4)</f>
        <v>0</v>
      </c>
      <c r="T1514" s="67">
        <f>ROUND(+IF(K1514=0,Q1514*D1514,0),4)</f>
        <v>0</v>
      </c>
      <c r="U1514" s="67">
        <f>ROUND(+N1514+R1514+S1514+T1514,4)</f>
        <v>0</v>
      </c>
      <c r="V1514" s="67">
        <f>ROUND(IF(P1514=0,0,I1514-H1514-O1514)+IF(L1514=0,0,I1514-H1514-K1514),4)</f>
        <v>0</v>
      </c>
      <c r="W1514" s="67">
        <f>ROUND(+(V1514*60%)*D1514,4)</f>
        <v>0</v>
      </c>
      <c r="X1514" s="148">
        <f>ROUND(+U1514+W1514,4)</f>
        <v>0</v>
      </c>
      <c r="Y1514" s="68"/>
      <c r="Z1514" s="148">
        <f>ROUND(IF(X1514&gt;I1514,X1514,I1514),4)</f>
        <v>0</v>
      </c>
      <c r="AD1514" s="78">
        <f t="shared" si="24"/>
        <v>0</v>
      </c>
      <c r="AE1514" s="78">
        <f t="shared" si="25"/>
        <v>0</v>
      </c>
    </row>
    <row r="1515" spans="1:31" x14ac:dyDescent="0.2">
      <c r="A1515" s="66"/>
      <c r="B1515" s="66"/>
      <c r="C1515" s="66"/>
      <c r="D1515" s="144"/>
      <c r="E1515" s="67"/>
      <c r="F1515" s="67"/>
      <c r="G1515" s="67"/>
      <c r="H1515" s="67">
        <f>ROUND(+E1515+G1515,4)</f>
        <v>0</v>
      </c>
      <c r="I1515" s="67"/>
      <c r="J1515" s="67">
        <f>ROUND(+I1515-H1515,4)</f>
        <v>0</v>
      </c>
      <c r="K1515" s="67">
        <f>ROUND(IF(F1515="alluminio",0,I1515*1.5%),4)</f>
        <v>0</v>
      </c>
      <c r="L1515" s="67">
        <f>ROUND(IF(K1515&lt;J1515,K1515,0),4)</f>
        <v>0</v>
      </c>
      <c r="M1515" s="67">
        <f>ROUND(IF(J1515&gt;K1515,0,J1515),4)</f>
        <v>0</v>
      </c>
      <c r="N1515" s="67">
        <f>ROUND(+L1515*D1515,4)</f>
        <v>0</v>
      </c>
      <c r="O1515" s="67">
        <f>ROUND(IF(F1515="rame",0,+I1515*3%),4)</f>
        <v>0</v>
      </c>
      <c r="P1515" s="67">
        <f>ROUND(IF(O1515&lt;J1515,O1515,0),4)</f>
        <v>0</v>
      </c>
      <c r="Q1515" s="67">
        <f>ROUND(IF(J1515&gt;O1515,0,J1515),4)</f>
        <v>0</v>
      </c>
      <c r="R1515" s="67">
        <f>ROUND(+P1515*D1515,4)</f>
        <v>0</v>
      </c>
      <c r="S1515" s="67">
        <f>ROUND(IF(K1515=0,0,M1515*D1515),4)</f>
        <v>0</v>
      </c>
      <c r="T1515" s="67">
        <f>ROUND(+IF(K1515=0,Q1515*D1515,0),4)</f>
        <v>0</v>
      </c>
      <c r="U1515" s="67">
        <f>ROUND(+N1515+R1515+S1515+T1515,4)</f>
        <v>0</v>
      </c>
      <c r="V1515" s="67">
        <f>ROUND(IF(P1515=0,0,I1515-H1515-O1515)+IF(L1515=0,0,I1515-H1515-K1515),4)</f>
        <v>0</v>
      </c>
      <c r="W1515" s="67">
        <f>ROUND(+(V1515*60%)*D1515,4)</f>
        <v>0</v>
      </c>
      <c r="X1515" s="148">
        <f>ROUND(+U1515+W1515,4)</f>
        <v>0</v>
      </c>
      <c r="Y1515" s="68"/>
      <c r="Z1515" s="148">
        <f>ROUND(IF(X1515&gt;I1515,X1515,I1515),4)</f>
        <v>0</v>
      </c>
      <c r="AD1515" s="78">
        <f t="shared" si="24"/>
        <v>0</v>
      </c>
      <c r="AE1515" s="78">
        <f t="shared" si="25"/>
        <v>0</v>
      </c>
    </row>
    <row r="1516" spans="1:31" x14ac:dyDescent="0.2">
      <c r="A1516" s="66"/>
      <c r="B1516" s="66"/>
      <c r="C1516" s="66"/>
      <c r="D1516" s="144"/>
      <c r="E1516" s="67"/>
      <c r="F1516" s="67"/>
      <c r="G1516" s="67"/>
      <c r="H1516" s="67">
        <f>ROUND(+E1516+G1516,4)</f>
        <v>0</v>
      </c>
      <c r="I1516" s="67"/>
      <c r="J1516" s="67">
        <f>ROUND(+I1516-H1516,4)</f>
        <v>0</v>
      </c>
      <c r="K1516" s="67">
        <f>ROUND(IF(F1516="alluminio",0,I1516*1.5%),4)</f>
        <v>0</v>
      </c>
      <c r="L1516" s="67">
        <f>ROUND(IF(K1516&lt;J1516,K1516,0),4)</f>
        <v>0</v>
      </c>
      <c r="M1516" s="67">
        <f>ROUND(IF(J1516&gt;K1516,0,J1516),4)</f>
        <v>0</v>
      </c>
      <c r="N1516" s="67">
        <f>ROUND(+L1516*D1516,4)</f>
        <v>0</v>
      </c>
      <c r="O1516" s="67">
        <f>ROUND(IF(F1516="rame",0,+I1516*3%),4)</f>
        <v>0</v>
      </c>
      <c r="P1516" s="67">
        <f>ROUND(IF(O1516&lt;J1516,O1516,0),4)</f>
        <v>0</v>
      </c>
      <c r="Q1516" s="67">
        <f>ROUND(IF(J1516&gt;O1516,0,J1516),4)</f>
        <v>0</v>
      </c>
      <c r="R1516" s="67">
        <f>ROUND(+P1516*D1516,4)</f>
        <v>0</v>
      </c>
      <c r="S1516" s="67">
        <f>ROUND(IF(K1516=0,0,M1516*D1516),4)</f>
        <v>0</v>
      </c>
      <c r="T1516" s="67">
        <f>ROUND(+IF(K1516=0,Q1516*D1516,0),4)</f>
        <v>0</v>
      </c>
      <c r="U1516" s="67">
        <f>ROUND(+N1516+R1516+S1516+T1516,4)</f>
        <v>0</v>
      </c>
      <c r="V1516" s="67">
        <f>ROUND(IF(P1516=0,0,I1516-H1516-O1516)+IF(L1516=0,0,I1516-H1516-K1516),4)</f>
        <v>0</v>
      </c>
      <c r="W1516" s="67">
        <f>ROUND(+(V1516*60%)*D1516,4)</f>
        <v>0</v>
      </c>
      <c r="X1516" s="148">
        <f>ROUND(+U1516+W1516,4)</f>
        <v>0</v>
      </c>
      <c r="Y1516" s="68"/>
      <c r="Z1516" s="148">
        <f>ROUND(IF(X1516&gt;I1516,X1516,I1516),4)</f>
        <v>0</v>
      </c>
      <c r="AD1516" s="78">
        <f t="shared" si="24"/>
        <v>0</v>
      </c>
      <c r="AE1516" s="78">
        <f t="shared" si="25"/>
        <v>0</v>
      </c>
    </row>
    <row r="1517" spans="1:31" x14ac:dyDescent="0.2">
      <c r="A1517" s="66"/>
      <c r="B1517" s="66"/>
      <c r="C1517" s="66"/>
      <c r="D1517" s="144"/>
      <c r="E1517" s="67"/>
      <c r="F1517" s="67"/>
      <c r="G1517" s="67"/>
      <c r="H1517" s="67">
        <f>ROUND(+E1517+G1517,4)</f>
        <v>0</v>
      </c>
      <c r="I1517" s="67"/>
      <c r="J1517" s="67">
        <f>ROUND(+I1517-H1517,4)</f>
        <v>0</v>
      </c>
      <c r="K1517" s="67">
        <f>ROUND(IF(F1517="alluminio",0,I1517*1.5%),4)</f>
        <v>0</v>
      </c>
      <c r="L1517" s="67">
        <f>ROUND(IF(K1517&lt;J1517,K1517,0),4)</f>
        <v>0</v>
      </c>
      <c r="M1517" s="67">
        <f>ROUND(IF(J1517&gt;K1517,0,J1517),4)</f>
        <v>0</v>
      </c>
      <c r="N1517" s="67">
        <f>ROUND(+L1517*D1517,4)</f>
        <v>0</v>
      </c>
      <c r="O1517" s="67">
        <f>ROUND(IF(F1517="rame",0,+I1517*3%),4)</f>
        <v>0</v>
      </c>
      <c r="P1517" s="67">
        <f>ROUND(IF(O1517&lt;J1517,O1517,0),4)</f>
        <v>0</v>
      </c>
      <c r="Q1517" s="67">
        <f>ROUND(IF(J1517&gt;O1517,0,J1517),4)</f>
        <v>0</v>
      </c>
      <c r="R1517" s="67">
        <f>ROUND(+P1517*D1517,4)</f>
        <v>0</v>
      </c>
      <c r="S1517" s="67">
        <f>ROUND(IF(K1517=0,0,M1517*D1517),4)</f>
        <v>0</v>
      </c>
      <c r="T1517" s="67">
        <f>ROUND(+IF(K1517=0,Q1517*D1517,0),4)</f>
        <v>0</v>
      </c>
      <c r="U1517" s="67">
        <f>ROUND(+N1517+R1517+S1517+T1517,4)</f>
        <v>0</v>
      </c>
      <c r="V1517" s="67">
        <f>ROUND(IF(P1517=0,0,I1517-H1517-O1517)+IF(L1517=0,0,I1517-H1517-K1517),4)</f>
        <v>0</v>
      </c>
      <c r="W1517" s="67">
        <f>ROUND(+(V1517*60%)*D1517,4)</f>
        <v>0</v>
      </c>
      <c r="X1517" s="148">
        <f>ROUND(+U1517+W1517,4)</f>
        <v>0</v>
      </c>
      <c r="Y1517" s="68"/>
      <c r="Z1517" s="148">
        <f>ROUND(IF(X1517&gt;I1517,X1517,I1517),4)</f>
        <v>0</v>
      </c>
      <c r="AD1517" s="78">
        <f t="shared" si="24"/>
        <v>0</v>
      </c>
      <c r="AE1517" s="78">
        <f t="shared" si="25"/>
        <v>0</v>
      </c>
    </row>
    <row r="1518" spans="1:31" x14ac:dyDescent="0.2">
      <c r="A1518" s="66"/>
      <c r="B1518" s="66"/>
      <c r="C1518" s="66"/>
      <c r="D1518" s="144"/>
      <c r="E1518" s="67"/>
      <c r="F1518" s="67"/>
      <c r="G1518" s="67"/>
      <c r="H1518" s="67">
        <f>ROUND(+E1518+G1518,4)</f>
        <v>0</v>
      </c>
      <c r="I1518" s="67"/>
      <c r="J1518" s="67">
        <f>ROUND(+I1518-H1518,4)</f>
        <v>0</v>
      </c>
      <c r="K1518" s="67">
        <f>ROUND(IF(F1518="alluminio",0,I1518*1.5%),4)</f>
        <v>0</v>
      </c>
      <c r="L1518" s="67">
        <f>ROUND(IF(K1518&lt;J1518,K1518,0),4)</f>
        <v>0</v>
      </c>
      <c r="M1518" s="67">
        <f>ROUND(IF(J1518&gt;K1518,0,J1518),4)</f>
        <v>0</v>
      </c>
      <c r="N1518" s="67">
        <f>ROUND(+L1518*D1518,4)</f>
        <v>0</v>
      </c>
      <c r="O1518" s="67">
        <f>ROUND(IF(F1518="rame",0,+I1518*3%),4)</f>
        <v>0</v>
      </c>
      <c r="P1518" s="67">
        <f>ROUND(IF(O1518&lt;J1518,O1518,0),4)</f>
        <v>0</v>
      </c>
      <c r="Q1518" s="67">
        <f>ROUND(IF(J1518&gt;O1518,0,J1518),4)</f>
        <v>0</v>
      </c>
      <c r="R1518" s="67">
        <f>ROUND(+P1518*D1518,4)</f>
        <v>0</v>
      </c>
      <c r="S1518" s="67">
        <f>ROUND(IF(K1518=0,0,M1518*D1518),4)</f>
        <v>0</v>
      </c>
      <c r="T1518" s="67">
        <f>ROUND(+IF(K1518=0,Q1518*D1518,0),4)</f>
        <v>0</v>
      </c>
      <c r="U1518" s="67">
        <f>ROUND(+N1518+R1518+S1518+T1518,4)</f>
        <v>0</v>
      </c>
      <c r="V1518" s="67">
        <f>ROUND(IF(P1518=0,0,I1518-H1518-O1518)+IF(L1518=0,0,I1518-H1518-K1518),4)</f>
        <v>0</v>
      </c>
      <c r="W1518" s="67">
        <f>ROUND(+(V1518*60%)*D1518,4)</f>
        <v>0</v>
      </c>
      <c r="X1518" s="148">
        <f>ROUND(+U1518+W1518,4)</f>
        <v>0</v>
      </c>
      <c r="Y1518" s="68"/>
      <c r="Z1518" s="148">
        <f>ROUND(IF(X1518&gt;I1518,X1518,I1518),4)</f>
        <v>0</v>
      </c>
      <c r="AD1518" s="78">
        <f t="shared" si="24"/>
        <v>0</v>
      </c>
      <c r="AE1518" s="78">
        <f t="shared" si="25"/>
        <v>0</v>
      </c>
    </row>
    <row r="1519" spans="1:31" x14ac:dyDescent="0.2">
      <c r="A1519" s="66"/>
      <c r="B1519" s="66"/>
      <c r="C1519" s="66"/>
      <c r="D1519" s="144"/>
      <c r="E1519" s="67"/>
      <c r="F1519" s="67"/>
      <c r="G1519" s="67"/>
      <c r="H1519" s="67">
        <f>ROUND(+E1519+G1519,4)</f>
        <v>0</v>
      </c>
      <c r="I1519" s="67"/>
      <c r="J1519" s="67">
        <f>ROUND(+I1519-H1519,4)</f>
        <v>0</v>
      </c>
      <c r="K1519" s="67">
        <f>ROUND(IF(F1519="alluminio",0,I1519*1.5%),4)</f>
        <v>0</v>
      </c>
      <c r="L1519" s="67">
        <f>ROUND(IF(K1519&lt;J1519,K1519,0),4)</f>
        <v>0</v>
      </c>
      <c r="M1519" s="67">
        <f>ROUND(IF(J1519&gt;K1519,0,J1519),4)</f>
        <v>0</v>
      </c>
      <c r="N1519" s="67">
        <f>ROUND(+L1519*D1519,4)</f>
        <v>0</v>
      </c>
      <c r="O1519" s="67">
        <f>ROUND(IF(F1519="rame",0,+I1519*3%),4)</f>
        <v>0</v>
      </c>
      <c r="P1519" s="67">
        <f>ROUND(IF(O1519&lt;J1519,O1519,0),4)</f>
        <v>0</v>
      </c>
      <c r="Q1519" s="67">
        <f>ROUND(IF(J1519&gt;O1519,0,J1519),4)</f>
        <v>0</v>
      </c>
      <c r="R1519" s="67">
        <f>ROUND(+P1519*D1519,4)</f>
        <v>0</v>
      </c>
      <c r="S1519" s="67">
        <f>ROUND(IF(K1519=0,0,M1519*D1519),4)</f>
        <v>0</v>
      </c>
      <c r="T1519" s="67">
        <f>ROUND(+IF(K1519=0,Q1519*D1519,0),4)</f>
        <v>0</v>
      </c>
      <c r="U1519" s="67">
        <f>ROUND(+N1519+R1519+S1519+T1519,4)</f>
        <v>0</v>
      </c>
      <c r="V1519" s="67">
        <f>ROUND(IF(P1519=0,0,I1519-H1519-O1519)+IF(L1519=0,0,I1519-H1519-K1519),4)</f>
        <v>0</v>
      </c>
      <c r="W1519" s="67">
        <f>ROUND(+(V1519*60%)*D1519,4)</f>
        <v>0</v>
      </c>
      <c r="X1519" s="148">
        <f>ROUND(+U1519+W1519,4)</f>
        <v>0</v>
      </c>
      <c r="Y1519" s="68"/>
      <c r="Z1519" s="148">
        <f>ROUND(IF(X1519&gt;I1519,X1519,I1519),4)</f>
        <v>0</v>
      </c>
      <c r="AD1519" s="78">
        <f t="shared" si="24"/>
        <v>0</v>
      </c>
      <c r="AE1519" s="78">
        <f t="shared" si="25"/>
        <v>0</v>
      </c>
    </row>
    <row r="1520" spans="1:31" x14ac:dyDescent="0.2">
      <c r="A1520" s="66"/>
      <c r="B1520" s="66"/>
      <c r="C1520" s="66"/>
      <c r="D1520" s="144"/>
      <c r="E1520" s="67"/>
      <c r="F1520" s="67"/>
      <c r="G1520" s="67"/>
      <c r="H1520" s="67">
        <f>ROUND(+E1520+G1520,4)</f>
        <v>0</v>
      </c>
      <c r="I1520" s="67"/>
      <c r="J1520" s="67">
        <f>ROUND(+I1520-H1520,4)</f>
        <v>0</v>
      </c>
      <c r="K1520" s="67">
        <f>ROUND(IF(F1520="alluminio",0,I1520*1.5%),4)</f>
        <v>0</v>
      </c>
      <c r="L1520" s="67">
        <f>ROUND(IF(K1520&lt;J1520,K1520,0),4)</f>
        <v>0</v>
      </c>
      <c r="M1520" s="67">
        <f>ROUND(IF(J1520&gt;K1520,0,J1520),4)</f>
        <v>0</v>
      </c>
      <c r="N1520" s="67">
        <f>ROUND(+L1520*D1520,4)</f>
        <v>0</v>
      </c>
      <c r="O1520" s="67">
        <f>ROUND(IF(F1520="rame",0,+I1520*3%),4)</f>
        <v>0</v>
      </c>
      <c r="P1520" s="67">
        <f>ROUND(IF(O1520&lt;J1520,O1520,0),4)</f>
        <v>0</v>
      </c>
      <c r="Q1520" s="67">
        <f>ROUND(IF(J1520&gt;O1520,0,J1520),4)</f>
        <v>0</v>
      </c>
      <c r="R1520" s="67">
        <f>ROUND(+P1520*D1520,4)</f>
        <v>0</v>
      </c>
      <c r="S1520" s="67">
        <f>ROUND(IF(K1520=0,0,M1520*D1520),4)</f>
        <v>0</v>
      </c>
      <c r="T1520" s="67">
        <f>ROUND(+IF(K1520=0,Q1520*D1520,0),4)</f>
        <v>0</v>
      </c>
      <c r="U1520" s="67">
        <f>ROUND(+N1520+R1520+S1520+T1520,4)</f>
        <v>0</v>
      </c>
      <c r="V1520" s="67">
        <f>ROUND(IF(P1520=0,0,I1520-H1520-O1520)+IF(L1520=0,0,I1520-H1520-K1520),4)</f>
        <v>0</v>
      </c>
      <c r="W1520" s="67">
        <f>ROUND(+(V1520*60%)*D1520,4)</f>
        <v>0</v>
      </c>
      <c r="X1520" s="148">
        <f>ROUND(+U1520+W1520,4)</f>
        <v>0</v>
      </c>
      <c r="Y1520" s="68"/>
      <c r="Z1520" s="148">
        <f>ROUND(IF(X1520&gt;I1520,X1520,I1520),4)</f>
        <v>0</v>
      </c>
      <c r="AD1520" s="78">
        <f t="shared" si="24"/>
        <v>0</v>
      </c>
      <c r="AE1520" s="78">
        <f t="shared" si="25"/>
        <v>0</v>
      </c>
    </row>
    <row r="1521" spans="1:31" x14ac:dyDescent="0.2">
      <c r="A1521" s="66"/>
      <c r="B1521" s="66"/>
      <c r="C1521" s="66"/>
      <c r="D1521" s="144"/>
      <c r="E1521" s="67"/>
      <c r="F1521" s="67"/>
      <c r="G1521" s="67"/>
      <c r="H1521" s="67">
        <f>ROUND(+E1521+G1521,4)</f>
        <v>0</v>
      </c>
      <c r="I1521" s="67"/>
      <c r="J1521" s="67">
        <f>ROUND(+I1521-H1521,4)</f>
        <v>0</v>
      </c>
      <c r="K1521" s="67">
        <f>ROUND(IF(F1521="alluminio",0,I1521*1.5%),4)</f>
        <v>0</v>
      </c>
      <c r="L1521" s="67">
        <f>ROUND(IF(K1521&lt;J1521,K1521,0),4)</f>
        <v>0</v>
      </c>
      <c r="M1521" s="67">
        <f>ROUND(IF(J1521&gt;K1521,0,J1521),4)</f>
        <v>0</v>
      </c>
      <c r="N1521" s="67">
        <f>ROUND(+L1521*D1521,4)</f>
        <v>0</v>
      </c>
      <c r="O1521" s="67">
        <f>ROUND(IF(F1521="rame",0,+I1521*3%),4)</f>
        <v>0</v>
      </c>
      <c r="P1521" s="67">
        <f>ROUND(IF(O1521&lt;J1521,O1521,0),4)</f>
        <v>0</v>
      </c>
      <c r="Q1521" s="67">
        <f>ROUND(IF(J1521&gt;O1521,0,J1521),4)</f>
        <v>0</v>
      </c>
      <c r="R1521" s="67">
        <f>ROUND(+P1521*D1521,4)</f>
        <v>0</v>
      </c>
      <c r="S1521" s="67">
        <f>ROUND(IF(K1521=0,0,M1521*D1521),4)</f>
        <v>0</v>
      </c>
      <c r="T1521" s="67">
        <f>ROUND(+IF(K1521=0,Q1521*D1521,0),4)</f>
        <v>0</v>
      </c>
      <c r="U1521" s="67">
        <f>ROUND(+N1521+R1521+S1521+T1521,4)</f>
        <v>0</v>
      </c>
      <c r="V1521" s="67">
        <f>ROUND(IF(P1521=0,0,I1521-H1521-O1521)+IF(L1521=0,0,I1521-H1521-K1521),4)</f>
        <v>0</v>
      </c>
      <c r="W1521" s="67">
        <f>ROUND(+(V1521*60%)*D1521,4)</f>
        <v>0</v>
      </c>
      <c r="X1521" s="148">
        <f>ROUND(+U1521+W1521,4)</f>
        <v>0</v>
      </c>
      <c r="Y1521" s="68"/>
      <c r="Z1521" s="148">
        <f>ROUND(IF(X1521&gt;I1521,X1521,I1521),4)</f>
        <v>0</v>
      </c>
      <c r="AD1521" s="78">
        <f t="shared" si="24"/>
        <v>0</v>
      </c>
      <c r="AE1521" s="78">
        <f t="shared" si="25"/>
        <v>0</v>
      </c>
    </row>
    <row r="1522" spans="1:31" x14ac:dyDescent="0.2">
      <c r="A1522" s="66"/>
      <c r="B1522" s="66"/>
      <c r="C1522" s="66"/>
      <c r="D1522" s="144"/>
      <c r="E1522" s="67"/>
      <c r="F1522" s="67"/>
      <c r="G1522" s="67"/>
      <c r="H1522" s="67">
        <f>ROUND(+E1522+G1522,4)</f>
        <v>0</v>
      </c>
      <c r="I1522" s="67"/>
      <c r="J1522" s="67">
        <f>ROUND(+I1522-H1522,4)</f>
        <v>0</v>
      </c>
      <c r="K1522" s="67">
        <f>ROUND(IF(F1522="alluminio",0,I1522*1.5%),4)</f>
        <v>0</v>
      </c>
      <c r="L1522" s="67">
        <f>ROUND(IF(K1522&lt;J1522,K1522,0),4)</f>
        <v>0</v>
      </c>
      <c r="M1522" s="67">
        <f>ROUND(IF(J1522&gt;K1522,0,J1522),4)</f>
        <v>0</v>
      </c>
      <c r="N1522" s="67">
        <f>ROUND(+L1522*D1522,4)</f>
        <v>0</v>
      </c>
      <c r="O1522" s="67">
        <f>ROUND(IF(F1522="rame",0,+I1522*3%),4)</f>
        <v>0</v>
      </c>
      <c r="P1522" s="67">
        <f>ROUND(IF(O1522&lt;J1522,O1522,0),4)</f>
        <v>0</v>
      </c>
      <c r="Q1522" s="67">
        <f>ROUND(IF(J1522&gt;O1522,0,J1522),4)</f>
        <v>0</v>
      </c>
      <c r="R1522" s="67">
        <f>ROUND(+P1522*D1522,4)</f>
        <v>0</v>
      </c>
      <c r="S1522" s="67">
        <f>ROUND(IF(K1522=0,0,M1522*D1522),4)</f>
        <v>0</v>
      </c>
      <c r="T1522" s="67">
        <f>ROUND(+IF(K1522=0,Q1522*D1522,0),4)</f>
        <v>0</v>
      </c>
      <c r="U1522" s="67">
        <f>ROUND(+N1522+R1522+S1522+T1522,4)</f>
        <v>0</v>
      </c>
      <c r="V1522" s="67">
        <f>ROUND(IF(P1522=0,0,I1522-H1522-O1522)+IF(L1522=0,0,I1522-H1522-K1522),4)</f>
        <v>0</v>
      </c>
      <c r="W1522" s="67">
        <f>ROUND(+(V1522*60%)*D1522,4)</f>
        <v>0</v>
      </c>
      <c r="X1522" s="148">
        <f>ROUND(+U1522+W1522,4)</f>
        <v>0</v>
      </c>
      <c r="Y1522" s="68"/>
      <c r="Z1522" s="148">
        <f>ROUND(IF(X1522&gt;I1522,X1522,I1522),4)</f>
        <v>0</v>
      </c>
      <c r="AD1522" s="78">
        <f t="shared" si="24"/>
        <v>0</v>
      </c>
      <c r="AE1522" s="78">
        <f t="shared" si="25"/>
        <v>0</v>
      </c>
    </row>
    <row r="1523" spans="1:31" x14ac:dyDescent="0.2">
      <c r="A1523" s="66"/>
      <c r="B1523" s="66"/>
      <c r="C1523" s="66"/>
      <c r="D1523" s="144"/>
      <c r="E1523" s="67"/>
      <c r="F1523" s="67"/>
      <c r="G1523" s="67"/>
      <c r="H1523" s="67">
        <f>ROUND(+E1523+G1523,4)</f>
        <v>0</v>
      </c>
      <c r="I1523" s="67"/>
      <c r="J1523" s="67">
        <f>ROUND(+I1523-H1523,4)</f>
        <v>0</v>
      </c>
      <c r="K1523" s="67">
        <f>ROUND(IF(F1523="alluminio",0,I1523*1.5%),4)</f>
        <v>0</v>
      </c>
      <c r="L1523" s="67">
        <f>ROUND(IF(K1523&lt;J1523,K1523,0),4)</f>
        <v>0</v>
      </c>
      <c r="M1523" s="67">
        <f>ROUND(IF(J1523&gt;K1523,0,J1523),4)</f>
        <v>0</v>
      </c>
      <c r="N1523" s="67">
        <f>ROUND(+L1523*D1523,4)</f>
        <v>0</v>
      </c>
      <c r="O1523" s="67">
        <f>ROUND(IF(F1523="rame",0,+I1523*3%),4)</f>
        <v>0</v>
      </c>
      <c r="P1523" s="67">
        <f>ROUND(IF(O1523&lt;J1523,O1523,0),4)</f>
        <v>0</v>
      </c>
      <c r="Q1523" s="67">
        <f>ROUND(IF(J1523&gt;O1523,0,J1523),4)</f>
        <v>0</v>
      </c>
      <c r="R1523" s="67">
        <f>ROUND(+P1523*D1523,4)</f>
        <v>0</v>
      </c>
      <c r="S1523" s="67">
        <f>ROUND(IF(K1523=0,0,M1523*D1523),4)</f>
        <v>0</v>
      </c>
      <c r="T1523" s="67">
        <f>ROUND(+IF(K1523=0,Q1523*D1523,0),4)</f>
        <v>0</v>
      </c>
      <c r="U1523" s="67">
        <f>ROUND(+N1523+R1523+S1523+T1523,4)</f>
        <v>0</v>
      </c>
      <c r="V1523" s="67">
        <f>ROUND(IF(P1523=0,0,I1523-H1523-O1523)+IF(L1523=0,0,I1523-H1523-K1523),4)</f>
        <v>0</v>
      </c>
      <c r="W1523" s="67">
        <f>ROUND(+(V1523*60%)*D1523,4)</f>
        <v>0</v>
      </c>
      <c r="X1523" s="148">
        <f>ROUND(+U1523+W1523,4)</f>
        <v>0</v>
      </c>
      <c r="Y1523" s="68"/>
      <c r="Z1523" s="148">
        <f>ROUND(IF(X1523&gt;I1523,X1523,I1523),4)</f>
        <v>0</v>
      </c>
      <c r="AD1523" s="78">
        <f t="shared" si="24"/>
        <v>0</v>
      </c>
      <c r="AE1523" s="78">
        <f t="shared" si="25"/>
        <v>0</v>
      </c>
    </row>
    <row r="1524" spans="1:31" x14ac:dyDescent="0.2">
      <c r="A1524" s="66"/>
      <c r="B1524" s="66"/>
      <c r="C1524" s="66"/>
      <c r="D1524" s="144"/>
      <c r="E1524" s="67"/>
      <c r="F1524" s="67"/>
      <c r="G1524" s="67"/>
      <c r="H1524" s="67">
        <f>ROUND(+E1524+G1524,4)</f>
        <v>0</v>
      </c>
      <c r="I1524" s="67"/>
      <c r="J1524" s="67">
        <f>ROUND(+I1524-H1524,4)</f>
        <v>0</v>
      </c>
      <c r="K1524" s="67">
        <f>ROUND(IF(F1524="alluminio",0,I1524*1.5%),4)</f>
        <v>0</v>
      </c>
      <c r="L1524" s="67">
        <f>ROUND(IF(K1524&lt;J1524,K1524,0),4)</f>
        <v>0</v>
      </c>
      <c r="M1524" s="67">
        <f>ROUND(IF(J1524&gt;K1524,0,J1524),4)</f>
        <v>0</v>
      </c>
      <c r="N1524" s="67">
        <f>ROUND(+L1524*D1524,4)</f>
        <v>0</v>
      </c>
      <c r="O1524" s="67">
        <f>ROUND(IF(F1524="rame",0,+I1524*3%),4)</f>
        <v>0</v>
      </c>
      <c r="P1524" s="67">
        <f>ROUND(IF(O1524&lt;J1524,O1524,0),4)</f>
        <v>0</v>
      </c>
      <c r="Q1524" s="67">
        <f>ROUND(IF(J1524&gt;O1524,0,J1524),4)</f>
        <v>0</v>
      </c>
      <c r="R1524" s="67">
        <f>ROUND(+P1524*D1524,4)</f>
        <v>0</v>
      </c>
      <c r="S1524" s="67">
        <f>ROUND(IF(K1524=0,0,M1524*D1524),4)</f>
        <v>0</v>
      </c>
      <c r="T1524" s="67">
        <f>ROUND(+IF(K1524=0,Q1524*D1524,0),4)</f>
        <v>0</v>
      </c>
      <c r="U1524" s="67">
        <f>ROUND(+N1524+R1524+S1524+T1524,4)</f>
        <v>0</v>
      </c>
      <c r="V1524" s="67">
        <f>ROUND(IF(P1524=0,0,I1524-H1524-O1524)+IF(L1524=0,0,I1524-H1524-K1524),4)</f>
        <v>0</v>
      </c>
      <c r="W1524" s="67">
        <f>ROUND(+(V1524*60%)*D1524,4)</f>
        <v>0</v>
      </c>
      <c r="X1524" s="148">
        <f>ROUND(+U1524+W1524,4)</f>
        <v>0</v>
      </c>
      <c r="Y1524" s="68"/>
      <c r="Z1524" s="148">
        <f>ROUND(IF(X1524&gt;I1524,X1524,I1524),4)</f>
        <v>0</v>
      </c>
      <c r="AD1524" s="78">
        <f t="shared" si="24"/>
        <v>0</v>
      </c>
      <c r="AE1524" s="78">
        <f t="shared" si="25"/>
        <v>0</v>
      </c>
    </row>
    <row r="1525" spans="1:31" x14ac:dyDescent="0.2">
      <c r="A1525" s="66"/>
      <c r="B1525" s="66"/>
      <c r="C1525" s="66"/>
      <c r="D1525" s="144"/>
      <c r="E1525" s="67"/>
      <c r="F1525" s="67"/>
      <c r="G1525" s="67"/>
      <c r="H1525" s="67">
        <f>ROUND(+E1525+G1525,4)</f>
        <v>0</v>
      </c>
      <c r="I1525" s="67"/>
      <c r="J1525" s="67">
        <f>ROUND(+I1525-H1525,4)</f>
        <v>0</v>
      </c>
      <c r="K1525" s="67">
        <f>ROUND(IF(F1525="alluminio",0,I1525*1.5%),4)</f>
        <v>0</v>
      </c>
      <c r="L1525" s="67">
        <f>ROUND(IF(K1525&lt;J1525,K1525,0),4)</f>
        <v>0</v>
      </c>
      <c r="M1525" s="67">
        <f>ROUND(IF(J1525&gt;K1525,0,J1525),4)</f>
        <v>0</v>
      </c>
      <c r="N1525" s="67">
        <f>ROUND(+L1525*D1525,4)</f>
        <v>0</v>
      </c>
      <c r="O1525" s="67">
        <f>ROUND(IF(F1525="rame",0,+I1525*3%),4)</f>
        <v>0</v>
      </c>
      <c r="P1525" s="67">
        <f>ROUND(IF(O1525&lt;J1525,O1525,0),4)</f>
        <v>0</v>
      </c>
      <c r="Q1525" s="67">
        <f>ROUND(IF(J1525&gt;O1525,0,J1525),4)</f>
        <v>0</v>
      </c>
      <c r="R1525" s="67">
        <f>ROUND(+P1525*D1525,4)</f>
        <v>0</v>
      </c>
      <c r="S1525" s="67">
        <f>ROUND(IF(K1525=0,0,M1525*D1525),4)</f>
        <v>0</v>
      </c>
      <c r="T1525" s="67">
        <f>ROUND(+IF(K1525=0,Q1525*D1525,0),4)</f>
        <v>0</v>
      </c>
      <c r="U1525" s="67">
        <f>ROUND(+N1525+R1525+S1525+T1525,4)</f>
        <v>0</v>
      </c>
      <c r="V1525" s="67">
        <f>ROUND(IF(P1525=0,0,I1525-H1525-O1525)+IF(L1525=0,0,I1525-H1525-K1525),4)</f>
        <v>0</v>
      </c>
      <c r="W1525" s="67">
        <f>ROUND(+(V1525*60%)*D1525,4)</f>
        <v>0</v>
      </c>
      <c r="X1525" s="148">
        <f>ROUND(+U1525+W1525,4)</f>
        <v>0</v>
      </c>
      <c r="Y1525" s="68"/>
      <c r="Z1525" s="148">
        <f>ROUND(IF(X1525&gt;I1525,X1525,I1525),4)</f>
        <v>0</v>
      </c>
      <c r="AD1525" s="78">
        <f t="shared" si="24"/>
        <v>0</v>
      </c>
      <c r="AE1525" s="78">
        <f t="shared" si="25"/>
        <v>0</v>
      </c>
    </row>
    <row r="1526" spans="1:31" x14ac:dyDescent="0.2">
      <c r="A1526" s="66"/>
      <c r="B1526" s="66"/>
      <c r="C1526" s="66"/>
      <c r="D1526" s="144"/>
      <c r="E1526" s="67"/>
      <c r="F1526" s="67"/>
      <c r="G1526" s="67"/>
      <c r="H1526" s="67">
        <f>ROUND(+E1526+G1526,4)</f>
        <v>0</v>
      </c>
      <c r="I1526" s="67"/>
      <c r="J1526" s="67">
        <f>ROUND(+I1526-H1526,4)</f>
        <v>0</v>
      </c>
      <c r="K1526" s="67">
        <f>ROUND(IF(F1526="alluminio",0,I1526*1.5%),4)</f>
        <v>0</v>
      </c>
      <c r="L1526" s="67">
        <f>ROUND(IF(K1526&lt;J1526,K1526,0),4)</f>
        <v>0</v>
      </c>
      <c r="M1526" s="67">
        <f>ROUND(IF(J1526&gt;K1526,0,J1526),4)</f>
        <v>0</v>
      </c>
      <c r="N1526" s="67">
        <f>ROUND(+L1526*D1526,4)</f>
        <v>0</v>
      </c>
      <c r="O1526" s="67">
        <f>ROUND(IF(F1526="rame",0,+I1526*3%),4)</f>
        <v>0</v>
      </c>
      <c r="P1526" s="67">
        <f>ROUND(IF(O1526&lt;J1526,O1526,0),4)</f>
        <v>0</v>
      </c>
      <c r="Q1526" s="67">
        <f>ROUND(IF(J1526&gt;O1526,0,J1526),4)</f>
        <v>0</v>
      </c>
      <c r="R1526" s="67">
        <f>ROUND(+P1526*D1526,4)</f>
        <v>0</v>
      </c>
      <c r="S1526" s="67">
        <f>ROUND(IF(K1526=0,0,M1526*D1526),4)</f>
        <v>0</v>
      </c>
      <c r="T1526" s="67">
        <f>ROUND(+IF(K1526=0,Q1526*D1526,0),4)</f>
        <v>0</v>
      </c>
      <c r="U1526" s="67">
        <f>ROUND(+N1526+R1526+S1526+T1526,4)</f>
        <v>0</v>
      </c>
      <c r="V1526" s="67">
        <f>ROUND(IF(P1526=0,0,I1526-H1526-O1526)+IF(L1526=0,0,I1526-H1526-K1526),4)</f>
        <v>0</v>
      </c>
      <c r="W1526" s="67">
        <f>ROUND(+(V1526*60%)*D1526,4)</f>
        <v>0</v>
      </c>
      <c r="X1526" s="148">
        <f>ROUND(+U1526+W1526,4)</f>
        <v>0</v>
      </c>
      <c r="Y1526" s="68"/>
      <c r="Z1526" s="148">
        <f>ROUND(IF(X1526&gt;I1526,X1526,I1526),4)</f>
        <v>0</v>
      </c>
      <c r="AD1526" s="78">
        <f t="shared" si="24"/>
        <v>0</v>
      </c>
      <c r="AE1526" s="78">
        <f t="shared" si="25"/>
        <v>0</v>
      </c>
    </row>
    <row r="1527" spans="1:31" x14ac:dyDescent="0.2">
      <c r="A1527" s="66"/>
      <c r="B1527" s="66"/>
      <c r="C1527" s="66"/>
      <c r="D1527" s="144"/>
      <c r="E1527" s="67"/>
      <c r="F1527" s="67"/>
      <c r="G1527" s="67"/>
      <c r="H1527" s="67">
        <f>ROUND(+E1527+G1527,4)</f>
        <v>0</v>
      </c>
      <c r="I1527" s="67"/>
      <c r="J1527" s="67">
        <f>ROUND(+I1527-H1527,4)</f>
        <v>0</v>
      </c>
      <c r="K1527" s="67">
        <f>ROUND(IF(F1527="alluminio",0,I1527*1.5%),4)</f>
        <v>0</v>
      </c>
      <c r="L1527" s="67">
        <f>ROUND(IF(K1527&lt;J1527,K1527,0),4)</f>
        <v>0</v>
      </c>
      <c r="M1527" s="67">
        <f>ROUND(IF(J1527&gt;K1527,0,J1527),4)</f>
        <v>0</v>
      </c>
      <c r="N1527" s="67">
        <f>ROUND(+L1527*D1527,4)</f>
        <v>0</v>
      </c>
      <c r="O1527" s="67">
        <f>ROUND(IF(F1527="rame",0,+I1527*3%),4)</f>
        <v>0</v>
      </c>
      <c r="P1527" s="67">
        <f>ROUND(IF(O1527&lt;J1527,O1527,0),4)</f>
        <v>0</v>
      </c>
      <c r="Q1527" s="67">
        <f>ROUND(IF(J1527&gt;O1527,0,J1527),4)</f>
        <v>0</v>
      </c>
      <c r="R1527" s="67">
        <f>ROUND(+P1527*D1527,4)</f>
        <v>0</v>
      </c>
      <c r="S1527" s="67">
        <f>ROUND(IF(K1527=0,0,M1527*D1527),4)</f>
        <v>0</v>
      </c>
      <c r="T1527" s="67">
        <f>ROUND(+IF(K1527=0,Q1527*D1527,0),4)</f>
        <v>0</v>
      </c>
      <c r="U1527" s="67">
        <f>ROUND(+N1527+R1527+S1527+T1527,4)</f>
        <v>0</v>
      </c>
      <c r="V1527" s="67">
        <f>ROUND(IF(P1527=0,0,I1527-H1527-O1527)+IF(L1527=0,0,I1527-H1527-K1527),4)</f>
        <v>0</v>
      </c>
      <c r="W1527" s="67">
        <f>ROUND(+(V1527*60%)*D1527,4)</f>
        <v>0</v>
      </c>
      <c r="X1527" s="148">
        <f>ROUND(+U1527+W1527,4)</f>
        <v>0</v>
      </c>
      <c r="Y1527" s="68"/>
      <c r="Z1527" s="148">
        <f>ROUND(IF(X1527&gt;I1527,X1527,I1527),4)</f>
        <v>0</v>
      </c>
      <c r="AD1527" s="78">
        <f t="shared" si="24"/>
        <v>0</v>
      </c>
      <c r="AE1527" s="78">
        <f t="shared" si="25"/>
        <v>0</v>
      </c>
    </row>
    <row r="1528" spans="1:31" x14ac:dyDescent="0.2">
      <c r="A1528" s="66"/>
      <c r="B1528" s="66"/>
      <c r="C1528" s="66"/>
      <c r="D1528" s="144"/>
      <c r="E1528" s="67"/>
      <c r="F1528" s="67"/>
      <c r="G1528" s="67"/>
      <c r="H1528" s="67">
        <f>ROUND(+E1528+G1528,4)</f>
        <v>0</v>
      </c>
      <c r="I1528" s="67"/>
      <c r="J1528" s="67">
        <f>ROUND(+I1528-H1528,4)</f>
        <v>0</v>
      </c>
      <c r="K1528" s="67">
        <f>ROUND(IF(F1528="alluminio",0,I1528*1.5%),4)</f>
        <v>0</v>
      </c>
      <c r="L1528" s="67">
        <f>ROUND(IF(K1528&lt;J1528,K1528,0),4)</f>
        <v>0</v>
      </c>
      <c r="M1528" s="67">
        <f>ROUND(IF(J1528&gt;K1528,0,J1528),4)</f>
        <v>0</v>
      </c>
      <c r="N1528" s="67">
        <f>ROUND(+L1528*D1528,4)</f>
        <v>0</v>
      </c>
      <c r="O1528" s="67">
        <f>ROUND(IF(F1528="rame",0,+I1528*3%),4)</f>
        <v>0</v>
      </c>
      <c r="P1528" s="67">
        <f>ROUND(IF(O1528&lt;J1528,O1528,0),4)</f>
        <v>0</v>
      </c>
      <c r="Q1528" s="67">
        <f>ROUND(IF(J1528&gt;O1528,0,J1528),4)</f>
        <v>0</v>
      </c>
      <c r="R1528" s="67">
        <f>ROUND(+P1528*D1528,4)</f>
        <v>0</v>
      </c>
      <c r="S1528" s="67">
        <f>ROUND(IF(K1528=0,0,M1528*D1528),4)</f>
        <v>0</v>
      </c>
      <c r="T1528" s="67">
        <f>ROUND(+IF(K1528=0,Q1528*D1528,0),4)</f>
        <v>0</v>
      </c>
      <c r="U1528" s="67">
        <f>ROUND(+N1528+R1528+S1528+T1528,4)</f>
        <v>0</v>
      </c>
      <c r="V1528" s="67">
        <f>ROUND(IF(P1528=0,0,I1528-H1528-O1528)+IF(L1528=0,0,I1528-H1528-K1528),4)</f>
        <v>0</v>
      </c>
      <c r="W1528" s="67">
        <f>ROUND(+(V1528*60%)*D1528,4)</f>
        <v>0</v>
      </c>
      <c r="X1528" s="148">
        <f>ROUND(+U1528+W1528,4)</f>
        <v>0</v>
      </c>
      <c r="Y1528" s="68"/>
      <c r="Z1528" s="148">
        <f>ROUND(IF(X1528&gt;I1528,X1528,I1528),4)</f>
        <v>0</v>
      </c>
      <c r="AD1528" s="78">
        <f t="shared" si="24"/>
        <v>0</v>
      </c>
      <c r="AE1528" s="78">
        <f t="shared" si="25"/>
        <v>0</v>
      </c>
    </row>
    <row r="1529" spans="1:31" x14ac:dyDescent="0.2">
      <c r="A1529" s="66"/>
      <c r="B1529" s="66"/>
      <c r="C1529" s="66"/>
      <c r="D1529" s="144"/>
      <c r="E1529" s="67"/>
      <c r="F1529" s="67"/>
      <c r="G1529" s="67"/>
      <c r="H1529" s="67">
        <f>ROUND(+E1529+G1529,4)</f>
        <v>0</v>
      </c>
      <c r="I1529" s="67"/>
      <c r="J1529" s="67">
        <f>ROUND(+I1529-H1529,4)</f>
        <v>0</v>
      </c>
      <c r="K1529" s="67">
        <f>ROUND(IF(F1529="alluminio",0,I1529*1.5%),4)</f>
        <v>0</v>
      </c>
      <c r="L1529" s="67">
        <f>ROUND(IF(K1529&lt;J1529,K1529,0),4)</f>
        <v>0</v>
      </c>
      <c r="M1529" s="67">
        <f>ROUND(IF(J1529&gt;K1529,0,J1529),4)</f>
        <v>0</v>
      </c>
      <c r="N1529" s="67">
        <f>ROUND(+L1529*D1529,4)</f>
        <v>0</v>
      </c>
      <c r="O1529" s="67">
        <f>ROUND(IF(F1529="rame",0,+I1529*3%),4)</f>
        <v>0</v>
      </c>
      <c r="P1529" s="67">
        <f>ROUND(IF(O1529&lt;J1529,O1529,0),4)</f>
        <v>0</v>
      </c>
      <c r="Q1529" s="67">
        <f>ROUND(IF(J1529&gt;O1529,0,J1529),4)</f>
        <v>0</v>
      </c>
      <c r="R1529" s="67">
        <f>ROUND(+P1529*D1529,4)</f>
        <v>0</v>
      </c>
      <c r="S1529" s="67">
        <f>ROUND(IF(K1529=0,0,M1529*D1529),4)</f>
        <v>0</v>
      </c>
      <c r="T1529" s="67">
        <f>ROUND(+IF(K1529=0,Q1529*D1529,0),4)</f>
        <v>0</v>
      </c>
      <c r="U1529" s="67">
        <f>ROUND(+N1529+R1529+S1529+T1529,4)</f>
        <v>0</v>
      </c>
      <c r="V1529" s="67">
        <f>ROUND(IF(P1529=0,0,I1529-H1529-O1529)+IF(L1529=0,0,I1529-H1529-K1529),4)</f>
        <v>0</v>
      </c>
      <c r="W1529" s="67">
        <f>ROUND(+(V1529*60%)*D1529,4)</f>
        <v>0</v>
      </c>
      <c r="X1529" s="148">
        <f>ROUND(+U1529+W1529,4)</f>
        <v>0</v>
      </c>
      <c r="Y1529" s="68"/>
      <c r="Z1529" s="148">
        <f>ROUND(IF(X1529&gt;I1529,X1529,I1529),4)</f>
        <v>0</v>
      </c>
      <c r="AD1529" s="78">
        <f t="shared" si="24"/>
        <v>0</v>
      </c>
      <c r="AE1529" s="78">
        <f t="shared" si="25"/>
        <v>0</v>
      </c>
    </row>
    <row r="1530" spans="1:31" x14ac:dyDescent="0.2">
      <c r="A1530" s="66"/>
      <c r="B1530" s="66"/>
      <c r="C1530" s="66"/>
      <c r="D1530" s="144"/>
      <c r="E1530" s="67"/>
      <c r="F1530" s="67"/>
      <c r="G1530" s="67"/>
      <c r="H1530" s="67">
        <f>ROUND(+E1530+G1530,4)</f>
        <v>0</v>
      </c>
      <c r="I1530" s="67"/>
      <c r="J1530" s="67">
        <f>ROUND(+I1530-H1530,4)</f>
        <v>0</v>
      </c>
      <c r="K1530" s="67">
        <f>ROUND(IF(F1530="alluminio",0,I1530*1.5%),4)</f>
        <v>0</v>
      </c>
      <c r="L1530" s="67">
        <f>ROUND(IF(K1530&lt;J1530,K1530,0),4)</f>
        <v>0</v>
      </c>
      <c r="M1530" s="67">
        <f>ROUND(IF(J1530&gt;K1530,0,J1530),4)</f>
        <v>0</v>
      </c>
      <c r="N1530" s="67">
        <f>ROUND(+L1530*D1530,4)</f>
        <v>0</v>
      </c>
      <c r="O1530" s="67">
        <f>ROUND(IF(F1530="rame",0,+I1530*3%),4)</f>
        <v>0</v>
      </c>
      <c r="P1530" s="67">
        <f>ROUND(IF(O1530&lt;J1530,O1530,0),4)</f>
        <v>0</v>
      </c>
      <c r="Q1530" s="67">
        <f>ROUND(IF(J1530&gt;O1530,0,J1530),4)</f>
        <v>0</v>
      </c>
      <c r="R1530" s="67">
        <f>ROUND(+P1530*D1530,4)</f>
        <v>0</v>
      </c>
      <c r="S1530" s="67">
        <f>ROUND(IF(K1530=0,0,M1530*D1530),4)</f>
        <v>0</v>
      </c>
      <c r="T1530" s="67">
        <f>ROUND(+IF(K1530=0,Q1530*D1530,0),4)</f>
        <v>0</v>
      </c>
      <c r="U1530" s="67">
        <f>ROUND(+N1530+R1530+S1530+T1530,4)</f>
        <v>0</v>
      </c>
      <c r="V1530" s="67">
        <f>ROUND(IF(P1530=0,0,I1530-H1530-O1530)+IF(L1530=0,0,I1530-H1530-K1530),4)</f>
        <v>0</v>
      </c>
      <c r="W1530" s="67">
        <f>ROUND(+(V1530*60%)*D1530,4)</f>
        <v>0</v>
      </c>
      <c r="X1530" s="148">
        <f>ROUND(+U1530+W1530,4)</f>
        <v>0</v>
      </c>
      <c r="Y1530" s="68"/>
      <c r="Z1530" s="148">
        <f>ROUND(IF(X1530&gt;I1530,X1530,I1530),4)</f>
        <v>0</v>
      </c>
      <c r="AD1530" s="78">
        <f t="shared" si="24"/>
        <v>0</v>
      </c>
      <c r="AE1530" s="78">
        <f t="shared" si="25"/>
        <v>0</v>
      </c>
    </row>
    <row r="1531" spans="1:31" x14ac:dyDescent="0.2">
      <c r="A1531" s="66"/>
      <c r="B1531" s="66"/>
      <c r="C1531" s="66"/>
      <c r="D1531" s="144"/>
      <c r="E1531" s="67"/>
      <c r="F1531" s="67"/>
      <c r="G1531" s="67"/>
      <c r="H1531" s="67">
        <f>ROUND(+E1531+G1531,4)</f>
        <v>0</v>
      </c>
      <c r="I1531" s="67"/>
      <c r="J1531" s="67">
        <f>ROUND(+I1531-H1531,4)</f>
        <v>0</v>
      </c>
      <c r="K1531" s="67">
        <f>ROUND(IF(F1531="alluminio",0,I1531*1.5%),4)</f>
        <v>0</v>
      </c>
      <c r="L1531" s="67">
        <f>ROUND(IF(K1531&lt;J1531,K1531,0),4)</f>
        <v>0</v>
      </c>
      <c r="M1531" s="67">
        <f>ROUND(IF(J1531&gt;K1531,0,J1531),4)</f>
        <v>0</v>
      </c>
      <c r="N1531" s="67">
        <f>ROUND(+L1531*D1531,4)</f>
        <v>0</v>
      </c>
      <c r="O1531" s="67">
        <f>ROUND(IF(F1531="rame",0,+I1531*3%),4)</f>
        <v>0</v>
      </c>
      <c r="P1531" s="67">
        <f>ROUND(IF(O1531&lt;J1531,O1531,0),4)</f>
        <v>0</v>
      </c>
      <c r="Q1531" s="67">
        <f>ROUND(IF(J1531&gt;O1531,0,J1531),4)</f>
        <v>0</v>
      </c>
      <c r="R1531" s="67">
        <f>ROUND(+P1531*D1531,4)</f>
        <v>0</v>
      </c>
      <c r="S1531" s="67">
        <f>ROUND(IF(K1531=0,0,M1531*D1531),4)</f>
        <v>0</v>
      </c>
      <c r="T1531" s="67">
        <f>ROUND(+IF(K1531=0,Q1531*D1531,0),4)</f>
        <v>0</v>
      </c>
      <c r="U1531" s="67">
        <f>ROUND(+N1531+R1531+S1531+T1531,4)</f>
        <v>0</v>
      </c>
      <c r="V1531" s="67">
        <f>ROUND(IF(P1531=0,0,I1531-H1531-O1531)+IF(L1531=0,0,I1531-H1531-K1531),4)</f>
        <v>0</v>
      </c>
      <c r="W1531" s="67">
        <f>ROUND(+(V1531*60%)*D1531,4)</f>
        <v>0</v>
      </c>
      <c r="X1531" s="148">
        <f>ROUND(+U1531+W1531,4)</f>
        <v>0</v>
      </c>
      <c r="Y1531" s="68"/>
      <c r="Z1531" s="148">
        <f>ROUND(IF(X1531&gt;I1531,X1531,I1531),4)</f>
        <v>0</v>
      </c>
      <c r="AD1531" s="78">
        <f t="shared" si="24"/>
        <v>0</v>
      </c>
      <c r="AE1531" s="78">
        <f t="shared" si="25"/>
        <v>0</v>
      </c>
    </row>
    <row r="1532" spans="1:31" x14ac:dyDescent="0.2">
      <c r="A1532" s="66"/>
      <c r="B1532" s="66"/>
      <c r="C1532" s="66"/>
      <c r="D1532" s="144"/>
      <c r="E1532" s="67"/>
      <c r="F1532" s="67"/>
      <c r="G1532" s="67"/>
      <c r="H1532" s="67">
        <f>ROUND(+E1532+G1532,4)</f>
        <v>0</v>
      </c>
      <c r="I1532" s="67"/>
      <c r="J1532" s="67">
        <f>ROUND(+I1532-H1532,4)</f>
        <v>0</v>
      </c>
      <c r="K1532" s="67">
        <f>ROUND(IF(F1532="alluminio",0,I1532*1.5%),4)</f>
        <v>0</v>
      </c>
      <c r="L1532" s="67">
        <f>ROUND(IF(K1532&lt;J1532,K1532,0),4)</f>
        <v>0</v>
      </c>
      <c r="M1532" s="67">
        <f>ROUND(IF(J1532&gt;K1532,0,J1532),4)</f>
        <v>0</v>
      </c>
      <c r="N1532" s="67">
        <f>ROUND(+L1532*D1532,4)</f>
        <v>0</v>
      </c>
      <c r="O1532" s="67">
        <f>ROUND(IF(F1532="rame",0,+I1532*3%),4)</f>
        <v>0</v>
      </c>
      <c r="P1532" s="67">
        <f>ROUND(IF(O1532&lt;J1532,O1532,0),4)</f>
        <v>0</v>
      </c>
      <c r="Q1532" s="67">
        <f>ROUND(IF(J1532&gt;O1532,0,J1532),4)</f>
        <v>0</v>
      </c>
      <c r="R1532" s="67">
        <f>ROUND(+P1532*D1532,4)</f>
        <v>0</v>
      </c>
      <c r="S1532" s="67">
        <f>ROUND(IF(K1532=0,0,M1532*D1532),4)</f>
        <v>0</v>
      </c>
      <c r="T1532" s="67">
        <f>ROUND(+IF(K1532=0,Q1532*D1532,0),4)</f>
        <v>0</v>
      </c>
      <c r="U1532" s="67">
        <f>ROUND(+N1532+R1532+S1532+T1532,4)</f>
        <v>0</v>
      </c>
      <c r="V1532" s="67">
        <f>ROUND(IF(P1532=0,0,I1532-H1532-O1532)+IF(L1532=0,0,I1532-H1532-K1532),4)</f>
        <v>0</v>
      </c>
      <c r="W1532" s="67">
        <f>ROUND(+(V1532*60%)*D1532,4)</f>
        <v>0</v>
      </c>
      <c r="X1532" s="148">
        <f>ROUND(+U1532+W1532,4)</f>
        <v>0</v>
      </c>
      <c r="Y1532" s="68"/>
      <c r="Z1532" s="148">
        <f>ROUND(IF(X1532&gt;I1532,X1532,I1532),4)</f>
        <v>0</v>
      </c>
      <c r="AD1532" s="78">
        <f t="shared" si="24"/>
        <v>0</v>
      </c>
      <c r="AE1532" s="78">
        <f t="shared" si="25"/>
        <v>0</v>
      </c>
    </row>
    <row r="1533" spans="1:31" x14ac:dyDescent="0.2">
      <c r="A1533" s="66"/>
      <c r="B1533" s="66"/>
      <c r="C1533" s="66"/>
      <c r="D1533" s="144"/>
      <c r="E1533" s="67"/>
      <c r="F1533" s="67"/>
      <c r="G1533" s="67"/>
      <c r="H1533" s="67">
        <f>ROUND(+E1533+G1533,4)</f>
        <v>0</v>
      </c>
      <c r="I1533" s="67"/>
      <c r="J1533" s="67">
        <f>ROUND(+I1533-H1533,4)</f>
        <v>0</v>
      </c>
      <c r="K1533" s="67">
        <f>ROUND(IF(F1533="alluminio",0,I1533*1.5%),4)</f>
        <v>0</v>
      </c>
      <c r="L1533" s="67">
        <f>ROUND(IF(K1533&lt;J1533,K1533,0),4)</f>
        <v>0</v>
      </c>
      <c r="M1533" s="67">
        <f>ROUND(IF(J1533&gt;K1533,0,J1533),4)</f>
        <v>0</v>
      </c>
      <c r="N1533" s="67">
        <f>ROUND(+L1533*D1533,4)</f>
        <v>0</v>
      </c>
      <c r="O1533" s="67">
        <f>ROUND(IF(F1533="rame",0,+I1533*3%),4)</f>
        <v>0</v>
      </c>
      <c r="P1533" s="67">
        <f>ROUND(IF(O1533&lt;J1533,O1533,0),4)</f>
        <v>0</v>
      </c>
      <c r="Q1533" s="67">
        <f>ROUND(IF(J1533&gt;O1533,0,J1533),4)</f>
        <v>0</v>
      </c>
      <c r="R1533" s="67">
        <f>ROUND(+P1533*D1533,4)</f>
        <v>0</v>
      </c>
      <c r="S1533" s="67">
        <f>ROUND(IF(K1533=0,0,M1533*D1533),4)</f>
        <v>0</v>
      </c>
      <c r="T1533" s="67">
        <f>ROUND(+IF(K1533=0,Q1533*D1533,0),4)</f>
        <v>0</v>
      </c>
      <c r="U1533" s="67">
        <f>ROUND(+N1533+R1533+S1533+T1533,4)</f>
        <v>0</v>
      </c>
      <c r="V1533" s="67">
        <f>ROUND(IF(P1533=0,0,I1533-H1533-O1533)+IF(L1533=0,0,I1533-H1533-K1533),4)</f>
        <v>0</v>
      </c>
      <c r="W1533" s="67">
        <f>ROUND(+(V1533*60%)*D1533,4)</f>
        <v>0</v>
      </c>
      <c r="X1533" s="148">
        <f>ROUND(+U1533+W1533,4)</f>
        <v>0</v>
      </c>
      <c r="Y1533" s="68"/>
      <c r="Z1533" s="148">
        <f>ROUND(IF(X1533&gt;I1533,X1533,I1533),4)</f>
        <v>0</v>
      </c>
      <c r="AD1533" s="78">
        <f t="shared" si="24"/>
        <v>0</v>
      </c>
      <c r="AE1533" s="78">
        <f t="shared" si="25"/>
        <v>0</v>
      </c>
    </row>
    <row r="1534" spans="1:31" x14ac:dyDescent="0.2">
      <c r="A1534" s="66"/>
      <c r="B1534" s="66"/>
      <c r="C1534" s="66"/>
      <c r="D1534" s="144"/>
      <c r="E1534" s="67"/>
      <c r="F1534" s="67"/>
      <c r="G1534" s="67"/>
      <c r="H1534" s="67">
        <f>ROUND(+E1534+G1534,4)</f>
        <v>0</v>
      </c>
      <c r="I1534" s="67"/>
      <c r="J1534" s="67">
        <f>ROUND(+I1534-H1534,4)</f>
        <v>0</v>
      </c>
      <c r="K1534" s="67">
        <f>ROUND(IF(F1534="alluminio",0,I1534*1.5%),4)</f>
        <v>0</v>
      </c>
      <c r="L1534" s="67">
        <f>ROUND(IF(K1534&lt;J1534,K1534,0),4)</f>
        <v>0</v>
      </c>
      <c r="M1534" s="67">
        <f>ROUND(IF(J1534&gt;K1534,0,J1534),4)</f>
        <v>0</v>
      </c>
      <c r="N1534" s="67">
        <f>ROUND(+L1534*D1534,4)</f>
        <v>0</v>
      </c>
      <c r="O1534" s="67">
        <f>ROUND(IF(F1534="rame",0,+I1534*3%),4)</f>
        <v>0</v>
      </c>
      <c r="P1534" s="67">
        <f>ROUND(IF(O1534&lt;J1534,O1534,0),4)</f>
        <v>0</v>
      </c>
      <c r="Q1534" s="67">
        <f>ROUND(IF(J1534&gt;O1534,0,J1534),4)</f>
        <v>0</v>
      </c>
      <c r="R1534" s="67">
        <f>ROUND(+P1534*D1534,4)</f>
        <v>0</v>
      </c>
      <c r="S1534" s="67">
        <f>ROUND(IF(K1534=0,0,M1534*D1534),4)</f>
        <v>0</v>
      </c>
      <c r="T1534" s="67">
        <f>ROUND(+IF(K1534=0,Q1534*D1534,0),4)</f>
        <v>0</v>
      </c>
      <c r="U1534" s="67">
        <f>ROUND(+N1534+R1534+S1534+T1534,4)</f>
        <v>0</v>
      </c>
      <c r="V1534" s="67">
        <f>ROUND(IF(P1534=0,0,I1534-H1534-O1534)+IF(L1534=0,0,I1534-H1534-K1534),4)</f>
        <v>0</v>
      </c>
      <c r="W1534" s="67">
        <f>ROUND(+(V1534*60%)*D1534,4)</f>
        <v>0</v>
      </c>
      <c r="X1534" s="148">
        <f>ROUND(+U1534+W1534,4)</f>
        <v>0</v>
      </c>
      <c r="Y1534" s="68"/>
      <c r="Z1534" s="148">
        <f>ROUND(IF(X1534&gt;I1534,X1534,I1534),4)</f>
        <v>0</v>
      </c>
      <c r="AD1534" s="78">
        <f t="shared" ref="AD1534:AD1597" si="26">IF(Y1534="",0,MONTH(Y1534))</f>
        <v>0</v>
      </c>
      <c r="AE1534" s="78">
        <f t="shared" ref="AE1534:AE1597" si="27">IF(Y1534="",0,YEAR(Y1534))</f>
        <v>0</v>
      </c>
    </row>
    <row r="1535" spans="1:31" x14ac:dyDescent="0.2">
      <c r="A1535" s="66"/>
      <c r="B1535" s="66"/>
      <c r="C1535" s="66"/>
      <c r="D1535" s="144"/>
      <c r="E1535" s="67"/>
      <c r="F1535" s="67"/>
      <c r="G1535" s="67"/>
      <c r="H1535" s="67">
        <f>ROUND(+E1535+G1535,4)</f>
        <v>0</v>
      </c>
      <c r="I1535" s="67"/>
      <c r="J1535" s="67">
        <f>ROUND(+I1535-H1535,4)</f>
        <v>0</v>
      </c>
      <c r="K1535" s="67">
        <f>ROUND(IF(F1535="alluminio",0,I1535*1.5%),4)</f>
        <v>0</v>
      </c>
      <c r="L1535" s="67">
        <f>ROUND(IF(K1535&lt;J1535,K1535,0),4)</f>
        <v>0</v>
      </c>
      <c r="M1535" s="67">
        <f>ROUND(IF(J1535&gt;K1535,0,J1535),4)</f>
        <v>0</v>
      </c>
      <c r="N1535" s="67">
        <f>ROUND(+L1535*D1535,4)</f>
        <v>0</v>
      </c>
      <c r="O1535" s="67">
        <f>ROUND(IF(F1535="rame",0,+I1535*3%),4)</f>
        <v>0</v>
      </c>
      <c r="P1535" s="67">
        <f>ROUND(IF(O1535&lt;J1535,O1535,0),4)</f>
        <v>0</v>
      </c>
      <c r="Q1535" s="67">
        <f>ROUND(IF(J1535&gt;O1535,0,J1535),4)</f>
        <v>0</v>
      </c>
      <c r="R1535" s="67">
        <f>ROUND(+P1535*D1535,4)</f>
        <v>0</v>
      </c>
      <c r="S1535" s="67">
        <f>ROUND(IF(K1535=0,0,M1535*D1535),4)</f>
        <v>0</v>
      </c>
      <c r="T1535" s="67">
        <f>ROUND(+IF(K1535=0,Q1535*D1535,0),4)</f>
        <v>0</v>
      </c>
      <c r="U1535" s="67">
        <f>ROUND(+N1535+R1535+S1535+T1535,4)</f>
        <v>0</v>
      </c>
      <c r="V1535" s="67">
        <f>ROUND(IF(P1535=0,0,I1535-H1535-O1535)+IF(L1535=0,0,I1535-H1535-K1535),4)</f>
        <v>0</v>
      </c>
      <c r="W1535" s="67">
        <f>ROUND(+(V1535*60%)*D1535,4)</f>
        <v>0</v>
      </c>
      <c r="X1535" s="148">
        <f>ROUND(+U1535+W1535,4)</f>
        <v>0</v>
      </c>
      <c r="Y1535" s="68"/>
      <c r="Z1535" s="148">
        <f>ROUND(IF(X1535&gt;I1535,X1535,I1535),4)</f>
        <v>0</v>
      </c>
      <c r="AD1535" s="78">
        <f t="shared" si="26"/>
        <v>0</v>
      </c>
      <c r="AE1535" s="78">
        <f t="shared" si="27"/>
        <v>0</v>
      </c>
    </row>
    <row r="1536" spans="1:31" x14ac:dyDescent="0.2">
      <c r="A1536" s="66"/>
      <c r="B1536" s="66"/>
      <c r="C1536" s="66"/>
      <c r="D1536" s="144"/>
      <c r="E1536" s="67"/>
      <c r="F1536" s="67"/>
      <c r="G1536" s="67"/>
      <c r="H1536" s="67">
        <f>ROUND(+E1536+G1536,4)</f>
        <v>0</v>
      </c>
      <c r="I1536" s="67"/>
      <c r="J1536" s="67">
        <f>ROUND(+I1536-H1536,4)</f>
        <v>0</v>
      </c>
      <c r="K1536" s="67">
        <f>ROUND(IF(F1536="alluminio",0,I1536*1.5%),4)</f>
        <v>0</v>
      </c>
      <c r="L1536" s="67">
        <f>ROUND(IF(K1536&lt;J1536,K1536,0),4)</f>
        <v>0</v>
      </c>
      <c r="M1536" s="67">
        <f>ROUND(IF(J1536&gt;K1536,0,J1536),4)</f>
        <v>0</v>
      </c>
      <c r="N1536" s="67">
        <f>ROUND(+L1536*D1536,4)</f>
        <v>0</v>
      </c>
      <c r="O1536" s="67">
        <f>ROUND(IF(F1536="rame",0,+I1536*3%),4)</f>
        <v>0</v>
      </c>
      <c r="P1536" s="67">
        <f>ROUND(IF(O1536&lt;J1536,O1536,0),4)</f>
        <v>0</v>
      </c>
      <c r="Q1536" s="67">
        <f>ROUND(IF(J1536&gt;O1536,0,J1536),4)</f>
        <v>0</v>
      </c>
      <c r="R1536" s="67">
        <f>ROUND(+P1536*D1536,4)</f>
        <v>0</v>
      </c>
      <c r="S1536" s="67">
        <f>ROUND(IF(K1536=0,0,M1536*D1536),4)</f>
        <v>0</v>
      </c>
      <c r="T1536" s="67">
        <f>ROUND(+IF(K1536=0,Q1536*D1536,0),4)</f>
        <v>0</v>
      </c>
      <c r="U1536" s="67">
        <f>ROUND(+N1536+R1536+S1536+T1536,4)</f>
        <v>0</v>
      </c>
      <c r="V1536" s="67">
        <f>ROUND(IF(P1536=0,0,I1536-H1536-O1536)+IF(L1536=0,0,I1536-H1536-K1536),4)</f>
        <v>0</v>
      </c>
      <c r="W1536" s="67">
        <f>ROUND(+(V1536*60%)*D1536,4)</f>
        <v>0</v>
      </c>
      <c r="X1536" s="148">
        <f>ROUND(+U1536+W1536,4)</f>
        <v>0</v>
      </c>
      <c r="Y1536" s="68"/>
      <c r="Z1536" s="148">
        <f>ROUND(IF(X1536&gt;I1536,X1536,I1536),4)</f>
        <v>0</v>
      </c>
      <c r="AD1536" s="78">
        <f t="shared" si="26"/>
        <v>0</v>
      </c>
      <c r="AE1536" s="78">
        <f t="shared" si="27"/>
        <v>0</v>
      </c>
    </row>
    <row r="1537" spans="1:31" x14ac:dyDescent="0.2">
      <c r="A1537" s="66"/>
      <c r="B1537" s="66"/>
      <c r="C1537" s="66"/>
      <c r="D1537" s="144"/>
      <c r="E1537" s="67"/>
      <c r="F1537" s="67"/>
      <c r="G1537" s="67"/>
      <c r="H1537" s="67">
        <f>ROUND(+E1537+G1537,4)</f>
        <v>0</v>
      </c>
      <c r="I1537" s="67"/>
      <c r="J1537" s="67">
        <f>ROUND(+I1537-H1537,4)</f>
        <v>0</v>
      </c>
      <c r="K1537" s="67">
        <f>ROUND(IF(F1537="alluminio",0,I1537*1.5%),4)</f>
        <v>0</v>
      </c>
      <c r="L1537" s="67">
        <f>ROUND(IF(K1537&lt;J1537,K1537,0),4)</f>
        <v>0</v>
      </c>
      <c r="M1537" s="67">
        <f>ROUND(IF(J1537&gt;K1537,0,J1537),4)</f>
        <v>0</v>
      </c>
      <c r="N1537" s="67">
        <f>ROUND(+L1537*D1537,4)</f>
        <v>0</v>
      </c>
      <c r="O1537" s="67">
        <f>ROUND(IF(F1537="rame",0,+I1537*3%),4)</f>
        <v>0</v>
      </c>
      <c r="P1537" s="67">
        <f>ROUND(IF(O1537&lt;J1537,O1537,0),4)</f>
        <v>0</v>
      </c>
      <c r="Q1537" s="67">
        <f>ROUND(IF(J1537&gt;O1537,0,J1537),4)</f>
        <v>0</v>
      </c>
      <c r="R1537" s="67">
        <f>ROUND(+P1537*D1537,4)</f>
        <v>0</v>
      </c>
      <c r="S1537" s="67">
        <f>ROUND(IF(K1537=0,0,M1537*D1537),4)</f>
        <v>0</v>
      </c>
      <c r="T1537" s="67">
        <f>ROUND(+IF(K1537=0,Q1537*D1537,0),4)</f>
        <v>0</v>
      </c>
      <c r="U1537" s="67">
        <f>ROUND(+N1537+R1537+S1537+T1537,4)</f>
        <v>0</v>
      </c>
      <c r="V1537" s="67">
        <f>ROUND(IF(P1537=0,0,I1537-H1537-O1537)+IF(L1537=0,0,I1537-H1537-K1537),4)</f>
        <v>0</v>
      </c>
      <c r="W1537" s="67">
        <f>ROUND(+(V1537*60%)*D1537,4)</f>
        <v>0</v>
      </c>
      <c r="X1537" s="148">
        <f>ROUND(+U1537+W1537,4)</f>
        <v>0</v>
      </c>
      <c r="Y1537" s="68"/>
      <c r="Z1537" s="148">
        <f>ROUND(IF(X1537&gt;I1537,X1537,I1537),4)</f>
        <v>0</v>
      </c>
      <c r="AD1537" s="78">
        <f t="shared" si="26"/>
        <v>0</v>
      </c>
      <c r="AE1537" s="78">
        <f t="shared" si="27"/>
        <v>0</v>
      </c>
    </row>
    <row r="1538" spans="1:31" x14ac:dyDescent="0.2">
      <c r="A1538" s="66"/>
      <c r="B1538" s="66"/>
      <c r="C1538" s="66"/>
      <c r="D1538" s="144"/>
      <c r="E1538" s="67"/>
      <c r="F1538" s="67"/>
      <c r="G1538" s="67"/>
      <c r="H1538" s="67">
        <f>ROUND(+E1538+G1538,4)</f>
        <v>0</v>
      </c>
      <c r="I1538" s="67"/>
      <c r="J1538" s="67">
        <f>ROUND(+I1538-H1538,4)</f>
        <v>0</v>
      </c>
      <c r="K1538" s="67">
        <f>ROUND(IF(F1538="alluminio",0,I1538*1.5%),4)</f>
        <v>0</v>
      </c>
      <c r="L1538" s="67">
        <f>ROUND(IF(K1538&lt;J1538,K1538,0),4)</f>
        <v>0</v>
      </c>
      <c r="M1538" s="67">
        <f>ROUND(IF(J1538&gt;K1538,0,J1538),4)</f>
        <v>0</v>
      </c>
      <c r="N1538" s="67">
        <f>ROUND(+L1538*D1538,4)</f>
        <v>0</v>
      </c>
      <c r="O1538" s="67">
        <f>ROUND(IF(F1538="rame",0,+I1538*3%),4)</f>
        <v>0</v>
      </c>
      <c r="P1538" s="67">
        <f>ROUND(IF(O1538&lt;J1538,O1538,0),4)</f>
        <v>0</v>
      </c>
      <c r="Q1538" s="67">
        <f>ROUND(IF(J1538&gt;O1538,0,J1538),4)</f>
        <v>0</v>
      </c>
      <c r="R1538" s="67">
        <f>ROUND(+P1538*D1538,4)</f>
        <v>0</v>
      </c>
      <c r="S1538" s="67">
        <f>ROUND(IF(K1538=0,0,M1538*D1538),4)</f>
        <v>0</v>
      </c>
      <c r="T1538" s="67">
        <f>ROUND(+IF(K1538=0,Q1538*D1538,0),4)</f>
        <v>0</v>
      </c>
      <c r="U1538" s="67">
        <f>ROUND(+N1538+R1538+S1538+T1538,4)</f>
        <v>0</v>
      </c>
      <c r="V1538" s="67">
        <f>ROUND(IF(P1538=0,0,I1538-H1538-O1538)+IF(L1538=0,0,I1538-H1538-K1538),4)</f>
        <v>0</v>
      </c>
      <c r="W1538" s="67">
        <f>ROUND(+(V1538*60%)*D1538,4)</f>
        <v>0</v>
      </c>
      <c r="X1538" s="148">
        <f>ROUND(+U1538+W1538,4)</f>
        <v>0</v>
      </c>
      <c r="Y1538" s="68"/>
      <c r="Z1538" s="148">
        <f>ROUND(IF(X1538&gt;I1538,X1538,I1538),4)</f>
        <v>0</v>
      </c>
      <c r="AD1538" s="78">
        <f t="shared" si="26"/>
        <v>0</v>
      </c>
      <c r="AE1538" s="78">
        <f t="shared" si="27"/>
        <v>0</v>
      </c>
    </row>
    <row r="1539" spans="1:31" x14ac:dyDescent="0.2">
      <c r="A1539" s="66"/>
      <c r="B1539" s="66"/>
      <c r="C1539" s="66"/>
      <c r="D1539" s="144"/>
      <c r="E1539" s="67"/>
      <c r="F1539" s="67"/>
      <c r="G1539" s="67"/>
      <c r="H1539" s="67">
        <f>ROUND(+E1539+G1539,4)</f>
        <v>0</v>
      </c>
      <c r="I1539" s="67"/>
      <c r="J1539" s="67">
        <f>ROUND(+I1539-H1539,4)</f>
        <v>0</v>
      </c>
      <c r="K1539" s="67">
        <f>ROUND(IF(F1539="alluminio",0,I1539*1.5%),4)</f>
        <v>0</v>
      </c>
      <c r="L1539" s="67">
        <f>ROUND(IF(K1539&lt;J1539,K1539,0),4)</f>
        <v>0</v>
      </c>
      <c r="M1539" s="67">
        <f>ROUND(IF(J1539&gt;K1539,0,J1539),4)</f>
        <v>0</v>
      </c>
      <c r="N1539" s="67">
        <f>ROUND(+L1539*D1539,4)</f>
        <v>0</v>
      </c>
      <c r="O1539" s="67">
        <f>ROUND(IF(F1539="rame",0,+I1539*3%),4)</f>
        <v>0</v>
      </c>
      <c r="P1539" s="67">
        <f>ROUND(IF(O1539&lt;J1539,O1539,0),4)</f>
        <v>0</v>
      </c>
      <c r="Q1539" s="67">
        <f>ROUND(IF(J1539&gt;O1539,0,J1539),4)</f>
        <v>0</v>
      </c>
      <c r="R1539" s="67">
        <f>ROUND(+P1539*D1539,4)</f>
        <v>0</v>
      </c>
      <c r="S1539" s="67">
        <f>ROUND(IF(K1539=0,0,M1539*D1539),4)</f>
        <v>0</v>
      </c>
      <c r="T1539" s="67">
        <f>ROUND(+IF(K1539=0,Q1539*D1539,0),4)</f>
        <v>0</v>
      </c>
      <c r="U1539" s="67">
        <f>ROUND(+N1539+R1539+S1539+T1539,4)</f>
        <v>0</v>
      </c>
      <c r="V1539" s="67">
        <f>ROUND(IF(P1539=0,0,I1539-H1539-O1539)+IF(L1539=0,0,I1539-H1539-K1539),4)</f>
        <v>0</v>
      </c>
      <c r="W1539" s="67">
        <f>ROUND(+(V1539*60%)*D1539,4)</f>
        <v>0</v>
      </c>
      <c r="X1539" s="148">
        <f>ROUND(+U1539+W1539,4)</f>
        <v>0</v>
      </c>
      <c r="Y1539" s="68"/>
      <c r="Z1539" s="148">
        <f>ROUND(IF(X1539&gt;I1539,X1539,I1539),4)</f>
        <v>0</v>
      </c>
      <c r="AD1539" s="78">
        <f t="shared" si="26"/>
        <v>0</v>
      </c>
      <c r="AE1539" s="78">
        <f t="shared" si="27"/>
        <v>0</v>
      </c>
    </row>
    <row r="1540" spans="1:31" x14ac:dyDescent="0.2">
      <c r="A1540" s="66"/>
      <c r="B1540" s="66"/>
      <c r="C1540" s="66"/>
      <c r="D1540" s="144"/>
      <c r="E1540" s="67"/>
      <c r="F1540" s="67"/>
      <c r="G1540" s="67"/>
      <c r="H1540" s="67">
        <f>ROUND(+E1540+G1540,4)</f>
        <v>0</v>
      </c>
      <c r="I1540" s="67"/>
      <c r="J1540" s="67">
        <f>ROUND(+I1540-H1540,4)</f>
        <v>0</v>
      </c>
      <c r="K1540" s="67">
        <f>ROUND(IF(F1540="alluminio",0,I1540*1.5%),4)</f>
        <v>0</v>
      </c>
      <c r="L1540" s="67">
        <f>ROUND(IF(K1540&lt;J1540,K1540,0),4)</f>
        <v>0</v>
      </c>
      <c r="M1540" s="67">
        <f>ROUND(IF(J1540&gt;K1540,0,J1540),4)</f>
        <v>0</v>
      </c>
      <c r="N1540" s="67">
        <f>ROUND(+L1540*D1540,4)</f>
        <v>0</v>
      </c>
      <c r="O1540" s="67">
        <f>ROUND(IF(F1540="rame",0,+I1540*3%),4)</f>
        <v>0</v>
      </c>
      <c r="P1540" s="67">
        <f>ROUND(IF(O1540&lt;J1540,O1540,0),4)</f>
        <v>0</v>
      </c>
      <c r="Q1540" s="67">
        <f>ROUND(IF(J1540&gt;O1540,0,J1540),4)</f>
        <v>0</v>
      </c>
      <c r="R1540" s="67">
        <f>ROUND(+P1540*D1540,4)</f>
        <v>0</v>
      </c>
      <c r="S1540" s="67">
        <f>ROUND(IF(K1540=0,0,M1540*D1540),4)</f>
        <v>0</v>
      </c>
      <c r="T1540" s="67">
        <f>ROUND(+IF(K1540=0,Q1540*D1540,0),4)</f>
        <v>0</v>
      </c>
      <c r="U1540" s="67">
        <f>ROUND(+N1540+R1540+S1540+T1540,4)</f>
        <v>0</v>
      </c>
      <c r="V1540" s="67">
        <f>ROUND(IF(P1540=0,0,I1540-H1540-O1540)+IF(L1540=0,0,I1540-H1540-K1540),4)</f>
        <v>0</v>
      </c>
      <c r="W1540" s="67">
        <f>ROUND(+(V1540*60%)*D1540,4)</f>
        <v>0</v>
      </c>
      <c r="X1540" s="148">
        <f>ROUND(+U1540+W1540,4)</f>
        <v>0</v>
      </c>
      <c r="Y1540" s="68"/>
      <c r="Z1540" s="148">
        <f>ROUND(IF(X1540&gt;I1540,X1540,I1540),4)</f>
        <v>0</v>
      </c>
      <c r="AD1540" s="78">
        <f t="shared" si="26"/>
        <v>0</v>
      </c>
      <c r="AE1540" s="78">
        <f t="shared" si="27"/>
        <v>0</v>
      </c>
    </row>
    <row r="1541" spans="1:31" x14ac:dyDescent="0.2">
      <c r="A1541" s="66"/>
      <c r="B1541" s="66"/>
      <c r="C1541" s="66"/>
      <c r="D1541" s="144"/>
      <c r="E1541" s="67"/>
      <c r="F1541" s="67"/>
      <c r="G1541" s="67"/>
      <c r="H1541" s="67">
        <f>ROUND(+E1541+G1541,4)</f>
        <v>0</v>
      </c>
      <c r="I1541" s="67"/>
      <c r="J1541" s="67">
        <f>ROUND(+I1541-H1541,4)</f>
        <v>0</v>
      </c>
      <c r="K1541" s="67">
        <f>ROUND(IF(F1541="alluminio",0,I1541*1.5%),4)</f>
        <v>0</v>
      </c>
      <c r="L1541" s="67">
        <f>ROUND(IF(K1541&lt;J1541,K1541,0),4)</f>
        <v>0</v>
      </c>
      <c r="M1541" s="67">
        <f>ROUND(IF(J1541&gt;K1541,0,J1541),4)</f>
        <v>0</v>
      </c>
      <c r="N1541" s="67">
        <f>ROUND(+L1541*D1541,4)</f>
        <v>0</v>
      </c>
      <c r="O1541" s="67">
        <f>ROUND(IF(F1541="rame",0,+I1541*3%),4)</f>
        <v>0</v>
      </c>
      <c r="P1541" s="67">
        <f>ROUND(IF(O1541&lt;J1541,O1541,0),4)</f>
        <v>0</v>
      </c>
      <c r="Q1541" s="67">
        <f>ROUND(IF(J1541&gt;O1541,0,J1541),4)</f>
        <v>0</v>
      </c>
      <c r="R1541" s="67">
        <f>ROUND(+P1541*D1541,4)</f>
        <v>0</v>
      </c>
      <c r="S1541" s="67">
        <f>ROUND(IF(K1541=0,0,M1541*D1541),4)</f>
        <v>0</v>
      </c>
      <c r="T1541" s="67">
        <f>ROUND(+IF(K1541=0,Q1541*D1541,0),4)</f>
        <v>0</v>
      </c>
      <c r="U1541" s="67">
        <f>ROUND(+N1541+R1541+S1541+T1541,4)</f>
        <v>0</v>
      </c>
      <c r="V1541" s="67">
        <f>ROUND(IF(P1541=0,0,I1541-H1541-O1541)+IF(L1541=0,0,I1541-H1541-K1541),4)</f>
        <v>0</v>
      </c>
      <c r="W1541" s="67">
        <f>ROUND(+(V1541*60%)*D1541,4)</f>
        <v>0</v>
      </c>
      <c r="X1541" s="148">
        <f>ROUND(+U1541+W1541,4)</f>
        <v>0</v>
      </c>
      <c r="Y1541" s="68"/>
      <c r="Z1541" s="148">
        <f>ROUND(IF(X1541&gt;I1541,X1541,I1541),4)</f>
        <v>0</v>
      </c>
      <c r="AD1541" s="78">
        <f t="shared" si="26"/>
        <v>0</v>
      </c>
      <c r="AE1541" s="78">
        <f t="shared" si="27"/>
        <v>0</v>
      </c>
    </row>
    <row r="1542" spans="1:31" x14ac:dyDescent="0.2">
      <c r="A1542" s="66"/>
      <c r="B1542" s="66"/>
      <c r="C1542" s="66"/>
      <c r="D1542" s="144"/>
      <c r="E1542" s="67"/>
      <c r="F1542" s="67"/>
      <c r="G1542" s="67"/>
      <c r="H1542" s="67">
        <f>ROUND(+E1542+G1542,4)</f>
        <v>0</v>
      </c>
      <c r="I1542" s="67"/>
      <c r="J1542" s="67">
        <f>ROUND(+I1542-H1542,4)</f>
        <v>0</v>
      </c>
      <c r="K1542" s="67">
        <f>ROUND(IF(F1542="alluminio",0,I1542*1.5%),4)</f>
        <v>0</v>
      </c>
      <c r="L1542" s="67">
        <f>ROUND(IF(K1542&lt;J1542,K1542,0),4)</f>
        <v>0</v>
      </c>
      <c r="M1542" s="67">
        <f>ROUND(IF(J1542&gt;K1542,0,J1542),4)</f>
        <v>0</v>
      </c>
      <c r="N1542" s="67">
        <f>ROUND(+L1542*D1542,4)</f>
        <v>0</v>
      </c>
      <c r="O1542" s="67">
        <f>ROUND(IF(F1542="rame",0,+I1542*3%),4)</f>
        <v>0</v>
      </c>
      <c r="P1542" s="67">
        <f>ROUND(IF(O1542&lt;J1542,O1542,0),4)</f>
        <v>0</v>
      </c>
      <c r="Q1542" s="67">
        <f>ROUND(IF(J1542&gt;O1542,0,J1542),4)</f>
        <v>0</v>
      </c>
      <c r="R1542" s="67">
        <f>ROUND(+P1542*D1542,4)</f>
        <v>0</v>
      </c>
      <c r="S1542" s="67">
        <f>ROUND(IF(K1542=0,0,M1542*D1542),4)</f>
        <v>0</v>
      </c>
      <c r="T1542" s="67">
        <f>ROUND(+IF(K1542=0,Q1542*D1542,0),4)</f>
        <v>0</v>
      </c>
      <c r="U1542" s="67">
        <f>ROUND(+N1542+R1542+S1542+T1542,4)</f>
        <v>0</v>
      </c>
      <c r="V1542" s="67">
        <f>ROUND(IF(P1542=0,0,I1542-H1542-O1542)+IF(L1542=0,0,I1542-H1542-K1542),4)</f>
        <v>0</v>
      </c>
      <c r="W1542" s="67">
        <f>ROUND(+(V1542*60%)*D1542,4)</f>
        <v>0</v>
      </c>
      <c r="X1542" s="148">
        <f>ROUND(+U1542+W1542,4)</f>
        <v>0</v>
      </c>
      <c r="Y1542" s="68"/>
      <c r="Z1542" s="148">
        <f>ROUND(IF(X1542&gt;I1542,X1542,I1542),4)</f>
        <v>0</v>
      </c>
      <c r="AD1542" s="78">
        <f t="shared" si="26"/>
        <v>0</v>
      </c>
      <c r="AE1542" s="78">
        <f t="shared" si="27"/>
        <v>0</v>
      </c>
    </row>
    <row r="1543" spans="1:31" x14ac:dyDescent="0.2">
      <c r="A1543" s="66"/>
      <c r="B1543" s="66"/>
      <c r="C1543" s="66"/>
      <c r="D1543" s="144"/>
      <c r="E1543" s="67"/>
      <c r="F1543" s="67"/>
      <c r="G1543" s="67"/>
      <c r="H1543" s="67">
        <f>ROUND(+E1543+G1543,4)</f>
        <v>0</v>
      </c>
      <c r="I1543" s="67"/>
      <c r="J1543" s="67">
        <f>ROUND(+I1543-H1543,4)</f>
        <v>0</v>
      </c>
      <c r="K1543" s="67">
        <f>ROUND(IF(F1543="alluminio",0,I1543*1.5%),4)</f>
        <v>0</v>
      </c>
      <c r="L1543" s="67">
        <f>ROUND(IF(K1543&lt;J1543,K1543,0),4)</f>
        <v>0</v>
      </c>
      <c r="M1543" s="67">
        <f>ROUND(IF(J1543&gt;K1543,0,J1543),4)</f>
        <v>0</v>
      </c>
      <c r="N1543" s="67">
        <f>ROUND(+L1543*D1543,4)</f>
        <v>0</v>
      </c>
      <c r="O1543" s="67">
        <f>ROUND(IF(F1543="rame",0,+I1543*3%),4)</f>
        <v>0</v>
      </c>
      <c r="P1543" s="67">
        <f>ROUND(IF(O1543&lt;J1543,O1543,0),4)</f>
        <v>0</v>
      </c>
      <c r="Q1543" s="67">
        <f>ROUND(IF(J1543&gt;O1543,0,J1543),4)</f>
        <v>0</v>
      </c>
      <c r="R1543" s="67">
        <f>ROUND(+P1543*D1543,4)</f>
        <v>0</v>
      </c>
      <c r="S1543" s="67">
        <f>ROUND(IF(K1543=0,0,M1543*D1543),4)</f>
        <v>0</v>
      </c>
      <c r="T1543" s="67">
        <f>ROUND(+IF(K1543=0,Q1543*D1543,0),4)</f>
        <v>0</v>
      </c>
      <c r="U1543" s="67">
        <f>ROUND(+N1543+R1543+S1543+T1543,4)</f>
        <v>0</v>
      </c>
      <c r="V1543" s="67">
        <f>ROUND(IF(P1543=0,0,I1543-H1543-O1543)+IF(L1543=0,0,I1543-H1543-K1543),4)</f>
        <v>0</v>
      </c>
      <c r="W1543" s="67">
        <f>ROUND(+(V1543*60%)*D1543,4)</f>
        <v>0</v>
      </c>
      <c r="X1543" s="148">
        <f>ROUND(+U1543+W1543,4)</f>
        <v>0</v>
      </c>
      <c r="Y1543" s="68"/>
      <c r="Z1543" s="148">
        <f>ROUND(IF(X1543&gt;I1543,X1543,I1543),4)</f>
        <v>0</v>
      </c>
      <c r="AD1543" s="78">
        <f t="shared" si="26"/>
        <v>0</v>
      </c>
      <c r="AE1543" s="78">
        <f t="shared" si="27"/>
        <v>0</v>
      </c>
    </row>
    <row r="1544" spans="1:31" x14ac:dyDescent="0.2">
      <c r="A1544" s="66"/>
      <c r="B1544" s="66"/>
      <c r="C1544" s="66"/>
      <c r="D1544" s="144"/>
      <c r="E1544" s="67"/>
      <c r="F1544" s="67"/>
      <c r="G1544" s="67"/>
      <c r="H1544" s="67">
        <f>ROUND(+E1544+G1544,4)</f>
        <v>0</v>
      </c>
      <c r="I1544" s="67"/>
      <c r="J1544" s="67">
        <f>ROUND(+I1544-H1544,4)</f>
        <v>0</v>
      </c>
      <c r="K1544" s="67">
        <f>ROUND(IF(F1544="alluminio",0,I1544*1.5%),4)</f>
        <v>0</v>
      </c>
      <c r="L1544" s="67">
        <f>ROUND(IF(K1544&lt;J1544,K1544,0),4)</f>
        <v>0</v>
      </c>
      <c r="M1544" s="67">
        <f>ROUND(IF(J1544&gt;K1544,0,J1544),4)</f>
        <v>0</v>
      </c>
      <c r="N1544" s="67">
        <f>ROUND(+L1544*D1544,4)</f>
        <v>0</v>
      </c>
      <c r="O1544" s="67">
        <f>ROUND(IF(F1544="rame",0,+I1544*3%),4)</f>
        <v>0</v>
      </c>
      <c r="P1544" s="67">
        <f>ROUND(IF(O1544&lt;J1544,O1544,0),4)</f>
        <v>0</v>
      </c>
      <c r="Q1544" s="67">
        <f>ROUND(IF(J1544&gt;O1544,0,J1544),4)</f>
        <v>0</v>
      </c>
      <c r="R1544" s="67">
        <f>ROUND(+P1544*D1544,4)</f>
        <v>0</v>
      </c>
      <c r="S1544" s="67">
        <f>ROUND(IF(K1544=0,0,M1544*D1544),4)</f>
        <v>0</v>
      </c>
      <c r="T1544" s="67">
        <f>ROUND(+IF(K1544=0,Q1544*D1544,0),4)</f>
        <v>0</v>
      </c>
      <c r="U1544" s="67">
        <f>ROUND(+N1544+R1544+S1544+T1544,4)</f>
        <v>0</v>
      </c>
      <c r="V1544" s="67">
        <f>ROUND(IF(P1544=0,0,I1544-H1544-O1544)+IF(L1544=0,0,I1544-H1544-K1544),4)</f>
        <v>0</v>
      </c>
      <c r="W1544" s="67">
        <f>ROUND(+(V1544*60%)*D1544,4)</f>
        <v>0</v>
      </c>
      <c r="X1544" s="148">
        <f>ROUND(+U1544+W1544,4)</f>
        <v>0</v>
      </c>
      <c r="Y1544" s="68"/>
      <c r="Z1544" s="148">
        <f>ROUND(IF(X1544&gt;I1544,X1544,I1544),4)</f>
        <v>0</v>
      </c>
      <c r="AD1544" s="78">
        <f t="shared" si="26"/>
        <v>0</v>
      </c>
      <c r="AE1544" s="78">
        <f t="shared" si="27"/>
        <v>0</v>
      </c>
    </row>
    <row r="1545" spans="1:31" x14ac:dyDescent="0.2">
      <c r="A1545" s="66"/>
      <c r="B1545" s="66"/>
      <c r="C1545" s="66"/>
      <c r="D1545" s="144"/>
      <c r="E1545" s="67"/>
      <c r="F1545" s="67"/>
      <c r="G1545" s="67"/>
      <c r="H1545" s="67">
        <f>ROUND(+E1545+G1545,4)</f>
        <v>0</v>
      </c>
      <c r="I1545" s="67"/>
      <c r="J1545" s="67">
        <f>ROUND(+I1545-H1545,4)</f>
        <v>0</v>
      </c>
      <c r="K1545" s="67">
        <f>ROUND(IF(F1545="alluminio",0,I1545*1.5%),4)</f>
        <v>0</v>
      </c>
      <c r="L1545" s="67">
        <f>ROUND(IF(K1545&lt;J1545,K1545,0),4)</f>
        <v>0</v>
      </c>
      <c r="M1545" s="67">
        <f>ROUND(IF(J1545&gt;K1545,0,J1545),4)</f>
        <v>0</v>
      </c>
      <c r="N1545" s="67">
        <f>ROUND(+L1545*D1545,4)</f>
        <v>0</v>
      </c>
      <c r="O1545" s="67">
        <f>ROUND(IF(F1545="rame",0,+I1545*3%),4)</f>
        <v>0</v>
      </c>
      <c r="P1545" s="67">
        <f>ROUND(IF(O1545&lt;J1545,O1545,0),4)</f>
        <v>0</v>
      </c>
      <c r="Q1545" s="67">
        <f>ROUND(IF(J1545&gt;O1545,0,J1545),4)</f>
        <v>0</v>
      </c>
      <c r="R1545" s="67">
        <f>ROUND(+P1545*D1545,4)</f>
        <v>0</v>
      </c>
      <c r="S1545" s="67">
        <f>ROUND(IF(K1545=0,0,M1545*D1545),4)</f>
        <v>0</v>
      </c>
      <c r="T1545" s="67">
        <f>ROUND(+IF(K1545=0,Q1545*D1545,0),4)</f>
        <v>0</v>
      </c>
      <c r="U1545" s="67">
        <f>ROUND(+N1545+R1545+S1545+T1545,4)</f>
        <v>0</v>
      </c>
      <c r="V1545" s="67">
        <f>ROUND(IF(P1545=0,0,I1545-H1545-O1545)+IF(L1545=0,0,I1545-H1545-K1545),4)</f>
        <v>0</v>
      </c>
      <c r="W1545" s="67">
        <f>ROUND(+(V1545*60%)*D1545,4)</f>
        <v>0</v>
      </c>
      <c r="X1545" s="148">
        <f>ROUND(+U1545+W1545,4)</f>
        <v>0</v>
      </c>
      <c r="Y1545" s="68"/>
      <c r="Z1545" s="148">
        <f>ROUND(IF(X1545&gt;I1545,X1545,I1545),4)</f>
        <v>0</v>
      </c>
      <c r="AD1545" s="78">
        <f t="shared" si="26"/>
        <v>0</v>
      </c>
      <c r="AE1545" s="78">
        <f t="shared" si="27"/>
        <v>0</v>
      </c>
    </row>
    <row r="1546" spans="1:31" x14ac:dyDescent="0.2">
      <c r="A1546" s="66"/>
      <c r="B1546" s="66"/>
      <c r="C1546" s="66"/>
      <c r="D1546" s="144"/>
      <c r="E1546" s="67"/>
      <c r="F1546" s="67"/>
      <c r="G1546" s="67"/>
      <c r="H1546" s="67">
        <f>ROUND(+E1546+G1546,4)</f>
        <v>0</v>
      </c>
      <c r="I1546" s="67"/>
      <c r="J1546" s="67">
        <f>ROUND(+I1546-H1546,4)</f>
        <v>0</v>
      </c>
      <c r="K1546" s="67">
        <f>ROUND(IF(F1546="alluminio",0,I1546*1.5%),4)</f>
        <v>0</v>
      </c>
      <c r="L1546" s="67">
        <f>ROUND(IF(K1546&lt;J1546,K1546,0),4)</f>
        <v>0</v>
      </c>
      <c r="M1546" s="67">
        <f>ROUND(IF(J1546&gt;K1546,0,J1546),4)</f>
        <v>0</v>
      </c>
      <c r="N1546" s="67">
        <f>ROUND(+L1546*D1546,4)</f>
        <v>0</v>
      </c>
      <c r="O1546" s="67">
        <f>ROUND(IF(F1546="rame",0,+I1546*3%),4)</f>
        <v>0</v>
      </c>
      <c r="P1546" s="67">
        <f>ROUND(IF(O1546&lt;J1546,O1546,0),4)</f>
        <v>0</v>
      </c>
      <c r="Q1546" s="67">
        <f>ROUND(IF(J1546&gt;O1546,0,J1546),4)</f>
        <v>0</v>
      </c>
      <c r="R1546" s="67">
        <f>ROUND(+P1546*D1546,4)</f>
        <v>0</v>
      </c>
      <c r="S1546" s="67">
        <f>ROUND(IF(K1546=0,0,M1546*D1546),4)</f>
        <v>0</v>
      </c>
      <c r="T1546" s="67">
        <f>ROUND(+IF(K1546=0,Q1546*D1546,0),4)</f>
        <v>0</v>
      </c>
      <c r="U1546" s="67">
        <f>ROUND(+N1546+R1546+S1546+T1546,4)</f>
        <v>0</v>
      </c>
      <c r="V1546" s="67">
        <f>ROUND(IF(P1546=0,0,I1546-H1546-O1546)+IF(L1546=0,0,I1546-H1546-K1546),4)</f>
        <v>0</v>
      </c>
      <c r="W1546" s="67">
        <f>ROUND(+(V1546*60%)*D1546,4)</f>
        <v>0</v>
      </c>
      <c r="X1546" s="148">
        <f>ROUND(+U1546+W1546,4)</f>
        <v>0</v>
      </c>
      <c r="Y1546" s="68"/>
      <c r="Z1546" s="148">
        <f>ROUND(IF(X1546&gt;I1546,X1546,I1546),4)</f>
        <v>0</v>
      </c>
      <c r="AD1546" s="78">
        <f t="shared" si="26"/>
        <v>0</v>
      </c>
      <c r="AE1546" s="78">
        <f t="shared" si="27"/>
        <v>0</v>
      </c>
    </row>
    <row r="1547" spans="1:31" x14ac:dyDescent="0.2">
      <c r="A1547" s="66"/>
      <c r="B1547" s="66"/>
      <c r="C1547" s="66"/>
      <c r="D1547" s="144"/>
      <c r="E1547" s="67"/>
      <c r="F1547" s="67"/>
      <c r="G1547" s="67"/>
      <c r="H1547" s="67">
        <f>ROUND(+E1547+G1547,4)</f>
        <v>0</v>
      </c>
      <c r="I1547" s="67"/>
      <c r="J1547" s="67">
        <f>ROUND(+I1547-H1547,4)</f>
        <v>0</v>
      </c>
      <c r="K1547" s="67">
        <f>ROUND(IF(F1547="alluminio",0,I1547*1.5%),4)</f>
        <v>0</v>
      </c>
      <c r="L1547" s="67">
        <f>ROUND(IF(K1547&lt;J1547,K1547,0),4)</f>
        <v>0</v>
      </c>
      <c r="M1547" s="67">
        <f>ROUND(IF(J1547&gt;K1547,0,J1547),4)</f>
        <v>0</v>
      </c>
      <c r="N1547" s="67">
        <f>ROUND(+L1547*D1547,4)</f>
        <v>0</v>
      </c>
      <c r="O1547" s="67">
        <f>ROUND(IF(F1547="rame",0,+I1547*3%),4)</f>
        <v>0</v>
      </c>
      <c r="P1547" s="67">
        <f>ROUND(IF(O1547&lt;J1547,O1547,0),4)</f>
        <v>0</v>
      </c>
      <c r="Q1547" s="67">
        <f>ROUND(IF(J1547&gt;O1547,0,J1547),4)</f>
        <v>0</v>
      </c>
      <c r="R1547" s="67">
        <f>ROUND(+P1547*D1547,4)</f>
        <v>0</v>
      </c>
      <c r="S1547" s="67">
        <f>ROUND(IF(K1547=0,0,M1547*D1547),4)</f>
        <v>0</v>
      </c>
      <c r="T1547" s="67">
        <f>ROUND(+IF(K1547=0,Q1547*D1547,0),4)</f>
        <v>0</v>
      </c>
      <c r="U1547" s="67">
        <f>ROUND(+N1547+R1547+S1547+T1547,4)</f>
        <v>0</v>
      </c>
      <c r="V1547" s="67">
        <f>ROUND(IF(P1547=0,0,I1547-H1547-O1547)+IF(L1547=0,0,I1547-H1547-K1547),4)</f>
        <v>0</v>
      </c>
      <c r="W1547" s="67">
        <f>ROUND(+(V1547*60%)*D1547,4)</f>
        <v>0</v>
      </c>
      <c r="X1547" s="148">
        <f>ROUND(+U1547+W1547,4)</f>
        <v>0</v>
      </c>
      <c r="Y1547" s="68"/>
      <c r="Z1547" s="148">
        <f>ROUND(IF(X1547&gt;I1547,X1547,I1547),4)</f>
        <v>0</v>
      </c>
      <c r="AD1547" s="78">
        <f t="shared" si="26"/>
        <v>0</v>
      </c>
      <c r="AE1547" s="78">
        <f t="shared" si="27"/>
        <v>0</v>
      </c>
    </row>
    <row r="1548" spans="1:31" x14ac:dyDescent="0.2">
      <c r="A1548" s="66"/>
      <c r="B1548" s="66"/>
      <c r="C1548" s="66"/>
      <c r="D1548" s="144"/>
      <c r="E1548" s="67"/>
      <c r="F1548" s="67"/>
      <c r="G1548" s="67"/>
      <c r="H1548" s="67">
        <f>ROUND(+E1548+G1548,4)</f>
        <v>0</v>
      </c>
      <c r="I1548" s="67"/>
      <c r="J1548" s="67">
        <f>ROUND(+I1548-H1548,4)</f>
        <v>0</v>
      </c>
      <c r="K1548" s="67">
        <f>ROUND(IF(F1548="alluminio",0,I1548*1.5%),4)</f>
        <v>0</v>
      </c>
      <c r="L1548" s="67">
        <f>ROUND(IF(K1548&lt;J1548,K1548,0),4)</f>
        <v>0</v>
      </c>
      <c r="M1548" s="67">
        <f>ROUND(IF(J1548&gt;K1548,0,J1548),4)</f>
        <v>0</v>
      </c>
      <c r="N1548" s="67">
        <f>ROUND(+L1548*D1548,4)</f>
        <v>0</v>
      </c>
      <c r="O1548" s="67">
        <f>ROUND(IF(F1548="rame",0,+I1548*3%),4)</f>
        <v>0</v>
      </c>
      <c r="P1548" s="67">
        <f>ROUND(IF(O1548&lt;J1548,O1548,0),4)</f>
        <v>0</v>
      </c>
      <c r="Q1548" s="67">
        <f>ROUND(IF(J1548&gt;O1548,0,J1548),4)</f>
        <v>0</v>
      </c>
      <c r="R1548" s="67">
        <f>ROUND(+P1548*D1548,4)</f>
        <v>0</v>
      </c>
      <c r="S1548" s="67">
        <f>ROUND(IF(K1548=0,0,M1548*D1548),4)</f>
        <v>0</v>
      </c>
      <c r="T1548" s="67">
        <f>ROUND(+IF(K1548=0,Q1548*D1548,0),4)</f>
        <v>0</v>
      </c>
      <c r="U1548" s="67">
        <f>ROUND(+N1548+R1548+S1548+T1548,4)</f>
        <v>0</v>
      </c>
      <c r="V1548" s="67">
        <f>ROUND(IF(P1548=0,0,I1548-H1548-O1548)+IF(L1548=0,0,I1548-H1548-K1548),4)</f>
        <v>0</v>
      </c>
      <c r="W1548" s="67">
        <f>ROUND(+(V1548*60%)*D1548,4)</f>
        <v>0</v>
      </c>
      <c r="X1548" s="148">
        <f>ROUND(+U1548+W1548,4)</f>
        <v>0</v>
      </c>
      <c r="Y1548" s="68"/>
      <c r="Z1548" s="148">
        <f>ROUND(IF(X1548&gt;I1548,X1548,I1548),4)</f>
        <v>0</v>
      </c>
      <c r="AD1548" s="78">
        <f t="shared" si="26"/>
        <v>0</v>
      </c>
      <c r="AE1548" s="78">
        <f t="shared" si="27"/>
        <v>0</v>
      </c>
    </row>
    <row r="1549" spans="1:31" x14ac:dyDescent="0.2">
      <c r="A1549" s="66"/>
      <c r="B1549" s="66"/>
      <c r="C1549" s="66"/>
      <c r="D1549" s="144"/>
      <c r="E1549" s="67"/>
      <c r="F1549" s="67"/>
      <c r="G1549" s="67"/>
      <c r="H1549" s="67">
        <f>ROUND(+E1549+G1549,4)</f>
        <v>0</v>
      </c>
      <c r="I1549" s="67"/>
      <c r="J1549" s="67">
        <f>ROUND(+I1549-H1549,4)</f>
        <v>0</v>
      </c>
      <c r="K1549" s="67">
        <f>ROUND(IF(F1549="alluminio",0,I1549*1.5%),4)</f>
        <v>0</v>
      </c>
      <c r="L1549" s="67">
        <f>ROUND(IF(K1549&lt;J1549,K1549,0),4)</f>
        <v>0</v>
      </c>
      <c r="M1549" s="67">
        <f>ROUND(IF(J1549&gt;K1549,0,J1549),4)</f>
        <v>0</v>
      </c>
      <c r="N1549" s="67">
        <f>ROUND(+L1549*D1549,4)</f>
        <v>0</v>
      </c>
      <c r="O1549" s="67">
        <f>ROUND(IF(F1549="rame",0,+I1549*3%),4)</f>
        <v>0</v>
      </c>
      <c r="P1549" s="67">
        <f>ROUND(IF(O1549&lt;J1549,O1549,0),4)</f>
        <v>0</v>
      </c>
      <c r="Q1549" s="67">
        <f>ROUND(IF(J1549&gt;O1549,0,J1549),4)</f>
        <v>0</v>
      </c>
      <c r="R1549" s="67">
        <f>ROUND(+P1549*D1549,4)</f>
        <v>0</v>
      </c>
      <c r="S1549" s="67">
        <f>ROUND(IF(K1549=0,0,M1549*D1549),4)</f>
        <v>0</v>
      </c>
      <c r="T1549" s="67">
        <f>ROUND(+IF(K1549=0,Q1549*D1549,0),4)</f>
        <v>0</v>
      </c>
      <c r="U1549" s="67">
        <f>ROUND(+N1549+R1549+S1549+T1549,4)</f>
        <v>0</v>
      </c>
      <c r="V1549" s="67">
        <f>ROUND(IF(P1549=0,0,I1549-H1549-O1549)+IF(L1549=0,0,I1549-H1549-K1549),4)</f>
        <v>0</v>
      </c>
      <c r="W1549" s="67">
        <f>ROUND(+(V1549*60%)*D1549,4)</f>
        <v>0</v>
      </c>
      <c r="X1549" s="148">
        <f>ROUND(+U1549+W1549,4)</f>
        <v>0</v>
      </c>
      <c r="Y1549" s="68"/>
      <c r="Z1549" s="148">
        <f>ROUND(IF(X1549&gt;I1549,X1549,I1549),4)</f>
        <v>0</v>
      </c>
      <c r="AD1549" s="78">
        <f t="shared" si="26"/>
        <v>0</v>
      </c>
      <c r="AE1549" s="78">
        <f t="shared" si="27"/>
        <v>0</v>
      </c>
    </row>
    <row r="1550" spans="1:31" x14ac:dyDescent="0.2">
      <c r="A1550" s="66"/>
      <c r="B1550" s="66"/>
      <c r="C1550" s="66"/>
      <c r="D1550" s="144"/>
      <c r="E1550" s="67"/>
      <c r="F1550" s="67"/>
      <c r="G1550" s="67"/>
      <c r="H1550" s="67">
        <f>ROUND(+E1550+G1550,4)</f>
        <v>0</v>
      </c>
      <c r="I1550" s="67"/>
      <c r="J1550" s="67">
        <f>ROUND(+I1550-H1550,4)</f>
        <v>0</v>
      </c>
      <c r="K1550" s="67">
        <f>ROUND(IF(F1550="alluminio",0,I1550*1.5%),4)</f>
        <v>0</v>
      </c>
      <c r="L1550" s="67">
        <f>ROUND(IF(K1550&lt;J1550,K1550,0),4)</f>
        <v>0</v>
      </c>
      <c r="M1550" s="67">
        <f>ROUND(IF(J1550&gt;K1550,0,J1550),4)</f>
        <v>0</v>
      </c>
      <c r="N1550" s="67">
        <f>ROUND(+L1550*D1550,4)</f>
        <v>0</v>
      </c>
      <c r="O1550" s="67">
        <f>ROUND(IF(F1550="rame",0,+I1550*3%),4)</f>
        <v>0</v>
      </c>
      <c r="P1550" s="67">
        <f>ROUND(IF(O1550&lt;J1550,O1550,0),4)</f>
        <v>0</v>
      </c>
      <c r="Q1550" s="67">
        <f>ROUND(IF(J1550&gt;O1550,0,J1550),4)</f>
        <v>0</v>
      </c>
      <c r="R1550" s="67">
        <f>ROUND(+P1550*D1550,4)</f>
        <v>0</v>
      </c>
      <c r="S1550" s="67">
        <f>ROUND(IF(K1550=0,0,M1550*D1550),4)</f>
        <v>0</v>
      </c>
      <c r="T1550" s="67">
        <f>ROUND(+IF(K1550=0,Q1550*D1550,0),4)</f>
        <v>0</v>
      </c>
      <c r="U1550" s="67">
        <f>ROUND(+N1550+R1550+S1550+T1550,4)</f>
        <v>0</v>
      </c>
      <c r="V1550" s="67">
        <f>ROUND(IF(P1550=0,0,I1550-H1550-O1550)+IF(L1550=0,0,I1550-H1550-K1550),4)</f>
        <v>0</v>
      </c>
      <c r="W1550" s="67">
        <f>ROUND(+(V1550*60%)*D1550,4)</f>
        <v>0</v>
      </c>
      <c r="X1550" s="148">
        <f>ROUND(+U1550+W1550,4)</f>
        <v>0</v>
      </c>
      <c r="Y1550" s="68"/>
      <c r="Z1550" s="148">
        <f>ROUND(IF(X1550&gt;I1550,X1550,I1550),4)</f>
        <v>0</v>
      </c>
      <c r="AD1550" s="78">
        <f t="shared" si="26"/>
        <v>0</v>
      </c>
      <c r="AE1550" s="78">
        <f t="shared" si="27"/>
        <v>0</v>
      </c>
    </row>
    <row r="1551" spans="1:31" x14ac:dyDescent="0.2">
      <c r="A1551" s="66"/>
      <c r="B1551" s="66"/>
      <c r="C1551" s="66"/>
      <c r="D1551" s="144"/>
      <c r="E1551" s="67"/>
      <c r="F1551" s="67"/>
      <c r="G1551" s="67"/>
      <c r="H1551" s="67">
        <f>ROUND(+E1551+G1551,4)</f>
        <v>0</v>
      </c>
      <c r="I1551" s="67"/>
      <c r="J1551" s="67">
        <f>ROUND(+I1551-H1551,4)</f>
        <v>0</v>
      </c>
      <c r="K1551" s="67">
        <f>ROUND(IF(F1551="alluminio",0,I1551*1.5%),4)</f>
        <v>0</v>
      </c>
      <c r="L1551" s="67">
        <f>ROUND(IF(K1551&lt;J1551,K1551,0),4)</f>
        <v>0</v>
      </c>
      <c r="M1551" s="67">
        <f>ROUND(IF(J1551&gt;K1551,0,J1551),4)</f>
        <v>0</v>
      </c>
      <c r="N1551" s="67">
        <f>ROUND(+L1551*D1551,4)</f>
        <v>0</v>
      </c>
      <c r="O1551" s="67">
        <f>ROUND(IF(F1551="rame",0,+I1551*3%),4)</f>
        <v>0</v>
      </c>
      <c r="P1551" s="67">
        <f>ROUND(IF(O1551&lt;J1551,O1551,0),4)</f>
        <v>0</v>
      </c>
      <c r="Q1551" s="67">
        <f>ROUND(IF(J1551&gt;O1551,0,J1551),4)</f>
        <v>0</v>
      </c>
      <c r="R1551" s="67">
        <f>ROUND(+P1551*D1551,4)</f>
        <v>0</v>
      </c>
      <c r="S1551" s="67">
        <f>ROUND(IF(K1551=0,0,M1551*D1551),4)</f>
        <v>0</v>
      </c>
      <c r="T1551" s="67">
        <f>ROUND(+IF(K1551=0,Q1551*D1551,0),4)</f>
        <v>0</v>
      </c>
      <c r="U1551" s="67">
        <f>ROUND(+N1551+R1551+S1551+T1551,4)</f>
        <v>0</v>
      </c>
      <c r="V1551" s="67">
        <f>ROUND(IF(P1551=0,0,I1551-H1551-O1551)+IF(L1551=0,0,I1551-H1551-K1551),4)</f>
        <v>0</v>
      </c>
      <c r="W1551" s="67">
        <f>ROUND(+(V1551*60%)*D1551,4)</f>
        <v>0</v>
      </c>
      <c r="X1551" s="148">
        <f>ROUND(+U1551+W1551,4)</f>
        <v>0</v>
      </c>
      <c r="Y1551" s="68"/>
      <c r="Z1551" s="148">
        <f>ROUND(IF(X1551&gt;I1551,X1551,I1551),4)</f>
        <v>0</v>
      </c>
      <c r="AD1551" s="78">
        <f t="shared" si="26"/>
        <v>0</v>
      </c>
      <c r="AE1551" s="78">
        <f t="shared" si="27"/>
        <v>0</v>
      </c>
    </row>
    <row r="1552" spans="1:31" x14ac:dyDescent="0.2">
      <c r="A1552" s="66"/>
      <c r="B1552" s="66"/>
      <c r="C1552" s="66"/>
      <c r="D1552" s="144"/>
      <c r="E1552" s="67"/>
      <c r="F1552" s="67"/>
      <c r="G1552" s="67"/>
      <c r="H1552" s="67">
        <f>ROUND(+E1552+G1552,4)</f>
        <v>0</v>
      </c>
      <c r="I1552" s="67"/>
      <c r="J1552" s="67">
        <f>ROUND(+I1552-H1552,4)</f>
        <v>0</v>
      </c>
      <c r="K1552" s="67">
        <f>ROUND(IF(F1552="alluminio",0,I1552*1.5%),4)</f>
        <v>0</v>
      </c>
      <c r="L1552" s="67">
        <f>ROUND(IF(K1552&lt;J1552,K1552,0),4)</f>
        <v>0</v>
      </c>
      <c r="M1552" s="67">
        <f>ROUND(IF(J1552&gt;K1552,0,J1552),4)</f>
        <v>0</v>
      </c>
      <c r="N1552" s="67">
        <f>ROUND(+L1552*D1552,4)</f>
        <v>0</v>
      </c>
      <c r="O1552" s="67">
        <f>ROUND(IF(F1552="rame",0,+I1552*3%),4)</f>
        <v>0</v>
      </c>
      <c r="P1552" s="67">
        <f>ROUND(IF(O1552&lt;J1552,O1552,0),4)</f>
        <v>0</v>
      </c>
      <c r="Q1552" s="67">
        <f>ROUND(IF(J1552&gt;O1552,0,J1552),4)</f>
        <v>0</v>
      </c>
      <c r="R1552" s="67">
        <f>ROUND(+P1552*D1552,4)</f>
        <v>0</v>
      </c>
      <c r="S1552" s="67">
        <f>ROUND(IF(K1552=0,0,M1552*D1552),4)</f>
        <v>0</v>
      </c>
      <c r="T1552" s="67">
        <f>ROUND(+IF(K1552=0,Q1552*D1552,0),4)</f>
        <v>0</v>
      </c>
      <c r="U1552" s="67">
        <f>ROUND(+N1552+R1552+S1552+T1552,4)</f>
        <v>0</v>
      </c>
      <c r="V1552" s="67">
        <f>ROUND(IF(P1552=0,0,I1552-H1552-O1552)+IF(L1552=0,0,I1552-H1552-K1552),4)</f>
        <v>0</v>
      </c>
      <c r="W1552" s="67">
        <f>ROUND(+(V1552*60%)*D1552,4)</f>
        <v>0</v>
      </c>
      <c r="X1552" s="148">
        <f>ROUND(+U1552+W1552,4)</f>
        <v>0</v>
      </c>
      <c r="Y1552" s="68"/>
      <c r="Z1552" s="148">
        <f>ROUND(IF(X1552&gt;I1552,X1552,I1552),4)</f>
        <v>0</v>
      </c>
      <c r="AD1552" s="78">
        <f t="shared" si="26"/>
        <v>0</v>
      </c>
      <c r="AE1552" s="78">
        <f t="shared" si="27"/>
        <v>0</v>
      </c>
    </row>
    <row r="1553" spans="1:31" x14ac:dyDescent="0.2">
      <c r="A1553" s="66"/>
      <c r="B1553" s="66"/>
      <c r="C1553" s="66"/>
      <c r="D1553" s="144"/>
      <c r="E1553" s="67"/>
      <c r="F1553" s="67"/>
      <c r="G1553" s="67"/>
      <c r="H1553" s="67">
        <f>ROUND(+E1553+G1553,4)</f>
        <v>0</v>
      </c>
      <c r="I1553" s="67"/>
      <c r="J1553" s="67">
        <f>ROUND(+I1553-H1553,4)</f>
        <v>0</v>
      </c>
      <c r="K1553" s="67">
        <f>ROUND(IF(F1553="alluminio",0,I1553*1.5%),4)</f>
        <v>0</v>
      </c>
      <c r="L1553" s="67">
        <f>ROUND(IF(K1553&lt;J1553,K1553,0),4)</f>
        <v>0</v>
      </c>
      <c r="M1553" s="67">
        <f>ROUND(IF(J1553&gt;K1553,0,J1553),4)</f>
        <v>0</v>
      </c>
      <c r="N1553" s="67">
        <f>ROUND(+L1553*D1553,4)</f>
        <v>0</v>
      </c>
      <c r="O1553" s="67">
        <f>ROUND(IF(F1553="rame",0,+I1553*3%),4)</f>
        <v>0</v>
      </c>
      <c r="P1553" s="67">
        <f>ROUND(IF(O1553&lt;J1553,O1553,0),4)</f>
        <v>0</v>
      </c>
      <c r="Q1553" s="67">
        <f>ROUND(IF(J1553&gt;O1553,0,J1553),4)</f>
        <v>0</v>
      </c>
      <c r="R1553" s="67">
        <f>ROUND(+P1553*D1553,4)</f>
        <v>0</v>
      </c>
      <c r="S1553" s="67">
        <f>ROUND(IF(K1553=0,0,M1553*D1553),4)</f>
        <v>0</v>
      </c>
      <c r="T1553" s="67">
        <f>ROUND(+IF(K1553=0,Q1553*D1553,0),4)</f>
        <v>0</v>
      </c>
      <c r="U1553" s="67">
        <f>ROUND(+N1553+R1553+S1553+T1553,4)</f>
        <v>0</v>
      </c>
      <c r="V1553" s="67">
        <f>ROUND(IF(P1553=0,0,I1553-H1553-O1553)+IF(L1553=0,0,I1553-H1553-K1553),4)</f>
        <v>0</v>
      </c>
      <c r="W1553" s="67">
        <f>ROUND(+(V1553*60%)*D1553,4)</f>
        <v>0</v>
      </c>
      <c r="X1553" s="148">
        <f>ROUND(+U1553+W1553,4)</f>
        <v>0</v>
      </c>
      <c r="Y1553" s="68"/>
      <c r="Z1553" s="148">
        <f>ROUND(IF(X1553&gt;I1553,X1553,I1553),4)</f>
        <v>0</v>
      </c>
      <c r="AD1553" s="78">
        <f t="shared" si="26"/>
        <v>0</v>
      </c>
      <c r="AE1553" s="78">
        <f t="shared" si="27"/>
        <v>0</v>
      </c>
    </row>
    <row r="1554" spans="1:31" x14ac:dyDescent="0.2">
      <c r="A1554" s="66"/>
      <c r="B1554" s="66"/>
      <c r="C1554" s="66"/>
      <c r="D1554" s="144"/>
      <c r="E1554" s="67"/>
      <c r="F1554" s="67"/>
      <c r="G1554" s="67"/>
      <c r="H1554" s="67">
        <f>ROUND(+E1554+G1554,4)</f>
        <v>0</v>
      </c>
      <c r="I1554" s="67"/>
      <c r="J1554" s="67">
        <f>ROUND(+I1554-H1554,4)</f>
        <v>0</v>
      </c>
      <c r="K1554" s="67">
        <f>ROUND(IF(F1554="alluminio",0,I1554*1.5%),4)</f>
        <v>0</v>
      </c>
      <c r="L1554" s="67">
        <f>ROUND(IF(K1554&lt;J1554,K1554,0),4)</f>
        <v>0</v>
      </c>
      <c r="M1554" s="67">
        <f>ROUND(IF(J1554&gt;K1554,0,J1554),4)</f>
        <v>0</v>
      </c>
      <c r="N1554" s="67">
        <f>ROUND(+L1554*D1554,4)</f>
        <v>0</v>
      </c>
      <c r="O1554" s="67">
        <f>ROUND(IF(F1554="rame",0,+I1554*3%),4)</f>
        <v>0</v>
      </c>
      <c r="P1554" s="67">
        <f>ROUND(IF(O1554&lt;J1554,O1554,0),4)</f>
        <v>0</v>
      </c>
      <c r="Q1554" s="67">
        <f>ROUND(IF(J1554&gt;O1554,0,J1554),4)</f>
        <v>0</v>
      </c>
      <c r="R1554" s="67">
        <f>ROUND(+P1554*D1554,4)</f>
        <v>0</v>
      </c>
      <c r="S1554" s="67">
        <f>ROUND(IF(K1554=0,0,M1554*D1554),4)</f>
        <v>0</v>
      </c>
      <c r="T1554" s="67">
        <f>ROUND(+IF(K1554=0,Q1554*D1554,0),4)</f>
        <v>0</v>
      </c>
      <c r="U1554" s="67">
        <f>ROUND(+N1554+R1554+S1554+T1554,4)</f>
        <v>0</v>
      </c>
      <c r="V1554" s="67">
        <f>ROUND(IF(P1554=0,0,I1554-H1554-O1554)+IF(L1554=0,0,I1554-H1554-K1554),4)</f>
        <v>0</v>
      </c>
      <c r="W1554" s="67">
        <f>ROUND(+(V1554*60%)*D1554,4)</f>
        <v>0</v>
      </c>
      <c r="X1554" s="148">
        <f>ROUND(+U1554+W1554,4)</f>
        <v>0</v>
      </c>
      <c r="Y1554" s="68"/>
      <c r="Z1554" s="148">
        <f>ROUND(IF(X1554&gt;I1554,X1554,I1554),4)</f>
        <v>0</v>
      </c>
      <c r="AD1554" s="78">
        <f t="shared" si="26"/>
        <v>0</v>
      </c>
      <c r="AE1554" s="78">
        <f t="shared" si="27"/>
        <v>0</v>
      </c>
    </row>
    <row r="1555" spans="1:31" x14ac:dyDescent="0.2">
      <c r="A1555" s="66"/>
      <c r="B1555" s="66"/>
      <c r="C1555" s="66"/>
      <c r="D1555" s="144"/>
      <c r="E1555" s="67"/>
      <c r="F1555" s="67"/>
      <c r="G1555" s="67"/>
      <c r="H1555" s="67">
        <f>ROUND(+E1555+G1555,4)</f>
        <v>0</v>
      </c>
      <c r="I1555" s="67"/>
      <c r="J1555" s="67">
        <f>ROUND(+I1555-H1555,4)</f>
        <v>0</v>
      </c>
      <c r="K1555" s="67">
        <f>ROUND(IF(F1555="alluminio",0,I1555*1.5%),4)</f>
        <v>0</v>
      </c>
      <c r="L1555" s="67">
        <f>ROUND(IF(K1555&lt;J1555,K1555,0),4)</f>
        <v>0</v>
      </c>
      <c r="M1555" s="67">
        <f>ROUND(IF(J1555&gt;K1555,0,J1555),4)</f>
        <v>0</v>
      </c>
      <c r="N1555" s="67">
        <f>ROUND(+L1555*D1555,4)</f>
        <v>0</v>
      </c>
      <c r="O1555" s="67">
        <f>ROUND(IF(F1555="rame",0,+I1555*3%),4)</f>
        <v>0</v>
      </c>
      <c r="P1555" s="67">
        <f>ROUND(IF(O1555&lt;J1555,O1555,0),4)</f>
        <v>0</v>
      </c>
      <c r="Q1555" s="67">
        <f>ROUND(IF(J1555&gt;O1555,0,J1555),4)</f>
        <v>0</v>
      </c>
      <c r="R1555" s="67">
        <f>ROUND(+P1555*D1555,4)</f>
        <v>0</v>
      </c>
      <c r="S1555" s="67">
        <f>ROUND(IF(K1555=0,0,M1555*D1555),4)</f>
        <v>0</v>
      </c>
      <c r="T1555" s="67">
        <f>ROUND(+IF(K1555=0,Q1555*D1555,0),4)</f>
        <v>0</v>
      </c>
      <c r="U1555" s="67">
        <f>ROUND(+N1555+R1555+S1555+T1555,4)</f>
        <v>0</v>
      </c>
      <c r="V1555" s="67">
        <f>ROUND(IF(P1555=0,0,I1555-H1555-O1555)+IF(L1555=0,0,I1555-H1555-K1555),4)</f>
        <v>0</v>
      </c>
      <c r="W1555" s="67">
        <f>ROUND(+(V1555*60%)*D1555,4)</f>
        <v>0</v>
      </c>
      <c r="X1555" s="148">
        <f>ROUND(+U1555+W1555,4)</f>
        <v>0</v>
      </c>
      <c r="Y1555" s="68"/>
      <c r="Z1555" s="148">
        <f>ROUND(IF(X1555&gt;I1555,X1555,I1555),4)</f>
        <v>0</v>
      </c>
      <c r="AD1555" s="78">
        <f t="shared" si="26"/>
        <v>0</v>
      </c>
      <c r="AE1555" s="78">
        <f t="shared" si="27"/>
        <v>0</v>
      </c>
    </row>
    <row r="1556" spans="1:31" x14ac:dyDescent="0.2">
      <c r="A1556" s="66"/>
      <c r="B1556" s="66"/>
      <c r="C1556" s="66"/>
      <c r="D1556" s="144"/>
      <c r="E1556" s="67"/>
      <c r="F1556" s="67"/>
      <c r="G1556" s="67"/>
      <c r="H1556" s="67">
        <f>ROUND(+E1556+G1556,4)</f>
        <v>0</v>
      </c>
      <c r="I1556" s="67"/>
      <c r="J1556" s="67">
        <f>ROUND(+I1556-H1556,4)</f>
        <v>0</v>
      </c>
      <c r="K1556" s="67">
        <f>ROUND(IF(F1556="alluminio",0,I1556*1.5%),4)</f>
        <v>0</v>
      </c>
      <c r="L1556" s="67">
        <f>ROUND(IF(K1556&lt;J1556,K1556,0),4)</f>
        <v>0</v>
      </c>
      <c r="M1556" s="67">
        <f>ROUND(IF(J1556&gt;K1556,0,J1556),4)</f>
        <v>0</v>
      </c>
      <c r="N1556" s="67">
        <f>ROUND(+L1556*D1556,4)</f>
        <v>0</v>
      </c>
      <c r="O1556" s="67">
        <f>ROUND(IF(F1556="rame",0,+I1556*3%),4)</f>
        <v>0</v>
      </c>
      <c r="P1556" s="67">
        <f>ROUND(IF(O1556&lt;J1556,O1556,0),4)</f>
        <v>0</v>
      </c>
      <c r="Q1556" s="67">
        <f>ROUND(IF(J1556&gt;O1556,0,J1556),4)</f>
        <v>0</v>
      </c>
      <c r="R1556" s="67">
        <f>ROUND(+P1556*D1556,4)</f>
        <v>0</v>
      </c>
      <c r="S1556" s="67">
        <f>ROUND(IF(K1556=0,0,M1556*D1556),4)</f>
        <v>0</v>
      </c>
      <c r="T1556" s="67">
        <f>ROUND(+IF(K1556=0,Q1556*D1556,0),4)</f>
        <v>0</v>
      </c>
      <c r="U1556" s="67">
        <f>ROUND(+N1556+R1556+S1556+T1556,4)</f>
        <v>0</v>
      </c>
      <c r="V1556" s="67">
        <f>ROUND(IF(P1556=0,0,I1556-H1556-O1556)+IF(L1556=0,0,I1556-H1556-K1556),4)</f>
        <v>0</v>
      </c>
      <c r="W1556" s="67">
        <f>ROUND(+(V1556*60%)*D1556,4)</f>
        <v>0</v>
      </c>
      <c r="X1556" s="148">
        <f>ROUND(+U1556+W1556,4)</f>
        <v>0</v>
      </c>
      <c r="Y1556" s="68"/>
      <c r="Z1556" s="148">
        <f>ROUND(IF(X1556&gt;I1556,X1556,I1556),4)</f>
        <v>0</v>
      </c>
      <c r="AD1556" s="78">
        <f t="shared" si="26"/>
        <v>0</v>
      </c>
      <c r="AE1556" s="78">
        <f t="shared" si="27"/>
        <v>0</v>
      </c>
    </row>
    <row r="1557" spans="1:31" x14ac:dyDescent="0.2">
      <c r="A1557" s="66"/>
      <c r="B1557" s="66"/>
      <c r="C1557" s="66"/>
      <c r="D1557" s="144"/>
      <c r="E1557" s="67"/>
      <c r="F1557" s="67"/>
      <c r="G1557" s="67"/>
      <c r="H1557" s="67">
        <f>ROUND(+E1557+G1557,4)</f>
        <v>0</v>
      </c>
      <c r="I1557" s="67"/>
      <c r="J1557" s="67">
        <f>ROUND(+I1557-H1557,4)</f>
        <v>0</v>
      </c>
      <c r="K1557" s="67">
        <f>ROUND(IF(F1557="alluminio",0,I1557*1.5%),4)</f>
        <v>0</v>
      </c>
      <c r="L1557" s="67">
        <f>ROUND(IF(K1557&lt;J1557,K1557,0),4)</f>
        <v>0</v>
      </c>
      <c r="M1557" s="67">
        <f>ROUND(IF(J1557&gt;K1557,0,J1557),4)</f>
        <v>0</v>
      </c>
      <c r="N1557" s="67">
        <f>ROUND(+L1557*D1557,4)</f>
        <v>0</v>
      </c>
      <c r="O1557" s="67">
        <f>ROUND(IF(F1557="rame",0,+I1557*3%),4)</f>
        <v>0</v>
      </c>
      <c r="P1557" s="67">
        <f>ROUND(IF(O1557&lt;J1557,O1557,0),4)</f>
        <v>0</v>
      </c>
      <c r="Q1557" s="67">
        <f>ROUND(IF(J1557&gt;O1557,0,J1557),4)</f>
        <v>0</v>
      </c>
      <c r="R1557" s="67">
        <f>ROUND(+P1557*D1557,4)</f>
        <v>0</v>
      </c>
      <c r="S1557" s="67">
        <f>ROUND(IF(K1557=0,0,M1557*D1557),4)</f>
        <v>0</v>
      </c>
      <c r="T1557" s="67">
        <f>ROUND(+IF(K1557=0,Q1557*D1557,0),4)</f>
        <v>0</v>
      </c>
      <c r="U1557" s="67">
        <f>ROUND(+N1557+R1557+S1557+T1557,4)</f>
        <v>0</v>
      </c>
      <c r="V1557" s="67">
        <f>ROUND(IF(P1557=0,0,I1557-H1557-O1557)+IF(L1557=0,0,I1557-H1557-K1557),4)</f>
        <v>0</v>
      </c>
      <c r="W1557" s="67">
        <f>ROUND(+(V1557*60%)*D1557,4)</f>
        <v>0</v>
      </c>
      <c r="X1557" s="148">
        <f>ROUND(+U1557+W1557,4)</f>
        <v>0</v>
      </c>
      <c r="Y1557" s="68"/>
      <c r="Z1557" s="148">
        <f>ROUND(IF(X1557&gt;I1557,X1557,I1557),4)</f>
        <v>0</v>
      </c>
      <c r="AD1557" s="78">
        <f t="shared" si="26"/>
        <v>0</v>
      </c>
      <c r="AE1557" s="78">
        <f t="shared" si="27"/>
        <v>0</v>
      </c>
    </row>
    <row r="1558" spans="1:31" x14ac:dyDescent="0.2">
      <c r="A1558" s="66"/>
      <c r="B1558" s="66"/>
      <c r="C1558" s="66"/>
      <c r="D1558" s="144"/>
      <c r="E1558" s="67"/>
      <c r="F1558" s="67"/>
      <c r="G1558" s="67"/>
      <c r="H1558" s="67">
        <f>ROUND(+E1558+G1558,4)</f>
        <v>0</v>
      </c>
      <c r="I1558" s="67"/>
      <c r="J1558" s="67">
        <f>ROUND(+I1558-H1558,4)</f>
        <v>0</v>
      </c>
      <c r="K1558" s="67">
        <f>ROUND(IF(F1558="alluminio",0,I1558*1.5%),4)</f>
        <v>0</v>
      </c>
      <c r="L1558" s="67">
        <f>ROUND(IF(K1558&lt;J1558,K1558,0),4)</f>
        <v>0</v>
      </c>
      <c r="M1558" s="67">
        <f>ROUND(IF(J1558&gt;K1558,0,J1558),4)</f>
        <v>0</v>
      </c>
      <c r="N1558" s="67">
        <f>ROUND(+L1558*D1558,4)</f>
        <v>0</v>
      </c>
      <c r="O1558" s="67">
        <f>ROUND(IF(F1558="rame",0,+I1558*3%),4)</f>
        <v>0</v>
      </c>
      <c r="P1558" s="67">
        <f>ROUND(IF(O1558&lt;J1558,O1558,0),4)</f>
        <v>0</v>
      </c>
      <c r="Q1558" s="67">
        <f>ROUND(IF(J1558&gt;O1558,0,J1558),4)</f>
        <v>0</v>
      </c>
      <c r="R1558" s="67">
        <f>ROUND(+P1558*D1558,4)</f>
        <v>0</v>
      </c>
      <c r="S1558" s="67">
        <f>ROUND(IF(K1558=0,0,M1558*D1558),4)</f>
        <v>0</v>
      </c>
      <c r="T1558" s="67">
        <f>ROUND(+IF(K1558=0,Q1558*D1558,0),4)</f>
        <v>0</v>
      </c>
      <c r="U1558" s="67">
        <f>ROUND(+N1558+R1558+S1558+T1558,4)</f>
        <v>0</v>
      </c>
      <c r="V1558" s="67">
        <f>ROUND(IF(P1558=0,0,I1558-H1558-O1558)+IF(L1558=0,0,I1558-H1558-K1558),4)</f>
        <v>0</v>
      </c>
      <c r="W1558" s="67">
        <f>ROUND(+(V1558*60%)*D1558,4)</f>
        <v>0</v>
      </c>
      <c r="X1558" s="148">
        <f>ROUND(+U1558+W1558,4)</f>
        <v>0</v>
      </c>
      <c r="Y1558" s="68"/>
      <c r="Z1558" s="148">
        <f>ROUND(IF(X1558&gt;I1558,X1558,I1558),4)</f>
        <v>0</v>
      </c>
      <c r="AD1558" s="78">
        <f t="shared" si="26"/>
        <v>0</v>
      </c>
      <c r="AE1558" s="78">
        <f t="shared" si="27"/>
        <v>0</v>
      </c>
    </row>
    <row r="1559" spans="1:31" x14ac:dyDescent="0.2">
      <c r="A1559" s="66"/>
      <c r="B1559" s="66"/>
      <c r="C1559" s="66"/>
      <c r="D1559" s="144"/>
      <c r="E1559" s="67"/>
      <c r="F1559" s="67"/>
      <c r="G1559" s="67"/>
      <c r="H1559" s="67">
        <f>ROUND(+E1559+G1559,4)</f>
        <v>0</v>
      </c>
      <c r="I1559" s="67"/>
      <c r="J1559" s="67">
        <f>ROUND(+I1559-H1559,4)</f>
        <v>0</v>
      </c>
      <c r="K1559" s="67">
        <f>ROUND(IF(F1559="alluminio",0,I1559*1.5%),4)</f>
        <v>0</v>
      </c>
      <c r="L1559" s="67">
        <f>ROUND(IF(K1559&lt;J1559,K1559,0),4)</f>
        <v>0</v>
      </c>
      <c r="M1559" s="67">
        <f>ROUND(IF(J1559&gt;K1559,0,J1559),4)</f>
        <v>0</v>
      </c>
      <c r="N1559" s="67">
        <f>ROUND(+L1559*D1559,4)</f>
        <v>0</v>
      </c>
      <c r="O1559" s="67">
        <f>ROUND(IF(F1559="rame",0,+I1559*3%),4)</f>
        <v>0</v>
      </c>
      <c r="P1559" s="67">
        <f>ROUND(IF(O1559&lt;J1559,O1559,0),4)</f>
        <v>0</v>
      </c>
      <c r="Q1559" s="67">
        <f>ROUND(IF(J1559&gt;O1559,0,J1559),4)</f>
        <v>0</v>
      </c>
      <c r="R1559" s="67">
        <f>ROUND(+P1559*D1559,4)</f>
        <v>0</v>
      </c>
      <c r="S1559" s="67">
        <f>ROUND(IF(K1559=0,0,M1559*D1559),4)</f>
        <v>0</v>
      </c>
      <c r="T1559" s="67">
        <f>ROUND(+IF(K1559=0,Q1559*D1559,0),4)</f>
        <v>0</v>
      </c>
      <c r="U1559" s="67">
        <f>ROUND(+N1559+R1559+S1559+T1559,4)</f>
        <v>0</v>
      </c>
      <c r="V1559" s="67">
        <f>ROUND(IF(P1559=0,0,I1559-H1559-O1559)+IF(L1559=0,0,I1559-H1559-K1559),4)</f>
        <v>0</v>
      </c>
      <c r="W1559" s="67">
        <f>ROUND(+(V1559*60%)*D1559,4)</f>
        <v>0</v>
      </c>
      <c r="X1559" s="148">
        <f>ROUND(+U1559+W1559,4)</f>
        <v>0</v>
      </c>
      <c r="Y1559" s="68"/>
      <c r="Z1559" s="148">
        <f>ROUND(IF(X1559&gt;I1559,X1559,I1559),4)</f>
        <v>0</v>
      </c>
      <c r="AD1559" s="78">
        <f t="shared" si="26"/>
        <v>0</v>
      </c>
      <c r="AE1559" s="78">
        <f t="shared" si="27"/>
        <v>0</v>
      </c>
    </row>
    <row r="1560" spans="1:31" x14ac:dyDescent="0.2">
      <c r="A1560" s="66"/>
      <c r="B1560" s="66"/>
      <c r="C1560" s="66"/>
      <c r="D1560" s="144"/>
      <c r="E1560" s="67"/>
      <c r="F1560" s="67"/>
      <c r="G1560" s="67"/>
      <c r="H1560" s="67">
        <f>ROUND(+E1560+G1560,4)</f>
        <v>0</v>
      </c>
      <c r="I1560" s="67"/>
      <c r="J1560" s="67">
        <f>ROUND(+I1560-H1560,4)</f>
        <v>0</v>
      </c>
      <c r="K1560" s="67">
        <f>ROUND(IF(F1560="alluminio",0,I1560*1.5%),4)</f>
        <v>0</v>
      </c>
      <c r="L1560" s="67">
        <f>ROUND(IF(K1560&lt;J1560,K1560,0),4)</f>
        <v>0</v>
      </c>
      <c r="M1560" s="67">
        <f>ROUND(IF(J1560&gt;K1560,0,J1560),4)</f>
        <v>0</v>
      </c>
      <c r="N1560" s="67">
        <f>ROUND(+L1560*D1560,4)</f>
        <v>0</v>
      </c>
      <c r="O1560" s="67">
        <f>ROUND(IF(F1560="rame",0,+I1560*3%),4)</f>
        <v>0</v>
      </c>
      <c r="P1560" s="67">
        <f>ROUND(IF(O1560&lt;J1560,O1560,0),4)</f>
        <v>0</v>
      </c>
      <c r="Q1560" s="67">
        <f>ROUND(IF(J1560&gt;O1560,0,J1560),4)</f>
        <v>0</v>
      </c>
      <c r="R1560" s="67">
        <f>ROUND(+P1560*D1560,4)</f>
        <v>0</v>
      </c>
      <c r="S1560" s="67">
        <f>ROUND(IF(K1560=0,0,M1560*D1560),4)</f>
        <v>0</v>
      </c>
      <c r="T1560" s="67">
        <f>ROUND(+IF(K1560=0,Q1560*D1560,0),4)</f>
        <v>0</v>
      </c>
      <c r="U1560" s="67">
        <f>ROUND(+N1560+R1560+S1560+T1560,4)</f>
        <v>0</v>
      </c>
      <c r="V1560" s="67">
        <f>ROUND(IF(P1560=0,0,I1560-H1560-O1560)+IF(L1560=0,0,I1560-H1560-K1560),4)</f>
        <v>0</v>
      </c>
      <c r="W1560" s="67">
        <f>ROUND(+(V1560*60%)*D1560,4)</f>
        <v>0</v>
      </c>
      <c r="X1560" s="148">
        <f>ROUND(+U1560+W1560,4)</f>
        <v>0</v>
      </c>
      <c r="Y1560" s="68"/>
      <c r="Z1560" s="148">
        <f>ROUND(IF(X1560&gt;I1560,X1560,I1560),4)</f>
        <v>0</v>
      </c>
      <c r="AD1560" s="78">
        <f t="shared" si="26"/>
        <v>0</v>
      </c>
      <c r="AE1560" s="78">
        <f t="shared" si="27"/>
        <v>0</v>
      </c>
    </row>
    <row r="1561" spans="1:31" x14ac:dyDescent="0.2">
      <c r="A1561" s="66"/>
      <c r="B1561" s="66"/>
      <c r="C1561" s="66"/>
      <c r="D1561" s="144"/>
      <c r="E1561" s="67"/>
      <c r="F1561" s="67"/>
      <c r="G1561" s="67"/>
      <c r="H1561" s="67">
        <f>ROUND(+E1561+G1561,4)</f>
        <v>0</v>
      </c>
      <c r="I1561" s="67"/>
      <c r="J1561" s="67">
        <f>ROUND(+I1561-H1561,4)</f>
        <v>0</v>
      </c>
      <c r="K1561" s="67">
        <f>ROUND(IF(F1561="alluminio",0,I1561*1.5%),4)</f>
        <v>0</v>
      </c>
      <c r="L1561" s="67">
        <f>ROUND(IF(K1561&lt;J1561,K1561,0),4)</f>
        <v>0</v>
      </c>
      <c r="M1561" s="67">
        <f>ROUND(IF(J1561&gt;K1561,0,J1561),4)</f>
        <v>0</v>
      </c>
      <c r="N1561" s="67">
        <f>ROUND(+L1561*D1561,4)</f>
        <v>0</v>
      </c>
      <c r="O1561" s="67">
        <f>ROUND(IF(F1561="rame",0,+I1561*3%),4)</f>
        <v>0</v>
      </c>
      <c r="P1561" s="67">
        <f>ROUND(IF(O1561&lt;J1561,O1561,0),4)</f>
        <v>0</v>
      </c>
      <c r="Q1561" s="67">
        <f>ROUND(IF(J1561&gt;O1561,0,J1561),4)</f>
        <v>0</v>
      </c>
      <c r="R1561" s="67">
        <f>ROUND(+P1561*D1561,4)</f>
        <v>0</v>
      </c>
      <c r="S1561" s="67">
        <f>ROUND(IF(K1561=0,0,M1561*D1561),4)</f>
        <v>0</v>
      </c>
      <c r="T1561" s="67">
        <f>ROUND(+IF(K1561=0,Q1561*D1561,0),4)</f>
        <v>0</v>
      </c>
      <c r="U1561" s="67">
        <f>ROUND(+N1561+R1561+S1561+T1561,4)</f>
        <v>0</v>
      </c>
      <c r="V1561" s="67">
        <f>ROUND(IF(P1561=0,0,I1561-H1561-O1561)+IF(L1561=0,0,I1561-H1561-K1561),4)</f>
        <v>0</v>
      </c>
      <c r="W1561" s="67">
        <f>ROUND(+(V1561*60%)*D1561,4)</f>
        <v>0</v>
      </c>
      <c r="X1561" s="148">
        <f>ROUND(+U1561+W1561,4)</f>
        <v>0</v>
      </c>
      <c r="Y1561" s="68"/>
      <c r="Z1561" s="148">
        <f>ROUND(IF(X1561&gt;I1561,X1561,I1561),4)</f>
        <v>0</v>
      </c>
      <c r="AD1561" s="78">
        <f t="shared" si="26"/>
        <v>0</v>
      </c>
      <c r="AE1561" s="78">
        <f t="shared" si="27"/>
        <v>0</v>
      </c>
    </row>
    <row r="1562" spans="1:31" x14ac:dyDescent="0.2">
      <c r="A1562" s="66"/>
      <c r="B1562" s="66"/>
      <c r="C1562" s="66"/>
      <c r="D1562" s="144"/>
      <c r="E1562" s="67"/>
      <c r="F1562" s="67"/>
      <c r="G1562" s="67"/>
      <c r="H1562" s="67">
        <f>ROUND(+E1562+G1562,4)</f>
        <v>0</v>
      </c>
      <c r="I1562" s="67"/>
      <c r="J1562" s="67">
        <f>ROUND(+I1562-H1562,4)</f>
        <v>0</v>
      </c>
      <c r="K1562" s="67">
        <f>ROUND(IF(F1562="alluminio",0,I1562*1.5%),4)</f>
        <v>0</v>
      </c>
      <c r="L1562" s="67">
        <f>ROUND(IF(K1562&lt;J1562,K1562,0),4)</f>
        <v>0</v>
      </c>
      <c r="M1562" s="67">
        <f>ROUND(IF(J1562&gt;K1562,0,J1562),4)</f>
        <v>0</v>
      </c>
      <c r="N1562" s="67">
        <f>ROUND(+L1562*D1562,4)</f>
        <v>0</v>
      </c>
      <c r="O1562" s="67">
        <f>ROUND(IF(F1562="rame",0,+I1562*3%),4)</f>
        <v>0</v>
      </c>
      <c r="P1562" s="67">
        <f>ROUND(IF(O1562&lt;J1562,O1562,0),4)</f>
        <v>0</v>
      </c>
      <c r="Q1562" s="67">
        <f>ROUND(IF(J1562&gt;O1562,0,J1562),4)</f>
        <v>0</v>
      </c>
      <c r="R1562" s="67">
        <f>ROUND(+P1562*D1562,4)</f>
        <v>0</v>
      </c>
      <c r="S1562" s="67">
        <f>ROUND(IF(K1562=0,0,M1562*D1562),4)</f>
        <v>0</v>
      </c>
      <c r="T1562" s="67">
        <f>ROUND(+IF(K1562=0,Q1562*D1562,0),4)</f>
        <v>0</v>
      </c>
      <c r="U1562" s="67">
        <f>ROUND(+N1562+R1562+S1562+T1562,4)</f>
        <v>0</v>
      </c>
      <c r="V1562" s="67">
        <f>ROUND(IF(P1562=0,0,I1562-H1562-O1562)+IF(L1562=0,0,I1562-H1562-K1562),4)</f>
        <v>0</v>
      </c>
      <c r="W1562" s="67">
        <f>ROUND(+(V1562*60%)*D1562,4)</f>
        <v>0</v>
      </c>
      <c r="X1562" s="148">
        <f>ROUND(+U1562+W1562,4)</f>
        <v>0</v>
      </c>
      <c r="Y1562" s="68"/>
      <c r="Z1562" s="148">
        <f>ROUND(IF(X1562&gt;I1562,X1562,I1562),4)</f>
        <v>0</v>
      </c>
      <c r="AD1562" s="78">
        <f t="shared" si="26"/>
        <v>0</v>
      </c>
      <c r="AE1562" s="78">
        <f t="shared" si="27"/>
        <v>0</v>
      </c>
    </row>
    <row r="1563" spans="1:31" x14ac:dyDescent="0.2">
      <c r="A1563" s="66"/>
      <c r="B1563" s="66"/>
      <c r="C1563" s="66"/>
      <c r="D1563" s="144"/>
      <c r="E1563" s="67"/>
      <c r="F1563" s="67"/>
      <c r="G1563" s="67"/>
      <c r="H1563" s="67">
        <f>ROUND(+E1563+G1563,4)</f>
        <v>0</v>
      </c>
      <c r="I1563" s="67"/>
      <c r="J1563" s="67">
        <f>ROUND(+I1563-H1563,4)</f>
        <v>0</v>
      </c>
      <c r="K1563" s="67">
        <f>ROUND(IF(F1563="alluminio",0,I1563*1.5%),4)</f>
        <v>0</v>
      </c>
      <c r="L1563" s="67">
        <f>ROUND(IF(K1563&lt;J1563,K1563,0),4)</f>
        <v>0</v>
      </c>
      <c r="M1563" s="67">
        <f>ROUND(IF(J1563&gt;K1563,0,J1563),4)</f>
        <v>0</v>
      </c>
      <c r="N1563" s="67">
        <f>ROUND(+L1563*D1563,4)</f>
        <v>0</v>
      </c>
      <c r="O1563" s="67">
        <f>ROUND(IF(F1563="rame",0,+I1563*3%),4)</f>
        <v>0</v>
      </c>
      <c r="P1563" s="67">
        <f>ROUND(IF(O1563&lt;J1563,O1563,0),4)</f>
        <v>0</v>
      </c>
      <c r="Q1563" s="67">
        <f>ROUND(IF(J1563&gt;O1563,0,J1563),4)</f>
        <v>0</v>
      </c>
      <c r="R1563" s="67">
        <f>ROUND(+P1563*D1563,4)</f>
        <v>0</v>
      </c>
      <c r="S1563" s="67">
        <f>ROUND(IF(K1563=0,0,M1563*D1563),4)</f>
        <v>0</v>
      </c>
      <c r="T1563" s="67">
        <f>ROUND(+IF(K1563=0,Q1563*D1563,0),4)</f>
        <v>0</v>
      </c>
      <c r="U1563" s="67">
        <f>ROUND(+N1563+R1563+S1563+T1563,4)</f>
        <v>0</v>
      </c>
      <c r="V1563" s="67">
        <f>ROUND(IF(P1563=0,0,I1563-H1563-O1563)+IF(L1563=0,0,I1563-H1563-K1563),4)</f>
        <v>0</v>
      </c>
      <c r="W1563" s="67">
        <f>ROUND(+(V1563*60%)*D1563,4)</f>
        <v>0</v>
      </c>
      <c r="X1563" s="148">
        <f>ROUND(+U1563+W1563,4)</f>
        <v>0</v>
      </c>
      <c r="Y1563" s="68"/>
      <c r="Z1563" s="148">
        <f>ROUND(IF(X1563&gt;I1563,X1563,I1563),4)</f>
        <v>0</v>
      </c>
      <c r="AD1563" s="78">
        <f t="shared" si="26"/>
        <v>0</v>
      </c>
      <c r="AE1563" s="78">
        <f t="shared" si="27"/>
        <v>0</v>
      </c>
    </row>
    <row r="1564" spans="1:31" x14ac:dyDescent="0.2">
      <c r="A1564" s="66"/>
      <c r="B1564" s="66"/>
      <c r="C1564" s="66"/>
      <c r="D1564" s="144"/>
      <c r="E1564" s="67"/>
      <c r="F1564" s="67"/>
      <c r="G1564" s="67"/>
      <c r="H1564" s="67">
        <f>ROUND(+E1564+G1564,4)</f>
        <v>0</v>
      </c>
      <c r="I1564" s="67"/>
      <c r="J1564" s="67">
        <f>ROUND(+I1564-H1564,4)</f>
        <v>0</v>
      </c>
      <c r="K1564" s="67">
        <f>ROUND(IF(F1564="alluminio",0,I1564*1.5%),4)</f>
        <v>0</v>
      </c>
      <c r="L1564" s="67">
        <f>ROUND(IF(K1564&lt;J1564,K1564,0),4)</f>
        <v>0</v>
      </c>
      <c r="M1564" s="67">
        <f>ROUND(IF(J1564&gt;K1564,0,J1564),4)</f>
        <v>0</v>
      </c>
      <c r="N1564" s="67">
        <f>ROUND(+L1564*D1564,4)</f>
        <v>0</v>
      </c>
      <c r="O1564" s="67">
        <f>ROUND(IF(F1564="rame",0,+I1564*3%),4)</f>
        <v>0</v>
      </c>
      <c r="P1564" s="67">
        <f>ROUND(IF(O1564&lt;J1564,O1564,0),4)</f>
        <v>0</v>
      </c>
      <c r="Q1564" s="67">
        <f>ROUND(IF(J1564&gt;O1564,0,J1564),4)</f>
        <v>0</v>
      </c>
      <c r="R1564" s="67">
        <f>ROUND(+P1564*D1564,4)</f>
        <v>0</v>
      </c>
      <c r="S1564" s="67">
        <f>ROUND(IF(K1564=0,0,M1564*D1564),4)</f>
        <v>0</v>
      </c>
      <c r="T1564" s="67">
        <f>ROUND(+IF(K1564=0,Q1564*D1564,0),4)</f>
        <v>0</v>
      </c>
      <c r="U1564" s="67">
        <f>ROUND(+N1564+R1564+S1564+T1564,4)</f>
        <v>0</v>
      </c>
      <c r="V1564" s="67">
        <f>ROUND(IF(P1564=0,0,I1564-H1564-O1564)+IF(L1564=0,0,I1564-H1564-K1564),4)</f>
        <v>0</v>
      </c>
      <c r="W1564" s="67">
        <f>ROUND(+(V1564*60%)*D1564,4)</f>
        <v>0</v>
      </c>
      <c r="X1564" s="148">
        <f>ROUND(+U1564+W1564,4)</f>
        <v>0</v>
      </c>
      <c r="Y1564" s="68"/>
      <c r="Z1564" s="148">
        <f>ROUND(IF(X1564&gt;I1564,X1564,I1564),4)</f>
        <v>0</v>
      </c>
      <c r="AD1564" s="78">
        <f t="shared" si="26"/>
        <v>0</v>
      </c>
      <c r="AE1564" s="78">
        <f t="shared" si="27"/>
        <v>0</v>
      </c>
    </row>
    <row r="1565" spans="1:31" x14ac:dyDescent="0.2">
      <c r="A1565" s="66"/>
      <c r="B1565" s="66"/>
      <c r="C1565" s="66"/>
      <c r="D1565" s="144"/>
      <c r="E1565" s="67"/>
      <c r="F1565" s="67"/>
      <c r="G1565" s="67"/>
      <c r="H1565" s="67">
        <f>ROUND(+E1565+G1565,4)</f>
        <v>0</v>
      </c>
      <c r="I1565" s="67"/>
      <c r="J1565" s="67">
        <f>ROUND(+I1565-H1565,4)</f>
        <v>0</v>
      </c>
      <c r="K1565" s="67">
        <f>ROUND(IF(F1565="alluminio",0,I1565*1.5%),4)</f>
        <v>0</v>
      </c>
      <c r="L1565" s="67">
        <f>ROUND(IF(K1565&lt;J1565,K1565,0),4)</f>
        <v>0</v>
      </c>
      <c r="M1565" s="67">
        <f>ROUND(IF(J1565&gt;K1565,0,J1565),4)</f>
        <v>0</v>
      </c>
      <c r="N1565" s="67">
        <f>ROUND(+L1565*D1565,4)</f>
        <v>0</v>
      </c>
      <c r="O1565" s="67">
        <f>ROUND(IF(F1565="rame",0,+I1565*3%),4)</f>
        <v>0</v>
      </c>
      <c r="P1565" s="67">
        <f>ROUND(IF(O1565&lt;J1565,O1565,0),4)</f>
        <v>0</v>
      </c>
      <c r="Q1565" s="67">
        <f>ROUND(IF(J1565&gt;O1565,0,J1565),4)</f>
        <v>0</v>
      </c>
      <c r="R1565" s="67">
        <f>ROUND(+P1565*D1565,4)</f>
        <v>0</v>
      </c>
      <c r="S1565" s="67">
        <f>ROUND(IF(K1565=0,0,M1565*D1565),4)</f>
        <v>0</v>
      </c>
      <c r="T1565" s="67">
        <f>ROUND(+IF(K1565=0,Q1565*D1565,0),4)</f>
        <v>0</v>
      </c>
      <c r="U1565" s="67">
        <f>ROUND(+N1565+R1565+S1565+T1565,4)</f>
        <v>0</v>
      </c>
      <c r="V1565" s="67">
        <f>ROUND(IF(P1565=0,0,I1565-H1565-O1565)+IF(L1565=0,0,I1565-H1565-K1565),4)</f>
        <v>0</v>
      </c>
      <c r="W1565" s="67">
        <f>ROUND(+(V1565*60%)*D1565,4)</f>
        <v>0</v>
      </c>
      <c r="X1565" s="148">
        <f>ROUND(+U1565+W1565,4)</f>
        <v>0</v>
      </c>
      <c r="Y1565" s="68"/>
      <c r="Z1565" s="148">
        <f>ROUND(IF(X1565&gt;I1565,X1565,I1565),4)</f>
        <v>0</v>
      </c>
      <c r="AD1565" s="78">
        <f t="shared" si="26"/>
        <v>0</v>
      </c>
      <c r="AE1565" s="78">
        <f t="shared" si="27"/>
        <v>0</v>
      </c>
    </row>
    <row r="1566" spans="1:31" x14ac:dyDescent="0.2">
      <c r="A1566" s="66"/>
      <c r="B1566" s="66"/>
      <c r="C1566" s="66"/>
      <c r="D1566" s="144"/>
      <c r="E1566" s="67"/>
      <c r="F1566" s="67"/>
      <c r="G1566" s="67"/>
      <c r="H1566" s="67">
        <f>ROUND(+E1566+G1566,4)</f>
        <v>0</v>
      </c>
      <c r="I1566" s="67"/>
      <c r="J1566" s="67">
        <f>ROUND(+I1566-H1566,4)</f>
        <v>0</v>
      </c>
      <c r="K1566" s="67">
        <f>ROUND(IF(F1566="alluminio",0,I1566*1.5%),4)</f>
        <v>0</v>
      </c>
      <c r="L1566" s="67">
        <f>ROUND(IF(K1566&lt;J1566,K1566,0),4)</f>
        <v>0</v>
      </c>
      <c r="M1566" s="67">
        <f>ROUND(IF(J1566&gt;K1566,0,J1566),4)</f>
        <v>0</v>
      </c>
      <c r="N1566" s="67">
        <f>ROUND(+L1566*D1566,4)</f>
        <v>0</v>
      </c>
      <c r="O1566" s="67">
        <f>ROUND(IF(F1566="rame",0,+I1566*3%),4)</f>
        <v>0</v>
      </c>
      <c r="P1566" s="67">
        <f>ROUND(IF(O1566&lt;J1566,O1566,0),4)</f>
        <v>0</v>
      </c>
      <c r="Q1566" s="67">
        <f>ROUND(IF(J1566&gt;O1566,0,J1566),4)</f>
        <v>0</v>
      </c>
      <c r="R1566" s="67">
        <f>ROUND(+P1566*D1566,4)</f>
        <v>0</v>
      </c>
      <c r="S1566" s="67">
        <f>ROUND(IF(K1566=0,0,M1566*D1566),4)</f>
        <v>0</v>
      </c>
      <c r="T1566" s="67">
        <f>ROUND(+IF(K1566=0,Q1566*D1566,0),4)</f>
        <v>0</v>
      </c>
      <c r="U1566" s="67">
        <f>ROUND(+N1566+R1566+S1566+T1566,4)</f>
        <v>0</v>
      </c>
      <c r="V1566" s="67">
        <f>ROUND(IF(P1566=0,0,I1566-H1566-O1566)+IF(L1566=0,0,I1566-H1566-K1566),4)</f>
        <v>0</v>
      </c>
      <c r="W1566" s="67">
        <f>ROUND(+(V1566*60%)*D1566,4)</f>
        <v>0</v>
      </c>
      <c r="X1566" s="148">
        <f>ROUND(+U1566+W1566,4)</f>
        <v>0</v>
      </c>
      <c r="Y1566" s="68"/>
      <c r="Z1566" s="148">
        <f>ROUND(IF(X1566&gt;I1566,X1566,I1566),4)</f>
        <v>0</v>
      </c>
      <c r="AD1566" s="78">
        <f t="shared" si="26"/>
        <v>0</v>
      </c>
      <c r="AE1566" s="78">
        <f t="shared" si="27"/>
        <v>0</v>
      </c>
    </row>
    <row r="1567" spans="1:31" x14ac:dyDescent="0.2">
      <c r="A1567" s="66"/>
      <c r="B1567" s="66"/>
      <c r="C1567" s="66"/>
      <c r="D1567" s="144"/>
      <c r="E1567" s="67"/>
      <c r="F1567" s="67"/>
      <c r="G1567" s="67"/>
      <c r="H1567" s="67">
        <f>ROUND(+E1567+G1567,4)</f>
        <v>0</v>
      </c>
      <c r="I1567" s="67"/>
      <c r="J1567" s="67">
        <f>ROUND(+I1567-H1567,4)</f>
        <v>0</v>
      </c>
      <c r="K1567" s="67">
        <f>ROUND(IF(F1567="alluminio",0,I1567*1.5%),4)</f>
        <v>0</v>
      </c>
      <c r="L1567" s="67">
        <f>ROUND(IF(K1567&lt;J1567,K1567,0),4)</f>
        <v>0</v>
      </c>
      <c r="M1567" s="67">
        <f>ROUND(IF(J1567&gt;K1567,0,J1567),4)</f>
        <v>0</v>
      </c>
      <c r="N1567" s="67">
        <f>ROUND(+L1567*D1567,4)</f>
        <v>0</v>
      </c>
      <c r="O1567" s="67">
        <f>ROUND(IF(F1567="rame",0,+I1567*3%),4)</f>
        <v>0</v>
      </c>
      <c r="P1567" s="67">
        <f>ROUND(IF(O1567&lt;J1567,O1567,0),4)</f>
        <v>0</v>
      </c>
      <c r="Q1567" s="67">
        <f>ROUND(IF(J1567&gt;O1567,0,J1567),4)</f>
        <v>0</v>
      </c>
      <c r="R1567" s="67">
        <f>ROUND(+P1567*D1567,4)</f>
        <v>0</v>
      </c>
      <c r="S1567" s="67">
        <f>ROUND(IF(K1567=0,0,M1567*D1567),4)</f>
        <v>0</v>
      </c>
      <c r="T1567" s="67">
        <f>ROUND(+IF(K1567=0,Q1567*D1567,0),4)</f>
        <v>0</v>
      </c>
      <c r="U1567" s="67">
        <f>ROUND(+N1567+R1567+S1567+T1567,4)</f>
        <v>0</v>
      </c>
      <c r="V1567" s="67">
        <f>ROUND(IF(P1567=0,0,I1567-H1567-O1567)+IF(L1567=0,0,I1567-H1567-K1567),4)</f>
        <v>0</v>
      </c>
      <c r="W1567" s="67">
        <f>ROUND(+(V1567*60%)*D1567,4)</f>
        <v>0</v>
      </c>
      <c r="X1567" s="148">
        <f>ROUND(+U1567+W1567,4)</f>
        <v>0</v>
      </c>
      <c r="Y1567" s="68"/>
      <c r="Z1567" s="148">
        <f>ROUND(IF(X1567&gt;I1567,X1567,I1567),4)</f>
        <v>0</v>
      </c>
      <c r="AD1567" s="78">
        <f t="shared" si="26"/>
        <v>0</v>
      </c>
      <c r="AE1567" s="78">
        <f t="shared" si="27"/>
        <v>0</v>
      </c>
    </row>
    <row r="1568" spans="1:31" x14ac:dyDescent="0.2">
      <c r="A1568" s="66"/>
      <c r="B1568" s="66"/>
      <c r="C1568" s="66"/>
      <c r="D1568" s="144"/>
      <c r="E1568" s="67"/>
      <c r="F1568" s="67"/>
      <c r="G1568" s="67"/>
      <c r="H1568" s="67">
        <f>ROUND(+E1568+G1568,4)</f>
        <v>0</v>
      </c>
      <c r="I1568" s="67"/>
      <c r="J1568" s="67">
        <f>ROUND(+I1568-H1568,4)</f>
        <v>0</v>
      </c>
      <c r="K1568" s="67">
        <f>ROUND(IF(F1568="alluminio",0,I1568*1.5%),4)</f>
        <v>0</v>
      </c>
      <c r="L1568" s="67">
        <f>ROUND(IF(K1568&lt;J1568,K1568,0),4)</f>
        <v>0</v>
      </c>
      <c r="M1568" s="67">
        <f>ROUND(IF(J1568&gt;K1568,0,J1568),4)</f>
        <v>0</v>
      </c>
      <c r="N1568" s="67">
        <f>ROUND(+L1568*D1568,4)</f>
        <v>0</v>
      </c>
      <c r="O1568" s="67">
        <f>ROUND(IF(F1568="rame",0,+I1568*3%),4)</f>
        <v>0</v>
      </c>
      <c r="P1568" s="67">
        <f>ROUND(IF(O1568&lt;J1568,O1568,0),4)</f>
        <v>0</v>
      </c>
      <c r="Q1568" s="67">
        <f>ROUND(IF(J1568&gt;O1568,0,J1568),4)</f>
        <v>0</v>
      </c>
      <c r="R1568" s="67">
        <f>ROUND(+P1568*D1568,4)</f>
        <v>0</v>
      </c>
      <c r="S1568" s="67">
        <f>ROUND(IF(K1568=0,0,M1568*D1568),4)</f>
        <v>0</v>
      </c>
      <c r="T1568" s="67">
        <f>ROUND(+IF(K1568=0,Q1568*D1568,0),4)</f>
        <v>0</v>
      </c>
      <c r="U1568" s="67">
        <f>ROUND(+N1568+R1568+S1568+T1568,4)</f>
        <v>0</v>
      </c>
      <c r="V1568" s="67">
        <f>ROUND(IF(P1568=0,0,I1568-H1568-O1568)+IF(L1568=0,0,I1568-H1568-K1568),4)</f>
        <v>0</v>
      </c>
      <c r="W1568" s="67">
        <f>ROUND(+(V1568*60%)*D1568,4)</f>
        <v>0</v>
      </c>
      <c r="X1568" s="148">
        <f>ROUND(+U1568+W1568,4)</f>
        <v>0</v>
      </c>
      <c r="Y1568" s="68"/>
      <c r="Z1568" s="148">
        <f>ROUND(IF(X1568&gt;I1568,X1568,I1568),4)</f>
        <v>0</v>
      </c>
      <c r="AD1568" s="78">
        <f t="shared" si="26"/>
        <v>0</v>
      </c>
      <c r="AE1568" s="78">
        <f t="shared" si="27"/>
        <v>0</v>
      </c>
    </row>
    <row r="1569" spans="1:31" x14ac:dyDescent="0.2">
      <c r="A1569" s="66"/>
      <c r="B1569" s="66"/>
      <c r="C1569" s="66"/>
      <c r="D1569" s="144"/>
      <c r="E1569" s="67"/>
      <c r="F1569" s="67"/>
      <c r="G1569" s="67"/>
      <c r="H1569" s="67">
        <f>ROUND(+E1569+G1569,4)</f>
        <v>0</v>
      </c>
      <c r="I1569" s="67"/>
      <c r="J1569" s="67">
        <f>ROUND(+I1569-H1569,4)</f>
        <v>0</v>
      </c>
      <c r="K1569" s="67">
        <f>ROUND(IF(F1569="alluminio",0,I1569*1.5%),4)</f>
        <v>0</v>
      </c>
      <c r="L1569" s="67">
        <f>ROUND(IF(K1569&lt;J1569,K1569,0),4)</f>
        <v>0</v>
      </c>
      <c r="M1569" s="67">
        <f>ROUND(IF(J1569&gt;K1569,0,J1569),4)</f>
        <v>0</v>
      </c>
      <c r="N1569" s="67">
        <f>ROUND(+L1569*D1569,4)</f>
        <v>0</v>
      </c>
      <c r="O1569" s="67">
        <f>ROUND(IF(F1569="rame",0,+I1569*3%),4)</f>
        <v>0</v>
      </c>
      <c r="P1569" s="67">
        <f>ROUND(IF(O1569&lt;J1569,O1569,0),4)</f>
        <v>0</v>
      </c>
      <c r="Q1569" s="67">
        <f>ROUND(IF(J1569&gt;O1569,0,J1569),4)</f>
        <v>0</v>
      </c>
      <c r="R1569" s="67">
        <f>ROUND(+P1569*D1569,4)</f>
        <v>0</v>
      </c>
      <c r="S1569" s="67">
        <f>ROUND(IF(K1569=0,0,M1569*D1569),4)</f>
        <v>0</v>
      </c>
      <c r="T1569" s="67">
        <f>ROUND(+IF(K1569=0,Q1569*D1569,0),4)</f>
        <v>0</v>
      </c>
      <c r="U1569" s="67">
        <f>ROUND(+N1569+R1569+S1569+T1569,4)</f>
        <v>0</v>
      </c>
      <c r="V1569" s="67">
        <f>ROUND(IF(P1569=0,0,I1569-H1569-O1569)+IF(L1569=0,0,I1569-H1569-K1569),4)</f>
        <v>0</v>
      </c>
      <c r="W1569" s="67">
        <f>ROUND(+(V1569*60%)*D1569,4)</f>
        <v>0</v>
      </c>
      <c r="X1569" s="148">
        <f>ROUND(+U1569+W1569,4)</f>
        <v>0</v>
      </c>
      <c r="Y1569" s="68"/>
      <c r="Z1569" s="148">
        <f>ROUND(IF(X1569&gt;I1569,X1569,I1569),4)</f>
        <v>0</v>
      </c>
      <c r="AD1569" s="78">
        <f t="shared" si="26"/>
        <v>0</v>
      </c>
      <c r="AE1569" s="78">
        <f t="shared" si="27"/>
        <v>0</v>
      </c>
    </row>
    <row r="1570" spans="1:31" x14ac:dyDescent="0.2">
      <c r="A1570" s="66"/>
      <c r="B1570" s="66"/>
      <c r="C1570" s="66"/>
      <c r="D1570" s="144"/>
      <c r="E1570" s="67"/>
      <c r="F1570" s="67"/>
      <c r="G1570" s="67"/>
      <c r="H1570" s="67">
        <f>ROUND(+E1570+G1570,4)</f>
        <v>0</v>
      </c>
      <c r="I1570" s="67"/>
      <c r="J1570" s="67">
        <f>ROUND(+I1570-H1570,4)</f>
        <v>0</v>
      </c>
      <c r="K1570" s="67">
        <f>ROUND(IF(F1570="alluminio",0,I1570*1.5%),4)</f>
        <v>0</v>
      </c>
      <c r="L1570" s="67">
        <f>ROUND(IF(K1570&lt;J1570,K1570,0),4)</f>
        <v>0</v>
      </c>
      <c r="M1570" s="67">
        <f>ROUND(IF(J1570&gt;K1570,0,J1570),4)</f>
        <v>0</v>
      </c>
      <c r="N1570" s="67">
        <f>ROUND(+L1570*D1570,4)</f>
        <v>0</v>
      </c>
      <c r="O1570" s="67">
        <f>ROUND(IF(F1570="rame",0,+I1570*3%),4)</f>
        <v>0</v>
      </c>
      <c r="P1570" s="67">
        <f>ROUND(IF(O1570&lt;J1570,O1570,0),4)</f>
        <v>0</v>
      </c>
      <c r="Q1570" s="67">
        <f>ROUND(IF(J1570&gt;O1570,0,J1570),4)</f>
        <v>0</v>
      </c>
      <c r="R1570" s="67">
        <f>ROUND(+P1570*D1570,4)</f>
        <v>0</v>
      </c>
      <c r="S1570" s="67">
        <f>ROUND(IF(K1570=0,0,M1570*D1570),4)</f>
        <v>0</v>
      </c>
      <c r="T1570" s="67">
        <f>ROUND(+IF(K1570=0,Q1570*D1570,0),4)</f>
        <v>0</v>
      </c>
      <c r="U1570" s="67">
        <f>ROUND(+N1570+R1570+S1570+T1570,4)</f>
        <v>0</v>
      </c>
      <c r="V1570" s="67">
        <f>ROUND(IF(P1570=0,0,I1570-H1570-O1570)+IF(L1570=0,0,I1570-H1570-K1570),4)</f>
        <v>0</v>
      </c>
      <c r="W1570" s="67">
        <f>ROUND(+(V1570*60%)*D1570,4)</f>
        <v>0</v>
      </c>
      <c r="X1570" s="148">
        <f>ROUND(+U1570+W1570,4)</f>
        <v>0</v>
      </c>
      <c r="Y1570" s="68"/>
      <c r="Z1570" s="148">
        <f>ROUND(IF(X1570&gt;I1570,X1570,I1570),4)</f>
        <v>0</v>
      </c>
      <c r="AD1570" s="78">
        <f t="shared" si="26"/>
        <v>0</v>
      </c>
      <c r="AE1570" s="78">
        <f t="shared" si="27"/>
        <v>0</v>
      </c>
    </row>
    <row r="1571" spans="1:31" x14ac:dyDescent="0.2">
      <c r="A1571" s="66"/>
      <c r="B1571" s="66"/>
      <c r="C1571" s="66"/>
      <c r="D1571" s="144"/>
      <c r="E1571" s="67"/>
      <c r="F1571" s="67"/>
      <c r="G1571" s="67"/>
      <c r="H1571" s="67">
        <f>ROUND(+E1571+G1571,4)</f>
        <v>0</v>
      </c>
      <c r="I1571" s="67"/>
      <c r="J1571" s="67">
        <f>ROUND(+I1571-H1571,4)</f>
        <v>0</v>
      </c>
      <c r="K1571" s="67">
        <f>ROUND(IF(F1571="alluminio",0,I1571*1.5%),4)</f>
        <v>0</v>
      </c>
      <c r="L1571" s="67">
        <f>ROUND(IF(K1571&lt;J1571,K1571,0),4)</f>
        <v>0</v>
      </c>
      <c r="M1571" s="67">
        <f>ROUND(IF(J1571&gt;K1571,0,J1571),4)</f>
        <v>0</v>
      </c>
      <c r="N1571" s="67">
        <f>ROUND(+L1571*D1571,4)</f>
        <v>0</v>
      </c>
      <c r="O1571" s="67">
        <f>ROUND(IF(F1571="rame",0,+I1571*3%),4)</f>
        <v>0</v>
      </c>
      <c r="P1571" s="67">
        <f>ROUND(IF(O1571&lt;J1571,O1571,0),4)</f>
        <v>0</v>
      </c>
      <c r="Q1571" s="67">
        <f>ROUND(IF(J1571&gt;O1571,0,J1571),4)</f>
        <v>0</v>
      </c>
      <c r="R1571" s="67">
        <f>ROUND(+P1571*D1571,4)</f>
        <v>0</v>
      </c>
      <c r="S1571" s="67">
        <f>ROUND(IF(K1571=0,0,M1571*D1571),4)</f>
        <v>0</v>
      </c>
      <c r="T1571" s="67">
        <f>ROUND(+IF(K1571=0,Q1571*D1571,0),4)</f>
        <v>0</v>
      </c>
      <c r="U1571" s="67">
        <f>ROUND(+N1571+R1571+S1571+T1571,4)</f>
        <v>0</v>
      </c>
      <c r="V1571" s="67">
        <f>ROUND(IF(P1571=0,0,I1571-H1571-O1571)+IF(L1571=0,0,I1571-H1571-K1571),4)</f>
        <v>0</v>
      </c>
      <c r="W1571" s="67">
        <f>ROUND(+(V1571*60%)*D1571,4)</f>
        <v>0</v>
      </c>
      <c r="X1571" s="148">
        <f>ROUND(+U1571+W1571,4)</f>
        <v>0</v>
      </c>
      <c r="Y1571" s="68"/>
      <c r="Z1571" s="148">
        <f>ROUND(IF(X1571&gt;I1571,X1571,I1571),4)</f>
        <v>0</v>
      </c>
      <c r="AD1571" s="78">
        <f t="shared" si="26"/>
        <v>0</v>
      </c>
      <c r="AE1571" s="78">
        <f t="shared" si="27"/>
        <v>0</v>
      </c>
    </row>
    <row r="1572" spans="1:31" x14ac:dyDescent="0.2">
      <c r="A1572" s="66"/>
      <c r="B1572" s="66"/>
      <c r="C1572" s="66"/>
      <c r="D1572" s="144"/>
      <c r="E1572" s="67"/>
      <c r="F1572" s="67"/>
      <c r="G1572" s="67"/>
      <c r="H1572" s="67">
        <f>ROUND(+E1572+G1572,4)</f>
        <v>0</v>
      </c>
      <c r="I1572" s="67"/>
      <c r="J1572" s="67">
        <f>ROUND(+I1572-H1572,4)</f>
        <v>0</v>
      </c>
      <c r="K1572" s="67">
        <f>ROUND(IF(F1572="alluminio",0,I1572*1.5%),4)</f>
        <v>0</v>
      </c>
      <c r="L1572" s="67">
        <f>ROUND(IF(K1572&lt;J1572,K1572,0),4)</f>
        <v>0</v>
      </c>
      <c r="M1572" s="67">
        <f>ROUND(IF(J1572&gt;K1572,0,J1572),4)</f>
        <v>0</v>
      </c>
      <c r="N1572" s="67">
        <f>ROUND(+L1572*D1572,4)</f>
        <v>0</v>
      </c>
      <c r="O1572" s="67">
        <f>ROUND(IF(F1572="rame",0,+I1572*3%),4)</f>
        <v>0</v>
      </c>
      <c r="P1572" s="67">
        <f>ROUND(IF(O1572&lt;J1572,O1572,0),4)</f>
        <v>0</v>
      </c>
      <c r="Q1572" s="67">
        <f>ROUND(IF(J1572&gt;O1572,0,J1572),4)</f>
        <v>0</v>
      </c>
      <c r="R1572" s="67">
        <f>ROUND(+P1572*D1572,4)</f>
        <v>0</v>
      </c>
      <c r="S1572" s="67">
        <f>ROUND(IF(K1572=0,0,M1572*D1572),4)</f>
        <v>0</v>
      </c>
      <c r="T1572" s="67">
        <f>ROUND(+IF(K1572=0,Q1572*D1572,0),4)</f>
        <v>0</v>
      </c>
      <c r="U1572" s="67">
        <f>ROUND(+N1572+R1572+S1572+T1572,4)</f>
        <v>0</v>
      </c>
      <c r="V1572" s="67">
        <f>ROUND(IF(P1572=0,0,I1572-H1572-O1572)+IF(L1572=0,0,I1572-H1572-K1572),4)</f>
        <v>0</v>
      </c>
      <c r="W1572" s="67">
        <f>ROUND(+(V1572*60%)*D1572,4)</f>
        <v>0</v>
      </c>
      <c r="X1572" s="148">
        <f>ROUND(+U1572+W1572,4)</f>
        <v>0</v>
      </c>
      <c r="Y1572" s="68"/>
      <c r="Z1572" s="148">
        <f>ROUND(IF(X1572&gt;I1572,X1572,I1572),4)</f>
        <v>0</v>
      </c>
      <c r="AD1572" s="78">
        <f t="shared" si="26"/>
        <v>0</v>
      </c>
      <c r="AE1572" s="78">
        <f t="shared" si="27"/>
        <v>0</v>
      </c>
    </row>
    <row r="1573" spans="1:31" x14ac:dyDescent="0.2">
      <c r="A1573" s="66"/>
      <c r="B1573" s="66"/>
      <c r="C1573" s="66"/>
      <c r="D1573" s="144"/>
      <c r="E1573" s="67"/>
      <c r="F1573" s="67"/>
      <c r="G1573" s="67"/>
      <c r="H1573" s="67">
        <f>ROUND(+E1573+G1573,4)</f>
        <v>0</v>
      </c>
      <c r="I1573" s="67"/>
      <c r="J1573" s="67">
        <f>ROUND(+I1573-H1573,4)</f>
        <v>0</v>
      </c>
      <c r="K1573" s="67">
        <f>ROUND(IF(F1573="alluminio",0,I1573*1.5%),4)</f>
        <v>0</v>
      </c>
      <c r="L1573" s="67">
        <f>ROUND(IF(K1573&lt;J1573,K1573,0),4)</f>
        <v>0</v>
      </c>
      <c r="M1573" s="67">
        <f>ROUND(IF(J1573&gt;K1573,0,J1573),4)</f>
        <v>0</v>
      </c>
      <c r="N1573" s="67">
        <f>ROUND(+L1573*D1573,4)</f>
        <v>0</v>
      </c>
      <c r="O1573" s="67">
        <f>ROUND(IF(F1573="rame",0,+I1573*3%),4)</f>
        <v>0</v>
      </c>
      <c r="P1573" s="67">
        <f>ROUND(IF(O1573&lt;J1573,O1573,0),4)</f>
        <v>0</v>
      </c>
      <c r="Q1573" s="67">
        <f>ROUND(IF(J1573&gt;O1573,0,J1573),4)</f>
        <v>0</v>
      </c>
      <c r="R1573" s="67">
        <f>ROUND(+P1573*D1573,4)</f>
        <v>0</v>
      </c>
      <c r="S1573" s="67">
        <f>ROUND(IF(K1573=0,0,M1573*D1573),4)</f>
        <v>0</v>
      </c>
      <c r="T1573" s="67">
        <f>ROUND(+IF(K1573=0,Q1573*D1573,0),4)</f>
        <v>0</v>
      </c>
      <c r="U1573" s="67">
        <f>ROUND(+N1573+R1573+S1573+T1573,4)</f>
        <v>0</v>
      </c>
      <c r="V1573" s="67">
        <f>ROUND(IF(P1573=0,0,I1573-H1573-O1573)+IF(L1573=0,0,I1573-H1573-K1573),4)</f>
        <v>0</v>
      </c>
      <c r="W1573" s="67">
        <f>ROUND(+(V1573*60%)*D1573,4)</f>
        <v>0</v>
      </c>
      <c r="X1573" s="148">
        <f>ROUND(+U1573+W1573,4)</f>
        <v>0</v>
      </c>
      <c r="Y1573" s="68"/>
      <c r="Z1573" s="148">
        <f>ROUND(IF(X1573&gt;I1573,X1573,I1573),4)</f>
        <v>0</v>
      </c>
      <c r="AD1573" s="78">
        <f t="shared" si="26"/>
        <v>0</v>
      </c>
      <c r="AE1573" s="78">
        <f t="shared" si="27"/>
        <v>0</v>
      </c>
    </row>
    <row r="1574" spans="1:31" x14ac:dyDescent="0.2">
      <c r="A1574" s="66"/>
      <c r="B1574" s="66"/>
      <c r="C1574" s="66"/>
      <c r="D1574" s="144"/>
      <c r="E1574" s="67"/>
      <c r="F1574" s="67"/>
      <c r="G1574" s="67"/>
      <c r="H1574" s="67">
        <f>ROUND(+E1574+G1574,4)</f>
        <v>0</v>
      </c>
      <c r="I1574" s="67"/>
      <c r="J1574" s="67">
        <f>ROUND(+I1574-H1574,4)</f>
        <v>0</v>
      </c>
      <c r="K1574" s="67">
        <f>ROUND(IF(F1574="alluminio",0,I1574*1.5%),4)</f>
        <v>0</v>
      </c>
      <c r="L1574" s="67">
        <f>ROUND(IF(K1574&lt;J1574,K1574,0),4)</f>
        <v>0</v>
      </c>
      <c r="M1574" s="67">
        <f>ROUND(IF(J1574&gt;K1574,0,J1574),4)</f>
        <v>0</v>
      </c>
      <c r="N1574" s="67">
        <f>ROUND(+L1574*D1574,4)</f>
        <v>0</v>
      </c>
      <c r="O1574" s="67">
        <f>ROUND(IF(F1574="rame",0,+I1574*3%),4)</f>
        <v>0</v>
      </c>
      <c r="P1574" s="67">
        <f>ROUND(IF(O1574&lt;J1574,O1574,0),4)</f>
        <v>0</v>
      </c>
      <c r="Q1574" s="67">
        <f>ROUND(IF(J1574&gt;O1574,0,J1574),4)</f>
        <v>0</v>
      </c>
      <c r="R1574" s="67">
        <f>ROUND(+P1574*D1574,4)</f>
        <v>0</v>
      </c>
      <c r="S1574" s="67">
        <f>ROUND(IF(K1574=0,0,M1574*D1574),4)</f>
        <v>0</v>
      </c>
      <c r="T1574" s="67">
        <f>ROUND(+IF(K1574=0,Q1574*D1574,0),4)</f>
        <v>0</v>
      </c>
      <c r="U1574" s="67">
        <f>ROUND(+N1574+R1574+S1574+T1574,4)</f>
        <v>0</v>
      </c>
      <c r="V1574" s="67">
        <f>ROUND(IF(P1574=0,0,I1574-H1574-O1574)+IF(L1574=0,0,I1574-H1574-K1574),4)</f>
        <v>0</v>
      </c>
      <c r="W1574" s="67">
        <f>ROUND(+(V1574*60%)*D1574,4)</f>
        <v>0</v>
      </c>
      <c r="X1574" s="148">
        <f>ROUND(+U1574+W1574,4)</f>
        <v>0</v>
      </c>
      <c r="Y1574" s="68"/>
      <c r="Z1574" s="148">
        <f>ROUND(IF(X1574&gt;I1574,X1574,I1574),4)</f>
        <v>0</v>
      </c>
      <c r="AD1574" s="78">
        <f t="shared" si="26"/>
        <v>0</v>
      </c>
      <c r="AE1574" s="78">
        <f t="shared" si="27"/>
        <v>0</v>
      </c>
    </row>
    <row r="1575" spans="1:31" x14ac:dyDescent="0.2">
      <c r="A1575" s="66"/>
      <c r="B1575" s="66"/>
      <c r="C1575" s="66"/>
      <c r="D1575" s="144"/>
      <c r="E1575" s="67"/>
      <c r="F1575" s="67"/>
      <c r="G1575" s="67"/>
      <c r="H1575" s="67">
        <f>ROUND(+E1575+G1575,4)</f>
        <v>0</v>
      </c>
      <c r="I1575" s="67"/>
      <c r="J1575" s="67">
        <f>ROUND(+I1575-H1575,4)</f>
        <v>0</v>
      </c>
      <c r="K1575" s="67">
        <f>ROUND(IF(F1575="alluminio",0,I1575*1.5%),4)</f>
        <v>0</v>
      </c>
      <c r="L1575" s="67">
        <f>ROUND(IF(K1575&lt;J1575,K1575,0),4)</f>
        <v>0</v>
      </c>
      <c r="M1575" s="67">
        <f>ROUND(IF(J1575&gt;K1575,0,J1575),4)</f>
        <v>0</v>
      </c>
      <c r="N1575" s="67">
        <f>ROUND(+L1575*D1575,4)</f>
        <v>0</v>
      </c>
      <c r="O1575" s="67">
        <f>ROUND(IF(F1575="rame",0,+I1575*3%),4)</f>
        <v>0</v>
      </c>
      <c r="P1575" s="67">
        <f>ROUND(IF(O1575&lt;J1575,O1575,0),4)</f>
        <v>0</v>
      </c>
      <c r="Q1575" s="67">
        <f>ROUND(IF(J1575&gt;O1575,0,J1575),4)</f>
        <v>0</v>
      </c>
      <c r="R1575" s="67">
        <f>ROUND(+P1575*D1575,4)</f>
        <v>0</v>
      </c>
      <c r="S1575" s="67">
        <f>ROUND(IF(K1575=0,0,M1575*D1575),4)</f>
        <v>0</v>
      </c>
      <c r="T1575" s="67">
        <f>ROUND(+IF(K1575=0,Q1575*D1575,0),4)</f>
        <v>0</v>
      </c>
      <c r="U1575" s="67">
        <f>ROUND(+N1575+R1575+S1575+T1575,4)</f>
        <v>0</v>
      </c>
      <c r="V1575" s="67">
        <f>ROUND(IF(P1575=0,0,I1575-H1575-O1575)+IF(L1575=0,0,I1575-H1575-K1575),4)</f>
        <v>0</v>
      </c>
      <c r="W1575" s="67">
        <f>ROUND(+(V1575*60%)*D1575,4)</f>
        <v>0</v>
      </c>
      <c r="X1575" s="148">
        <f>ROUND(+U1575+W1575,4)</f>
        <v>0</v>
      </c>
      <c r="Y1575" s="68"/>
      <c r="Z1575" s="148">
        <f>ROUND(IF(X1575&gt;I1575,X1575,I1575),4)</f>
        <v>0</v>
      </c>
      <c r="AD1575" s="78">
        <f t="shared" si="26"/>
        <v>0</v>
      </c>
      <c r="AE1575" s="78">
        <f t="shared" si="27"/>
        <v>0</v>
      </c>
    </row>
    <row r="1576" spans="1:31" x14ac:dyDescent="0.2">
      <c r="A1576" s="66"/>
      <c r="B1576" s="66"/>
      <c r="C1576" s="66"/>
      <c r="D1576" s="144"/>
      <c r="E1576" s="67"/>
      <c r="F1576" s="67"/>
      <c r="G1576" s="67"/>
      <c r="H1576" s="67">
        <f>ROUND(+E1576+G1576,4)</f>
        <v>0</v>
      </c>
      <c r="I1576" s="67"/>
      <c r="J1576" s="67">
        <f>ROUND(+I1576-H1576,4)</f>
        <v>0</v>
      </c>
      <c r="K1576" s="67">
        <f>ROUND(IF(F1576="alluminio",0,I1576*1.5%),4)</f>
        <v>0</v>
      </c>
      <c r="L1576" s="67">
        <f>ROUND(IF(K1576&lt;J1576,K1576,0),4)</f>
        <v>0</v>
      </c>
      <c r="M1576" s="67">
        <f>ROUND(IF(J1576&gt;K1576,0,J1576),4)</f>
        <v>0</v>
      </c>
      <c r="N1576" s="67">
        <f>ROUND(+L1576*D1576,4)</f>
        <v>0</v>
      </c>
      <c r="O1576" s="67">
        <f>ROUND(IF(F1576="rame",0,+I1576*3%),4)</f>
        <v>0</v>
      </c>
      <c r="P1576" s="67">
        <f>ROUND(IF(O1576&lt;J1576,O1576,0),4)</f>
        <v>0</v>
      </c>
      <c r="Q1576" s="67">
        <f>ROUND(IF(J1576&gt;O1576,0,J1576),4)</f>
        <v>0</v>
      </c>
      <c r="R1576" s="67">
        <f>ROUND(+P1576*D1576,4)</f>
        <v>0</v>
      </c>
      <c r="S1576" s="67">
        <f>ROUND(IF(K1576=0,0,M1576*D1576),4)</f>
        <v>0</v>
      </c>
      <c r="T1576" s="67">
        <f>ROUND(+IF(K1576=0,Q1576*D1576,0),4)</f>
        <v>0</v>
      </c>
      <c r="U1576" s="67">
        <f>ROUND(+N1576+R1576+S1576+T1576,4)</f>
        <v>0</v>
      </c>
      <c r="V1576" s="67">
        <f>ROUND(IF(P1576=0,0,I1576-H1576-O1576)+IF(L1576=0,0,I1576-H1576-K1576),4)</f>
        <v>0</v>
      </c>
      <c r="W1576" s="67">
        <f>ROUND(+(V1576*60%)*D1576,4)</f>
        <v>0</v>
      </c>
      <c r="X1576" s="148">
        <f>ROUND(+U1576+W1576,4)</f>
        <v>0</v>
      </c>
      <c r="Y1576" s="68"/>
      <c r="Z1576" s="148">
        <f>ROUND(IF(X1576&gt;I1576,X1576,I1576),4)</f>
        <v>0</v>
      </c>
      <c r="AD1576" s="78">
        <f t="shared" si="26"/>
        <v>0</v>
      </c>
      <c r="AE1576" s="78">
        <f t="shared" si="27"/>
        <v>0</v>
      </c>
    </row>
    <row r="1577" spans="1:31" x14ac:dyDescent="0.2">
      <c r="A1577" s="66"/>
      <c r="B1577" s="66"/>
      <c r="C1577" s="66"/>
      <c r="D1577" s="144"/>
      <c r="E1577" s="67"/>
      <c r="F1577" s="67"/>
      <c r="G1577" s="67"/>
      <c r="H1577" s="67">
        <f>ROUND(+E1577+G1577,4)</f>
        <v>0</v>
      </c>
      <c r="I1577" s="67"/>
      <c r="J1577" s="67">
        <f>ROUND(+I1577-H1577,4)</f>
        <v>0</v>
      </c>
      <c r="K1577" s="67">
        <f>ROUND(IF(F1577="alluminio",0,I1577*1.5%),4)</f>
        <v>0</v>
      </c>
      <c r="L1577" s="67">
        <f>ROUND(IF(K1577&lt;J1577,K1577,0),4)</f>
        <v>0</v>
      </c>
      <c r="M1577" s="67">
        <f>ROUND(IF(J1577&gt;K1577,0,J1577),4)</f>
        <v>0</v>
      </c>
      <c r="N1577" s="67">
        <f>ROUND(+L1577*D1577,4)</f>
        <v>0</v>
      </c>
      <c r="O1577" s="67">
        <f>ROUND(IF(F1577="rame",0,+I1577*3%),4)</f>
        <v>0</v>
      </c>
      <c r="P1577" s="67">
        <f>ROUND(IF(O1577&lt;J1577,O1577,0),4)</f>
        <v>0</v>
      </c>
      <c r="Q1577" s="67">
        <f>ROUND(IF(J1577&gt;O1577,0,J1577),4)</f>
        <v>0</v>
      </c>
      <c r="R1577" s="67">
        <f>ROUND(+P1577*D1577,4)</f>
        <v>0</v>
      </c>
      <c r="S1577" s="67">
        <f>ROUND(IF(K1577=0,0,M1577*D1577),4)</f>
        <v>0</v>
      </c>
      <c r="T1577" s="67">
        <f>ROUND(+IF(K1577=0,Q1577*D1577,0),4)</f>
        <v>0</v>
      </c>
      <c r="U1577" s="67">
        <f>ROUND(+N1577+R1577+S1577+T1577,4)</f>
        <v>0</v>
      </c>
      <c r="V1577" s="67">
        <f>ROUND(IF(P1577=0,0,I1577-H1577-O1577)+IF(L1577=0,0,I1577-H1577-K1577),4)</f>
        <v>0</v>
      </c>
      <c r="W1577" s="67">
        <f>ROUND(+(V1577*60%)*D1577,4)</f>
        <v>0</v>
      </c>
      <c r="X1577" s="148">
        <f>ROUND(+U1577+W1577,4)</f>
        <v>0</v>
      </c>
      <c r="Y1577" s="68"/>
      <c r="Z1577" s="148">
        <f>ROUND(IF(X1577&gt;I1577,X1577,I1577),4)</f>
        <v>0</v>
      </c>
      <c r="AD1577" s="78">
        <f t="shared" si="26"/>
        <v>0</v>
      </c>
      <c r="AE1577" s="78">
        <f t="shared" si="27"/>
        <v>0</v>
      </c>
    </row>
    <row r="1578" spans="1:31" x14ac:dyDescent="0.2">
      <c r="A1578" s="66"/>
      <c r="B1578" s="66"/>
      <c r="C1578" s="66"/>
      <c r="D1578" s="144"/>
      <c r="E1578" s="67"/>
      <c r="F1578" s="67"/>
      <c r="G1578" s="67"/>
      <c r="H1578" s="67">
        <f>ROUND(+E1578+G1578,4)</f>
        <v>0</v>
      </c>
      <c r="I1578" s="67"/>
      <c r="J1578" s="67">
        <f>ROUND(+I1578-H1578,4)</f>
        <v>0</v>
      </c>
      <c r="K1578" s="67">
        <f>ROUND(IF(F1578="alluminio",0,I1578*1.5%),4)</f>
        <v>0</v>
      </c>
      <c r="L1578" s="67">
        <f>ROUND(IF(K1578&lt;J1578,K1578,0),4)</f>
        <v>0</v>
      </c>
      <c r="M1578" s="67">
        <f>ROUND(IF(J1578&gt;K1578,0,J1578),4)</f>
        <v>0</v>
      </c>
      <c r="N1578" s="67">
        <f>ROUND(+L1578*D1578,4)</f>
        <v>0</v>
      </c>
      <c r="O1578" s="67">
        <f>ROUND(IF(F1578="rame",0,+I1578*3%),4)</f>
        <v>0</v>
      </c>
      <c r="P1578" s="67">
        <f>ROUND(IF(O1578&lt;J1578,O1578,0),4)</f>
        <v>0</v>
      </c>
      <c r="Q1578" s="67">
        <f>ROUND(IF(J1578&gt;O1578,0,J1578),4)</f>
        <v>0</v>
      </c>
      <c r="R1578" s="67">
        <f>ROUND(+P1578*D1578,4)</f>
        <v>0</v>
      </c>
      <c r="S1578" s="67">
        <f>ROUND(IF(K1578=0,0,M1578*D1578),4)</f>
        <v>0</v>
      </c>
      <c r="T1578" s="67">
        <f>ROUND(+IF(K1578=0,Q1578*D1578,0),4)</f>
        <v>0</v>
      </c>
      <c r="U1578" s="67">
        <f>ROUND(+N1578+R1578+S1578+T1578,4)</f>
        <v>0</v>
      </c>
      <c r="V1578" s="67">
        <f>ROUND(IF(P1578=0,0,I1578-H1578-O1578)+IF(L1578=0,0,I1578-H1578-K1578),4)</f>
        <v>0</v>
      </c>
      <c r="W1578" s="67">
        <f>ROUND(+(V1578*60%)*D1578,4)</f>
        <v>0</v>
      </c>
      <c r="X1578" s="148">
        <f>ROUND(+U1578+W1578,4)</f>
        <v>0</v>
      </c>
      <c r="Y1578" s="68"/>
      <c r="Z1578" s="148">
        <f>ROUND(IF(X1578&gt;I1578,X1578,I1578),4)</f>
        <v>0</v>
      </c>
      <c r="AD1578" s="78">
        <f t="shared" si="26"/>
        <v>0</v>
      </c>
      <c r="AE1578" s="78">
        <f t="shared" si="27"/>
        <v>0</v>
      </c>
    </row>
    <row r="1579" spans="1:31" x14ac:dyDescent="0.2">
      <c r="A1579" s="66"/>
      <c r="B1579" s="66"/>
      <c r="C1579" s="66"/>
      <c r="D1579" s="144"/>
      <c r="E1579" s="67"/>
      <c r="F1579" s="67"/>
      <c r="G1579" s="67"/>
      <c r="H1579" s="67">
        <f>ROUND(+E1579+G1579,4)</f>
        <v>0</v>
      </c>
      <c r="I1579" s="67"/>
      <c r="J1579" s="67">
        <f>ROUND(+I1579-H1579,4)</f>
        <v>0</v>
      </c>
      <c r="K1579" s="67">
        <f>ROUND(IF(F1579="alluminio",0,I1579*1.5%),4)</f>
        <v>0</v>
      </c>
      <c r="L1579" s="67">
        <f>ROUND(IF(K1579&lt;J1579,K1579,0),4)</f>
        <v>0</v>
      </c>
      <c r="M1579" s="67">
        <f>ROUND(IF(J1579&gt;K1579,0,J1579),4)</f>
        <v>0</v>
      </c>
      <c r="N1579" s="67">
        <f>ROUND(+L1579*D1579,4)</f>
        <v>0</v>
      </c>
      <c r="O1579" s="67">
        <f>ROUND(IF(F1579="rame",0,+I1579*3%),4)</f>
        <v>0</v>
      </c>
      <c r="P1579" s="67">
        <f>ROUND(IF(O1579&lt;J1579,O1579,0),4)</f>
        <v>0</v>
      </c>
      <c r="Q1579" s="67">
        <f>ROUND(IF(J1579&gt;O1579,0,J1579),4)</f>
        <v>0</v>
      </c>
      <c r="R1579" s="67">
        <f>ROUND(+P1579*D1579,4)</f>
        <v>0</v>
      </c>
      <c r="S1579" s="67">
        <f>ROUND(IF(K1579=0,0,M1579*D1579),4)</f>
        <v>0</v>
      </c>
      <c r="T1579" s="67">
        <f>ROUND(+IF(K1579=0,Q1579*D1579,0),4)</f>
        <v>0</v>
      </c>
      <c r="U1579" s="67">
        <f>ROUND(+N1579+R1579+S1579+T1579,4)</f>
        <v>0</v>
      </c>
      <c r="V1579" s="67">
        <f>ROUND(IF(P1579=0,0,I1579-H1579-O1579)+IF(L1579=0,0,I1579-H1579-K1579),4)</f>
        <v>0</v>
      </c>
      <c r="W1579" s="67">
        <f>ROUND(+(V1579*60%)*D1579,4)</f>
        <v>0</v>
      </c>
      <c r="X1579" s="148">
        <f>ROUND(+U1579+W1579,4)</f>
        <v>0</v>
      </c>
      <c r="Y1579" s="68"/>
      <c r="Z1579" s="148">
        <f>ROUND(IF(X1579&gt;I1579,X1579,I1579),4)</f>
        <v>0</v>
      </c>
      <c r="AD1579" s="78">
        <f t="shared" si="26"/>
        <v>0</v>
      </c>
      <c r="AE1579" s="78">
        <f t="shared" si="27"/>
        <v>0</v>
      </c>
    </row>
    <row r="1580" spans="1:31" x14ac:dyDescent="0.2">
      <c r="A1580" s="66"/>
      <c r="B1580" s="66"/>
      <c r="C1580" s="66"/>
      <c r="D1580" s="144"/>
      <c r="E1580" s="67"/>
      <c r="F1580" s="67"/>
      <c r="G1580" s="67"/>
      <c r="H1580" s="67">
        <f>ROUND(+E1580+G1580,4)</f>
        <v>0</v>
      </c>
      <c r="I1580" s="67"/>
      <c r="J1580" s="67">
        <f>ROUND(+I1580-H1580,4)</f>
        <v>0</v>
      </c>
      <c r="K1580" s="67">
        <f>ROUND(IF(F1580="alluminio",0,I1580*1.5%),4)</f>
        <v>0</v>
      </c>
      <c r="L1580" s="67">
        <f>ROUND(IF(K1580&lt;J1580,K1580,0),4)</f>
        <v>0</v>
      </c>
      <c r="M1580" s="67">
        <f>ROUND(IF(J1580&gt;K1580,0,J1580),4)</f>
        <v>0</v>
      </c>
      <c r="N1580" s="67">
        <f>ROUND(+L1580*D1580,4)</f>
        <v>0</v>
      </c>
      <c r="O1580" s="67">
        <f>ROUND(IF(F1580="rame",0,+I1580*3%),4)</f>
        <v>0</v>
      </c>
      <c r="P1580" s="67">
        <f>ROUND(IF(O1580&lt;J1580,O1580,0),4)</f>
        <v>0</v>
      </c>
      <c r="Q1580" s="67">
        <f>ROUND(IF(J1580&gt;O1580,0,J1580),4)</f>
        <v>0</v>
      </c>
      <c r="R1580" s="67">
        <f>ROUND(+P1580*D1580,4)</f>
        <v>0</v>
      </c>
      <c r="S1580" s="67">
        <f>ROUND(IF(K1580=0,0,M1580*D1580),4)</f>
        <v>0</v>
      </c>
      <c r="T1580" s="67">
        <f>ROUND(+IF(K1580=0,Q1580*D1580,0),4)</f>
        <v>0</v>
      </c>
      <c r="U1580" s="67">
        <f>ROUND(+N1580+R1580+S1580+T1580,4)</f>
        <v>0</v>
      </c>
      <c r="V1580" s="67">
        <f>ROUND(IF(P1580=0,0,I1580-H1580-O1580)+IF(L1580=0,0,I1580-H1580-K1580),4)</f>
        <v>0</v>
      </c>
      <c r="W1580" s="67">
        <f>ROUND(+(V1580*60%)*D1580,4)</f>
        <v>0</v>
      </c>
      <c r="X1580" s="148">
        <f>ROUND(+U1580+W1580,4)</f>
        <v>0</v>
      </c>
      <c r="Y1580" s="68"/>
      <c r="Z1580" s="148">
        <f>ROUND(IF(X1580&gt;I1580,X1580,I1580),4)</f>
        <v>0</v>
      </c>
      <c r="AD1580" s="78">
        <f t="shared" si="26"/>
        <v>0</v>
      </c>
      <c r="AE1580" s="78">
        <f t="shared" si="27"/>
        <v>0</v>
      </c>
    </row>
    <row r="1581" spans="1:31" x14ac:dyDescent="0.2">
      <c r="A1581" s="66"/>
      <c r="B1581" s="66"/>
      <c r="C1581" s="66"/>
      <c r="D1581" s="144"/>
      <c r="E1581" s="67"/>
      <c r="F1581" s="67"/>
      <c r="G1581" s="67"/>
      <c r="H1581" s="67">
        <f>ROUND(+E1581+G1581,4)</f>
        <v>0</v>
      </c>
      <c r="I1581" s="67"/>
      <c r="J1581" s="67">
        <f>ROUND(+I1581-H1581,4)</f>
        <v>0</v>
      </c>
      <c r="K1581" s="67">
        <f>ROUND(IF(F1581="alluminio",0,I1581*1.5%),4)</f>
        <v>0</v>
      </c>
      <c r="L1581" s="67">
        <f>ROUND(IF(K1581&lt;J1581,K1581,0),4)</f>
        <v>0</v>
      </c>
      <c r="M1581" s="67">
        <f>ROUND(IF(J1581&gt;K1581,0,J1581),4)</f>
        <v>0</v>
      </c>
      <c r="N1581" s="67">
        <f>ROUND(+L1581*D1581,4)</f>
        <v>0</v>
      </c>
      <c r="O1581" s="67">
        <f>ROUND(IF(F1581="rame",0,+I1581*3%),4)</f>
        <v>0</v>
      </c>
      <c r="P1581" s="67">
        <f>ROUND(IF(O1581&lt;J1581,O1581,0),4)</f>
        <v>0</v>
      </c>
      <c r="Q1581" s="67">
        <f>ROUND(IF(J1581&gt;O1581,0,J1581),4)</f>
        <v>0</v>
      </c>
      <c r="R1581" s="67">
        <f>ROUND(+P1581*D1581,4)</f>
        <v>0</v>
      </c>
      <c r="S1581" s="67">
        <f>ROUND(IF(K1581=0,0,M1581*D1581),4)</f>
        <v>0</v>
      </c>
      <c r="T1581" s="67">
        <f>ROUND(+IF(K1581=0,Q1581*D1581,0),4)</f>
        <v>0</v>
      </c>
      <c r="U1581" s="67">
        <f>ROUND(+N1581+R1581+S1581+T1581,4)</f>
        <v>0</v>
      </c>
      <c r="V1581" s="67">
        <f>ROUND(IF(P1581=0,0,I1581-H1581-O1581)+IF(L1581=0,0,I1581-H1581-K1581),4)</f>
        <v>0</v>
      </c>
      <c r="W1581" s="67">
        <f>ROUND(+(V1581*60%)*D1581,4)</f>
        <v>0</v>
      </c>
      <c r="X1581" s="148">
        <f>ROUND(+U1581+W1581,4)</f>
        <v>0</v>
      </c>
      <c r="Y1581" s="68"/>
      <c r="Z1581" s="148">
        <f>ROUND(IF(X1581&gt;I1581,X1581,I1581),4)</f>
        <v>0</v>
      </c>
      <c r="AD1581" s="78">
        <f t="shared" si="26"/>
        <v>0</v>
      </c>
      <c r="AE1581" s="78">
        <f t="shared" si="27"/>
        <v>0</v>
      </c>
    </row>
    <row r="1582" spans="1:31" x14ac:dyDescent="0.2">
      <c r="A1582" s="66"/>
      <c r="B1582" s="66"/>
      <c r="C1582" s="66"/>
      <c r="D1582" s="144"/>
      <c r="E1582" s="67"/>
      <c r="F1582" s="67"/>
      <c r="G1582" s="67"/>
      <c r="H1582" s="67">
        <f>ROUND(+E1582+G1582,4)</f>
        <v>0</v>
      </c>
      <c r="I1582" s="67"/>
      <c r="J1582" s="67">
        <f>ROUND(+I1582-H1582,4)</f>
        <v>0</v>
      </c>
      <c r="K1582" s="67">
        <f>ROUND(IF(F1582="alluminio",0,I1582*1.5%),4)</f>
        <v>0</v>
      </c>
      <c r="L1582" s="67">
        <f>ROUND(IF(K1582&lt;J1582,K1582,0),4)</f>
        <v>0</v>
      </c>
      <c r="M1582" s="67">
        <f>ROUND(IF(J1582&gt;K1582,0,J1582),4)</f>
        <v>0</v>
      </c>
      <c r="N1582" s="67">
        <f>ROUND(+L1582*D1582,4)</f>
        <v>0</v>
      </c>
      <c r="O1582" s="67">
        <f>ROUND(IF(F1582="rame",0,+I1582*3%),4)</f>
        <v>0</v>
      </c>
      <c r="P1582" s="67">
        <f>ROUND(IF(O1582&lt;J1582,O1582,0),4)</f>
        <v>0</v>
      </c>
      <c r="Q1582" s="67">
        <f>ROUND(IF(J1582&gt;O1582,0,J1582),4)</f>
        <v>0</v>
      </c>
      <c r="R1582" s="67">
        <f>ROUND(+P1582*D1582,4)</f>
        <v>0</v>
      </c>
      <c r="S1582" s="67">
        <f>ROUND(IF(K1582=0,0,M1582*D1582),4)</f>
        <v>0</v>
      </c>
      <c r="T1582" s="67">
        <f>ROUND(+IF(K1582=0,Q1582*D1582,0),4)</f>
        <v>0</v>
      </c>
      <c r="U1582" s="67">
        <f>ROUND(+N1582+R1582+S1582+T1582,4)</f>
        <v>0</v>
      </c>
      <c r="V1582" s="67">
        <f>ROUND(IF(P1582=0,0,I1582-H1582-O1582)+IF(L1582=0,0,I1582-H1582-K1582),4)</f>
        <v>0</v>
      </c>
      <c r="W1582" s="67">
        <f>ROUND(+(V1582*60%)*D1582,4)</f>
        <v>0</v>
      </c>
      <c r="X1582" s="148">
        <f>ROUND(+U1582+W1582,4)</f>
        <v>0</v>
      </c>
      <c r="Y1582" s="68"/>
      <c r="Z1582" s="148">
        <f>ROUND(IF(X1582&gt;I1582,X1582,I1582),4)</f>
        <v>0</v>
      </c>
      <c r="AD1582" s="78">
        <f t="shared" si="26"/>
        <v>0</v>
      </c>
      <c r="AE1582" s="78">
        <f t="shared" si="27"/>
        <v>0</v>
      </c>
    </row>
    <row r="1583" spans="1:31" x14ac:dyDescent="0.2">
      <c r="A1583" s="66"/>
      <c r="B1583" s="66"/>
      <c r="C1583" s="66"/>
      <c r="D1583" s="144"/>
      <c r="E1583" s="67"/>
      <c r="F1583" s="67"/>
      <c r="G1583" s="67"/>
      <c r="H1583" s="67">
        <f>ROUND(+E1583+G1583,4)</f>
        <v>0</v>
      </c>
      <c r="I1583" s="67"/>
      <c r="J1583" s="67">
        <f>ROUND(+I1583-H1583,4)</f>
        <v>0</v>
      </c>
      <c r="K1583" s="67">
        <f>ROUND(IF(F1583="alluminio",0,I1583*1.5%),4)</f>
        <v>0</v>
      </c>
      <c r="L1583" s="67">
        <f>ROUND(IF(K1583&lt;J1583,K1583,0),4)</f>
        <v>0</v>
      </c>
      <c r="M1583" s="67">
        <f>ROUND(IF(J1583&gt;K1583,0,J1583),4)</f>
        <v>0</v>
      </c>
      <c r="N1583" s="67">
        <f>ROUND(+L1583*D1583,4)</f>
        <v>0</v>
      </c>
      <c r="O1583" s="67">
        <f>ROUND(IF(F1583="rame",0,+I1583*3%),4)</f>
        <v>0</v>
      </c>
      <c r="P1583" s="67">
        <f>ROUND(IF(O1583&lt;J1583,O1583,0),4)</f>
        <v>0</v>
      </c>
      <c r="Q1583" s="67">
        <f>ROUND(IF(J1583&gt;O1583,0,J1583),4)</f>
        <v>0</v>
      </c>
      <c r="R1583" s="67">
        <f>ROUND(+P1583*D1583,4)</f>
        <v>0</v>
      </c>
      <c r="S1583" s="67">
        <f>ROUND(IF(K1583=0,0,M1583*D1583),4)</f>
        <v>0</v>
      </c>
      <c r="T1583" s="67">
        <f>ROUND(+IF(K1583=0,Q1583*D1583,0),4)</f>
        <v>0</v>
      </c>
      <c r="U1583" s="67">
        <f>ROUND(+N1583+R1583+S1583+T1583,4)</f>
        <v>0</v>
      </c>
      <c r="V1583" s="67">
        <f>ROUND(IF(P1583=0,0,I1583-H1583-O1583)+IF(L1583=0,0,I1583-H1583-K1583),4)</f>
        <v>0</v>
      </c>
      <c r="W1583" s="67">
        <f>ROUND(+(V1583*60%)*D1583,4)</f>
        <v>0</v>
      </c>
      <c r="X1583" s="148">
        <f>ROUND(+U1583+W1583,4)</f>
        <v>0</v>
      </c>
      <c r="Y1583" s="68"/>
      <c r="Z1583" s="148">
        <f>ROUND(IF(X1583&gt;I1583,X1583,I1583),4)</f>
        <v>0</v>
      </c>
      <c r="AD1583" s="78">
        <f t="shared" si="26"/>
        <v>0</v>
      </c>
      <c r="AE1583" s="78">
        <f t="shared" si="27"/>
        <v>0</v>
      </c>
    </row>
    <row r="1584" spans="1:31" x14ac:dyDescent="0.2">
      <c r="A1584" s="66"/>
      <c r="B1584" s="66"/>
      <c r="C1584" s="66"/>
      <c r="D1584" s="144"/>
      <c r="E1584" s="67"/>
      <c r="F1584" s="67"/>
      <c r="G1584" s="67"/>
      <c r="H1584" s="67">
        <f>ROUND(+E1584+G1584,4)</f>
        <v>0</v>
      </c>
      <c r="I1584" s="67"/>
      <c r="J1584" s="67">
        <f>ROUND(+I1584-H1584,4)</f>
        <v>0</v>
      </c>
      <c r="K1584" s="67">
        <f>ROUND(IF(F1584="alluminio",0,I1584*1.5%),4)</f>
        <v>0</v>
      </c>
      <c r="L1584" s="67">
        <f>ROUND(IF(K1584&lt;J1584,K1584,0),4)</f>
        <v>0</v>
      </c>
      <c r="M1584" s="67">
        <f>ROUND(IF(J1584&gt;K1584,0,J1584),4)</f>
        <v>0</v>
      </c>
      <c r="N1584" s="67">
        <f>ROUND(+L1584*D1584,4)</f>
        <v>0</v>
      </c>
      <c r="O1584" s="67">
        <f>ROUND(IF(F1584="rame",0,+I1584*3%),4)</f>
        <v>0</v>
      </c>
      <c r="P1584" s="67">
        <f>ROUND(IF(O1584&lt;J1584,O1584,0),4)</f>
        <v>0</v>
      </c>
      <c r="Q1584" s="67">
        <f>ROUND(IF(J1584&gt;O1584,0,J1584),4)</f>
        <v>0</v>
      </c>
      <c r="R1584" s="67">
        <f>ROUND(+P1584*D1584,4)</f>
        <v>0</v>
      </c>
      <c r="S1584" s="67">
        <f>ROUND(IF(K1584=0,0,M1584*D1584),4)</f>
        <v>0</v>
      </c>
      <c r="T1584" s="67">
        <f>ROUND(+IF(K1584=0,Q1584*D1584,0),4)</f>
        <v>0</v>
      </c>
      <c r="U1584" s="67">
        <f>ROUND(+N1584+R1584+S1584+T1584,4)</f>
        <v>0</v>
      </c>
      <c r="V1584" s="67">
        <f>ROUND(IF(P1584=0,0,I1584-H1584-O1584)+IF(L1584=0,0,I1584-H1584-K1584),4)</f>
        <v>0</v>
      </c>
      <c r="W1584" s="67">
        <f>ROUND(+(V1584*60%)*D1584,4)</f>
        <v>0</v>
      </c>
      <c r="X1584" s="148">
        <f>ROUND(+U1584+W1584,4)</f>
        <v>0</v>
      </c>
      <c r="Y1584" s="68"/>
      <c r="Z1584" s="148">
        <f>ROUND(IF(X1584&gt;I1584,X1584,I1584),4)</f>
        <v>0</v>
      </c>
      <c r="AD1584" s="78">
        <f t="shared" si="26"/>
        <v>0</v>
      </c>
      <c r="AE1584" s="78">
        <f t="shared" si="27"/>
        <v>0</v>
      </c>
    </row>
    <row r="1585" spans="1:31" x14ac:dyDescent="0.2">
      <c r="A1585" s="66"/>
      <c r="B1585" s="66"/>
      <c r="C1585" s="66"/>
      <c r="D1585" s="144"/>
      <c r="E1585" s="67"/>
      <c r="F1585" s="67"/>
      <c r="G1585" s="67"/>
      <c r="H1585" s="67">
        <f>ROUND(+E1585+G1585,4)</f>
        <v>0</v>
      </c>
      <c r="I1585" s="67"/>
      <c r="J1585" s="67">
        <f>ROUND(+I1585-H1585,4)</f>
        <v>0</v>
      </c>
      <c r="K1585" s="67">
        <f>ROUND(IF(F1585="alluminio",0,I1585*1.5%),4)</f>
        <v>0</v>
      </c>
      <c r="L1585" s="67">
        <f>ROUND(IF(K1585&lt;J1585,K1585,0),4)</f>
        <v>0</v>
      </c>
      <c r="M1585" s="67">
        <f>ROUND(IF(J1585&gt;K1585,0,J1585),4)</f>
        <v>0</v>
      </c>
      <c r="N1585" s="67">
        <f>ROUND(+L1585*D1585,4)</f>
        <v>0</v>
      </c>
      <c r="O1585" s="67">
        <f>ROUND(IF(F1585="rame",0,+I1585*3%),4)</f>
        <v>0</v>
      </c>
      <c r="P1585" s="67">
        <f>ROUND(IF(O1585&lt;J1585,O1585,0),4)</f>
        <v>0</v>
      </c>
      <c r="Q1585" s="67">
        <f>ROUND(IF(J1585&gt;O1585,0,J1585),4)</f>
        <v>0</v>
      </c>
      <c r="R1585" s="67">
        <f>ROUND(+P1585*D1585,4)</f>
        <v>0</v>
      </c>
      <c r="S1585" s="67">
        <f>ROUND(IF(K1585=0,0,M1585*D1585),4)</f>
        <v>0</v>
      </c>
      <c r="T1585" s="67">
        <f>ROUND(+IF(K1585=0,Q1585*D1585,0),4)</f>
        <v>0</v>
      </c>
      <c r="U1585" s="67">
        <f>ROUND(+N1585+R1585+S1585+T1585,4)</f>
        <v>0</v>
      </c>
      <c r="V1585" s="67">
        <f>ROUND(IF(P1585=0,0,I1585-H1585-O1585)+IF(L1585=0,0,I1585-H1585-K1585),4)</f>
        <v>0</v>
      </c>
      <c r="W1585" s="67">
        <f>ROUND(+(V1585*60%)*D1585,4)</f>
        <v>0</v>
      </c>
      <c r="X1585" s="148">
        <f>ROUND(+U1585+W1585,4)</f>
        <v>0</v>
      </c>
      <c r="Y1585" s="68"/>
      <c r="Z1585" s="148">
        <f>ROUND(IF(X1585&gt;I1585,X1585,I1585),4)</f>
        <v>0</v>
      </c>
      <c r="AD1585" s="78">
        <f t="shared" si="26"/>
        <v>0</v>
      </c>
      <c r="AE1585" s="78">
        <f t="shared" si="27"/>
        <v>0</v>
      </c>
    </row>
    <row r="1586" spans="1:31" x14ac:dyDescent="0.2">
      <c r="A1586" s="66"/>
      <c r="B1586" s="66"/>
      <c r="C1586" s="66"/>
      <c r="D1586" s="144"/>
      <c r="E1586" s="67"/>
      <c r="F1586" s="67"/>
      <c r="G1586" s="67"/>
      <c r="H1586" s="67">
        <f>ROUND(+E1586+G1586,4)</f>
        <v>0</v>
      </c>
      <c r="I1586" s="67"/>
      <c r="J1586" s="67">
        <f>ROUND(+I1586-H1586,4)</f>
        <v>0</v>
      </c>
      <c r="K1586" s="67">
        <f>ROUND(IF(F1586="alluminio",0,I1586*1.5%),4)</f>
        <v>0</v>
      </c>
      <c r="L1586" s="67">
        <f>ROUND(IF(K1586&lt;J1586,K1586,0),4)</f>
        <v>0</v>
      </c>
      <c r="M1586" s="67">
        <f>ROUND(IF(J1586&gt;K1586,0,J1586),4)</f>
        <v>0</v>
      </c>
      <c r="N1586" s="67">
        <f>ROUND(+L1586*D1586,4)</f>
        <v>0</v>
      </c>
      <c r="O1586" s="67">
        <f>ROUND(IF(F1586="rame",0,+I1586*3%),4)</f>
        <v>0</v>
      </c>
      <c r="P1586" s="67">
        <f>ROUND(IF(O1586&lt;J1586,O1586,0),4)</f>
        <v>0</v>
      </c>
      <c r="Q1586" s="67">
        <f>ROUND(IF(J1586&gt;O1586,0,J1586),4)</f>
        <v>0</v>
      </c>
      <c r="R1586" s="67">
        <f>ROUND(+P1586*D1586,4)</f>
        <v>0</v>
      </c>
      <c r="S1586" s="67">
        <f>ROUND(IF(K1586=0,0,M1586*D1586),4)</f>
        <v>0</v>
      </c>
      <c r="T1586" s="67">
        <f>ROUND(+IF(K1586=0,Q1586*D1586,0),4)</f>
        <v>0</v>
      </c>
      <c r="U1586" s="67">
        <f>ROUND(+N1586+R1586+S1586+T1586,4)</f>
        <v>0</v>
      </c>
      <c r="V1586" s="67">
        <f>ROUND(IF(P1586=0,0,I1586-H1586-O1586)+IF(L1586=0,0,I1586-H1586-K1586),4)</f>
        <v>0</v>
      </c>
      <c r="W1586" s="67">
        <f>ROUND(+(V1586*60%)*D1586,4)</f>
        <v>0</v>
      </c>
      <c r="X1586" s="148">
        <f>ROUND(+U1586+W1586,4)</f>
        <v>0</v>
      </c>
      <c r="Y1586" s="68"/>
      <c r="Z1586" s="148">
        <f>ROUND(IF(X1586&gt;I1586,X1586,I1586),4)</f>
        <v>0</v>
      </c>
      <c r="AD1586" s="78">
        <f t="shared" si="26"/>
        <v>0</v>
      </c>
      <c r="AE1586" s="78">
        <f t="shared" si="27"/>
        <v>0</v>
      </c>
    </row>
    <row r="1587" spans="1:31" x14ac:dyDescent="0.2">
      <c r="A1587" s="66"/>
      <c r="B1587" s="66"/>
      <c r="C1587" s="66"/>
      <c r="D1587" s="144"/>
      <c r="E1587" s="67"/>
      <c r="F1587" s="67"/>
      <c r="G1587" s="67"/>
      <c r="H1587" s="67">
        <f>ROUND(+E1587+G1587,4)</f>
        <v>0</v>
      </c>
      <c r="I1587" s="67"/>
      <c r="J1587" s="67">
        <f>ROUND(+I1587-H1587,4)</f>
        <v>0</v>
      </c>
      <c r="K1587" s="67">
        <f>ROUND(IF(F1587="alluminio",0,I1587*1.5%),4)</f>
        <v>0</v>
      </c>
      <c r="L1587" s="67">
        <f>ROUND(IF(K1587&lt;J1587,K1587,0),4)</f>
        <v>0</v>
      </c>
      <c r="M1587" s="67">
        <f>ROUND(IF(J1587&gt;K1587,0,J1587),4)</f>
        <v>0</v>
      </c>
      <c r="N1587" s="67">
        <f>ROUND(+L1587*D1587,4)</f>
        <v>0</v>
      </c>
      <c r="O1587" s="67">
        <f>ROUND(IF(F1587="rame",0,+I1587*3%),4)</f>
        <v>0</v>
      </c>
      <c r="P1587" s="67">
        <f>ROUND(IF(O1587&lt;J1587,O1587,0),4)</f>
        <v>0</v>
      </c>
      <c r="Q1587" s="67">
        <f>ROUND(IF(J1587&gt;O1587,0,J1587),4)</f>
        <v>0</v>
      </c>
      <c r="R1587" s="67">
        <f>ROUND(+P1587*D1587,4)</f>
        <v>0</v>
      </c>
      <c r="S1587" s="67">
        <f>ROUND(IF(K1587=0,0,M1587*D1587),4)</f>
        <v>0</v>
      </c>
      <c r="T1587" s="67">
        <f>ROUND(+IF(K1587=0,Q1587*D1587,0),4)</f>
        <v>0</v>
      </c>
      <c r="U1587" s="67">
        <f>ROUND(+N1587+R1587+S1587+T1587,4)</f>
        <v>0</v>
      </c>
      <c r="V1587" s="67">
        <f>ROUND(IF(P1587=0,0,I1587-H1587-O1587)+IF(L1587=0,0,I1587-H1587-K1587),4)</f>
        <v>0</v>
      </c>
      <c r="W1587" s="67">
        <f>ROUND(+(V1587*60%)*D1587,4)</f>
        <v>0</v>
      </c>
      <c r="X1587" s="148">
        <f>ROUND(+U1587+W1587,4)</f>
        <v>0</v>
      </c>
      <c r="Y1587" s="68"/>
      <c r="Z1587" s="148">
        <f>ROUND(IF(X1587&gt;I1587,X1587,I1587),4)</f>
        <v>0</v>
      </c>
      <c r="AD1587" s="78">
        <f t="shared" si="26"/>
        <v>0</v>
      </c>
      <c r="AE1587" s="78">
        <f t="shared" si="27"/>
        <v>0</v>
      </c>
    </row>
    <row r="1588" spans="1:31" x14ac:dyDescent="0.2">
      <c r="A1588" s="66"/>
      <c r="B1588" s="66"/>
      <c r="C1588" s="66"/>
      <c r="D1588" s="144"/>
      <c r="E1588" s="67"/>
      <c r="F1588" s="67"/>
      <c r="G1588" s="67"/>
      <c r="H1588" s="67">
        <f>ROUND(+E1588+G1588,4)</f>
        <v>0</v>
      </c>
      <c r="I1588" s="67"/>
      <c r="J1588" s="67">
        <f>ROUND(+I1588-H1588,4)</f>
        <v>0</v>
      </c>
      <c r="K1588" s="67">
        <f>ROUND(IF(F1588="alluminio",0,I1588*1.5%),4)</f>
        <v>0</v>
      </c>
      <c r="L1588" s="67">
        <f>ROUND(IF(K1588&lt;J1588,K1588,0),4)</f>
        <v>0</v>
      </c>
      <c r="M1588" s="67">
        <f>ROUND(IF(J1588&gt;K1588,0,J1588),4)</f>
        <v>0</v>
      </c>
      <c r="N1588" s="67">
        <f>ROUND(+L1588*D1588,4)</f>
        <v>0</v>
      </c>
      <c r="O1588" s="67">
        <f>ROUND(IF(F1588="rame",0,+I1588*3%),4)</f>
        <v>0</v>
      </c>
      <c r="P1588" s="67">
        <f>ROUND(IF(O1588&lt;J1588,O1588,0),4)</f>
        <v>0</v>
      </c>
      <c r="Q1588" s="67">
        <f>ROUND(IF(J1588&gt;O1588,0,J1588),4)</f>
        <v>0</v>
      </c>
      <c r="R1588" s="67">
        <f>ROUND(+P1588*D1588,4)</f>
        <v>0</v>
      </c>
      <c r="S1588" s="67">
        <f>ROUND(IF(K1588=0,0,M1588*D1588),4)</f>
        <v>0</v>
      </c>
      <c r="T1588" s="67">
        <f>ROUND(+IF(K1588=0,Q1588*D1588,0),4)</f>
        <v>0</v>
      </c>
      <c r="U1588" s="67">
        <f>ROUND(+N1588+R1588+S1588+T1588,4)</f>
        <v>0</v>
      </c>
      <c r="V1588" s="67">
        <f>ROUND(IF(P1588=0,0,I1588-H1588-O1588)+IF(L1588=0,0,I1588-H1588-K1588),4)</f>
        <v>0</v>
      </c>
      <c r="W1588" s="67">
        <f>ROUND(+(V1588*60%)*D1588,4)</f>
        <v>0</v>
      </c>
      <c r="X1588" s="148">
        <f>ROUND(+U1588+W1588,4)</f>
        <v>0</v>
      </c>
      <c r="Y1588" s="68"/>
      <c r="Z1588" s="148">
        <f>ROUND(IF(X1588&gt;I1588,X1588,I1588),4)</f>
        <v>0</v>
      </c>
      <c r="AD1588" s="78">
        <f t="shared" si="26"/>
        <v>0</v>
      </c>
      <c r="AE1588" s="78">
        <f t="shared" si="27"/>
        <v>0</v>
      </c>
    </row>
    <row r="1589" spans="1:31" x14ac:dyDescent="0.2">
      <c r="A1589" s="66"/>
      <c r="B1589" s="66"/>
      <c r="C1589" s="66"/>
      <c r="D1589" s="144"/>
      <c r="E1589" s="67"/>
      <c r="F1589" s="67"/>
      <c r="G1589" s="67"/>
      <c r="H1589" s="67">
        <f>ROUND(+E1589+G1589,4)</f>
        <v>0</v>
      </c>
      <c r="I1589" s="67"/>
      <c r="J1589" s="67">
        <f>ROUND(+I1589-H1589,4)</f>
        <v>0</v>
      </c>
      <c r="K1589" s="67">
        <f>ROUND(IF(F1589="alluminio",0,I1589*1.5%),4)</f>
        <v>0</v>
      </c>
      <c r="L1589" s="67">
        <f>ROUND(IF(K1589&lt;J1589,K1589,0),4)</f>
        <v>0</v>
      </c>
      <c r="M1589" s="67">
        <f>ROUND(IF(J1589&gt;K1589,0,J1589),4)</f>
        <v>0</v>
      </c>
      <c r="N1589" s="67">
        <f>ROUND(+L1589*D1589,4)</f>
        <v>0</v>
      </c>
      <c r="O1589" s="67">
        <f>ROUND(IF(F1589="rame",0,+I1589*3%),4)</f>
        <v>0</v>
      </c>
      <c r="P1589" s="67">
        <f>ROUND(IF(O1589&lt;J1589,O1589,0),4)</f>
        <v>0</v>
      </c>
      <c r="Q1589" s="67">
        <f>ROUND(IF(J1589&gt;O1589,0,J1589),4)</f>
        <v>0</v>
      </c>
      <c r="R1589" s="67">
        <f>ROUND(+P1589*D1589,4)</f>
        <v>0</v>
      </c>
      <c r="S1589" s="67">
        <f>ROUND(IF(K1589=0,0,M1589*D1589),4)</f>
        <v>0</v>
      </c>
      <c r="T1589" s="67">
        <f>ROUND(+IF(K1589=0,Q1589*D1589,0),4)</f>
        <v>0</v>
      </c>
      <c r="U1589" s="67">
        <f>ROUND(+N1589+R1589+S1589+T1589,4)</f>
        <v>0</v>
      </c>
      <c r="V1589" s="67">
        <f>ROUND(IF(P1589=0,0,I1589-H1589-O1589)+IF(L1589=0,0,I1589-H1589-K1589),4)</f>
        <v>0</v>
      </c>
      <c r="W1589" s="67">
        <f>ROUND(+(V1589*60%)*D1589,4)</f>
        <v>0</v>
      </c>
      <c r="X1589" s="148">
        <f>ROUND(+U1589+W1589,4)</f>
        <v>0</v>
      </c>
      <c r="Y1589" s="68"/>
      <c r="Z1589" s="148">
        <f>ROUND(IF(X1589&gt;I1589,X1589,I1589),4)</f>
        <v>0</v>
      </c>
      <c r="AD1589" s="78">
        <f t="shared" si="26"/>
        <v>0</v>
      </c>
      <c r="AE1589" s="78">
        <f t="shared" si="27"/>
        <v>0</v>
      </c>
    </row>
    <row r="1590" spans="1:31" x14ac:dyDescent="0.2">
      <c r="A1590" s="66"/>
      <c r="B1590" s="66"/>
      <c r="C1590" s="66"/>
      <c r="D1590" s="144"/>
      <c r="E1590" s="67"/>
      <c r="F1590" s="67"/>
      <c r="G1590" s="67"/>
      <c r="H1590" s="67">
        <f>ROUND(+E1590+G1590,4)</f>
        <v>0</v>
      </c>
      <c r="I1590" s="67"/>
      <c r="J1590" s="67">
        <f>ROUND(+I1590-H1590,4)</f>
        <v>0</v>
      </c>
      <c r="K1590" s="67">
        <f>ROUND(IF(F1590="alluminio",0,I1590*1.5%),4)</f>
        <v>0</v>
      </c>
      <c r="L1590" s="67">
        <f>ROUND(IF(K1590&lt;J1590,K1590,0),4)</f>
        <v>0</v>
      </c>
      <c r="M1590" s="67">
        <f>ROUND(IF(J1590&gt;K1590,0,J1590),4)</f>
        <v>0</v>
      </c>
      <c r="N1590" s="67">
        <f>ROUND(+L1590*D1590,4)</f>
        <v>0</v>
      </c>
      <c r="O1590" s="67">
        <f>ROUND(IF(F1590="rame",0,+I1590*3%),4)</f>
        <v>0</v>
      </c>
      <c r="P1590" s="67">
        <f>ROUND(IF(O1590&lt;J1590,O1590,0),4)</f>
        <v>0</v>
      </c>
      <c r="Q1590" s="67">
        <f>ROUND(IF(J1590&gt;O1590,0,J1590),4)</f>
        <v>0</v>
      </c>
      <c r="R1590" s="67">
        <f>ROUND(+P1590*D1590,4)</f>
        <v>0</v>
      </c>
      <c r="S1590" s="67">
        <f>ROUND(IF(K1590=0,0,M1590*D1590),4)</f>
        <v>0</v>
      </c>
      <c r="T1590" s="67">
        <f>ROUND(+IF(K1590=0,Q1590*D1590,0),4)</f>
        <v>0</v>
      </c>
      <c r="U1590" s="67">
        <f>ROUND(+N1590+R1590+S1590+T1590,4)</f>
        <v>0</v>
      </c>
      <c r="V1590" s="67">
        <f>ROUND(IF(P1590=0,0,I1590-H1590-O1590)+IF(L1590=0,0,I1590-H1590-K1590),4)</f>
        <v>0</v>
      </c>
      <c r="W1590" s="67">
        <f>ROUND(+(V1590*60%)*D1590,4)</f>
        <v>0</v>
      </c>
      <c r="X1590" s="148">
        <f>ROUND(+U1590+W1590,4)</f>
        <v>0</v>
      </c>
      <c r="Y1590" s="68"/>
      <c r="Z1590" s="148">
        <f>ROUND(IF(X1590&gt;I1590,X1590,I1590),4)</f>
        <v>0</v>
      </c>
      <c r="AD1590" s="78">
        <f t="shared" si="26"/>
        <v>0</v>
      </c>
      <c r="AE1590" s="78">
        <f t="shared" si="27"/>
        <v>0</v>
      </c>
    </row>
    <row r="1591" spans="1:31" x14ac:dyDescent="0.2">
      <c r="A1591" s="66"/>
      <c r="B1591" s="66"/>
      <c r="C1591" s="66"/>
      <c r="D1591" s="144"/>
      <c r="E1591" s="67"/>
      <c r="F1591" s="67"/>
      <c r="G1591" s="67"/>
      <c r="H1591" s="67">
        <f>ROUND(+E1591+G1591,4)</f>
        <v>0</v>
      </c>
      <c r="I1591" s="67"/>
      <c r="J1591" s="67">
        <f>ROUND(+I1591-H1591,4)</f>
        <v>0</v>
      </c>
      <c r="K1591" s="67">
        <f>ROUND(IF(F1591="alluminio",0,I1591*1.5%),4)</f>
        <v>0</v>
      </c>
      <c r="L1591" s="67">
        <f>ROUND(IF(K1591&lt;J1591,K1591,0),4)</f>
        <v>0</v>
      </c>
      <c r="M1591" s="67">
        <f>ROUND(IF(J1591&gt;K1591,0,J1591),4)</f>
        <v>0</v>
      </c>
      <c r="N1591" s="67">
        <f>ROUND(+L1591*D1591,4)</f>
        <v>0</v>
      </c>
      <c r="O1591" s="67">
        <f>ROUND(IF(F1591="rame",0,+I1591*3%),4)</f>
        <v>0</v>
      </c>
      <c r="P1591" s="67">
        <f>ROUND(IF(O1591&lt;J1591,O1591,0),4)</f>
        <v>0</v>
      </c>
      <c r="Q1591" s="67">
        <f>ROUND(IF(J1591&gt;O1591,0,J1591),4)</f>
        <v>0</v>
      </c>
      <c r="R1591" s="67">
        <f>ROUND(+P1591*D1591,4)</f>
        <v>0</v>
      </c>
      <c r="S1591" s="67">
        <f>ROUND(IF(K1591=0,0,M1591*D1591),4)</f>
        <v>0</v>
      </c>
      <c r="T1591" s="67">
        <f>ROUND(+IF(K1591=0,Q1591*D1591,0),4)</f>
        <v>0</v>
      </c>
      <c r="U1591" s="67">
        <f>ROUND(+N1591+R1591+S1591+T1591,4)</f>
        <v>0</v>
      </c>
      <c r="V1591" s="67">
        <f>ROUND(IF(P1591=0,0,I1591-H1591-O1591)+IF(L1591=0,0,I1591-H1591-K1591),4)</f>
        <v>0</v>
      </c>
      <c r="W1591" s="67">
        <f>ROUND(+(V1591*60%)*D1591,4)</f>
        <v>0</v>
      </c>
      <c r="X1591" s="148">
        <f>ROUND(+U1591+W1591,4)</f>
        <v>0</v>
      </c>
      <c r="Y1591" s="68"/>
      <c r="Z1591" s="148">
        <f>ROUND(IF(X1591&gt;I1591,X1591,I1591),4)</f>
        <v>0</v>
      </c>
      <c r="AD1591" s="78">
        <f t="shared" si="26"/>
        <v>0</v>
      </c>
      <c r="AE1591" s="78">
        <f t="shared" si="27"/>
        <v>0</v>
      </c>
    </row>
    <row r="1592" spans="1:31" x14ac:dyDescent="0.2">
      <c r="A1592" s="66"/>
      <c r="B1592" s="66"/>
      <c r="C1592" s="66"/>
      <c r="D1592" s="144"/>
      <c r="E1592" s="67"/>
      <c r="F1592" s="67"/>
      <c r="G1592" s="67"/>
      <c r="H1592" s="67">
        <f>ROUND(+E1592+G1592,4)</f>
        <v>0</v>
      </c>
      <c r="I1592" s="67"/>
      <c r="J1592" s="67">
        <f>ROUND(+I1592-H1592,4)</f>
        <v>0</v>
      </c>
      <c r="K1592" s="67">
        <f>ROUND(IF(F1592="alluminio",0,I1592*1.5%),4)</f>
        <v>0</v>
      </c>
      <c r="L1592" s="67">
        <f>ROUND(IF(K1592&lt;J1592,K1592,0),4)</f>
        <v>0</v>
      </c>
      <c r="M1592" s="67">
        <f>ROUND(IF(J1592&gt;K1592,0,J1592),4)</f>
        <v>0</v>
      </c>
      <c r="N1592" s="67">
        <f>ROUND(+L1592*D1592,4)</f>
        <v>0</v>
      </c>
      <c r="O1592" s="67">
        <f>ROUND(IF(F1592="rame",0,+I1592*3%),4)</f>
        <v>0</v>
      </c>
      <c r="P1592" s="67">
        <f>ROUND(IF(O1592&lt;J1592,O1592,0),4)</f>
        <v>0</v>
      </c>
      <c r="Q1592" s="67">
        <f>ROUND(IF(J1592&gt;O1592,0,J1592),4)</f>
        <v>0</v>
      </c>
      <c r="R1592" s="67">
        <f>ROUND(+P1592*D1592,4)</f>
        <v>0</v>
      </c>
      <c r="S1592" s="67">
        <f>ROUND(IF(K1592=0,0,M1592*D1592),4)</f>
        <v>0</v>
      </c>
      <c r="T1592" s="67">
        <f>ROUND(+IF(K1592=0,Q1592*D1592,0),4)</f>
        <v>0</v>
      </c>
      <c r="U1592" s="67">
        <f>ROUND(+N1592+R1592+S1592+T1592,4)</f>
        <v>0</v>
      </c>
      <c r="V1592" s="67">
        <f>ROUND(IF(P1592=0,0,I1592-H1592-O1592)+IF(L1592=0,0,I1592-H1592-K1592),4)</f>
        <v>0</v>
      </c>
      <c r="W1592" s="67">
        <f>ROUND(+(V1592*60%)*D1592,4)</f>
        <v>0</v>
      </c>
      <c r="X1592" s="148">
        <f>ROUND(+U1592+W1592,4)</f>
        <v>0</v>
      </c>
      <c r="Y1592" s="68"/>
      <c r="Z1592" s="148">
        <f>ROUND(IF(X1592&gt;I1592,X1592,I1592),4)</f>
        <v>0</v>
      </c>
      <c r="AD1592" s="78">
        <f t="shared" si="26"/>
        <v>0</v>
      </c>
      <c r="AE1592" s="78">
        <f t="shared" si="27"/>
        <v>0</v>
      </c>
    </row>
    <row r="1593" spans="1:31" x14ac:dyDescent="0.2">
      <c r="A1593" s="66"/>
      <c r="B1593" s="66"/>
      <c r="C1593" s="66"/>
      <c r="D1593" s="144"/>
      <c r="E1593" s="67"/>
      <c r="F1593" s="67"/>
      <c r="G1593" s="67"/>
      <c r="H1593" s="67">
        <f>ROUND(+E1593+G1593,4)</f>
        <v>0</v>
      </c>
      <c r="I1593" s="67"/>
      <c r="J1593" s="67">
        <f>ROUND(+I1593-H1593,4)</f>
        <v>0</v>
      </c>
      <c r="K1593" s="67">
        <f>ROUND(IF(F1593="alluminio",0,I1593*1.5%),4)</f>
        <v>0</v>
      </c>
      <c r="L1593" s="67">
        <f>ROUND(IF(K1593&lt;J1593,K1593,0),4)</f>
        <v>0</v>
      </c>
      <c r="M1593" s="67">
        <f>ROUND(IF(J1593&gt;K1593,0,J1593),4)</f>
        <v>0</v>
      </c>
      <c r="N1593" s="67">
        <f>ROUND(+L1593*D1593,4)</f>
        <v>0</v>
      </c>
      <c r="O1593" s="67">
        <f>ROUND(IF(F1593="rame",0,+I1593*3%),4)</f>
        <v>0</v>
      </c>
      <c r="P1593" s="67">
        <f>ROUND(IF(O1593&lt;J1593,O1593,0),4)</f>
        <v>0</v>
      </c>
      <c r="Q1593" s="67">
        <f>ROUND(IF(J1593&gt;O1593,0,J1593),4)</f>
        <v>0</v>
      </c>
      <c r="R1593" s="67">
        <f>ROUND(+P1593*D1593,4)</f>
        <v>0</v>
      </c>
      <c r="S1593" s="67">
        <f>ROUND(IF(K1593=0,0,M1593*D1593),4)</f>
        <v>0</v>
      </c>
      <c r="T1593" s="67">
        <f>ROUND(+IF(K1593=0,Q1593*D1593,0),4)</f>
        <v>0</v>
      </c>
      <c r="U1593" s="67">
        <f>ROUND(+N1593+R1593+S1593+T1593,4)</f>
        <v>0</v>
      </c>
      <c r="V1593" s="67">
        <f>ROUND(IF(P1593=0,0,I1593-H1593-O1593)+IF(L1593=0,0,I1593-H1593-K1593),4)</f>
        <v>0</v>
      </c>
      <c r="W1593" s="67">
        <f>ROUND(+(V1593*60%)*D1593,4)</f>
        <v>0</v>
      </c>
      <c r="X1593" s="148">
        <f>ROUND(+U1593+W1593,4)</f>
        <v>0</v>
      </c>
      <c r="Y1593" s="68"/>
      <c r="Z1593" s="148">
        <f>ROUND(IF(X1593&gt;I1593,X1593,I1593),4)</f>
        <v>0</v>
      </c>
      <c r="AD1593" s="78">
        <f t="shared" si="26"/>
        <v>0</v>
      </c>
      <c r="AE1593" s="78">
        <f t="shared" si="27"/>
        <v>0</v>
      </c>
    </row>
    <row r="1594" spans="1:31" x14ac:dyDescent="0.2">
      <c r="A1594" s="66"/>
      <c r="B1594" s="66"/>
      <c r="C1594" s="66"/>
      <c r="D1594" s="144"/>
      <c r="E1594" s="67"/>
      <c r="F1594" s="67"/>
      <c r="G1594" s="67"/>
      <c r="H1594" s="67">
        <f>ROUND(+E1594+G1594,4)</f>
        <v>0</v>
      </c>
      <c r="I1594" s="67"/>
      <c r="J1594" s="67">
        <f>ROUND(+I1594-H1594,4)</f>
        <v>0</v>
      </c>
      <c r="K1594" s="67">
        <f>ROUND(IF(F1594="alluminio",0,I1594*1.5%),4)</f>
        <v>0</v>
      </c>
      <c r="L1594" s="67">
        <f>ROUND(IF(K1594&lt;J1594,K1594,0),4)</f>
        <v>0</v>
      </c>
      <c r="M1594" s="67">
        <f>ROUND(IF(J1594&gt;K1594,0,J1594),4)</f>
        <v>0</v>
      </c>
      <c r="N1594" s="67">
        <f>ROUND(+L1594*D1594,4)</f>
        <v>0</v>
      </c>
      <c r="O1594" s="67">
        <f>ROUND(IF(F1594="rame",0,+I1594*3%),4)</f>
        <v>0</v>
      </c>
      <c r="P1594" s="67">
        <f>ROUND(IF(O1594&lt;J1594,O1594,0),4)</f>
        <v>0</v>
      </c>
      <c r="Q1594" s="67">
        <f>ROUND(IF(J1594&gt;O1594,0,J1594),4)</f>
        <v>0</v>
      </c>
      <c r="R1594" s="67">
        <f>ROUND(+P1594*D1594,4)</f>
        <v>0</v>
      </c>
      <c r="S1594" s="67">
        <f>ROUND(IF(K1594=0,0,M1594*D1594),4)</f>
        <v>0</v>
      </c>
      <c r="T1594" s="67">
        <f>ROUND(+IF(K1594=0,Q1594*D1594,0),4)</f>
        <v>0</v>
      </c>
      <c r="U1594" s="67">
        <f>ROUND(+N1594+R1594+S1594+T1594,4)</f>
        <v>0</v>
      </c>
      <c r="V1594" s="67">
        <f>ROUND(IF(P1594=0,0,I1594-H1594-O1594)+IF(L1594=0,0,I1594-H1594-K1594),4)</f>
        <v>0</v>
      </c>
      <c r="W1594" s="67">
        <f>ROUND(+(V1594*60%)*D1594,4)</f>
        <v>0</v>
      </c>
      <c r="X1594" s="148">
        <f>ROUND(+U1594+W1594,4)</f>
        <v>0</v>
      </c>
      <c r="Y1594" s="68"/>
      <c r="Z1594" s="148">
        <f>ROUND(IF(X1594&gt;I1594,X1594,I1594),4)</f>
        <v>0</v>
      </c>
      <c r="AD1594" s="78">
        <f t="shared" si="26"/>
        <v>0</v>
      </c>
      <c r="AE1594" s="78">
        <f t="shared" si="27"/>
        <v>0</v>
      </c>
    </row>
    <row r="1595" spans="1:31" x14ac:dyDescent="0.2">
      <c r="A1595" s="66"/>
      <c r="B1595" s="66"/>
      <c r="C1595" s="66"/>
      <c r="D1595" s="144"/>
      <c r="E1595" s="67"/>
      <c r="F1595" s="67"/>
      <c r="G1595" s="67"/>
      <c r="H1595" s="67">
        <f>ROUND(+E1595+G1595,4)</f>
        <v>0</v>
      </c>
      <c r="I1595" s="67"/>
      <c r="J1595" s="67">
        <f>ROUND(+I1595-H1595,4)</f>
        <v>0</v>
      </c>
      <c r="K1595" s="67">
        <f>ROUND(IF(F1595="alluminio",0,I1595*1.5%),4)</f>
        <v>0</v>
      </c>
      <c r="L1595" s="67">
        <f>ROUND(IF(K1595&lt;J1595,K1595,0),4)</f>
        <v>0</v>
      </c>
      <c r="M1595" s="67">
        <f>ROUND(IF(J1595&gt;K1595,0,J1595),4)</f>
        <v>0</v>
      </c>
      <c r="N1595" s="67">
        <f>ROUND(+L1595*D1595,4)</f>
        <v>0</v>
      </c>
      <c r="O1595" s="67">
        <f>ROUND(IF(F1595="rame",0,+I1595*3%),4)</f>
        <v>0</v>
      </c>
      <c r="P1595" s="67">
        <f>ROUND(IF(O1595&lt;J1595,O1595,0),4)</f>
        <v>0</v>
      </c>
      <c r="Q1595" s="67">
        <f>ROUND(IF(J1595&gt;O1595,0,J1595),4)</f>
        <v>0</v>
      </c>
      <c r="R1595" s="67">
        <f>ROUND(+P1595*D1595,4)</f>
        <v>0</v>
      </c>
      <c r="S1595" s="67">
        <f>ROUND(IF(K1595=0,0,M1595*D1595),4)</f>
        <v>0</v>
      </c>
      <c r="T1595" s="67">
        <f>ROUND(+IF(K1595=0,Q1595*D1595,0),4)</f>
        <v>0</v>
      </c>
      <c r="U1595" s="67">
        <f>ROUND(+N1595+R1595+S1595+T1595,4)</f>
        <v>0</v>
      </c>
      <c r="V1595" s="67">
        <f>ROUND(IF(P1595=0,0,I1595-H1595-O1595)+IF(L1595=0,0,I1595-H1595-K1595),4)</f>
        <v>0</v>
      </c>
      <c r="W1595" s="67">
        <f>ROUND(+(V1595*60%)*D1595,4)</f>
        <v>0</v>
      </c>
      <c r="X1595" s="148">
        <f>ROUND(+U1595+W1595,4)</f>
        <v>0</v>
      </c>
      <c r="Y1595" s="68"/>
      <c r="Z1595" s="148">
        <f>ROUND(IF(X1595&gt;I1595,X1595,I1595),4)</f>
        <v>0</v>
      </c>
      <c r="AD1595" s="78">
        <f t="shared" si="26"/>
        <v>0</v>
      </c>
      <c r="AE1595" s="78">
        <f t="shared" si="27"/>
        <v>0</v>
      </c>
    </row>
    <row r="1596" spans="1:31" x14ac:dyDescent="0.2">
      <c r="A1596" s="66"/>
      <c r="B1596" s="66"/>
      <c r="C1596" s="66"/>
      <c r="D1596" s="144"/>
      <c r="E1596" s="67"/>
      <c r="F1596" s="67"/>
      <c r="G1596" s="67"/>
      <c r="H1596" s="67">
        <f>ROUND(+E1596+G1596,4)</f>
        <v>0</v>
      </c>
      <c r="I1596" s="67"/>
      <c r="J1596" s="67">
        <f>ROUND(+I1596-H1596,4)</f>
        <v>0</v>
      </c>
      <c r="K1596" s="67">
        <f>ROUND(IF(F1596="alluminio",0,I1596*1.5%),4)</f>
        <v>0</v>
      </c>
      <c r="L1596" s="67">
        <f>ROUND(IF(K1596&lt;J1596,K1596,0),4)</f>
        <v>0</v>
      </c>
      <c r="M1596" s="67">
        <f>ROUND(IF(J1596&gt;K1596,0,J1596),4)</f>
        <v>0</v>
      </c>
      <c r="N1596" s="67">
        <f>ROUND(+L1596*D1596,4)</f>
        <v>0</v>
      </c>
      <c r="O1596" s="67">
        <f>ROUND(IF(F1596="rame",0,+I1596*3%),4)</f>
        <v>0</v>
      </c>
      <c r="P1596" s="67">
        <f>ROUND(IF(O1596&lt;J1596,O1596,0),4)</f>
        <v>0</v>
      </c>
      <c r="Q1596" s="67">
        <f>ROUND(IF(J1596&gt;O1596,0,J1596),4)</f>
        <v>0</v>
      </c>
      <c r="R1596" s="67">
        <f>ROUND(+P1596*D1596,4)</f>
        <v>0</v>
      </c>
      <c r="S1596" s="67">
        <f>ROUND(IF(K1596=0,0,M1596*D1596),4)</f>
        <v>0</v>
      </c>
      <c r="T1596" s="67">
        <f>ROUND(+IF(K1596=0,Q1596*D1596,0),4)</f>
        <v>0</v>
      </c>
      <c r="U1596" s="67">
        <f>ROUND(+N1596+R1596+S1596+T1596,4)</f>
        <v>0</v>
      </c>
      <c r="V1596" s="67">
        <f>ROUND(IF(P1596=0,0,I1596-H1596-O1596)+IF(L1596=0,0,I1596-H1596-K1596),4)</f>
        <v>0</v>
      </c>
      <c r="W1596" s="67">
        <f>ROUND(+(V1596*60%)*D1596,4)</f>
        <v>0</v>
      </c>
      <c r="X1596" s="148">
        <f>ROUND(+U1596+W1596,4)</f>
        <v>0</v>
      </c>
      <c r="Y1596" s="68"/>
      <c r="Z1596" s="148">
        <f>ROUND(IF(X1596&gt;I1596,X1596,I1596),4)</f>
        <v>0</v>
      </c>
      <c r="AD1596" s="78">
        <f t="shared" si="26"/>
        <v>0</v>
      </c>
      <c r="AE1596" s="78">
        <f t="shared" si="27"/>
        <v>0</v>
      </c>
    </row>
    <row r="1597" spans="1:31" x14ac:dyDescent="0.2">
      <c r="A1597" s="66"/>
      <c r="B1597" s="66"/>
      <c r="C1597" s="66"/>
      <c r="D1597" s="144"/>
      <c r="E1597" s="67"/>
      <c r="F1597" s="67"/>
      <c r="G1597" s="67"/>
      <c r="H1597" s="67">
        <f>ROUND(+E1597+G1597,4)</f>
        <v>0</v>
      </c>
      <c r="I1597" s="67"/>
      <c r="J1597" s="67">
        <f>ROUND(+I1597-H1597,4)</f>
        <v>0</v>
      </c>
      <c r="K1597" s="67">
        <f>ROUND(IF(F1597="alluminio",0,I1597*1.5%),4)</f>
        <v>0</v>
      </c>
      <c r="L1597" s="67">
        <f>ROUND(IF(K1597&lt;J1597,K1597,0),4)</f>
        <v>0</v>
      </c>
      <c r="M1597" s="67">
        <f>ROUND(IF(J1597&gt;K1597,0,J1597),4)</f>
        <v>0</v>
      </c>
      <c r="N1597" s="67">
        <f>ROUND(+L1597*D1597,4)</f>
        <v>0</v>
      </c>
      <c r="O1597" s="67">
        <f>ROUND(IF(F1597="rame",0,+I1597*3%),4)</f>
        <v>0</v>
      </c>
      <c r="P1597" s="67">
        <f>ROUND(IF(O1597&lt;J1597,O1597,0),4)</f>
        <v>0</v>
      </c>
      <c r="Q1597" s="67">
        <f>ROUND(IF(J1597&gt;O1597,0,J1597),4)</f>
        <v>0</v>
      </c>
      <c r="R1597" s="67">
        <f>ROUND(+P1597*D1597,4)</f>
        <v>0</v>
      </c>
      <c r="S1597" s="67">
        <f>ROUND(IF(K1597=0,0,M1597*D1597),4)</f>
        <v>0</v>
      </c>
      <c r="T1597" s="67">
        <f>ROUND(+IF(K1597=0,Q1597*D1597,0),4)</f>
        <v>0</v>
      </c>
      <c r="U1597" s="67">
        <f>ROUND(+N1597+R1597+S1597+T1597,4)</f>
        <v>0</v>
      </c>
      <c r="V1597" s="67">
        <f>ROUND(IF(P1597=0,0,I1597-H1597-O1597)+IF(L1597=0,0,I1597-H1597-K1597),4)</f>
        <v>0</v>
      </c>
      <c r="W1597" s="67">
        <f>ROUND(+(V1597*60%)*D1597,4)</f>
        <v>0</v>
      </c>
      <c r="X1597" s="148">
        <f>ROUND(+U1597+W1597,4)</f>
        <v>0</v>
      </c>
      <c r="Y1597" s="68"/>
      <c r="Z1597" s="148">
        <f>ROUND(IF(X1597&gt;I1597,X1597,I1597),4)</f>
        <v>0</v>
      </c>
      <c r="AD1597" s="78">
        <f t="shared" si="26"/>
        <v>0</v>
      </c>
      <c r="AE1597" s="78">
        <f t="shared" si="27"/>
        <v>0</v>
      </c>
    </row>
    <row r="1598" spans="1:31" x14ac:dyDescent="0.2">
      <c r="A1598" s="66"/>
      <c r="B1598" s="66"/>
      <c r="C1598" s="66"/>
      <c r="D1598" s="144"/>
      <c r="E1598" s="67"/>
      <c r="F1598" s="67"/>
      <c r="G1598" s="67"/>
      <c r="H1598" s="67">
        <f>ROUND(+E1598+G1598,4)</f>
        <v>0</v>
      </c>
      <c r="I1598" s="67"/>
      <c r="J1598" s="67">
        <f>ROUND(+I1598-H1598,4)</f>
        <v>0</v>
      </c>
      <c r="K1598" s="67">
        <f>ROUND(IF(F1598="alluminio",0,I1598*1.5%),4)</f>
        <v>0</v>
      </c>
      <c r="L1598" s="67">
        <f>ROUND(IF(K1598&lt;J1598,K1598,0),4)</f>
        <v>0</v>
      </c>
      <c r="M1598" s="67">
        <f>ROUND(IF(J1598&gt;K1598,0,J1598),4)</f>
        <v>0</v>
      </c>
      <c r="N1598" s="67">
        <f>ROUND(+L1598*D1598,4)</f>
        <v>0</v>
      </c>
      <c r="O1598" s="67">
        <f>ROUND(IF(F1598="rame",0,+I1598*3%),4)</f>
        <v>0</v>
      </c>
      <c r="P1598" s="67">
        <f>ROUND(IF(O1598&lt;J1598,O1598,0),4)</f>
        <v>0</v>
      </c>
      <c r="Q1598" s="67">
        <f>ROUND(IF(J1598&gt;O1598,0,J1598),4)</f>
        <v>0</v>
      </c>
      <c r="R1598" s="67">
        <f>ROUND(+P1598*D1598,4)</f>
        <v>0</v>
      </c>
      <c r="S1598" s="67">
        <f>ROUND(IF(K1598=0,0,M1598*D1598),4)</f>
        <v>0</v>
      </c>
      <c r="T1598" s="67">
        <f>ROUND(+IF(K1598=0,Q1598*D1598,0),4)</f>
        <v>0</v>
      </c>
      <c r="U1598" s="67">
        <f>ROUND(+N1598+R1598+S1598+T1598,4)</f>
        <v>0</v>
      </c>
      <c r="V1598" s="67">
        <f>ROUND(IF(P1598=0,0,I1598-H1598-O1598)+IF(L1598=0,0,I1598-H1598-K1598),4)</f>
        <v>0</v>
      </c>
      <c r="W1598" s="67">
        <f>ROUND(+(V1598*60%)*D1598,4)</f>
        <v>0</v>
      </c>
      <c r="X1598" s="148">
        <f>ROUND(+U1598+W1598,4)</f>
        <v>0</v>
      </c>
      <c r="Y1598" s="68"/>
      <c r="Z1598" s="148">
        <f>ROUND(IF(X1598&gt;I1598,X1598,I1598),4)</f>
        <v>0</v>
      </c>
      <c r="AD1598" s="78">
        <f t="shared" ref="AD1598:AD1661" si="28">IF(Y1598="",0,MONTH(Y1598))</f>
        <v>0</v>
      </c>
      <c r="AE1598" s="78">
        <f t="shared" ref="AE1598:AE1661" si="29">IF(Y1598="",0,YEAR(Y1598))</f>
        <v>0</v>
      </c>
    </row>
    <row r="1599" spans="1:31" x14ac:dyDescent="0.2">
      <c r="A1599" s="66"/>
      <c r="B1599" s="66"/>
      <c r="C1599" s="66"/>
      <c r="D1599" s="144"/>
      <c r="E1599" s="67"/>
      <c r="F1599" s="67"/>
      <c r="G1599" s="67"/>
      <c r="H1599" s="67">
        <f>ROUND(+E1599+G1599,4)</f>
        <v>0</v>
      </c>
      <c r="I1599" s="67"/>
      <c r="J1599" s="67">
        <f>ROUND(+I1599-H1599,4)</f>
        <v>0</v>
      </c>
      <c r="K1599" s="67">
        <f>ROUND(IF(F1599="alluminio",0,I1599*1.5%),4)</f>
        <v>0</v>
      </c>
      <c r="L1599" s="67">
        <f>ROUND(IF(K1599&lt;J1599,K1599,0),4)</f>
        <v>0</v>
      </c>
      <c r="M1599" s="67">
        <f>ROUND(IF(J1599&gt;K1599,0,J1599),4)</f>
        <v>0</v>
      </c>
      <c r="N1599" s="67">
        <f>ROUND(+L1599*D1599,4)</f>
        <v>0</v>
      </c>
      <c r="O1599" s="67">
        <f>ROUND(IF(F1599="rame",0,+I1599*3%),4)</f>
        <v>0</v>
      </c>
      <c r="P1599" s="67">
        <f>ROUND(IF(O1599&lt;J1599,O1599,0),4)</f>
        <v>0</v>
      </c>
      <c r="Q1599" s="67">
        <f>ROUND(IF(J1599&gt;O1599,0,J1599),4)</f>
        <v>0</v>
      </c>
      <c r="R1599" s="67">
        <f>ROUND(+P1599*D1599,4)</f>
        <v>0</v>
      </c>
      <c r="S1599" s="67">
        <f>ROUND(IF(K1599=0,0,M1599*D1599),4)</f>
        <v>0</v>
      </c>
      <c r="T1599" s="67">
        <f>ROUND(+IF(K1599=0,Q1599*D1599,0),4)</f>
        <v>0</v>
      </c>
      <c r="U1599" s="67">
        <f>ROUND(+N1599+R1599+S1599+T1599,4)</f>
        <v>0</v>
      </c>
      <c r="V1599" s="67">
        <f>ROUND(IF(P1599=0,0,I1599-H1599-O1599)+IF(L1599=0,0,I1599-H1599-K1599),4)</f>
        <v>0</v>
      </c>
      <c r="W1599" s="67">
        <f>ROUND(+(V1599*60%)*D1599,4)</f>
        <v>0</v>
      </c>
      <c r="X1599" s="148">
        <f>ROUND(+U1599+W1599,4)</f>
        <v>0</v>
      </c>
      <c r="Y1599" s="68"/>
      <c r="Z1599" s="148">
        <f>ROUND(IF(X1599&gt;I1599,X1599,I1599),4)</f>
        <v>0</v>
      </c>
      <c r="AD1599" s="78">
        <f t="shared" si="28"/>
        <v>0</v>
      </c>
      <c r="AE1599" s="78">
        <f t="shared" si="29"/>
        <v>0</v>
      </c>
    </row>
    <row r="1600" spans="1:31" x14ac:dyDescent="0.2">
      <c r="A1600" s="66"/>
      <c r="B1600" s="66"/>
      <c r="C1600" s="66"/>
      <c r="D1600" s="144"/>
      <c r="E1600" s="67"/>
      <c r="F1600" s="67"/>
      <c r="G1600" s="67"/>
      <c r="H1600" s="67">
        <f>ROUND(+E1600+G1600,4)</f>
        <v>0</v>
      </c>
      <c r="I1600" s="67"/>
      <c r="J1600" s="67">
        <f>ROUND(+I1600-H1600,4)</f>
        <v>0</v>
      </c>
      <c r="K1600" s="67">
        <f>ROUND(IF(F1600="alluminio",0,I1600*1.5%),4)</f>
        <v>0</v>
      </c>
      <c r="L1600" s="67">
        <f>ROUND(IF(K1600&lt;J1600,K1600,0),4)</f>
        <v>0</v>
      </c>
      <c r="M1600" s="67">
        <f>ROUND(IF(J1600&gt;K1600,0,J1600),4)</f>
        <v>0</v>
      </c>
      <c r="N1600" s="67">
        <f>ROUND(+L1600*D1600,4)</f>
        <v>0</v>
      </c>
      <c r="O1600" s="67">
        <f>ROUND(IF(F1600="rame",0,+I1600*3%),4)</f>
        <v>0</v>
      </c>
      <c r="P1600" s="67">
        <f>ROUND(IF(O1600&lt;J1600,O1600,0),4)</f>
        <v>0</v>
      </c>
      <c r="Q1600" s="67">
        <f>ROUND(IF(J1600&gt;O1600,0,J1600),4)</f>
        <v>0</v>
      </c>
      <c r="R1600" s="67">
        <f>ROUND(+P1600*D1600,4)</f>
        <v>0</v>
      </c>
      <c r="S1600" s="67">
        <f>ROUND(IF(K1600=0,0,M1600*D1600),4)</f>
        <v>0</v>
      </c>
      <c r="T1600" s="67">
        <f>ROUND(+IF(K1600=0,Q1600*D1600,0),4)</f>
        <v>0</v>
      </c>
      <c r="U1600" s="67">
        <f>ROUND(+N1600+R1600+S1600+T1600,4)</f>
        <v>0</v>
      </c>
      <c r="V1600" s="67">
        <f>ROUND(IF(P1600=0,0,I1600-H1600-O1600)+IF(L1600=0,0,I1600-H1600-K1600),4)</f>
        <v>0</v>
      </c>
      <c r="W1600" s="67">
        <f>ROUND(+(V1600*60%)*D1600,4)</f>
        <v>0</v>
      </c>
      <c r="X1600" s="148">
        <f>ROUND(+U1600+W1600,4)</f>
        <v>0</v>
      </c>
      <c r="Y1600" s="68"/>
      <c r="Z1600" s="148">
        <f>ROUND(IF(X1600&gt;I1600,X1600,I1600),4)</f>
        <v>0</v>
      </c>
      <c r="AD1600" s="78">
        <f t="shared" si="28"/>
        <v>0</v>
      </c>
      <c r="AE1600" s="78">
        <f t="shared" si="29"/>
        <v>0</v>
      </c>
    </row>
    <row r="1601" spans="1:31" x14ac:dyDescent="0.2">
      <c r="A1601" s="66"/>
      <c r="B1601" s="66"/>
      <c r="C1601" s="66"/>
      <c r="D1601" s="144"/>
      <c r="E1601" s="67"/>
      <c r="F1601" s="67"/>
      <c r="G1601" s="67"/>
      <c r="H1601" s="67">
        <f>ROUND(+E1601+G1601,4)</f>
        <v>0</v>
      </c>
      <c r="I1601" s="67"/>
      <c r="J1601" s="67">
        <f>ROUND(+I1601-H1601,4)</f>
        <v>0</v>
      </c>
      <c r="K1601" s="67">
        <f>ROUND(IF(F1601="alluminio",0,I1601*1.5%),4)</f>
        <v>0</v>
      </c>
      <c r="L1601" s="67">
        <f>ROUND(IF(K1601&lt;J1601,K1601,0),4)</f>
        <v>0</v>
      </c>
      <c r="M1601" s="67">
        <f>ROUND(IF(J1601&gt;K1601,0,J1601),4)</f>
        <v>0</v>
      </c>
      <c r="N1601" s="67">
        <f>ROUND(+L1601*D1601,4)</f>
        <v>0</v>
      </c>
      <c r="O1601" s="67">
        <f>ROUND(IF(F1601="rame",0,+I1601*3%),4)</f>
        <v>0</v>
      </c>
      <c r="P1601" s="67">
        <f>ROUND(IF(O1601&lt;J1601,O1601,0),4)</f>
        <v>0</v>
      </c>
      <c r="Q1601" s="67">
        <f>ROUND(IF(J1601&gt;O1601,0,J1601),4)</f>
        <v>0</v>
      </c>
      <c r="R1601" s="67">
        <f>ROUND(+P1601*D1601,4)</f>
        <v>0</v>
      </c>
      <c r="S1601" s="67">
        <f>ROUND(IF(K1601=0,0,M1601*D1601),4)</f>
        <v>0</v>
      </c>
      <c r="T1601" s="67">
        <f>ROUND(+IF(K1601=0,Q1601*D1601,0),4)</f>
        <v>0</v>
      </c>
      <c r="U1601" s="67">
        <f>ROUND(+N1601+R1601+S1601+T1601,4)</f>
        <v>0</v>
      </c>
      <c r="V1601" s="67">
        <f>ROUND(IF(P1601=0,0,I1601-H1601-O1601)+IF(L1601=0,0,I1601-H1601-K1601),4)</f>
        <v>0</v>
      </c>
      <c r="W1601" s="67">
        <f>ROUND(+(V1601*60%)*D1601,4)</f>
        <v>0</v>
      </c>
      <c r="X1601" s="148">
        <f>ROUND(+U1601+W1601,4)</f>
        <v>0</v>
      </c>
      <c r="Y1601" s="68"/>
      <c r="Z1601" s="148">
        <f>ROUND(IF(X1601&gt;I1601,X1601,I1601),4)</f>
        <v>0</v>
      </c>
      <c r="AD1601" s="78">
        <f t="shared" si="28"/>
        <v>0</v>
      </c>
      <c r="AE1601" s="78">
        <f t="shared" si="29"/>
        <v>0</v>
      </c>
    </row>
    <row r="1602" spans="1:31" x14ac:dyDescent="0.2">
      <c r="A1602" s="66"/>
      <c r="B1602" s="66"/>
      <c r="C1602" s="66"/>
      <c r="D1602" s="144"/>
      <c r="E1602" s="67"/>
      <c r="F1602" s="67"/>
      <c r="G1602" s="67"/>
      <c r="H1602" s="67">
        <f>ROUND(+E1602+G1602,4)</f>
        <v>0</v>
      </c>
      <c r="I1602" s="67"/>
      <c r="J1602" s="67">
        <f>ROUND(+I1602-H1602,4)</f>
        <v>0</v>
      </c>
      <c r="K1602" s="67">
        <f>ROUND(IF(F1602="alluminio",0,I1602*1.5%),4)</f>
        <v>0</v>
      </c>
      <c r="L1602" s="67">
        <f>ROUND(IF(K1602&lt;J1602,K1602,0),4)</f>
        <v>0</v>
      </c>
      <c r="M1602" s="67">
        <f>ROUND(IF(J1602&gt;K1602,0,J1602),4)</f>
        <v>0</v>
      </c>
      <c r="N1602" s="67">
        <f>ROUND(+L1602*D1602,4)</f>
        <v>0</v>
      </c>
      <c r="O1602" s="67">
        <f>ROUND(IF(F1602="rame",0,+I1602*3%),4)</f>
        <v>0</v>
      </c>
      <c r="P1602" s="67">
        <f>ROUND(IF(O1602&lt;J1602,O1602,0),4)</f>
        <v>0</v>
      </c>
      <c r="Q1602" s="67">
        <f>ROUND(IF(J1602&gt;O1602,0,J1602),4)</f>
        <v>0</v>
      </c>
      <c r="R1602" s="67">
        <f>ROUND(+P1602*D1602,4)</f>
        <v>0</v>
      </c>
      <c r="S1602" s="67">
        <f>ROUND(IF(K1602=0,0,M1602*D1602),4)</f>
        <v>0</v>
      </c>
      <c r="T1602" s="67">
        <f>ROUND(+IF(K1602=0,Q1602*D1602,0),4)</f>
        <v>0</v>
      </c>
      <c r="U1602" s="67">
        <f>ROUND(+N1602+R1602+S1602+T1602,4)</f>
        <v>0</v>
      </c>
      <c r="V1602" s="67">
        <f>ROUND(IF(P1602=0,0,I1602-H1602-O1602)+IF(L1602=0,0,I1602-H1602-K1602),4)</f>
        <v>0</v>
      </c>
      <c r="W1602" s="67">
        <f>ROUND(+(V1602*60%)*D1602,4)</f>
        <v>0</v>
      </c>
      <c r="X1602" s="148">
        <f>ROUND(+U1602+W1602,4)</f>
        <v>0</v>
      </c>
      <c r="Y1602" s="68"/>
      <c r="Z1602" s="148">
        <f>ROUND(IF(X1602&gt;I1602,X1602,I1602),4)</f>
        <v>0</v>
      </c>
      <c r="AD1602" s="78">
        <f t="shared" si="28"/>
        <v>0</v>
      </c>
      <c r="AE1602" s="78">
        <f t="shared" si="29"/>
        <v>0</v>
      </c>
    </row>
    <row r="1603" spans="1:31" x14ac:dyDescent="0.2">
      <c r="A1603" s="66"/>
      <c r="B1603" s="66"/>
      <c r="C1603" s="66"/>
      <c r="D1603" s="144"/>
      <c r="E1603" s="67"/>
      <c r="F1603" s="67"/>
      <c r="G1603" s="67"/>
      <c r="H1603" s="67">
        <f>ROUND(+E1603+G1603,4)</f>
        <v>0</v>
      </c>
      <c r="I1603" s="67"/>
      <c r="J1603" s="67">
        <f>ROUND(+I1603-H1603,4)</f>
        <v>0</v>
      </c>
      <c r="K1603" s="67">
        <f>ROUND(IF(F1603="alluminio",0,I1603*1.5%),4)</f>
        <v>0</v>
      </c>
      <c r="L1603" s="67">
        <f>ROUND(IF(K1603&lt;J1603,K1603,0),4)</f>
        <v>0</v>
      </c>
      <c r="M1603" s="67">
        <f>ROUND(IF(J1603&gt;K1603,0,J1603),4)</f>
        <v>0</v>
      </c>
      <c r="N1603" s="67">
        <f>ROUND(+L1603*D1603,4)</f>
        <v>0</v>
      </c>
      <c r="O1603" s="67">
        <f>ROUND(IF(F1603="rame",0,+I1603*3%),4)</f>
        <v>0</v>
      </c>
      <c r="P1603" s="67">
        <f>ROUND(IF(O1603&lt;J1603,O1603,0),4)</f>
        <v>0</v>
      </c>
      <c r="Q1603" s="67">
        <f>ROUND(IF(J1603&gt;O1603,0,J1603),4)</f>
        <v>0</v>
      </c>
      <c r="R1603" s="67">
        <f>ROUND(+P1603*D1603,4)</f>
        <v>0</v>
      </c>
      <c r="S1603" s="67">
        <f>ROUND(IF(K1603=0,0,M1603*D1603),4)</f>
        <v>0</v>
      </c>
      <c r="T1603" s="67">
        <f>ROUND(+IF(K1603=0,Q1603*D1603,0),4)</f>
        <v>0</v>
      </c>
      <c r="U1603" s="67">
        <f>ROUND(+N1603+R1603+S1603+T1603,4)</f>
        <v>0</v>
      </c>
      <c r="V1603" s="67">
        <f>ROUND(IF(P1603=0,0,I1603-H1603-O1603)+IF(L1603=0,0,I1603-H1603-K1603),4)</f>
        <v>0</v>
      </c>
      <c r="W1603" s="67">
        <f>ROUND(+(V1603*60%)*D1603,4)</f>
        <v>0</v>
      </c>
      <c r="X1603" s="148">
        <f>ROUND(+U1603+W1603,4)</f>
        <v>0</v>
      </c>
      <c r="Y1603" s="68"/>
      <c r="Z1603" s="148">
        <f>ROUND(IF(X1603&gt;I1603,X1603,I1603),4)</f>
        <v>0</v>
      </c>
      <c r="AD1603" s="78">
        <f t="shared" si="28"/>
        <v>0</v>
      </c>
      <c r="AE1603" s="78">
        <f t="shared" si="29"/>
        <v>0</v>
      </c>
    </row>
    <row r="1604" spans="1:31" x14ac:dyDescent="0.2">
      <c r="A1604" s="66"/>
      <c r="B1604" s="66"/>
      <c r="C1604" s="66"/>
      <c r="D1604" s="144"/>
      <c r="E1604" s="67"/>
      <c r="F1604" s="67"/>
      <c r="G1604" s="67"/>
      <c r="H1604" s="67">
        <f>ROUND(+E1604+G1604,4)</f>
        <v>0</v>
      </c>
      <c r="I1604" s="67"/>
      <c r="J1604" s="67">
        <f>ROUND(+I1604-H1604,4)</f>
        <v>0</v>
      </c>
      <c r="K1604" s="67">
        <f>ROUND(IF(F1604="alluminio",0,I1604*1.5%),4)</f>
        <v>0</v>
      </c>
      <c r="L1604" s="67">
        <f>ROUND(IF(K1604&lt;J1604,K1604,0),4)</f>
        <v>0</v>
      </c>
      <c r="M1604" s="67">
        <f>ROUND(IF(J1604&gt;K1604,0,J1604),4)</f>
        <v>0</v>
      </c>
      <c r="N1604" s="67">
        <f>ROUND(+L1604*D1604,4)</f>
        <v>0</v>
      </c>
      <c r="O1604" s="67">
        <f>ROUND(IF(F1604="rame",0,+I1604*3%),4)</f>
        <v>0</v>
      </c>
      <c r="P1604" s="67">
        <f>ROUND(IF(O1604&lt;J1604,O1604,0),4)</f>
        <v>0</v>
      </c>
      <c r="Q1604" s="67">
        <f>ROUND(IF(J1604&gt;O1604,0,J1604),4)</f>
        <v>0</v>
      </c>
      <c r="R1604" s="67">
        <f>ROUND(+P1604*D1604,4)</f>
        <v>0</v>
      </c>
      <c r="S1604" s="67">
        <f>ROUND(IF(K1604=0,0,M1604*D1604),4)</f>
        <v>0</v>
      </c>
      <c r="T1604" s="67">
        <f>ROUND(+IF(K1604=0,Q1604*D1604,0),4)</f>
        <v>0</v>
      </c>
      <c r="U1604" s="67">
        <f>ROUND(+N1604+R1604+S1604+T1604,4)</f>
        <v>0</v>
      </c>
      <c r="V1604" s="67">
        <f>ROUND(IF(P1604=0,0,I1604-H1604-O1604)+IF(L1604=0,0,I1604-H1604-K1604),4)</f>
        <v>0</v>
      </c>
      <c r="W1604" s="67">
        <f>ROUND(+(V1604*60%)*D1604,4)</f>
        <v>0</v>
      </c>
      <c r="X1604" s="148">
        <f>ROUND(+U1604+W1604,4)</f>
        <v>0</v>
      </c>
      <c r="Y1604" s="68"/>
      <c r="Z1604" s="148">
        <f>ROUND(IF(X1604&gt;I1604,X1604,I1604),4)</f>
        <v>0</v>
      </c>
      <c r="AD1604" s="78">
        <f t="shared" si="28"/>
        <v>0</v>
      </c>
      <c r="AE1604" s="78">
        <f t="shared" si="29"/>
        <v>0</v>
      </c>
    </row>
    <row r="1605" spans="1:31" x14ac:dyDescent="0.2">
      <c r="A1605" s="66"/>
      <c r="B1605" s="66"/>
      <c r="C1605" s="66"/>
      <c r="D1605" s="144"/>
      <c r="E1605" s="67"/>
      <c r="F1605" s="67"/>
      <c r="G1605" s="67"/>
      <c r="H1605" s="67">
        <f>ROUND(+E1605+G1605,4)</f>
        <v>0</v>
      </c>
      <c r="I1605" s="67"/>
      <c r="J1605" s="67">
        <f>ROUND(+I1605-H1605,4)</f>
        <v>0</v>
      </c>
      <c r="K1605" s="67">
        <f>ROUND(IF(F1605="alluminio",0,I1605*1.5%),4)</f>
        <v>0</v>
      </c>
      <c r="L1605" s="67">
        <f>ROUND(IF(K1605&lt;J1605,K1605,0),4)</f>
        <v>0</v>
      </c>
      <c r="M1605" s="67">
        <f>ROUND(IF(J1605&gt;K1605,0,J1605),4)</f>
        <v>0</v>
      </c>
      <c r="N1605" s="67">
        <f>ROUND(+L1605*D1605,4)</f>
        <v>0</v>
      </c>
      <c r="O1605" s="67">
        <f>ROUND(IF(F1605="rame",0,+I1605*3%),4)</f>
        <v>0</v>
      </c>
      <c r="P1605" s="67">
        <f>ROUND(IF(O1605&lt;J1605,O1605,0),4)</f>
        <v>0</v>
      </c>
      <c r="Q1605" s="67">
        <f>ROUND(IF(J1605&gt;O1605,0,J1605),4)</f>
        <v>0</v>
      </c>
      <c r="R1605" s="67">
        <f>ROUND(+P1605*D1605,4)</f>
        <v>0</v>
      </c>
      <c r="S1605" s="67">
        <f>ROUND(IF(K1605=0,0,M1605*D1605),4)</f>
        <v>0</v>
      </c>
      <c r="T1605" s="67">
        <f>ROUND(+IF(K1605=0,Q1605*D1605,0),4)</f>
        <v>0</v>
      </c>
      <c r="U1605" s="67">
        <f>ROUND(+N1605+R1605+S1605+T1605,4)</f>
        <v>0</v>
      </c>
      <c r="V1605" s="67">
        <f>ROUND(IF(P1605=0,0,I1605-H1605-O1605)+IF(L1605=0,0,I1605-H1605-K1605),4)</f>
        <v>0</v>
      </c>
      <c r="W1605" s="67">
        <f>ROUND(+(V1605*60%)*D1605,4)</f>
        <v>0</v>
      </c>
      <c r="X1605" s="148">
        <f>ROUND(+U1605+W1605,4)</f>
        <v>0</v>
      </c>
      <c r="Y1605" s="68"/>
      <c r="Z1605" s="148">
        <f>ROUND(IF(X1605&gt;I1605,X1605,I1605),4)</f>
        <v>0</v>
      </c>
      <c r="AD1605" s="78">
        <f t="shared" si="28"/>
        <v>0</v>
      </c>
      <c r="AE1605" s="78">
        <f t="shared" si="29"/>
        <v>0</v>
      </c>
    </row>
    <row r="1606" spans="1:31" x14ac:dyDescent="0.2">
      <c r="A1606" s="66"/>
      <c r="B1606" s="66"/>
      <c r="C1606" s="66"/>
      <c r="D1606" s="144"/>
      <c r="E1606" s="67"/>
      <c r="F1606" s="67"/>
      <c r="G1606" s="67"/>
      <c r="H1606" s="67">
        <f>ROUND(+E1606+G1606,4)</f>
        <v>0</v>
      </c>
      <c r="I1606" s="67"/>
      <c r="J1606" s="67">
        <f>ROUND(+I1606-H1606,4)</f>
        <v>0</v>
      </c>
      <c r="K1606" s="67">
        <f>ROUND(IF(F1606="alluminio",0,I1606*1.5%),4)</f>
        <v>0</v>
      </c>
      <c r="L1606" s="67">
        <f>ROUND(IF(K1606&lt;J1606,K1606,0),4)</f>
        <v>0</v>
      </c>
      <c r="M1606" s="67">
        <f>ROUND(IF(J1606&gt;K1606,0,J1606),4)</f>
        <v>0</v>
      </c>
      <c r="N1606" s="67">
        <f>ROUND(+L1606*D1606,4)</f>
        <v>0</v>
      </c>
      <c r="O1606" s="67">
        <f>ROUND(IF(F1606="rame",0,+I1606*3%),4)</f>
        <v>0</v>
      </c>
      <c r="P1606" s="67">
        <f>ROUND(IF(O1606&lt;J1606,O1606,0),4)</f>
        <v>0</v>
      </c>
      <c r="Q1606" s="67">
        <f>ROUND(IF(J1606&gt;O1606,0,J1606),4)</f>
        <v>0</v>
      </c>
      <c r="R1606" s="67">
        <f>ROUND(+P1606*D1606,4)</f>
        <v>0</v>
      </c>
      <c r="S1606" s="67">
        <f>ROUND(IF(K1606=0,0,M1606*D1606),4)</f>
        <v>0</v>
      </c>
      <c r="T1606" s="67">
        <f>ROUND(+IF(K1606=0,Q1606*D1606,0),4)</f>
        <v>0</v>
      </c>
      <c r="U1606" s="67">
        <f>ROUND(+N1606+R1606+S1606+T1606,4)</f>
        <v>0</v>
      </c>
      <c r="V1606" s="67">
        <f>ROUND(IF(P1606=0,0,I1606-H1606-O1606)+IF(L1606=0,0,I1606-H1606-K1606),4)</f>
        <v>0</v>
      </c>
      <c r="W1606" s="67">
        <f>ROUND(+(V1606*60%)*D1606,4)</f>
        <v>0</v>
      </c>
      <c r="X1606" s="148">
        <f>ROUND(+U1606+W1606,4)</f>
        <v>0</v>
      </c>
      <c r="Y1606" s="68"/>
      <c r="Z1606" s="148">
        <f>ROUND(IF(X1606&gt;I1606,X1606,I1606),4)</f>
        <v>0</v>
      </c>
      <c r="AD1606" s="78">
        <f t="shared" si="28"/>
        <v>0</v>
      </c>
      <c r="AE1606" s="78">
        <f t="shared" si="29"/>
        <v>0</v>
      </c>
    </row>
    <row r="1607" spans="1:31" x14ac:dyDescent="0.2">
      <c r="A1607" s="66"/>
      <c r="B1607" s="66"/>
      <c r="C1607" s="66"/>
      <c r="D1607" s="144"/>
      <c r="E1607" s="67"/>
      <c r="F1607" s="67"/>
      <c r="G1607" s="67"/>
      <c r="H1607" s="67">
        <f>ROUND(+E1607+G1607,4)</f>
        <v>0</v>
      </c>
      <c r="I1607" s="67"/>
      <c r="J1607" s="67">
        <f>ROUND(+I1607-H1607,4)</f>
        <v>0</v>
      </c>
      <c r="K1607" s="67">
        <f>ROUND(IF(F1607="alluminio",0,I1607*1.5%),4)</f>
        <v>0</v>
      </c>
      <c r="L1607" s="67">
        <f>ROUND(IF(K1607&lt;J1607,K1607,0),4)</f>
        <v>0</v>
      </c>
      <c r="M1607" s="67">
        <f>ROUND(IF(J1607&gt;K1607,0,J1607),4)</f>
        <v>0</v>
      </c>
      <c r="N1607" s="67">
        <f>ROUND(+L1607*D1607,4)</f>
        <v>0</v>
      </c>
      <c r="O1607" s="67">
        <f>ROUND(IF(F1607="rame",0,+I1607*3%),4)</f>
        <v>0</v>
      </c>
      <c r="P1607" s="67">
        <f>ROUND(IF(O1607&lt;J1607,O1607,0),4)</f>
        <v>0</v>
      </c>
      <c r="Q1607" s="67">
        <f>ROUND(IF(J1607&gt;O1607,0,J1607),4)</f>
        <v>0</v>
      </c>
      <c r="R1607" s="67">
        <f>ROUND(+P1607*D1607,4)</f>
        <v>0</v>
      </c>
      <c r="S1607" s="67">
        <f>ROUND(IF(K1607=0,0,M1607*D1607),4)</f>
        <v>0</v>
      </c>
      <c r="T1607" s="67">
        <f>ROUND(+IF(K1607=0,Q1607*D1607,0),4)</f>
        <v>0</v>
      </c>
      <c r="U1607" s="67">
        <f>ROUND(+N1607+R1607+S1607+T1607,4)</f>
        <v>0</v>
      </c>
      <c r="V1607" s="67">
        <f>ROUND(IF(P1607=0,0,I1607-H1607-O1607)+IF(L1607=0,0,I1607-H1607-K1607),4)</f>
        <v>0</v>
      </c>
      <c r="W1607" s="67">
        <f>ROUND(+(V1607*60%)*D1607,4)</f>
        <v>0</v>
      </c>
      <c r="X1607" s="148">
        <f>ROUND(+U1607+W1607,4)</f>
        <v>0</v>
      </c>
      <c r="Y1607" s="68"/>
      <c r="Z1607" s="148">
        <f>ROUND(IF(X1607&gt;I1607,X1607,I1607),4)</f>
        <v>0</v>
      </c>
      <c r="AD1607" s="78">
        <f t="shared" si="28"/>
        <v>0</v>
      </c>
      <c r="AE1607" s="78">
        <f t="shared" si="29"/>
        <v>0</v>
      </c>
    </row>
    <row r="1608" spans="1:31" x14ac:dyDescent="0.2">
      <c r="A1608" s="66"/>
      <c r="B1608" s="66"/>
      <c r="C1608" s="66"/>
      <c r="D1608" s="144"/>
      <c r="E1608" s="67"/>
      <c r="F1608" s="67"/>
      <c r="G1608" s="67"/>
      <c r="H1608" s="67">
        <f>ROUND(+E1608+G1608,4)</f>
        <v>0</v>
      </c>
      <c r="I1608" s="67"/>
      <c r="J1608" s="67">
        <f>ROUND(+I1608-H1608,4)</f>
        <v>0</v>
      </c>
      <c r="K1608" s="67">
        <f>ROUND(IF(F1608="alluminio",0,I1608*1.5%),4)</f>
        <v>0</v>
      </c>
      <c r="L1608" s="67">
        <f>ROUND(IF(K1608&lt;J1608,K1608,0),4)</f>
        <v>0</v>
      </c>
      <c r="M1608" s="67">
        <f>ROUND(IF(J1608&gt;K1608,0,J1608),4)</f>
        <v>0</v>
      </c>
      <c r="N1608" s="67">
        <f>ROUND(+L1608*D1608,4)</f>
        <v>0</v>
      </c>
      <c r="O1608" s="67">
        <f>ROUND(IF(F1608="rame",0,+I1608*3%),4)</f>
        <v>0</v>
      </c>
      <c r="P1608" s="67">
        <f>ROUND(IF(O1608&lt;J1608,O1608,0),4)</f>
        <v>0</v>
      </c>
      <c r="Q1608" s="67">
        <f>ROUND(IF(J1608&gt;O1608,0,J1608),4)</f>
        <v>0</v>
      </c>
      <c r="R1608" s="67">
        <f>ROUND(+P1608*D1608,4)</f>
        <v>0</v>
      </c>
      <c r="S1608" s="67">
        <f>ROUND(IF(K1608=0,0,M1608*D1608),4)</f>
        <v>0</v>
      </c>
      <c r="T1608" s="67">
        <f>ROUND(+IF(K1608=0,Q1608*D1608,0),4)</f>
        <v>0</v>
      </c>
      <c r="U1608" s="67">
        <f>ROUND(+N1608+R1608+S1608+T1608,4)</f>
        <v>0</v>
      </c>
      <c r="V1608" s="67">
        <f>ROUND(IF(P1608=0,0,I1608-H1608-O1608)+IF(L1608=0,0,I1608-H1608-K1608),4)</f>
        <v>0</v>
      </c>
      <c r="W1608" s="67">
        <f>ROUND(+(V1608*60%)*D1608,4)</f>
        <v>0</v>
      </c>
      <c r="X1608" s="148">
        <f>ROUND(+U1608+W1608,4)</f>
        <v>0</v>
      </c>
      <c r="Y1608" s="68"/>
      <c r="Z1608" s="148">
        <f>ROUND(IF(X1608&gt;I1608,X1608,I1608),4)</f>
        <v>0</v>
      </c>
      <c r="AD1608" s="78">
        <f t="shared" si="28"/>
        <v>0</v>
      </c>
      <c r="AE1608" s="78">
        <f t="shared" si="29"/>
        <v>0</v>
      </c>
    </row>
    <row r="1609" spans="1:31" x14ac:dyDescent="0.2">
      <c r="A1609" s="66"/>
      <c r="B1609" s="66"/>
      <c r="C1609" s="66"/>
      <c r="D1609" s="144"/>
      <c r="E1609" s="67"/>
      <c r="F1609" s="67"/>
      <c r="G1609" s="67"/>
      <c r="H1609" s="67">
        <f>ROUND(+E1609+G1609,4)</f>
        <v>0</v>
      </c>
      <c r="I1609" s="67"/>
      <c r="J1609" s="67">
        <f>ROUND(+I1609-H1609,4)</f>
        <v>0</v>
      </c>
      <c r="K1609" s="67">
        <f>ROUND(IF(F1609="alluminio",0,I1609*1.5%),4)</f>
        <v>0</v>
      </c>
      <c r="L1609" s="67">
        <f>ROUND(IF(K1609&lt;J1609,K1609,0),4)</f>
        <v>0</v>
      </c>
      <c r="M1609" s="67">
        <f>ROUND(IF(J1609&gt;K1609,0,J1609),4)</f>
        <v>0</v>
      </c>
      <c r="N1609" s="67">
        <f>ROUND(+L1609*D1609,4)</f>
        <v>0</v>
      </c>
      <c r="O1609" s="67">
        <f>ROUND(IF(F1609="rame",0,+I1609*3%),4)</f>
        <v>0</v>
      </c>
      <c r="P1609" s="67">
        <f>ROUND(IF(O1609&lt;J1609,O1609,0),4)</f>
        <v>0</v>
      </c>
      <c r="Q1609" s="67">
        <f>ROUND(IF(J1609&gt;O1609,0,J1609),4)</f>
        <v>0</v>
      </c>
      <c r="R1609" s="67">
        <f>ROUND(+P1609*D1609,4)</f>
        <v>0</v>
      </c>
      <c r="S1609" s="67">
        <f>ROUND(IF(K1609=0,0,M1609*D1609),4)</f>
        <v>0</v>
      </c>
      <c r="T1609" s="67">
        <f>ROUND(+IF(K1609=0,Q1609*D1609,0),4)</f>
        <v>0</v>
      </c>
      <c r="U1609" s="67">
        <f>ROUND(+N1609+R1609+S1609+T1609,4)</f>
        <v>0</v>
      </c>
      <c r="V1609" s="67">
        <f>ROUND(IF(P1609=0,0,I1609-H1609-O1609)+IF(L1609=0,0,I1609-H1609-K1609),4)</f>
        <v>0</v>
      </c>
      <c r="W1609" s="67">
        <f>ROUND(+(V1609*60%)*D1609,4)</f>
        <v>0</v>
      </c>
      <c r="X1609" s="148">
        <f>ROUND(+U1609+W1609,4)</f>
        <v>0</v>
      </c>
      <c r="Y1609" s="68"/>
      <c r="Z1609" s="148">
        <f>ROUND(IF(X1609&gt;I1609,X1609,I1609),4)</f>
        <v>0</v>
      </c>
      <c r="AD1609" s="78">
        <f t="shared" si="28"/>
        <v>0</v>
      </c>
      <c r="AE1609" s="78">
        <f t="shared" si="29"/>
        <v>0</v>
      </c>
    </row>
    <row r="1610" spans="1:31" x14ac:dyDescent="0.2">
      <c r="A1610" s="66"/>
      <c r="B1610" s="66"/>
      <c r="C1610" s="66"/>
      <c r="D1610" s="144"/>
      <c r="E1610" s="67"/>
      <c r="F1610" s="67"/>
      <c r="G1610" s="67"/>
      <c r="H1610" s="67">
        <f>ROUND(+E1610+G1610,4)</f>
        <v>0</v>
      </c>
      <c r="I1610" s="67"/>
      <c r="J1610" s="67">
        <f>ROUND(+I1610-H1610,4)</f>
        <v>0</v>
      </c>
      <c r="K1610" s="67">
        <f>ROUND(IF(F1610="alluminio",0,I1610*1.5%),4)</f>
        <v>0</v>
      </c>
      <c r="L1610" s="67">
        <f>ROUND(IF(K1610&lt;J1610,K1610,0),4)</f>
        <v>0</v>
      </c>
      <c r="M1610" s="67">
        <f>ROUND(IF(J1610&gt;K1610,0,J1610),4)</f>
        <v>0</v>
      </c>
      <c r="N1610" s="67">
        <f>ROUND(+L1610*D1610,4)</f>
        <v>0</v>
      </c>
      <c r="O1610" s="67">
        <f>ROUND(IF(F1610="rame",0,+I1610*3%),4)</f>
        <v>0</v>
      </c>
      <c r="P1610" s="67">
        <f>ROUND(IF(O1610&lt;J1610,O1610,0),4)</f>
        <v>0</v>
      </c>
      <c r="Q1610" s="67">
        <f>ROUND(IF(J1610&gt;O1610,0,J1610),4)</f>
        <v>0</v>
      </c>
      <c r="R1610" s="67">
        <f>ROUND(+P1610*D1610,4)</f>
        <v>0</v>
      </c>
      <c r="S1610" s="67">
        <f>ROUND(IF(K1610=0,0,M1610*D1610),4)</f>
        <v>0</v>
      </c>
      <c r="T1610" s="67">
        <f>ROUND(+IF(K1610=0,Q1610*D1610,0),4)</f>
        <v>0</v>
      </c>
      <c r="U1610" s="67">
        <f>ROUND(+N1610+R1610+S1610+T1610,4)</f>
        <v>0</v>
      </c>
      <c r="V1610" s="67">
        <f>ROUND(IF(P1610=0,0,I1610-H1610-O1610)+IF(L1610=0,0,I1610-H1610-K1610),4)</f>
        <v>0</v>
      </c>
      <c r="W1610" s="67">
        <f>ROUND(+(V1610*60%)*D1610,4)</f>
        <v>0</v>
      </c>
      <c r="X1610" s="148">
        <f>ROUND(+U1610+W1610,4)</f>
        <v>0</v>
      </c>
      <c r="Y1610" s="68"/>
      <c r="Z1610" s="148">
        <f>ROUND(IF(X1610&gt;I1610,X1610,I1610),4)</f>
        <v>0</v>
      </c>
      <c r="AD1610" s="78">
        <f t="shared" si="28"/>
        <v>0</v>
      </c>
      <c r="AE1610" s="78">
        <f t="shared" si="29"/>
        <v>0</v>
      </c>
    </row>
    <row r="1611" spans="1:31" x14ac:dyDescent="0.2">
      <c r="A1611" s="66"/>
      <c r="B1611" s="66"/>
      <c r="C1611" s="66"/>
      <c r="D1611" s="144"/>
      <c r="E1611" s="67"/>
      <c r="F1611" s="67"/>
      <c r="G1611" s="67"/>
      <c r="H1611" s="67">
        <f>ROUND(+E1611+G1611,4)</f>
        <v>0</v>
      </c>
      <c r="I1611" s="67"/>
      <c r="J1611" s="67">
        <f>ROUND(+I1611-H1611,4)</f>
        <v>0</v>
      </c>
      <c r="K1611" s="67">
        <f>ROUND(IF(F1611="alluminio",0,I1611*1.5%),4)</f>
        <v>0</v>
      </c>
      <c r="L1611" s="67">
        <f>ROUND(IF(K1611&lt;J1611,K1611,0),4)</f>
        <v>0</v>
      </c>
      <c r="M1611" s="67">
        <f>ROUND(IF(J1611&gt;K1611,0,J1611),4)</f>
        <v>0</v>
      </c>
      <c r="N1611" s="67">
        <f>ROUND(+L1611*D1611,4)</f>
        <v>0</v>
      </c>
      <c r="O1611" s="67">
        <f>ROUND(IF(F1611="rame",0,+I1611*3%),4)</f>
        <v>0</v>
      </c>
      <c r="P1611" s="67">
        <f>ROUND(IF(O1611&lt;J1611,O1611,0),4)</f>
        <v>0</v>
      </c>
      <c r="Q1611" s="67">
        <f>ROUND(IF(J1611&gt;O1611,0,J1611),4)</f>
        <v>0</v>
      </c>
      <c r="R1611" s="67">
        <f>ROUND(+P1611*D1611,4)</f>
        <v>0</v>
      </c>
      <c r="S1611" s="67">
        <f>ROUND(IF(K1611=0,0,M1611*D1611),4)</f>
        <v>0</v>
      </c>
      <c r="T1611" s="67">
        <f>ROUND(+IF(K1611=0,Q1611*D1611,0),4)</f>
        <v>0</v>
      </c>
      <c r="U1611" s="67">
        <f>ROUND(+N1611+R1611+S1611+T1611,4)</f>
        <v>0</v>
      </c>
      <c r="V1611" s="67">
        <f>ROUND(IF(P1611=0,0,I1611-H1611-O1611)+IF(L1611=0,0,I1611-H1611-K1611),4)</f>
        <v>0</v>
      </c>
      <c r="W1611" s="67">
        <f>ROUND(+(V1611*60%)*D1611,4)</f>
        <v>0</v>
      </c>
      <c r="X1611" s="148">
        <f>ROUND(+U1611+W1611,4)</f>
        <v>0</v>
      </c>
      <c r="Y1611" s="68"/>
      <c r="Z1611" s="148">
        <f>ROUND(IF(X1611&gt;I1611,X1611,I1611),4)</f>
        <v>0</v>
      </c>
      <c r="AD1611" s="78">
        <f t="shared" si="28"/>
        <v>0</v>
      </c>
      <c r="AE1611" s="78">
        <f t="shared" si="29"/>
        <v>0</v>
      </c>
    </row>
    <row r="1612" spans="1:31" x14ac:dyDescent="0.2">
      <c r="A1612" s="66"/>
      <c r="B1612" s="66"/>
      <c r="C1612" s="66"/>
      <c r="D1612" s="144"/>
      <c r="E1612" s="67"/>
      <c r="F1612" s="67"/>
      <c r="G1612" s="67"/>
      <c r="H1612" s="67">
        <f>ROUND(+E1612+G1612,4)</f>
        <v>0</v>
      </c>
      <c r="I1612" s="67"/>
      <c r="J1612" s="67">
        <f>ROUND(+I1612-H1612,4)</f>
        <v>0</v>
      </c>
      <c r="K1612" s="67">
        <f>ROUND(IF(F1612="alluminio",0,I1612*1.5%),4)</f>
        <v>0</v>
      </c>
      <c r="L1612" s="67">
        <f>ROUND(IF(K1612&lt;J1612,K1612,0),4)</f>
        <v>0</v>
      </c>
      <c r="M1612" s="67">
        <f>ROUND(IF(J1612&gt;K1612,0,J1612),4)</f>
        <v>0</v>
      </c>
      <c r="N1612" s="67">
        <f>ROUND(+L1612*D1612,4)</f>
        <v>0</v>
      </c>
      <c r="O1612" s="67">
        <f>ROUND(IF(F1612="rame",0,+I1612*3%),4)</f>
        <v>0</v>
      </c>
      <c r="P1612" s="67">
        <f>ROUND(IF(O1612&lt;J1612,O1612,0),4)</f>
        <v>0</v>
      </c>
      <c r="Q1612" s="67">
        <f>ROUND(IF(J1612&gt;O1612,0,J1612),4)</f>
        <v>0</v>
      </c>
      <c r="R1612" s="67">
        <f>ROUND(+P1612*D1612,4)</f>
        <v>0</v>
      </c>
      <c r="S1612" s="67">
        <f>ROUND(IF(K1612=0,0,M1612*D1612),4)</f>
        <v>0</v>
      </c>
      <c r="T1612" s="67">
        <f>ROUND(+IF(K1612=0,Q1612*D1612,0),4)</f>
        <v>0</v>
      </c>
      <c r="U1612" s="67">
        <f>ROUND(+N1612+R1612+S1612+T1612,4)</f>
        <v>0</v>
      </c>
      <c r="V1612" s="67">
        <f>ROUND(IF(P1612=0,0,I1612-H1612-O1612)+IF(L1612=0,0,I1612-H1612-K1612),4)</f>
        <v>0</v>
      </c>
      <c r="W1612" s="67">
        <f>ROUND(+(V1612*60%)*D1612,4)</f>
        <v>0</v>
      </c>
      <c r="X1612" s="148">
        <f>ROUND(+U1612+W1612,4)</f>
        <v>0</v>
      </c>
      <c r="Y1612" s="68"/>
      <c r="Z1612" s="148">
        <f>ROUND(IF(X1612&gt;I1612,X1612,I1612),4)</f>
        <v>0</v>
      </c>
      <c r="AD1612" s="78">
        <f t="shared" si="28"/>
        <v>0</v>
      </c>
      <c r="AE1612" s="78">
        <f t="shared" si="29"/>
        <v>0</v>
      </c>
    </row>
    <row r="1613" spans="1:31" x14ac:dyDescent="0.2">
      <c r="A1613" s="66"/>
      <c r="B1613" s="66"/>
      <c r="C1613" s="66"/>
      <c r="D1613" s="144"/>
      <c r="E1613" s="67"/>
      <c r="F1613" s="67"/>
      <c r="G1613" s="67"/>
      <c r="H1613" s="67">
        <f>ROUND(+E1613+G1613,4)</f>
        <v>0</v>
      </c>
      <c r="I1613" s="67"/>
      <c r="J1613" s="67">
        <f>ROUND(+I1613-H1613,4)</f>
        <v>0</v>
      </c>
      <c r="K1613" s="67">
        <f>ROUND(IF(F1613="alluminio",0,I1613*1.5%),4)</f>
        <v>0</v>
      </c>
      <c r="L1613" s="67">
        <f>ROUND(IF(K1613&lt;J1613,K1613,0),4)</f>
        <v>0</v>
      </c>
      <c r="M1613" s="67">
        <f>ROUND(IF(J1613&gt;K1613,0,J1613),4)</f>
        <v>0</v>
      </c>
      <c r="N1613" s="67">
        <f>ROUND(+L1613*D1613,4)</f>
        <v>0</v>
      </c>
      <c r="O1613" s="67">
        <f>ROUND(IF(F1613="rame",0,+I1613*3%),4)</f>
        <v>0</v>
      </c>
      <c r="P1613" s="67">
        <f>ROUND(IF(O1613&lt;J1613,O1613,0),4)</f>
        <v>0</v>
      </c>
      <c r="Q1613" s="67">
        <f>ROUND(IF(J1613&gt;O1613,0,J1613),4)</f>
        <v>0</v>
      </c>
      <c r="R1613" s="67">
        <f>ROUND(+P1613*D1613,4)</f>
        <v>0</v>
      </c>
      <c r="S1613" s="67">
        <f>ROUND(IF(K1613=0,0,M1613*D1613),4)</f>
        <v>0</v>
      </c>
      <c r="T1613" s="67">
        <f>ROUND(+IF(K1613=0,Q1613*D1613,0),4)</f>
        <v>0</v>
      </c>
      <c r="U1613" s="67">
        <f>ROUND(+N1613+R1613+S1613+T1613,4)</f>
        <v>0</v>
      </c>
      <c r="V1613" s="67">
        <f>ROUND(IF(P1613=0,0,I1613-H1613-O1613)+IF(L1613=0,0,I1613-H1613-K1613),4)</f>
        <v>0</v>
      </c>
      <c r="W1613" s="67">
        <f>ROUND(+(V1613*60%)*D1613,4)</f>
        <v>0</v>
      </c>
      <c r="X1613" s="148">
        <f>ROUND(+U1613+W1613,4)</f>
        <v>0</v>
      </c>
      <c r="Y1613" s="68"/>
      <c r="Z1613" s="148">
        <f>ROUND(IF(X1613&gt;I1613,X1613,I1613),4)</f>
        <v>0</v>
      </c>
      <c r="AD1613" s="78">
        <f t="shared" si="28"/>
        <v>0</v>
      </c>
      <c r="AE1613" s="78">
        <f t="shared" si="29"/>
        <v>0</v>
      </c>
    </row>
    <row r="1614" spans="1:31" x14ac:dyDescent="0.2">
      <c r="A1614" s="66"/>
      <c r="B1614" s="66"/>
      <c r="C1614" s="66"/>
      <c r="D1614" s="144"/>
      <c r="E1614" s="67"/>
      <c r="F1614" s="67"/>
      <c r="G1614" s="67"/>
      <c r="H1614" s="67">
        <f>ROUND(+E1614+G1614,4)</f>
        <v>0</v>
      </c>
      <c r="I1614" s="67"/>
      <c r="J1614" s="67">
        <f>ROUND(+I1614-H1614,4)</f>
        <v>0</v>
      </c>
      <c r="K1614" s="67">
        <f>ROUND(IF(F1614="alluminio",0,I1614*1.5%),4)</f>
        <v>0</v>
      </c>
      <c r="L1614" s="67">
        <f>ROUND(IF(K1614&lt;J1614,K1614,0),4)</f>
        <v>0</v>
      </c>
      <c r="M1614" s="67">
        <f>ROUND(IF(J1614&gt;K1614,0,J1614),4)</f>
        <v>0</v>
      </c>
      <c r="N1614" s="67">
        <f>ROUND(+L1614*D1614,4)</f>
        <v>0</v>
      </c>
      <c r="O1614" s="67">
        <f>ROUND(IF(F1614="rame",0,+I1614*3%),4)</f>
        <v>0</v>
      </c>
      <c r="P1614" s="67">
        <f>ROUND(IF(O1614&lt;J1614,O1614,0),4)</f>
        <v>0</v>
      </c>
      <c r="Q1614" s="67">
        <f>ROUND(IF(J1614&gt;O1614,0,J1614),4)</f>
        <v>0</v>
      </c>
      <c r="R1614" s="67">
        <f>ROUND(+P1614*D1614,4)</f>
        <v>0</v>
      </c>
      <c r="S1614" s="67">
        <f>ROUND(IF(K1614=0,0,M1614*D1614),4)</f>
        <v>0</v>
      </c>
      <c r="T1614" s="67">
        <f>ROUND(+IF(K1614=0,Q1614*D1614,0),4)</f>
        <v>0</v>
      </c>
      <c r="U1614" s="67">
        <f>ROUND(+N1614+R1614+S1614+T1614,4)</f>
        <v>0</v>
      </c>
      <c r="V1614" s="67">
        <f>ROUND(IF(P1614=0,0,I1614-H1614-O1614)+IF(L1614=0,0,I1614-H1614-K1614),4)</f>
        <v>0</v>
      </c>
      <c r="W1614" s="67">
        <f>ROUND(+(V1614*60%)*D1614,4)</f>
        <v>0</v>
      </c>
      <c r="X1614" s="148">
        <f>ROUND(+U1614+W1614,4)</f>
        <v>0</v>
      </c>
      <c r="Y1614" s="68"/>
      <c r="Z1614" s="148">
        <f>ROUND(IF(X1614&gt;I1614,X1614,I1614),4)</f>
        <v>0</v>
      </c>
      <c r="AD1614" s="78">
        <f t="shared" si="28"/>
        <v>0</v>
      </c>
      <c r="AE1614" s="78">
        <f t="shared" si="29"/>
        <v>0</v>
      </c>
    </row>
    <row r="1615" spans="1:31" x14ac:dyDescent="0.2">
      <c r="A1615" s="66"/>
      <c r="B1615" s="66"/>
      <c r="C1615" s="66"/>
      <c r="D1615" s="144"/>
      <c r="E1615" s="67"/>
      <c r="F1615" s="67"/>
      <c r="G1615" s="67"/>
      <c r="H1615" s="67">
        <f>ROUND(+E1615+G1615,4)</f>
        <v>0</v>
      </c>
      <c r="I1615" s="67"/>
      <c r="J1615" s="67">
        <f>ROUND(+I1615-H1615,4)</f>
        <v>0</v>
      </c>
      <c r="K1615" s="67">
        <f>ROUND(IF(F1615="alluminio",0,I1615*1.5%),4)</f>
        <v>0</v>
      </c>
      <c r="L1615" s="67">
        <f>ROUND(IF(K1615&lt;J1615,K1615,0),4)</f>
        <v>0</v>
      </c>
      <c r="M1615" s="67">
        <f>ROUND(IF(J1615&gt;K1615,0,J1615),4)</f>
        <v>0</v>
      </c>
      <c r="N1615" s="67">
        <f>ROUND(+L1615*D1615,4)</f>
        <v>0</v>
      </c>
      <c r="O1615" s="67">
        <f>ROUND(IF(F1615="rame",0,+I1615*3%),4)</f>
        <v>0</v>
      </c>
      <c r="P1615" s="67">
        <f>ROUND(IF(O1615&lt;J1615,O1615,0),4)</f>
        <v>0</v>
      </c>
      <c r="Q1615" s="67">
        <f>ROUND(IF(J1615&gt;O1615,0,J1615),4)</f>
        <v>0</v>
      </c>
      <c r="R1615" s="67">
        <f>ROUND(+P1615*D1615,4)</f>
        <v>0</v>
      </c>
      <c r="S1615" s="67">
        <f>ROUND(IF(K1615=0,0,M1615*D1615),4)</f>
        <v>0</v>
      </c>
      <c r="T1615" s="67">
        <f>ROUND(+IF(K1615=0,Q1615*D1615,0),4)</f>
        <v>0</v>
      </c>
      <c r="U1615" s="67">
        <f>ROUND(+N1615+R1615+S1615+T1615,4)</f>
        <v>0</v>
      </c>
      <c r="V1615" s="67">
        <f>ROUND(IF(P1615=0,0,I1615-H1615-O1615)+IF(L1615=0,0,I1615-H1615-K1615),4)</f>
        <v>0</v>
      </c>
      <c r="W1615" s="67">
        <f>ROUND(+(V1615*60%)*D1615,4)</f>
        <v>0</v>
      </c>
      <c r="X1615" s="148">
        <f>ROUND(+U1615+W1615,4)</f>
        <v>0</v>
      </c>
      <c r="Y1615" s="68"/>
      <c r="Z1615" s="148">
        <f>ROUND(IF(X1615&gt;I1615,X1615,I1615),4)</f>
        <v>0</v>
      </c>
      <c r="AD1615" s="78">
        <f t="shared" si="28"/>
        <v>0</v>
      </c>
      <c r="AE1615" s="78">
        <f t="shared" si="29"/>
        <v>0</v>
      </c>
    </row>
    <row r="1616" spans="1:31" x14ac:dyDescent="0.2">
      <c r="A1616" s="66"/>
      <c r="B1616" s="66"/>
      <c r="C1616" s="66"/>
      <c r="D1616" s="144"/>
      <c r="E1616" s="67"/>
      <c r="F1616" s="67"/>
      <c r="G1616" s="67"/>
      <c r="H1616" s="67">
        <f>ROUND(+E1616+G1616,4)</f>
        <v>0</v>
      </c>
      <c r="I1616" s="67"/>
      <c r="J1616" s="67">
        <f>ROUND(+I1616-H1616,4)</f>
        <v>0</v>
      </c>
      <c r="K1616" s="67">
        <f>ROUND(IF(F1616="alluminio",0,I1616*1.5%),4)</f>
        <v>0</v>
      </c>
      <c r="L1616" s="67">
        <f>ROUND(IF(K1616&lt;J1616,K1616,0),4)</f>
        <v>0</v>
      </c>
      <c r="M1616" s="67">
        <f>ROUND(IF(J1616&gt;K1616,0,J1616),4)</f>
        <v>0</v>
      </c>
      <c r="N1616" s="67">
        <f>ROUND(+L1616*D1616,4)</f>
        <v>0</v>
      </c>
      <c r="O1616" s="67">
        <f>ROUND(IF(F1616="rame",0,+I1616*3%),4)</f>
        <v>0</v>
      </c>
      <c r="P1616" s="67">
        <f>ROUND(IF(O1616&lt;J1616,O1616,0),4)</f>
        <v>0</v>
      </c>
      <c r="Q1616" s="67">
        <f>ROUND(IF(J1616&gt;O1616,0,J1616),4)</f>
        <v>0</v>
      </c>
      <c r="R1616" s="67">
        <f>ROUND(+P1616*D1616,4)</f>
        <v>0</v>
      </c>
      <c r="S1616" s="67">
        <f>ROUND(IF(K1616=0,0,M1616*D1616),4)</f>
        <v>0</v>
      </c>
      <c r="T1616" s="67">
        <f>ROUND(+IF(K1616=0,Q1616*D1616,0),4)</f>
        <v>0</v>
      </c>
      <c r="U1616" s="67">
        <f>ROUND(+N1616+R1616+S1616+T1616,4)</f>
        <v>0</v>
      </c>
      <c r="V1616" s="67">
        <f>ROUND(IF(P1616=0,0,I1616-H1616-O1616)+IF(L1616=0,0,I1616-H1616-K1616),4)</f>
        <v>0</v>
      </c>
      <c r="W1616" s="67">
        <f>ROUND(+(V1616*60%)*D1616,4)</f>
        <v>0</v>
      </c>
      <c r="X1616" s="148">
        <f>ROUND(+U1616+W1616,4)</f>
        <v>0</v>
      </c>
      <c r="Y1616" s="68"/>
      <c r="Z1616" s="148">
        <f>ROUND(IF(X1616&gt;I1616,X1616,I1616),4)</f>
        <v>0</v>
      </c>
      <c r="AD1616" s="78">
        <f t="shared" si="28"/>
        <v>0</v>
      </c>
      <c r="AE1616" s="78">
        <f t="shared" si="29"/>
        <v>0</v>
      </c>
    </row>
    <row r="1617" spans="1:31" x14ac:dyDescent="0.2">
      <c r="A1617" s="66"/>
      <c r="B1617" s="66"/>
      <c r="C1617" s="66"/>
      <c r="D1617" s="144"/>
      <c r="E1617" s="67"/>
      <c r="F1617" s="67"/>
      <c r="G1617" s="67"/>
      <c r="H1617" s="67">
        <f>ROUND(+E1617+G1617,4)</f>
        <v>0</v>
      </c>
      <c r="I1617" s="67"/>
      <c r="J1617" s="67">
        <f>ROUND(+I1617-H1617,4)</f>
        <v>0</v>
      </c>
      <c r="K1617" s="67">
        <f>ROUND(IF(F1617="alluminio",0,I1617*1.5%),4)</f>
        <v>0</v>
      </c>
      <c r="L1617" s="67">
        <f>ROUND(IF(K1617&lt;J1617,K1617,0),4)</f>
        <v>0</v>
      </c>
      <c r="M1617" s="67">
        <f>ROUND(IF(J1617&gt;K1617,0,J1617),4)</f>
        <v>0</v>
      </c>
      <c r="N1617" s="67">
        <f>ROUND(+L1617*D1617,4)</f>
        <v>0</v>
      </c>
      <c r="O1617" s="67">
        <f>ROUND(IF(F1617="rame",0,+I1617*3%),4)</f>
        <v>0</v>
      </c>
      <c r="P1617" s="67">
        <f>ROUND(IF(O1617&lt;J1617,O1617,0),4)</f>
        <v>0</v>
      </c>
      <c r="Q1617" s="67">
        <f>ROUND(IF(J1617&gt;O1617,0,J1617),4)</f>
        <v>0</v>
      </c>
      <c r="R1617" s="67">
        <f>ROUND(+P1617*D1617,4)</f>
        <v>0</v>
      </c>
      <c r="S1617" s="67">
        <f>ROUND(IF(K1617=0,0,M1617*D1617),4)</f>
        <v>0</v>
      </c>
      <c r="T1617" s="67">
        <f>ROUND(+IF(K1617=0,Q1617*D1617,0),4)</f>
        <v>0</v>
      </c>
      <c r="U1617" s="67">
        <f>ROUND(+N1617+R1617+S1617+T1617,4)</f>
        <v>0</v>
      </c>
      <c r="V1617" s="67">
        <f>ROUND(IF(P1617=0,0,I1617-H1617-O1617)+IF(L1617=0,0,I1617-H1617-K1617),4)</f>
        <v>0</v>
      </c>
      <c r="W1617" s="67">
        <f>ROUND(+(V1617*60%)*D1617,4)</f>
        <v>0</v>
      </c>
      <c r="X1617" s="148">
        <f>ROUND(+U1617+W1617,4)</f>
        <v>0</v>
      </c>
      <c r="Y1617" s="68"/>
      <c r="Z1617" s="148">
        <f>ROUND(IF(X1617&gt;I1617,X1617,I1617),4)</f>
        <v>0</v>
      </c>
      <c r="AD1617" s="78">
        <f t="shared" si="28"/>
        <v>0</v>
      </c>
      <c r="AE1617" s="78">
        <f t="shared" si="29"/>
        <v>0</v>
      </c>
    </row>
    <row r="1618" spans="1:31" x14ac:dyDescent="0.2">
      <c r="A1618" s="66"/>
      <c r="B1618" s="66"/>
      <c r="C1618" s="66"/>
      <c r="D1618" s="144"/>
      <c r="E1618" s="67"/>
      <c r="F1618" s="67"/>
      <c r="G1618" s="67"/>
      <c r="H1618" s="67">
        <f>ROUND(+E1618+G1618,4)</f>
        <v>0</v>
      </c>
      <c r="I1618" s="67"/>
      <c r="J1618" s="67">
        <f>ROUND(+I1618-H1618,4)</f>
        <v>0</v>
      </c>
      <c r="K1618" s="67">
        <f>ROUND(IF(F1618="alluminio",0,I1618*1.5%),4)</f>
        <v>0</v>
      </c>
      <c r="L1618" s="67">
        <f>ROUND(IF(K1618&lt;J1618,K1618,0),4)</f>
        <v>0</v>
      </c>
      <c r="M1618" s="67">
        <f>ROUND(IF(J1618&gt;K1618,0,J1618),4)</f>
        <v>0</v>
      </c>
      <c r="N1618" s="67">
        <f>ROUND(+L1618*D1618,4)</f>
        <v>0</v>
      </c>
      <c r="O1618" s="67">
        <f>ROUND(IF(F1618="rame",0,+I1618*3%),4)</f>
        <v>0</v>
      </c>
      <c r="P1618" s="67">
        <f>ROUND(IF(O1618&lt;J1618,O1618,0),4)</f>
        <v>0</v>
      </c>
      <c r="Q1618" s="67">
        <f>ROUND(IF(J1618&gt;O1618,0,J1618),4)</f>
        <v>0</v>
      </c>
      <c r="R1618" s="67">
        <f>ROUND(+P1618*D1618,4)</f>
        <v>0</v>
      </c>
      <c r="S1618" s="67">
        <f>ROUND(IF(K1618=0,0,M1618*D1618),4)</f>
        <v>0</v>
      </c>
      <c r="T1618" s="67">
        <f>ROUND(+IF(K1618=0,Q1618*D1618,0),4)</f>
        <v>0</v>
      </c>
      <c r="U1618" s="67">
        <f>ROUND(+N1618+R1618+S1618+T1618,4)</f>
        <v>0</v>
      </c>
      <c r="V1618" s="67">
        <f>ROUND(IF(P1618=0,0,I1618-H1618-O1618)+IF(L1618=0,0,I1618-H1618-K1618),4)</f>
        <v>0</v>
      </c>
      <c r="W1618" s="67">
        <f>ROUND(+(V1618*60%)*D1618,4)</f>
        <v>0</v>
      </c>
      <c r="X1618" s="148">
        <f>ROUND(+U1618+W1618,4)</f>
        <v>0</v>
      </c>
      <c r="Y1618" s="68"/>
      <c r="Z1618" s="148">
        <f>ROUND(IF(X1618&gt;I1618,X1618,I1618),4)</f>
        <v>0</v>
      </c>
      <c r="AD1618" s="78">
        <f t="shared" si="28"/>
        <v>0</v>
      </c>
      <c r="AE1618" s="78">
        <f t="shared" si="29"/>
        <v>0</v>
      </c>
    </row>
    <row r="1619" spans="1:31" x14ac:dyDescent="0.2">
      <c r="A1619" s="66"/>
      <c r="B1619" s="66"/>
      <c r="C1619" s="66"/>
      <c r="D1619" s="144"/>
      <c r="E1619" s="67"/>
      <c r="F1619" s="67"/>
      <c r="G1619" s="67"/>
      <c r="H1619" s="67">
        <f>ROUND(+E1619+G1619,4)</f>
        <v>0</v>
      </c>
      <c r="I1619" s="67"/>
      <c r="J1619" s="67">
        <f>ROUND(+I1619-H1619,4)</f>
        <v>0</v>
      </c>
      <c r="K1619" s="67">
        <f>ROUND(IF(F1619="alluminio",0,I1619*1.5%),4)</f>
        <v>0</v>
      </c>
      <c r="L1619" s="67">
        <f>ROUND(IF(K1619&lt;J1619,K1619,0),4)</f>
        <v>0</v>
      </c>
      <c r="M1619" s="67">
        <f>ROUND(IF(J1619&gt;K1619,0,J1619),4)</f>
        <v>0</v>
      </c>
      <c r="N1619" s="67">
        <f>ROUND(+L1619*D1619,4)</f>
        <v>0</v>
      </c>
      <c r="O1619" s="67">
        <f>ROUND(IF(F1619="rame",0,+I1619*3%),4)</f>
        <v>0</v>
      </c>
      <c r="P1619" s="67">
        <f>ROUND(IF(O1619&lt;J1619,O1619,0),4)</f>
        <v>0</v>
      </c>
      <c r="Q1619" s="67">
        <f>ROUND(IF(J1619&gt;O1619,0,J1619),4)</f>
        <v>0</v>
      </c>
      <c r="R1619" s="67">
        <f>ROUND(+P1619*D1619,4)</f>
        <v>0</v>
      </c>
      <c r="S1619" s="67">
        <f>ROUND(IF(K1619=0,0,M1619*D1619),4)</f>
        <v>0</v>
      </c>
      <c r="T1619" s="67">
        <f>ROUND(+IF(K1619=0,Q1619*D1619,0),4)</f>
        <v>0</v>
      </c>
      <c r="U1619" s="67">
        <f>ROUND(+N1619+R1619+S1619+T1619,4)</f>
        <v>0</v>
      </c>
      <c r="V1619" s="67">
        <f>ROUND(IF(P1619=0,0,I1619-H1619-O1619)+IF(L1619=0,0,I1619-H1619-K1619),4)</f>
        <v>0</v>
      </c>
      <c r="W1619" s="67">
        <f>ROUND(+(V1619*60%)*D1619,4)</f>
        <v>0</v>
      </c>
      <c r="X1619" s="148">
        <f>ROUND(+U1619+W1619,4)</f>
        <v>0</v>
      </c>
      <c r="Y1619" s="68"/>
      <c r="Z1619" s="148">
        <f>ROUND(IF(X1619&gt;I1619,X1619,I1619),4)</f>
        <v>0</v>
      </c>
      <c r="AD1619" s="78">
        <f t="shared" si="28"/>
        <v>0</v>
      </c>
      <c r="AE1619" s="78">
        <f t="shared" si="29"/>
        <v>0</v>
      </c>
    </row>
    <row r="1620" spans="1:31" x14ac:dyDescent="0.2">
      <c r="A1620" s="66"/>
      <c r="B1620" s="66"/>
      <c r="C1620" s="66"/>
      <c r="D1620" s="144"/>
      <c r="E1620" s="67"/>
      <c r="F1620" s="67"/>
      <c r="G1620" s="67"/>
      <c r="H1620" s="67">
        <f>ROUND(+E1620+G1620,4)</f>
        <v>0</v>
      </c>
      <c r="I1620" s="67"/>
      <c r="J1620" s="67">
        <f>ROUND(+I1620-H1620,4)</f>
        <v>0</v>
      </c>
      <c r="K1620" s="67">
        <f>ROUND(IF(F1620="alluminio",0,I1620*1.5%),4)</f>
        <v>0</v>
      </c>
      <c r="L1620" s="67">
        <f>ROUND(IF(K1620&lt;J1620,K1620,0),4)</f>
        <v>0</v>
      </c>
      <c r="M1620" s="67">
        <f>ROUND(IF(J1620&gt;K1620,0,J1620),4)</f>
        <v>0</v>
      </c>
      <c r="N1620" s="67">
        <f>ROUND(+L1620*D1620,4)</f>
        <v>0</v>
      </c>
      <c r="O1620" s="67">
        <f>ROUND(IF(F1620="rame",0,+I1620*3%),4)</f>
        <v>0</v>
      </c>
      <c r="P1620" s="67">
        <f>ROUND(IF(O1620&lt;J1620,O1620,0),4)</f>
        <v>0</v>
      </c>
      <c r="Q1620" s="67">
        <f>ROUND(IF(J1620&gt;O1620,0,J1620),4)</f>
        <v>0</v>
      </c>
      <c r="R1620" s="67">
        <f>ROUND(+P1620*D1620,4)</f>
        <v>0</v>
      </c>
      <c r="S1620" s="67">
        <f>ROUND(IF(K1620=0,0,M1620*D1620),4)</f>
        <v>0</v>
      </c>
      <c r="T1620" s="67">
        <f>ROUND(+IF(K1620=0,Q1620*D1620,0),4)</f>
        <v>0</v>
      </c>
      <c r="U1620" s="67">
        <f>ROUND(+N1620+R1620+S1620+T1620,4)</f>
        <v>0</v>
      </c>
      <c r="V1620" s="67">
        <f>ROUND(IF(P1620=0,0,I1620-H1620-O1620)+IF(L1620=0,0,I1620-H1620-K1620),4)</f>
        <v>0</v>
      </c>
      <c r="W1620" s="67">
        <f>ROUND(+(V1620*60%)*D1620,4)</f>
        <v>0</v>
      </c>
      <c r="X1620" s="148">
        <f>ROUND(+U1620+W1620,4)</f>
        <v>0</v>
      </c>
      <c r="Y1620" s="68"/>
      <c r="Z1620" s="148">
        <f>ROUND(IF(X1620&gt;I1620,X1620,I1620),4)</f>
        <v>0</v>
      </c>
      <c r="AD1620" s="78">
        <f t="shared" si="28"/>
        <v>0</v>
      </c>
      <c r="AE1620" s="78">
        <f t="shared" si="29"/>
        <v>0</v>
      </c>
    </row>
    <row r="1621" spans="1:31" x14ac:dyDescent="0.2">
      <c r="A1621" s="66"/>
      <c r="B1621" s="66"/>
      <c r="C1621" s="66"/>
      <c r="D1621" s="144"/>
      <c r="E1621" s="67"/>
      <c r="F1621" s="67"/>
      <c r="G1621" s="67"/>
      <c r="H1621" s="67">
        <f>ROUND(+E1621+G1621,4)</f>
        <v>0</v>
      </c>
      <c r="I1621" s="67"/>
      <c r="J1621" s="67">
        <f>ROUND(+I1621-H1621,4)</f>
        <v>0</v>
      </c>
      <c r="K1621" s="67">
        <f>ROUND(IF(F1621="alluminio",0,I1621*1.5%),4)</f>
        <v>0</v>
      </c>
      <c r="L1621" s="67">
        <f>ROUND(IF(K1621&lt;J1621,K1621,0),4)</f>
        <v>0</v>
      </c>
      <c r="M1621" s="67">
        <f>ROUND(IF(J1621&gt;K1621,0,J1621),4)</f>
        <v>0</v>
      </c>
      <c r="N1621" s="67">
        <f>ROUND(+L1621*D1621,4)</f>
        <v>0</v>
      </c>
      <c r="O1621" s="67">
        <f>ROUND(IF(F1621="rame",0,+I1621*3%),4)</f>
        <v>0</v>
      </c>
      <c r="P1621" s="67">
        <f>ROUND(IF(O1621&lt;J1621,O1621,0),4)</f>
        <v>0</v>
      </c>
      <c r="Q1621" s="67">
        <f>ROUND(IF(J1621&gt;O1621,0,J1621),4)</f>
        <v>0</v>
      </c>
      <c r="R1621" s="67">
        <f>ROUND(+P1621*D1621,4)</f>
        <v>0</v>
      </c>
      <c r="S1621" s="67">
        <f>ROUND(IF(K1621=0,0,M1621*D1621),4)</f>
        <v>0</v>
      </c>
      <c r="T1621" s="67">
        <f>ROUND(+IF(K1621=0,Q1621*D1621,0),4)</f>
        <v>0</v>
      </c>
      <c r="U1621" s="67">
        <f>ROUND(+N1621+R1621+S1621+T1621,4)</f>
        <v>0</v>
      </c>
      <c r="V1621" s="67">
        <f>ROUND(IF(P1621=0,0,I1621-H1621-O1621)+IF(L1621=0,0,I1621-H1621-K1621),4)</f>
        <v>0</v>
      </c>
      <c r="W1621" s="67">
        <f>ROUND(+(V1621*60%)*D1621,4)</f>
        <v>0</v>
      </c>
      <c r="X1621" s="148">
        <f>ROUND(+U1621+W1621,4)</f>
        <v>0</v>
      </c>
      <c r="Y1621" s="68"/>
      <c r="Z1621" s="148">
        <f>ROUND(IF(X1621&gt;I1621,X1621,I1621),4)</f>
        <v>0</v>
      </c>
      <c r="AD1621" s="78">
        <f t="shared" si="28"/>
        <v>0</v>
      </c>
      <c r="AE1621" s="78">
        <f t="shared" si="29"/>
        <v>0</v>
      </c>
    </row>
    <row r="1622" spans="1:31" x14ac:dyDescent="0.2">
      <c r="A1622" s="66"/>
      <c r="B1622" s="66"/>
      <c r="C1622" s="66"/>
      <c r="D1622" s="144"/>
      <c r="E1622" s="67"/>
      <c r="F1622" s="67"/>
      <c r="G1622" s="67"/>
      <c r="H1622" s="67">
        <f>ROUND(+E1622+G1622,4)</f>
        <v>0</v>
      </c>
      <c r="I1622" s="67"/>
      <c r="J1622" s="67">
        <f>ROUND(+I1622-H1622,4)</f>
        <v>0</v>
      </c>
      <c r="K1622" s="67">
        <f>ROUND(IF(F1622="alluminio",0,I1622*1.5%),4)</f>
        <v>0</v>
      </c>
      <c r="L1622" s="67">
        <f>ROUND(IF(K1622&lt;J1622,K1622,0),4)</f>
        <v>0</v>
      </c>
      <c r="M1622" s="67">
        <f>ROUND(IF(J1622&gt;K1622,0,J1622),4)</f>
        <v>0</v>
      </c>
      <c r="N1622" s="67">
        <f>ROUND(+L1622*D1622,4)</f>
        <v>0</v>
      </c>
      <c r="O1622" s="67">
        <f>ROUND(IF(F1622="rame",0,+I1622*3%),4)</f>
        <v>0</v>
      </c>
      <c r="P1622" s="67">
        <f>ROUND(IF(O1622&lt;J1622,O1622,0),4)</f>
        <v>0</v>
      </c>
      <c r="Q1622" s="67">
        <f>ROUND(IF(J1622&gt;O1622,0,J1622),4)</f>
        <v>0</v>
      </c>
      <c r="R1622" s="67">
        <f>ROUND(+P1622*D1622,4)</f>
        <v>0</v>
      </c>
      <c r="S1622" s="67">
        <f>ROUND(IF(K1622=0,0,M1622*D1622),4)</f>
        <v>0</v>
      </c>
      <c r="T1622" s="67">
        <f>ROUND(+IF(K1622=0,Q1622*D1622,0),4)</f>
        <v>0</v>
      </c>
      <c r="U1622" s="67">
        <f>ROUND(+N1622+R1622+S1622+T1622,4)</f>
        <v>0</v>
      </c>
      <c r="V1622" s="67">
        <f>ROUND(IF(P1622=0,0,I1622-H1622-O1622)+IF(L1622=0,0,I1622-H1622-K1622),4)</f>
        <v>0</v>
      </c>
      <c r="W1622" s="67">
        <f>ROUND(+(V1622*60%)*D1622,4)</f>
        <v>0</v>
      </c>
      <c r="X1622" s="148">
        <f>ROUND(+U1622+W1622,4)</f>
        <v>0</v>
      </c>
      <c r="Y1622" s="68"/>
      <c r="Z1622" s="148">
        <f>ROUND(IF(X1622&gt;I1622,X1622,I1622),4)</f>
        <v>0</v>
      </c>
      <c r="AD1622" s="78">
        <f t="shared" si="28"/>
        <v>0</v>
      </c>
      <c r="AE1622" s="78">
        <f t="shared" si="29"/>
        <v>0</v>
      </c>
    </row>
    <row r="1623" spans="1:31" x14ac:dyDescent="0.2">
      <c r="A1623" s="66"/>
      <c r="B1623" s="66"/>
      <c r="C1623" s="66"/>
      <c r="D1623" s="144"/>
      <c r="E1623" s="67"/>
      <c r="F1623" s="67"/>
      <c r="G1623" s="67"/>
      <c r="H1623" s="67">
        <f>ROUND(+E1623+G1623,4)</f>
        <v>0</v>
      </c>
      <c r="I1623" s="67"/>
      <c r="J1623" s="67">
        <f>ROUND(+I1623-H1623,4)</f>
        <v>0</v>
      </c>
      <c r="K1623" s="67">
        <f>ROUND(IF(F1623="alluminio",0,I1623*1.5%),4)</f>
        <v>0</v>
      </c>
      <c r="L1623" s="67">
        <f>ROUND(IF(K1623&lt;J1623,K1623,0),4)</f>
        <v>0</v>
      </c>
      <c r="M1623" s="67">
        <f>ROUND(IF(J1623&gt;K1623,0,J1623),4)</f>
        <v>0</v>
      </c>
      <c r="N1623" s="67">
        <f>ROUND(+L1623*D1623,4)</f>
        <v>0</v>
      </c>
      <c r="O1623" s="67">
        <f>ROUND(IF(F1623="rame",0,+I1623*3%),4)</f>
        <v>0</v>
      </c>
      <c r="P1623" s="67">
        <f>ROUND(IF(O1623&lt;J1623,O1623,0),4)</f>
        <v>0</v>
      </c>
      <c r="Q1623" s="67">
        <f>ROUND(IF(J1623&gt;O1623,0,J1623),4)</f>
        <v>0</v>
      </c>
      <c r="R1623" s="67">
        <f>ROUND(+P1623*D1623,4)</f>
        <v>0</v>
      </c>
      <c r="S1623" s="67">
        <f>ROUND(IF(K1623=0,0,M1623*D1623),4)</f>
        <v>0</v>
      </c>
      <c r="T1623" s="67">
        <f>ROUND(+IF(K1623=0,Q1623*D1623,0),4)</f>
        <v>0</v>
      </c>
      <c r="U1623" s="67">
        <f>ROUND(+N1623+R1623+S1623+T1623,4)</f>
        <v>0</v>
      </c>
      <c r="V1623" s="67">
        <f>ROUND(IF(P1623=0,0,I1623-H1623-O1623)+IF(L1623=0,0,I1623-H1623-K1623),4)</f>
        <v>0</v>
      </c>
      <c r="W1623" s="67">
        <f>ROUND(+(V1623*60%)*D1623,4)</f>
        <v>0</v>
      </c>
      <c r="X1623" s="148">
        <f>ROUND(+U1623+W1623,4)</f>
        <v>0</v>
      </c>
      <c r="Y1623" s="68"/>
      <c r="Z1623" s="148">
        <f>ROUND(IF(X1623&gt;I1623,X1623,I1623),4)</f>
        <v>0</v>
      </c>
      <c r="AD1623" s="78">
        <f t="shared" si="28"/>
        <v>0</v>
      </c>
      <c r="AE1623" s="78">
        <f t="shared" si="29"/>
        <v>0</v>
      </c>
    </row>
    <row r="1624" spans="1:31" x14ac:dyDescent="0.2">
      <c r="A1624" s="66"/>
      <c r="B1624" s="66"/>
      <c r="C1624" s="66"/>
      <c r="D1624" s="144"/>
      <c r="E1624" s="67"/>
      <c r="F1624" s="67"/>
      <c r="G1624" s="67"/>
      <c r="H1624" s="67">
        <f>ROUND(+E1624+G1624,4)</f>
        <v>0</v>
      </c>
      <c r="I1624" s="67"/>
      <c r="J1624" s="67">
        <f>ROUND(+I1624-H1624,4)</f>
        <v>0</v>
      </c>
      <c r="K1624" s="67">
        <f>ROUND(IF(F1624="alluminio",0,I1624*1.5%),4)</f>
        <v>0</v>
      </c>
      <c r="L1624" s="67">
        <f>ROUND(IF(K1624&lt;J1624,K1624,0),4)</f>
        <v>0</v>
      </c>
      <c r="M1624" s="67">
        <f>ROUND(IF(J1624&gt;K1624,0,J1624),4)</f>
        <v>0</v>
      </c>
      <c r="N1624" s="67">
        <f>ROUND(+L1624*D1624,4)</f>
        <v>0</v>
      </c>
      <c r="O1624" s="67">
        <f>ROUND(IF(F1624="rame",0,+I1624*3%),4)</f>
        <v>0</v>
      </c>
      <c r="P1624" s="67">
        <f>ROUND(IF(O1624&lt;J1624,O1624,0),4)</f>
        <v>0</v>
      </c>
      <c r="Q1624" s="67">
        <f>ROUND(IF(J1624&gt;O1624,0,J1624),4)</f>
        <v>0</v>
      </c>
      <c r="R1624" s="67">
        <f>ROUND(+P1624*D1624,4)</f>
        <v>0</v>
      </c>
      <c r="S1624" s="67">
        <f>ROUND(IF(K1624=0,0,M1624*D1624),4)</f>
        <v>0</v>
      </c>
      <c r="T1624" s="67">
        <f>ROUND(+IF(K1624=0,Q1624*D1624,0),4)</f>
        <v>0</v>
      </c>
      <c r="U1624" s="67">
        <f>ROUND(+N1624+R1624+S1624+T1624,4)</f>
        <v>0</v>
      </c>
      <c r="V1624" s="67">
        <f>ROUND(IF(P1624=0,0,I1624-H1624-O1624)+IF(L1624=0,0,I1624-H1624-K1624),4)</f>
        <v>0</v>
      </c>
      <c r="W1624" s="67">
        <f>ROUND(+(V1624*60%)*D1624,4)</f>
        <v>0</v>
      </c>
      <c r="X1624" s="148">
        <f>ROUND(+U1624+W1624,4)</f>
        <v>0</v>
      </c>
      <c r="Y1624" s="68"/>
      <c r="Z1624" s="148">
        <f>ROUND(IF(X1624&gt;I1624,X1624,I1624),4)</f>
        <v>0</v>
      </c>
      <c r="AD1624" s="78">
        <f t="shared" si="28"/>
        <v>0</v>
      </c>
      <c r="AE1624" s="78">
        <f t="shared" si="29"/>
        <v>0</v>
      </c>
    </row>
    <row r="1625" spans="1:31" x14ac:dyDescent="0.2">
      <c r="A1625" s="66"/>
      <c r="B1625" s="66"/>
      <c r="C1625" s="66"/>
      <c r="D1625" s="144"/>
      <c r="E1625" s="67"/>
      <c r="F1625" s="67"/>
      <c r="G1625" s="67"/>
      <c r="H1625" s="67">
        <f>ROUND(+E1625+G1625,4)</f>
        <v>0</v>
      </c>
      <c r="I1625" s="67"/>
      <c r="J1625" s="67">
        <f>ROUND(+I1625-H1625,4)</f>
        <v>0</v>
      </c>
      <c r="K1625" s="67">
        <f>ROUND(IF(F1625="alluminio",0,I1625*1.5%),4)</f>
        <v>0</v>
      </c>
      <c r="L1625" s="67">
        <f>ROUND(IF(K1625&lt;J1625,K1625,0),4)</f>
        <v>0</v>
      </c>
      <c r="M1625" s="67">
        <f>ROUND(IF(J1625&gt;K1625,0,J1625),4)</f>
        <v>0</v>
      </c>
      <c r="N1625" s="67">
        <f>ROUND(+L1625*D1625,4)</f>
        <v>0</v>
      </c>
      <c r="O1625" s="67">
        <f>ROUND(IF(F1625="rame",0,+I1625*3%),4)</f>
        <v>0</v>
      </c>
      <c r="P1625" s="67">
        <f>ROUND(IF(O1625&lt;J1625,O1625,0),4)</f>
        <v>0</v>
      </c>
      <c r="Q1625" s="67">
        <f>ROUND(IF(J1625&gt;O1625,0,J1625),4)</f>
        <v>0</v>
      </c>
      <c r="R1625" s="67">
        <f>ROUND(+P1625*D1625,4)</f>
        <v>0</v>
      </c>
      <c r="S1625" s="67">
        <f>ROUND(IF(K1625=0,0,M1625*D1625),4)</f>
        <v>0</v>
      </c>
      <c r="T1625" s="67">
        <f>ROUND(+IF(K1625=0,Q1625*D1625,0),4)</f>
        <v>0</v>
      </c>
      <c r="U1625" s="67">
        <f>ROUND(+N1625+R1625+S1625+T1625,4)</f>
        <v>0</v>
      </c>
      <c r="V1625" s="67">
        <f>ROUND(IF(P1625=0,0,I1625-H1625-O1625)+IF(L1625=0,0,I1625-H1625-K1625),4)</f>
        <v>0</v>
      </c>
      <c r="W1625" s="67">
        <f>ROUND(+(V1625*60%)*D1625,4)</f>
        <v>0</v>
      </c>
      <c r="X1625" s="148">
        <f>ROUND(+U1625+W1625,4)</f>
        <v>0</v>
      </c>
      <c r="Y1625" s="68"/>
      <c r="Z1625" s="148">
        <f>ROUND(IF(X1625&gt;I1625,X1625,I1625),4)</f>
        <v>0</v>
      </c>
      <c r="AD1625" s="78">
        <f t="shared" si="28"/>
        <v>0</v>
      </c>
      <c r="AE1625" s="78">
        <f t="shared" si="29"/>
        <v>0</v>
      </c>
    </row>
    <row r="1626" spans="1:31" x14ac:dyDescent="0.2">
      <c r="A1626" s="66"/>
      <c r="B1626" s="66"/>
      <c r="C1626" s="66"/>
      <c r="D1626" s="144"/>
      <c r="E1626" s="67"/>
      <c r="F1626" s="67"/>
      <c r="G1626" s="67"/>
      <c r="H1626" s="67">
        <f>ROUND(+E1626+G1626,4)</f>
        <v>0</v>
      </c>
      <c r="I1626" s="67"/>
      <c r="J1626" s="67">
        <f>ROUND(+I1626-H1626,4)</f>
        <v>0</v>
      </c>
      <c r="K1626" s="67">
        <f>ROUND(IF(F1626="alluminio",0,I1626*1.5%),4)</f>
        <v>0</v>
      </c>
      <c r="L1626" s="67">
        <f>ROUND(IF(K1626&lt;J1626,K1626,0),4)</f>
        <v>0</v>
      </c>
      <c r="M1626" s="67">
        <f>ROUND(IF(J1626&gt;K1626,0,J1626),4)</f>
        <v>0</v>
      </c>
      <c r="N1626" s="67">
        <f>ROUND(+L1626*D1626,4)</f>
        <v>0</v>
      </c>
      <c r="O1626" s="67">
        <f>ROUND(IF(F1626="rame",0,+I1626*3%),4)</f>
        <v>0</v>
      </c>
      <c r="P1626" s="67">
        <f>ROUND(IF(O1626&lt;J1626,O1626,0),4)</f>
        <v>0</v>
      </c>
      <c r="Q1626" s="67">
        <f>ROUND(IF(J1626&gt;O1626,0,J1626),4)</f>
        <v>0</v>
      </c>
      <c r="R1626" s="67">
        <f>ROUND(+P1626*D1626,4)</f>
        <v>0</v>
      </c>
      <c r="S1626" s="67">
        <f>ROUND(IF(K1626=0,0,M1626*D1626),4)</f>
        <v>0</v>
      </c>
      <c r="T1626" s="67">
        <f>ROUND(+IF(K1626=0,Q1626*D1626,0),4)</f>
        <v>0</v>
      </c>
      <c r="U1626" s="67">
        <f>ROUND(+N1626+R1626+S1626+T1626,4)</f>
        <v>0</v>
      </c>
      <c r="V1626" s="67">
        <f>ROUND(IF(P1626=0,0,I1626-H1626-O1626)+IF(L1626=0,0,I1626-H1626-K1626),4)</f>
        <v>0</v>
      </c>
      <c r="W1626" s="67">
        <f>ROUND(+(V1626*60%)*D1626,4)</f>
        <v>0</v>
      </c>
      <c r="X1626" s="148">
        <f>ROUND(+U1626+W1626,4)</f>
        <v>0</v>
      </c>
      <c r="Y1626" s="68"/>
      <c r="Z1626" s="148">
        <f>ROUND(IF(X1626&gt;I1626,X1626,I1626),4)</f>
        <v>0</v>
      </c>
      <c r="AD1626" s="78">
        <f t="shared" si="28"/>
        <v>0</v>
      </c>
      <c r="AE1626" s="78">
        <f t="shared" si="29"/>
        <v>0</v>
      </c>
    </row>
    <row r="1627" spans="1:31" x14ac:dyDescent="0.2">
      <c r="A1627" s="66"/>
      <c r="B1627" s="66"/>
      <c r="C1627" s="66"/>
      <c r="D1627" s="144"/>
      <c r="E1627" s="67"/>
      <c r="F1627" s="67"/>
      <c r="G1627" s="67"/>
      <c r="H1627" s="67">
        <f>ROUND(+E1627+G1627,4)</f>
        <v>0</v>
      </c>
      <c r="I1627" s="67"/>
      <c r="J1627" s="67">
        <f>ROUND(+I1627-H1627,4)</f>
        <v>0</v>
      </c>
      <c r="K1627" s="67">
        <f>ROUND(IF(F1627="alluminio",0,I1627*1.5%),4)</f>
        <v>0</v>
      </c>
      <c r="L1627" s="67">
        <f>ROUND(IF(K1627&lt;J1627,K1627,0),4)</f>
        <v>0</v>
      </c>
      <c r="M1627" s="67">
        <f>ROUND(IF(J1627&gt;K1627,0,J1627),4)</f>
        <v>0</v>
      </c>
      <c r="N1627" s="67">
        <f>ROUND(+L1627*D1627,4)</f>
        <v>0</v>
      </c>
      <c r="O1627" s="67">
        <f>ROUND(IF(F1627="rame",0,+I1627*3%),4)</f>
        <v>0</v>
      </c>
      <c r="P1627" s="67">
        <f>ROUND(IF(O1627&lt;J1627,O1627,0),4)</f>
        <v>0</v>
      </c>
      <c r="Q1627" s="67">
        <f>ROUND(IF(J1627&gt;O1627,0,J1627),4)</f>
        <v>0</v>
      </c>
      <c r="R1627" s="67">
        <f>ROUND(+P1627*D1627,4)</f>
        <v>0</v>
      </c>
      <c r="S1627" s="67">
        <f>ROUND(IF(K1627=0,0,M1627*D1627),4)</f>
        <v>0</v>
      </c>
      <c r="T1627" s="67">
        <f>ROUND(+IF(K1627=0,Q1627*D1627,0),4)</f>
        <v>0</v>
      </c>
      <c r="U1627" s="67">
        <f>ROUND(+N1627+R1627+S1627+T1627,4)</f>
        <v>0</v>
      </c>
      <c r="V1627" s="67">
        <f>ROUND(IF(P1627=0,0,I1627-H1627-O1627)+IF(L1627=0,0,I1627-H1627-K1627),4)</f>
        <v>0</v>
      </c>
      <c r="W1627" s="67">
        <f>ROUND(+(V1627*60%)*D1627,4)</f>
        <v>0</v>
      </c>
      <c r="X1627" s="148">
        <f>ROUND(+U1627+W1627,4)</f>
        <v>0</v>
      </c>
      <c r="Y1627" s="68"/>
      <c r="Z1627" s="148">
        <f>ROUND(IF(X1627&gt;I1627,X1627,I1627),4)</f>
        <v>0</v>
      </c>
      <c r="AD1627" s="78">
        <f t="shared" si="28"/>
        <v>0</v>
      </c>
      <c r="AE1627" s="78">
        <f t="shared" si="29"/>
        <v>0</v>
      </c>
    </row>
    <row r="1628" spans="1:31" x14ac:dyDescent="0.2">
      <c r="A1628" s="66"/>
      <c r="B1628" s="66"/>
      <c r="C1628" s="66"/>
      <c r="D1628" s="144"/>
      <c r="E1628" s="67"/>
      <c r="F1628" s="67"/>
      <c r="G1628" s="67"/>
      <c r="H1628" s="67">
        <f>ROUND(+E1628+G1628,4)</f>
        <v>0</v>
      </c>
      <c r="I1628" s="67"/>
      <c r="J1628" s="67">
        <f>ROUND(+I1628-H1628,4)</f>
        <v>0</v>
      </c>
      <c r="K1628" s="67">
        <f>ROUND(IF(F1628="alluminio",0,I1628*1.5%),4)</f>
        <v>0</v>
      </c>
      <c r="L1628" s="67">
        <f>ROUND(IF(K1628&lt;J1628,K1628,0),4)</f>
        <v>0</v>
      </c>
      <c r="M1628" s="67">
        <f>ROUND(IF(J1628&gt;K1628,0,J1628),4)</f>
        <v>0</v>
      </c>
      <c r="N1628" s="67">
        <f>ROUND(+L1628*D1628,4)</f>
        <v>0</v>
      </c>
      <c r="O1628" s="67">
        <f>ROUND(IF(F1628="rame",0,+I1628*3%),4)</f>
        <v>0</v>
      </c>
      <c r="P1628" s="67">
        <f>ROUND(IF(O1628&lt;J1628,O1628,0),4)</f>
        <v>0</v>
      </c>
      <c r="Q1628" s="67">
        <f>ROUND(IF(J1628&gt;O1628,0,J1628),4)</f>
        <v>0</v>
      </c>
      <c r="R1628" s="67">
        <f>ROUND(+P1628*D1628,4)</f>
        <v>0</v>
      </c>
      <c r="S1628" s="67">
        <f>ROUND(IF(K1628=0,0,M1628*D1628),4)</f>
        <v>0</v>
      </c>
      <c r="T1628" s="67">
        <f>ROUND(+IF(K1628=0,Q1628*D1628,0),4)</f>
        <v>0</v>
      </c>
      <c r="U1628" s="67">
        <f>ROUND(+N1628+R1628+S1628+T1628,4)</f>
        <v>0</v>
      </c>
      <c r="V1628" s="67">
        <f>ROUND(IF(P1628=0,0,I1628-H1628-O1628)+IF(L1628=0,0,I1628-H1628-K1628),4)</f>
        <v>0</v>
      </c>
      <c r="W1628" s="67">
        <f>ROUND(+(V1628*60%)*D1628,4)</f>
        <v>0</v>
      </c>
      <c r="X1628" s="148">
        <f>ROUND(+U1628+W1628,4)</f>
        <v>0</v>
      </c>
      <c r="Y1628" s="68"/>
      <c r="Z1628" s="148">
        <f>ROUND(IF(X1628&gt;I1628,X1628,I1628),4)</f>
        <v>0</v>
      </c>
      <c r="AD1628" s="78">
        <f t="shared" si="28"/>
        <v>0</v>
      </c>
      <c r="AE1628" s="78">
        <f t="shared" si="29"/>
        <v>0</v>
      </c>
    </row>
    <row r="1629" spans="1:31" x14ac:dyDescent="0.2">
      <c r="A1629" s="66"/>
      <c r="B1629" s="66"/>
      <c r="C1629" s="66"/>
      <c r="D1629" s="144"/>
      <c r="E1629" s="67"/>
      <c r="F1629" s="67"/>
      <c r="G1629" s="67"/>
      <c r="H1629" s="67">
        <f>ROUND(+E1629+G1629,4)</f>
        <v>0</v>
      </c>
      <c r="I1629" s="67"/>
      <c r="J1629" s="67">
        <f>ROUND(+I1629-H1629,4)</f>
        <v>0</v>
      </c>
      <c r="K1629" s="67">
        <f>ROUND(IF(F1629="alluminio",0,I1629*1.5%),4)</f>
        <v>0</v>
      </c>
      <c r="L1629" s="67">
        <f>ROUND(IF(K1629&lt;J1629,K1629,0),4)</f>
        <v>0</v>
      </c>
      <c r="M1629" s="67">
        <f>ROUND(IF(J1629&gt;K1629,0,J1629),4)</f>
        <v>0</v>
      </c>
      <c r="N1629" s="67">
        <f>ROUND(+L1629*D1629,4)</f>
        <v>0</v>
      </c>
      <c r="O1629" s="67">
        <f>ROUND(IF(F1629="rame",0,+I1629*3%),4)</f>
        <v>0</v>
      </c>
      <c r="P1629" s="67">
        <f>ROUND(IF(O1629&lt;J1629,O1629,0),4)</f>
        <v>0</v>
      </c>
      <c r="Q1629" s="67">
        <f>ROUND(IF(J1629&gt;O1629,0,J1629),4)</f>
        <v>0</v>
      </c>
      <c r="R1629" s="67">
        <f>ROUND(+P1629*D1629,4)</f>
        <v>0</v>
      </c>
      <c r="S1629" s="67">
        <f>ROUND(IF(K1629=0,0,M1629*D1629),4)</f>
        <v>0</v>
      </c>
      <c r="T1629" s="67">
        <f>ROUND(+IF(K1629=0,Q1629*D1629,0),4)</f>
        <v>0</v>
      </c>
      <c r="U1629" s="67">
        <f>ROUND(+N1629+R1629+S1629+T1629,4)</f>
        <v>0</v>
      </c>
      <c r="V1629" s="67">
        <f>ROUND(IF(P1629=0,0,I1629-H1629-O1629)+IF(L1629=0,0,I1629-H1629-K1629),4)</f>
        <v>0</v>
      </c>
      <c r="W1629" s="67">
        <f>ROUND(+(V1629*60%)*D1629,4)</f>
        <v>0</v>
      </c>
      <c r="X1629" s="148">
        <f>ROUND(+U1629+W1629,4)</f>
        <v>0</v>
      </c>
      <c r="Y1629" s="68"/>
      <c r="Z1629" s="148">
        <f>ROUND(IF(X1629&gt;I1629,X1629,I1629),4)</f>
        <v>0</v>
      </c>
      <c r="AD1629" s="78">
        <f t="shared" si="28"/>
        <v>0</v>
      </c>
      <c r="AE1629" s="78">
        <f t="shared" si="29"/>
        <v>0</v>
      </c>
    </row>
    <row r="1630" spans="1:31" x14ac:dyDescent="0.2">
      <c r="A1630" s="66"/>
      <c r="B1630" s="66"/>
      <c r="C1630" s="66"/>
      <c r="D1630" s="144"/>
      <c r="E1630" s="67"/>
      <c r="F1630" s="67"/>
      <c r="G1630" s="67"/>
      <c r="H1630" s="67">
        <f>ROUND(+E1630+G1630,4)</f>
        <v>0</v>
      </c>
      <c r="I1630" s="67"/>
      <c r="J1630" s="67">
        <f>ROUND(+I1630-H1630,4)</f>
        <v>0</v>
      </c>
      <c r="K1630" s="67">
        <f>ROUND(IF(F1630="alluminio",0,I1630*1.5%),4)</f>
        <v>0</v>
      </c>
      <c r="L1630" s="67">
        <f>ROUND(IF(K1630&lt;J1630,K1630,0),4)</f>
        <v>0</v>
      </c>
      <c r="M1630" s="67">
        <f>ROUND(IF(J1630&gt;K1630,0,J1630),4)</f>
        <v>0</v>
      </c>
      <c r="N1630" s="67">
        <f>ROUND(+L1630*D1630,4)</f>
        <v>0</v>
      </c>
      <c r="O1630" s="67">
        <f>ROUND(IF(F1630="rame",0,+I1630*3%),4)</f>
        <v>0</v>
      </c>
      <c r="P1630" s="67">
        <f>ROUND(IF(O1630&lt;J1630,O1630,0),4)</f>
        <v>0</v>
      </c>
      <c r="Q1630" s="67">
        <f>ROUND(IF(J1630&gt;O1630,0,J1630),4)</f>
        <v>0</v>
      </c>
      <c r="R1630" s="67">
        <f>ROUND(+P1630*D1630,4)</f>
        <v>0</v>
      </c>
      <c r="S1630" s="67">
        <f>ROUND(IF(K1630=0,0,M1630*D1630),4)</f>
        <v>0</v>
      </c>
      <c r="T1630" s="67">
        <f>ROUND(+IF(K1630=0,Q1630*D1630,0),4)</f>
        <v>0</v>
      </c>
      <c r="U1630" s="67">
        <f>ROUND(+N1630+R1630+S1630+T1630,4)</f>
        <v>0</v>
      </c>
      <c r="V1630" s="67">
        <f>ROUND(IF(P1630=0,0,I1630-H1630-O1630)+IF(L1630=0,0,I1630-H1630-K1630),4)</f>
        <v>0</v>
      </c>
      <c r="W1630" s="67">
        <f>ROUND(+(V1630*60%)*D1630,4)</f>
        <v>0</v>
      </c>
      <c r="X1630" s="148">
        <f>ROUND(+U1630+W1630,4)</f>
        <v>0</v>
      </c>
      <c r="Y1630" s="68"/>
      <c r="Z1630" s="148">
        <f>ROUND(IF(X1630&gt;I1630,X1630,I1630),4)</f>
        <v>0</v>
      </c>
      <c r="AD1630" s="78">
        <f t="shared" si="28"/>
        <v>0</v>
      </c>
      <c r="AE1630" s="78">
        <f t="shared" si="29"/>
        <v>0</v>
      </c>
    </row>
    <row r="1631" spans="1:31" x14ac:dyDescent="0.2">
      <c r="A1631" s="66"/>
      <c r="B1631" s="66"/>
      <c r="C1631" s="66"/>
      <c r="D1631" s="144"/>
      <c r="E1631" s="67"/>
      <c r="F1631" s="67"/>
      <c r="G1631" s="67"/>
      <c r="H1631" s="67">
        <f>ROUND(+E1631+G1631,4)</f>
        <v>0</v>
      </c>
      <c r="I1631" s="67"/>
      <c r="J1631" s="67">
        <f>ROUND(+I1631-H1631,4)</f>
        <v>0</v>
      </c>
      <c r="K1631" s="67">
        <f>ROUND(IF(F1631="alluminio",0,I1631*1.5%),4)</f>
        <v>0</v>
      </c>
      <c r="L1631" s="67">
        <f>ROUND(IF(K1631&lt;J1631,K1631,0),4)</f>
        <v>0</v>
      </c>
      <c r="M1631" s="67">
        <f>ROUND(IF(J1631&gt;K1631,0,J1631),4)</f>
        <v>0</v>
      </c>
      <c r="N1631" s="67">
        <f>ROUND(+L1631*D1631,4)</f>
        <v>0</v>
      </c>
      <c r="O1631" s="67">
        <f>ROUND(IF(F1631="rame",0,+I1631*3%),4)</f>
        <v>0</v>
      </c>
      <c r="P1631" s="67">
        <f>ROUND(IF(O1631&lt;J1631,O1631,0),4)</f>
        <v>0</v>
      </c>
      <c r="Q1631" s="67">
        <f>ROUND(IF(J1631&gt;O1631,0,J1631),4)</f>
        <v>0</v>
      </c>
      <c r="R1631" s="67">
        <f>ROUND(+P1631*D1631,4)</f>
        <v>0</v>
      </c>
      <c r="S1631" s="67">
        <f>ROUND(IF(K1631=0,0,M1631*D1631),4)</f>
        <v>0</v>
      </c>
      <c r="T1631" s="67">
        <f>ROUND(+IF(K1631=0,Q1631*D1631,0),4)</f>
        <v>0</v>
      </c>
      <c r="U1631" s="67">
        <f>ROUND(+N1631+R1631+S1631+T1631,4)</f>
        <v>0</v>
      </c>
      <c r="V1631" s="67">
        <f>ROUND(IF(P1631=0,0,I1631-H1631-O1631)+IF(L1631=0,0,I1631-H1631-K1631),4)</f>
        <v>0</v>
      </c>
      <c r="W1631" s="67">
        <f>ROUND(+(V1631*60%)*D1631,4)</f>
        <v>0</v>
      </c>
      <c r="X1631" s="148">
        <f>ROUND(+U1631+W1631,4)</f>
        <v>0</v>
      </c>
      <c r="Y1631" s="68"/>
      <c r="Z1631" s="148">
        <f>ROUND(IF(X1631&gt;I1631,X1631,I1631),4)</f>
        <v>0</v>
      </c>
      <c r="AD1631" s="78">
        <f t="shared" si="28"/>
        <v>0</v>
      </c>
      <c r="AE1631" s="78">
        <f t="shared" si="29"/>
        <v>0</v>
      </c>
    </row>
    <row r="1632" spans="1:31" x14ac:dyDescent="0.2">
      <c r="A1632" s="66"/>
      <c r="B1632" s="66"/>
      <c r="C1632" s="66"/>
      <c r="D1632" s="144"/>
      <c r="E1632" s="67"/>
      <c r="F1632" s="67"/>
      <c r="G1632" s="67"/>
      <c r="H1632" s="67">
        <f>ROUND(+E1632+G1632,4)</f>
        <v>0</v>
      </c>
      <c r="I1632" s="67"/>
      <c r="J1632" s="67">
        <f>ROUND(+I1632-H1632,4)</f>
        <v>0</v>
      </c>
      <c r="K1632" s="67">
        <f>ROUND(IF(F1632="alluminio",0,I1632*1.5%),4)</f>
        <v>0</v>
      </c>
      <c r="L1632" s="67">
        <f>ROUND(IF(K1632&lt;J1632,K1632,0),4)</f>
        <v>0</v>
      </c>
      <c r="M1632" s="67">
        <f>ROUND(IF(J1632&gt;K1632,0,J1632),4)</f>
        <v>0</v>
      </c>
      <c r="N1632" s="67">
        <f>ROUND(+L1632*D1632,4)</f>
        <v>0</v>
      </c>
      <c r="O1632" s="67">
        <f>ROUND(IF(F1632="rame",0,+I1632*3%),4)</f>
        <v>0</v>
      </c>
      <c r="P1632" s="67">
        <f>ROUND(IF(O1632&lt;J1632,O1632,0),4)</f>
        <v>0</v>
      </c>
      <c r="Q1632" s="67">
        <f>ROUND(IF(J1632&gt;O1632,0,J1632),4)</f>
        <v>0</v>
      </c>
      <c r="R1632" s="67">
        <f>ROUND(+P1632*D1632,4)</f>
        <v>0</v>
      </c>
      <c r="S1632" s="67">
        <f>ROUND(IF(K1632=0,0,M1632*D1632),4)</f>
        <v>0</v>
      </c>
      <c r="T1632" s="67">
        <f>ROUND(+IF(K1632=0,Q1632*D1632,0),4)</f>
        <v>0</v>
      </c>
      <c r="U1632" s="67">
        <f>ROUND(+N1632+R1632+S1632+T1632,4)</f>
        <v>0</v>
      </c>
      <c r="V1632" s="67">
        <f>ROUND(IF(P1632=0,0,I1632-H1632-O1632)+IF(L1632=0,0,I1632-H1632-K1632),4)</f>
        <v>0</v>
      </c>
      <c r="W1632" s="67">
        <f>ROUND(+(V1632*60%)*D1632,4)</f>
        <v>0</v>
      </c>
      <c r="X1632" s="148">
        <f>ROUND(+U1632+W1632,4)</f>
        <v>0</v>
      </c>
      <c r="Y1632" s="68"/>
      <c r="Z1632" s="148">
        <f>ROUND(IF(X1632&gt;I1632,X1632,I1632),4)</f>
        <v>0</v>
      </c>
      <c r="AD1632" s="78">
        <f t="shared" si="28"/>
        <v>0</v>
      </c>
      <c r="AE1632" s="78">
        <f t="shared" si="29"/>
        <v>0</v>
      </c>
    </row>
    <row r="1633" spans="1:31" x14ac:dyDescent="0.2">
      <c r="A1633" s="66"/>
      <c r="B1633" s="66"/>
      <c r="C1633" s="66"/>
      <c r="D1633" s="144"/>
      <c r="E1633" s="67"/>
      <c r="F1633" s="67"/>
      <c r="G1633" s="67"/>
      <c r="H1633" s="67">
        <f>ROUND(+E1633+G1633,4)</f>
        <v>0</v>
      </c>
      <c r="I1633" s="67"/>
      <c r="J1633" s="67">
        <f>ROUND(+I1633-H1633,4)</f>
        <v>0</v>
      </c>
      <c r="K1633" s="67">
        <f>ROUND(IF(F1633="alluminio",0,I1633*1.5%),4)</f>
        <v>0</v>
      </c>
      <c r="L1633" s="67">
        <f>ROUND(IF(K1633&lt;J1633,K1633,0),4)</f>
        <v>0</v>
      </c>
      <c r="M1633" s="67">
        <f>ROUND(IF(J1633&gt;K1633,0,J1633),4)</f>
        <v>0</v>
      </c>
      <c r="N1633" s="67">
        <f>ROUND(+L1633*D1633,4)</f>
        <v>0</v>
      </c>
      <c r="O1633" s="67">
        <f>ROUND(IF(F1633="rame",0,+I1633*3%),4)</f>
        <v>0</v>
      </c>
      <c r="P1633" s="67">
        <f>ROUND(IF(O1633&lt;J1633,O1633,0),4)</f>
        <v>0</v>
      </c>
      <c r="Q1633" s="67">
        <f>ROUND(IF(J1633&gt;O1633,0,J1633),4)</f>
        <v>0</v>
      </c>
      <c r="R1633" s="67">
        <f>ROUND(+P1633*D1633,4)</f>
        <v>0</v>
      </c>
      <c r="S1633" s="67">
        <f>ROUND(IF(K1633=0,0,M1633*D1633),4)</f>
        <v>0</v>
      </c>
      <c r="T1633" s="67">
        <f>ROUND(+IF(K1633=0,Q1633*D1633,0),4)</f>
        <v>0</v>
      </c>
      <c r="U1633" s="67">
        <f>ROUND(+N1633+R1633+S1633+T1633,4)</f>
        <v>0</v>
      </c>
      <c r="V1633" s="67">
        <f>ROUND(IF(P1633=0,0,I1633-H1633-O1633)+IF(L1633=0,0,I1633-H1633-K1633),4)</f>
        <v>0</v>
      </c>
      <c r="W1633" s="67">
        <f>ROUND(+(V1633*60%)*D1633,4)</f>
        <v>0</v>
      </c>
      <c r="X1633" s="148">
        <f>ROUND(+U1633+W1633,4)</f>
        <v>0</v>
      </c>
      <c r="Y1633" s="68"/>
      <c r="Z1633" s="148">
        <f>ROUND(IF(X1633&gt;I1633,X1633,I1633),4)</f>
        <v>0</v>
      </c>
      <c r="AD1633" s="78">
        <f t="shared" si="28"/>
        <v>0</v>
      </c>
      <c r="AE1633" s="78">
        <f t="shared" si="29"/>
        <v>0</v>
      </c>
    </row>
    <row r="1634" spans="1:31" x14ac:dyDescent="0.2">
      <c r="A1634" s="66"/>
      <c r="B1634" s="66"/>
      <c r="C1634" s="66"/>
      <c r="D1634" s="144"/>
      <c r="E1634" s="67"/>
      <c r="F1634" s="67"/>
      <c r="G1634" s="67"/>
      <c r="H1634" s="67">
        <f>ROUND(+E1634+G1634,4)</f>
        <v>0</v>
      </c>
      <c r="I1634" s="67"/>
      <c r="J1634" s="67">
        <f>ROUND(+I1634-H1634,4)</f>
        <v>0</v>
      </c>
      <c r="K1634" s="67">
        <f>ROUND(IF(F1634="alluminio",0,I1634*1.5%),4)</f>
        <v>0</v>
      </c>
      <c r="L1634" s="67">
        <f>ROUND(IF(K1634&lt;J1634,K1634,0),4)</f>
        <v>0</v>
      </c>
      <c r="M1634" s="67">
        <f>ROUND(IF(J1634&gt;K1634,0,J1634),4)</f>
        <v>0</v>
      </c>
      <c r="N1634" s="67">
        <f>ROUND(+L1634*D1634,4)</f>
        <v>0</v>
      </c>
      <c r="O1634" s="67">
        <f>ROUND(IF(F1634="rame",0,+I1634*3%),4)</f>
        <v>0</v>
      </c>
      <c r="P1634" s="67">
        <f>ROUND(IF(O1634&lt;J1634,O1634,0),4)</f>
        <v>0</v>
      </c>
      <c r="Q1634" s="67">
        <f>ROUND(IF(J1634&gt;O1634,0,J1634),4)</f>
        <v>0</v>
      </c>
      <c r="R1634" s="67">
        <f>ROUND(+P1634*D1634,4)</f>
        <v>0</v>
      </c>
      <c r="S1634" s="67">
        <f>ROUND(IF(K1634=0,0,M1634*D1634),4)</f>
        <v>0</v>
      </c>
      <c r="T1634" s="67">
        <f>ROUND(+IF(K1634=0,Q1634*D1634,0),4)</f>
        <v>0</v>
      </c>
      <c r="U1634" s="67">
        <f>ROUND(+N1634+R1634+S1634+T1634,4)</f>
        <v>0</v>
      </c>
      <c r="V1634" s="67">
        <f>ROUND(IF(P1634=0,0,I1634-H1634-O1634)+IF(L1634=0,0,I1634-H1634-K1634),4)</f>
        <v>0</v>
      </c>
      <c r="W1634" s="67">
        <f>ROUND(+(V1634*60%)*D1634,4)</f>
        <v>0</v>
      </c>
      <c r="X1634" s="148">
        <f>ROUND(+U1634+W1634,4)</f>
        <v>0</v>
      </c>
      <c r="Y1634" s="68"/>
      <c r="Z1634" s="148">
        <f>ROUND(IF(X1634&gt;I1634,X1634,I1634),4)</f>
        <v>0</v>
      </c>
      <c r="AD1634" s="78">
        <f t="shared" si="28"/>
        <v>0</v>
      </c>
      <c r="AE1634" s="78">
        <f t="shared" si="29"/>
        <v>0</v>
      </c>
    </row>
    <row r="1635" spans="1:31" x14ac:dyDescent="0.2">
      <c r="A1635" s="66"/>
      <c r="B1635" s="66"/>
      <c r="C1635" s="66"/>
      <c r="D1635" s="144"/>
      <c r="E1635" s="67"/>
      <c r="F1635" s="67"/>
      <c r="G1635" s="67"/>
      <c r="H1635" s="67">
        <f>ROUND(+E1635+G1635,4)</f>
        <v>0</v>
      </c>
      <c r="I1635" s="67"/>
      <c r="J1635" s="67">
        <f>ROUND(+I1635-H1635,4)</f>
        <v>0</v>
      </c>
      <c r="K1635" s="67">
        <f>ROUND(IF(F1635="alluminio",0,I1635*1.5%),4)</f>
        <v>0</v>
      </c>
      <c r="L1635" s="67">
        <f>ROUND(IF(K1635&lt;J1635,K1635,0),4)</f>
        <v>0</v>
      </c>
      <c r="M1635" s="67">
        <f>ROUND(IF(J1635&gt;K1635,0,J1635),4)</f>
        <v>0</v>
      </c>
      <c r="N1635" s="67">
        <f>ROUND(+L1635*D1635,4)</f>
        <v>0</v>
      </c>
      <c r="O1635" s="67">
        <f>ROUND(IF(F1635="rame",0,+I1635*3%),4)</f>
        <v>0</v>
      </c>
      <c r="P1635" s="67">
        <f>ROUND(IF(O1635&lt;J1635,O1635,0),4)</f>
        <v>0</v>
      </c>
      <c r="Q1635" s="67">
        <f>ROUND(IF(J1635&gt;O1635,0,J1635),4)</f>
        <v>0</v>
      </c>
      <c r="R1635" s="67">
        <f>ROUND(+P1635*D1635,4)</f>
        <v>0</v>
      </c>
      <c r="S1635" s="67">
        <f>ROUND(IF(K1635=0,0,M1635*D1635),4)</f>
        <v>0</v>
      </c>
      <c r="T1635" s="67">
        <f>ROUND(+IF(K1635=0,Q1635*D1635,0),4)</f>
        <v>0</v>
      </c>
      <c r="U1635" s="67">
        <f>ROUND(+N1635+R1635+S1635+T1635,4)</f>
        <v>0</v>
      </c>
      <c r="V1635" s="67">
        <f>ROUND(IF(P1635=0,0,I1635-H1635-O1635)+IF(L1635=0,0,I1635-H1635-K1635),4)</f>
        <v>0</v>
      </c>
      <c r="W1635" s="67">
        <f>ROUND(+(V1635*60%)*D1635,4)</f>
        <v>0</v>
      </c>
      <c r="X1635" s="148">
        <f>ROUND(+U1635+W1635,4)</f>
        <v>0</v>
      </c>
      <c r="Y1635" s="68"/>
      <c r="Z1635" s="148">
        <f>ROUND(IF(X1635&gt;I1635,X1635,I1635),4)</f>
        <v>0</v>
      </c>
      <c r="AD1635" s="78">
        <f t="shared" si="28"/>
        <v>0</v>
      </c>
      <c r="AE1635" s="78">
        <f t="shared" si="29"/>
        <v>0</v>
      </c>
    </row>
    <row r="1636" spans="1:31" x14ac:dyDescent="0.2">
      <c r="A1636" s="66"/>
      <c r="B1636" s="66"/>
      <c r="C1636" s="66"/>
      <c r="D1636" s="144"/>
      <c r="E1636" s="67"/>
      <c r="F1636" s="67"/>
      <c r="G1636" s="67"/>
      <c r="H1636" s="67">
        <f>ROUND(+E1636+G1636,4)</f>
        <v>0</v>
      </c>
      <c r="I1636" s="67"/>
      <c r="J1636" s="67">
        <f>ROUND(+I1636-H1636,4)</f>
        <v>0</v>
      </c>
      <c r="K1636" s="67">
        <f>ROUND(IF(F1636="alluminio",0,I1636*1.5%),4)</f>
        <v>0</v>
      </c>
      <c r="L1636" s="67">
        <f>ROUND(IF(K1636&lt;J1636,K1636,0),4)</f>
        <v>0</v>
      </c>
      <c r="M1636" s="67">
        <f>ROUND(IF(J1636&gt;K1636,0,J1636),4)</f>
        <v>0</v>
      </c>
      <c r="N1636" s="67">
        <f>ROUND(+L1636*D1636,4)</f>
        <v>0</v>
      </c>
      <c r="O1636" s="67">
        <f>ROUND(IF(F1636="rame",0,+I1636*3%),4)</f>
        <v>0</v>
      </c>
      <c r="P1636" s="67">
        <f>ROUND(IF(O1636&lt;J1636,O1636,0),4)</f>
        <v>0</v>
      </c>
      <c r="Q1636" s="67">
        <f>ROUND(IF(J1636&gt;O1636,0,J1636),4)</f>
        <v>0</v>
      </c>
      <c r="R1636" s="67">
        <f>ROUND(+P1636*D1636,4)</f>
        <v>0</v>
      </c>
      <c r="S1636" s="67">
        <f>ROUND(IF(K1636=0,0,M1636*D1636),4)</f>
        <v>0</v>
      </c>
      <c r="T1636" s="67">
        <f>ROUND(+IF(K1636=0,Q1636*D1636,0),4)</f>
        <v>0</v>
      </c>
      <c r="U1636" s="67">
        <f>ROUND(+N1636+R1636+S1636+T1636,4)</f>
        <v>0</v>
      </c>
      <c r="V1636" s="67">
        <f>ROUND(IF(P1636=0,0,I1636-H1636-O1636)+IF(L1636=0,0,I1636-H1636-K1636),4)</f>
        <v>0</v>
      </c>
      <c r="W1636" s="67">
        <f>ROUND(+(V1636*60%)*D1636,4)</f>
        <v>0</v>
      </c>
      <c r="X1636" s="148">
        <f>ROUND(+U1636+W1636,4)</f>
        <v>0</v>
      </c>
      <c r="Y1636" s="68"/>
      <c r="Z1636" s="148">
        <f>ROUND(IF(X1636&gt;I1636,X1636,I1636),4)</f>
        <v>0</v>
      </c>
      <c r="AD1636" s="78">
        <f t="shared" si="28"/>
        <v>0</v>
      </c>
      <c r="AE1636" s="78">
        <f t="shared" si="29"/>
        <v>0</v>
      </c>
    </row>
    <row r="1637" spans="1:31" x14ac:dyDescent="0.2">
      <c r="A1637" s="66"/>
      <c r="B1637" s="66"/>
      <c r="C1637" s="66"/>
      <c r="D1637" s="144"/>
      <c r="E1637" s="67"/>
      <c r="F1637" s="67"/>
      <c r="G1637" s="67"/>
      <c r="H1637" s="67">
        <f>ROUND(+E1637+G1637,4)</f>
        <v>0</v>
      </c>
      <c r="I1637" s="67"/>
      <c r="J1637" s="67">
        <f>ROUND(+I1637-H1637,4)</f>
        <v>0</v>
      </c>
      <c r="K1637" s="67">
        <f>ROUND(IF(F1637="alluminio",0,I1637*1.5%),4)</f>
        <v>0</v>
      </c>
      <c r="L1637" s="67">
        <f>ROUND(IF(K1637&lt;J1637,K1637,0),4)</f>
        <v>0</v>
      </c>
      <c r="M1637" s="67">
        <f>ROUND(IF(J1637&gt;K1637,0,J1637),4)</f>
        <v>0</v>
      </c>
      <c r="N1637" s="67">
        <f>ROUND(+L1637*D1637,4)</f>
        <v>0</v>
      </c>
      <c r="O1637" s="67">
        <f>ROUND(IF(F1637="rame",0,+I1637*3%),4)</f>
        <v>0</v>
      </c>
      <c r="P1637" s="67">
        <f>ROUND(IF(O1637&lt;J1637,O1637,0),4)</f>
        <v>0</v>
      </c>
      <c r="Q1637" s="67">
        <f>ROUND(IF(J1637&gt;O1637,0,J1637),4)</f>
        <v>0</v>
      </c>
      <c r="R1637" s="67">
        <f>ROUND(+P1637*D1637,4)</f>
        <v>0</v>
      </c>
      <c r="S1637" s="67">
        <f>ROUND(IF(K1637=0,0,M1637*D1637),4)</f>
        <v>0</v>
      </c>
      <c r="T1637" s="67">
        <f>ROUND(+IF(K1637=0,Q1637*D1637,0),4)</f>
        <v>0</v>
      </c>
      <c r="U1637" s="67">
        <f>ROUND(+N1637+R1637+S1637+T1637,4)</f>
        <v>0</v>
      </c>
      <c r="V1637" s="67">
        <f>ROUND(IF(P1637=0,0,I1637-H1637-O1637)+IF(L1637=0,0,I1637-H1637-K1637),4)</f>
        <v>0</v>
      </c>
      <c r="W1637" s="67">
        <f>ROUND(+(V1637*60%)*D1637,4)</f>
        <v>0</v>
      </c>
      <c r="X1637" s="148">
        <f>ROUND(+U1637+W1637,4)</f>
        <v>0</v>
      </c>
      <c r="Y1637" s="68"/>
      <c r="Z1637" s="148">
        <f>ROUND(IF(X1637&gt;I1637,X1637,I1637),4)</f>
        <v>0</v>
      </c>
      <c r="AD1637" s="78">
        <f t="shared" si="28"/>
        <v>0</v>
      </c>
      <c r="AE1637" s="78">
        <f t="shared" si="29"/>
        <v>0</v>
      </c>
    </row>
    <row r="1638" spans="1:31" x14ac:dyDescent="0.2">
      <c r="A1638" s="66"/>
      <c r="B1638" s="66"/>
      <c r="C1638" s="66"/>
      <c r="D1638" s="144"/>
      <c r="E1638" s="67"/>
      <c r="F1638" s="67"/>
      <c r="G1638" s="67"/>
      <c r="H1638" s="67">
        <f>ROUND(+E1638+G1638,4)</f>
        <v>0</v>
      </c>
      <c r="I1638" s="67"/>
      <c r="J1638" s="67">
        <f>ROUND(+I1638-H1638,4)</f>
        <v>0</v>
      </c>
      <c r="K1638" s="67">
        <f>ROUND(IF(F1638="alluminio",0,I1638*1.5%),4)</f>
        <v>0</v>
      </c>
      <c r="L1638" s="67">
        <f>ROUND(IF(K1638&lt;J1638,K1638,0),4)</f>
        <v>0</v>
      </c>
      <c r="M1638" s="67">
        <f>ROUND(IF(J1638&gt;K1638,0,J1638),4)</f>
        <v>0</v>
      </c>
      <c r="N1638" s="67">
        <f>ROUND(+L1638*D1638,4)</f>
        <v>0</v>
      </c>
      <c r="O1638" s="67">
        <f>ROUND(IF(F1638="rame",0,+I1638*3%),4)</f>
        <v>0</v>
      </c>
      <c r="P1638" s="67">
        <f>ROUND(IF(O1638&lt;J1638,O1638,0),4)</f>
        <v>0</v>
      </c>
      <c r="Q1638" s="67">
        <f>ROUND(IF(J1638&gt;O1638,0,J1638),4)</f>
        <v>0</v>
      </c>
      <c r="R1638" s="67">
        <f>ROUND(+P1638*D1638,4)</f>
        <v>0</v>
      </c>
      <c r="S1638" s="67">
        <f>ROUND(IF(K1638=0,0,M1638*D1638),4)</f>
        <v>0</v>
      </c>
      <c r="T1638" s="67">
        <f>ROUND(+IF(K1638=0,Q1638*D1638,0),4)</f>
        <v>0</v>
      </c>
      <c r="U1638" s="67">
        <f>ROUND(+N1638+R1638+S1638+T1638,4)</f>
        <v>0</v>
      </c>
      <c r="V1638" s="67">
        <f>ROUND(IF(P1638=0,0,I1638-H1638-O1638)+IF(L1638=0,0,I1638-H1638-K1638),4)</f>
        <v>0</v>
      </c>
      <c r="W1638" s="67">
        <f>ROUND(+(V1638*60%)*D1638,4)</f>
        <v>0</v>
      </c>
      <c r="X1638" s="148">
        <f>ROUND(+U1638+W1638,4)</f>
        <v>0</v>
      </c>
      <c r="Y1638" s="68"/>
      <c r="Z1638" s="148">
        <f>ROUND(IF(X1638&gt;I1638,X1638,I1638),4)</f>
        <v>0</v>
      </c>
      <c r="AD1638" s="78">
        <f t="shared" si="28"/>
        <v>0</v>
      </c>
      <c r="AE1638" s="78">
        <f t="shared" si="29"/>
        <v>0</v>
      </c>
    </row>
    <row r="1639" spans="1:31" x14ac:dyDescent="0.2">
      <c r="A1639" s="66"/>
      <c r="B1639" s="66"/>
      <c r="C1639" s="66"/>
      <c r="D1639" s="144"/>
      <c r="E1639" s="67"/>
      <c r="F1639" s="67"/>
      <c r="G1639" s="67"/>
      <c r="H1639" s="67">
        <f>ROUND(+E1639+G1639,4)</f>
        <v>0</v>
      </c>
      <c r="I1639" s="67"/>
      <c r="J1639" s="67">
        <f>ROUND(+I1639-H1639,4)</f>
        <v>0</v>
      </c>
      <c r="K1639" s="67">
        <f>ROUND(IF(F1639="alluminio",0,I1639*1.5%),4)</f>
        <v>0</v>
      </c>
      <c r="L1639" s="67">
        <f>ROUND(IF(K1639&lt;J1639,K1639,0),4)</f>
        <v>0</v>
      </c>
      <c r="M1639" s="67">
        <f>ROUND(IF(J1639&gt;K1639,0,J1639),4)</f>
        <v>0</v>
      </c>
      <c r="N1639" s="67">
        <f>ROUND(+L1639*D1639,4)</f>
        <v>0</v>
      </c>
      <c r="O1639" s="67">
        <f>ROUND(IF(F1639="rame",0,+I1639*3%),4)</f>
        <v>0</v>
      </c>
      <c r="P1639" s="67">
        <f>ROUND(IF(O1639&lt;J1639,O1639,0),4)</f>
        <v>0</v>
      </c>
      <c r="Q1639" s="67">
        <f>ROUND(IF(J1639&gt;O1639,0,J1639),4)</f>
        <v>0</v>
      </c>
      <c r="R1639" s="67">
        <f>ROUND(+P1639*D1639,4)</f>
        <v>0</v>
      </c>
      <c r="S1639" s="67">
        <f>ROUND(IF(K1639=0,0,M1639*D1639),4)</f>
        <v>0</v>
      </c>
      <c r="T1639" s="67">
        <f>ROUND(+IF(K1639=0,Q1639*D1639,0),4)</f>
        <v>0</v>
      </c>
      <c r="U1639" s="67">
        <f>ROUND(+N1639+R1639+S1639+T1639,4)</f>
        <v>0</v>
      </c>
      <c r="V1639" s="67">
        <f>ROUND(IF(P1639=0,0,I1639-H1639-O1639)+IF(L1639=0,0,I1639-H1639-K1639),4)</f>
        <v>0</v>
      </c>
      <c r="W1639" s="67">
        <f>ROUND(+(V1639*60%)*D1639,4)</f>
        <v>0</v>
      </c>
      <c r="X1639" s="148">
        <f>ROUND(+U1639+W1639,4)</f>
        <v>0</v>
      </c>
      <c r="Y1639" s="68"/>
      <c r="Z1639" s="148">
        <f>ROUND(IF(X1639&gt;I1639,X1639,I1639),4)</f>
        <v>0</v>
      </c>
      <c r="AD1639" s="78">
        <f t="shared" si="28"/>
        <v>0</v>
      </c>
      <c r="AE1639" s="78">
        <f t="shared" si="29"/>
        <v>0</v>
      </c>
    </row>
    <row r="1640" spans="1:31" x14ac:dyDescent="0.2">
      <c r="A1640" s="66"/>
      <c r="B1640" s="66"/>
      <c r="C1640" s="66"/>
      <c r="D1640" s="144"/>
      <c r="E1640" s="67"/>
      <c r="F1640" s="67"/>
      <c r="G1640" s="67"/>
      <c r="H1640" s="67">
        <f>ROUND(+E1640+G1640,4)</f>
        <v>0</v>
      </c>
      <c r="I1640" s="67"/>
      <c r="J1640" s="67">
        <f>ROUND(+I1640-H1640,4)</f>
        <v>0</v>
      </c>
      <c r="K1640" s="67">
        <f>ROUND(IF(F1640="alluminio",0,I1640*1.5%),4)</f>
        <v>0</v>
      </c>
      <c r="L1640" s="67">
        <f>ROUND(IF(K1640&lt;J1640,K1640,0),4)</f>
        <v>0</v>
      </c>
      <c r="M1640" s="67">
        <f>ROUND(IF(J1640&gt;K1640,0,J1640),4)</f>
        <v>0</v>
      </c>
      <c r="N1640" s="67">
        <f>ROUND(+L1640*D1640,4)</f>
        <v>0</v>
      </c>
      <c r="O1640" s="67">
        <f>ROUND(IF(F1640="rame",0,+I1640*3%),4)</f>
        <v>0</v>
      </c>
      <c r="P1640" s="67">
        <f>ROUND(IF(O1640&lt;J1640,O1640,0),4)</f>
        <v>0</v>
      </c>
      <c r="Q1640" s="67">
        <f>ROUND(IF(J1640&gt;O1640,0,J1640),4)</f>
        <v>0</v>
      </c>
      <c r="R1640" s="67">
        <f>ROUND(+P1640*D1640,4)</f>
        <v>0</v>
      </c>
      <c r="S1640" s="67">
        <f>ROUND(IF(K1640=0,0,M1640*D1640),4)</f>
        <v>0</v>
      </c>
      <c r="T1640" s="67">
        <f>ROUND(+IF(K1640=0,Q1640*D1640,0),4)</f>
        <v>0</v>
      </c>
      <c r="U1640" s="67">
        <f>ROUND(+N1640+R1640+S1640+T1640,4)</f>
        <v>0</v>
      </c>
      <c r="V1640" s="67">
        <f>ROUND(IF(P1640=0,0,I1640-H1640-O1640)+IF(L1640=0,0,I1640-H1640-K1640),4)</f>
        <v>0</v>
      </c>
      <c r="W1640" s="67">
        <f>ROUND(+(V1640*60%)*D1640,4)</f>
        <v>0</v>
      </c>
      <c r="X1640" s="148">
        <f>ROUND(+U1640+W1640,4)</f>
        <v>0</v>
      </c>
      <c r="Y1640" s="68"/>
      <c r="Z1640" s="148">
        <f>ROUND(IF(X1640&gt;I1640,X1640,I1640),4)</f>
        <v>0</v>
      </c>
      <c r="AD1640" s="78">
        <f t="shared" si="28"/>
        <v>0</v>
      </c>
      <c r="AE1640" s="78">
        <f t="shared" si="29"/>
        <v>0</v>
      </c>
    </row>
    <row r="1641" spans="1:31" x14ac:dyDescent="0.2">
      <c r="A1641" s="66"/>
      <c r="B1641" s="66"/>
      <c r="C1641" s="66"/>
      <c r="D1641" s="144"/>
      <c r="E1641" s="67"/>
      <c r="F1641" s="67"/>
      <c r="G1641" s="67"/>
      <c r="H1641" s="67">
        <f>ROUND(+E1641+G1641,4)</f>
        <v>0</v>
      </c>
      <c r="I1641" s="67"/>
      <c r="J1641" s="67">
        <f>ROUND(+I1641-H1641,4)</f>
        <v>0</v>
      </c>
      <c r="K1641" s="67">
        <f>ROUND(IF(F1641="alluminio",0,I1641*1.5%),4)</f>
        <v>0</v>
      </c>
      <c r="L1641" s="67">
        <f>ROUND(IF(K1641&lt;J1641,K1641,0),4)</f>
        <v>0</v>
      </c>
      <c r="M1641" s="67">
        <f>ROUND(IF(J1641&gt;K1641,0,J1641),4)</f>
        <v>0</v>
      </c>
      <c r="N1641" s="67">
        <f>ROUND(+L1641*D1641,4)</f>
        <v>0</v>
      </c>
      <c r="O1641" s="67">
        <f>ROUND(IF(F1641="rame",0,+I1641*3%),4)</f>
        <v>0</v>
      </c>
      <c r="P1641" s="67">
        <f>ROUND(IF(O1641&lt;J1641,O1641,0),4)</f>
        <v>0</v>
      </c>
      <c r="Q1641" s="67">
        <f>ROUND(IF(J1641&gt;O1641,0,J1641),4)</f>
        <v>0</v>
      </c>
      <c r="R1641" s="67">
        <f>ROUND(+P1641*D1641,4)</f>
        <v>0</v>
      </c>
      <c r="S1641" s="67">
        <f>ROUND(IF(K1641=0,0,M1641*D1641),4)</f>
        <v>0</v>
      </c>
      <c r="T1641" s="67">
        <f>ROUND(+IF(K1641=0,Q1641*D1641,0),4)</f>
        <v>0</v>
      </c>
      <c r="U1641" s="67">
        <f>ROUND(+N1641+R1641+S1641+T1641,4)</f>
        <v>0</v>
      </c>
      <c r="V1641" s="67">
        <f>ROUND(IF(P1641=0,0,I1641-H1641-O1641)+IF(L1641=0,0,I1641-H1641-K1641),4)</f>
        <v>0</v>
      </c>
      <c r="W1641" s="67">
        <f>ROUND(+(V1641*60%)*D1641,4)</f>
        <v>0</v>
      </c>
      <c r="X1641" s="148">
        <f>ROUND(+U1641+W1641,4)</f>
        <v>0</v>
      </c>
      <c r="Y1641" s="68"/>
      <c r="Z1641" s="148">
        <f>ROUND(IF(X1641&gt;I1641,X1641,I1641),4)</f>
        <v>0</v>
      </c>
      <c r="AD1641" s="78">
        <f t="shared" si="28"/>
        <v>0</v>
      </c>
      <c r="AE1641" s="78">
        <f t="shared" si="29"/>
        <v>0</v>
      </c>
    </row>
    <row r="1642" spans="1:31" x14ac:dyDescent="0.2">
      <c r="A1642" s="66"/>
      <c r="B1642" s="66"/>
      <c r="C1642" s="66"/>
      <c r="D1642" s="144"/>
      <c r="E1642" s="67"/>
      <c r="F1642" s="67"/>
      <c r="G1642" s="67"/>
      <c r="H1642" s="67">
        <f>ROUND(+E1642+G1642,4)</f>
        <v>0</v>
      </c>
      <c r="I1642" s="67"/>
      <c r="J1642" s="67">
        <f>ROUND(+I1642-H1642,4)</f>
        <v>0</v>
      </c>
      <c r="K1642" s="67">
        <f>ROUND(IF(F1642="alluminio",0,I1642*1.5%),4)</f>
        <v>0</v>
      </c>
      <c r="L1642" s="67">
        <f>ROUND(IF(K1642&lt;J1642,K1642,0),4)</f>
        <v>0</v>
      </c>
      <c r="M1642" s="67">
        <f>ROUND(IF(J1642&gt;K1642,0,J1642),4)</f>
        <v>0</v>
      </c>
      <c r="N1642" s="67">
        <f>ROUND(+L1642*D1642,4)</f>
        <v>0</v>
      </c>
      <c r="O1642" s="67">
        <f>ROUND(IF(F1642="rame",0,+I1642*3%),4)</f>
        <v>0</v>
      </c>
      <c r="P1642" s="67">
        <f>ROUND(IF(O1642&lt;J1642,O1642,0),4)</f>
        <v>0</v>
      </c>
      <c r="Q1642" s="67">
        <f>ROUND(IF(J1642&gt;O1642,0,J1642),4)</f>
        <v>0</v>
      </c>
      <c r="R1642" s="67">
        <f>ROUND(+P1642*D1642,4)</f>
        <v>0</v>
      </c>
      <c r="S1642" s="67">
        <f>ROUND(IF(K1642=0,0,M1642*D1642),4)</f>
        <v>0</v>
      </c>
      <c r="T1642" s="67">
        <f>ROUND(+IF(K1642=0,Q1642*D1642,0),4)</f>
        <v>0</v>
      </c>
      <c r="U1642" s="67">
        <f>ROUND(+N1642+R1642+S1642+T1642,4)</f>
        <v>0</v>
      </c>
      <c r="V1642" s="67">
        <f>ROUND(IF(P1642=0,0,I1642-H1642-O1642)+IF(L1642=0,0,I1642-H1642-K1642),4)</f>
        <v>0</v>
      </c>
      <c r="W1642" s="67">
        <f>ROUND(+(V1642*60%)*D1642,4)</f>
        <v>0</v>
      </c>
      <c r="X1642" s="148">
        <f>ROUND(+U1642+W1642,4)</f>
        <v>0</v>
      </c>
      <c r="Y1642" s="68"/>
      <c r="Z1642" s="148">
        <f>ROUND(IF(X1642&gt;I1642,X1642,I1642),4)</f>
        <v>0</v>
      </c>
      <c r="AD1642" s="78">
        <f t="shared" si="28"/>
        <v>0</v>
      </c>
      <c r="AE1642" s="78">
        <f t="shared" si="29"/>
        <v>0</v>
      </c>
    </row>
    <row r="1643" spans="1:31" x14ac:dyDescent="0.2">
      <c r="A1643" s="66"/>
      <c r="B1643" s="66"/>
      <c r="C1643" s="66"/>
      <c r="D1643" s="144"/>
      <c r="E1643" s="67"/>
      <c r="F1643" s="67"/>
      <c r="G1643" s="67"/>
      <c r="H1643" s="67">
        <f>ROUND(+E1643+G1643,4)</f>
        <v>0</v>
      </c>
      <c r="I1643" s="67"/>
      <c r="J1643" s="67">
        <f>ROUND(+I1643-H1643,4)</f>
        <v>0</v>
      </c>
      <c r="K1643" s="67">
        <f>ROUND(IF(F1643="alluminio",0,I1643*1.5%),4)</f>
        <v>0</v>
      </c>
      <c r="L1643" s="67">
        <f>ROUND(IF(K1643&lt;J1643,K1643,0),4)</f>
        <v>0</v>
      </c>
      <c r="M1643" s="67">
        <f>ROUND(IF(J1643&gt;K1643,0,J1643),4)</f>
        <v>0</v>
      </c>
      <c r="N1643" s="67">
        <f>ROUND(+L1643*D1643,4)</f>
        <v>0</v>
      </c>
      <c r="O1643" s="67">
        <f>ROUND(IF(F1643="rame",0,+I1643*3%),4)</f>
        <v>0</v>
      </c>
      <c r="P1643" s="67">
        <f>ROUND(IF(O1643&lt;J1643,O1643,0),4)</f>
        <v>0</v>
      </c>
      <c r="Q1643" s="67">
        <f>ROUND(IF(J1643&gt;O1643,0,J1643),4)</f>
        <v>0</v>
      </c>
      <c r="R1643" s="67">
        <f>ROUND(+P1643*D1643,4)</f>
        <v>0</v>
      </c>
      <c r="S1643" s="67">
        <f>ROUND(IF(K1643=0,0,M1643*D1643),4)</f>
        <v>0</v>
      </c>
      <c r="T1643" s="67">
        <f>ROUND(+IF(K1643=0,Q1643*D1643,0),4)</f>
        <v>0</v>
      </c>
      <c r="U1643" s="67">
        <f>ROUND(+N1643+R1643+S1643+T1643,4)</f>
        <v>0</v>
      </c>
      <c r="V1643" s="67">
        <f>ROUND(IF(P1643=0,0,I1643-H1643-O1643)+IF(L1643=0,0,I1643-H1643-K1643),4)</f>
        <v>0</v>
      </c>
      <c r="W1643" s="67">
        <f>ROUND(+(V1643*60%)*D1643,4)</f>
        <v>0</v>
      </c>
      <c r="X1643" s="148">
        <f>ROUND(+U1643+W1643,4)</f>
        <v>0</v>
      </c>
      <c r="Y1643" s="68"/>
      <c r="Z1643" s="148">
        <f>ROUND(IF(X1643&gt;I1643,X1643,I1643),4)</f>
        <v>0</v>
      </c>
      <c r="AD1643" s="78">
        <f t="shared" si="28"/>
        <v>0</v>
      </c>
      <c r="AE1643" s="78">
        <f t="shared" si="29"/>
        <v>0</v>
      </c>
    </row>
    <row r="1644" spans="1:31" x14ac:dyDescent="0.2">
      <c r="A1644" s="66"/>
      <c r="B1644" s="66"/>
      <c r="C1644" s="66"/>
      <c r="D1644" s="144"/>
      <c r="E1644" s="67"/>
      <c r="F1644" s="67"/>
      <c r="G1644" s="67"/>
      <c r="H1644" s="67">
        <f>ROUND(+E1644+G1644,4)</f>
        <v>0</v>
      </c>
      <c r="I1644" s="67"/>
      <c r="J1644" s="67">
        <f>ROUND(+I1644-H1644,4)</f>
        <v>0</v>
      </c>
      <c r="K1644" s="67">
        <f>ROUND(IF(F1644="alluminio",0,I1644*1.5%),4)</f>
        <v>0</v>
      </c>
      <c r="L1644" s="67">
        <f>ROUND(IF(K1644&lt;J1644,K1644,0),4)</f>
        <v>0</v>
      </c>
      <c r="M1644" s="67">
        <f>ROUND(IF(J1644&gt;K1644,0,J1644),4)</f>
        <v>0</v>
      </c>
      <c r="N1644" s="67">
        <f>ROUND(+L1644*D1644,4)</f>
        <v>0</v>
      </c>
      <c r="O1644" s="67">
        <f>ROUND(IF(F1644="rame",0,+I1644*3%),4)</f>
        <v>0</v>
      </c>
      <c r="P1644" s="67">
        <f>ROUND(IF(O1644&lt;J1644,O1644,0),4)</f>
        <v>0</v>
      </c>
      <c r="Q1644" s="67">
        <f>ROUND(IF(J1644&gt;O1644,0,J1644),4)</f>
        <v>0</v>
      </c>
      <c r="R1644" s="67">
        <f>ROUND(+P1644*D1644,4)</f>
        <v>0</v>
      </c>
      <c r="S1644" s="67">
        <f>ROUND(IF(K1644=0,0,M1644*D1644),4)</f>
        <v>0</v>
      </c>
      <c r="T1644" s="67">
        <f>ROUND(+IF(K1644=0,Q1644*D1644,0),4)</f>
        <v>0</v>
      </c>
      <c r="U1644" s="67">
        <f>ROUND(+N1644+R1644+S1644+T1644,4)</f>
        <v>0</v>
      </c>
      <c r="V1644" s="67">
        <f>ROUND(IF(P1644=0,0,I1644-H1644-O1644)+IF(L1644=0,0,I1644-H1644-K1644),4)</f>
        <v>0</v>
      </c>
      <c r="W1644" s="67">
        <f>ROUND(+(V1644*60%)*D1644,4)</f>
        <v>0</v>
      </c>
      <c r="X1644" s="148">
        <f>ROUND(+U1644+W1644,4)</f>
        <v>0</v>
      </c>
      <c r="Y1644" s="68"/>
      <c r="Z1644" s="148">
        <f>ROUND(IF(X1644&gt;I1644,X1644,I1644),4)</f>
        <v>0</v>
      </c>
      <c r="AD1644" s="78">
        <f t="shared" si="28"/>
        <v>0</v>
      </c>
      <c r="AE1644" s="78">
        <f t="shared" si="29"/>
        <v>0</v>
      </c>
    </row>
    <row r="1645" spans="1:31" x14ac:dyDescent="0.2">
      <c r="A1645" s="66"/>
      <c r="B1645" s="66"/>
      <c r="C1645" s="66"/>
      <c r="D1645" s="144"/>
      <c r="E1645" s="67"/>
      <c r="F1645" s="67"/>
      <c r="G1645" s="67"/>
      <c r="H1645" s="67">
        <f>ROUND(+E1645+G1645,4)</f>
        <v>0</v>
      </c>
      <c r="I1645" s="67"/>
      <c r="J1645" s="67">
        <f>ROUND(+I1645-H1645,4)</f>
        <v>0</v>
      </c>
      <c r="K1645" s="67">
        <f>ROUND(IF(F1645="alluminio",0,I1645*1.5%),4)</f>
        <v>0</v>
      </c>
      <c r="L1645" s="67">
        <f>ROUND(IF(K1645&lt;J1645,K1645,0),4)</f>
        <v>0</v>
      </c>
      <c r="M1645" s="67">
        <f>ROUND(IF(J1645&gt;K1645,0,J1645),4)</f>
        <v>0</v>
      </c>
      <c r="N1645" s="67">
        <f>ROUND(+L1645*D1645,4)</f>
        <v>0</v>
      </c>
      <c r="O1645" s="67">
        <f>ROUND(IF(F1645="rame",0,+I1645*3%),4)</f>
        <v>0</v>
      </c>
      <c r="P1645" s="67">
        <f>ROUND(IF(O1645&lt;J1645,O1645,0),4)</f>
        <v>0</v>
      </c>
      <c r="Q1645" s="67">
        <f>ROUND(IF(J1645&gt;O1645,0,J1645),4)</f>
        <v>0</v>
      </c>
      <c r="R1645" s="67">
        <f>ROUND(+P1645*D1645,4)</f>
        <v>0</v>
      </c>
      <c r="S1645" s="67">
        <f>ROUND(IF(K1645=0,0,M1645*D1645),4)</f>
        <v>0</v>
      </c>
      <c r="T1645" s="67">
        <f>ROUND(+IF(K1645=0,Q1645*D1645,0),4)</f>
        <v>0</v>
      </c>
      <c r="U1645" s="67">
        <f>ROUND(+N1645+R1645+S1645+T1645,4)</f>
        <v>0</v>
      </c>
      <c r="V1645" s="67">
        <f>ROUND(IF(P1645=0,0,I1645-H1645-O1645)+IF(L1645=0,0,I1645-H1645-K1645),4)</f>
        <v>0</v>
      </c>
      <c r="W1645" s="67">
        <f>ROUND(+(V1645*60%)*D1645,4)</f>
        <v>0</v>
      </c>
      <c r="X1645" s="148">
        <f>ROUND(+U1645+W1645,4)</f>
        <v>0</v>
      </c>
      <c r="Y1645" s="68"/>
      <c r="Z1645" s="148">
        <f>ROUND(IF(X1645&gt;I1645,X1645,I1645),4)</f>
        <v>0</v>
      </c>
      <c r="AD1645" s="78">
        <f t="shared" si="28"/>
        <v>0</v>
      </c>
      <c r="AE1645" s="78">
        <f t="shared" si="29"/>
        <v>0</v>
      </c>
    </row>
    <row r="1646" spans="1:31" x14ac:dyDescent="0.2">
      <c r="A1646" s="66"/>
      <c r="B1646" s="66"/>
      <c r="C1646" s="66"/>
      <c r="D1646" s="144"/>
      <c r="E1646" s="67"/>
      <c r="F1646" s="67"/>
      <c r="G1646" s="67"/>
      <c r="H1646" s="67">
        <f>ROUND(+E1646+G1646,4)</f>
        <v>0</v>
      </c>
      <c r="I1646" s="67"/>
      <c r="J1646" s="67">
        <f>ROUND(+I1646-H1646,4)</f>
        <v>0</v>
      </c>
      <c r="K1646" s="67">
        <f>ROUND(IF(F1646="alluminio",0,I1646*1.5%),4)</f>
        <v>0</v>
      </c>
      <c r="L1646" s="67">
        <f>ROUND(IF(K1646&lt;J1646,K1646,0),4)</f>
        <v>0</v>
      </c>
      <c r="M1646" s="67">
        <f>ROUND(IF(J1646&gt;K1646,0,J1646),4)</f>
        <v>0</v>
      </c>
      <c r="N1646" s="67">
        <f>ROUND(+L1646*D1646,4)</f>
        <v>0</v>
      </c>
      <c r="O1646" s="67">
        <f>ROUND(IF(F1646="rame",0,+I1646*3%),4)</f>
        <v>0</v>
      </c>
      <c r="P1646" s="67">
        <f>ROUND(IF(O1646&lt;J1646,O1646,0),4)</f>
        <v>0</v>
      </c>
      <c r="Q1646" s="67">
        <f>ROUND(IF(J1646&gt;O1646,0,J1646),4)</f>
        <v>0</v>
      </c>
      <c r="R1646" s="67">
        <f>ROUND(+P1646*D1646,4)</f>
        <v>0</v>
      </c>
      <c r="S1646" s="67">
        <f>ROUND(IF(K1646=0,0,M1646*D1646),4)</f>
        <v>0</v>
      </c>
      <c r="T1646" s="67">
        <f>ROUND(+IF(K1646=0,Q1646*D1646,0),4)</f>
        <v>0</v>
      </c>
      <c r="U1646" s="67">
        <f>ROUND(+N1646+R1646+S1646+T1646,4)</f>
        <v>0</v>
      </c>
      <c r="V1646" s="67">
        <f>ROUND(IF(P1646=0,0,I1646-H1646-O1646)+IF(L1646=0,0,I1646-H1646-K1646),4)</f>
        <v>0</v>
      </c>
      <c r="W1646" s="67">
        <f>ROUND(+(V1646*60%)*D1646,4)</f>
        <v>0</v>
      </c>
      <c r="X1646" s="148">
        <f>ROUND(+U1646+W1646,4)</f>
        <v>0</v>
      </c>
      <c r="Y1646" s="68"/>
      <c r="Z1646" s="148">
        <f>ROUND(IF(X1646&gt;I1646,X1646,I1646),4)</f>
        <v>0</v>
      </c>
      <c r="AD1646" s="78">
        <f t="shared" si="28"/>
        <v>0</v>
      </c>
      <c r="AE1646" s="78">
        <f t="shared" si="29"/>
        <v>0</v>
      </c>
    </row>
    <row r="1647" spans="1:31" x14ac:dyDescent="0.2">
      <c r="A1647" s="66"/>
      <c r="B1647" s="66"/>
      <c r="C1647" s="66"/>
      <c r="D1647" s="144"/>
      <c r="E1647" s="67"/>
      <c r="F1647" s="67"/>
      <c r="G1647" s="67"/>
      <c r="H1647" s="67">
        <f>ROUND(+E1647+G1647,4)</f>
        <v>0</v>
      </c>
      <c r="I1647" s="67"/>
      <c r="J1647" s="67">
        <f>ROUND(+I1647-H1647,4)</f>
        <v>0</v>
      </c>
      <c r="K1647" s="67">
        <f>ROUND(IF(F1647="alluminio",0,I1647*1.5%),4)</f>
        <v>0</v>
      </c>
      <c r="L1647" s="67">
        <f>ROUND(IF(K1647&lt;J1647,K1647,0),4)</f>
        <v>0</v>
      </c>
      <c r="M1647" s="67">
        <f>ROUND(IF(J1647&gt;K1647,0,J1647),4)</f>
        <v>0</v>
      </c>
      <c r="N1647" s="67">
        <f>ROUND(+L1647*D1647,4)</f>
        <v>0</v>
      </c>
      <c r="O1647" s="67">
        <f>ROUND(IF(F1647="rame",0,+I1647*3%),4)</f>
        <v>0</v>
      </c>
      <c r="P1647" s="67">
        <f>ROUND(IF(O1647&lt;J1647,O1647,0),4)</f>
        <v>0</v>
      </c>
      <c r="Q1647" s="67">
        <f>ROUND(IF(J1647&gt;O1647,0,J1647),4)</f>
        <v>0</v>
      </c>
      <c r="R1647" s="67">
        <f>ROUND(+P1647*D1647,4)</f>
        <v>0</v>
      </c>
      <c r="S1647" s="67">
        <f>ROUND(IF(K1647=0,0,M1647*D1647),4)</f>
        <v>0</v>
      </c>
      <c r="T1647" s="67">
        <f>ROUND(+IF(K1647=0,Q1647*D1647,0),4)</f>
        <v>0</v>
      </c>
      <c r="U1647" s="67">
        <f>ROUND(+N1647+R1647+S1647+T1647,4)</f>
        <v>0</v>
      </c>
      <c r="V1647" s="67">
        <f>ROUND(IF(P1647=0,0,I1647-H1647-O1647)+IF(L1647=0,0,I1647-H1647-K1647),4)</f>
        <v>0</v>
      </c>
      <c r="W1647" s="67">
        <f>ROUND(+(V1647*60%)*D1647,4)</f>
        <v>0</v>
      </c>
      <c r="X1647" s="148">
        <f>ROUND(+U1647+W1647,4)</f>
        <v>0</v>
      </c>
      <c r="Y1647" s="68"/>
      <c r="Z1647" s="148">
        <f>ROUND(IF(X1647&gt;I1647,X1647,I1647),4)</f>
        <v>0</v>
      </c>
      <c r="AD1647" s="78">
        <f t="shared" si="28"/>
        <v>0</v>
      </c>
      <c r="AE1647" s="78">
        <f t="shared" si="29"/>
        <v>0</v>
      </c>
    </row>
    <row r="1648" spans="1:31" x14ac:dyDescent="0.2">
      <c r="A1648" s="66"/>
      <c r="B1648" s="66"/>
      <c r="C1648" s="66"/>
      <c r="D1648" s="144"/>
      <c r="E1648" s="67"/>
      <c r="F1648" s="67"/>
      <c r="G1648" s="67"/>
      <c r="H1648" s="67">
        <f>ROUND(+E1648+G1648,4)</f>
        <v>0</v>
      </c>
      <c r="I1648" s="67"/>
      <c r="J1648" s="67">
        <f>ROUND(+I1648-H1648,4)</f>
        <v>0</v>
      </c>
      <c r="K1648" s="67">
        <f>ROUND(IF(F1648="alluminio",0,I1648*1.5%),4)</f>
        <v>0</v>
      </c>
      <c r="L1648" s="67">
        <f>ROUND(IF(K1648&lt;J1648,K1648,0),4)</f>
        <v>0</v>
      </c>
      <c r="M1648" s="67">
        <f>ROUND(IF(J1648&gt;K1648,0,J1648),4)</f>
        <v>0</v>
      </c>
      <c r="N1648" s="67">
        <f>ROUND(+L1648*D1648,4)</f>
        <v>0</v>
      </c>
      <c r="O1648" s="67">
        <f>ROUND(IF(F1648="rame",0,+I1648*3%),4)</f>
        <v>0</v>
      </c>
      <c r="P1648" s="67">
        <f>ROUND(IF(O1648&lt;J1648,O1648,0),4)</f>
        <v>0</v>
      </c>
      <c r="Q1648" s="67">
        <f>ROUND(IF(J1648&gt;O1648,0,J1648),4)</f>
        <v>0</v>
      </c>
      <c r="R1648" s="67">
        <f>ROUND(+P1648*D1648,4)</f>
        <v>0</v>
      </c>
      <c r="S1648" s="67">
        <f>ROUND(IF(K1648=0,0,M1648*D1648),4)</f>
        <v>0</v>
      </c>
      <c r="T1648" s="67">
        <f>ROUND(+IF(K1648=0,Q1648*D1648,0),4)</f>
        <v>0</v>
      </c>
      <c r="U1648" s="67">
        <f>ROUND(+N1648+R1648+S1648+T1648,4)</f>
        <v>0</v>
      </c>
      <c r="V1648" s="67">
        <f>ROUND(IF(P1648=0,0,I1648-H1648-O1648)+IF(L1648=0,0,I1648-H1648-K1648),4)</f>
        <v>0</v>
      </c>
      <c r="W1648" s="67">
        <f>ROUND(+(V1648*60%)*D1648,4)</f>
        <v>0</v>
      </c>
      <c r="X1648" s="148">
        <f>ROUND(+U1648+W1648,4)</f>
        <v>0</v>
      </c>
      <c r="Y1648" s="68"/>
      <c r="Z1648" s="148">
        <f>ROUND(IF(X1648&gt;I1648,X1648,I1648),4)</f>
        <v>0</v>
      </c>
      <c r="AD1648" s="78">
        <f t="shared" si="28"/>
        <v>0</v>
      </c>
      <c r="AE1648" s="78">
        <f t="shared" si="29"/>
        <v>0</v>
      </c>
    </row>
    <row r="1649" spans="1:31" x14ac:dyDescent="0.2">
      <c r="A1649" s="66"/>
      <c r="B1649" s="66"/>
      <c r="C1649" s="66"/>
      <c r="D1649" s="144"/>
      <c r="E1649" s="67"/>
      <c r="F1649" s="67"/>
      <c r="G1649" s="67"/>
      <c r="H1649" s="67">
        <f>ROUND(+E1649+G1649,4)</f>
        <v>0</v>
      </c>
      <c r="I1649" s="67"/>
      <c r="J1649" s="67">
        <f>ROUND(+I1649-H1649,4)</f>
        <v>0</v>
      </c>
      <c r="K1649" s="67">
        <f>ROUND(IF(F1649="alluminio",0,I1649*1.5%),4)</f>
        <v>0</v>
      </c>
      <c r="L1649" s="67">
        <f>ROUND(IF(K1649&lt;J1649,K1649,0),4)</f>
        <v>0</v>
      </c>
      <c r="M1649" s="67">
        <f>ROUND(IF(J1649&gt;K1649,0,J1649),4)</f>
        <v>0</v>
      </c>
      <c r="N1649" s="67">
        <f>ROUND(+L1649*D1649,4)</f>
        <v>0</v>
      </c>
      <c r="O1649" s="67">
        <f>ROUND(IF(F1649="rame",0,+I1649*3%),4)</f>
        <v>0</v>
      </c>
      <c r="P1649" s="67">
        <f>ROUND(IF(O1649&lt;J1649,O1649,0),4)</f>
        <v>0</v>
      </c>
      <c r="Q1649" s="67">
        <f>ROUND(IF(J1649&gt;O1649,0,J1649),4)</f>
        <v>0</v>
      </c>
      <c r="R1649" s="67">
        <f>ROUND(+P1649*D1649,4)</f>
        <v>0</v>
      </c>
      <c r="S1649" s="67">
        <f>ROUND(IF(K1649=0,0,M1649*D1649),4)</f>
        <v>0</v>
      </c>
      <c r="T1649" s="67">
        <f>ROUND(+IF(K1649=0,Q1649*D1649,0),4)</f>
        <v>0</v>
      </c>
      <c r="U1649" s="67">
        <f>ROUND(+N1649+R1649+S1649+T1649,4)</f>
        <v>0</v>
      </c>
      <c r="V1649" s="67">
        <f>ROUND(IF(P1649=0,0,I1649-H1649-O1649)+IF(L1649=0,0,I1649-H1649-K1649),4)</f>
        <v>0</v>
      </c>
      <c r="W1649" s="67">
        <f>ROUND(+(V1649*60%)*D1649,4)</f>
        <v>0</v>
      </c>
      <c r="X1649" s="148">
        <f>ROUND(+U1649+W1649,4)</f>
        <v>0</v>
      </c>
      <c r="Y1649" s="68"/>
      <c r="Z1649" s="148">
        <f>ROUND(IF(X1649&gt;I1649,X1649,I1649),4)</f>
        <v>0</v>
      </c>
      <c r="AD1649" s="78">
        <f t="shared" si="28"/>
        <v>0</v>
      </c>
      <c r="AE1649" s="78">
        <f t="shared" si="29"/>
        <v>0</v>
      </c>
    </row>
    <row r="1650" spans="1:31" x14ac:dyDescent="0.2">
      <c r="A1650" s="66"/>
      <c r="B1650" s="66"/>
      <c r="C1650" s="66"/>
      <c r="D1650" s="144"/>
      <c r="E1650" s="67"/>
      <c r="F1650" s="67"/>
      <c r="G1650" s="67"/>
      <c r="H1650" s="67">
        <f>ROUND(+E1650+G1650,4)</f>
        <v>0</v>
      </c>
      <c r="I1650" s="67"/>
      <c r="J1650" s="67">
        <f>ROUND(+I1650-H1650,4)</f>
        <v>0</v>
      </c>
      <c r="K1650" s="67">
        <f>ROUND(IF(F1650="alluminio",0,I1650*1.5%),4)</f>
        <v>0</v>
      </c>
      <c r="L1650" s="67">
        <f>ROUND(IF(K1650&lt;J1650,K1650,0),4)</f>
        <v>0</v>
      </c>
      <c r="M1650" s="67">
        <f>ROUND(IF(J1650&gt;K1650,0,J1650),4)</f>
        <v>0</v>
      </c>
      <c r="N1650" s="67">
        <f>ROUND(+L1650*D1650,4)</f>
        <v>0</v>
      </c>
      <c r="O1650" s="67">
        <f>ROUND(IF(F1650="rame",0,+I1650*3%),4)</f>
        <v>0</v>
      </c>
      <c r="P1650" s="67">
        <f>ROUND(IF(O1650&lt;J1650,O1650,0),4)</f>
        <v>0</v>
      </c>
      <c r="Q1650" s="67">
        <f>ROUND(IF(J1650&gt;O1650,0,J1650),4)</f>
        <v>0</v>
      </c>
      <c r="R1650" s="67">
        <f>ROUND(+P1650*D1650,4)</f>
        <v>0</v>
      </c>
      <c r="S1650" s="67">
        <f>ROUND(IF(K1650=0,0,M1650*D1650),4)</f>
        <v>0</v>
      </c>
      <c r="T1650" s="67">
        <f>ROUND(+IF(K1650=0,Q1650*D1650,0),4)</f>
        <v>0</v>
      </c>
      <c r="U1650" s="67">
        <f>ROUND(+N1650+R1650+S1650+T1650,4)</f>
        <v>0</v>
      </c>
      <c r="V1650" s="67">
        <f>ROUND(IF(P1650=0,0,I1650-H1650-O1650)+IF(L1650=0,0,I1650-H1650-K1650),4)</f>
        <v>0</v>
      </c>
      <c r="W1650" s="67">
        <f>ROUND(+(V1650*60%)*D1650,4)</f>
        <v>0</v>
      </c>
      <c r="X1650" s="148">
        <f>ROUND(+U1650+W1650,4)</f>
        <v>0</v>
      </c>
      <c r="Y1650" s="68"/>
      <c r="Z1650" s="148">
        <f>ROUND(IF(X1650&gt;I1650,X1650,I1650),4)</f>
        <v>0</v>
      </c>
      <c r="AD1650" s="78">
        <f t="shared" si="28"/>
        <v>0</v>
      </c>
      <c r="AE1650" s="78">
        <f t="shared" si="29"/>
        <v>0</v>
      </c>
    </row>
    <row r="1651" spans="1:31" x14ac:dyDescent="0.2">
      <c r="A1651" s="66"/>
      <c r="B1651" s="66"/>
      <c r="C1651" s="66"/>
      <c r="D1651" s="144"/>
      <c r="E1651" s="67"/>
      <c r="F1651" s="67"/>
      <c r="G1651" s="67"/>
      <c r="H1651" s="67">
        <f>ROUND(+E1651+G1651,4)</f>
        <v>0</v>
      </c>
      <c r="I1651" s="67"/>
      <c r="J1651" s="67">
        <f>ROUND(+I1651-H1651,4)</f>
        <v>0</v>
      </c>
      <c r="K1651" s="67">
        <f>ROUND(IF(F1651="alluminio",0,I1651*1.5%),4)</f>
        <v>0</v>
      </c>
      <c r="L1651" s="67">
        <f>ROUND(IF(K1651&lt;J1651,K1651,0),4)</f>
        <v>0</v>
      </c>
      <c r="M1651" s="67">
        <f>ROUND(IF(J1651&gt;K1651,0,J1651),4)</f>
        <v>0</v>
      </c>
      <c r="N1651" s="67">
        <f>ROUND(+L1651*D1651,4)</f>
        <v>0</v>
      </c>
      <c r="O1651" s="67">
        <f>ROUND(IF(F1651="rame",0,+I1651*3%),4)</f>
        <v>0</v>
      </c>
      <c r="P1651" s="67">
        <f>ROUND(IF(O1651&lt;J1651,O1651,0),4)</f>
        <v>0</v>
      </c>
      <c r="Q1651" s="67">
        <f>ROUND(IF(J1651&gt;O1651,0,J1651),4)</f>
        <v>0</v>
      </c>
      <c r="R1651" s="67">
        <f>ROUND(+P1651*D1651,4)</f>
        <v>0</v>
      </c>
      <c r="S1651" s="67">
        <f>ROUND(IF(K1651=0,0,M1651*D1651),4)</f>
        <v>0</v>
      </c>
      <c r="T1651" s="67">
        <f>ROUND(+IF(K1651=0,Q1651*D1651,0),4)</f>
        <v>0</v>
      </c>
      <c r="U1651" s="67">
        <f>ROUND(+N1651+R1651+S1651+T1651,4)</f>
        <v>0</v>
      </c>
      <c r="V1651" s="67">
        <f>ROUND(IF(P1651=0,0,I1651-H1651-O1651)+IF(L1651=0,0,I1651-H1651-K1651),4)</f>
        <v>0</v>
      </c>
      <c r="W1651" s="67">
        <f>ROUND(+(V1651*60%)*D1651,4)</f>
        <v>0</v>
      </c>
      <c r="X1651" s="148">
        <f>ROUND(+U1651+W1651,4)</f>
        <v>0</v>
      </c>
      <c r="Y1651" s="68"/>
      <c r="Z1651" s="148">
        <f>ROUND(IF(X1651&gt;I1651,X1651,I1651),4)</f>
        <v>0</v>
      </c>
      <c r="AD1651" s="78">
        <f t="shared" si="28"/>
        <v>0</v>
      </c>
      <c r="AE1651" s="78">
        <f t="shared" si="29"/>
        <v>0</v>
      </c>
    </row>
    <row r="1652" spans="1:31" x14ac:dyDescent="0.2">
      <c r="A1652" s="66"/>
      <c r="B1652" s="66"/>
      <c r="C1652" s="66"/>
      <c r="D1652" s="144"/>
      <c r="E1652" s="67"/>
      <c r="F1652" s="67"/>
      <c r="G1652" s="67"/>
      <c r="H1652" s="67">
        <f>ROUND(+E1652+G1652,4)</f>
        <v>0</v>
      </c>
      <c r="I1652" s="67"/>
      <c r="J1652" s="67">
        <f>ROUND(+I1652-H1652,4)</f>
        <v>0</v>
      </c>
      <c r="K1652" s="67">
        <f>ROUND(IF(F1652="alluminio",0,I1652*1.5%),4)</f>
        <v>0</v>
      </c>
      <c r="L1652" s="67">
        <f>ROUND(IF(K1652&lt;J1652,K1652,0),4)</f>
        <v>0</v>
      </c>
      <c r="M1652" s="67">
        <f>ROUND(IF(J1652&gt;K1652,0,J1652),4)</f>
        <v>0</v>
      </c>
      <c r="N1652" s="67">
        <f>ROUND(+L1652*D1652,4)</f>
        <v>0</v>
      </c>
      <c r="O1652" s="67">
        <f>ROUND(IF(F1652="rame",0,+I1652*3%),4)</f>
        <v>0</v>
      </c>
      <c r="P1652" s="67">
        <f>ROUND(IF(O1652&lt;J1652,O1652,0),4)</f>
        <v>0</v>
      </c>
      <c r="Q1652" s="67">
        <f>ROUND(IF(J1652&gt;O1652,0,J1652),4)</f>
        <v>0</v>
      </c>
      <c r="R1652" s="67">
        <f>ROUND(+P1652*D1652,4)</f>
        <v>0</v>
      </c>
      <c r="S1652" s="67">
        <f>ROUND(IF(K1652=0,0,M1652*D1652),4)</f>
        <v>0</v>
      </c>
      <c r="T1652" s="67">
        <f>ROUND(+IF(K1652=0,Q1652*D1652,0),4)</f>
        <v>0</v>
      </c>
      <c r="U1652" s="67">
        <f>ROUND(+N1652+R1652+S1652+T1652,4)</f>
        <v>0</v>
      </c>
      <c r="V1652" s="67">
        <f>ROUND(IF(P1652=0,0,I1652-H1652-O1652)+IF(L1652=0,0,I1652-H1652-K1652),4)</f>
        <v>0</v>
      </c>
      <c r="W1652" s="67">
        <f>ROUND(+(V1652*60%)*D1652,4)</f>
        <v>0</v>
      </c>
      <c r="X1652" s="148">
        <f>ROUND(+U1652+W1652,4)</f>
        <v>0</v>
      </c>
      <c r="Y1652" s="68"/>
      <c r="Z1652" s="148">
        <f>ROUND(IF(X1652&gt;I1652,X1652,I1652),4)</f>
        <v>0</v>
      </c>
      <c r="AD1652" s="78">
        <f t="shared" si="28"/>
        <v>0</v>
      </c>
      <c r="AE1652" s="78">
        <f t="shared" si="29"/>
        <v>0</v>
      </c>
    </row>
    <row r="1653" spans="1:31" x14ac:dyDescent="0.2">
      <c r="A1653" s="66"/>
      <c r="B1653" s="66"/>
      <c r="C1653" s="66"/>
      <c r="D1653" s="144"/>
      <c r="E1653" s="67"/>
      <c r="F1653" s="67"/>
      <c r="G1653" s="67"/>
      <c r="H1653" s="67">
        <f>ROUND(+E1653+G1653,4)</f>
        <v>0</v>
      </c>
      <c r="I1653" s="67"/>
      <c r="J1653" s="67">
        <f>ROUND(+I1653-H1653,4)</f>
        <v>0</v>
      </c>
      <c r="K1653" s="67">
        <f>ROUND(IF(F1653="alluminio",0,I1653*1.5%),4)</f>
        <v>0</v>
      </c>
      <c r="L1653" s="67">
        <f>ROUND(IF(K1653&lt;J1653,K1653,0),4)</f>
        <v>0</v>
      </c>
      <c r="M1653" s="67">
        <f>ROUND(IF(J1653&gt;K1653,0,J1653),4)</f>
        <v>0</v>
      </c>
      <c r="N1653" s="67">
        <f>ROUND(+L1653*D1653,4)</f>
        <v>0</v>
      </c>
      <c r="O1653" s="67">
        <f>ROUND(IF(F1653="rame",0,+I1653*3%),4)</f>
        <v>0</v>
      </c>
      <c r="P1653" s="67">
        <f>ROUND(IF(O1653&lt;J1653,O1653,0),4)</f>
        <v>0</v>
      </c>
      <c r="Q1653" s="67">
        <f>ROUND(IF(J1653&gt;O1653,0,J1653),4)</f>
        <v>0</v>
      </c>
      <c r="R1653" s="67">
        <f>ROUND(+P1653*D1653,4)</f>
        <v>0</v>
      </c>
      <c r="S1653" s="67">
        <f>ROUND(IF(K1653=0,0,M1653*D1653),4)</f>
        <v>0</v>
      </c>
      <c r="T1653" s="67">
        <f>ROUND(+IF(K1653=0,Q1653*D1653,0),4)</f>
        <v>0</v>
      </c>
      <c r="U1653" s="67">
        <f>ROUND(+N1653+R1653+S1653+T1653,4)</f>
        <v>0</v>
      </c>
      <c r="V1653" s="67">
        <f>ROUND(IF(P1653=0,0,I1653-H1653-O1653)+IF(L1653=0,0,I1653-H1653-K1653),4)</f>
        <v>0</v>
      </c>
      <c r="W1653" s="67">
        <f>ROUND(+(V1653*60%)*D1653,4)</f>
        <v>0</v>
      </c>
      <c r="X1653" s="148">
        <f>ROUND(+U1653+W1653,4)</f>
        <v>0</v>
      </c>
      <c r="Y1653" s="68"/>
      <c r="Z1653" s="148">
        <f>ROUND(IF(X1653&gt;I1653,X1653,I1653),4)</f>
        <v>0</v>
      </c>
      <c r="AD1653" s="78">
        <f t="shared" si="28"/>
        <v>0</v>
      </c>
      <c r="AE1653" s="78">
        <f t="shared" si="29"/>
        <v>0</v>
      </c>
    </row>
    <row r="1654" spans="1:31" x14ac:dyDescent="0.2">
      <c r="A1654" s="66"/>
      <c r="B1654" s="66"/>
      <c r="C1654" s="66"/>
      <c r="D1654" s="144"/>
      <c r="E1654" s="67"/>
      <c r="F1654" s="67"/>
      <c r="G1654" s="67"/>
      <c r="H1654" s="67">
        <f>ROUND(+E1654+G1654,4)</f>
        <v>0</v>
      </c>
      <c r="I1654" s="67"/>
      <c r="J1654" s="67">
        <f>ROUND(+I1654-H1654,4)</f>
        <v>0</v>
      </c>
      <c r="K1654" s="67">
        <f>ROUND(IF(F1654="alluminio",0,I1654*1.5%),4)</f>
        <v>0</v>
      </c>
      <c r="L1654" s="67">
        <f>ROUND(IF(K1654&lt;J1654,K1654,0),4)</f>
        <v>0</v>
      </c>
      <c r="M1654" s="67">
        <f>ROUND(IF(J1654&gt;K1654,0,J1654),4)</f>
        <v>0</v>
      </c>
      <c r="N1654" s="67">
        <f>ROUND(+L1654*D1654,4)</f>
        <v>0</v>
      </c>
      <c r="O1654" s="67">
        <f>ROUND(IF(F1654="rame",0,+I1654*3%),4)</f>
        <v>0</v>
      </c>
      <c r="P1654" s="67">
        <f>ROUND(IF(O1654&lt;J1654,O1654,0),4)</f>
        <v>0</v>
      </c>
      <c r="Q1654" s="67">
        <f>ROUND(IF(J1654&gt;O1654,0,J1654),4)</f>
        <v>0</v>
      </c>
      <c r="R1654" s="67">
        <f>ROUND(+P1654*D1654,4)</f>
        <v>0</v>
      </c>
      <c r="S1654" s="67">
        <f>ROUND(IF(K1654=0,0,M1654*D1654),4)</f>
        <v>0</v>
      </c>
      <c r="T1654" s="67">
        <f>ROUND(+IF(K1654=0,Q1654*D1654,0),4)</f>
        <v>0</v>
      </c>
      <c r="U1654" s="67">
        <f>ROUND(+N1654+R1654+S1654+T1654,4)</f>
        <v>0</v>
      </c>
      <c r="V1654" s="67">
        <f>ROUND(IF(P1654=0,0,I1654-H1654-O1654)+IF(L1654=0,0,I1654-H1654-K1654),4)</f>
        <v>0</v>
      </c>
      <c r="W1654" s="67">
        <f>ROUND(+(V1654*60%)*D1654,4)</f>
        <v>0</v>
      </c>
      <c r="X1654" s="148">
        <f>ROUND(+U1654+W1654,4)</f>
        <v>0</v>
      </c>
      <c r="Y1654" s="68"/>
      <c r="Z1654" s="148">
        <f>ROUND(IF(X1654&gt;I1654,X1654,I1654),4)</f>
        <v>0</v>
      </c>
      <c r="AD1654" s="78">
        <f t="shared" si="28"/>
        <v>0</v>
      </c>
      <c r="AE1654" s="78">
        <f t="shared" si="29"/>
        <v>0</v>
      </c>
    </row>
    <row r="1655" spans="1:31" x14ac:dyDescent="0.2">
      <c r="A1655" s="66"/>
      <c r="B1655" s="66"/>
      <c r="C1655" s="66"/>
      <c r="D1655" s="144"/>
      <c r="E1655" s="67"/>
      <c r="F1655" s="67"/>
      <c r="G1655" s="67"/>
      <c r="H1655" s="67">
        <f>ROUND(+E1655+G1655,4)</f>
        <v>0</v>
      </c>
      <c r="I1655" s="67"/>
      <c r="J1655" s="67">
        <f>ROUND(+I1655-H1655,4)</f>
        <v>0</v>
      </c>
      <c r="K1655" s="67">
        <f>ROUND(IF(F1655="alluminio",0,I1655*1.5%),4)</f>
        <v>0</v>
      </c>
      <c r="L1655" s="67">
        <f>ROUND(IF(K1655&lt;J1655,K1655,0),4)</f>
        <v>0</v>
      </c>
      <c r="M1655" s="67">
        <f>ROUND(IF(J1655&gt;K1655,0,J1655),4)</f>
        <v>0</v>
      </c>
      <c r="N1655" s="67">
        <f>ROUND(+L1655*D1655,4)</f>
        <v>0</v>
      </c>
      <c r="O1655" s="67">
        <f>ROUND(IF(F1655="rame",0,+I1655*3%),4)</f>
        <v>0</v>
      </c>
      <c r="P1655" s="67">
        <f>ROUND(IF(O1655&lt;J1655,O1655,0),4)</f>
        <v>0</v>
      </c>
      <c r="Q1655" s="67">
        <f>ROUND(IF(J1655&gt;O1655,0,J1655),4)</f>
        <v>0</v>
      </c>
      <c r="R1655" s="67">
        <f>ROUND(+P1655*D1655,4)</f>
        <v>0</v>
      </c>
      <c r="S1655" s="67">
        <f>ROUND(IF(K1655=0,0,M1655*D1655),4)</f>
        <v>0</v>
      </c>
      <c r="T1655" s="67">
        <f>ROUND(+IF(K1655=0,Q1655*D1655,0),4)</f>
        <v>0</v>
      </c>
      <c r="U1655" s="67">
        <f>ROUND(+N1655+R1655+S1655+T1655,4)</f>
        <v>0</v>
      </c>
      <c r="V1655" s="67">
        <f>ROUND(IF(P1655=0,0,I1655-H1655-O1655)+IF(L1655=0,0,I1655-H1655-K1655),4)</f>
        <v>0</v>
      </c>
      <c r="W1655" s="67">
        <f>ROUND(+(V1655*60%)*D1655,4)</f>
        <v>0</v>
      </c>
      <c r="X1655" s="148">
        <f>ROUND(+U1655+W1655,4)</f>
        <v>0</v>
      </c>
      <c r="Y1655" s="68"/>
      <c r="Z1655" s="148">
        <f>ROUND(IF(X1655&gt;I1655,X1655,I1655),4)</f>
        <v>0</v>
      </c>
      <c r="AD1655" s="78">
        <f t="shared" si="28"/>
        <v>0</v>
      </c>
      <c r="AE1655" s="78">
        <f t="shared" si="29"/>
        <v>0</v>
      </c>
    </row>
    <row r="1656" spans="1:31" x14ac:dyDescent="0.2">
      <c r="A1656" s="66"/>
      <c r="B1656" s="66"/>
      <c r="C1656" s="66"/>
      <c r="D1656" s="144"/>
      <c r="E1656" s="67"/>
      <c r="F1656" s="67"/>
      <c r="G1656" s="67"/>
      <c r="H1656" s="67">
        <f>ROUND(+E1656+G1656,4)</f>
        <v>0</v>
      </c>
      <c r="I1656" s="67"/>
      <c r="J1656" s="67">
        <f>ROUND(+I1656-H1656,4)</f>
        <v>0</v>
      </c>
      <c r="K1656" s="67">
        <f>ROUND(IF(F1656="alluminio",0,I1656*1.5%),4)</f>
        <v>0</v>
      </c>
      <c r="L1656" s="67">
        <f>ROUND(IF(K1656&lt;J1656,K1656,0),4)</f>
        <v>0</v>
      </c>
      <c r="M1656" s="67">
        <f>ROUND(IF(J1656&gt;K1656,0,J1656),4)</f>
        <v>0</v>
      </c>
      <c r="N1656" s="67">
        <f>ROUND(+L1656*D1656,4)</f>
        <v>0</v>
      </c>
      <c r="O1656" s="67">
        <f>ROUND(IF(F1656="rame",0,+I1656*3%),4)</f>
        <v>0</v>
      </c>
      <c r="P1656" s="67">
        <f>ROUND(IF(O1656&lt;J1656,O1656,0),4)</f>
        <v>0</v>
      </c>
      <c r="Q1656" s="67">
        <f>ROUND(IF(J1656&gt;O1656,0,J1656),4)</f>
        <v>0</v>
      </c>
      <c r="R1656" s="67">
        <f>ROUND(+P1656*D1656,4)</f>
        <v>0</v>
      </c>
      <c r="S1656" s="67">
        <f>ROUND(IF(K1656=0,0,M1656*D1656),4)</f>
        <v>0</v>
      </c>
      <c r="T1656" s="67">
        <f>ROUND(+IF(K1656=0,Q1656*D1656,0),4)</f>
        <v>0</v>
      </c>
      <c r="U1656" s="67">
        <f>ROUND(+N1656+R1656+S1656+T1656,4)</f>
        <v>0</v>
      </c>
      <c r="V1656" s="67">
        <f>ROUND(IF(P1656=0,0,I1656-H1656-O1656)+IF(L1656=0,0,I1656-H1656-K1656),4)</f>
        <v>0</v>
      </c>
      <c r="W1656" s="67">
        <f>ROUND(+(V1656*60%)*D1656,4)</f>
        <v>0</v>
      </c>
      <c r="X1656" s="148">
        <f>ROUND(+U1656+W1656,4)</f>
        <v>0</v>
      </c>
      <c r="Y1656" s="68"/>
      <c r="Z1656" s="148">
        <f>ROUND(IF(X1656&gt;I1656,X1656,I1656),4)</f>
        <v>0</v>
      </c>
      <c r="AD1656" s="78">
        <f t="shared" si="28"/>
        <v>0</v>
      </c>
      <c r="AE1656" s="78">
        <f t="shared" si="29"/>
        <v>0</v>
      </c>
    </row>
    <row r="1657" spans="1:31" x14ac:dyDescent="0.2">
      <c r="A1657" s="66"/>
      <c r="B1657" s="66"/>
      <c r="C1657" s="66"/>
      <c r="D1657" s="144"/>
      <c r="E1657" s="67"/>
      <c r="F1657" s="67"/>
      <c r="G1657" s="67"/>
      <c r="H1657" s="67">
        <f>ROUND(+E1657+G1657,4)</f>
        <v>0</v>
      </c>
      <c r="I1657" s="67"/>
      <c r="J1657" s="67">
        <f>ROUND(+I1657-H1657,4)</f>
        <v>0</v>
      </c>
      <c r="K1657" s="67">
        <f>ROUND(IF(F1657="alluminio",0,I1657*1.5%),4)</f>
        <v>0</v>
      </c>
      <c r="L1657" s="67">
        <f>ROUND(IF(K1657&lt;J1657,K1657,0),4)</f>
        <v>0</v>
      </c>
      <c r="M1657" s="67">
        <f>ROUND(IF(J1657&gt;K1657,0,J1657),4)</f>
        <v>0</v>
      </c>
      <c r="N1657" s="67">
        <f>ROUND(+L1657*D1657,4)</f>
        <v>0</v>
      </c>
      <c r="O1657" s="67">
        <f>ROUND(IF(F1657="rame",0,+I1657*3%),4)</f>
        <v>0</v>
      </c>
      <c r="P1657" s="67">
        <f>ROUND(IF(O1657&lt;J1657,O1657,0),4)</f>
        <v>0</v>
      </c>
      <c r="Q1657" s="67">
        <f>ROUND(IF(J1657&gt;O1657,0,J1657),4)</f>
        <v>0</v>
      </c>
      <c r="R1657" s="67">
        <f>ROUND(+P1657*D1657,4)</f>
        <v>0</v>
      </c>
      <c r="S1657" s="67">
        <f>ROUND(IF(K1657=0,0,M1657*D1657),4)</f>
        <v>0</v>
      </c>
      <c r="T1657" s="67">
        <f>ROUND(+IF(K1657=0,Q1657*D1657,0),4)</f>
        <v>0</v>
      </c>
      <c r="U1657" s="67">
        <f>ROUND(+N1657+R1657+S1657+T1657,4)</f>
        <v>0</v>
      </c>
      <c r="V1657" s="67">
        <f>ROUND(IF(P1657=0,0,I1657-H1657-O1657)+IF(L1657=0,0,I1657-H1657-K1657),4)</f>
        <v>0</v>
      </c>
      <c r="W1657" s="67">
        <f>ROUND(+(V1657*60%)*D1657,4)</f>
        <v>0</v>
      </c>
      <c r="X1657" s="148">
        <f>ROUND(+U1657+W1657,4)</f>
        <v>0</v>
      </c>
      <c r="Y1657" s="68"/>
      <c r="Z1657" s="148">
        <f>ROUND(IF(X1657&gt;I1657,X1657,I1657),4)</f>
        <v>0</v>
      </c>
      <c r="AD1657" s="78">
        <f t="shared" si="28"/>
        <v>0</v>
      </c>
      <c r="AE1657" s="78">
        <f t="shared" si="29"/>
        <v>0</v>
      </c>
    </row>
    <row r="1658" spans="1:31" x14ac:dyDescent="0.2">
      <c r="A1658" s="66"/>
      <c r="B1658" s="66"/>
      <c r="C1658" s="66"/>
      <c r="D1658" s="144"/>
      <c r="E1658" s="67"/>
      <c r="F1658" s="67"/>
      <c r="G1658" s="67"/>
      <c r="H1658" s="67">
        <f>ROUND(+E1658+G1658,4)</f>
        <v>0</v>
      </c>
      <c r="I1658" s="67"/>
      <c r="J1658" s="67">
        <f>ROUND(+I1658-H1658,4)</f>
        <v>0</v>
      </c>
      <c r="K1658" s="67">
        <f>ROUND(IF(F1658="alluminio",0,I1658*1.5%),4)</f>
        <v>0</v>
      </c>
      <c r="L1658" s="67">
        <f>ROUND(IF(K1658&lt;J1658,K1658,0),4)</f>
        <v>0</v>
      </c>
      <c r="M1658" s="67">
        <f>ROUND(IF(J1658&gt;K1658,0,J1658),4)</f>
        <v>0</v>
      </c>
      <c r="N1658" s="67">
        <f>ROUND(+L1658*D1658,4)</f>
        <v>0</v>
      </c>
      <c r="O1658" s="67">
        <f>ROUND(IF(F1658="rame",0,+I1658*3%),4)</f>
        <v>0</v>
      </c>
      <c r="P1658" s="67">
        <f>ROUND(IF(O1658&lt;J1658,O1658,0),4)</f>
        <v>0</v>
      </c>
      <c r="Q1658" s="67">
        <f>ROUND(IF(J1658&gt;O1658,0,J1658),4)</f>
        <v>0</v>
      </c>
      <c r="R1658" s="67">
        <f>ROUND(+P1658*D1658,4)</f>
        <v>0</v>
      </c>
      <c r="S1658" s="67">
        <f>ROUND(IF(K1658=0,0,M1658*D1658),4)</f>
        <v>0</v>
      </c>
      <c r="T1658" s="67">
        <f>ROUND(+IF(K1658=0,Q1658*D1658,0),4)</f>
        <v>0</v>
      </c>
      <c r="U1658" s="67">
        <f>ROUND(+N1658+R1658+S1658+T1658,4)</f>
        <v>0</v>
      </c>
      <c r="V1658" s="67">
        <f>ROUND(IF(P1658=0,0,I1658-H1658-O1658)+IF(L1658=0,0,I1658-H1658-K1658),4)</f>
        <v>0</v>
      </c>
      <c r="W1658" s="67">
        <f>ROUND(+(V1658*60%)*D1658,4)</f>
        <v>0</v>
      </c>
      <c r="X1658" s="148">
        <f>ROUND(+U1658+W1658,4)</f>
        <v>0</v>
      </c>
      <c r="Y1658" s="68"/>
      <c r="Z1658" s="148">
        <f>ROUND(IF(X1658&gt;I1658,X1658,I1658),4)</f>
        <v>0</v>
      </c>
      <c r="AD1658" s="78">
        <f t="shared" si="28"/>
        <v>0</v>
      </c>
      <c r="AE1658" s="78">
        <f t="shared" si="29"/>
        <v>0</v>
      </c>
    </row>
    <row r="1659" spans="1:31" x14ac:dyDescent="0.2">
      <c r="A1659" s="66"/>
      <c r="B1659" s="66"/>
      <c r="C1659" s="66"/>
      <c r="D1659" s="144"/>
      <c r="E1659" s="67"/>
      <c r="F1659" s="67"/>
      <c r="G1659" s="67"/>
      <c r="H1659" s="67">
        <f>ROUND(+E1659+G1659,4)</f>
        <v>0</v>
      </c>
      <c r="I1659" s="67"/>
      <c r="J1659" s="67">
        <f>ROUND(+I1659-H1659,4)</f>
        <v>0</v>
      </c>
      <c r="K1659" s="67">
        <f>ROUND(IF(F1659="alluminio",0,I1659*1.5%),4)</f>
        <v>0</v>
      </c>
      <c r="L1659" s="67">
        <f>ROUND(IF(K1659&lt;J1659,K1659,0),4)</f>
        <v>0</v>
      </c>
      <c r="M1659" s="67">
        <f>ROUND(IF(J1659&gt;K1659,0,J1659),4)</f>
        <v>0</v>
      </c>
      <c r="N1659" s="67">
        <f>ROUND(+L1659*D1659,4)</f>
        <v>0</v>
      </c>
      <c r="O1659" s="67">
        <f>ROUND(IF(F1659="rame",0,+I1659*3%),4)</f>
        <v>0</v>
      </c>
      <c r="P1659" s="67">
        <f>ROUND(IF(O1659&lt;J1659,O1659,0),4)</f>
        <v>0</v>
      </c>
      <c r="Q1659" s="67">
        <f>ROUND(IF(J1659&gt;O1659,0,J1659),4)</f>
        <v>0</v>
      </c>
      <c r="R1659" s="67">
        <f>ROUND(+P1659*D1659,4)</f>
        <v>0</v>
      </c>
      <c r="S1659" s="67">
        <f>ROUND(IF(K1659=0,0,M1659*D1659),4)</f>
        <v>0</v>
      </c>
      <c r="T1659" s="67">
        <f>ROUND(+IF(K1659=0,Q1659*D1659,0),4)</f>
        <v>0</v>
      </c>
      <c r="U1659" s="67">
        <f>ROUND(+N1659+R1659+S1659+T1659,4)</f>
        <v>0</v>
      </c>
      <c r="V1659" s="67">
        <f>ROUND(IF(P1659=0,0,I1659-H1659-O1659)+IF(L1659=0,0,I1659-H1659-K1659),4)</f>
        <v>0</v>
      </c>
      <c r="W1659" s="67">
        <f>ROUND(+(V1659*60%)*D1659,4)</f>
        <v>0</v>
      </c>
      <c r="X1659" s="148">
        <f>ROUND(+U1659+W1659,4)</f>
        <v>0</v>
      </c>
      <c r="Y1659" s="68"/>
      <c r="Z1659" s="148">
        <f>ROUND(IF(X1659&gt;I1659,X1659,I1659),4)</f>
        <v>0</v>
      </c>
      <c r="AD1659" s="78">
        <f t="shared" si="28"/>
        <v>0</v>
      </c>
      <c r="AE1659" s="78">
        <f t="shared" si="29"/>
        <v>0</v>
      </c>
    </row>
    <row r="1660" spans="1:31" x14ac:dyDescent="0.2">
      <c r="A1660" s="66"/>
      <c r="B1660" s="66"/>
      <c r="C1660" s="66"/>
      <c r="D1660" s="144"/>
      <c r="E1660" s="67"/>
      <c r="F1660" s="67"/>
      <c r="G1660" s="67"/>
      <c r="H1660" s="67">
        <f>ROUND(+E1660+G1660,4)</f>
        <v>0</v>
      </c>
      <c r="I1660" s="67"/>
      <c r="J1660" s="67">
        <f>ROUND(+I1660-H1660,4)</f>
        <v>0</v>
      </c>
      <c r="K1660" s="67">
        <f>ROUND(IF(F1660="alluminio",0,I1660*1.5%),4)</f>
        <v>0</v>
      </c>
      <c r="L1660" s="67">
        <f>ROUND(IF(K1660&lt;J1660,K1660,0),4)</f>
        <v>0</v>
      </c>
      <c r="M1660" s="67">
        <f>ROUND(IF(J1660&gt;K1660,0,J1660),4)</f>
        <v>0</v>
      </c>
      <c r="N1660" s="67">
        <f>ROUND(+L1660*D1660,4)</f>
        <v>0</v>
      </c>
      <c r="O1660" s="67">
        <f>ROUND(IF(F1660="rame",0,+I1660*3%),4)</f>
        <v>0</v>
      </c>
      <c r="P1660" s="67">
        <f>ROUND(IF(O1660&lt;J1660,O1660,0),4)</f>
        <v>0</v>
      </c>
      <c r="Q1660" s="67">
        <f>ROUND(IF(J1660&gt;O1660,0,J1660),4)</f>
        <v>0</v>
      </c>
      <c r="R1660" s="67">
        <f>ROUND(+P1660*D1660,4)</f>
        <v>0</v>
      </c>
      <c r="S1660" s="67">
        <f>ROUND(IF(K1660=0,0,M1660*D1660),4)</f>
        <v>0</v>
      </c>
      <c r="T1660" s="67">
        <f>ROUND(+IF(K1660=0,Q1660*D1660,0),4)</f>
        <v>0</v>
      </c>
      <c r="U1660" s="67">
        <f>ROUND(+N1660+R1660+S1660+T1660,4)</f>
        <v>0</v>
      </c>
      <c r="V1660" s="67">
        <f>ROUND(IF(P1660=0,0,I1660-H1660-O1660)+IF(L1660=0,0,I1660-H1660-K1660),4)</f>
        <v>0</v>
      </c>
      <c r="W1660" s="67">
        <f>ROUND(+(V1660*60%)*D1660,4)</f>
        <v>0</v>
      </c>
      <c r="X1660" s="148">
        <f>ROUND(+U1660+W1660,4)</f>
        <v>0</v>
      </c>
      <c r="Y1660" s="68"/>
      <c r="Z1660" s="148">
        <f>ROUND(IF(X1660&gt;I1660,X1660,I1660),4)</f>
        <v>0</v>
      </c>
      <c r="AD1660" s="78">
        <f t="shared" si="28"/>
        <v>0</v>
      </c>
      <c r="AE1660" s="78">
        <f t="shared" si="29"/>
        <v>0</v>
      </c>
    </row>
    <row r="1661" spans="1:31" x14ac:dyDescent="0.2">
      <c r="A1661" s="66"/>
      <c r="B1661" s="66"/>
      <c r="C1661" s="66"/>
      <c r="D1661" s="144"/>
      <c r="E1661" s="67"/>
      <c r="F1661" s="67"/>
      <c r="G1661" s="67"/>
      <c r="H1661" s="67">
        <f>ROUND(+E1661+G1661,4)</f>
        <v>0</v>
      </c>
      <c r="I1661" s="67"/>
      <c r="J1661" s="67">
        <f>ROUND(+I1661-H1661,4)</f>
        <v>0</v>
      </c>
      <c r="K1661" s="67">
        <f>ROUND(IF(F1661="alluminio",0,I1661*1.5%),4)</f>
        <v>0</v>
      </c>
      <c r="L1661" s="67">
        <f>ROUND(IF(K1661&lt;J1661,K1661,0),4)</f>
        <v>0</v>
      </c>
      <c r="M1661" s="67">
        <f>ROUND(IF(J1661&gt;K1661,0,J1661),4)</f>
        <v>0</v>
      </c>
      <c r="N1661" s="67">
        <f>ROUND(+L1661*D1661,4)</f>
        <v>0</v>
      </c>
      <c r="O1661" s="67">
        <f>ROUND(IF(F1661="rame",0,+I1661*3%),4)</f>
        <v>0</v>
      </c>
      <c r="P1661" s="67">
        <f>ROUND(IF(O1661&lt;J1661,O1661,0),4)</f>
        <v>0</v>
      </c>
      <c r="Q1661" s="67">
        <f>ROUND(IF(J1661&gt;O1661,0,J1661),4)</f>
        <v>0</v>
      </c>
      <c r="R1661" s="67">
        <f>ROUND(+P1661*D1661,4)</f>
        <v>0</v>
      </c>
      <c r="S1661" s="67">
        <f>ROUND(IF(K1661=0,0,M1661*D1661),4)</f>
        <v>0</v>
      </c>
      <c r="T1661" s="67">
        <f>ROUND(+IF(K1661=0,Q1661*D1661,0),4)</f>
        <v>0</v>
      </c>
      <c r="U1661" s="67">
        <f>ROUND(+N1661+R1661+S1661+T1661,4)</f>
        <v>0</v>
      </c>
      <c r="V1661" s="67">
        <f>ROUND(IF(P1661=0,0,I1661-H1661-O1661)+IF(L1661=0,0,I1661-H1661-K1661),4)</f>
        <v>0</v>
      </c>
      <c r="W1661" s="67">
        <f>ROUND(+(V1661*60%)*D1661,4)</f>
        <v>0</v>
      </c>
      <c r="X1661" s="148">
        <f>ROUND(+U1661+W1661,4)</f>
        <v>0</v>
      </c>
      <c r="Y1661" s="68"/>
      <c r="Z1661" s="148">
        <f>ROUND(IF(X1661&gt;I1661,X1661,I1661),4)</f>
        <v>0</v>
      </c>
      <c r="AD1661" s="78">
        <f t="shared" si="28"/>
        <v>0</v>
      </c>
      <c r="AE1661" s="78">
        <f t="shared" si="29"/>
        <v>0</v>
      </c>
    </row>
    <row r="1662" spans="1:31" x14ac:dyDescent="0.2">
      <c r="A1662" s="66"/>
      <c r="B1662" s="66"/>
      <c r="C1662" s="66"/>
      <c r="D1662" s="144"/>
      <c r="E1662" s="67"/>
      <c r="F1662" s="67"/>
      <c r="G1662" s="67"/>
      <c r="H1662" s="67">
        <f>ROUND(+E1662+G1662,4)</f>
        <v>0</v>
      </c>
      <c r="I1662" s="67"/>
      <c r="J1662" s="67">
        <f>ROUND(+I1662-H1662,4)</f>
        <v>0</v>
      </c>
      <c r="K1662" s="67">
        <f>ROUND(IF(F1662="alluminio",0,I1662*1.5%),4)</f>
        <v>0</v>
      </c>
      <c r="L1662" s="67">
        <f>ROUND(IF(K1662&lt;J1662,K1662,0),4)</f>
        <v>0</v>
      </c>
      <c r="M1662" s="67">
        <f>ROUND(IF(J1662&gt;K1662,0,J1662),4)</f>
        <v>0</v>
      </c>
      <c r="N1662" s="67">
        <f>ROUND(+L1662*D1662,4)</f>
        <v>0</v>
      </c>
      <c r="O1662" s="67">
        <f>ROUND(IF(F1662="rame",0,+I1662*3%),4)</f>
        <v>0</v>
      </c>
      <c r="P1662" s="67">
        <f>ROUND(IF(O1662&lt;J1662,O1662,0),4)</f>
        <v>0</v>
      </c>
      <c r="Q1662" s="67">
        <f>ROUND(IF(J1662&gt;O1662,0,J1662),4)</f>
        <v>0</v>
      </c>
      <c r="R1662" s="67">
        <f>ROUND(+P1662*D1662,4)</f>
        <v>0</v>
      </c>
      <c r="S1662" s="67">
        <f>ROUND(IF(K1662=0,0,M1662*D1662),4)</f>
        <v>0</v>
      </c>
      <c r="T1662" s="67">
        <f>ROUND(+IF(K1662=0,Q1662*D1662,0),4)</f>
        <v>0</v>
      </c>
      <c r="U1662" s="67">
        <f>ROUND(+N1662+R1662+S1662+T1662,4)</f>
        <v>0</v>
      </c>
      <c r="V1662" s="67">
        <f>ROUND(IF(P1662=0,0,I1662-H1662-O1662)+IF(L1662=0,0,I1662-H1662-K1662),4)</f>
        <v>0</v>
      </c>
      <c r="W1662" s="67">
        <f>ROUND(+(V1662*60%)*D1662,4)</f>
        <v>0</v>
      </c>
      <c r="X1662" s="148">
        <f>ROUND(+U1662+W1662,4)</f>
        <v>0</v>
      </c>
      <c r="Y1662" s="68"/>
      <c r="Z1662" s="148">
        <f>ROUND(IF(X1662&gt;I1662,X1662,I1662),4)</f>
        <v>0</v>
      </c>
      <c r="AD1662" s="78">
        <f t="shared" ref="AD1662:AD1725" si="30">IF(Y1662="",0,MONTH(Y1662))</f>
        <v>0</v>
      </c>
      <c r="AE1662" s="78">
        <f t="shared" ref="AE1662:AE1725" si="31">IF(Y1662="",0,YEAR(Y1662))</f>
        <v>0</v>
      </c>
    </row>
    <row r="1663" spans="1:31" x14ac:dyDescent="0.2">
      <c r="A1663" s="66"/>
      <c r="B1663" s="66"/>
      <c r="C1663" s="66"/>
      <c r="D1663" s="144"/>
      <c r="E1663" s="67"/>
      <c r="F1663" s="67"/>
      <c r="G1663" s="67"/>
      <c r="H1663" s="67">
        <f>ROUND(+E1663+G1663,4)</f>
        <v>0</v>
      </c>
      <c r="I1663" s="67"/>
      <c r="J1663" s="67">
        <f>ROUND(+I1663-H1663,4)</f>
        <v>0</v>
      </c>
      <c r="K1663" s="67">
        <f>ROUND(IF(F1663="alluminio",0,I1663*1.5%),4)</f>
        <v>0</v>
      </c>
      <c r="L1663" s="67">
        <f>ROUND(IF(K1663&lt;J1663,K1663,0),4)</f>
        <v>0</v>
      </c>
      <c r="M1663" s="67">
        <f>ROUND(IF(J1663&gt;K1663,0,J1663),4)</f>
        <v>0</v>
      </c>
      <c r="N1663" s="67">
        <f>ROUND(+L1663*D1663,4)</f>
        <v>0</v>
      </c>
      <c r="O1663" s="67">
        <f>ROUND(IF(F1663="rame",0,+I1663*3%),4)</f>
        <v>0</v>
      </c>
      <c r="P1663" s="67">
        <f>ROUND(IF(O1663&lt;J1663,O1663,0),4)</f>
        <v>0</v>
      </c>
      <c r="Q1663" s="67">
        <f>ROUND(IF(J1663&gt;O1663,0,J1663),4)</f>
        <v>0</v>
      </c>
      <c r="R1663" s="67">
        <f>ROUND(+P1663*D1663,4)</f>
        <v>0</v>
      </c>
      <c r="S1663" s="67">
        <f>ROUND(IF(K1663=0,0,M1663*D1663),4)</f>
        <v>0</v>
      </c>
      <c r="T1663" s="67">
        <f>ROUND(+IF(K1663=0,Q1663*D1663,0),4)</f>
        <v>0</v>
      </c>
      <c r="U1663" s="67">
        <f>ROUND(+N1663+R1663+S1663+T1663,4)</f>
        <v>0</v>
      </c>
      <c r="V1663" s="67">
        <f>ROUND(IF(P1663=0,0,I1663-H1663-O1663)+IF(L1663=0,0,I1663-H1663-K1663),4)</f>
        <v>0</v>
      </c>
      <c r="W1663" s="67">
        <f>ROUND(+(V1663*60%)*D1663,4)</f>
        <v>0</v>
      </c>
      <c r="X1663" s="148">
        <f>ROUND(+U1663+W1663,4)</f>
        <v>0</v>
      </c>
      <c r="Y1663" s="68"/>
      <c r="Z1663" s="148">
        <f>ROUND(IF(X1663&gt;I1663,X1663,I1663),4)</f>
        <v>0</v>
      </c>
      <c r="AD1663" s="78">
        <f t="shared" si="30"/>
        <v>0</v>
      </c>
      <c r="AE1663" s="78">
        <f t="shared" si="31"/>
        <v>0</v>
      </c>
    </row>
    <row r="1664" spans="1:31" x14ac:dyDescent="0.2">
      <c r="A1664" s="66"/>
      <c r="B1664" s="66"/>
      <c r="C1664" s="66"/>
      <c r="D1664" s="144"/>
      <c r="E1664" s="67"/>
      <c r="F1664" s="67"/>
      <c r="G1664" s="67"/>
      <c r="H1664" s="67">
        <f>ROUND(+E1664+G1664,4)</f>
        <v>0</v>
      </c>
      <c r="I1664" s="67"/>
      <c r="J1664" s="67">
        <f>ROUND(+I1664-H1664,4)</f>
        <v>0</v>
      </c>
      <c r="K1664" s="67">
        <f>ROUND(IF(F1664="alluminio",0,I1664*1.5%),4)</f>
        <v>0</v>
      </c>
      <c r="L1664" s="67">
        <f>ROUND(IF(K1664&lt;J1664,K1664,0),4)</f>
        <v>0</v>
      </c>
      <c r="M1664" s="67">
        <f>ROUND(IF(J1664&gt;K1664,0,J1664),4)</f>
        <v>0</v>
      </c>
      <c r="N1664" s="67">
        <f>ROUND(+L1664*D1664,4)</f>
        <v>0</v>
      </c>
      <c r="O1664" s="67">
        <f>ROUND(IF(F1664="rame",0,+I1664*3%),4)</f>
        <v>0</v>
      </c>
      <c r="P1664" s="67">
        <f>ROUND(IF(O1664&lt;J1664,O1664,0),4)</f>
        <v>0</v>
      </c>
      <c r="Q1664" s="67">
        <f>ROUND(IF(J1664&gt;O1664,0,J1664),4)</f>
        <v>0</v>
      </c>
      <c r="R1664" s="67">
        <f>ROUND(+P1664*D1664,4)</f>
        <v>0</v>
      </c>
      <c r="S1664" s="67">
        <f>ROUND(IF(K1664=0,0,M1664*D1664),4)</f>
        <v>0</v>
      </c>
      <c r="T1664" s="67">
        <f>ROUND(+IF(K1664=0,Q1664*D1664,0),4)</f>
        <v>0</v>
      </c>
      <c r="U1664" s="67">
        <f>ROUND(+N1664+R1664+S1664+T1664,4)</f>
        <v>0</v>
      </c>
      <c r="V1664" s="67">
        <f>ROUND(IF(P1664=0,0,I1664-H1664-O1664)+IF(L1664=0,0,I1664-H1664-K1664),4)</f>
        <v>0</v>
      </c>
      <c r="W1664" s="67">
        <f>ROUND(+(V1664*60%)*D1664,4)</f>
        <v>0</v>
      </c>
      <c r="X1664" s="148">
        <f>ROUND(+U1664+W1664,4)</f>
        <v>0</v>
      </c>
      <c r="Y1664" s="68"/>
      <c r="Z1664" s="148">
        <f>ROUND(IF(X1664&gt;I1664,X1664,I1664),4)</f>
        <v>0</v>
      </c>
      <c r="AD1664" s="78">
        <f t="shared" si="30"/>
        <v>0</v>
      </c>
      <c r="AE1664" s="78">
        <f t="shared" si="31"/>
        <v>0</v>
      </c>
    </row>
    <row r="1665" spans="1:31" x14ac:dyDescent="0.2">
      <c r="A1665" s="66"/>
      <c r="B1665" s="66"/>
      <c r="C1665" s="66"/>
      <c r="D1665" s="144"/>
      <c r="E1665" s="67"/>
      <c r="F1665" s="67"/>
      <c r="G1665" s="67"/>
      <c r="H1665" s="67">
        <f>ROUND(+E1665+G1665,4)</f>
        <v>0</v>
      </c>
      <c r="I1665" s="67"/>
      <c r="J1665" s="67">
        <f>ROUND(+I1665-H1665,4)</f>
        <v>0</v>
      </c>
      <c r="K1665" s="67">
        <f>ROUND(IF(F1665="alluminio",0,I1665*1.5%),4)</f>
        <v>0</v>
      </c>
      <c r="L1665" s="67">
        <f>ROUND(IF(K1665&lt;J1665,K1665,0),4)</f>
        <v>0</v>
      </c>
      <c r="M1665" s="67">
        <f>ROUND(IF(J1665&gt;K1665,0,J1665),4)</f>
        <v>0</v>
      </c>
      <c r="N1665" s="67">
        <f>ROUND(+L1665*D1665,4)</f>
        <v>0</v>
      </c>
      <c r="O1665" s="67">
        <f>ROUND(IF(F1665="rame",0,+I1665*3%),4)</f>
        <v>0</v>
      </c>
      <c r="P1665" s="67">
        <f>ROUND(IF(O1665&lt;J1665,O1665,0),4)</f>
        <v>0</v>
      </c>
      <c r="Q1665" s="67">
        <f>ROUND(IF(J1665&gt;O1665,0,J1665),4)</f>
        <v>0</v>
      </c>
      <c r="R1665" s="67">
        <f>ROUND(+P1665*D1665,4)</f>
        <v>0</v>
      </c>
      <c r="S1665" s="67">
        <f>ROUND(IF(K1665=0,0,M1665*D1665),4)</f>
        <v>0</v>
      </c>
      <c r="T1665" s="67">
        <f>ROUND(+IF(K1665=0,Q1665*D1665,0),4)</f>
        <v>0</v>
      </c>
      <c r="U1665" s="67">
        <f>ROUND(+N1665+R1665+S1665+T1665,4)</f>
        <v>0</v>
      </c>
      <c r="V1665" s="67">
        <f>ROUND(IF(P1665=0,0,I1665-H1665-O1665)+IF(L1665=0,0,I1665-H1665-K1665),4)</f>
        <v>0</v>
      </c>
      <c r="W1665" s="67">
        <f>ROUND(+(V1665*60%)*D1665,4)</f>
        <v>0</v>
      </c>
      <c r="X1665" s="148">
        <f>ROUND(+U1665+W1665,4)</f>
        <v>0</v>
      </c>
      <c r="Y1665" s="68"/>
      <c r="Z1665" s="148">
        <f>ROUND(IF(X1665&gt;I1665,X1665,I1665),4)</f>
        <v>0</v>
      </c>
      <c r="AD1665" s="78">
        <f t="shared" si="30"/>
        <v>0</v>
      </c>
      <c r="AE1665" s="78">
        <f t="shared" si="31"/>
        <v>0</v>
      </c>
    </row>
    <row r="1666" spans="1:31" x14ac:dyDescent="0.2">
      <c r="A1666" s="66"/>
      <c r="B1666" s="66"/>
      <c r="C1666" s="66"/>
      <c r="D1666" s="144"/>
      <c r="E1666" s="67"/>
      <c r="F1666" s="67"/>
      <c r="G1666" s="67"/>
      <c r="H1666" s="67">
        <f>ROUND(+E1666+G1666,4)</f>
        <v>0</v>
      </c>
      <c r="I1666" s="67"/>
      <c r="J1666" s="67">
        <f>ROUND(+I1666-H1666,4)</f>
        <v>0</v>
      </c>
      <c r="K1666" s="67">
        <f>ROUND(IF(F1666="alluminio",0,I1666*1.5%),4)</f>
        <v>0</v>
      </c>
      <c r="L1666" s="67">
        <f>ROUND(IF(K1666&lt;J1666,K1666,0),4)</f>
        <v>0</v>
      </c>
      <c r="M1666" s="67">
        <f>ROUND(IF(J1666&gt;K1666,0,J1666),4)</f>
        <v>0</v>
      </c>
      <c r="N1666" s="67">
        <f>ROUND(+L1666*D1666,4)</f>
        <v>0</v>
      </c>
      <c r="O1666" s="67">
        <f>ROUND(IF(F1666="rame",0,+I1666*3%),4)</f>
        <v>0</v>
      </c>
      <c r="P1666" s="67">
        <f>ROUND(IF(O1666&lt;J1666,O1666,0),4)</f>
        <v>0</v>
      </c>
      <c r="Q1666" s="67">
        <f>ROUND(IF(J1666&gt;O1666,0,J1666),4)</f>
        <v>0</v>
      </c>
      <c r="R1666" s="67">
        <f>ROUND(+P1666*D1666,4)</f>
        <v>0</v>
      </c>
      <c r="S1666" s="67">
        <f>ROUND(IF(K1666=0,0,M1666*D1666),4)</f>
        <v>0</v>
      </c>
      <c r="T1666" s="67">
        <f>ROUND(+IF(K1666=0,Q1666*D1666,0),4)</f>
        <v>0</v>
      </c>
      <c r="U1666" s="67">
        <f>ROUND(+N1666+R1666+S1666+T1666,4)</f>
        <v>0</v>
      </c>
      <c r="V1666" s="67">
        <f>ROUND(IF(P1666=0,0,I1666-H1666-O1666)+IF(L1666=0,0,I1666-H1666-K1666),4)</f>
        <v>0</v>
      </c>
      <c r="W1666" s="67">
        <f>ROUND(+(V1666*60%)*D1666,4)</f>
        <v>0</v>
      </c>
      <c r="X1666" s="148">
        <f>ROUND(+U1666+W1666,4)</f>
        <v>0</v>
      </c>
      <c r="Y1666" s="68"/>
      <c r="Z1666" s="148">
        <f>ROUND(IF(X1666&gt;I1666,X1666,I1666),4)</f>
        <v>0</v>
      </c>
      <c r="AD1666" s="78">
        <f t="shared" si="30"/>
        <v>0</v>
      </c>
      <c r="AE1666" s="78">
        <f t="shared" si="31"/>
        <v>0</v>
      </c>
    </row>
    <row r="1667" spans="1:31" x14ac:dyDescent="0.2">
      <c r="A1667" s="66"/>
      <c r="B1667" s="66"/>
      <c r="C1667" s="66"/>
      <c r="D1667" s="144"/>
      <c r="E1667" s="67"/>
      <c r="F1667" s="67"/>
      <c r="G1667" s="67"/>
      <c r="H1667" s="67">
        <f>ROUND(+E1667+G1667,4)</f>
        <v>0</v>
      </c>
      <c r="I1667" s="67"/>
      <c r="J1667" s="67">
        <f>ROUND(+I1667-H1667,4)</f>
        <v>0</v>
      </c>
      <c r="K1667" s="67">
        <f>ROUND(IF(F1667="alluminio",0,I1667*1.5%),4)</f>
        <v>0</v>
      </c>
      <c r="L1667" s="67">
        <f>ROUND(IF(K1667&lt;J1667,K1667,0),4)</f>
        <v>0</v>
      </c>
      <c r="M1667" s="67">
        <f>ROUND(IF(J1667&gt;K1667,0,J1667),4)</f>
        <v>0</v>
      </c>
      <c r="N1667" s="67">
        <f>ROUND(+L1667*D1667,4)</f>
        <v>0</v>
      </c>
      <c r="O1667" s="67">
        <f>ROUND(IF(F1667="rame",0,+I1667*3%),4)</f>
        <v>0</v>
      </c>
      <c r="P1667" s="67">
        <f>ROUND(IF(O1667&lt;J1667,O1667,0),4)</f>
        <v>0</v>
      </c>
      <c r="Q1667" s="67">
        <f>ROUND(IF(J1667&gt;O1667,0,J1667),4)</f>
        <v>0</v>
      </c>
      <c r="R1667" s="67">
        <f>ROUND(+P1667*D1667,4)</f>
        <v>0</v>
      </c>
      <c r="S1667" s="67">
        <f>ROUND(IF(K1667=0,0,M1667*D1667),4)</f>
        <v>0</v>
      </c>
      <c r="T1667" s="67">
        <f>ROUND(+IF(K1667=0,Q1667*D1667,0),4)</f>
        <v>0</v>
      </c>
      <c r="U1667" s="67">
        <f>ROUND(+N1667+R1667+S1667+T1667,4)</f>
        <v>0</v>
      </c>
      <c r="V1667" s="67">
        <f>ROUND(IF(P1667=0,0,I1667-H1667-O1667)+IF(L1667=0,0,I1667-H1667-K1667),4)</f>
        <v>0</v>
      </c>
      <c r="W1667" s="67">
        <f>ROUND(+(V1667*60%)*D1667,4)</f>
        <v>0</v>
      </c>
      <c r="X1667" s="148">
        <f>ROUND(+U1667+W1667,4)</f>
        <v>0</v>
      </c>
      <c r="Y1667" s="68"/>
      <c r="Z1667" s="148">
        <f>ROUND(IF(X1667&gt;I1667,X1667,I1667),4)</f>
        <v>0</v>
      </c>
      <c r="AD1667" s="78">
        <f t="shared" si="30"/>
        <v>0</v>
      </c>
      <c r="AE1667" s="78">
        <f t="shared" si="31"/>
        <v>0</v>
      </c>
    </row>
    <row r="1668" spans="1:31" x14ac:dyDescent="0.2">
      <c r="A1668" s="66"/>
      <c r="B1668" s="66"/>
      <c r="C1668" s="66"/>
      <c r="D1668" s="144"/>
      <c r="E1668" s="67"/>
      <c r="F1668" s="67"/>
      <c r="G1668" s="67"/>
      <c r="H1668" s="67">
        <f>ROUND(+E1668+G1668,4)</f>
        <v>0</v>
      </c>
      <c r="I1668" s="67"/>
      <c r="J1668" s="67">
        <f>ROUND(+I1668-H1668,4)</f>
        <v>0</v>
      </c>
      <c r="K1668" s="67">
        <f>ROUND(IF(F1668="alluminio",0,I1668*1.5%),4)</f>
        <v>0</v>
      </c>
      <c r="L1668" s="67">
        <f>ROUND(IF(K1668&lt;J1668,K1668,0),4)</f>
        <v>0</v>
      </c>
      <c r="M1668" s="67">
        <f>ROUND(IF(J1668&gt;K1668,0,J1668),4)</f>
        <v>0</v>
      </c>
      <c r="N1668" s="67">
        <f>ROUND(+L1668*D1668,4)</f>
        <v>0</v>
      </c>
      <c r="O1668" s="67">
        <f>ROUND(IF(F1668="rame",0,+I1668*3%),4)</f>
        <v>0</v>
      </c>
      <c r="P1668" s="67">
        <f>ROUND(IF(O1668&lt;J1668,O1668,0),4)</f>
        <v>0</v>
      </c>
      <c r="Q1668" s="67">
        <f>ROUND(IF(J1668&gt;O1668,0,J1668),4)</f>
        <v>0</v>
      </c>
      <c r="R1668" s="67">
        <f>ROUND(+P1668*D1668,4)</f>
        <v>0</v>
      </c>
      <c r="S1668" s="67">
        <f>ROUND(IF(K1668=0,0,M1668*D1668),4)</f>
        <v>0</v>
      </c>
      <c r="T1668" s="67">
        <f>ROUND(+IF(K1668=0,Q1668*D1668,0),4)</f>
        <v>0</v>
      </c>
      <c r="U1668" s="67">
        <f>ROUND(+N1668+R1668+S1668+T1668,4)</f>
        <v>0</v>
      </c>
      <c r="V1668" s="67">
        <f>ROUND(IF(P1668=0,0,I1668-H1668-O1668)+IF(L1668=0,0,I1668-H1668-K1668),4)</f>
        <v>0</v>
      </c>
      <c r="W1668" s="67">
        <f>ROUND(+(V1668*60%)*D1668,4)</f>
        <v>0</v>
      </c>
      <c r="X1668" s="148">
        <f>ROUND(+U1668+W1668,4)</f>
        <v>0</v>
      </c>
      <c r="Y1668" s="68"/>
      <c r="Z1668" s="148">
        <f>ROUND(IF(X1668&gt;I1668,X1668,I1668),4)</f>
        <v>0</v>
      </c>
      <c r="AD1668" s="78">
        <f t="shared" si="30"/>
        <v>0</v>
      </c>
      <c r="AE1668" s="78">
        <f t="shared" si="31"/>
        <v>0</v>
      </c>
    </row>
    <row r="1669" spans="1:31" x14ac:dyDescent="0.2">
      <c r="A1669" s="66"/>
      <c r="B1669" s="66"/>
      <c r="C1669" s="66"/>
      <c r="D1669" s="144"/>
      <c r="E1669" s="67"/>
      <c r="F1669" s="67"/>
      <c r="G1669" s="67"/>
      <c r="H1669" s="67">
        <f>ROUND(+E1669+G1669,4)</f>
        <v>0</v>
      </c>
      <c r="I1669" s="67"/>
      <c r="J1669" s="67">
        <f>ROUND(+I1669-H1669,4)</f>
        <v>0</v>
      </c>
      <c r="K1669" s="67">
        <f>ROUND(IF(F1669="alluminio",0,I1669*1.5%),4)</f>
        <v>0</v>
      </c>
      <c r="L1669" s="67">
        <f>ROUND(IF(K1669&lt;J1669,K1669,0),4)</f>
        <v>0</v>
      </c>
      <c r="M1669" s="67">
        <f>ROUND(IF(J1669&gt;K1669,0,J1669),4)</f>
        <v>0</v>
      </c>
      <c r="N1669" s="67">
        <f>ROUND(+L1669*D1669,4)</f>
        <v>0</v>
      </c>
      <c r="O1669" s="67">
        <f>ROUND(IF(F1669="rame",0,+I1669*3%),4)</f>
        <v>0</v>
      </c>
      <c r="P1669" s="67">
        <f>ROUND(IF(O1669&lt;J1669,O1669,0),4)</f>
        <v>0</v>
      </c>
      <c r="Q1669" s="67">
        <f>ROUND(IF(J1669&gt;O1669,0,J1669),4)</f>
        <v>0</v>
      </c>
      <c r="R1669" s="67">
        <f>ROUND(+P1669*D1669,4)</f>
        <v>0</v>
      </c>
      <c r="S1669" s="67">
        <f>ROUND(IF(K1669=0,0,M1669*D1669),4)</f>
        <v>0</v>
      </c>
      <c r="T1669" s="67">
        <f>ROUND(+IF(K1669=0,Q1669*D1669,0),4)</f>
        <v>0</v>
      </c>
      <c r="U1669" s="67">
        <f>ROUND(+N1669+R1669+S1669+T1669,4)</f>
        <v>0</v>
      </c>
      <c r="V1669" s="67">
        <f>ROUND(IF(P1669=0,0,I1669-H1669-O1669)+IF(L1669=0,0,I1669-H1669-K1669),4)</f>
        <v>0</v>
      </c>
      <c r="W1669" s="67">
        <f>ROUND(+(V1669*60%)*D1669,4)</f>
        <v>0</v>
      </c>
      <c r="X1669" s="148">
        <f>ROUND(+U1669+W1669,4)</f>
        <v>0</v>
      </c>
      <c r="Y1669" s="68"/>
      <c r="Z1669" s="148">
        <f>ROUND(IF(X1669&gt;I1669,X1669,I1669),4)</f>
        <v>0</v>
      </c>
      <c r="AD1669" s="78">
        <f t="shared" si="30"/>
        <v>0</v>
      </c>
      <c r="AE1669" s="78">
        <f t="shared" si="31"/>
        <v>0</v>
      </c>
    </row>
    <row r="1670" spans="1:31" x14ac:dyDescent="0.2">
      <c r="A1670" s="66"/>
      <c r="B1670" s="66"/>
      <c r="C1670" s="66"/>
      <c r="D1670" s="144"/>
      <c r="E1670" s="67"/>
      <c r="F1670" s="67"/>
      <c r="G1670" s="67"/>
      <c r="H1670" s="67">
        <f>ROUND(+E1670+G1670,4)</f>
        <v>0</v>
      </c>
      <c r="I1670" s="67"/>
      <c r="J1670" s="67">
        <f>ROUND(+I1670-H1670,4)</f>
        <v>0</v>
      </c>
      <c r="K1670" s="67">
        <f>ROUND(IF(F1670="alluminio",0,I1670*1.5%),4)</f>
        <v>0</v>
      </c>
      <c r="L1670" s="67">
        <f>ROUND(IF(K1670&lt;J1670,K1670,0),4)</f>
        <v>0</v>
      </c>
      <c r="M1670" s="67">
        <f>ROUND(IF(J1670&gt;K1670,0,J1670),4)</f>
        <v>0</v>
      </c>
      <c r="N1670" s="67">
        <f>ROUND(+L1670*D1670,4)</f>
        <v>0</v>
      </c>
      <c r="O1670" s="67">
        <f>ROUND(IF(F1670="rame",0,+I1670*3%),4)</f>
        <v>0</v>
      </c>
      <c r="P1670" s="67">
        <f>ROUND(IF(O1670&lt;J1670,O1670,0),4)</f>
        <v>0</v>
      </c>
      <c r="Q1670" s="67">
        <f>ROUND(IF(J1670&gt;O1670,0,J1670),4)</f>
        <v>0</v>
      </c>
      <c r="R1670" s="67">
        <f>ROUND(+P1670*D1670,4)</f>
        <v>0</v>
      </c>
      <c r="S1670" s="67">
        <f>ROUND(IF(K1670=0,0,M1670*D1670),4)</f>
        <v>0</v>
      </c>
      <c r="T1670" s="67">
        <f>ROUND(+IF(K1670=0,Q1670*D1670,0),4)</f>
        <v>0</v>
      </c>
      <c r="U1670" s="67">
        <f>ROUND(+N1670+R1670+S1670+T1670,4)</f>
        <v>0</v>
      </c>
      <c r="V1670" s="67">
        <f>ROUND(IF(P1670=0,0,I1670-H1670-O1670)+IF(L1670=0,0,I1670-H1670-K1670),4)</f>
        <v>0</v>
      </c>
      <c r="W1670" s="67">
        <f>ROUND(+(V1670*60%)*D1670,4)</f>
        <v>0</v>
      </c>
      <c r="X1670" s="148">
        <f>ROUND(+U1670+W1670,4)</f>
        <v>0</v>
      </c>
      <c r="Y1670" s="68"/>
      <c r="Z1670" s="148">
        <f>ROUND(IF(X1670&gt;I1670,X1670,I1670),4)</f>
        <v>0</v>
      </c>
      <c r="AD1670" s="78">
        <f t="shared" si="30"/>
        <v>0</v>
      </c>
      <c r="AE1670" s="78">
        <f t="shared" si="31"/>
        <v>0</v>
      </c>
    </row>
    <row r="1671" spans="1:31" x14ac:dyDescent="0.2">
      <c r="A1671" s="66"/>
      <c r="B1671" s="66"/>
      <c r="C1671" s="66"/>
      <c r="D1671" s="144"/>
      <c r="E1671" s="67"/>
      <c r="F1671" s="67"/>
      <c r="G1671" s="67"/>
      <c r="H1671" s="67">
        <f>ROUND(+E1671+G1671,4)</f>
        <v>0</v>
      </c>
      <c r="I1671" s="67"/>
      <c r="J1671" s="67">
        <f>ROUND(+I1671-H1671,4)</f>
        <v>0</v>
      </c>
      <c r="K1671" s="67">
        <f>ROUND(IF(F1671="alluminio",0,I1671*1.5%),4)</f>
        <v>0</v>
      </c>
      <c r="L1671" s="67">
        <f>ROUND(IF(K1671&lt;J1671,K1671,0),4)</f>
        <v>0</v>
      </c>
      <c r="M1671" s="67">
        <f>ROUND(IF(J1671&gt;K1671,0,J1671),4)</f>
        <v>0</v>
      </c>
      <c r="N1671" s="67">
        <f>ROUND(+L1671*D1671,4)</f>
        <v>0</v>
      </c>
      <c r="O1671" s="67">
        <f>ROUND(IF(F1671="rame",0,+I1671*3%),4)</f>
        <v>0</v>
      </c>
      <c r="P1671" s="67">
        <f>ROUND(IF(O1671&lt;J1671,O1671,0),4)</f>
        <v>0</v>
      </c>
      <c r="Q1671" s="67">
        <f>ROUND(IF(J1671&gt;O1671,0,J1671),4)</f>
        <v>0</v>
      </c>
      <c r="R1671" s="67">
        <f>ROUND(+P1671*D1671,4)</f>
        <v>0</v>
      </c>
      <c r="S1671" s="67">
        <f>ROUND(IF(K1671=0,0,M1671*D1671),4)</f>
        <v>0</v>
      </c>
      <c r="T1671" s="67">
        <f>ROUND(+IF(K1671=0,Q1671*D1671,0),4)</f>
        <v>0</v>
      </c>
      <c r="U1671" s="67">
        <f>ROUND(+N1671+R1671+S1671+T1671,4)</f>
        <v>0</v>
      </c>
      <c r="V1671" s="67">
        <f>ROUND(IF(P1671=0,0,I1671-H1671-O1671)+IF(L1671=0,0,I1671-H1671-K1671),4)</f>
        <v>0</v>
      </c>
      <c r="W1671" s="67">
        <f>ROUND(+(V1671*60%)*D1671,4)</f>
        <v>0</v>
      </c>
      <c r="X1671" s="148">
        <f>ROUND(+U1671+W1671,4)</f>
        <v>0</v>
      </c>
      <c r="Y1671" s="68"/>
      <c r="Z1671" s="148">
        <f>ROUND(IF(X1671&gt;I1671,X1671,I1671),4)</f>
        <v>0</v>
      </c>
      <c r="AD1671" s="78">
        <f t="shared" si="30"/>
        <v>0</v>
      </c>
      <c r="AE1671" s="78">
        <f t="shared" si="31"/>
        <v>0</v>
      </c>
    </row>
    <row r="1672" spans="1:31" x14ac:dyDescent="0.2">
      <c r="A1672" s="66"/>
      <c r="B1672" s="66"/>
      <c r="C1672" s="66"/>
      <c r="D1672" s="144"/>
      <c r="E1672" s="67"/>
      <c r="F1672" s="67"/>
      <c r="G1672" s="67"/>
      <c r="H1672" s="67">
        <f>ROUND(+E1672+G1672,4)</f>
        <v>0</v>
      </c>
      <c r="I1672" s="67"/>
      <c r="J1672" s="67">
        <f>ROUND(+I1672-H1672,4)</f>
        <v>0</v>
      </c>
      <c r="K1672" s="67">
        <f>ROUND(IF(F1672="alluminio",0,I1672*1.5%),4)</f>
        <v>0</v>
      </c>
      <c r="L1672" s="67">
        <f>ROUND(IF(K1672&lt;J1672,K1672,0),4)</f>
        <v>0</v>
      </c>
      <c r="M1672" s="67">
        <f>ROUND(IF(J1672&gt;K1672,0,J1672),4)</f>
        <v>0</v>
      </c>
      <c r="N1672" s="67">
        <f>ROUND(+L1672*D1672,4)</f>
        <v>0</v>
      </c>
      <c r="O1672" s="67">
        <f>ROUND(IF(F1672="rame",0,+I1672*3%),4)</f>
        <v>0</v>
      </c>
      <c r="P1672" s="67">
        <f>ROUND(IF(O1672&lt;J1672,O1672,0),4)</f>
        <v>0</v>
      </c>
      <c r="Q1672" s="67">
        <f>ROUND(IF(J1672&gt;O1672,0,J1672),4)</f>
        <v>0</v>
      </c>
      <c r="R1672" s="67">
        <f>ROUND(+P1672*D1672,4)</f>
        <v>0</v>
      </c>
      <c r="S1672" s="67">
        <f>ROUND(IF(K1672=0,0,M1672*D1672),4)</f>
        <v>0</v>
      </c>
      <c r="T1672" s="67">
        <f>ROUND(+IF(K1672=0,Q1672*D1672,0),4)</f>
        <v>0</v>
      </c>
      <c r="U1672" s="67">
        <f>ROUND(+N1672+R1672+S1672+T1672,4)</f>
        <v>0</v>
      </c>
      <c r="V1672" s="67">
        <f>ROUND(IF(P1672=0,0,I1672-H1672-O1672)+IF(L1672=0,0,I1672-H1672-K1672),4)</f>
        <v>0</v>
      </c>
      <c r="W1672" s="67">
        <f>ROUND(+(V1672*60%)*D1672,4)</f>
        <v>0</v>
      </c>
      <c r="X1672" s="148">
        <f>ROUND(+U1672+W1672,4)</f>
        <v>0</v>
      </c>
      <c r="Y1672" s="68"/>
      <c r="Z1672" s="148">
        <f>ROUND(IF(X1672&gt;I1672,X1672,I1672),4)</f>
        <v>0</v>
      </c>
      <c r="AD1672" s="78">
        <f t="shared" si="30"/>
        <v>0</v>
      </c>
      <c r="AE1672" s="78">
        <f t="shared" si="31"/>
        <v>0</v>
      </c>
    </row>
    <row r="1673" spans="1:31" x14ac:dyDescent="0.2">
      <c r="A1673" s="66"/>
      <c r="B1673" s="66"/>
      <c r="C1673" s="66"/>
      <c r="D1673" s="144"/>
      <c r="E1673" s="67"/>
      <c r="F1673" s="67"/>
      <c r="G1673" s="67"/>
      <c r="H1673" s="67">
        <f>ROUND(+E1673+G1673,4)</f>
        <v>0</v>
      </c>
      <c r="I1673" s="67"/>
      <c r="J1673" s="67">
        <f>ROUND(+I1673-H1673,4)</f>
        <v>0</v>
      </c>
      <c r="K1673" s="67">
        <f>ROUND(IF(F1673="alluminio",0,I1673*1.5%),4)</f>
        <v>0</v>
      </c>
      <c r="L1673" s="67">
        <f>ROUND(IF(K1673&lt;J1673,K1673,0),4)</f>
        <v>0</v>
      </c>
      <c r="M1673" s="67">
        <f>ROUND(IF(J1673&gt;K1673,0,J1673),4)</f>
        <v>0</v>
      </c>
      <c r="N1673" s="67">
        <f>ROUND(+L1673*D1673,4)</f>
        <v>0</v>
      </c>
      <c r="O1673" s="67">
        <f>ROUND(IF(F1673="rame",0,+I1673*3%),4)</f>
        <v>0</v>
      </c>
      <c r="P1673" s="67">
        <f>ROUND(IF(O1673&lt;J1673,O1673,0),4)</f>
        <v>0</v>
      </c>
      <c r="Q1673" s="67">
        <f>ROUND(IF(J1673&gt;O1673,0,J1673),4)</f>
        <v>0</v>
      </c>
      <c r="R1673" s="67">
        <f>ROUND(+P1673*D1673,4)</f>
        <v>0</v>
      </c>
      <c r="S1673" s="67">
        <f>ROUND(IF(K1673=0,0,M1673*D1673),4)</f>
        <v>0</v>
      </c>
      <c r="T1673" s="67">
        <f>ROUND(+IF(K1673=0,Q1673*D1673,0),4)</f>
        <v>0</v>
      </c>
      <c r="U1673" s="67">
        <f>ROUND(+N1673+R1673+S1673+T1673,4)</f>
        <v>0</v>
      </c>
      <c r="V1673" s="67">
        <f>ROUND(IF(P1673=0,0,I1673-H1673-O1673)+IF(L1673=0,0,I1673-H1673-K1673),4)</f>
        <v>0</v>
      </c>
      <c r="W1673" s="67">
        <f>ROUND(+(V1673*60%)*D1673,4)</f>
        <v>0</v>
      </c>
      <c r="X1673" s="148">
        <f>ROUND(+U1673+W1673,4)</f>
        <v>0</v>
      </c>
      <c r="Y1673" s="68"/>
      <c r="Z1673" s="148">
        <f>ROUND(IF(X1673&gt;I1673,X1673,I1673),4)</f>
        <v>0</v>
      </c>
      <c r="AD1673" s="78">
        <f t="shared" si="30"/>
        <v>0</v>
      </c>
      <c r="AE1673" s="78">
        <f t="shared" si="31"/>
        <v>0</v>
      </c>
    </row>
    <row r="1674" spans="1:31" x14ac:dyDescent="0.2">
      <c r="A1674" s="66"/>
      <c r="B1674" s="66"/>
      <c r="C1674" s="66"/>
      <c r="D1674" s="144"/>
      <c r="E1674" s="67"/>
      <c r="F1674" s="67"/>
      <c r="G1674" s="67"/>
      <c r="H1674" s="67">
        <f>ROUND(+E1674+G1674,4)</f>
        <v>0</v>
      </c>
      <c r="I1674" s="67"/>
      <c r="J1674" s="67">
        <f>ROUND(+I1674-H1674,4)</f>
        <v>0</v>
      </c>
      <c r="K1674" s="67">
        <f>ROUND(IF(F1674="alluminio",0,I1674*1.5%),4)</f>
        <v>0</v>
      </c>
      <c r="L1674" s="67">
        <f>ROUND(IF(K1674&lt;J1674,K1674,0),4)</f>
        <v>0</v>
      </c>
      <c r="M1674" s="67">
        <f>ROUND(IF(J1674&gt;K1674,0,J1674),4)</f>
        <v>0</v>
      </c>
      <c r="N1674" s="67">
        <f>ROUND(+L1674*D1674,4)</f>
        <v>0</v>
      </c>
      <c r="O1674" s="67">
        <f>ROUND(IF(F1674="rame",0,+I1674*3%),4)</f>
        <v>0</v>
      </c>
      <c r="P1674" s="67">
        <f>ROUND(IF(O1674&lt;J1674,O1674,0),4)</f>
        <v>0</v>
      </c>
      <c r="Q1674" s="67">
        <f>ROUND(IF(J1674&gt;O1674,0,J1674),4)</f>
        <v>0</v>
      </c>
      <c r="R1674" s="67">
        <f>ROUND(+P1674*D1674,4)</f>
        <v>0</v>
      </c>
      <c r="S1674" s="67">
        <f>ROUND(IF(K1674=0,0,M1674*D1674),4)</f>
        <v>0</v>
      </c>
      <c r="T1674" s="67">
        <f>ROUND(+IF(K1674=0,Q1674*D1674,0),4)</f>
        <v>0</v>
      </c>
      <c r="U1674" s="67">
        <f>ROUND(+N1674+R1674+S1674+T1674,4)</f>
        <v>0</v>
      </c>
      <c r="V1674" s="67">
        <f>ROUND(IF(P1674=0,0,I1674-H1674-O1674)+IF(L1674=0,0,I1674-H1674-K1674),4)</f>
        <v>0</v>
      </c>
      <c r="W1674" s="67">
        <f>ROUND(+(V1674*60%)*D1674,4)</f>
        <v>0</v>
      </c>
      <c r="X1674" s="148">
        <f>ROUND(+U1674+W1674,4)</f>
        <v>0</v>
      </c>
      <c r="Y1674" s="68"/>
      <c r="Z1674" s="148">
        <f>ROUND(IF(X1674&gt;I1674,X1674,I1674),4)</f>
        <v>0</v>
      </c>
      <c r="AD1674" s="78">
        <f t="shared" si="30"/>
        <v>0</v>
      </c>
      <c r="AE1674" s="78">
        <f t="shared" si="31"/>
        <v>0</v>
      </c>
    </row>
    <row r="1675" spans="1:31" x14ac:dyDescent="0.2">
      <c r="A1675" s="66"/>
      <c r="B1675" s="66"/>
      <c r="C1675" s="66"/>
      <c r="D1675" s="144"/>
      <c r="E1675" s="67"/>
      <c r="F1675" s="67"/>
      <c r="G1675" s="67"/>
      <c r="H1675" s="67">
        <f>ROUND(+E1675+G1675,4)</f>
        <v>0</v>
      </c>
      <c r="I1675" s="67"/>
      <c r="J1675" s="67">
        <f>ROUND(+I1675-H1675,4)</f>
        <v>0</v>
      </c>
      <c r="K1675" s="67">
        <f>ROUND(IF(F1675="alluminio",0,I1675*1.5%),4)</f>
        <v>0</v>
      </c>
      <c r="L1675" s="67">
        <f>ROUND(IF(K1675&lt;J1675,K1675,0),4)</f>
        <v>0</v>
      </c>
      <c r="M1675" s="67">
        <f>ROUND(IF(J1675&gt;K1675,0,J1675),4)</f>
        <v>0</v>
      </c>
      <c r="N1675" s="67">
        <f>ROUND(+L1675*D1675,4)</f>
        <v>0</v>
      </c>
      <c r="O1675" s="67">
        <f>ROUND(IF(F1675="rame",0,+I1675*3%),4)</f>
        <v>0</v>
      </c>
      <c r="P1675" s="67">
        <f>ROUND(IF(O1675&lt;J1675,O1675,0),4)</f>
        <v>0</v>
      </c>
      <c r="Q1675" s="67">
        <f>ROUND(IF(J1675&gt;O1675,0,J1675),4)</f>
        <v>0</v>
      </c>
      <c r="R1675" s="67">
        <f>ROUND(+P1675*D1675,4)</f>
        <v>0</v>
      </c>
      <c r="S1675" s="67">
        <f>ROUND(IF(K1675=0,0,M1675*D1675),4)</f>
        <v>0</v>
      </c>
      <c r="T1675" s="67">
        <f>ROUND(+IF(K1675=0,Q1675*D1675,0),4)</f>
        <v>0</v>
      </c>
      <c r="U1675" s="67">
        <f>ROUND(+N1675+R1675+S1675+T1675,4)</f>
        <v>0</v>
      </c>
      <c r="V1675" s="67">
        <f>ROUND(IF(P1675=0,0,I1675-H1675-O1675)+IF(L1675=0,0,I1675-H1675-K1675),4)</f>
        <v>0</v>
      </c>
      <c r="W1675" s="67">
        <f>ROUND(+(V1675*60%)*D1675,4)</f>
        <v>0</v>
      </c>
      <c r="X1675" s="148">
        <f>ROUND(+U1675+W1675,4)</f>
        <v>0</v>
      </c>
      <c r="Y1675" s="68"/>
      <c r="Z1675" s="148">
        <f>ROUND(IF(X1675&gt;I1675,X1675,I1675),4)</f>
        <v>0</v>
      </c>
      <c r="AD1675" s="78">
        <f t="shared" si="30"/>
        <v>0</v>
      </c>
      <c r="AE1675" s="78">
        <f t="shared" si="31"/>
        <v>0</v>
      </c>
    </row>
    <row r="1676" spans="1:31" x14ac:dyDescent="0.2">
      <c r="A1676" s="66"/>
      <c r="B1676" s="66"/>
      <c r="C1676" s="66"/>
      <c r="D1676" s="144"/>
      <c r="E1676" s="67"/>
      <c r="F1676" s="67"/>
      <c r="G1676" s="67"/>
      <c r="H1676" s="67">
        <f>ROUND(+E1676+G1676,4)</f>
        <v>0</v>
      </c>
      <c r="I1676" s="67"/>
      <c r="J1676" s="67">
        <f>ROUND(+I1676-H1676,4)</f>
        <v>0</v>
      </c>
      <c r="K1676" s="67">
        <f>ROUND(IF(F1676="alluminio",0,I1676*1.5%),4)</f>
        <v>0</v>
      </c>
      <c r="L1676" s="67">
        <f>ROUND(IF(K1676&lt;J1676,K1676,0),4)</f>
        <v>0</v>
      </c>
      <c r="M1676" s="67">
        <f>ROUND(IF(J1676&gt;K1676,0,J1676),4)</f>
        <v>0</v>
      </c>
      <c r="N1676" s="67">
        <f>ROUND(+L1676*D1676,4)</f>
        <v>0</v>
      </c>
      <c r="O1676" s="67">
        <f>ROUND(IF(F1676="rame",0,+I1676*3%),4)</f>
        <v>0</v>
      </c>
      <c r="P1676" s="67">
        <f>ROUND(IF(O1676&lt;J1676,O1676,0),4)</f>
        <v>0</v>
      </c>
      <c r="Q1676" s="67">
        <f>ROUND(IF(J1676&gt;O1676,0,J1676),4)</f>
        <v>0</v>
      </c>
      <c r="R1676" s="67">
        <f>ROUND(+P1676*D1676,4)</f>
        <v>0</v>
      </c>
      <c r="S1676" s="67">
        <f>ROUND(IF(K1676=0,0,M1676*D1676),4)</f>
        <v>0</v>
      </c>
      <c r="T1676" s="67">
        <f>ROUND(+IF(K1676=0,Q1676*D1676,0),4)</f>
        <v>0</v>
      </c>
      <c r="U1676" s="67">
        <f>ROUND(+N1676+R1676+S1676+T1676,4)</f>
        <v>0</v>
      </c>
      <c r="V1676" s="67">
        <f>ROUND(IF(P1676=0,0,I1676-H1676-O1676)+IF(L1676=0,0,I1676-H1676-K1676),4)</f>
        <v>0</v>
      </c>
      <c r="W1676" s="67">
        <f>ROUND(+(V1676*60%)*D1676,4)</f>
        <v>0</v>
      </c>
      <c r="X1676" s="148">
        <f>ROUND(+U1676+W1676,4)</f>
        <v>0</v>
      </c>
      <c r="Y1676" s="68"/>
      <c r="Z1676" s="148">
        <f>ROUND(IF(X1676&gt;I1676,X1676,I1676),4)</f>
        <v>0</v>
      </c>
      <c r="AD1676" s="78">
        <f t="shared" si="30"/>
        <v>0</v>
      </c>
      <c r="AE1676" s="78">
        <f t="shared" si="31"/>
        <v>0</v>
      </c>
    </row>
    <row r="1677" spans="1:31" x14ac:dyDescent="0.2">
      <c r="A1677" s="66"/>
      <c r="B1677" s="66"/>
      <c r="C1677" s="66"/>
      <c r="D1677" s="144"/>
      <c r="E1677" s="67"/>
      <c r="F1677" s="67"/>
      <c r="G1677" s="67"/>
      <c r="H1677" s="67">
        <f>ROUND(+E1677+G1677,4)</f>
        <v>0</v>
      </c>
      <c r="I1677" s="67"/>
      <c r="J1677" s="67">
        <f>ROUND(+I1677-H1677,4)</f>
        <v>0</v>
      </c>
      <c r="K1677" s="67">
        <f>ROUND(IF(F1677="alluminio",0,I1677*1.5%),4)</f>
        <v>0</v>
      </c>
      <c r="L1677" s="67">
        <f>ROUND(IF(K1677&lt;J1677,K1677,0),4)</f>
        <v>0</v>
      </c>
      <c r="M1677" s="67">
        <f>ROUND(IF(J1677&gt;K1677,0,J1677),4)</f>
        <v>0</v>
      </c>
      <c r="N1677" s="67">
        <f>ROUND(+L1677*D1677,4)</f>
        <v>0</v>
      </c>
      <c r="O1677" s="67">
        <f>ROUND(IF(F1677="rame",0,+I1677*3%),4)</f>
        <v>0</v>
      </c>
      <c r="P1677" s="67">
        <f>ROUND(IF(O1677&lt;J1677,O1677,0),4)</f>
        <v>0</v>
      </c>
      <c r="Q1677" s="67">
        <f>ROUND(IF(J1677&gt;O1677,0,J1677),4)</f>
        <v>0</v>
      </c>
      <c r="R1677" s="67">
        <f>ROUND(+P1677*D1677,4)</f>
        <v>0</v>
      </c>
      <c r="S1677" s="67">
        <f>ROUND(IF(K1677=0,0,M1677*D1677),4)</f>
        <v>0</v>
      </c>
      <c r="T1677" s="67">
        <f>ROUND(+IF(K1677=0,Q1677*D1677,0),4)</f>
        <v>0</v>
      </c>
      <c r="U1677" s="67">
        <f>ROUND(+N1677+R1677+S1677+T1677,4)</f>
        <v>0</v>
      </c>
      <c r="V1677" s="67">
        <f>ROUND(IF(P1677=0,0,I1677-H1677-O1677)+IF(L1677=0,0,I1677-H1677-K1677),4)</f>
        <v>0</v>
      </c>
      <c r="W1677" s="67">
        <f>ROUND(+(V1677*60%)*D1677,4)</f>
        <v>0</v>
      </c>
      <c r="X1677" s="148">
        <f>ROUND(+U1677+W1677,4)</f>
        <v>0</v>
      </c>
      <c r="Y1677" s="68"/>
      <c r="Z1677" s="148">
        <f>ROUND(IF(X1677&gt;I1677,X1677,I1677),4)</f>
        <v>0</v>
      </c>
      <c r="AD1677" s="78">
        <f t="shared" si="30"/>
        <v>0</v>
      </c>
      <c r="AE1677" s="78">
        <f t="shared" si="31"/>
        <v>0</v>
      </c>
    </row>
    <row r="1678" spans="1:31" x14ac:dyDescent="0.2">
      <c r="A1678" s="66"/>
      <c r="B1678" s="66"/>
      <c r="C1678" s="66"/>
      <c r="D1678" s="144"/>
      <c r="E1678" s="67"/>
      <c r="F1678" s="67"/>
      <c r="G1678" s="67"/>
      <c r="H1678" s="67">
        <f>ROUND(+E1678+G1678,4)</f>
        <v>0</v>
      </c>
      <c r="I1678" s="67"/>
      <c r="J1678" s="67">
        <f>ROUND(+I1678-H1678,4)</f>
        <v>0</v>
      </c>
      <c r="K1678" s="67">
        <f>ROUND(IF(F1678="alluminio",0,I1678*1.5%),4)</f>
        <v>0</v>
      </c>
      <c r="L1678" s="67">
        <f>ROUND(IF(K1678&lt;J1678,K1678,0),4)</f>
        <v>0</v>
      </c>
      <c r="M1678" s="67">
        <f>ROUND(IF(J1678&gt;K1678,0,J1678),4)</f>
        <v>0</v>
      </c>
      <c r="N1678" s="67">
        <f>ROUND(+L1678*D1678,4)</f>
        <v>0</v>
      </c>
      <c r="O1678" s="67">
        <f>ROUND(IF(F1678="rame",0,+I1678*3%),4)</f>
        <v>0</v>
      </c>
      <c r="P1678" s="67">
        <f>ROUND(IF(O1678&lt;J1678,O1678,0),4)</f>
        <v>0</v>
      </c>
      <c r="Q1678" s="67">
        <f>ROUND(IF(J1678&gt;O1678,0,J1678),4)</f>
        <v>0</v>
      </c>
      <c r="R1678" s="67">
        <f>ROUND(+P1678*D1678,4)</f>
        <v>0</v>
      </c>
      <c r="S1678" s="67">
        <f>ROUND(IF(K1678=0,0,M1678*D1678),4)</f>
        <v>0</v>
      </c>
      <c r="T1678" s="67">
        <f>ROUND(+IF(K1678=0,Q1678*D1678,0),4)</f>
        <v>0</v>
      </c>
      <c r="U1678" s="67">
        <f>ROUND(+N1678+R1678+S1678+T1678,4)</f>
        <v>0</v>
      </c>
      <c r="V1678" s="67">
        <f>ROUND(IF(P1678=0,0,I1678-H1678-O1678)+IF(L1678=0,0,I1678-H1678-K1678),4)</f>
        <v>0</v>
      </c>
      <c r="W1678" s="67">
        <f>ROUND(+(V1678*60%)*D1678,4)</f>
        <v>0</v>
      </c>
      <c r="X1678" s="148">
        <f>ROUND(+U1678+W1678,4)</f>
        <v>0</v>
      </c>
      <c r="Y1678" s="68"/>
      <c r="Z1678" s="148">
        <f>ROUND(IF(X1678&gt;I1678,X1678,I1678),4)</f>
        <v>0</v>
      </c>
      <c r="AD1678" s="78">
        <f t="shared" si="30"/>
        <v>0</v>
      </c>
      <c r="AE1678" s="78">
        <f t="shared" si="31"/>
        <v>0</v>
      </c>
    </row>
    <row r="1679" spans="1:31" x14ac:dyDescent="0.2">
      <c r="A1679" s="66"/>
      <c r="B1679" s="66"/>
      <c r="C1679" s="66"/>
      <c r="D1679" s="144"/>
      <c r="E1679" s="67"/>
      <c r="F1679" s="67"/>
      <c r="G1679" s="67"/>
      <c r="H1679" s="67">
        <f>ROUND(+E1679+G1679,4)</f>
        <v>0</v>
      </c>
      <c r="I1679" s="67"/>
      <c r="J1679" s="67">
        <f>ROUND(+I1679-H1679,4)</f>
        <v>0</v>
      </c>
      <c r="K1679" s="67">
        <f>ROUND(IF(F1679="alluminio",0,I1679*1.5%),4)</f>
        <v>0</v>
      </c>
      <c r="L1679" s="67">
        <f>ROUND(IF(K1679&lt;J1679,K1679,0),4)</f>
        <v>0</v>
      </c>
      <c r="M1679" s="67">
        <f>ROUND(IF(J1679&gt;K1679,0,J1679),4)</f>
        <v>0</v>
      </c>
      <c r="N1679" s="67">
        <f>ROUND(+L1679*D1679,4)</f>
        <v>0</v>
      </c>
      <c r="O1679" s="67">
        <f>ROUND(IF(F1679="rame",0,+I1679*3%),4)</f>
        <v>0</v>
      </c>
      <c r="P1679" s="67">
        <f>ROUND(IF(O1679&lt;J1679,O1679,0),4)</f>
        <v>0</v>
      </c>
      <c r="Q1679" s="67">
        <f>ROUND(IF(J1679&gt;O1679,0,J1679),4)</f>
        <v>0</v>
      </c>
      <c r="R1679" s="67">
        <f>ROUND(+P1679*D1679,4)</f>
        <v>0</v>
      </c>
      <c r="S1679" s="67">
        <f>ROUND(IF(K1679=0,0,M1679*D1679),4)</f>
        <v>0</v>
      </c>
      <c r="T1679" s="67">
        <f>ROUND(+IF(K1679=0,Q1679*D1679,0),4)</f>
        <v>0</v>
      </c>
      <c r="U1679" s="67">
        <f>ROUND(+N1679+R1679+S1679+T1679,4)</f>
        <v>0</v>
      </c>
      <c r="V1679" s="67">
        <f>ROUND(IF(P1679=0,0,I1679-H1679-O1679)+IF(L1679=0,0,I1679-H1679-K1679),4)</f>
        <v>0</v>
      </c>
      <c r="W1679" s="67">
        <f>ROUND(+(V1679*60%)*D1679,4)</f>
        <v>0</v>
      </c>
      <c r="X1679" s="148">
        <f>ROUND(+U1679+W1679,4)</f>
        <v>0</v>
      </c>
      <c r="Y1679" s="68"/>
      <c r="Z1679" s="148">
        <f>ROUND(IF(X1679&gt;I1679,X1679,I1679),4)</f>
        <v>0</v>
      </c>
      <c r="AD1679" s="78">
        <f t="shared" si="30"/>
        <v>0</v>
      </c>
      <c r="AE1679" s="78">
        <f t="shared" si="31"/>
        <v>0</v>
      </c>
    </row>
    <row r="1680" spans="1:31" x14ac:dyDescent="0.2">
      <c r="A1680" s="66"/>
      <c r="B1680" s="66"/>
      <c r="C1680" s="66"/>
      <c r="D1680" s="144"/>
      <c r="E1680" s="67"/>
      <c r="F1680" s="67"/>
      <c r="G1680" s="67"/>
      <c r="H1680" s="67">
        <f>ROUND(+E1680+G1680,4)</f>
        <v>0</v>
      </c>
      <c r="I1680" s="67"/>
      <c r="J1680" s="67">
        <f>ROUND(+I1680-H1680,4)</f>
        <v>0</v>
      </c>
      <c r="K1680" s="67">
        <f>ROUND(IF(F1680="alluminio",0,I1680*1.5%),4)</f>
        <v>0</v>
      </c>
      <c r="L1680" s="67">
        <f>ROUND(IF(K1680&lt;J1680,K1680,0),4)</f>
        <v>0</v>
      </c>
      <c r="M1680" s="67">
        <f>ROUND(IF(J1680&gt;K1680,0,J1680),4)</f>
        <v>0</v>
      </c>
      <c r="N1680" s="67">
        <f>ROUND(+L1680*D1680,4)</f>
        <v>0</v>
      </c>
      <c r="O1680" s="67">
        <f>ROUND(IF(F1680="rame",0,+I1680*3%),4)</f>
        <v>0</v>
      </c>
      <c r="P1680" s="67">
        <f>ROUND(IF(O1680&lt;J1680,O1680,0),4)</f>
        <v>0</v>
      </c>
      <c r="Q1680" s="67">
        <f>ROUND(IF(J1680&gt;O1680,0,J1680),4)</f>
        <v>0</v>
      </c>
      <c r="R1680" s="67">
        <f>ROUND(+P1680*D1680,4)</f>
        <v>0</v>
      </c>
      <c r="S1680" s="67">
        <f>ROUND(IF(K1680=0,0,M1680*D1680),4)</f>
        <v>0</v>
      </c>
      <c r="T1680" s="67">
        <f>ROUND(+IF(K1680=0,Q1680*D1680,0),4)</f>
        <v>0</v>
      </c>
      <c r="U1680" s="67">
        <f>ROUND(+N1680+R1680+S1680+T1680,4)</f>
        <v>0</v>
      </c>
      <c r="V1680" s="67">
        <f>ROUND(IF(P1680=0,0,I1680-H1680-O1680)+IF(L1680=0,0,I1680-H1680-K1680),4)</f>
        <v>0</v>
      </c>
      <c r="W1680" s="67">
        <f>ROUND(+(V1680*60%)*D1680,4)</f>
        <v>0</v>
      </c>
      <c r="X1680" s="148">
        <f>ROUND(+U1680+W1680,4)</f>
        <v>0</v>
      </c>
      <c r="Y1680" s="68"/>
      <c r="Z1680" s="148">
        <f>ROUND(IF(X1680&gt;I1680,X1680,I1680),4)</f>
        <v>0</v>
      </c>
      <c r="AD1680" s="78">
        <f t="shared" si="30"/>
        <v>0</v>
      </c>
      <c r="AE1680" s="78">
        <f t="shared" si="31"/>
        <v>0</v>
      </c>
    </row>
    <row r="1681" spans="1:31" x14ac:dyDescent="0.2">
      <c r="A1681" s="66"/>
      <c r="B1681" s="66"/>
      <c r="C1681" s="66"/>
      <c r="D1681" s="144"/>
      <c r="E1681" s="67"/>
      <c r="F1681" s="67"/>
      <c r="G1681" s="67"/>
      <c r="H1681" s="67">
        <f>ROUND(+E1681+G1681,4)</f>
        <v>0</v>
      </c>
      <c r="I1681" s="67"/>
      <c r="J1681" s="67">
        <f>ROUND(+I1681-H1681,4)</f>
        <v>0</v>
      </c>
      <c r="K1681" s="67">
        <f>ROUND(IF(F1681="alluminio",0,I1681*1.5%),4)</f>
        <v>0</v>
      </c>
      <c r="L1681" s="67">
        <f>ROUND(IF(K1681&lt;J1681,K1681,0),4)</f>
        <v>0</v>
      </c>
      <c r="M1681" s="67">
        <f>ROUND(IF(J1681&gt;K1681,0,J1681),4)</f>
        <v>0</v>
      </c>
      <c r="N1681" s="67">
        <f>ROUND(+L1681*D1681,4)</f>
        <v>0</v>
      </c>
      <c r="O1681" s="67">
        <f>ROUND(IF(F1681="rame",0,+I1681*3%),4)</f>
        <v>0</v>
      </c>
      <c r="P1681" s="67">
        <f>ROUND(IF(O1681&lt;J1681,O1681,0),4)</f>
        <v>0</v>
      </c>
      <c r="Q1681" s="67">
        <f>ROUND(IF(J1681&gt;O1681,0,J1681),4)</f>
        <v>0</v>
      </c>
      <c r="R1681" s="67">
        <f>ROUND(+P1681*D1681,4)</f>
        <v>0</v>
      </c>
      <c r="S1681" s="67">
        <f>ROUND(IF(K1681=0,0,M1681*D1681),4)</f>
        <v>0</v>
      </c>
      <c r="T1681" s="67">
        <f>ROUND(+IF(K1681=0,Q1681*D1681,0),4)</f>
        <v>0</v>
      </c>
      <c r="U1681" s="67">
        <f>ROUND(+N1681+R1681+S1681+T1681,4)</f>
        <v>0</v>
      </c>
      <c r="V1681" s="67">
        <f>ROUND(IF(P1681=0,0,I1681-H1681-O1681)+IF(L1681=0,0,I1681-H1681-K1681),4)</f>
        <v>0</v>
      </c>
      <c r="W1681" s="67">
        <f>ROUND(+(V1681*60%)*D1681,4)</f>
        <v>0</v>
      </c>
      <c r="X1681" s="148">
        <f>ROUND(+U1681+W1681,4)</f>
        <v>0</v>
      </c>
      <c r="Y1681" s="68"/>
      <c r="Z1681" s="148">
        <f>ROUND(IF(X1681&gt;I1681,X1681,I1681),4)</f>
        <v>0</v>
      </c>
      <c r="AD1681" s="78">
        <f t="shared" si="30"/>
        <v>0</v>
      </c>
      <c r="AE1681" s="78">
        <f t="shared" si="31"/>
        <v>0</v>
      </c>
    </row>
    <row r="1682" spans="1:31" x14ac:dyDescent="0.2">
      <c r="A1682" s="66"/>
      <c r="B1682" s="66"/>
      <c r="C1682" s="66"/>
      <c r="D1682" s="144"/>
      <c r="E1682" s="67"/>
      <c r="F1682" s="67"/>
      <c r="G1682" s="67"/>
      <c r="H1682" s="67">
        <f>ROUND(+E1682+G1682,4)</f>
        <v>0</v>
      </c>
      <c r="I1682" s="67"/>
      <c r="J1682" s="67">
        <f>ROUND(+I1682-H1682,4)</f>
        <v>0</v>
      </c>
      <c r="K1682" s="67">
        <f>ROUND(IF(F1682="alluminio",0,I1682*1.5%),4)</f>
        <v>0</v>
      </c>
      <c r="L1682" s="67">
        <f>ROUND(IF(K1682&lt;J1682,K1682,0),4)</f>
        <v>0</v>
      </c>
      <c r="M1682" s="67">
        <f>ROUND(IF(J1682&gt;K1682,0,J1682),4)</f>
        <v>0</v>
      </c>
      <c r="N1682" s="67">
        <f>ROUND(+L1682*D1682,4)</f>
        <v>0</v>
      </c>
      <c r="O1682" s="67">
        <f>ROUND(IF(F1682="rame",0,+I1682*3%),4)</f>
        <v>0</v>
      </c>
      <c r="P1682" s="67">
        <f>ROUND(IF(O1682&lt;J1682,O1682,0),4)</f>
        <v>0</v>
      </c>
      <c r="Q1682" s="67">
        <f>ROUND(IF(J1682&gt;O1682,0,J1682),4)</f>
        <v>0</v>
      </c>
      <c r="R1682" s="67">
        <f>ROUND(+P1682*D1682,4)</f>
        <v>0</v>
      </c>
      <c r="S1682" s="67">
        <f>ROUND(IF(K1682=0,0,M1682*D1682),4)</f>
        <v>0</v>
      </c>
      <c r="T1682" s="67">
        <f>ROUND(+IF(K1682=0,Q1682*D1682,0),4)</f>
        <v>0</v>
      </c>
      <c r="U1682" s="67">
        <f>ROUND(+N1682+R1682+S1682+T1682,4)</f>
        <v>0</v>
      </c>
      <c r="V1682" s="67">
        <f>ROUND(IF(P1682=0,0,I1682-H1682-O1682)+IF(L1682=0,0,I1682-H1682-K1682),4)</f>
        <v>0</v>
      </c>
      <c r="W1682" s="67">
        <f>ROUND(+(V1682*60%)*D1682,4)</f>
        <v>0</v>
      </c>
      <c r="X1682" s="148">
        <f>ROUND(+U1682+W1682,4)</f>
        <v>0</v>
      </c>
      <c r="Y1682" s="68"/>
      <c r="Z1682" s="148">
        <f>ROUND(IF(X1682&gt;I1682,X1682,I1682),4)</f>
        <v>0</v>
      </c>
      <c r="AD1682" s="78">
        <f t="shared" si="30"/>
        <v>0</v>
      </c>
      <c r="AE1682" s="78">
        <f t="shared" si="31"/>
        <v>0</v>
      </c>
    </row>
    <row r="1683" spans="1:31" x14ac:dyDescent="0.2">
      <c r="A1683" s="66"/>
      <c r="B1683" s="66"/>
      <c r="C1683" s="66"/>
      <c r="D1683" s="144"/>
      <c r="E1683" s="67"/>
      <c r="F1683" s="67"/>
      <c r="G1683" s="67"/>
      <c r="H1683" s="67">
        <f>ROUND(+E1683+G1683,4)</f>
        <v>0</v>
      </c>
      <c r="I1683" s="67"/>
      <c r="J1683" s="67">
        <f>ROUND(+I1683-H1683,4)</f>
        <v>0</v>
      </c>
      <c r="K1683" s="67">
        <f>ROUND(IF(F1683="alluminio",0,I1683*1.5%),4)</f>
        <v>0</v>
      </c>
      <c r="L1683" s="67">
        <f>ROUND(IF(K1683&lt;J1683,K1683,0),4)</f>
        <v>0</v>
      </c>
      <c r="M1683" s="67">
        <f>ROUND(IF(J1683&gt;K1683,0,J1683),4)</f>
        <v>0</v>
      </c>
      <c r="N1683" s="67">
        <f>ROUND(+L1683*D1683,4)</f>
        <v>0</v>
      </c>
      <c r="O1683" s="67">
        <f>ROUND(IF(F1683="rame",0,+I1683*3%),4)</f>
        <v>0</v>
      </c>
      <c r="P1683" s="67">
        <f>ROUND(IF(O1683&lt;J1683,O1683,0),4)</f>
        <v>0</v>
      </c>
      <c r="Q1683" s="67">
        <f>ROUND(IF(J1683&gt;O1683,0,J1683),4)</f>
        <v>0</v>
      </c>
      <c r="R1683" s="67">
        <f>ROUND(+P1683*D1683,4)</f>
        <v>0</v>
      </c>
      <c r="S1683" s="67">
        <f>ROUND(IF(K1683=0,0,M1683*D1683),4)</f>
        <v>0</v>
      </c>
      <c r="T1683" s="67">
        <f>ROUND(+IF(K1683=0,Q1683*D1683,0),4)</f>
        <v>0</v>
      </c>
      <c r="U1683" s="67">
        <f>ROUND(+N1683+R1683+S1683+T1683,4)</f>
        <v>0</v>
      </c>
      <c r="V1683" s="67">
        <f>ROUND(IF(P1683=0,0,I1683-H1683-O1683)+IF(L1683=0,0,I1683-H1683-K1683),4)</f>
        <v>0</v>
      </c>
      <c r="W1683" s="67">
        <f>ROUND(+(V1683*60%)*D1683,4)</f>
        <v>0</v>
      </c>
      <c r="X1683" s="148">
        <f>ROUND(+U1683+W1683,4)</f>
        <v>0</v>
      </c>
      <c r="Y1683" s="68"/>
      <c r="Z1683" s="148">
        <f>ROUND(IF(X1683&gt;I1683,X1683,I1683),4)</f>
        <v>0</v>
      </c>
      <c r="AD1683" s="78">
        <f t="shared" si="30"/>
        <v>0</v>
      </c>
      <c r="AE1683" s="78">
        <f t="shared" si="31"/>
        <v>0</v>
      </c>
    </row>
    <row r="1684" spans="1:31" x14ac:dyDescent="0.2">
      <c r="A1684" s="66"/>
      <c r="B1684" s="66"/>
      <c r="C1684" s="66"/>
      <c r="D1684" s="144"/>
      <c r="E1684" s="67"/>
      <c r="F1684" s="67"/>
      <c r="G1684" s="67"/>
      <c r="H1684" s="67">
        <f>ROUND(+E1684+G1684,4)</f>
        <v>0</v>
      </c>
      <c r="I1684" s="67"/>
      <c r="J1684" s="67">
        <f>ROUND(+I1684-H1684,4)</f>
        <v>0</v>
      </c>
      <c r="K1684" s="67">
        <f>ROUND(IF(F1684="alluminio",0,I1684*1.5%),4)</f>
        <v>0</v>
      </c>
      <c r="L1684" s="67">
        <f>ROUND(IF(K1684&lt;J1684,K1684,0),4)</f>
        <v>0</v>
      </c>
      <c r="M1684" s="67">
        <f>ROUND(IF(J1684&gt;K1684,0,J1684),4)</f>
        <v>0</v>
      </c>
      <c r="N1684" s="67">
        <f>ROUND(+L1684*D1684,4)</f>
        <v>0</v>
      </c>
      <c r="O1684" s="67">
        <f>ROUND(IF(F1684="rame",0,+I1684*3%),4)</f>
        <v>0</v>
      </c>
      <c r="P1684" s="67">
        <f>ROUND(IF(O1684&lt;J1684,O1684,0),4)</f>
        <v>0</v>
      </c>
      <c r="Q1684" s="67">
        <f>ROUND(IF(J1684&gt;O1684,0,J1684),4)</f>
        <v>0</v>
      </c>
      <c r="R1684" s="67">
        <f>ROUND(+P1684*D1684,4)</f>
        <v>0</v>
      </c>
      <c r="S1684" s="67">
        <f>ROUND(IF(K1684=0,0,M1684*D1684),4)</f>
        <v>0</v>
      </c>
      <c r="T1684" s="67">
        <f>ROUND(+IF(K1684=0,Q1684*D1684,0),4)</f>
        <v>0</v>
      </c>
      <c r="U1684" s="67">
        <f>ROUND(+N1684+R1684+S1684+T1684,4)</f>
        <v>0</v>
      </c>
      <c r="V1684" s="67">
        <f>ROUND(IF(P1684=0,0,I1684-H1684-O1684)+IF(L1684=0,0,I1684-H1684-K1684),4)</f>
        <v>0</v>
      </c>
      <c r="W1684" s="67">
        <f>ROUND(+(V1684*60%)*D1684,4)</f>
        <v>0</v>
      </c>
      <c r="X1684" s="148">
        <f>ROUND(+U1684+W1684,4)</f>
        <v>0</v>
      </c>
      <c r="Y1684" s="68"/>
      <c r="Z1684" s="148">
        <f>ROUND(IF(X1684&gt;I1684,X1684,I1684),4)</f>
        <v>0</v>
      </c>
      <c r="AD1684" s="78">
        <f t="shared" si="30"/>
        <v>0</v>
      </c>
      <c r="AE1684" s="78">
        <f t="shared" si="31"/>
        <v>0</v>
      </c>
    </row>
    <row r="1685" spans="1:31" x14ac:dyDescent="0.2">
      <c r="A1685" s="66"/>
      <c r="B1685" s="66"/>
      <c r="C1685" s="66"/>
      <c r="D1685" s="144"/>
      <c r="E1685" s="67"/>
      <c r="F1685" s="67"/>
      <c r="G1685" s="67"/>
      <c r="H1685" s="67">
        <f>ROUND(+E1685+G1685,4)</f>
        <v>0</v>
      </c>
      <c r="I1685" s="67"/>
      <c r="J1685" s="67">
        <f>ROUND(+I1685-H1685,4)</f>
        <v>0</v>
      </c>
      <c r="K1685" s="67">
        <f>ROUND(IF(F1685="alluminio",0,I1685*1.5%),4)</f>
        <v>0</v>
      </c>
      <c r="L1685" s="67">
        <f>ROUND(IF(K1685&lt;J1685,K1685,0),4)</f>
        <v>0</v>
      </c>
      <c r="M1685" s="67">
        <f>ROUND(IF(J1685&gt;K1685,0,J1685),4)</f>
        <v>0</v>
      </c>
      <c r="N1685" s="67">
        <f>ROUND(+L1685*D1685,4)</f>
        <v>0</v>
      </c>
      <c r="O1685" s="67">
        <f>ROUND(IF(F1685="rame",0,+I1685*3%),4)</f>
        <v>0</v>
      </c>
      <c r="P1685" s="67">
        <f>ROUND(IF(O1685&lt;J1685,O1685,0),4)</f>
        <v>0</v>
      </c>
      <c r="Q1685" s="67">
        <f>ROUND(IF(J1685&gt;O1685,0,J1685),4)</f>
        <v>0</v>
      </c>
      <c r="R1685" s="67">
        <f>ROUND(+P1685*D1685,4)</f>
        <v>0</v>
      </c>
      <c r="S1685" s="67">
        <f>ROUND(IF(K1685=0,0,M1685*D1685),4)</f>
        <v>0</v>
      </c>
      <c r="T1685" s="67">
        <f>ROUND(+IF(K1685=0,Q1685*D1685,0),4)</f>
        <v>0</v>
      </c>
      <c r="U1685" s="67">
        <f>ROUND(+N1685+R1685+S1685+T1685,4)</f>
        <v>0</v>
      </c>
      <c r="V1685" s="67">
        <f>ROUND(IF(P1685=0,0,I1685-H1685-O1685)+IF(L1685=0,0,I1685-H1685-K1685),4)</f>
        <v>0</v>
      </c>
      <c r="W1685" s="67">
        <f>ROUND(+(V1685*60%)*D1685,4)</f>
        <v>0</v>
      </c>
      <c r="X1685" s="148">
        <f>ROUND(+U1685+W1685,4)</f>
        <v>0</v>
      </c>
      <c r="Y1685" s="68"/>
      <c r="Z1685" s="148">
        <f>ROUND(IF(X1685&gt;I1685,X1685,I1685),4)</f>
        <v>0</v>
      </c>
      <c r="AD1685" s="78">
        <f t="shared" si="30"/>
        <v>0</v>
      </c>
      <c r="AE1685" s="78">
        <f t="shared" si="31"/>
        <v>0</v>
      </c>
    </row>
    <row r="1686" spans="1:31" x14ac:dyDescent="0.2">
      <c r="A1686" s="66"/>
      <c r="B1686" s="66"/>
      <c r="C1686" s="66"/>
      <c r="D1686" s="144"/>
      <c r="E1686" s="67"/>
      <c r="F1686" s="67"/>
      <c r="G1686" s="67"/>
      <c r="H1686" s="67">
        <f>ROUND(+E1686+G1686,4)</f>
        <v>0</v>
      </c>
      <c r="I1686" s="67"/>
      <c r="J1686" s="67">
        <f>ROUND(+I1686-H1686,4)</f>
        <v>0</v>
      </c>
      <c r="K1686" s="67">
        <f>ROUND(IF(F1686="alluminio",0,I1686*1.5%),4)</f>
        <v>0</v>
      </c>
      <c r="L1686" s="67">
        <f>ROUND(IF(K1686&lt;J1686,K1686,0),4)</f>
        <v>0</v>
      </c>
      <c r="M1686" s="67">
        <f>ROUND(IF(J1686&gt;K1686,0,J1686),4)</f>
        <v>0</v>
      </c>
      <c r="N1686" s="67">
        <f>ROUND(+L1686*D1686,4)</f>
        <v>0</v>
      </c>
      <c r="O1686" s="67">
        <f>ROUND(IF(F1686="rame",0,+I1686*3%),4)</f>
        <v>0</v>
      </c>
      <c r="P1686" s="67">
        <f>ROUND(IF(O1686&lt;J1686,O1686,0),4)</f>
        <v>0</v>
      </c>
      <c r="Q1686" s="67">
        <f>ROUND(IF(J1686&gt;O1686,0,J1686),4)</f>
        <v>0</v>
      </c>
      <c r="R1686" s="67">
        <f>ROUND(+P1686*D1686,4)</f>
        <v>0</v>
      </c>
      <c r="S1686" s="67">
        <f>ROUND(IF(K1686=0,0,M1686*D1686),4)</f>
        <v>0</v>
      </c>
      <c r="T1686" s="67">
        <f>ROUND(+IF(K1686=0,Q1686*D1686,0),4)</f>
        <v>0</v>
      </c>
      <c r="U1686" s="67">
        <f>ROUND(+N1686+R1686+S1686+T1686,4)</f>
        <v>0</v>
      </c>
      <c r="V1686" s="67">
        <f>ROUND(IF(P1686=0,0,I1686-H1686-O1686)+IF(L1686=0,0,I1686-H1686-K1686),4)</f>
        <v>0</v>
      </c>
      <c r="W1686" s="67">
        <f>ROUND(+(V1686*60%)*D1686,4)</f>
        <v>0</v>
      </c>
      <c r="X1686" s="148">
        <f>ROUND(+U1686+W1686,4)</f>
        <v>0</v>
      </c>
      <c r="Y1686" s="68"/>
      <c r="Z1686" s="148">
        <f>ROUND(IF(X1686&gt;I1686,X1686,I1686),4)</f>
        <v>0</v>
      </c>
      <c r="AD1686" s="78">
        <f t="shared" si="30"/>
        <v>0</v>
      </c>
      <c r="AE1686" s="78">
        <f t="shared" si="31"/>
        <v>0</v>
      </c>
    </row>
    <row r="1687" spans="1:31" x14ac:dyDescent="0.2">
      <c r="A1687" s="66"/>
      <c r="B1687" s="66"/>
      <c r="C1687" s="66"/>
      <c r="D1687" s="144"/>
      <c r="E1687" s="67"/>
      <c r="F1687" s="67"/>
      <c r="G1687" s="67"/>
      <c r="H1687" s="67">
        <f>ROUND(+E1687+G1687,4)</f>
        <v>0</v>
      </c>
      <c r="I1687" s="67"/>
      <c r="J1687" s="67">
        <f>ROUND(+I1687-H1687,4)</f>
        <v>0</v>
      </c>
      <c r="K1687" s="67">
        <f>ROUND(IF(F1687="alluminio",0,I1687*1.5%),4)</f>
        <v>0</v>
      </c>
      <c r="L1687" s="67">
        <f>ROUND(IF(K1687&lt;J1687,K1687,0),4)</f>
        <v>0</v>
      </c>
      <c r="M1687" s="67">
        <f>ROUND(IF(J1687&gt;K1687,0,J1687),4)</f>
        <v>0</v>
      </c>
      <c r="N1687" s="67">
        <f>ROUND(+L1687*D1687,4)</f>
        <v>0</v>
      </c>
      <c r="O1687" s="67">
        <f>ROUND(IF(F1687="rame",0,+I1687*3%),4)</f>
        <v>0</v>
      </c>
      <c r="P1687" s="67">
        <f>ROUND(IF(O1687&lt;J1687,O1687,0),4)</f>
        <v>0</v>
      </c>
      <c r="Q1687" s="67">
        <f>ROUND(IF(J1687&gt;O1687,0,J1687),4)</f>
        <v>0</v>
      </c>
      <c r="R1687" s="67">
        <f>ROUND(+P1687*D1687,4)</f>
        <v>0</v>
      </c>
      <c r="S1687" s="67">
        <f>ROUND(IF(K1687=0,0,M1687*D1687),4)</f>
        <v>0</v>
      </c>
      <c r="T1687" s="67">
        <f>ROUND(+IF(K1687=0,Q1687*D1687,0),4)</f>
        <v>0</v>
      </c>
      <c r="U1687" s="67">
        <f>ROUND(+N1687+R1687+S1687+T1687,4)</f>
        <v>0</v>
      </c>
      <c r="V1687" s="67">
        <f>ROUND(IF(P1687=0,0,I1687-H1687-O1687)+IF(L1687=0,0,I1687-H1687-K1687),4)</f>
        <v>0</v>
      </c>
      <c r="W1687" s="67">
        <f>ROUND(+(V1687*60%)*D1687,4)</f>
        <v>0</v>
      </c>
      <c r="X1687" s="148">
        <f>ROUND(+U1687+W1687,4)</f>
        <v>0</v>
      </c>
      <c r="Y1687" s="68"/>
      <c r="Z1687" s="148">
        <f>ROUND(IF(X1687&gt;I1687,X1687,I1687),4)</f>
        <v>0</v>
      </c>
      <c r="AD1687" s="78">
        <f t="shared" si="30"/>
        <v>0</v>
      </c>
      <c r="AE1687" s="78">
        <f t="shared" si="31"/>
        <v>0</v>
      </c>
    </row>
    <row r="1688" spans="1:31" x14ac:dyDescent="0.2">
      <c r="A1688" s="66"/>
      <c r="B1688" s="66"/>
      <c r="C1688" s="66"/>
      <c r="D1688" s="144"/>
      <c r="E1688" s="67"/>
      <c r="F1688" s="67"/>
      <c r="G1688" s="67"/>
      <c r="H1688" s="67">
        <f>ROUND(+E1688+G1688,4)</f>
        <v>0</v>
      </c>
      <c r="I1688" s="67"/>
      <c r="J1688" s="67">
        <f>ROUND(+I1688-H1688,4)</f>
        <v>0</v>
      </c>
      <c r="K1688" s="67">
        <f>ROUND(IF(F1688="alluminio",0,I1688*1.5%),4)</f>
        <v>0</v>
      </c>
      <c r="L1688" s="67">
        <f>ROUND(IF(K1688&lt;J1688,K1688,0),4)</f>
        <v>0</v>
      </c>
      <c r="M1688" s="67">
        <f>ROUND(IF(J1688&gt;K1688,0,J1688),4)</f>
        <v>0</v>
      </c>
      <c r="N1688" s="67">
        <f>ROUND(+L1688*D1688,4)</f>
        <v>0</v>
      </c>
      <c r="O1688" s="67">
        <f>ROUND(IF(F1688="rame",0,+I1688*3%),4)</f>
        <v>0</v>
      </c>
      <c r="P1688" s="67">
        <f>ROUND(IF(O1688&lt;J1688,O1688,0),4)</f>
        <v>0</v>
      </c>
      <c r="Q1688" s="67">
        <f>ROUND(IF(J1688&gt;O1688,0,J1688),4)</f>
        <v>0</v>
      </c>
      <c r="R1688" s="67">
        <f>ROUND(+P1688*D1688,4)</f>
        <v>0</v>
      </c>
      <c r="S1688" s="67">
        <f>ROUND(IF(K1688=0,0,M1688*D1688),4)</f>
        <v>0</v>
      </c>
      <c r="T1688" s="67">
        <f>ROUND(+IF(K1688=0,Q1688*D1688,0),4)</f>
        <v>0</v>
      </c>
      <c r="U1688" s="67">
        <f>ROUND(+N1688+R1688+S1688+T1688,4)</f>
        <v>0</v>
      </c>
      <c r="V1688" s="67">
        <f>ROUND(IF(P1688=0,0,I1688-H1688-O1688)+IF(L1688=0,0,I1688-H1688-K1688),4)</f>
        <v>0</v>
      </c>
      <c r="W1688" s="67">
        <f>ROUND(+(V1688*60%)*D1688,4)</f>
        <v>0</v>
      </c>
      <c r="X1688" s="148">
        <f>ROUND(+U1688+W1688,4)</f>
        <v>0</v>
      </c>
      <c r="Y1688" s="68"/>
      <c r="Z1688" s="148">
        <f>ROUND(IF(X1688&gt;I1688,X1688,I1688),4)</f>
        <v>0</v>
      </c>
      <c r="AD1688" s="78">
        <f t="shared" si="30"/>
        <v>0</v>
      </c>
      <c r="AE1688" s="78">
        <f t="shared" si="31"/>
        <v>0</v>
      </c>
    </row>
    <row r="1689" spans="1:31" x14ac:dyDescent="0.2">
      <c r="A1689" s="66"/>
      <c r="B1689" s="66"/>
      <c r="C1689" s="66"/>
      <c r="D1689" s="144"/>
      <c r="E1689" s="67"/>
      <c r="F1689" s="67"/>
      <c r="G1689" s="67"/>
      <c r="H1689" s="67">
        <f>ROUND(+E1689+G1689,4)</f>
        <v>0</v>
      </c>
      <c r="I1689" s="67"/>
      <c r="J1689" s="67">
        <f>ROUND(+I1689-H1689,4)</f>
        <v>0</v>
      </c>
      <c r="K1689" s="67">
        <f>ROUND(IF(F1689="alluminio",0,I1689*1.5%),4)</f>
        <v>0</v>
      </c>
      <c r="L1689" s="67">
        <f>ROUND(IF(K1689&lt;J1689,K1689,0),4)</f>
        <v>0</v>
      </c>
      <c r="M1689" s="67">
        <f>ROUND(IF(J1689&gt;K1689,0,J1689),4)</f>
        <v>0</v>
      </c>
      <c r="N1689" s="67">
        <f>ROUND(+L1689*D1689,4)</f>
        <v>0</v>
      </c>
      <c r="O1689" s="67">
        <f>ROUND(IF(F1689="rame",0,+I1689*3%),4)</f>
        <v>0</v>
      </c>
      <c r="P1689" s="67">
        <f>ROUND(IF(O1689&lt;J1689,O1689,0),4)</f>
        <v>0</v>
      </c>
      <c r="Q1689" s="67">
        <f>ROUND(IF(J1689&gt;O1689,0,J1689),4)</f>
        <v>0</v>
      </c>
      <c r="R1689" s="67">
        <f>ROUND(+P1689*D1689,4)</f>
        <v>0</v>
      </c>
      <c r="S1689" s="67">
        <f>ROUND(IF(K1689=0,0,M1689*D1689),4)</f>
        <v>0</v>
      </c>
      <c r="T1689" s="67">
        <f>ROUND(+IF(K1689=0,Q1689*D1689,0),4)</f>
        <v>0</v>
      </c>
      <c r="U1689" s="67">
        <f>ROUND(+N1689+R1689+S1689+T1689,4)</f>
        <v>0</v>
      </c>
      <c r="V1689" s="67">
        <f>ROUND(IF(P1689=0,0,I1689-H1689-O1689)+IF(L1689=0,0,I1689-H1689-K1689),4)</f>
        <v>0</v>
      </c>
      <c r="W1689" s="67">
        <f>ROUND(+(V1689*60%)*D1689,4)</f>
        <v>0</v>
      </c>
      <c r="X1689" s="148">
        <f>ROUND(+U1689+W1689,4)</f>
        <v>0</v>
      </c>
      <c r="Y1689" s="68"/>
      <c r="Z1689" s="148">
        <f>ROUND(IF(X1689&gt;I1689,X1689,I1689),4)</f>
        <v>0</v>
      </c>
      <c r="AD1689" s="78">
        <f t="shared" si="30"/>
        <v>0</v>
      </c>
      <c r="AE1689" s="78">
        <f t="shared" si="31"/>
        <v>0</v>
      </c>
    </row>
    <row r="1690" spans="1:31" x14ac:dyDescent="0.2">
      <c r="A1690" s="66"/>
      <c r="B1690" s="66"/>
      <c r="C1690" s="66"/>
      <c r="D1690" s="144"/>
      <c r="E1690" s="67"/>
      <c r="F1690" s="67"/>
      <c r="G1690" s="67"/>
      <c r="H1690" s="67">
        <f>ROUND(+E1690+G1690,4)</f>
        <v>0</v>
      </c>
      <c r="I1690" s="67"/>
      <c r="J1690" s="67">
        <f>ROUND(+I1690-H1690,4)</f>
        <v>0</v>
      </c>
      <c r="K1690" s="67">
        <f>ROUND(IF(F1690="alluminio",0,I1690*1.5%),4)</f>
        <v>0</v>
      </c>
      <c r="L1690" s="67">
        <f>ROUND(IF(K1690&lt;J1690,K1690,0),4)</f>
        <v>0</v>
      </c>
      <c r="M1690" s="67">
        <f>ROUND(IF(J1690&gt;K1690,0,J1690),4)</f>
        <v>0</v>
      </c>
      <c r="N1690" s="67">
        <f>ROUND(+L1690*D1690,4)</f>
        <v>0</v>
      </c>
      <c r="O1690" s="67">
        <f>ROUND(IF(F1690="rame",0,+I1690*3%),4)</f>
        <v>0</v>
      </c>
      <c r="P1690" s="67">
        <f>ROUND(IF(O1690&lt;J1690,O1690,0),4)</f>
        <v>0</v>
      </c>
      <c r="Q1690" s="67">
        <f>ROUND(IF(J1690&gt;O1690,0,J1690),4)</f>
        <v>0</v>
      </c>
      <c r="R1690" s="67">
        <f>ROUND(+P1690*D1690,4)</f>
        <v>0</v>
      </c>
      <c r="S1690" s="67">
        <f>ROUND(IF(K1690=0,0,M1690*D1690),4)</f>
        <v>0</v>
      </c>
      <c r="T1690" s="67">
        <f>ROUND(+IF(K1690=0,Q1690*D1690,0),4)</f>
        <v>0</v>
      </c>
      <c r="U1690" s="67">
        <f>ROUND(+N1690+R1690+S1690+T1690,4)</f>
        <v>0</v>
      </c>
      <c r="V1690" s="67">
        <f>ROUND(IF(P1690=0,0,I1690-H1690-O1690)+IF(L1690=0,0,I1690-H1690-K1690),4)</f>
        <v>0</v>
      </c>
      <c r="W1690" s="67">
        <f>ROUND(+(V1690*60%)*D1690,4)</f>
        <v>0</v>
      </c>
      <c r="X1690" s="148">
        <f>ROUND(+U1690+W1690,4)</f>
        <v>0</v>
      </c>
      <c r="Y1690" s="68"/>
      <c r="Z1690" s="148">
        <f>ROUND(IF(X1690&gt;I1690,X1690,I1690),4)</f>
        <v>0</v>
      </c>
      <c r="AD1690" s="78">
        <f t="shared" si="30"/>
        <v>0</v>
      </c>
      <c r="AE1690" s="78">
        <f t="shared" si="31"/>
        <v>0</v>
      </c>
    </row>
    <row r="1691" spans="1:31" x14ac:dyDescent="0.2">
      <c r="A1691" s="66"/>
      <c r="B1691" s="66"/>
      <c r="C1691" s="66"/>
      <c r="D1691" s="144"/>
      <c r="E1691" s="67"/>
      <c r="F1691" s="67"/>
      <c r="G1691" s="67"/>
      <c r="H1691" s="67">
        <f>ROUND(+E1691+G1691,4)</f>
        <v>0</v>
      </c>
      <c r="I1691" s="67"/>
      <c r="J1691" s="67">
        <f>ROUND(+I1691-H1691,4)</f>
        <v>0</v>
      </c>
      <c r="K1691" s="67">
        <f>ROUND(IF(F1691="alluminio",0,I1691*1.5%),4)</f>
        <v>0</v>
      </c>
      <c r="L1691" s="67">
        <f>ROUND(IF(K1691&lt;J1691,K1691,0),4)</f>
        <v>0</v>
      </c>
      <c r="M1691" s="67">
        <f>ROUND(IF(J1691&gt;K1691,0,J1691),4)</f>
        <v>0</v>
      </c>
      <c r="N1691" s="67">
        <f>ROUND(+L1691*D1691,4)</f>
        <v>0</v>
      </c>
      <c r="O1691" s="67">
        <f>ROUND(IF(F1691="rame",0,+I1691*3%),4)</f>
        <v>0</v>
      </c>
      <c r="P1691" s="67">
        <f>ROUND(IF(O1691&lt;J1691,O1691,0),4)</f>
        <v>0</v>
      </c>
      <c r="Q1691" s="67">
        <f>ROUND(IF(J1691&gt;O1691,0,J1691),4)</f>
        <v>0</v>
      </c>
      <c r="R1691" s="67">
        <f>ROUND(+P1691*D1691,4)</f>
        <v>0</v>
      </c>
      <c r="S1691" s="67">
        <f>ROUND(IF(K1691=0,0,M1691*D1691),4)</f>
        <v>0</v>
      </c>
      <c r="T1691" s="67">
        <f>ROUND(+IF(K1691=0,Q1691*D1691,0),4)</f>
        <v>0</v>
      </c>
      <c r="U1691" s="67">
        <f>ROUND(+N1691+R1691+S1691+T1691,4)</f>
        <v>0</v>
      </c>
      <c r="V1691" s="67">
        <f>ROUND(IF(P1691=0,0,I1691-H1691-O1691)+IF(L1691=0,0,I1691-H1691-K1691),4)</f>
        <v>0</v>
      </c>
      <c r="W1691" s="67">
        <f>ROUND(+(V1691*60%)*D1691,4)</f>
        <v>0</v>
      </c>
      <c r="X1691" s="148">
        <f>ROUND(+U1691+W1691,4)</f>
        <v>0</v>
      </c>
      <c r="Y1691" s="68"/>
      <c r="Z1691" s="148">
        <f>ROUND(IF(X1691&gt;I1691,X1691,I1691),4)</f>
        <v>0</v>
      </c>
      <c r="AD1691" s="78">
        <f t="shared" si="30"/>
        <v>0</v>
      </c>
      <c r="AE1691" s="78">
        <f t="shared" si="31"/>
        <v>0</v>
      </c>
    </row>
    <row r="1692" spans="1:31" x14ac:dyDescent="0.2">
      <c r="A1692" s="66"/>
      <c r="B1692" s="66"/>
      <c r="C1692" s="66"/>
      <c r="D1692" s="144"/>
      <c r="E1692" s="67"/>
      <c r="F1692" s="67"/>
      <c r="G1692" s="67"/>
      <c r="H1692" s="67">
        <f>ROUND(+E1692+G1692,4)</f>
        <v>0</v>
      </c>
      <c r="I1692" s="67"/>
      <c r="J1692" s="67">
        <f>ROUND(+I1692-H1692,4)</f>
        <v>0</v>
      </c>
      <c r="K1692" s="67">
        <f>ROUND(IF(F1692="alluminio",0,I1692*1.5%),4)</f>
        <v>0</v>
      </c>
      <c r="L1692" s="67">
        <f>ROUND(IF(K1692&lt;J1692,K1692,0),4)</f>
        <v>0</v>
      </c>
      <c r="M1692" s="67">
        <f>ROUND(IF(J1692&gt;K1692,0,J1692),4)</f>
        <v>0</v>
      </c>
      <c r="N1692" s="67">
        <f>ROUND(+L1692*D1692,4)</f>
        <v>0</v>
      </c>
      <c r="O1692" s="67">
        <f>ROUND(IF(F1692="rame",0,+I1692*3%),4)</f>
        <v>0</v>
      </c>
      <c r="P1692" s="67">
        <f>ROUND(IF(O1692&lt;J1692,O1692,0),4)</f>
        <v>0</v>
      </c>
      <c r="Q1692" s="67">
        <f>ROUND(IF(J1692&gt;O1692,0,J1692),4)</f>
        <v>0</v>
      </c>
      <c r="R1692" s="67">
        <f>ROUND(+P1692*D1692,4)</f>
        <v>0</v>
      </c>
      <c r="S1692" s="67">
        <f>ROUND(IF(K1692=0,0,M1692*D1692),4)</f>
        <v>0</v>
      </c>
      <c r="T1692" s="67">
        <f>ROUND(+IF(K1692=0,Q1692*D1692,0),4)</f>
        <v>0</v>
      </c>
      <c r="U1692" s="67">
        <f>ROUND(+N1692+R1692+S1692+T1692,4)</f>
        <v>0</v>
      </c>
      <c r="V1692" s="67">
        <f>ROUND(IF(P1692=0,0,I1692-H1692-O1692)+IF(L1692=0,0,I1692-H1692-K1692),4)</f>
        <v>0</v>
      </c>
      <c r="W1692" s="67">
        <f>ROUND(+(V1692*60%)*D1692,4)</f>
        <v>0</v>
      </c>
      <c r="X1692" s="148">
        <f>ROUND(+U1692+W1692,4)</f>
        <v>0</v>
      </c>
      <c r="Y1692" s="68"/>
      <c r="Z1692" s="148">
        <f>ROUND(IF(X1692&gt;I1692,X1692,I1692),4)</f>
        <v>0</v>
      </c>
      <c r="AD1692" s="78">
        <f t="shared" si="30"/>
        <v>0</v>
      </c>
      <c r="AE1692" s="78">
        <f t="shared" si="31"/>
        <v>0</v>
      </c>
    </row>
    <row r="1693" spans="1:31" x14ac:dyDescent="0.2">
      <c r="A1693" s="66"/>
      <c r="B1693" s="66"/>
      <c r="C1693" s="66"/>
      <c r="D1693" s="144"/>
      <c r="E1693" s="67"/>
      <c r="F1693" s="67"/>
      <c r="G1693" s="67"/>
      <c r="H1693" s="67">
        <f>ROUND(+E1693+G1693,4)</f>
        <v>0</v>
      </c>
      <c r="I1693" s="67"/>
      <c r="J1693" s="67">
        <f>ROUND(+I1693-H1693,4)</f>
        <v>0</v>
      </c>
      <c r="K1693" s="67">
        <f>ROUND(IF(F1693="alluminio",0,I1693*1.5%),4)</f>
        <v>0</v>
      </c>
      <c r="L1693" s="67">
        <f>ROUND(IF(K1693&lt;J1693,K1693,0),4)</f>
        <v>0</v>
      </c>
      <c r="M1693" s="67">
        <f>ROUND(IF(J1693&gt;K1693,0,J1693),4)</f>
        <v>0</v>
      </c>
      <c r="N1693" s="67">
        <f>ROUND(+L1693*D1693,4)</f>
        <v>0</v>
      </c>
      <c r="O1693" s="67">
        <f>ROUND(IF(F1693="rame",0,+I1693*3%),4)</f>
        <v>0</v>
      </c>
      <c r="P1693" s="67">
        <f>ROUND(IF(O1693&lt;J1693,O1693,0),4)</f>
        <v>0</v>
      </c>
      <c r="Q1693" s="67">
        <f>ROUND(IF(J1693&gt;O1693,0,J1693),4)</f>
        <v>0</v>
      </c>
      <c r="R1693" s="67">
        <f>ROUND(+P1693*D1693,4)</f>
        <v>0</v>
      </c>
      <c r="S1693" s="67">
        <f>ROUND(IF(K1693=0,0,M1693*D1693),4)</f>
        <v>0</v>
      </c>
      <c r="T1693" s="67">
        <f>ROUND(+IF(K1693=0,Q1693*D1693,0),4)</f>
        <v>0</v>
      </c>
      <c r="U1693" s="67">
        <f>ROUND(+N1693+R1693+S1693+T1693,4)</f>
        <v>0</v>
      </c>
      <c r="V1693" s="67">
        <f>ROUND(IF(P1693=0,0,I1693-H1693-O1693)+IF(L1693=0,0,I1693-H1693-K1693),4)</f>
        <v>0</v>
      </c>
      <c r="W1693" s="67">
        <f>ROUND(+(V1693*60%)*D1693,4)</f>
        <v>0</v>
      </c>
      <c r="X1693" s="148">
        <f>ROUND(+U1693+W1693,4)</f>
        <v>0</v>
      </c>
      <c r="Y1693" s="68"/>
      <c r="Z1693" s="148">
        <f>ROUND(IF(X1693&gt;I1693,X1693,I1693),4)</f>
        <v>0</v>
      </c>
      <c r="AD1693" s="78">
        <f t="shared" si="30"/>
        <v>0</v>
      </c>
      <c r="AE1693" s="78">
        <f t="shared" si="31"/>
        <v>0</v>
      </c>
    </row>
    <row r="1694" spans="1:31" x14ac:dyDescent="0.2">
      <c r="A1694" s="66"/>
      <c r="B1694" s="66"/>
      <c r="C1694" s="66"/>
      <c r="D1694" s="144"/>
      <c r="E1694" s="67"/>
      <c r="F1694" s="67"/>
      <c r="G1694" s="67"/>
      <c r="H1694" s="67">
        <f>ROUND(+E1694+G1694,4)</f>
        <v>0</v>
      </c>
      <c r="I1694" s="67"/>
      <c r="J1694" s="67">
        <f>ROUND(+I1694-H1694,4)</f>
        <v>0</v>
      </c>
      <c r="K1694" s="67">
        <f>ROUND(IF(F1694="alluminio",0,I1694*1.5%),4)</f>
        <v>0</v>
      </c>
      <c r="L1694" s="67">
        <f>ROUND(IF(K1694&lt;J1694,K1694,0),4)</f>
        <v>0</v>
      </c>
      <c r="M1694" s="67">
        <f>ROUND(IF(J1694&gt;K1694,0,J1694),4)</f>
        <v>0</v>
      </c>
      <c r="N1694" s="67">
        <f>ROUND(+L1694*D1694,4)</f>
        <v>0</v>
      </c>
      <c r="O1694" s="67">
        <f>ROUND(IF(F1694="rame",0,+I1694*3%),4)</f>
        <v>0</v>
      </c>
      <c r="P1694" s="67">
        <f>ROUND(IF(O1694&lt;J1694,O1694,0),4)</f>
        <v>0</v>
      </c>
      <c r="Q1694" s="67">
        <f>ROUND(IF(J1694&gt;O1694,0,J1694),4)</f>
        <v>0</v>
      </c>
      <c r="R1694" s="67">
        <f>ROUND(+P1694*D1694,4)</f>
        <v>0</v>
      </c>
      <c r="S1694" s="67">
        <f>ROUND(IF(K1694=0,0,M1694*D1694),4)</f>
        <v>0</v>
      </c>
      <c r="T1694" s="67">
        <f>ROUND(+IF(K1694=0,Q1694*D1694,0),4)</f>
        <v>0</v>
      </c>
      <c r="U1694" s="67">
        <f>ROUND(+N1694+R1694+S1694+T1694,4)</f>
        <v>0</v>
      </c>
      <c r="V1694" s="67">
        <f>ROUND(IF(P1694=0,0,I1694-H1694-O1694)+IF(L1694=0,0,I1694-H1694-K1694),4)</f>
        <v>0</v>
      </c>
      <c r="W1694" s="67">
        <f>ROUND(+(V1694*60%)*D1694,4)</f>
        <v>0</v>
      </c>
      <c r="X1694" s="148">
        <f>ROUND(+U1694+W1694,4)</f>
        <v>0</v>
      </c>
      <c r="Y1694" s="68"/>
      <c r="Z1694" s="148">
        <f>ROUND(IF(X1694&gt;I1694,X1694,I1694),4)</f>
        <v>0</v>
      </c>
      <c r="AD1694" s="78">
        <f t="shared" si="30"/>
        <v>0</v>
      </c>
      <c r="AE1694" s="78">
        <f t="shared" si="31"/>
        <v>0</v>
      </c>
    </row>
    <row r="1695" spans="1:31" x14ac:dyDescent="0.2">
      <c r="A1695" s="66"/>
      <c r="B1695" s="66"/>
      <c r="C1695" s="66"/>
      <c r="D1695" s="144"/>
      <c r="E1695" s="67"/>
      <c r="F1695" s="67"/>
      <c r="G1695" s="67"/>
      <c r="H1695" s="67">
        <f>ROUND(+E1695+G1695,4)</f>
        <v>0</v>
      </c>
      <c r="I1695" s="67"/>
      <c r="J1695" s="67">
        <f>ROUND(+I1695-H1695,4)</f>
        <v>0</v>
      </c>
      <c r="K1695" s="67">
        <f>ROUND(IF(F1695="alluminio",0,I1695*1.5%),4)</f>
        <v>0</v>
      </c>
      <c r="L1695" s="67">
        <f>ROUND(IF(K1695&lt;J1695,K1695,0),4)</f>
        <v>0</v>
      </c>
      <c r="M1695" s="67">
        <f>ROUND(IF(J1695&gt;K1695,0,J1695),4)</f>
        <v>0</v>
      </c>
      <c r="N1695" s="67">
        <f>ROUND(+L1695*D1695,4)</f>
        <v>0</v>
      </c>
      <c r="O1695" s="67">
        <f>ROUND(IF(F1695="rame",0,+I1695*3%),4)</f>
        <v>0</v>
      </c>
      <c r="P1695" s="67">
        <f>ROUND(IF(O1695&lt;J1695,O1695,0),4)</f>
        <v>0</v>
      </c>
      <c r="Q1695" s="67">
        <f>ROUND(IF(J1695&gt;O1695,0,J1695),4)</f>
        <v>0</v>
      </c>
      <c r="R1695" s="67">
        <f>ROUND(+P1695*D1695,4)</f>
        <v>0</v>
      </c>
      <c r="S1695" s="67">
        <f>ROUND(IF(K1695=0,0,M1695*D1695),4)</f>
        <v>0</v>
      </c>
      <c r="T1695" s="67">
        <f>ROUND(+IF(K1695=0,Q1695*D1695,0),4)</f>
        <v>0</v>
      </c>
      <c r="U1695" s="67">
        <f>ROUND(+N1695+R1695+S1695+T1695,4)</f>
        <v>0</v>
      </c>
      <c r="V1695" s="67">
        <f>ROUND(IF(P1695=0,0,I1695-H1695-O1695)+IF(L1695=0,0,I1695-H1695-K1695),4)</f>
        <v>0</v>
      </c>
      <c r="W1695" s="67">
        <f>ROUND(+(V1695*60%)*D1695,4)</f>
        <v>0</v>
      </c>
      <c r="X1695" s="148">
        <f>ROUND(+U1695+W1695,4)</f>
        <v>0</v>
      </c>
      <c r="Y1695" s="68"/>
      <c r="Z1695" s="148">
        <f>ROUND(IF(X1695&gt;I1695,X1695,I1695),4)</f>
        <v>0</v>
      </c>
      <c r="AD1695" s="78">
        <f t="shared" si="30"/>
        <v>0</v>
      </c>
      <c r="AE1695" s="78">
        <f t="shared" si="31"/>
        <v>0</v>
      </c>
    </row>
    <row r="1696" spans="1:31" x14ac:dyDescent="0.2">
      <c r="A1696" s="66"/>
      <c r="B1696" s="66"/>
      <c r="C1696" s="66"/>
      <c r="D1696" s="144"/>
      <c r="E1696" s="67"/>
      <c r="F1696" s="67"/>
      <c r="G1696" s="67"/>
      <c r="H1696" s="67">
        <f>ROUND(+E1696+G1696,4)</f>
        <v>0</v>
      </c>
      <c r="I1696" s="67"/>
      <c r="J1696" s="67">
        <f>ROUND(+I1696-H1696,4)</f>
        <v>0</v>
      </c>
      <c r="K1696" s="67">
        <f>ROUND(IF(F1696="alluminio",0,I1696*1.5%),4)</f>
        <v>0</v>
      </c>
      <c r="L1696" s="67">
        <f>ROUND(IF(K1696&lt;J1696,K1696,0),4)</f>
        <v>0</v>
      </c>
      <c r="M1696" s="67">
        <f>ROUND(IF(J1696&gt;K1696,0,J1696),4)</f>
        <v>0</v>
      </c>
      <c r="N1696" s="67">
        <f>ROUND(+L1696*D1696,4)</f>
        <v>0</v>
      </c>
      <c r="O1696" s="67">
        <f>ROUND(IF(F1696="rame",0,+I1696*3%),4)</f>
        <v>0</v>
      </c>
      <c r="P1696" s="67">
        <f>ROUND(IF(O1696&lt;J1696,O1696,0),4)</f>
        <v>0</v>
      </c>
      <c r="Q1696" s="67">
        <f>ROUND(IF(J1696&gt;O1696,0,J1696),4)</f>
        <v>0</v>
      </c>
      <c r="R1696" s="67">
        <f>ROUND(+P1696*D1696,4)</f>
        <v>0</v>
      </c>
      <c r="S1696" s="67">
        <f>ROUND(IF(K1696=0,0,M1696*D1696),4)</f>
        <v>0</v>
      </c>
      <c r="T1696" s="67">
        <f>ROUND(+IF(K1696=0,Q1696*D1696,0),4)</f>
        <v>0</v>
      </c>
      <c r="U1696" s="67">
        <f>ROUND(+N1696+R1696+S1696+T1696,4)</f>
        <v>0</v>
      </c>
      <c r="V1696" s="67">
        <f>ROUND(IF(P1696=0,0,I1696-H1696-O1696)+IF(L1696=0,0,I1696-H1696-K1696),4)</f>
        <v>0</v>
      </c>
      <c r="W1696" s="67">
        <f>ROUND(+(V1696*60%)*D1696,4)</f>
        <v>0</v>
      </c>
      <c r="X1696" s="148">
        <f>ROUND(+U1696+W1696,4)</f>
        <v>0</v>
      </c>
      <c r="Y1696" s="68"/>
      <c r="Z1696" s="148">
        <f>ROUND(IF(X1696&gt;I1696,X1696,I1696),4)</f>
        <v>0</v>
      </c>
      <c r="AD1696" s="78">
        <f t="shared" si="30"/>
        <v>0</v>
      </c>
      <c r="AE1696" s="78">
        <f t="shared" si="31"/>
        <v>0</v>
      </c>
    </row>
    <row r="1697" spans="1:31" x14ac:dyDescent="0.2">
      <c r="A1697" s="66"/>
      <c r="B1697" s="66"/>
      <c r="C1697" s="66"/>
      <c r="D1697" s="144"/>
      <c r="E1697" s="67"/>
      <c r="F1697" s="67"/>
      <c r="G1697" s="67"/>
      <c r="H1697" s="67">
        <f>ROUND(+E1697+G1697,4)</f>
        <v>0</v>
      </c>
      <c r="I1697" s="67"/>
      <c r="J1697" s="67">
        <f>ROUND(+I1697-H1697,4)</f>
        <v>0</v>
      </c>
      <c r="K1697" s="67">
        <f>ROUND(IF(F1697="alluminio",0,I1697*1.5%),4)</f>
        <v>0</v>
      </c>
      <c r="L1697" s="67">
        <f>ROUND(IF(K1697&lt;J1697,K1697,0),4)</f>
        <v>0</v>
      </c>
      <c r="M1697" s="67">
        <f>ROUND(IF(J1697&gt;K1697,0,J1697),4)</f>
        <v>0</v>
      </c>
      <c r="N1697" s="67">
        <f>ROUND(+L1697*D1697,4)</f>
        <v>0</v>
      </c>
      <c r="O1697" s="67">
        <f>ROUND(IF(F1697="rame",0,+I1697*3%),4)</f>
        <v>0</v>
      </c>
      <c r="P1697" s="67">
        <f>ROUND(IF(O1697&lt;J1697,O1697,0),4)</f>
        <v>0</v>
      </c>
      <c r="Q1697" s="67">
        <f>ROUND(IF(J1697&gt;O1697,0,J1697),4)</f>
        <v>0</v>
      </c>
      <c r="R1697" s="67">
        <f>ROUND(+P1697*D1697,4)</f>
        <v>0</v>
      </c>
      <c r="S1697" s="67">
        <f>ROUND(IF(K1697=0,0,M1697*D1697),4)</f>
        <v>0</v>
      </c>
      <c r="T1697" s="67">
        <f>ROUND(+IF(K1697=0,Q1697*D1697,0),4)</f>
        <v>0</v>
      </c>
      <c r="U1697" s="67">
        <f>ROUND(+N1697+R1697+S1697+T1697,4)</f>
        <v>0</v>
      </c>
      <c r="V1697" s="67">
        <f>ROUND(IF(P1697=0,0,I1697-H1697-O1697)+IF(L1697=0,0,I1697-H1697-K1697),4)</f>
        <v>0</v>
      </c>
      <c r="W1697" s="67">
        <f>ROUND(+(V1697*60%)*D1697,4)</f>
        <v>0</v>
      </c>
      <c r="X1697" s="148">
        <f>ROUND(+U1697+W1697,4)</f>
        <v>0</v>
      </c>
      <c r="Y1697" s="68"/>
      <c r="Z1697" s="148">
        <f>ROUND(IF(X1697&gt;I1697,X1697,I1697),4)</f>
        <v>0</v>
      </c>
      <c r="AD1697" s="78">
        <f t="shared" si="30"/>
        <v>0</v>
      </c>
      <c r="AE1697" s="78">
        <f t="shared" si="31"/>
        <v>0</v>
      </c>
    </row>
    <row r="1698" spans="1:31" x14ac:dyDescent="0.2">
      <c r="A1698" s="66"/>
      <c r="B1698" s="66"/>
      <c r="C1698" s="66"/>
      <c r="D1698" s="144"/>
      <c r="E1698" s="67"/>
      <c r="F1698" s="67"/>
      <c r="G1698" s="67"/>
      <c r="H1698" s="67">
        <f>ROUND(+E1698+G1698,4)</f>
        <v>0</v>
      </c>
      <c r="I1698" s="67"/>
      <c r="J1698" s="67">
        <f>ROUND(+I1698-H1698,4)</f>
        <v>0</v>
      </c>
      <c r="K1698" s="67">
        <f>ROUND(IF(F1698="alluminio",0,I1698*1.5%),4)</f>
        <v>0</v>
      </c>
      <c r="L1698" s="67">
        <f>ROUND(IF(K1698&lt;J1698,K1698,0),4)</f>
        <v>0</v>
      </c>
      <c r="M1698" s="67">
        <f>ROUND(IF(J1698&gt;K1698,0,J1698),4)</f>
        <v>0</v>
      </c>
      <c r="N1698" s="67">
        <f>ROUND(+L1698*D1698,4)</f>
        <v>0</v>
      </c>
      <c r="O1698" s="67">
        <f>ROUND(IF(F1698="rame",0,+I1698*3%),4)</f>
        <v>0</v>
      </c>
      <c r="P1698" s="67">
        <f>ROUND(IF(O1698&lt;J1698,O1698,0),4)</f>
        <v>0</v>
      </c>
      <c r="Q1698" s="67">
        <f>ROUND(IF(J1698&gt;O1698,0,J1698),4)</f>
        <v>0</v>
      </c>
      <c r="R1698" s="67">
        <f>ROUND(+P1698*D1698,4)</f>
        <v>0</v>
      </c>
      <c r="S1698" s="67">
        <f>ROUND(IF(K1698=0,0,M1698*D1698),4)</f>
        <v>0</v>
      </c>
      <c r="T1698" s="67">
        <f>ROUND(+IF(K1698=0,Q1698*D1698,0),4)</f>
        <v>0</v>
      </c>
      <c r="U1698" s="67">
        <f>ROUND(+N1698+R1698+S1698+T1698,4)</f>
        <v>0</v>
      </c>
      <c r="V1698" s="67">
        <f>ROUND(IF(P1698=0,0,I1698-H1698-O1698)+IF(L1698=0,0,I1698-H1698-K1698),4)</f>
        <v>0</v>
      </c>
      <c r="W1698" s="67">
        <f>ROUND(+(V1698*60%)*D1698,4)</f>
        <v>0</v>
      </c>
      <c r="X1698" s="148">
        <f>ROUND(+U1698+W1698,4)</f>
        <v>0</v>
      </c>
      <c r="Y1698" s="68"/>
      <c r="Z1698" s="148">
        <f>ROUND(IF(X1698&gt;I1698,X1698,I1698),4)</f>
        <v>0</v>
      </c>
      <c r="AD1698" s="78">
        <f t="shared" si="30"/>
        <v>0</v>
      </c>
      <c r="AE1698" s="78">
        <f t="shared" si="31"/>
        <v>0</v>
      </c>
    </row>
    <row r="1699" spans="1:31" x14ac:dyDescent="0.2">
      <c r="A1699" s="66"/>
      <c r="B1699" s="66"/>
      <c r="C1699" s="66"/>
      <c r="D1699" s="144"/>
      <c r="E1699" s="67"/>
      <c r="F1699" s="67"/>
      <c r="G1699" s="67"/>
      <c r="H1699" s="67">
        <f>ROUND(+E1699+G1699,4)</f>
        <v>0</v>
      </c>
      <c r="I1699" s="67"/>
      <c r="J1699" s="67">
        <f>ROUND(+I1699-H1699,4)</f>
        <v>0</v>
      </c>
      <c r="K1699" s="67">
        <f>ROUND(IF(F1699="alluminio",0,I1699*1.5%),4)</f>
        <v>0</v>
      </c>
      <c r="L1699" s="67">
        <f>ROUND(IF(K1699&lt;J1699,K1699,0),4)</f>
        <v>0</v>
      </c>
      <c r="M1699" s="67">
        <f>ROUND(IF(J1699&gt;K1699,0,J1699),4)</f>
        <v>0</v>
      </c>
      <c r="N1699" s="67">
        <f>ROUND(+L1699*D1699,4)</f>
        <v>0</v>
      </c>
      <c r="O1699" s="67">
        <f>ROUND(IF(F1699="rame",0,+I1699*3%),4)</f>
        <v>0</v>
      </c>
      <c r="P1699" s="67">
        <f>ROUND(IF(O1699&lt;J1699,O1699,0),4)</f>
        <v>0</v>
      </c>
      <c r="Q1699" s="67">
        <f>ROUND(IF(J1699&gt;O1699,0,J1699),4)</f>
        <v>0</v>
      </c>
      <c r="R1699" s="67">
        <f>ROUND(+P1699*D1699,4)</f>
        <v>0</v>
      </c>
      <c r="S1699" s="67">
        <f>ROUND(IF(K1699=0,0,M1699*D1699),4)</f>
        <v>0</v>
      </c>
      <c r="T1699" s="67">
        <f>ROUND(+IF(K1699=0,Q1699*D1699,0),4)</f>
        <v>0</v>
      </c>
      <c r="U1699" s="67">
        <f>ROUND(+N1699+R1699+S1699+T1699,4)</f>
        <v>0</v>
      </c>
      <c r="V1699" s="67">
        <f>ROUND(IF(P1699=0,0,I1699-H1699-O1699)+IF(L1699=0,0,I1699-H1699-K1699),4)</f>
        <v>0</v>
      </c>
      <c r="W1699" s="67">
        <f>ROUND(+(V1699*60%)*D1699,4)</f>
        <v>0</v>
      </c>
      <c r="X1699" s="148">
        <f>ROUND(+U1699+W1699,4)</f>
        <v>0</v>
      </c>
      <c r="Y1699" s="68"/>
      <c r="Z1699" s="148">
        <f>ROUND(IF(X1699&gt;I1699,X1699,I1699),4)</f>
        <v>0</v>
      </c>
      <c r="AD1699" s="78">
        <f t="shared" si="30"/>
        <v>0</v>
      </c>
      <c r="AE1699" s="78">
        <f t="shared" si="31"/>
        <v>0</v>
      </c>
    </row>
    <row r="1700" spans="1:31" x14ac:dyDescent="0.2">
      <c r="A1700" s="66"/>
      <c r="B1700" s="66"/>
      <c r="C1700" s="66"/>
      <c r="D1700" s="144"/>
      <c r="E1700" s="67"/>
      <c r="F1700" s="67"/>
      <c r="G1700" s="67"/>
      <c r="H1700" s="67">
        <f>ROUND(+E1700+G1700,4)</f>
        <v>0</v>
      </c>
      <c r="I1700" s="67"/>
      <c r="J1700" s="67">
        <f>ROUND(+I1700-H1700,4)</f>
        <v>0</v>
      </c>
      <c r="K1700" s="67">
        <f>ROUND(IF(F1700="alluminio",0,I1700*1.5%),4)</f>
        <v>0</v>
      </c>
      <c r="L1700" s="67">
        <f>ROUND(IF(K1700&lt;J1700,K1700,0),4)</f>
        <v>0</v>
      </c>
      <c r="M1700" s="67">
        <f>ROUND(IF(J1700&gt;K1700,0,J1700),4)</f>
        <v>0</v>
      </c>
      <c r="N1700" s="67">
        <f>ROUND(+L1700*D1700,4)</f>
        <v>0</v>
      </c>
      <c r="O1700" s="67">
        <f>ROUND(IF(F1700="rame",0,+I1700*3%),4)</f>
        <v>0</v>
      </c>
      <c r="P1700" s="67">
        <f>ROUND(IF(O1700&lt;J1700,O1700,0),4)</f>
        <v>0</v>
      </c>
      <c r="Q1700" s="67">
        <f>ROUND(IF(J1700&gt;O1700,0,J1700),4)</f>
        <v>0</v>
      </c>
      <c r="R1700" s="67">
        <f>ROUND(+P1700*D1700,4)</f>
        <v>0</v>
      </c>
      <c r="S1700" s="67">
        <f>ROUND(IF(K1700=0,0,M1700*D1700),4)</f>
        <v>0</v>
      </c>
      <c r="T1700" s="67">
        <f>ROUND(+IF(K1700=0,Q1700*D1700,0),4)</f>
        <v>0</v>
      </c>
      <c r="U1700" s="67">
        <f>ROUND(+N1700+R1700+S1700+T1700,4)</f>
        <v>0</v>
      </c>
      <c r="V1700" s="67">
        <f>ROUND(IF(P1700=0,0,I1700-H1700-O1700)+IF(L1700=0,0,I1700-H1700-K1700),4)</f>
        <v>0</v>
      </c>
      <c r="W1700" s="67">
        <f>ROUND(+(V1700*60%)*D1700,4)</f>
        <v>0</v>
      </c>
      <c r="X1700" s="148">
        <f>ROUND(+U1700+W1700,4)</f>
        <v>0</v>
      </c>
      <c r="Y1700" s="68"/>
      <c r="Z1700" s="148">
        <f>ROUND(IF(X1700&gt;I1700,X1700,I1700),4)</f>
        <v>0</v>
      </c>
      <c r="AD1700" s="78">
        <f t="shared" si="30"/>
        <v>0</v>
      </c>
      <c r="AE1700" s="78">
        <f t="shared" si="31"/>
        <v>0</v>
      </c>
    </row>
    <row r="1701" spans="1:31" x14ac:dyDescent="0.2">
      <c r="A1701" s="66"/>
      <c r="B1701" s="66"/>
      <c r="C1701" s="66"/>
      <c r="D1701" s="144"/>
      <c r="E1701" s="67"/>
      <c r="F1701" s="67"/>
      <c r="G1701" s="67"/>
      <c r="H1701" s="67">
        <f>ROUND(+E1701+G1701,4)</f>
        <v>0</v>
      </c>
      <c r="I1701" s="67"/>
      <c r="J1701" s="67">
        <f>ROUND(+I1701-H1701,4)</f>
        <v>0</v>
      </c>
      <c r="K1701" s="67">
        <f>ROUND(IF(F1701="alluminio",0,I1701*1.5%),4)</f>
        <v>0</v>
      </c>
      <c r="L1701" s="67">
        <f>ROUND(IF(K1701&lt;J1701,K1701,0),4)</f>
        <v>0</v>
      </c>
      <c r="M1701" s="67">
        <f>ROUND(IF(J1701&gt;K1701,0,J1701),4)</f>
        <v>0</v>
      </c>
      <c r="N1701" s="67">
        <f>ROUND(+L1701*D1701,4)</f>
        <v>0</v>
      </c>
      <c r="O1701" s="67">
        <f>ROUND(IF(F1701="rame",0,+I1701*3%),4)</f>
        <v>0</v>
      </c>
      <c r="P1701" s="67">
        <f>ROUND(IF(O1701&lt;J1701,O1701,0),4)</f>
        <v>0</v>
      </c>
      <c r="Q1701" s="67">
        <f>ROUND(IF(J1701&gt;O1701,0,J1701),4)</f>
        <v>0</v>
      </c>
      <c r="R1701" s="67">
        <f>ROUND(+P1701*D1701,4)</f>
        <v>0</v>
      </c>
      <c r="S1701" s="67">
        <f>ROUND(IF(K1701=0,0,M1701*D1701),4)</f>
        <v>0</v>
      </c>
      <c r="T1701" s="67">
        <f>ROUND(+IF(K1701=0,Q1701*D1701,0),4)</f>
        <v>0</v>
      </c>
      <c r="U1701" s="67">
        <f>ROUND(+N1701+R1701+S1701+T1701,4)</f>
        <v>0</v>
      </c>
      <c r="V1701" s="67">
        <f>ROUND(IF(P1701=0,0,I1701-H1701-O1701)+IF(L1701=0,0,I1701-H1701-K1701),4)</f>
        <v>0</v>
      </c>
      <c r="W1701" s="67">
        <f>ROUND(+(V1701*60%)*D1701,4)</f>
        <v>0</v>
      </c>
      <c r="X1701" s="148">
        <f>ROUND(+U1701+W1701,4)</f>
        <v>0</v>
      </c>
      <c r="Y1701" s="68"/>
      <c r="Z1701" s="148">
        <f>ROUND(IF(X1701&gt;I1701,X1701,I1701),4)</f>
        <v>0</v>
      </c>
      <c r="AD1701" s="78">
        <f t="shared" si="30"/>
        <v>0</v>
      </c>
      <c r="AE1701" s="78">
        <f t="shared" si="31"/>
        <v>0</v>
      </c>
    </row>
    <row r="1702" spans="1:31" x14ac:dyDescent="0.2">
      <c r="A1702" s="66"/>
      <c r="B1702" s="66"/>
      <c r="C1702" s="66"/>
      <c r="D1702" s="144"/>
      <c r="E1702" s="67"/>
      <c r="F1702" s="67"/>
      <c r="G1702" s="67"/>
      <c r="H1702" s="67">
        <f>ROUND(+E1702+G1702,4)</f>
        <v>0</v>
      </c>
      <c r="I1702" s="67"/>
      <c r="J1702" s="67">
        <f>ROUND(+I1702-H1702,4)</f>
        <v>0</v>
      </c>
      <c r="K1702" s="67">
        <f>ROUND(IF(F1702="alluminio",0,I1702*1.5%),4)</f>
        <v>0</v>
      </c>
      <c r="L1702" s="67">
        <f>ROUND(IF(K1702&lt;J1702,K1702,0),4)</f>
        <v>0</v>
      </c>
      <c r="M1702" s="67">
        <f>ROUND(IF(J1702&gt;K1702,0,J1702),4)</f>
        <v>0</v>
      </c>
      <c r="N1702" s="67">
        <f>ROUND(+L1702*D1702,4)</f>
        <v>0</v>
      </c>
      <c r="O1702" s="67">
        <f>ROUND(IF(F1702="rame",0,+I1702*3%),4)</f>
        <v>0</v>
      </c>
      <c r="P1702" s="67">
        <f>ROUND(IF(O1702&lt;J1702,O1702,0),4)</f>
        <v>0</v>
      </c>
      <c r="Q1702" s="67">
        <f>ROUND(IF(J1702&gt;O1702,0,J1702),4)</f>
        <v>0</v>
      </c>
      <c r="R1702" s="67">
        <f>ROUND(+P1702*D1702,4)</f>
        <v>0</v>
      </c>
      <c r="S1702" s="67">
        <f>ROUND(IF(K1702=0,0,M1702*D1702),4)</f>
        <v>0</v>
      </c>
      <c r="T1702" s="67">
        <f>ROUND(+IF(K1702=0,Q1702*D1702,0),4)</f>
        <v>0</v>
      </c>
      <c r="U1702" s="67">
        <f>ROUND(+N1702+R1702+S1702+T1702,4)</f>
        <v>0</v>
      </c>
      <c r="V1702" s="67">
        <f>ROUND(IF(P1702=0,0,I1702-H1702-O1702)+IF(L1702=0,0,I1702-H1702-K1702),4)</f>
        <v>0</v>
      </c>
      <c r="W1702" s="67">
        <f>ROUND(+(V1702*60%)*D1702,4)</f>
        <v>0</v>
      </c>
      <c r="X1702" s="148">
        <f>ROUND(+U1702+W1702,4)</f>
        <v>0</v>
      </c>
      <c r="Y1702" s="68"/>
      <c r="Z1702" s="148">
        <f>ROUND(IF(X1702&gt;I1702,X1702,I1702),4)</f>
        <v>0</v>
      </c>
      <c r="AD1702" s="78">
        <f t="shared" si="30"/>
        <v>0</v>
      </c>
      <c r="AE1702" s="78">
        <f t="shared" si="31"/>
        <v>0</v>
      </c>
    </row>
    <row r="1703" spans="1:31" x14ac:dyDescent="0.2">
      <c r="A1703" s="66"/>
      <c r="B1703" s="66"/>
      <c r="C1703" s="66"/>
      <c r="D1703" s="144"/>
      <c r="E1703" s="67"/>
      <c r="F1703" s="67"/>
      <c r="G1703" s="67"/>
      <c r="H1703" s="67">
        <f>ROUND(+E1703+G1703,4)</f>
        <v>0</v>
      </c>
      <c r="I1703" s="67"/>
      <c r="J1703" s="67">
        <f>ROUND(+I1703-H1703,4)</f>
        <v>0</v>
      </c>
      <c r="K1703" s="67">
        <f>ROUND(IF(F1703="alluminio",0,I1703*1.5%),4)</f>
        <v>0</v>
      </c>
      <c r="L1703" s="67">
        <f>ROUND(IF(K1703&lt;J1703,K1703,0),4)</f>
        <v>0</v>
      </c>
      <c r="M1703" s="67">
        <f>ROUND(IF(J1703&gt;K1703,0,J1703),4)</f>
        <v>0</v>
      </c>
      <c r="N1703" s="67">
        <f>ROUND(+L1703*D1703,4)</f>
        <v>0</v>
      </c>
      <c r="O1703" s="67">
        <f>ROUND(IF(F1703="rame",0,+I1703*3%),4)</f>
        <v>0</v>
      </c>
      <c r="P1703" s="67">
        <f>ROUND(IF(O1703&lt;J1703,O1703,0),4)</f>
        <v>0</v>
      </c>
      <c r="Q1703" s="67">
        <f>ROUND(IF(J1703&gt;O1703,0,J1703),4)</f>
        <v>0</v>
      </c>
      <c r="R1703" s="67">
        <f>ROUND(+P1703*D1703,4)</f>
        <v>0</v>
      </c>
      <c r="S1703" s="67">
        <f>ROUND(IF(K1703=0,0,M1703*D1703),4)</f>
        <v>0</v>
      </c>
      <c r="T1703" s="67">
        <f>ROUND(+IF(K1703=0,Q1703*D1703,0),4)</f>
        <v>0</v>
      </c>
      <c r="U1703" s="67">
        <f>ROUND(+N1703+R1703+S1703+T1703,4)</f>
        <v>0</v>
      </c>
      <c r="V1703" s="67">
        <f>ROUND(IF(P1703=0,0,I1703-H1703-O1703)+IF(L1703=0,0,I1703-H1703-K1703),4)</f>
        <v>0</v>
      </c>
      <c r="W1703" s="67">
        <f>ROUND(+(V1703*60%)*D1703,4)</f>
        <v>0</v>
      </c>
      <c r="X1703" s="148">
        <f>ROUND(+U1703+W1703,4)</f>
        <v>0</v>
      </c>
      <c r="Y1703" s="68"/>
      <c r="Z1703" s="148">
        <f>ROUND(IF(X1703&gt;I1703,X1703,I1703),4)</f>
        <v>0</v>
      </c>
      <c r="AD1703" s="78">
        <f t="shared" si="30"/>
        <v>0</v>
      </c>
      <c r="AE1703" s="78">
        <f t="shared" si="31"/>
        <v>0</v>
      </c>
    </row>
    <row r="1704" spans="1:31" x14ac:dyDescent="0.2">
      <c r="A1704" s="66"/>
      <c r="B1704" s="66"/>
      <c r="C1704" s="66"/>
      <c r="D1704" s="144"/>
      <c r="E1704" s="67"/>
      <c r="F1704" s="67"/>
      <c r="G1704" s="67"/>
      <c r="H1704" s="67">
        <f>ROUND(+E1704+G1704,4)</f>
        <v>0</v>
      </c>
      <c r="I1704" s="67"/>
      <c r="J1704" s="67">
        <f>ROUND(+I1704-H1704,4)</f>
        <v>0</v>
      </c>
      <c r="K1704" s="67">
        <f>ROUND(IF(F1704="alluminio",0,I1704*1.5%),4)</f>
        <v>0</v>
      </c>
      <c r="L1704" s="67">
        <f>ROUND(IF(K1704&lt;J1704,K1704,0),4)</f>
        <v>0</v>
      </c>
      <c r="M1704" s="67">
        <f>ROUND(IF(J1704&gt;K1704,0,J1704),4)</f>
        <v>0</v>
      </c>
      <c r="N1704" s="67">
        <f>ROUND(+L1704*D1704,4)</f>
        <v>0</v>
      </c>
      <c r="O1704" s="67">
        <f>ROUND(IF(F1704="rame",0,+I1704*3%),4)</f>
        <v>0</v>
      </c>
      <c r="P1704" s="67">
        <f>ROUND(IF(O1704&lt;J1704,O1704,0),4)</f>
        <v>0</v>
      </c>
      <c r="Q1704" s="67">
        <f>ROUND(IF(J1704&gt;O1704,0,J1704),4)</f>
        <v>0</v>
      </c>
      <c r="R1704" s="67">
        <f>ROUND(+P1704*D1704,4)</f>
        <v>0</v>
      </c>
      <c r="S1704" s="67">
        <f>ROUND(IF(K1704=0,0,M1704*D1704),4)</f>
        <v>0</v>
      </c>
      <c r="T1704" s="67">
        <f>ROUND(+IF(K1704=0,Q1704*D1704,0),4)</f>
        <v>0</v>
      </c>
      <c r="U1704" s="67">
        <f>ROUND(+N1704+R1704+S1704+T1704,4)</f>
        <v>0</v>
      </c>
      <c r="V1704" s="67">
        <f>ROUND(IF(P1704=0,0,I1704-H1704-O1704)+IF(L1704=0,0,I1704-H1704-K1704),4)</f>
        <v>0</v>
      </c>
      <c r="W1704" s="67">
        <f>ROUND(+(V1704*60%)*D1704,4)</f>
        <v>0</v>
      </c>
      <c r="X1704" s="148">
        <f>ROUND(+U1704+W1704,4)</f>
        <v>0</v>
      </c>
      <c r="Y1704" s="68"/>
      <c r="Z1704" s="148">
        <f>ROUND(IF(X1704&gt;I1704,X1704,I1704),4)</f>
        <v>0</v>
      </c>
      <c r="AD1704" s="78">
        <f t="shared" si="30"/>
        <v>0</v>
      </c>
      <c r="AE1704" s="78">
        <f t="shared" si="31"/>
        <v>0</v>
      </c>
    </row>
    <row r="1705" spans="1:31" x14ac:dyDescent="0.2">
      <c r="A1705" s="66"/>
      <c r="B1705" s="66"/>
      <c r="C1705" s="66"/>
      <c r="D1705" s="144"/>
      <c r="E1705" s="67"/>
      <c r="F1705" s="67"/>
      <c r="G1705" s="67"/>
      <c r="H1705" s="67">
        <f>ROUND(+E1705+G1705,4)</f>
        <v>0</v>
      </c>
      <c r="I1705" s="67"/>
      <c r="J1705" s="67">
        <f>ROUND(+I1705-H1705,4)</f>
        <v>0</v>
      </c>
      <c r="K1705" s="67">
        <f>ROUND(IF(F1705="alluminio",0,I1705*1.5%),4)</f>
        <v>0</v>
      </c>
      <c r="L1705" s="67">
        <f>ROUND(IF(K1705&lt;J1705,K1705,0),4)</f>
        <v>0</v>
      </c>
      <c r="M1705" s="67">
        <f>ROUND(IF(J1705&gt;K1705,0,J1705),4)</f>
        <v>0</v>
      </c>
      <c r="N1705" s="67">
        <f>ROUND(+L1705*D1705,4)</f>
        <v>0</v>
      </c>
      <c r="O1705" s="67">
        <f>ROUND(IF(F1705="rame",0,+I1705*3%),4)</f>
        <v>0</v>
      </c>
      <c r="P1705" s="67">
        <f>ROUND(IF(O1705&lt;J1705,O1705,0),4)</f>
        <v>0</v>
      </c>
      <c r="Q1705" s="67">
        <f>ROUND(IF(J1705&gt;O1705,0,J1705),4)</f>
        <v>0</v>
      </c>
      <c r="R1705" s="67">
        <f>ROUND(+P1705*D1705,4)</f>
        <v>0</v>
      </c>
      <c r="S1705" s="67">
        <f>ROUND(IF(K1705=0,0,M1705*D1705),4)</f>
        <v>0</v>
      </c>
      <c r="T1705" s="67">
        <f>ROUND(+IF(K1705=0,Q1705*D1705,0),4)</f>
        <v>0</v>
      </c>
      <c r="U1705" s="67">
        <f>ROUND(+N1705+R1705+S1705+T1705,4)</f>
        <v>0</v>
      </c>
      <c r="V1705" s="67">
        <f>ROUND(IF(P1705=0,0,I1705-H1705-O1705)+IF(L1705=0,0,I1705-H1705-K1705),4)</f>
        <v>0</v>
      </c>
      <c r="W1705" s="67">
        <f>ROUND(+(V1705*60%)*D1705,4)</f>
        <v>0</v>
      </c>
      <c r="X1705" s="148">
        <f>ROUND(+U1705+W1705,4)</f>
        <v>0</v>
      </c>
      <c r="Y1705" s="68"/>
      <c r="Z1705" s="148">
        <f>ROUND(IF(X1705&gt;I1705,X1705,I1705),4)</f>
        <v>0</v>
      </c>
      <c r="AD1705" s="78">
        <f t="shared" si="30"/>
        <v>0</v>
      </c>
      <c r="AE1705" s="78">
        <f t="shared" si="31"/>
        <v>0</v>
      </c>
    </row>
    <row r="1706" spans="1:31" x14ac:dyDescent="0.2">
      <c r="A1706" s="66"/>
      <c r="B1706" s="66"/>
      <c r="C1706" s="66"/>
      <c r="D1706" s="144"/>
      <c r="E1706" s="67"/>
      <c r="F1706" s="67"/>
      <c r="G1706" s="67"/>
      <c r="H1706" s="67">
        <f>ROUND(+E1706+G1706,4)</f>
        <v>0</v>
      </c>
      <c r="I1706" s="67"/>
      <c r="J1706" s="67">
        <f>ROUND(+I1706-H1706,4)</f>
        <v>0</v>
      </c>
      <c r="K1706" s="67">
        <f>ROUND(IF(F1706="alluminio",0,I1706*1.5%),4)</f>
        <v>0</v>
      </c>
      <c r="L1706" s="67">
        <f>ROUND(IF(K1706&lt;J1706,K1706,0),4)</f>
        <v>0</v>
      </c>
      <c r="M1706" s="67">
        <f>ROUND(IF(J1706&gt;K1706,0,J1706),4)</f>
        <v>0</v>
      </c>
      <c r="N1706" s="67">
        <f>ROUND(+L1706*D1706,4)</f>
        <v>0</v>
      </c>
      <c r="O1706" s="67">
        <f>ROUND(IF(F1706="rame",0,+I1706*3%),4)</f>
        <v>0</v>
      </c>
      <c r="P1706" s="67">
        <f>ROUND(IF(O1706&lt;J1706,O1706,0),4)</f>
        <v>0</v>
      </c>
      <c r="Q1706" s="67">
        <f>ROUND(IF(J1706&gt;O1706,0,J1706),4)</f>
        <v>0</v>
      </c>
      <c r="R1706" s="67">
        <f>ROUND(+P1706*D1706,4)</f>
        <v>0</v>
      </c>
      <c r="S1706" s="67">
        <f>ROUND(IF(K1706=0,0,M1706*D1706),4)</f>
        <v>0</v>
      </c>
      <c r="T1706" s="67">
        <f>ROUND(+IF(K1706=0,Q1706*D1706,0),4)</f>
        <v>0</v>
      </c>
      <c r="U1706" s="67">
        <f>ROUND(+N1706+R1706+S1706+T1706,4)</f>
        <v>0</v>
      </c>
      <c r="V1706" s="67">
        <f>ROUND(IF(P1706=0,0,I1706-H1706-O1706)+IF(L1706=0,0,I1706-H1706-K1706),4)</f>
        <v>0</v>
      </c>
      <c r="W1706" s="67">
        <f>ROUND(+(V1706*60%)*D1706,4)</f>
        <v>0</v>
      </c>
      <c r="X1706" s="148">
        <f>ROUND(+U1706+W1706,4)</f>
        <v>0</v>
      </c>
      <c r="Y1706" s="68"/>
      <c r="Z1706" s="148">
        <f>ROUND(IF(X1706&gt;I1706,X1706,I1706),4)</f>
        <v>0</v>
      </c>
      <c r="AD1706" s="78">
        <f t="shared" si="30"/>
        <v>0</v>
      </c>
      <c r="AE1706" s="78">
        <f t="shared" si="31"/>
        <v>0</v>
      </c>
    </row>
    <row r="1707" spans="1:31" x14ac:dyDescent="0.2">
      <c r="A1707" s="66"/>
      <c r="B1707" s="66"/>
      <c r="C1707" s="66"/>
      <c r="D1707" s="144"/>
      <c r="E1707" s="67"/>
      <c r="F1707" s="67"/>
      <c r="G1707" s="67"/>
      <c r="H1707" s="67">
        <f>ROUND(+E1707+G1707,4)</f>
        <v>0</v>
      </c>
      <c r="I1707" s="67"/>
      <c r="J1707" s="67">
        <f>ROUND(+I1707-H1707,4)</f>
        <v>0</v>
      </c>
      <c r="K1707" s="67">
        <f>ROUND(IF(F1707="alluminio",0,I1707*1.5%),4)</f>
        <v>0</v>
      </c>
      <c r="L1707" s="67">
        <f>ROUND(IF(K1707&lt;J1707,K1707,0),4)</f>
        <v>0</v>
      </c>
      <c r="M1707" s="67">
        <f>ROUND(IF(J1707&gt;K1707,0,J1707),4)</f>
        <v>0</v>
      </c>
      <c r="N1707" s="67">
        <f>ROUND(+L1707*D1707,4)</f>
        <v>0</v>
      </c>
      <c r="O1707" s="67">
        <f>ROUND(IF(F1707="rame",0,+I1707*3%),4)</f>
        <v>0</v>
      </c>
      <c r="P1707" s="67">
        <f>ROUND(IF(O1707&lt;J1707,O1707,0),4)</f>
        <v>0</v>
      </c>
      <c r="Q1707" s="67">
        <f>ROUND(IF(J1707&gt;O1707,0,J1707),4)</f>
        <v>0</v>
      </c>
      <c r="R1707" s="67">
        <f>ROUND(+P1707*D1707,4)</f>
        <v>0</v>
      </c>
      <c r="S1707" s="67">
        <f>ROUND(IF(K1707=0,0,M1707*D1707),4)</f>
        <v>0</v>
      </c>
      <c r="T1707" s="67">
        <f>ROUND(+IF(K1707=0,Q1707*D1707,0),4)</f>
        <v>0</v>
      </c>
      <c r="U1707" s="67">
        <f>ROUND(+N1707+R1707+S1707+T1707,4)</f>
        <v>0</v>
      </c>
      <c r="V1707" s="67">
        <f>ROUND(IF(P1707=0,0,I1707-H1707-O1707)+IF(L1707=0,0,I1707-H1707-K1707),4)</f>
        <v>0</v>
      </c>
      <c r="W1707" s="67">
        <f>ROUND(+(V1707*60%)*D1707,4)</f>
        <v>0</v>
      </c>
      <c r="X1707" s="148">
        <f>ROUND(+U1707+W1707,4)</f>
        <v>0</v>
      </c>
      <c r="Y1707" s="68"/>
      <c r="Z1707" s="148">
        <f>ROUND(IF(X1707&gt;I1707,X1707,I1707),4)</f>
        <v>0</v>
      </c>
      <c r="AD1707" s="78">
        <f t="shared" si="30"/>
        <v>0</v>
      </c>
      <c r="AE1707" s="78">
        <f t="shared" si="31"/>
        <v>0</v>
      </c>
    </row>
    <row r="1708" spans="1:31" x14ac:dyDescent="0.2">
      <c r="A1708" s="66"/>
      <c r="B1708" s="66"/>
      <c r="C1708" s="66"/>
      <c r="D1708" s="144"/>
      <c r="E1708" s="67"/>
      <c r="F1708" s="67"/>
      <c r="G1708" s="67"/>
      <c r="H1708" s="67">
        <f>ROUND(+E1708+G1708,4)</f>
        <v>0</v>
      </c>
      <c r="I1708" s="67"/>
      <c r="J1708" s="67">
        <f>ROUND(+I1708-H1708,4)</f>
        <v>0</v>
      </c>
      <c r="K1708" s="67">
        <f>ROUND(IF(F1708="alluminio",0,I1708*1.5%),4)</f>
        <v>0</v>
      </c>
      <c r="L1708" s="67">
        <f>ROUND(IF(K1708&lt;J1708,K1708,0),4)</f>
        <v>0</v>
      </c>
      <c r="M1708" s="67">
        <f>ROUND(IF(J1708&gt;K1708,0,J1708),4)</f>
        <v>0</v>
      </c>
      <c r="N1708" s="67">
        <f>ROUND(+L1708*D1708,4)</f>
        <v>0</v>
      </c>
      <c r="O1708" s="67">
        <f>ROUND(IF(F1708="rame",0,+I1708*3%),4)</f>
        <v>0</v>
      </c>
      <c r="P1708" s="67">
        <f>ROUND(IF(O1708&lt;J1708,O1708,0),4)</f>
        <v>0</v>
      </c>
      <c r="Q1708" s="67">
        <f>ROUND(IF(J1708&gt;O1708,0,J1708),4)</f>
        <v>0</v>
      </c>
      <c r="R1708" s="67">
        <f>ROUND(+P1708*D1708,4)</f>
        <v>0</v>
      </c>
      <c r="S1708" s="67">
        <f>ROUND(IF(K1708=0,0,M1708*D1708),4)</f>
        <v>0</v>
      </c>
      <c r="T1708" s="67">
        <f>ROUND(+IF(K1708=0,Q1708*D1708,0),4)</f>
        <v>0</v>
      </c>
      <c r="U1708" s="67">
        <f>ROUND(+N1708+R1708+S1708+T1708,4)</f>
        <v>0</v>
      </c>
      <c r="V1708" s="67">
        <f>ROUND(IF(P1708=0,0,I1708-H1708-O1708)+IF(L1708=0,0,I1708-H1708-K1708),4)</f>
        <v>0</v>
      </c>
      <c r="W1708" s="67">
        <f>ROUND(+(V1708*60%)*D1708,4)</f>
        <v>0</v>
      </c>
      <c r="X1708" s="148">
        <f>ROUND(+U1708+W1708,4)</f>
        <v>0</v>
      </c>
      <c r="Y1708" s="68"/>
      <c r="Z1708" s="148">
        <f>ROUND(IF(X1708&gt;I1708,X1708,I1708),4)</f>
        <v>0</v>
      </c>
      <c r="AD1708" s="78">
        <f t="shared" si="30"/>
        <v>0</v>
      </c>
      <c r="AE1708" s="78">
        <f t="shared" si="31"/>
        <v>0</v>
      </c>
    </row>
    <row r="1709" spans="1:31" x14ac:dyDescent="0.2">
      <c r="A1709" s="66"/>
      <c r="B1709" s="66"/>
      <c r="C1709" s="66"/>
      <c r="D1709" s="144"/>
      <c r="E1709" s="67"/>
      <c r="F1709" s="67"/>
      <c r="G1709" s="67"/>
      <c r="H1709" s="67">
        <f>ROUND(+E1709+G1709,4)</f>
        <v>0</v>
      </c>
      <c r="I1709" s="67"/>
      <c r="J1709" s="67">
        <f>ROUND(+I1709-H1709,4)</f>
        <v>0</v>
      </c>
      <c r="K1709" s="67">
        <f>ROUND(IF(F1709="alluminio",0,I1709*1.5%),4)</f>
        <v>0</v>
      </c>
      <c r="L1709" s="67">
        <f>ROUND(IF(K1709&lt;J1709,K1709,0),4)</f>
        <v>0</v>
      </c>
      <c r="M1709" s="67">
        <f>ROUND(IF(J1709&gt;K1709,0,J1709),4)</f>
        <v>0</v>
      </c>
      <c r="N1709" s="67">
        <f>ROUND(+L1709*D1709,4)</f>
        <v>0</v>
      </c>
      <c r="O1709" s="67">
        <f>ROUND(IF(F1709="rame",0,+I1709*3%),4)</f>
        <v>0</v>
      </c>
      <c r="P1709" s="67">
        <f>ROUND(IF(O1709&lt;J1709,O1709,0),4)</f>
        <v>0</v>
      </c>
      <c r="Q1709" s="67">
        <f>ROUND(IF(J1709&gt;O1709,0,J1709),4)</f>
        <v>0</v>
      </c>
      <c r="R1709" s="67">
        <f>ROUND(+P1709*D1709,4)</f>
        <v>0</v>
      </c>
      <c r="S1709" s="67">
        <f>ROUND(IF(K1709=0,0,M1709*D1709),4)</f>
        <v>0</v>
      </c>
      <c r="T1709" s="67">
        <f>ROUND(+IF(K1709=0,Q1709*D1709,0),4)</f>
        <v>0</v>
      </c>
      <c r="U1709" s="67">
        <f>ROUND(+N1709+R1709+S1709+T1709,4)</f>
        <v>0</v>
      </c>
      <c r="V1709" s="67">
        <f>ROUND(IF(P1709=0,0,I1709-H1709-O1709)+IF(L1709=0,0,I1709-H1709-K1709),4)</f>
        <v>0</v>
      </c>
      <c r="W1709" s="67">
        <f>ROUND(+(V1709*60%)*D1709,4)</f>
        <v>0</v>
      </c>
      <c r="X1709" s="148">
        <f>ROUND(+U1709+W1709,4)</f>
        <v>0</v>
      </c>
      <c r="Y1709" s="68"/>
      <c r="Z1709" s="148">
        <f>ROUND(IF(X1709&gt;I1709,X1709,I1709),4)</f>
        <v>0</v>
      </c>
      <c r="AD1709" s="78">
        <f t="shared" si="30"/>
        <v>0</v>
      </c>
      <c r="AE1709" s="78">
        <f t="shared" si="31"/>
        <v>0</v>
      </c>
    </row>
    <row r="1710" spans="1:31" x14ac:dyDescent="0.2">
      <c r="A1710" s="66"/>
      <c r="B1710" s="66"/>
      <c r="C1710" s="66"/>
      <c r="D1710" s="144"/>
      <c r="E1710" s="67"/>
      <c r="F1710" s="67"/>
      <c r="G1710" s="67"/>
      <c r="H1710" s="67">
        <f>ROUND(+E1710+G1710,4)</f>
        <v>0</v>
      </c>
      <c r="I1710" s="67"/>
      <c r="J1710" s="67">
        <f>ROUND(+I1710-H1710,4)</f>
        <v>0</v>
      </c>
      <c r="K1710" s="67">
        <f>ROUND(IF(F1710="alluminio",0,I1710*1.5%),4)</f>
        <v>0</v>
      </c>
      <c r="L1710" s="67">
        <f>ROUND(IF(K1710&lt;J1710,K1710,0),4)</f>
        <v>0</v>
      </c>
      <c r="M1710" s="67">
        <f>ROUND(IF(J1710&gt;K1710,0,J1710),4)</f>
        <v>0</v>
      </c>
      <c r="N1710" s="67">
        <f>ROUND(+L1710*D1710,4)</f>
        <v>0</v>
      </c>
      <c r="O1710" s="67">
        <f>ROUND(IF(F1710="rame",0,+I1710*3%),4)</f>
        <v>0</v>
      </c>
      <c r="P1710" s="67">
        <f>ROUND(IF(O1710&lt;J1710,O1710,0),4)</f>
        <v>0</v>
      </c>
      <c r="Q1710" s="67">
        <f>ROUND(IF(J1710&gt;O1710,0,J1710),4)</f>
        <v>0</v>
      </c>
      <c r="R1710" s="67">
        <f>ROUND(+P1710*D1710,4)</f>
        <v>0</v>
      </c>
      <c r="S1710" s="67">
        <f>ROUND(IF(K1710=0,0,M1710*D1710),4)</f>
        <v>0</v>
      </c>
      <c r="T1710" s="67">
        <f>ROUND(+IF(K1710=0,Q1710*D1710,0),4)</f>
        <v>0</v>
      </c>
      <c r="U1710" s="67">
        <f>ROUND(+N1710+R1710+S1710+T1710,4)</f>
        <v>0</v>
      </c>
      <c r="V1710" s="67">
        <f>ROUND(IF(P1710=0,0,I1710-H1710-O1710)+IF(L1710=0,0,I1710-H1710-K1710),4)</f>
        <v>0</v>
      </c>
      <c r="W1710" s="67">
        <f>ROUND(+(V1710*60%)*D1710,4)</f>
        <v>0</v>
      </c>
      <c r="X1710" s="148">
        <f>ROUND(+U1710+W1710,4)</f>
        <v>0</v>
      </c>
      <c r="Y1710" s="68"/>
      <c r="Z1710" s="148">
        <f>ROUND(IF(X1710&gt;I1710,X1710,I1710),4)</f>
        <v>0</v>
      </c>
      <c r="AD1710" s="78">
        <f t="shared" si="30"/>
        <v>0</v>
      </c>
      <c r="AE1710" s="78">
        <f t="shared" si="31"/>
        <v>0</v>
      </c>
    </row>
    <row r="1711" spans="1:31" x14ac:dyDescent="0.2">
      <c r="A1711" s="66"/>
      <c r="B1711" s="66"/>
      <c r="C1711" s="66"/>
      <c r="D1711" s="144"/>
      <c r="E1711" s="67"/>
      <c r="F1711" s="67"/>
      <c r="G1711" s="67"/>
      <c r="H1711" s="67">
        <f>ROUND(+E1711+G1711,4)</f>
        <v>0</v>
      </c>
      <c r="I1711" s="67"/>
      <c r="J1711" s="67">
        <f>ROUND(+I1711-H1711,4)</f>
        <v>0</v>
      </c>
      <c r="K1711" s="67">
        <f>ROUND(IF(F1711="alluminio",0,I1711*1.5%),4)</f>
        <v>0</v>
      </c>
      <c r="L1711" s="67">
        <f>ROUND(IF(K1711&lt;J1711,K1711,0),4)</f>
        <v>0</v>
      </c>
      <c r="M1711" s="67">
        <f>ROUND(IF(J1711&gt;K1711,0,J1711),4)</f>
        <v>0</v>
      </c>
      <c r="N1711" s="67">
        <f>ROUND(+L1711*D1711,4)</f>
        <v>0</v>
      </c>
      <c r="O1711" s="67">
        <f>ROUND(IF(F1711="rame",0,+I1711*3%),4)</f>
        <v>0</v>
      </c>
      <c r="P1711" s="67">
        <f>ROUND(IF(O1711&lt;J1711,O1711,0),4)</f>
        <v>0</v>
      </c>
      <c r="Q1711" s="67">
        <f>ROUND(IF(J1711&gt;O1711,0,J1711),4)</f>
        <v>0</v>
      </c>
      <c r="R1711" s="67">
        <f>ROUND(+P1711*D1711,4)</f>
        <v>0</v>
      </c>
      <c r="S1711" s="67">
        <f>ROUND(IF(K1711=0,0,M1711*D1711),4)</f>
        <v>0</v>
      </c>
      <c r="T1711" s="67">
        <f>ROUND(+IF(K1711=0,Q1711*D1711,0),4)</f>
        <v>0</v>
      </c>
      <c r="U1711" s="67">
        <f>ROUND(+N1711+R1711+S1711+T1711,4)</f>
        <v>0</v>
      </c>
      <c r="V1711" s="67">
        <f>ROUND(IF(P1711=0,0,I1711-H1711-O1711)+IF(L1711=0,0,I1711-H1711-K1711),4)</f>
        <v>0</v>
      </c>
      <c r="W1711" s="67">
        <f>ROUND(+(V1711*60%)*D1711,4)</f>
        <v>0</v>
      </c>
      <c r="X1711" s="148">
        <f>ROUND(+U1711+W1711,4)</f>
        <v>0</v>
      </c>
      <c r="Y1711" s="68"/>
      <c r="Z1711" s="148">
        <f>ROUND(IF(X1711&gt;I1711,X1711,I1711),4)</f>
        <v>0</v>
      </c>
      <c r="AD1711" s="78">
        <f t="shared" si="30"/>
        <v>0</v>
      </c>
      <c r="AE1711" s="78">
        <f t="shared" si="31"/>
        <v>0</v>
      </c>
    </row>
    <row r="1712" spans="1:31" x14ac:dyDescent="0.2">
      <c r="A1712" s="66"/>
      <c r="B1712" s="66"/>
      <c r="C1712" s="66"/>
      <c r="D1712" s="144"/>
      <c r="E1712" s="67"/>
      <c r="F1712" s="67"/>
      <c r="G1712" s="67"/>
      <c r="H1712" s="67">
        <f>ROUND(+E1712+G1712,4)</f>
        <v>0</v>
      </c>
      <c r="I1712" s="67"/>
      <c r="J1712" s="67">
        <f>ROUND(+I1712-H1712,4)</f>
        <v>0</v>
      </c>
      <c r="K1712" s="67">
        <f>ROUND(IF(F1712="alluminio",0,I1712*1.5%),4)</f>
        <v>0</v>
      </c>
      <c r="L1712" s="67">
        <f>ROUND(IF(K1712&lt;J1712,K1712,0),4)</f>
        <v>0</v>
      </c>
      <c r="M1712" s="67">
        <f>ROUND(IF(J1712&gt;K1712,0,J1712),4)</f>
        <v>0</v>
      </c>
      <c r="N1712" s="67">
        <f>ROUND(+L1712*D1712,4)</f>
        <v>0</v>
      </c>
      <c r="O1712" s="67">
        <f>ROUND(IF(F1712="rame",0,+I1712*3%),4)</f>
        <v>0</v>
      </c>
      <c r="P1712" s="67">
        <f>ROUND(IF(O1712&lt;J1712,O1712,0),4)</f>
        <v>0</v>
      </c>
      <c r="Q1712" s="67">
        <f>ROUND(IF(J1712&gt;O1712,0,J1712),4)</f>
        <v>0</v>
      </c>
      <c r="R1712" s="67">
        <f>ROUND(+P1712*D1712,4)</f>
        <v>0</v>
      </c>
      <c r="S1712" s="67">
        <f>ROUND(IF(K1712=0,0,M1712*D1712),4)</f>
        <v>0</v>
      </c>
      <c r="T1712" s="67">
        <f>ROUND(+IF(K1712=0,Q1712*D1712,0),4)</f>
        <v>0</v>
      </c>
      <c r="U1712" s="67">
        <f>ROUND(+N1712+R1712+S1712+T1712,4)</f>
        <v>0</v>
      </c>
      <c r="V1712" s="67">
        <f>ROUND(IF(P1712=0,0,I1712-H1712-O1712)+IF(L1712=0,0,I1712-H1712-K1712),4)</f>
        <v>0</v>
      </c>
      <c r="W1712" s="67">
        <f>ROUND(+(V1712*60%)*D1712,4)</f>
        <v>0</v>
      </c>
      <c r="X1712" s="148">
        <f>ROUND(+U1712+W1712,4)</f>
        <v>0</v>
      </c>
      <c r="Y1712" s="68"/>
      <c r="Z1712" s="148">
        <f>ROUND(IF(X1712&gt;I1712,X1712,I1712),4)</f>
        <v>0</v>
      </c>
      <c r="AD1712" s="78">
        <f t="shared" si="30"/>
        <v>0</v>
      </c>
      <c r="AE1712" s="78">
        <f t="shared" si="31"/>
        <v>0</v>
      </c>
    </row>
    <row r="1713" spans="1:31" x14ac:dyDescent="0.2">
      <c r="A1713" s="66"/>
      <c r="B1713" s="66"/>
      <c r="C1713" s="66"/>
      <c r="D1713" s="144"/>
      <c r="E1713" s="67"/>
      <c r="F1713" s="67"/>
      <c r="G1713" s="67"/>
      <c r="H1713" s="67">
        <f>ROUND(+E1713+G1713,4)</f>
        <v>0</v>
      </c>
      <c r="I1713" s="67"/>
      <c r="J1713" s="67">
        <f>ROUND(+I1713-H1713,4)</f>
        <v>0</v>
      </c>
      <c r="K1713" s="67">
        <f>ROUND(IF(F1713="alluminio",0,I1713*1.5%),4)</f>
        <v>0</v>
      </c>
      <c r="L1713" s="67">
        <f>ROUND(IF(K1713&lt;J1713,K1713,0),4)</f>
        <v>0</v>
      </c>
      <c r="M1713" s="67">
        <f>ROUND(IF(J1713&gt;K1713,0,J1713),4)</f>
        <v>0</v>
      </c>
      <c r="N1713" s="67">
        <f>ROUND(+L1713*D1713,4)</f>
        <v>0</v>
      </c>
      <c r="O1713" s="67">
        <f>ROUND(IF(F1713="rame",0,+I1713*3%),4)</f>
        <v>0</v>
      </c>
      <c r="P1713" s="67">
        <f>ROUND(IF(O1713&lt;J1713,O1713,0),4)</f>
        <v>0</v>
      </c>
      <c r="Q1713" s="67">
        <f>ROUND(IF(J1713&gt;O1713,0,J1713),4)</f>
        <v>0</v>
      </c>
      <c r="R1713" s="67">
        <f>ROUND(+P1713*D1713,4)</f>
        <v>0</v>
      </c>
      <c r="S1713" s="67">
        <f>ROUND(IF(K1713=0,0,M1713*D1713),4)</f>
        <v>0</v>
      </c>
      <c r="T1713" s="67">
        <f>ROUND(+IF(K1713=0,Q1713*D1713,0),4)</f>
        <v>0</v>
      </c>
      <c r="U1713" s="67">
        <f>ROUND(+N1713+R1713+S1713+T1713,4)</f>
        <v>0</v>
      </c>
      <c r="V1713" s="67">
        <f>ROUND(IF(P1713=0,0,I1713-H1713-O1713)+IF(L1713=0,0,I1713-H1713-K1713),4)</f>
        <v>0</v>
      </c>
      <c r="W1713" s="67">
        <f>ROUND(+(V1713*60%)*D1713,4)</f>
        <v>0</v>
      </c>
      <c r="X1713" s="148">
        <f>ROUND(+U1713+W1713,4)</f>
        <v>0</v>
      </c>
      <c r="Y1713" s="68"/>
      <c r="Z1713" s="148">
        <f>ROUND(IF(X1713&gt;I1713,X1713,I1713),4)</f>
        <v>0</v>
      </c>
      <c r="AD1713" s="78">
        <f t="shared" si="30"/>
        <v>0</v>
      </c>
      <c r="AE1713" s="78">
        <f t="shared" si="31"/>
        <v>0</v>
      </c>
    </row>
    <row r="1714" spans="1:31" x14ac:dyDescent="0.2">
      <c r="A1714" s="66"/>
      <c r="B1714" s="66"/>
      <c r="C1714" s="66"/>
      <c r="D1714" s="144"/>
      <c r="E1714" s="67"/>
      <c r="F1714" s="67"/>
      <c r="G1714" s="67"/>
      <c r="H1714" s="67">
        <f>ROUND(+E1714+G1714,4)</f>
        <v>0</v>
      </c>
      <c r="I1714" s="67"/>
      <c r="J1714" s="67">
        <f>ROUND(+I1714-H1714,4)</f>
        <v>0</v>
      </c>
      <c r="K1714" s="67">
        <f>ROUND(IF(F1714="alluminio",0,I1714*1.5%),4)</f>
        <v>0</v>
      </c>
      <c r="L1714" s="67">
        <f>ROUND(IF(K1714&lt;J1714,K1714,0),4)</f>
        <v>0</v>
      </c>
      <c r="M1714" s="67">
        <f>ROUND(IF(J1714&gt;K1714,0,J1714),4)</f>
        <v>0</v>
      </c>
      <c r="N1714" s="67">
        <f>ROUND(+L1714*D1714,4)</f>
        <v>0</v>
      </c>
      <c r="O1714" s="67">
        <f>ROUND(IF(F1714="rame",0,+I1714*3%),4)</f>
        <v>0</v>
      </c>
      <c r="P1714" s="67">
        <f>ROUND(IF(O1714&lt;J1714,O1714,0),4)</f>
        <v>0</v>
      </c>
      <c r="Q1714" s="67">
        <f>ROUND(IF(J1714&gt;O1714,0,J1714),4)</f>
        <v>0</v>
      </c>
      <c r="R1714" s="67">
        <f>ROUND(+P1714*D1714,4)</f>
        <v>0</v>
      </c>
      <c r="S1714" s="67">
        <f>ROUND(IF(K1714=0,0,M1714*D1714),4)</f>
        <v>0</v>
      </c>
      <c r="T1714" s="67">
        <f>ROUND(+IF(K1714=0,Q1714*D1714,0),4)</f>
        <v>0</v>
      </c>
      <c r="U1714" s="67">
        <f>ROUND(+N1714+R1714+S1714+T1714,4)</f>
        <v>0</v>
      </c>
      <c r="V1714" s="67">
        <f>ROUND(IF(P1714=0,0,I1714-H1714-O1714)+IF(L1714=0,0,I1714-H1714-K1714),4)</f>
        <v>0</v>
      </c>
      <c r="W1714" s="67">
        <f>ROUND(+(V1714*60%)*D1714,4)</f>
        <v>0</v>
      </c>
      <c r="X1714" s="148">
        <f>ROUND(+U1714+W1714,4)</f>
        <v>0</v>
      </c>
      <c r="Y1714" s="68"/>
      <c r="Z1714" s="148">
        <f>ROUND(IF(X1714&gt;I1714,X1714,I1714),4)</f>
        <v>0</v>
      </c>
      <c r="AD1714" s="78">
        <f t="shared" si="30"/>
        <v>0</v>
      </c>
      <c r="AE1714" s="78">
        <f t="shared" si="31"/>
        <v>0</v>
      </c>
    </row>
    <row r="1715" spans="1:31" x14ac:dyDescent="0.2">
      <c r="A1715" s="66"/>
      <c r="B1715" s="66"/>
      <c r="C1715" s="66"/>
      <c r="D1715" s="144"/>
      <c r="E1715" s="67"/>
      <c r="F1715" s="67"/>
      <c r="G1715" s="67"/>
      <c r="H1715" s="67">
        <f>ROUND(+E1715+G1715,4)</f>
        <v>0</v>
      </c>
      <c r="I1715" s="67"/>
      <c r="J1715" s="67">
        <f>ROUND(+I1715-H1715,4)</f>
        <v>0</v>
      </c>
      <c r="K1715" s="67">
        <f>ROUND(IF(F1715="alluminio",0,I1715*1.5%),4)</f>
        <v>0</v>
      </c>
      <c r="L1715" s="67">
        <f>ROUND(IF(K1715&lt;J1715,K1715,0),4)</f>
        <v>0</v>
      </c>
      <c r="M1715" s="67">
        <f>ROUND(IF(J1715&gt;K1715,0,J1715),4)</f>
        <v>0</v>
      </c>
      <c r="N1715" s="67">
        <f>ROUND(+L1715*D1715,4)</f>
        <v>0</v>
      </c>
      <c r="O1715" s="67">
        <f>ROUND(IF(F1715="rame",0,+I1715*3%),4)</f>
        <v>0</v>
      </c>
      <c r="P1715" s="67">
        <f>ROUND(IF(O1715&lt;J1715,O1715,0),4)</f>
        <v>0</v>
      </c>
      <c r="Q1715" s="67">
        <f>ROUND(IF(J1715&gt;O1715,0,J1715),4)</f>
        <v>0</v>
      </c>
      <c r="R1715" s="67">
        <f>ROUND(+P1715*D1715,4)</f>
        <v>0</v>
      </c>
      <c r="S1715" s="67">
        <f>ROUND(IF(K1715=0,0,M1715*D1715),4)</f>
        <v>0</v>
      </c>
      <c r="T1715" s="67">
        <f>ROUND(+IF(K1715=0,Q1715*D1715,0),4)</f>
        <v>0</v>
      </c>
      <c r="U1715" s="67">
        <f>ROUND(+N1715+R1715+S1715+T1715,4)</f>
        <v>0</v>
      </c>
      <c r="V1715" s="67">
        <f>ROUND(IF(P1715=0,0,I1715-H1715-O1715)+IF(L1715=0,0,I1715-H1715-K1715),4)</f>
        <v>0</v>
      </c>
      <c r="W1715" s="67">
        <f>ROUND(+(V1715*60%)*D1715,4)</f>
        <v>0</v>
      </c>
      <c r="X1715" s="148">
        <f>ROUND(+U1715+W1715,4)</f>
        <v>0</v>
      </c>
      <c r="Y1715" s="68"/>
      <c r="Z1715" s="148">
        <f>ROUND(IF(X1715&gt;I1715,X1715,I1715),4)</f>
        <v>0</v>
      </c>
      <c r="AD1715" s="78">
        <f t="shared" si="30"/>
        <v>0</v>
      </c>
      <c r="AE1715" s="78">
        <f t="shared" si="31"/>
        <v>0</v>
      </c>
    </row>
    <row r="1716" spans="1:31" x14ac:dyDescent="0.2">
      <c r="A1716" s="66"/>
      <c r="B1716" s="66"/>
      <c r="C1716" s="66"/>
      <c r="D1716" s="144"/>
      <c r="E1716" s="67"/>
      <c r="F1716" s="67"/>
      <c r="G1716" s="67"/>
      <c r="H1716" s="67">
        <f>ROUND(+E1716+G1716,4)</f>
        <v>0</v>
      </c>
      <c r="I1716" s="67"/>
      <c r="J1716" s="67">
        <f>ROUND(+I1716-H1716,4)</f>
        <v>0</v>
      </c>
      <c r="K1716" s="67">
        <f>ROUND(IF(F1716="alluminio",0,I1716*1.5%),4)</f>
        <v>0</v>
      </c>
      <c r="L1716" s="67">
        <f>ROUND(IF(K1716&lt;J1716,K1716,0),4)</f>
        <v>0</v>
      </c>
      <c r="M1716" s="67">
        <f>ROUND(IF(J1716&gt;K1716,0,J1716),4)</f>
        <v>0</v>
      </c>
      <c r="N1716" s="67">
        <f>ROUND(+L1716*D1716,4)</f>
        <v>0</v>
      </c>
      <c r="O1716" s="67">
        <f>ROUND(IF(F1716="rame",0,+I1716*3%),4)</f>
        <v>0</v>
      </c>
      <c r="P1716" s="67">
        <f>ROUND(IF(O1716&lt;J1716,O1716,0),4)</f>
        <v>0</v>
      </c>
      <c r="Q1716" s="67">
        <f>ROUND(IF(J1716&gt;O1716,0,J1716),4)</f>
        <v>0</v>
      </c>
      <c r="R1716" s="67">
        <f>ROUND(+P1716*D1716,4)</f>
        <v>0</v>
      </c>
      <c r="S1716" s="67">
        <f>ROUND(IF(K1716=0,0,M1716*D1716),4)</f>
        <v>0</v>
      </c>
      <c r="T1716" s="67">
        <f>ROUND(+IF(K1716=0,Q1716*D1716,0),4)</f>
        <v>0</v>
      </c>
      <c r="U1716" s="67">
        <f>ROUND(+N1716+R1716+S1716+T1716,4)</f>
        <v>0</v>
      </c>
      <c r="V1716" s="67">
        <f>ROUND(IF(P1716=0,0,I1716-H1716-O1716)+IF(L1716=0,0,I1716-H1716-K1716),4)</f>
        <v>0</v>
      </c>
      <c r="W1716" s="67">
        <f>ROUND(+(V1716*60%)*D1716,4)</f>
        <v>0</v>
      </c>
      <c r="X1716" s="148">
        <f>ROUND(+U1716+W1716,4)</f>
        <v>0</v>
      </c>
      <c r="Y1716" s="68"/>
      <c r="Z1716" s="148">
        <f>ROUND(IF(X1716&gt;I1716,X1716,I1716),4)</f>
        <v>0</v>
      </c>
      <c r="AD1716" s="78">
        <f t="shared" si="30"/>
        <v>0</v>
      </c>
      <c r="AE1716" s="78">
        <f t="shared" si="31"/>
        <v>0</v>
      </c>
    </row>
    <row r="1717" spans="1:31" x14ac:dyDescent="0.2">
      <c r="A1717" s="66"/>
      <c r="B1717" s="66"/>
      <c r="C1717" s="66"/>
      <c r="D1717" s="144"/>
      <c r="E1717" s="67"/>
      <c r="F1717" s="67"/>
      <c r="G1717" s="67"/>
      <c r="H1717" s="67">
        <f>ROUND(+E1717+G1717,4)</f>
        <v>0</v>
      </c>
      <c r="I1717" s="67"/>
      <c r="J1717" s="67">
        <f>ROUND(+I1717-H1717,4)</f>
        <v>0</v>
      </c>
      <c r="K1717" s="67">
        <f>ROUND(IF(F1717="alluminio",0,I1717*1.5%),4)</f>
        <v>0</v>
      </c>
      <c r="L1717" s="67">
        <f>ROUND(IF(K1717&lt;J1717,K1717,0),4)</f>
        <v>0</v>
      </c>
      <c r="M1717" s="67">
        <f>ROUND(IF(J1717&gt;K1717,0,J1717),4)</f>
        <v>0</v>
      </c>
      <c r="N1717" s="67">
        <f>ROUND(+L1717*D1717,4)</f>
        <v>0</v>
      </c>
      <c r="O1717" s="67">
        <f>ROUND(IF(F1717="rame",0,+I1717*3%),4)</f>
        <v>0</v>
      </c>
      <c r="P1717" s="67">
        <f>ROUND(IF(O1717&lt;J1717,O1717,0),4)</f>
        <v>0</v>
      </c>
      <c r="Q1717" s="67">
        <f>ROUND(IF(J1717&gt;O1717,0,J1717),4)</f>
        <v>0</v>
      </c>
      <c r="R1717" s="67">
        <f>ROUND(+P1717*D1717,4)</f>
        <v>0</v>
      </c>
      <c r="S1717" s="67">
        <f>ROUND(IF(K1717=0,0,M1717*D1717),4)</f>
        <v>0</v>
      </c>
      <c r="T1717" s="67">
        <f>ROUND(+IF(K1717=0,Q1717*D1717,0),4)</f>
        <v>0</v>
      </c>
      <c r="U1717" s="67">
        <f>ROUND(+N1717+R1717+S1717+T1717,4)</f>
        <v>0</v>
      </c>
      <c r="V1717" s="67">
        <f>ROUND(IF(P1717=0,0,I1717-H1717-O1717)+IF(L1717=0,0,I1717-H1717-K1717),4)</f>
        <v>0</v>
      </c>
      <c r="W1717" s="67">
        <f>ROUND(+(V1717*60%)*D1717,4)</f>
        <v>0</v>
      </c>
      <c r="X1717" s="148">
        <f>ROUND(+U1717+W1717,4)</f>
        <v>0</v>
      </c>
      <c r="Y1717" s="68"/>
      <c r="Z1717" s="148">
        <f>ROUND(IF(X1717&gt;I1717,X1717,I1717),4)</f>
        <v>0</v>
      </c>
      <c r="AD1717" s="78">
        <f t="shared" si="30"/>
        <v>0</v>
      </c>
      <c r="AE1717" s="78">
        <f t="shared" si="31"/>
        <v>0</v>
      </c>
    </row>
    <row r="1718" spans="1:31" x14ac:dyDescent="0.2">
      <c r="A1718" s="66"/>
      <c r="B1718" s="66"/>
      <c r="C1718" s="66"/>
      <c r="D1718" s="144"/>
      <c r="E1718" s="67"/>
      <c r="F1718" s="67"/>
      <c r="G1718" s="67"/>
      <c r="H1718" s="67">
        <f>ROUND(+E1718+G1718,4)</f>
        <v>0</v>
      </c>
      <c r="I1718" s="67"/>
      <c r="J1718" s="67">
        <f>ROUND(+I1718-H1718,4)</f>
        <v>0</v>
      </c>
      <c r="K1718" s="67">
        <f>ROUND(IF(F1718="alluminio",0,I1718*1.5%),4)</f>
        <v>0</v>
      </c>
      <c r="L1718" s="67">
        <f>ROUND(IF(K1718&lt;J1718,K1718,0),4)</f>
        <v>0</v>
      </c>
      <c r="M1718" s="67">
        <f>ROUND(IF(J1718&gt;K1718,0,J1718),4)</f>
        <v>0</v>
      </c>
      <c r="N1718" s="67">
        <f>ROUND(+L1718*D1718,4)</f>
        <v>0</v>
      </c>
      <c r="O1718" s="67">
        <f>ROUND(IF(F1718="rame",0,+I1718*3%),4)</f>
        <v>0</v>
      </c>
      <c r="P1718" s="67">
        <f>ROUND(IF(O1718&lt;J1718,O1718,0),4)</f>
        <v>0</v>
      </c>
      <c r="Q1718" s="67">
        <f>ROUND(IF(J1718&gt;O1718,0,J1718),4)</f>
        <v>0</v>
      </c>
      <c r="R1718" s="67">
        <f>ROUND(+P1718*D1718,4)</f>
        <v>0</v>
      </c>
      <c r="S1718" s="67">
        <f>ROUND(IF(K1718=0,0,M1718*D1718),4)</f>
        <v>0</v>
      </c>
      <c r="T1718" s="67">
        <f>ROUND(+IF(K1718=0,Q1718*D1718,0),4)</f>
        <v>0</v>
      </c>
      <c r="U1718" s="67">
        <f>ROUND(+N1718+R1718+S1718+T1718,4)</f>
        <v>0</v>
      </c>
      <c r="V1718" s="67">
        <f>ROUND(IF(P1718=0,0,I1718-H1718-O1718)+IF(L1718=0,0,I1718-H1718-K1718),4)</f>
        <v>0</v>
      </c>
      <c r="W1718" s="67">
        <f>ROUND(+(V1718*60%)*D1718,4)</f>
        <v>0</v>
      </c>
      <c r="X1718" s="148">
        <f>ROUND(+U1718+W1718,4)</f>
        <v>0</v>
      </c>
      <c r="Y1718" s="68"/>
      <c r="Z1718" s="148">
        <f>ROUND(IF(X1718&gt;I1718,X1718,I1718),4)</f>
        <v>0</v>
      </c>
      <c r="AD1718" s="78">
        <f t="shared" si="30"/>
        <v>0</v>
      </c>
      <c r="AE1718" s="78">
        <f t="shared" si="31"/>
        <v>0</v>
      </c>
    </row>
    <row r="1719" spans="1:31" x14ac:dyDescent="0.2">
      <c r="A1719" s="66"/>
      <c r="B1719" s="66"/>
      <c r="C1719" s="66"/>
      <c r="D1719" s="144"/>
      <c r="E1719" s="67"/>
      <c r="F1719" s="67"/>
      <c r="G1719" s="67"/>
      <c r="H1719" s="67">
        <f>ROUND(+E1719+G1719,4)</f>
        <v>0</v>
      </c>
      <c r="I1719" s="67"/>
      <c r="J1719" s="67">
        <f>ROUND(+I1719-H1719,4)</f>
        <v>0</v>
      </c>
      <c r="K1719" s="67">
        <f>ROUND(IF(F1719="alluminio",0,I1719*1.5%),4)</f>
        <v>0</v>
      </c>
      <c r="L1719" s="67">
        <f>ROUND(IF(K1719&lt;J1719,K1719,0),4)</f>
        <v>0</v>
      </c>
      <c r="M1719" s="67">
        <f>ROUND(IF(J1719&gt;K1719,0,J1719),4)</f>
        <v>0</v>
      </c>
      <c r="N1719" s="67">
        <f>ROUND(+L1719*D1719,4)</f>
        <v>0</v>
      </c>
      <c r="O1719" s="67">
        <f>ROUND(IF(F1719="rame",0,+I1719*3%),4)</f>
        <v>0</v>
      </c>
      <c r="P1719" s="67">
        <f>ROUND(IF(O1719&lt;J1719,O1719,0),4)</f>
        <v>0</v>
      </c>
      <c r="Q1719" s="67">
        <f>ROUND(IF(J1719&gt;O1719,0,J1719),4)</f>
        <v>0</v>
      </c>
      <c r="R1719" s="67">
        <f>ROUND(+P1719*D1719,4)</f>
        <v>0</v>
      </c>
      <c r="S1719" s="67">
        <f>ROUND(IF(K1719=0,0,M1719*D1719),4)</f>
        <v>0</v>
      </c>
      <c r="T1719" s="67">
        <f>ROUND(+IF(K1719=0,Q1719*D1719,0),4)</f>
        <v>0</v>
      </c>
      <c r="U1719" s="67">
        <f>ROUND(+N1719+R1719+S1719+T1719,4)</f>
        <v>0</v>
      </c>
      <c r="V1719" s="67">
        <f>ROUND(IF(P1719=0,0,I1719-H1719-O1719)+IF(L1719=0,0,I1719-H1719-K1719),4)</f>
        <v>0</v>
      </c>
      <c r="W1719" s="67">
        <f>ROUND(+(V1719*60%)*D1719,4)</f>
        <v>0</v>
      </c>
      <c r="X1719" s="148">
        <f>ROUND(+U1719+W1719,4)</f>
        <v>0</v>
      </c>
      <c r="Y1719" s="68"/>
      <c r="Z1719" s="148">
        <f>ROUND(IF(X1719&gt;I1719,X1719,I1719),4)</f>
        <v>0</v>
      </c>
      <c r="AD1719" s="78">
        <f t="shared" si="30"/>
        <v>0</v>
      </c>
      <c r="AE1719" s="78">
        <f t="shared" si="31"/>
        <v>0</v>
      </c>
    </row>
    <row r="1720" spans="1:31" x14ac:dyDescent="0.2">
      <c r="A1720" s="66"/>
      <c r="B1720" s="66"/>
      <c r="C1720" s="66"/>
      <c r="D1720" s="144"/>
      <c r="E1720" s="67"/>
      <c r="F1720" s="67"/>
      <c r="G1720" s="67"/>
      <c r="H1720" s="67">
        <f>ROUND(+E1720+G1720,4)</f>
        <v>0</v>
      </c>
      <c r="I1720" s="67"/>
      <c r="J1720" s="67">
        <f>ROUND(+I1720-H1720,4)</f>
        <v>0</v>
      </c>
      <c r="K1720" s="67">
        <f>ROUND(IF(F1720="alluminio",0,I1720*1.5%),4)</f>
        <v>0</v>
      </c>
      <c r="L1720" s="67">
        <f>ROUND(IF(K1720&lt;J1720,K1720,0),4)</f>
        <v>0</v>
      </c>
      <c r="M1720" s="67">
        <f>ROUND(IF(J1720&gt;K1720,0,J1720),4)</f>
        <v>0</v>
      </c>
      <c r="N1720" s="67">
        <f>ROUND(+L1720*D1720,4)</f>
        <v>0</v>
      </c>
      <c r="O1720" s="67">
        <f>ROUND(IF(F1720="rame",0,+I1720*3%),4)</f>
        <v>0</v>
      </c>
      <c r="P1720" s="67">
        <f>ROUND(IF(O1720&lt;J1720,O1720,0),4)</f>
        <v>0</v>
      </c>
      <c r="Q1720" s="67">
        <f>ROUND(IF(J1720&gt;O1720,0,J1720),4)</f>
        <v>0</v>
      </c>
      <c r="R1720" s="67">
        <f>ROUND(+P1720*D1720,4)</f>
        <v>0</v>
      </c>
      <c r="S1720" s="67">
        <f>ROUND(IF(K1720=0,0,M1720*D1720),4)</f>
        <v>0</v>
      </c>
      <c r="T1720" s="67">
        <f>ROUND(+IF(K1720=0,Q1720*D1720,0),4)</f>
        <v>0</v>
      </c>
      <c r="U1720" s="67">
        <f>ROUND(+N1720+R1720+S1720+T1720,4)</f>
        <v>0</v>
      </c>
      <c r="V1720" s="67">
        <f>ROUND(IF(P1720=0,0,I1720-H1720-O1720)+IF(L1720=0,0,I1720-H1720-K1720),4)</f>
        <v>0</v>
      </c>
      <c r="W1720" s="67">
        <f>ROUND(+(V1720*60%)*D1720,4)</f>
        <v>0</v>
      </c>
      <c r="X1720" s="148">
        <f>ROUND(+U1720+W1720,4)</f>
        <v>0</v>
      </c>
      <c r="Y1720" s="68"/>
      <c r="Z1720" s="148">
        <f>ROUND(IF(X1720&gt;I1720,X1720,I1720),4)</f>
        <v>0</v>
      </c>
      <c r="AD1720" s="78">
        <f t="shared" si="30"/>
        <v>0</v>
      </c>
      <c r="AE1720" s="78">
        <f t="shared" si="31"/>
        <v>0</v>
      </c>
    </row>
    <row r="1721" spans="1:31" x14ac:dyDescent="0.2">
      <c r="A1721" s="66"/>
      <c r="B1721" s="66"/>
      <c r="C1721" s="66"/>
      <c r="D1721" s="144"/>
      <c r="E1721" s="67"/>
      <c r="F1721" s="67"/>
      <c r="G1721" s="67"/>
      <c r="H1721" s="67">
        <f>ROUND(+E1721+G1721,4)</f>
        <v>0</v>
      </c>
      <c r="I1721" s="67"/>
      <c r="J1721" s="67">
        <f>ROUND(+I1721-H1721,4)</f>
        <v>0</v>
      </c>
      <c r="K1721" s="67">
        <f>ROUND(IF(F1721="alluminio",0,I1721*1.5%),4)</f>
        <v>0</v>
      </c>
      <c r="L1721" s="67">
        <f>ROUND(IF(K1721&lt;J1721,K1721,0),4)</f>
        <v>0</v>
      </c>
      <c r="M1721" s="67">
        <f>ROUND(IF(J1721&gt;K1721,0,J1721),4)</f>
        <v>0</v>
      </c>
      <c r="N1721" s="67">
        <f>ROUND(+L1721*D1721,4)</f>
        <v>0</v>
      </c>
      <c r="O1721" s="67">
        <f>ROUND(IF(F1721="rame",0,+I1721*3%),4)</f>
        <v>0</v>
      </c>
      <c r="P1721" s="67">
        <f>ROUND(IF(O1721&lt;J1721,O1721,0),4)</f>
        <v>0</v>
      </c>
      <c r="Q1721" s="67">
        <f>ROUND(IF(J1721&gt;O1721,0,J1721),4)</f>
        <v>0</v>
      </c>
      <c r="R1721" s="67">
        <f>ROUND(+P1721*D1721,4)</f>
        <v>0</v>
      </c>
      <c r="S1721" s="67">
        <f>ROUND(IF(K1721=0,0,M1721*D1721),4)</f>
        <v>0</v>
      </c>
      <c r="T1721" s="67">
        <f>ROUND(+IF(K1721=0,Q1721*D1721,0),4)</f>
        <v>0</v>
      </c>
      <c r="U1721" s="67">
        <f>ROUND(+N1721+R1721+S1721+T1721,4)</f>
        <v>0</v>
      </c>
      <c r="V1721" s="67">
        <f>ROUND(IF(P1721=0,0,I1721-H1721-O1721)+IF(L1721=0,0,I1721-H1721-K1721),4)</f>
        <v>0</v>
      </c>
      <c r="W1721" s="67">
        <f>ROUND(+(V1721*60%)*D1721,4)</f>
        <v>0</v>
      </c>
      <c r="X1721" s="148">
        <f>ROUND(+U1721+W1721,4)</f>
        <v>0</v>
      </c>
      <c r="Y1721" s="68"/>
      <c r="Z1721" s="148">
        <f>ROUND(IF(X1721&gt;I1721,X1721,I1721),4)</f>
        <v>0</v>
      </c>
      <c r="AD1721" s="78">
        <f t="shared" si="30"/>
        <v>0</v>
      </c>
      <c r="AE1721" s="78">
        <f t="shared" si="31"/>
        <v>0</v>
      </c>
    </row>
    <row r="1722" spans="1:31" x14ac:dyDescent="0.2">
      <c r="A1722" s="66"/>
      <c r="B1722" s="66"/>
      <c r="C1722" s="66"/>
      <c r="D1722" s="144"/>
      <c r="E1722" s="67"/>
      <c r="F1722" s="67"/>
      <c r="G1722" s="67"/>
      <c r="H1722" s="67">
        <f>ROUND(+E1722+G1722,4)</f>
        <v>0</v>
      </c>
      <c r="I1722" s="67"/>
      <c r="J1722" s="67">
        <f>ROUND(+I1722-H1722,4)</f>
        <v>0</v>
      </c>
      <c r="K1722" s="67">
        <f>ROUND(IF(F1722="alluminio",0,I1722*1.5%),4)</f>
        <v>0</v>
      </c>
      <c r="L1722" s="67">
        <f>ROUND(IF(K1722&lt;J1722,K1722,0),4)</f>
        <v>0</v>
      </c>
      <c r="M1722" s="67">
        <f>ROUND(IF(J1722&gt;K1722,0,J1722),4)</f>
        <v>0</v>
      </c>
      <c r="N1722" s="67">
        <f>ROUND(+L1722*D1722,4)</f>
        <v>0</v>
      </c>
      <c r="O1722" s="67">
        <f>ROUND(IF(F1722="rame",0,+I1722*3%),4)</f>
        <v>0</v>
      </c>
      <c r="P1722" s="67">
        <f>ROUND(IF(O1722&lt;J1722,O1722,0),4)</f>
        <v>0</v>
      </c>
      <c r="Q1722" s="67">
        <f>ROUND(IF(J1722&gt;O1722,0,J1722),4)</f>
        <v>0</v>
      </c>
      <c r="R1722" s="67">
        <f>ROUND(+P1722*D1722,4)</f>
        <v>0</v>
      </c>
      <c r="S1722" s="67">
        <f>ROUND(IF(K1722=0,0,M1722*D1722),4)</f>
        <v>0</v>
      </c>
      <c r="T1722" s="67">
        <f>ROUND(+IF(K1722=0,Q1722*D1722,0),4)</f>
        <v>0</v>
      </c>
      <c r="U1722" s="67">
        <f>ROUND(+N1722+R1722+S1722+T1722,4)</f>
        <v>0</v>
      </c>
      <c r="V1722" s="67">
        <f>ROUND(IF(P1722=0,0,I1722-H1722-O1722)+IF(L1722=0,0,I1722-H1722-K1722),4)</f>
        <v>0</v>
      </c>
      <c r="W1722" s="67">
        <f>ROUND(+(V1722*60%)*D1722,4)</f>
        <v>0</v>
      </c>
      <c r="X1722" s="148">
        <f>ROUND(+U1722+W1722,4)</f>
        <v>0</v>
      </c>
      <c r="Y1722" s="68"/>
      <c r="Z1722" s="148">
        <f>ROUND(IF(X1722&gt;I1722,X1722,I1722),4)</f>
        <v>0</v>
      </c>
      <c r="AD1722" s="78">
        <f t="shared" si="30"/>
        <v>0</v>
      </c>
      <c r="AE1722" s="78">
        <f t="shared" si="31"/>
        <v>0</v>
      </c>
    </row>
    <row r="1723" spans="1:31" x14ac:dyDescent="0.2">
      <c r="A1723" s="66"/>
      <c r="B1723" s="66"/>
      <c r="C1723" s="66"/>
      <c r="D1723" s="144"/>
      <c r="E1723" s="67"/>
      <c r="F1723" s="67"/>
      <c r="G1723" s="67"/>
      <c r="H1723" s="67">
        <f>ROUND(+E1723+G1723,4)</f>
        <v>0</v>
      </c>
      <c r="I1723" s="67"/>
      <c r="J1723" s="67">
        <f>ROUND(+I1723-H1723,4)</f>
        <v>0</v>
      </c>
      <c r="K1723" s="67">
        <f>ROUND(IF(F1723="alluminio",0,I1723*1.5%),4)</f>
        <v>0</v>
      </c>
      <c r="L1723" s="67">
        <f>ROUND(IF(K1723&lt;J1723,K1723,0),4)</f>
        <v>0</v>
      </c>
      <c r="M1723" s="67">
        <f>ROUND(IF(J1723&gt;K1723,0,J1723),4)</f>
        <v>0</v>
      </c>
      <c r="N1723" s="67">
        <f>ROUND(+L1723*D1723,4)</f>
        <v>0</v>
      </c>
      <c r="O1723" s="67">
        <f>ROUND(IF(F1723="rame",0,+I1723*3%),4)</f>
        <v>0</v>
      </c>
      <c r="P1723" s="67">
        <f>ROUND(IF(O1723&lt;J1723,O1723,0),4)</f>
        <v>0</v>
      </c>
      <c r="Q1723" s="67">
        <f>ROUND(IF(J1723&gt;O1723,0,J1723),4)</f>
        <v>0</v>
      </c>
      <c r="R1723" s="67">
        <f>ROUND(+P1723*D1723,4)</f>
        <v>0</v>
      </c>
      <c r="S1723" s="67">
        <f>ROUND(IF(K1723=0,0,M1723*D1723),4)</f>
        <v>0</v>
      </c>
      <c r="T1723" s="67">
        <f>ROUND(+IF(K1723=0,Q1723*D1723,0),4)</f>
        <v>0</v>
      </c>
      <c r="U1723" s="67">
        <f>ROUND(+N1723+R1723+S1723+T1723,4)</f>
        <v>0</v>
      </c>
      <c r="V1723" s="67">
        <f>ROUND(IF(P1723=0,0,I1723-H1723-O1723)+IF(L1723=0,0,I1723-H1723-K1723),4)</f>
        <v>0</v>
      </c>
      <c r="W1723" s="67">
        <f>ROUND(+(V1723*60%)*D1723,4)</f>
        <v>0</v>
      </c>
      <c r="X1723" s="148">
        <f>ROUND(+U1723+W1723,4)</f>
        <v>0</v>
      </c>
      <c r="Y1723" s="68"/>
      <c r="Z1723" s="148">
        <f>ROUND(IF(X1723&gt;I1723,X1723,I1723),4)</f>
        <v>0</v>
      </c>
      <c r="AD1723" s="78">
        <f t="shared" si="30"/>
        <v>0</v>
      </c>
      <c r="AE1723" s="78">
        <f t="shared" si="31"/>
        <v>0</v>
      </c>
    </row>
    <row r="1724" spans="1:31" x14ac:dyDescent="0.2">
      <c r="A1724" s="66"/>
      <c r="B1724" s="66"/>
      <c r="C1724" s="66"/>
      <c r="D1724" s="144"/>
      <c r="E1724" s="67"/>
      <c r="F1724" s="67"/>
      <c r="G1724" s="67"/>
      <c r="H1724" s="67">
        <f>ROUND(+E1724+G1724,4)</f>
        <v>0</v>
      </c>
      <c r="I1724" s="67"/>
      <c r="J1724" s="67">
        <f>ROUND(+I1724-H1724,4)</f>
        <v>0</v>
      </c>
      <c r="K1724" s="67">
        <f>ROUND(IF(F1724="alluminio",0,I1724*1.5%),4)</f>
        <v>0</v>
      </c>
      <c r="L1724" s="67">
        <f>ROUND(IF(K1724&lt;J1724,K1724,0),4)</f>
        <v>0</v>
      </c>
      <c r="M1724" s="67">
        <f>ROUND(IF(J1724&gt;K1724,0,J1724),4)</f>
        <v>0</v>
      </c>
      <c r="N1724" s="67">
        <f>ROUND(+L1724*D1724,4)</f>
        <v>0</v>
      </c>
      <c r="O1724" s="67">
        <f>ROUND(IF(F1724="rame",0,+I1724*3%),4)</f>
        <v>0</v>
      </c>
      <c r="P1724" s="67">
        <f>ROUND(IF(O1724&lt;J1724,O1724,0),4)</f>
        <v>0</v>
      </c>
      <c r="Q1724" s="67">
        <f>ROUND(IF(J1724&gt;O1724,0,J1724),4)</f>
        <v>0</v>
      </c>
      <c r="R1724" s="67">
        <f>ROUND(+P1724*D1724,4)</f>
        <v>0</v>
      </c>
      <c r="S1724" s="67">
        <f>ROUND(IF(K1724=0,0,M1724*D1724),4)</f>
        <v>0</v>
      </c>
      <c r="T1724" s="67">
        <f>ROUND(+IF(K1724=0,Q1724*D1724,0),4)</f>
        <v>0</v>
      </c>
      <c r="U1724" s="67">
        <f>ROUND(+N1724+R1724+S1724+T1724,4)</f>
        <v>0</v>
      </c>
      <c r="V1724" s="67">
        <f>ROUND(IF(P1724=0,0,I1724-H1724-O1724)+IF(L1724=0,0,I1724-H1724-K1724),4)</f>
        <v>0</v>
      </c>
      <c r="W1724" s="67">
        <f>ROUND(+(V1724*60%)*D1724,4)</f>
        <v>0</v>
      </c>
      <c r="X1724" s="148">
        <f>ROUND(+U1724+W1724,4)</f>
        <v>0</v>
      </c>
      <c r="Y1724" s="68"/>
      <c r="Z1724" s="148">
        <f>ROUND(IF(X1724&gt;I1724,X1724,I1724),4)</f>
        <v>0</v>
      </c>
      <c r="AD1724" s="78">
        <f t="shared" si="30"/>
        <v>0</v>
      </c>
      <c r="AE1724" s="78">
        <f t="shared" si="31"/>
        <v>0</v>
      </c>
    </row>
    <row r="1725" spans="1:31" x14ac:dyDescent="0.2">
      <c r="A1725" s="66"/>
      <c r="B1725" s="66"/>
      <c r="C1725" s="66"/>
      <c r="D1725" s="144"/>
      <c r="E1725" s="67"/>
      <c r="F1725" s="67"/>
      <c r="G1725" s="67"/>
      <c r="H1725" s="67">
        <f>ROUND(+E1725+G1725,4)</f>
        <v>0</v>
      </c>
      <c r="I1725" s="67"/>
      <c r="J1725" s="67">
        <f>ROUND(+I1725-H1725,4)</f>
        <v>0</v>
      </c>
      <c r="K1725" s="67">
        <f>ROUND(IF(F1725="alluminio",0,I1725*1.5%),4)</f>
        <v>0</v>
      </c>
      <c r="L1725" s="67">
        <f>ROUND(IF(K1725&lt;J1725,K1725,0),4)</f>
        <v>0</v>
      </c>
      <c r="M1725" s="67">
        <f>ROUND(IF(J1725&gt;K1725,0,J1725),4)</f>
        <v>0</v>
      </c>
      <c r="N1725" s="67">
        <f>ROUND(+L1725*D1725,4)</f>
        <v>0</v>
      </c>
      <c r="O1725" s="67">
        <f>ROUND(IF(F1725="rame",0,+I1725*3%),4)</f>
        <v>0</v>
      </c>
      <c r="P1725" s="67">
        <f>ROUND(IF(O1725&lt;J1725,O1725,0),4)</f>
        <v>0</v>
      </c>
      <c r="Q1725" s="67">
        <f>ROUND(IF(J1725&gt;O1725,0,J1725),4)</f>
        <v>0</v>
      </c>
      <c r="R1725" s="67">
        <f>ROUND(+P1725*D1725,4)</f>
        <v>0</v>
      </c>
      <c r="S1725" s="67">
        <f>ROUND(IF(K1725=0,0,M1725*D1725),4)</f>
        <v>0</v>
      </c>
      <c r="T1725" s="67">
        <f>ROUND(+IF(K1725=0,Q1725*D1725,0),4)</f>
        <v>0</v>
      </c>
      <c r="U1725" s="67">
        <f>ROUND(+N1725+R1725+S1725+T1725,4)</f>
        <v>0</v>
      </c>
      <c r="V1725" s="67">
        <f>ROUND(IF(P1725=0,0,I1725-H1725-O1725)+IF(L1725=0,0,I1725-H1725-K1725),4)</f>
        <v>0</v>
      </c>
      <c r="W1725" s="67">
        <f>ROUND(+(V1725*60%)*D1725,4)</f>
        <v>0</v>
      </c>
      <c r="X1725" s="148">
        <f>ROUND(+U1725+W1725,4)</f>
        <v>0</v>
      </c>
      <c r="Y1725" s="68"/>
      <c r="Z1725" s="148">
        <f>ROUND(IF(X1725&gt;I1725,X1725,I1725),4)</f>
        <v>0</v>
      </c>
      <c r="AD1725" s="78">
        <f t="shared" si="30"/>
        <v>0</v>
      </c>
      <c r="AE1725" s="78">
        <f t="shared" si="31"/>
        <v>0</v>
      </c>
    </row>
    <row r="1726" spans="1:31" x14ac:dyDescent="0.2">
      <c r="A1726" s="66"/>
      <c r="B1726" s="66"/>
      <c r="C1726" s="66"/>
      <c r="D1726" s="144"/>
      <c r="E1726" s="67"/>
      <c r="F1726" s="67"/>
      <c r="G1726" s="67"/>
      <c r="H1726" s="67">
        <f>ROUND(+E1726+G1726,4)</f>
        <v>0</v>
      </c>
      <c r="I1726" s="67"/>
      <c r="J1726" s="67">
        <f>ROUND(+I1726-H1726,4)</f>
        <v>0</v>
      </c>
      <c r="K1726" s="67">
        <f>ROUND(IF(F1726="alluminio",0,I1726*1.5%),4)</f>
        <v>0</v>
      </c>
      <c r="L1726" s="67">
        <f>ROUND(IF(K1726&lt;J1726,K1726,0),4)</f>
        <v>0</v>
      </c>
      <c r="M1726" s="67">
        <f>ROUND(IF(J1726&gt;K1726,0,J1726),4)</f>
        <v>0</v>
      </c>
      <c r="N1726" s="67">
        <f>ROUND(+L1726*D1726,4)</f>
        <v>0</v>
      </c>
      <c r="O1726" s="67">
        <f>ROUND(IF(F1726="rame",0,+I1726*3%),4)</f>
        <v>0</v>
      </c>
      <c r="P1726" s="67">
        <f>ROUND(IF(O1726&lt;J1726,O1726,0),4)</f>
        <v>0</v>
      </c>
      <c r="Q1726" s="67">
        <f>ROUND(IF(J1726&gt;O1726,0,J1726),4)</f>
        <v>0</v>
      </c>
      <c r="R1726" s="67">
        <f>ROUND(+P1726*D1726,4)</f>
        <v>0</v>
      </c>
      <c r="S1726" s="67">
        <f>ROUND(IF(K1726=0,0,M1726*D1726),4)</f>
        <v>0</v>
      </c>
      <c r="T1726" s="67">
        <f>ROUND(+IF(K1726=0,Q1726*D1726,0),4)</f>
        <v>0</v>
      </c>
      <c r="U1726" s="67">
        <f>ROUND(+N1726+R1726+S1726+T1726,4)</f>
        <v>0</v>
      </c>
      <c r="V1726" s="67">
        <f>ROUND(IF(P1726=0,0,I1726-H1726-O1726)+IF(L1726=0,0,I1726-H1726-K1726),4)</f>
        <v>0</v>
      </c>
      <c r="W1726" s="67">
        <f>ROUND(+(V1726*60%)*D1726,4)</f>
        <v>0</v>
      </c>
      <c r="X1726" s="148">
        <f>ROUND(+U1726+W1726,4)</f>
        <v>0</v>
      </c>
      <c r="Y1726" s="68"/>
      <c r="Z1726" s="148">
        <f>ROUND(IF(X1726&gt;I1726,X1726,I1726),4)</f>
        <v>0</v>
      </c>
      <c r="AD1726" s="78">
        <f t="shared" ref="AD1726:AD1789" si="32">IF(Y1726="",0,MONTH(Y1726))</f>
        <v>0</v>
      </c>
      <c r="AE1726" s="78">
        <f t="shared" ref="AE1726:AE1789" si="33">IF(Y1726="",0,YEAR(Y1726))</f>
        <v>0</v>
      </c>
    </row>
    <row r="1727" spans="1:31" x14ac:dyDescent="0.2">
      <c r="A1727" s="66"/>
      <c r="B1727" s="66"/>
      <c r="C1727" s="66"/>
      <c r="D1727" s="144"/>
      <c r="E1727" s="67"/>
      <c r="F1727" s="67"/>
      <c r="G1727" s="67"/>
      <c r="H1727" s="67">
        <f>ROUND(+E1727+G1727,4)</f>
        <v>0</v>
      </c>
      <c r="I1727" s="67"/>
      <c r="J1727" s="67">
        <f>ROUND(+I1727-H1727,4)</f>
        <v>0</v>
      </c>
      <c r="K1727" s="67">
        <f>ROUND(IF(F1727="alluminio",0,I1727*1.5%),4)</f>
        <v>0</v>
      </c>
      <c r="L1727" s="67">
        <f>ROUND(IF(K1727&lt;J1727,K1727,0),4)</f>
        <v>0</v>
      </c>
      <c r="M1727" s="67">
        <f>ROUND(IF(J1727&gt;K1727,0,J1727),4)</f>
        <v>0</v>
      </c>
      <c r="N1727" s="67">
        <f>ROUND(+L1727*D1727,4)</f>
        <v>0</v>
      </c>
      <c r="O1727" s="67">
        <f>ROUND(IF(F1727="rame",0,+I1727*3%),4)</f>
        <v>0</v>
      </c>
      <c r="P1727" s="67">
        <f>ROUND(IF(O1727&lt;J1727,O1727,0),4)</f>
        <v>0</v>
      </c>
      <c r="Q1727" s="67">
        <f>ROUND(IF(J1727&gt;O1727,0,J1727),4)</f>
        <v>0</v>
      </c>
      <c r="R1727" s="67">
        <f>ROUND(+P1727*D1727,4)</f>
        <v>0</v>
      </c>
      <c r="S1727" s="67">
        <f>ROUND(IF(K1727=0,0,M1727*D1727),4)</f>
        <v>0</v>
      </c>
      <c r="T1727" s="67">
        <f>ROUND(+IF(K1727=0,Q1727*D1727,0),4)</f>
        <v>0</v>
      </c>
      <c r="U1727" s="67">
        <f>ROUND(+N1727+R1727+S1727+T1727,4)</f>
        <v>0</v>
      </c>
      <c r="V1727" s="67">
        <f>ROUND(IF(P1727=0,0,I1727-H1727-O1727)+IF(L1727=0,0,I1727-H1727-K1727),4)</f>
        <v>0</v>
      </c>
      <c r="W1727" s="67">
        <f>ROUND(+(V1727*60%)*D1727,4)</f>
        <v>0</v>
      </c>
      <c r="X1727" s="148">
        <f>ROUND(+U1727+W1727,4)</f>
        <v>0</v>
      </c>
      <c r="Y1727" s="68"/>
      <c r="Z1727" s="148">
        <f>ROUND(IF(X1727&gt;I1727,X1727,I1727),4)</f>
        <v>0</v>
      </c>
      <c r="AD1727" s="78">
        <f t="shared" si="32"/>
        <v>0</v>
      </c>
      <c r="AE1727" s="78">
        <f t="shared" si="33"/>
        <v>0</v>
      </c>
    </row>
    <row r="1728" spans="1:31" x14ac:dyDescent="0.2">
      <c r="A1728" s="66"/>
      <c r="B1728" s="66"/>
      <c r="C1728" s="66"/>
      <c r="D1728" s="144"/>
      <c r="E1728" s="67"/>
      <c r="F1728" s="67"/>
      <c r="G1728" s="67"/>
      <c r="H1728" s="67">
        <f>ROUND(+E1728+G1728,4)</f>
        <v>0</v>
      </c>
      <c r="I1728" s="67"/>
      <c r="J1728" s="67">
        <f>ROUND(+I1728-H1728,4)</f>
        <v>0</v>
      </c>
      <c r="K1728" s="67">
        <f>ROUND(IF(F1728="alluminio",0,I1728*1.5%),4)</f>
        <v>0</v>
      </c>
      <c r="L1728" s="67">
        <f>ROUND(IF(K1728&lt;J1728,K1728,0),4)</f>
        <v>0</v>
      </c>
      <c r="M1728" s="67">
        <f>ROUND(IF(J1728&gt;K1728,0,J1728),4)</f>
        <v>0</v>
      </c>
      <c r="N1728" s="67">
        <f>ROUND(+L1728*D1728,4)</f>
        <v>0</v>
      </c>
      <c r="O1728" s="67">
        <f>ROUND(IF(F1728="rame",0,+I1728*3%),4)</f>
        <v>0</v>
      </c>
      <c r="P1728" s="67">
        <f>ROUND(IF(O1728&lt;J1728,O1728,0),4)</f>
        <v>0</v>
      </c>
      <c r="Q1728" s="67">
        <f>ROUND(IF(J1728&gt;O1728,0,J1728),4)</f>
        <v>0</v>
      </c>
      <c r="R1728" s="67">
        <f>ROUND(+P1728*D1728,4)</f>
        <v>0</v>
      </c>
      <c r="S1728" s="67">
        <f>ROUND(IF(K1728=0,0,M1728*D1728),4)</f>
        <v>0</v>
      </c>
      <c r="T1728" s="67">
        <f>ROUND(+IF(K1728=0,Q1728*D1728,0),4)</f>
        <v>0</v>
      </c>
      <c r="U1728" s="67">
        <f>ROUND(+N1728+R1728+S1728+T1728,4)</f>
        <v>0</v>
      </c>
      <c r="V1728" s="67">
        <f>ROUND(IF(P1728=0,0,I1728-H1728-O1728)+IF(L1728=0,0,I1728-H1728-K1728),4)</f>
        <v>0</v>
      </c>
      <c r="W1728" s="67">
        <f>ROUND(+(V1728*60%)*D1728,4)</f>
        <v>0</v>
      </c>
      <c r="X1728" s="148">
        <f>ROUND(+U1728+W1728,4)</f>
        <v>0</v>
      </c>
      <c r="Y1728" s="68"/>
      <c r="Z1728" s="148">
        <f>ROUND(IF(X1728&gt;I1728,X1728,I1728),4)</f>
        <v>0</v>
      </c>
      <c r="AD1728" s="78">
        <f t="shared" si="32"/>
        <v>0</v>
      </c>
      <c r="AE1728" s="78">
        <f t="shared" si="33"/>
        <v>0</v>
      </c>
    </row>
    <row r="1729" spans="1:31" x14ac:dyDescent="0.2">
      <c r="A1729" s="66"/>
      <c r="B1729" s="66"/>
      <c r="C1729" s="66"/>
      <c r="D1729" s="144"/>
      <c r="E1729" s="67"/>
      <c r="F1729" s="67"/>
      <c r="G1729" s="67"/>
      <c r="H1729" s="67">
        <f>ROUND(+E1729+G1729,4)</f>
        <v>0</v>
      </c>
      <c r="I1729" s="67"/>
      <c r="J1729" s="67">
        <f>ROUND(+I1729-H1729,4)</f>
        <v>0</v>
      </c>
      <c r="K1729" s="67">
        <f>ROUND(IF(F1729="alluminio",0,I1729*1.5%),4)</f>
        <v>0</v>
      </c>
      <c r="L1729" s="67">
        <f>ROUND(IF(K1729&lt;J1729,K1729,0),4)</f>
        <v>0</v>
      </c>
      <c r="M1729" s="67">
        <f>ROUND(IF(J1729&gt;K1729,0,J1729),4)</f>
        <v>0</v>
      </c>
      <c r="N1729" s="67">
        <f>ROUND(+L1729*D1729,4)</f>
        <v>0</v>
      </c>
      <c r="O1729" s="67">
        <f>ROUND(IF(F1729="rame",0,+I1729*3%),4)</f>
        <v>0</v>
      </c>
      <c r="P1729" s="67">
        <f>ROUND(IF(O1729&lt;J1729,O1729,0),4)</f>
        <v>0</v>
      </c>
      <c r="Q1729" s="67">
        <f>ROUND(IF(J1729&gt;O1729,0,J1729),4)</f>
        <v>0</v>
      </c>
      <c r="R1729" s="67">
        <f>ROUND(+P1729*D1729,4)</f>
        <v>0</v>
      </c>
      <c r="S1729" s="67">
        <f>ROUND(IF(K1729=0,0,M1729*D1729),4)</f>
        <v>0</v>
      </c>
      <c r="T1729" s="67">
        <f>ROUND(+IF(K1729=0,Q1729*D1729,0),4)</f>
        <v>0</v>
      </c>
      <c r="U1729" s="67">
        <f>ROUND(+N1729+R1729+S1729+T1729,4)</f>
        <v>0</v>
      </c>
      <c r="V1729" s="67">
        <f>ROUND(IF(P1729=0,0,I1729-H1729-O1729)+IF(L1729=0,0,I1729-H1729-K1729),4)</f>
        <v>0</v>
      </c>
      <c r="W1729" s="67">
        <f>ROUND(+(V1729*60%)*D1729,4)</f>
        <v>0</v>
      </c>
      <c r="X1729" s="148">
        <f>ROUND(+U1729+W1729,4)</f>
        <v>0</v>
      </c>
      <c r="Y1729" s="68"/>
      <c r="Z1729" s="148">
        <f>ROUND(IF(X1729&gt;I1729,X1729,I1729),4)</f>
        <v>0</v>
      </c>
      <c r="AD1729" s="78">
        <f t="shared" si="32"/>
        <v>0</v>
      </c>
      <c r="AE1729" s="78">
        <f t="shared" si="33"/>
        <v>0</v>
      </c>
    </row>
    <row r="1730" spans="1:31" x14ac:dyDescent="0.2">
      <c r="A1730" s="66"/>
      <c r="B1730" s="66"/>
      <c r="C1730" s="66"/>
      <c r="D1730" s="144"/>
      <c r="E1730" s="67"/>
      <c r="F1730" s="67"/>
      <c r="G1730" s="67"/>
      <c r="H1730" s="67">
        <f>ROUND(+E1730+G1730,4)</f>
        <v>0</v>
      </c>
      <c r="I1730" s="67"/>
      <c r="J1730" s="67">
        <f>ROUND(+I1730-H1730,4)</f>
        <v>0</v>
      </c>
      <c r="K1730" s="67">
        <f>ROUND(IF(F1730="alluminio",0,I1730*1.5%),4)</f>
        <v>0</v>
      </c>
      <c r="L1730" s="67">
        <f>ROUND(IF(K1730&lt;J1730,K1730,0),4)</f>
        <v>0</v>
      </c>
      <c r="M1730" s="67">
        <f>ROUND(IF(J1730&gt;K1730,0,J1730),4)</f>
        <v>0</v>
      </c>
      <c r="N1730" s="67">
        <f>ROUND(+L1730*D1730,4)</f>
        <v>0</v>
      </c>
      <c r="O1730" s="67">
        <f>ROUND(IF(F1730="rame",0,+I1730*3%),4)</f>
        <v>0</v>
      </c>
      <c r="P1730" s="67">
        <f>ROUND(IF(O1730&lt;J1730,O1730,0),4)</f>
        <v>0</v>
      </c>
      <c r="Q1730" s="67">
        <f>ROUND(IF(J1730&gt;O1730,0,J1730),4)</f>
        <v>0</v>
      </c>
      <c r="R1730" s="67">
        <f>ROUND(+P1730*D1730,4)</f>
        <v>0</v>
      </c>
      <c r="S1730" s="67">
        <f>ROUND(IF(K1730=0,0,M1730*D1730),4)</f>
        <v>0</v>
      </c>
      <c r="T1730" s="67">
        <f>ROUND(+IF(K1730=0,Q1730*D1730,0),4)</f>
        <v>0</v>
      </c>
      <c r="U1730" s="67">
        <f>ROUND(+N1730+R1730+S1730+T1730,4)</f>
        <v>0</v>
      </c>
      <c r="V1730" s="67">
        <f>ROUND(IF(P1730=0,0,I1730-H1730-O1730)+IF(L1730=0,0,I1730-H1730-K1730),4)</f>
        <v>0</v>
      </c>
      <c r="W1730" s="67">
        <f>ROUND(+(V1730*60%)*D1730,4)</f>
        <v>0</v>
      </c>
      <c r="X1730" s="148">
        <f>ROUND(+U1730+W1730,4)</f>
        <v>0</v>
      </c>
      <c r="Y1730" s="68"/>
      <c r="Z1730" s="148">
        <f>ROUND(IF(X1730&gt;I1730,X1730,I1730),4)</f>
        <v>0</v>
      </c>
      <c r="AD1730" s="78">
        <f t="shared" si="32"/>
        <v>0</v>
      </c>
      <c r="AE1730" s="78">
        <f t="shared" si="33"/>
        <v>0</v>
      </c>
    </row>
    <row r="1731" spans="1:31" x14ac:dyDescent="0.2">
      <c r="A1731" s="66"/>
      <c r="B1731" s="66"/>
      <c r="C1731" s="66"/>
      <c r="D1731" s="144"/>
      <c r="E1731" s="67"/>
      <c r="F1731" s="67"/>
      <c r="G1731" s="67"/>
      <c r="H1731" s="67">
        <f>ROUND(+E1731+G1731,4)</f>
        <v>0</v>
      </c>
      <c r="I1731" s="67"/>
      <c r="J1731" s="67">
        <f>ROUND(+I1731-H1731,4)</f>
        <v>0</v>
      </c>
      <c r="K1731" s="67">
        <f>ROUND(IF(F1731="alluminio",0,I1731*1.5%),4)</f>
        <v>0</v>
      </c>
      <c r="L1731" s="67">
        <f>ROUND(IF(K1731&lt;J1731,K1731,0),4)</f>
        <v>0</v>
      </c>
      <c r="M1731" s="67">
        <f>ROUND(IF(J1731&gt;K1731,0,J1731),4)</f>
        <v>0</v>
      </c>
      <c r="N1731" s="67">
        <f>ROUND(+L1731*D1731,4)</f>
        <v>0</v>
      </c>
      <c r="O1731" s="67">
        <f>ROUND(IF(F1731="rame",0,+I1731*3%),4)</f>
        <v>0</v>
      </c>
      <c r="P1731" s="67">
        <f>ROUND(IF(O1731&lt;J1731,O1731,0),4)</f>
        <v>0</v>
      </c>
      <c r="Q1731" s="67">
        <f>ROUND(IF(J1731&gt;O1731,0,J1731),4)</f>
        <v>0</v>
      </c>
      <c r="R1731" s="67">
        <f>ROUND(+P1731*D1731,4)</f>
        <v>0</v>
      </c>
      <c r="S1731" s="67">
        <f>ROUND(IF(K1731=0,0,M1731*D1731),4)</f>
        <v>0</v>
      </c>
      <c r="T1731" s="67">
        <f>ROUND(+IF(K1731=0,Q1731*D1731,0),4)</f>
        <v>0</v>
      </c>
      <c r="U1731" s="67">
        <f>ROUND(+N1731+R1731+S1731+T1731,4)</f>
        <v>0</v>
      </c>
      <c r="V1731" s="67">
        <f>ROUND(IF(P1731=0,0,I1731-H1731-O1731)+IF(L1731=0,0,I1731-H1731-K1731),4)</f>
        <v>0</v>
      </c>
      <c r="W1731" s="67">
        <f>ROUND(+(V1731*60%)*D1731,4)</f>
        <v>0</v>
      </c>
      <c r="X1731" s="148">
        <f>ROUND(+U1731+W1731,4)</f>
        <v>0</v>
      </c>
      <c r="Y1731" s="68"/>
      <c r="Z1731" s="148">
        <f>ROUND(IF(X1731&gt;I1731,X1731,I1731),4)</f>
        <v>0</v>
      </c>
      <c r="AD1731" s="78">
        <f t="shared" si="32"/>
        <v>0</v>
      </c>
      <c r="AE1731" s="78">
        <f t="shared" si="33"/>
        <v>0</v>
      </c>
    </row>
    <row r="1732" spans="1:31" x14ac:dyDescent="0.2">
      <c r="A1732" s="66"/>
      <c r="B1732" s="66"/>
      <c r="C1732" s="66"/>
      <c r="D1732" s="144"/>
      <c r="E1732" s="67"/>
      <c r="F1732" s="67"/>
      <c r="G1732" s="67"/>
      <c r="H1732" s="67">
        <f>ROUND(+E1732+G1732,4)</f>
        <v>0</v>
      </c>
      <c r="I1732" s="67"/>
      <c r="J1732" s="67">
        <f>ROUND(+I1732-H1732,4)</f>
        <v>0</v>
      </c>
      <c r="K1732" s="67">
        <f>ROUND(IF(F1732="alluminio",0,I1732*1.5%),4)</f>
        <v>0</v>
      </c>
      <c r="L1732" s="67">
        <f>ROUND(IF(K1732&lt;J1732,K1732,0),4)</f>
        <v>0</v>
      </c>
      <c r="M1732" s="67">
        <f>ROUND(IF(J1732&gt;K1732,0,J1732),4)</f>
        <v>0</v>
      </c>
      <c r="N1732" s="67">
        <f>ROUND(+L1732*D1732,4)</f>
        <v>0</v>
      </c>
      <c r="O1732" s="67">
        <f>ROUND(IF(F1732="rame",0,+I1732*3%),4)</f>
        <v>0</v>
      </c>
      <c r="P1732" s="67">
        <f>ROUND(IF(O1732&lt;J1732,O1732,0),4)</f>
        <v>0</v>
      </c>
      <c r="Q1732" s="67">
        <f>ROUND(IF(J1732&gt;O1732,0,J1732),4)</f>
        <v>0</v>
      </c>
      <c r="R1732" s="67">
        <f>ROUND(+P1732*D1732,4)</f>
        <v>0</v>
      </c>
      <c r="S1732" s="67">
        <f>ROUND(IF(K1732=0,0,M1732*D1732),4)</f>
        <v>0</v>
      </c>
      <c r="T1732" s="67">
        <f>ROUND(+IF(K1732=0,Q1732*D1732,0),4)</f>
        <v>0</v>
      </c>
      <c r="U1732" s="67">
        <f>ROUND(+N1732+R1732+S1732+T1732,4)</f>
        <v>0</v>
      </c>
      <c r="V1732" s="67">
        <f>ROUND(IF(P1732=0,0,I1732-H1732-O1732)+IF(L1732=0,0,I1732-H1732-K1732),4)</f>
        <v>0</v>
      </c>
      <c r="W1732" s="67">
        <f>ROUND(+(V1732*60%)*D1732,4)</f>
        <v>0</v>
      </c>
      <c r="X1732" s="148">
        <f>ROUND(+U1732+W1732,4)</f>
        <v>0</v>
      </c>
      <c r="Y1732" s="68"/>
      <c r="Z1732" s="148">
        <f>ROUND(IF(X1732&gt;I1732,X1732,I1732),4)</f>
        <v>0</v>
      </c>
      <c r="AD1732" s="78">
        <f t="shared" si="32"/>
        <v>0</v>
      </c>
      <c r="AE1732" s="78">
        <f t="shared" si="33"/>
        <v>0</v>
      </c>
    </row>
    <row r="1733" spans="1:31" x14ac:dyDescent="0.2">
      <c r="A1733" s="66"/>
      <c r="B1733" s="66"/>
      <c r="C1733" s="66"/>
      <c r="D1733" s="144"/>
      <c r="E1733" s="67"/>
      <c r="F1733" s="67"/>
      <c r="G1733" s="67"/>
      <c r="H1733" s="67">
        <f>ROUND(+E1733+G1733,4)</f>
        <v>0</v>
      </c>
      <c r="I1733" s="67"/>
      <c r="J1733" s="67">
        <f>ROUND(+I1733-H1733,4)</f>
        <v>0</v>
      </c>
      <c r="K1733" s="67">
        <f>ROUND(IF(F1733="alluminio",0,I1733*1.5%),4)</f>
        <v>0</v>
      </c>
      <c r="L1733" s="67">
        <f>ROUND(IF(K1733&lt;J1733,K1733,0),4)</f>
        <v>0</v>
      </c>
      <c r="M1733" s="67">
        <f>ROUND(IF(J1733&gt;K1733,0,J1733),4)</f>
        <v>0</v>
      </c>
      <c r="N1733" s="67">
        <f>ROUND(+L1733*D1733,4)</f>
        <v>0</v>
      </c>
      <c r="O1733" s="67">
        <f>ROUND(IF(F1733="rame",0,+I1733*3%),4)</f>
        <v>0</v>
      </c>
      <c r="P1733" s="67">
        <f>ROUND(IF(O1733&lt;J1733,O1733,0),4)</f>
        <v>0</v>
      </c>
      <c r="Q1733" s="67">
        <f>ROUND(IF(J1733&gt;O1733,0,J1733),4)</f>
        <v>0</v>
      </c>
      <c r="R1733" s="67">
        <f>ROUND(+P1733*D1733,4)</f>
        <v>0</v>
      </c>
      <c r="S1733" s="67">
        <f>ROUND(IF(K1733=0,0,M1733*D1733),4)</f>
        <v>0</v>
      </c>
      <c r="T1733" s="67">
        <f>ROUND(+IF(K1733=0,Q1733*D1733,0),4)</f>
        <v>0</v>
      </c>
      <c r="U1733" s="67">
        <f>ROUND(+N1733+R1733+S1733+T1733,4)</f>
        <v>0</v>
      </c>
      <c r="V1733" s="67">
        <f>ROUND(IF(P1733=0,0,I1733-H1733-O1733)+IF(L1733=0,0,I1733-H1733-K1733),4)</f>
        <v>0</v>
      </c>
      <c r="W1733" s="67">
        <f>ROUND(+(V1733*60%)*D1733,4)</f>
        <v>0</v>
      </c>
      <c r="X1733" s="148">
        <f>ROUND(+U1733+W1733,4)</f>
        <v>0</v>
      </c>
      <c r="Y1733" s="68"/>
      <c r="Z1733" s="148">
        <f>ROUND(IF(X1733&gt;I1733,X1733,I1733),4)</f>
        <v>0</v>
      </c>
      <c r="AD1733" s="78">
        <f t="shared" si="32"/>
        <v>0</v>
      </c>
      <c r="AE1733" s="78">
        <f t="shared" si="33"/>
        <v>0</v>
      </c>
    </row>
    <row r="1734" spans="1:31" x14ac:dyDescent="0.2">
      <c r="A1734" s="66"/>
      <c r="B1734" s="66"/>
      <c r="C1734" s="66"/>
      <c r="D1734" s="144"/>
      <c r="E1734" s="67"/>
      <c r="F1734" s="67"/>
      <c r="G1734" s="67"/>
      <c r="H1734" s="67">
        <f>ROUND(+E1734+G1734,4)</f>
        <v>0</v>
      </c>
      <c r="I1734" s="67"/>
      <c r="J1734" s="67">
        <f>ROUND(+I1734-H1734,4)</f>
        <v>0</v>
      </c>
      <c r="K1734" s="67">
        <f>ROUND(IF(F1734="alluminio",0,I1734*1.5%),4)</f>
        <v>0</v>
      </c>
      <c r="L1734" s="67">
        <f>ROUND(IF(K1734&lt;J1734,K1734,0),4)</f>
        <v>0</v>
      </c>
      <c r="M1734" s="67">
        <f>ROUND(IF(J1734&gt;K1734,0,J1734),4)</f>
        <v>0</v>
      </c>
      <c r="N1734" s="67">
        <f>ROUND(+L1734*D1734,4)</f>
        <v>0</v>
      </c>
      <c r="O1734" s="67">
        <f>ROUND(IF(F1734="rame",0,+I1734*3%),4)</f>
        <v>0</v>
      </c>
      <c r="P1734" s="67">
        <f>ROUND(IF(O1734&lt;J1734,O1734,0),4)</f>
        <v>0</v>
      </c>
      <c r="Q1734" s="67">
        <f>ROUND(IF(J1734&gt;O1734,0,J1734),4)</f>
        <v>0</v>
      </c>
      <c r="R1734" s="67">
        <f>ROUND(+P1734*D1734,4)</f>
        <v>0</v>
      </c>
      <c r="S1734" s="67">
        <f>ROUND(IF(K1734=0,0,M1734*D1734),4)</f>
        <v>0</v>
      </c>
      <c r="T1734" s="67">
        <f>ROUND(+IF(K1734=0,Q1734*D1734,0),4)</f>
        <v>0</v>
      </c>
      <c r="U1734" s="67">
        <f>ROUND(+N1734+R1734+S1734+T1734,4)</f>
        <v>0</v>
      </c>
      <c r="V1734" s="67">
        <f>ROUND(IF(P1734=0,0,I1734-H1734-O1734)+IF(L1734=0,0,I1734-H1734-K1734),4)</f>
        <v>0</v>
      </c>
      <c r="W1734" s="67">
        <f>ROUND(+(V1734*60%)*D1734,4)</f>
        <v>0</v>
      </c>
      <c r="X1734" s="148">
        <f>ROUND(+U1734+W1734,4)</f>
        <v>0</v>
      </c>
      <c r="Y1734" s="68"/>
      <c r="Z1734" s="148">
        <f>ROUND(IF(X1734&gt;I1734,X1734,I1734),4)</f>
        <v>0</v>
      </c>
      <c r="AD1734" s="78">
        <f t="shared" si="32"/>
        <v>0</v>
      </c>
      <c r="AE1734" s="78">
        <f t="shared" si="33"/>
        <v>0</v>
      </c>
    </row>
    <row r="1735" spans="1:31" x14ac:dyDescent="0.2">
      <c r="A1735" s="66"/>
      <c r="B1735" s="66"/>
      <c r="C1735" s="66"/>
      <c r="D1735" s="144"/>
      <c r="E1735" s="67"/>
      <c r="F1735" s="67"/>
      <c r="G1735" s="67"/>
      <c r="H1735" s="67">
        <f>ROUND(+E1735+G1735,4)</f>
        <v>0</v>
      </c>
      <c r="I1735" s="67"/>
      <c r="J1735" s="67">
        <f>ROUND(+I1735-H1735,4)</f>
        <v>0</v>
      </c>
      <c r="K1735" s="67">
        <f>ROUND(IF(F1735="alluminio",0,I1735*1.5%),4)</f>
        <v>0</v>
      </c>
      <c r="L1735" s="67">
        <f>ROUND(IF(K1735&lt;J1735,K1735,0),4)</f>
        <v>0</v>
      </c>
      <c r="M1735" s="67">
        <f>ROUND(IF(J1735&gt;K1735,0,J1735),4)</f>
        <v>0</v>
      </c>
      <c r="N1735" s="67">
        <f>ROUND(+L1735*D1735,4)</f>
        <v>0</v>
      </c>
      <c r="O1735" s="67">
        <f>ROUND(IF(F1735="rame",0,+I1735*3%),4)</f>
        <v>0</v>
      </c>
      <c r="P1735" s="67">
        <f>ROUND(IF(O1735&lt;J1735,O1735,0),4)</f>
        <v>0</v>
      </c>
      <c r="Q1735" s="67">
        <f>ROUND(IF(J1735&gt;O1735,0,J1735),4)</f>
        <v>0</v>
      </c>
      <c r="R1735" s="67">
        <f>ROUND(+P1735*D1735,4)</f>
        <v>0</v>
      </c>
      <c r="S1735" s="67">
        <f>ROUND(IF(K1735=0,0,M1735*D1735),4)</f>
        <v>0</v>
      </c>
      <c r="T1735" s="67">
        <f>ROUND(+IF(K1735=0,Q1735*D1735,0),4)</f>
        <v>0</v>
      </c>
      <c r="U1735" s="67">
        <f>ROUND(+N1735+R1735+S1735+T1735,4)</f>
        <v>0</v>
      </c>
      <c r="V1735" s="67">
        <f>ROUND(IF(P1735=0,0,I1735-H1735-O1735)+IF(L1735=0,0,I1735-H1735-K1735),4)</f>
        <v>0</v>
      </c>
      <c r="W1735" s="67">
        <f>ROUND(+(V1735*60%)*D1735,4)</f>
        <v>0</v>
      </c>
      <c r="X1735" s="148">
        <f>ROUND(+U1735+W1735,4)</f>
        <v>0</v>
      </c>
      <c r="Y1735" s="68"/>
      <c r="Z1735" s="148">
        <f>ROUND(IF(X1735&gt;I1735,X1735,I1735),4)</f>
        <v>0</v>
      </c>
      <c r="AD1735" s="78">
        <f t="shared" si="32"/>
        <v>0</v>
      </c>
      <c r="AE1735" s="78">
        <f t="shared" si="33"/>
        <v>0</v>
      </c>
    </row>
    <row r="1736" spans="1:31" x14ac:dyDescent="0.2">
      <c r="A1736" s="66"/>
      <c r="B1736" s="66"/>
      <c r="C1736" s="66"/>
      <c r="D1736" s="144"/>
      <c r="E1736" s="67"/>
      <c r="F1736" s="67"/>
      <c r="G1736" s="67"/>
      <c r="H1736" s="67">
        <f>ROUND(+E1736+G1736,4)</f>
        <v>0</v>
      </c>
      <c r="I1736" s="67"/>
      <c r="J1736" s="67">
        <f>ROUND(+I1736-H1736,4)</f>
        <v>0</v>
      </c>
      <c r="K1736" s="67">
        <f>ROUND(IF(F1736="alluminio",0,I1736*1.5%),4)</f>
        <v>0</v>
      </c>
      <c r="L1736" s="67">
        <f>ROUND(IF(K1736&lt;J1736,K1736,0),4)</f>
        <v>0</v>
      </c>
      <c r="M1736" s="67">
        <f>ROUND(IF(J1736&gt;K1736,0,J1736),4)</f>
        <v>0</v>
      </c>
      <c r="N1736" s="67">
        <f>ROUND(+L1736*D1736,4)</f>
        <v>0</v>
      </c>
      <c r="O1736" s="67">
        <f>ROUND(IF(F1736="rame",0,+I1736*3%),4)</f>
        <v>0</v>
      </c>
      <c r="P1736" s="67">
        <f>ROUND(IF(O1736&lt;J1736,O1736,0),4)</f>
        <v>0</v>
      </c>
      <c r="Q1736" s="67">
        <f>ROUND(IF(J1736&gt;O1736,0,J1736),4)</f>
        <v>0</v>
      </c>
      <c r="R1736" s="67">
        <f>ROUND(+P1736*D1736,4)</f>
        <v>0</v>
      </c>
      <c r="S1736" s="67">
        <f>ROUND(IF(K1736=0,0,M1736*D1736),4)</f>
        <v>0</v>
      </c>
      <c r="T1736" s="67">
        <f>ROUND(+IF(K1736=0,Q1736*D1736,0),4)</f>
        <v>0</v>
      </c>
      <c r="U1736" s="67">
        <f>ROUND(+N1736+R1736+S1736+T1736,4)</f>
        <v>0</v>
      </c>
      <c r="V1736" s="67">
        <f>ROUND(IF(P1736=0,0,I1736-H1736-O1736)+IF(L1736=0,0,I1736-H1736-K1736),4)</f>
        <v>0</v>
      </c>
      <c r="W1736" s="67">
        <f>ROUND(+(V1736*60%)*D1736,4)</f>
        <v>0</v>
      </c>
      <c r="X1736" s="148">
        <f>ROUND(+U1736+W1736,4)</f>
        <v>0</v>
      </c>
      <c r="Y1736" s="68"/>
      <c r="Z1736" s="148">
        <f>ROUND(IF(X1736&gt;I1736,X1736,I1736),4)</f>
        <v>0</v>
      </c>
      <c r="AD1736" s="78">
        <f t="shared" si="32"/>
        <v>0</v>
      </c>
      <c r="AE1736" s="78">
        <f t="shared" si="33"/>
        <v>0</v>
      </c>
    </row>
    <row r="1737" spans="1:31" x14ac:dyDescent="0.2">
      <c r="A1737" s="66"/>
      <c r="B1737" s="66"/>
      <c r="C1737" s="66"/>
      <c r="D1737" s="144"/>
      <c r="E1737" s="67"/>
      <c r="F1737" s="67"/>
      <c r="G1737" s="67"/>
      <c r="H1737" s="67">
        <f>ROUND(+E1737+G1737,4)</f>
        <v>0</v>
      </c>
      <c r="I1737" s="67"/>
      <c r="J1737" s="67">
        <f>ROUND(+I1737-H1737,4)</f>
        <v>0</v>
      </c>
      <c r="K1737" s="67">
        <f>ROUND(IF(F1737="alluminio",0,I1737*1.5%),4)</f>
        <v>0</v>
      </c>
      <c r="L1737" s="67">
        <f>ROUND(IF(K1737&lt;J1737,K1737,0),4)</f>
        <v>0</v>
      </c>
      <c r="M1737" s="67">
        <f>ROUND(IF(J1737&gt;K1737,0,J1737),4)</f>
        <v>0</v>
      </c>
      <c r="N1737" s="67">
        <f>ROUND(+L1737*D1737,4)</f>
        <v>0</v>
      </c>
      <c r="O1737" s="67">
        <f>ROUND(IF(F1737="rame",0,+I1737*3%),4)</f>
        <v>0</v>
      </c>
      <c r="P1737" s="67">
        <f>ROUND(IF(O1737&lt;J1737,O1737,0),4)</f>
        <v>0</v>
      </c>
      <c r="Q1737" s="67">
        <f>ROUND(IF(J1737&gt;O1737,0,J1737),4)</f>
        <v>0</v>
      </c>
      <c r="R1737" s="67">
        <f>ROUND(+P1737*D1737,4)</f>
        <v>0</v>
      </c>
      <c r="S1737" s="67">
        <f>ROUND(IF(K1737=0,0,M1737*D1737),4)</f>
        <v>0</v>
      </c>
      <c r="T1737" s="67">
        <f>ROUND(+IF(K1737=0,Q1737*D1737,0),4)</f>
        <v>0</v>
      </c>
      <c r="U1737" s="67">
        <f>ROUND(+N1737+R1737+S1737+T1737,4)</f>
        <v>0</v>
      </c>
      <c r="V1737" s="67">
        <f>ROUND(IF(P1737=0,0,I1737-H1737-O1737)+IF(L1737=0,0,I1737-H1737-K1737),4)</f>
        <v>0</v>
      </c>
      <c r="W1737" s="67">
        <f>ROUND(+(V1737*60%)*D1737,4)</f>
        <v>0</v>
      </c>
      <c r="X1737" s="148">
        <f>ROUND(+U1737+W1737,4)</f>
        <v>0</v>
      </c>
      <c r="Y1737" s="68"/>
      <c r="Z1737" s="148">
        <f>ROUND(IF(X1737&gt;I1737,X1737,I1737),4)</f>
        <v>0</v>
      </c>
      <c r="AD1737" s="78">
        <f t="shared" si="32"/>
        <v>0</v>
      </c>
      <c r="AE1737" s="78">
        <f t="shared" si="33"/>
        <v>0</v>
      </c>
    </row>
    <row r="1738" spans="1:31" x14ac:dyDescent="0.2">
      <c r="A1738" s="66"/>
      <c r="B1738" s="66"/>
      <c r="C1738" s="66"/>
      <c r="D1738" s="144"/>
      <c r="E1738" s="67"/>
      <c r="F1738" s="67"/>
      <c r="G1738" s="67"/>
      <c r="H1738" s="67">
        <f>ROUND(+E1738+G1738,4)</f>
        <v>0</v>
      </c>
      <c r="I1738" s="67"/>
      <c r="J1738" s="67">
        <f>ROUND(+I1738-H1738,4)</f>
        <v>0</v>
      </c>
      <c r="K1738" s="67">
        <f>ROUND(IF(F1738="alluminio",0,I1738*1.5%),4)</f>
        <v>0</v>
      </c>
      <c r="L1738" s="67">
        <f>ROUND(IF(K1738&lt;J1738,K1738,0),4)</f>
        <v>0</v>
      </c>
      <c r="M1738" s="67">
        <f>ROUND(IF(J1738&gt;K1738,0,J1738),4)</f>
        <v>0</v>
      </c>
      <c r="N1738" s="67">
        <f>ROUND(+L1738*D1738,4)</f>
        <v>0</v>
      </c>
      <c r="O1738" s="67">
        <f>ROUND(IF(F1738="rame",0,+I1738*3%),4)</f>
        <v>0</v>
      </c>
      <c r="P1738" s="67">
        <f>ROUND(IF(O1738&lt;J1738,O1738,0),4)</f>
        <v>0</v>
      </c>
      <c r="Q1738" s="67">
        <f>ROUND(IF(J1738&gt;O1738,0,J1738),4)</f>
        <v>0</v>
      </c>
      <c r="R1738" s="67">
        <f>ROUND(+P1738*D1738,4)</f>
        <v>0</v>
      </c>
      <c r="S1738" s="67">
        <f>ROUND(IF(K1738=0,0,M1738*D1738),4)</f>
        <v>0</v>
      </c>
      <c r="T1738" s="67">
        <f>ROUND(+IF(K1738=0,Q1738*D1738,0),4)</f>
        <v>0</v>
      </c>
      <c r="U1738" s="67">
        <f>ROUND(+N1738+R1738+S1738+T1738,4)</f>
        <v>0</v>
      </c>
      <c r="V1738" s="67">
        <f>ROUND(IF(P1738=0,0,I1738-H1738-O1738)+IF(L1738=0,0,I1738-H1738-K1738),4)</f>
        <v>0</v>
      </c>
      <c r="W1738" s="67">
        <f>ROUND(+(V1738*60%)*D1738,4)</f>
        <v>0</v>
      </c>
      <c r="X1738" s="148">
        <f>ROUND(+U1738+W1738,4)</f>
        <v>0</v>
      </c>
      <c r="Y1738" s="68"/>
      <c r="Z1738" s="148">
        <f>ROUND(IF(X1738&gt;I1738,X1738,I1738),4)</f>
        <v>0</v>
      </c>
      <c r="AD1738" s="78">
        <f t="shared" si="32"/>
        <v>0</v>
      </c>
      <c r="AE1738" s="78">
        <f t="shared" si="33"/>
        <v>0</v>
      </c>
    </row>
    <row r="1739" spans="1:31" x14ac:dyDescent="0.2">
      <c r="A1739" s="66"/>
      <c r="B1739" s="66"/>
      <c r="C1739" s="66"/>
      <c r="D1739" s="144"/>
      <c r="E1739" s="67"/>
      <c r="F1739" s="67"/>
      <c r="G1739" s="67"/>
      <c r="H1739" s="67">
        <f>ROUND(+E1739+G1739,4)</f>
        <v>0</v>
      </c>
      <c r="I1739" s="67"/>
      <c r="J1739" s="67">
        <f>ROUND(+I1739-H1739,4)</f>
        <v>0</v>
      </c>
      <c r="K1739" s="67">
        <f>ROUND(IF(F1739="alluminio",0,I1739*1.5%),4)</f>
        <v>0</v>
      </c>
      <c r="L1739" s="67">
        <f>ROUND(IF(K1739&lt;J1739,K1739,0),4)</f>
        <v>0</v>
      </c>
      <c r="M1739" s="67">
        <f>ROUND(IF(J1739&gt;K1739,0,J1739),4)</f>
        <v>0</v>
      </c>
      <c r="N1739" s="67">
        <f>ROUND(+L1739*D1739,4)</f>
        <v>0</v>
      </c>
      <c r="O1739" s="67">
        <f>ROUND(IF(F1739="rame",0,+I1739*3%),4)</f>
        <v>0</v>
      </c>
      <c r="P1739" s="67">
        <f>ROUND(IF(O1739&lt;J1739,O1739,0),4)</f>
        <v>0</v>
      </c>
      <c r="Q1739" s="67">
        <f>ROUND(IF(J1739&gt;O1739,0,J1739),4)</f>
        <v>0</v>
      </c>
      <c r="R1739" s="67">
        <f>ROUND(+P1739*D1739,4)</f>
        <v>0</v>
      </c>
      <c r="S1739" s="67">
        <f>ROUND(IF(K1739=0,0,M1739*D1739),4)</f>
        <v>0</v>
      </c>
      <c r="T1739" s="67">
        <f>ROUND(+IF(K1739=0,Q1739*D1739,0),4)</f>
        <v>0</v>
      </c>
      <c r="U1739" s="67">
        <f>ROUND(+N1739+R1739+S1739+T1739,4)</f>
        <v>0</v>
      </c>
      <c r="V1739" s="67">
        <f>ROUND(IF(P1739=0,0,I1739-H1739-O1739)+IF(L1739=0,0,I1739-H1739-K1739),4)</f>
        <v>0</v>
      </c>
      <c r="W1739" s="67">
        <f>ROUND(+(V1739*60%)*D1739,4)</f>
        <v>0</v>
      </c>
      <c r="X1739" s="148">
        <f>ROUND(+U1739+W1739,4)</f>
        <v>0</v>
      </c>
      <c r="Y1739" s="68"/>
      <c r="Z1739" s="148">
        <f>ROUND(IF(X1739&gt;I1739,X1739,I1739),4)</f>
        <v>0</v>
      </c>
      <c r="AD1739" s="78">
        <f t="shared" si="32"/>
        <v>0</v>
      </c>
      <c r="AE1739" s="78">
        <f t="shared" si="33"/>
        <v>0</v>
      </c>
    </row>
    <row r="1740" spans="1:31" x14ac:dyDescent="0.2">
      <c r="A1740" s="66"/>
      <c r="B1740" s="66"/>
      <c r="C1740" s="66"/>
      <c r="D1740" s="144"/>
      <c r="E1740" s="67"/>
      <c r="F1740" s="67"/>
      <c r="G1740" s="67"/>
      <c r="H1740" s="67">
        <f>ROUND(+E1740+G1740,4)</f>
        <v>0</v>
      </c>
      <c r="I1740" s="67"/>
      <c r="J1740" s="67">
        <f>ROUND(+I1740-H1740,4)</f>
        <v>0</v>
      </c>
      <c r="K1740" s="67">
        <f>ROUND(IF(F1740="alluminio",0,I1740*1.5%),4)</f>
        <v>0</v>
      </c>
      <c r="L1740" s="67">
        <f>ROUND(IF(K1740&lt;J1740,K1740,0),4)</f>
        <v>0</v>
      </c>
      <c r="M1740" s="67">
        <f>ROUND(IF(J1740&gt;K1740,0,J1740),4)</f>
        <v>0</v>
      </c>
      <c r="N1740" s="67">
        <f>ROUND(+L1740*D1740,4)</f>
        <v>0</v>
      </c>
      <c r="O1740" s="67">
        <f>ROUND(IF(F1740="rame",0,+I1740*3%),4)</f>
        <v>0</v>
      </c>
      <c r="P1740" s="67">
        <f>ROUND(IF(O1740&lt;J1740,O1740,0),4)</f>
        <v>0</v>
      </c>
      <c r="Q1740" s="67">
        <f>ROUND(IF(J1740&gt;O1740,0,J1740),4)</f>
        <v>0</v>
      </c>
      <c r="R1740" s="67">
        <f>ROUND(+P1740*D1740,4)</f>
        <v>0</v>
      </c>
      <c r="S1740" s="67">
        <f>ROUND(IF(K1740=0,0,M1740*D1740),4)</f>
        <v>0</v>
      </c>
      <c r="T1740" s="67">
        <f>ROUND(+IF(K1740=0,Q1740*D1740,0),4)</f>
        <v>0</v>
      </c>
      <c r="U1740" s="67">
        <f>ROUND(+N1740+R1740+S1740+T1740,4)</f>
        <v>0</v>
      </c>
      <c r="V1740" s="67">
        <f>ROUND(IF(P1740=0,0,I1740-H1740-O1740)+IF(L1740=0,0,I1740-H1740-K1740),4)</f>
        <v>0</v>
      </c>
      <c r="W1740" s="67">
        <f>ROUND(+(V1740*60%)*D1740,4)</f>
        <v>0</v>
      </c>
      <c r="X1740" s="148">
        <f>ROUND(+U1740+W1740,4)</f>
        <v>0</v>
      </c>
      <c r="Y1740" s="68"/>
      <c r="Z1740" s="148">
        <f>ROUND(IF(X1740&gt;I1740,X1740,I1740),4)</f>
        <v>0</v>
      </c>
      <c r="AD1740" s="78">
        <f t="shared" si="32"/>
        <v>0</v>
      </c>
      <c r="AE1740" s="78">
        <f t="shared" si="33"/>
        <v>0</v>
      </c>
    </row>
    <row r="1741" spans="1:31" x14ac:dyDescent="0.2">
      <c r="A1741" s="66"/>
      <c r="B1741" s="66"/>
      <c r="C1741" s="66"/>
      <c r="D1741" s="144"/>
      <c r="E1741" s="67"/>
      <c r="F1741" s="67"/>
      <c r="G1741" s="67"/>
      <c r="H1741" s="67">
        <f>ROUND(+E1741+G1741,4)</f>
        <v>0</v>
      </c>
      <c r="I1741" s="67"/>
      <c r="J1741" s="67">
        <f>ROUND(+I1741-H1741,4)</f>
        <v>0</v>
      </c>
      <c r="K1741" s="67">
        <f>ROUND(IF(F1741="alluminio",0,I1741*1.5%),4)</f>
        <v>0</v>
      </c>
      <c r="L1741" s="67">
        <f>ROUND(IF(K1741&lt;J1741,K1741,0),4)</f>
        <v>0</v>
      </c>
      <c r="M1741" s="67">
        <f>ROUND(IF(J1741&gt;K1741,0,J1741),4)</f>
        <v>0</v>
      </c>
      <c r="N1741" s="67">
        <f>ROUND(+L1741*D1741,4)</f>
        <v>0</v>
      </c>
      <c r="O1741" s="67">
        <f>ROUND(IF(F1741="rame",0,+I1741*3%),4)</f>
        <v>0</v>
      </c>
      <c r="P1741" s="67">
        <f>ROUND(IF(O1741&lt;J1741,O1741,0),4)</f>
        <v>0</v>
      </c>
      <c r="Q1741" s="67">
        <f>ROUND(IF(J1741&gt;O1741,0,J1741),4)</f>
        <v>0</v>
      </c>
      <c r="R1741" s="67">
        <f>ROUND(+P1741*D1741,4)</f>
        <v>0</v>
      </c>
      <c r="S1741" s="67">
        <f>ROUND(IF(K1741=0,0,M1741*D1741),4)</f>
        <v>0</v>
      </c>
      <c r="T1741" s="67">
        <f>ROUND(+IF(K1741=0,Q1741*D1741,0),4)</f>
        <v>0</v>
      </c>
      <c r="U1741" s="67">
        <f>ROUND(+N1741+R1741+S1741+T1741,4)</f>
        <v>0</v>
      </c>
      <c r="V1741" s="67">
        <f>ROUND(IF(P1741=0,0,I1741-H1741-O1741)+IF(L1741=0,0,I1741-H1741-K1741),4)</f>
        <v>0</v>
      </c>
      <c r="W1741" s="67">
        <f>ROUND(+(V1741*60%)*D1741,4)</f>
        <v>0</v>
      </c>
      <c r="X1741" s="148">
        <f>ROUND(+U1741+W1741,4)</f>
        <v>0</v>
      </c>
      <c r="Y1741" s="68"/>
      <c r="Z1741" s="148">
        <f>ROUND(IF(X1741&gt;I1741,X1741,I1741),4)</f>
        <v>0</v>
      </c>
      <c r="AD1741" s="78">
        <f t="shared" si="32"/>
        <v>0</v>
      </c>
      <c r="AE1741" s="78">
        <f t="shared" si="33"/>
        <v>0</v>
      </c>
    </row>
    <row r="1742" spans="1:31" x14ac:dyDescent="0.2">
      <c r="A1742" s="66"/>
      <c r="B1742" s="66"/>
      <c r="C1742" s="66"/>
      <c r="D1742" s="144"/>
      <c r="E1742" s="67"/>
      <c r="F1742" s="67"/>
      <c r="G1742" s="67"/>
      <c r="H1742" s="67">
        <f>ROUND(+E1742+G1742,4)</f>
        <v>0</v>
      </c>
      <c r="I1742" s="67"/>
      <c r="J1742" s="67">
        <f>ROUND(+I1742-H1742,4)</f>
        <v>0</v>
      </c>
      <c r="K1742" s="67">
        <f>ROUND(IF(F1742="alluminio",0,I1742*1.5%),4)</f>
        <v>0</v>
      </c>
      <c r="L1742" s="67">
        <f>ROUND(IF(K1742&lt;J1742,K1742,0),4)</f>
        <v>0</v>
      </c>
      <c r="M1742" s="67">
        <f>ROUND(IF(J1742&gt;K1742,0,J1742),4)</f>
        <v>0</v>
      </c>
      <c r="N1742" s="67">
        <f>ROUND(+L1742*D1742,4)</f>
        <v>0</v>
      </c>
      <c r="O1742" s="67">
        <f>ROUND(IF(F1742="rame",0,+I1742*3%),4)</f>
        <v>0</v>
      </c>
      <c r="P1742" s="67">
        <f>ROUND(IF(O1742&lt;J1742,O1742,0),4)</f>
        <v>0</v>
      </c>
      <c r="Q1742" s="67">
        <f>ROUND(IF(J1742&gt;O1742,0,J1742),4)</f>
        <v>0</v>
      </c>
      <c r="R1742" s="67">
        <f>ROUND(+P1742*D1742,4)</f>
        <v>0</v>
      </c>
      <c r="S1742" s="67">
        <f>ROUND(IF(K1742=0,0,M1742*D1742),4)</f>
        <v>0</v>
      </c>
      <c r="T1742" s="67">
        <f>ROUND(+IF(K1742=0,Q1742*D1742,0),4)</f>
        <v>0</v>
      </c>
      <c r="U1742" s="67">
        <f>ROUND(+N1742+R1742+S1742+T1742,4)</f>
        <v>0</v>
      </c>
      <c r="V1742" s="67">
        <f>ROUND(IF(P1742=0,0,I1742-H1742-O1742)+IF(L1742=0,0,I1742-H1742-K1742),4)</f>
        <v>0</v>
      </c>
      <c r="W1742" s="67">
        <f>ROUND(+(V1742*60%)*D1742,4)</f>
        <v>0</v>
      </c>
      <c r="X1742" s="148">
        <f>ROUND(+U1742+W1742,4)</f>
        <v>0</v>
      </c>
      <c r="Y1742" s="68"/>
      <c r="Z1742" s="148">
        <f>ROUND(IF(X1742&gt;I1742,X1742,I1742),4)</f>
        <v>0</v>
      </c>
      <c r="AD1742" s="78">
        <f t="shared" si="32"/>
        <v>0</v>
      </c>
      <c r="AE1742" s="78">
        <f t="shared" si="33"/>
        <v>0</v>
      </c>
    </row>
    <row r="1743" spans="1:31" x14ac:dyDescent="0.2">
      <c r="A1743" s="66"/>
      <c r="B1743" s="66"/>
      <c r="C1743" s="66"/>
      <c r="D1743" s="144"/>
      <c r="E1743" s="67"/>
      <c r="F1743" s="67"/>
      <c r="G1743" s="67"/>
      <c r="H1743" s="67">
        <f>ROUND(+E1743+G1743,4)</f>
        <v>0</v>
      </c>
      <c r="I1743" s="67"/>
      <c r="J1743" s="67">
        <f>ROUND(+I1743-H1743,4)</f>
        <v>0</v>
      </c>
      <c r="K1743" s="67">
        <f>ROUND(IF(F1743="alluminio",0,I1743*1.5%),4)</f>
        <v>0</v>
      </c>
      <c r="L1743" s="67">
        <f>ROUND(IF(K1743&lt;J1743,K1743,0),4)</f>
        <v>0</v>
      </c>
      <c r="M1743" s="67">
        <f>ROUND(IF(J1743&gt;K1743,0,J1743),4)</f>
        <v>0</v>
      </c>
      <c r="N1743" s="67">
        <f>ROUND(+L1743*D1743,4)</f>
        <v>0</v>
      </c>
      <c r="O1743" s="67">
        <f>ROUND(IF(F1743="rame",0,+I1743*3%),4)</f>
        <v>0</v>
      </c>
      <c r="P1743" s="67">
        <f>ROUND(IF(O1743&lt;J1743,O1743,0),4)</f>
        <v>0</v>
      </c>
      <c r="Q1743" s="67">
        <f>ROUND(IF(J1743&gt;O1743,0,J1743),4)</f>
        <v>0</v>
      </c>
      <c r="R1743" s="67">
        <f>ROUND(+P1743*D1743,4)</f>
        <v>0</v>
      </c>
      <c r="S1743" s="67">
        <f>ROUND(IF(K1743=0,0,M1743*D1743),4)</f>
        <v>0</v>
      </c>
      <c r="T1743" s="67">
        <f>ROUND(+IF(K1743=0,Q1743*D1743,0),4)</f>
        <v>0</v>
      </c>
      <c r="U1743" s="67">
        <f>ROUND(+N1743+R1743+S1743+T1743,4)</f>
        <v>0</v>
      </c>
      <c r="V1743" s="67">
        <f>ROUND(IF(P1743=0,0,I1743-H1743-O1743)+IF(L1743=0,0,I1743-H1743-K1743),4)</f>
        <v>0</v>
      </c>
      <c r="W1743" s="67">
        <f>ROUND(+(V1743*60%)*D1743,4)</f>
        <v>0</v>
      </c>
      <c r="X1743" s="148">
        <f>ROUND(+U1743+W1743,4)</f>
        <v>0</v>
      </c>
      <c r="Y1743" s="68"/>
      <c r="Z1743" s="148">
        <f>ROUND(IF(X1743&gt;I1743,X1743,I1743),4)</f>
        <v>0</v>
      </c>
      <c r="AD1743" s="78">
        <f t="shared" si="32"/>
        <v>0</v>
      </c>
      <c r="AE1743" s="78">
        <f t="shared" si="33"/>
        <v>0</v>
      </c>
    </row>
    <row r="1744" spans="1:31" x14ac:dyDescent="0.2">
      <c r="A1744" s="66"/>
      <c r="B1744" s="66"/>
      <c r="C1744" s="66"/>
      <c r="D1744" s="144"/>
      <c r="E1744" s="67"/>
      <c r="F1744" s="67"/>
      <c r="G1744" s="67"/>
      <c r="H1744" s="67">
        <f>ROUND(+E1744+G1744,4)</f>
        <v>0</v>
      </c>
      <c r="I1744" s="67"/>
      <c r="J1744" s="67">
        <f>ROUND(+I1744-H1744,4)</f>
        <v>0</v>
      </c>
      <c r="K1744" s="67">
        <f>ROUND(IF(F1744="alluminio",0,I1744*1.5%),4)</f>
        <v>0</v>
      </c>
      <c r="L1744" s="67">
        <f>ROUND(IF(K1744&lt;J1744,K1744,0),4)</f>
        <v>0</v>
      </c>
      <c r="M1744" s="67">
        <f>ROUND(IF(J1744&gt;K1744,0,J1744),4)</f>
        <v>0</v>
      </c>
      <c r="N1744" s="67">
        <f>ROUND(+L1744*D1744,4)</f>
        <v>0</v>
      </c>
      <c r="O1744" s="67">
        <f>ROUND(IF(F1744="rame",0,+I1744*3%),4)</f>
        <v>0</v>
      </c>
      <c r="P1744" s="67">
        <f>ROUND(IF(O1744&lt;J1744,O1744,0),4)</f>
        <v>0</v>
      </c>
      <c r="Q1744" s="67">
        <f>ROUND(IF(J1744&gt;O1744,0,J1744),4)</f>
        <v>0</v>
      </c>
      <c r="R1744" s="67">
        <f>ROUND(+P1744*D1744,4)</f>
        <v>0</v>
      </c>
      <c r="S1744" s="67">
        <f>ROUND(IF(K1744=0,0,M1744*D1744),4)</f>
        <v>0</v>
      </c>
      <c r="T1744" s="67">
        <f>ROUND(+IF(K1744=0,Q1744*D1744,0),4)</f>
        <v>0</v>
      </c>
      <c r="U1744" s="67">
        <f>ROUND(+N1744+R1744+S1744+T1744,4)</f>
        <v>0</v>
      </c>
      <c r="V1744" s="67">
        <f>ROUND(IF(P1744=0,0,I1744-H1744-O1744)+IF(L1744=0,0,I1744-H1744-K1744),4)</f>
        <v>0</v>
      </c>
      <c r="W1744" s="67">
        <f>ROUND(+(V1744*60%)*D1744,4)</f>
        <v>0</v>
      </c>
      <c r="X1744" s="148">
        <f>ROUND(+U1744+W1744,4)</f>
        <v>0</v>
      </c>
      <c r="Y1744" s="68"/>
      <c r="Z1744" s="148">
        <f>ROUND(IF(X1744&gt;I1744,X1744,I1744),4)</f>
        <v>0</v>
      </c>
      <c r="AD1744" s="78">
        <f t="shared" si="32"/>
        <v>0</v>
      </c>
      <c r="AE1744" s="78">
        <f t="shared" si="33"/>
        <v>0</v>
      </c>
    </row>
    <row r="1745" spans="1:31" x14ac:dyDescent="0.2">
      <c r="A1745" s="66"/>
      <c r="B1745" s="66"/>
      <c r="C1745" s="66"/>
      <c r="D1745" s="144"/>
      <c r="E1745" s="67"/>
      <c r="F1745" s="67"/>
      <c r="G1745" s="67"/>
      <c r="H1745" s="67">
        <f>ROUND(+E1745+G1745,4)</f>
        <v>0</v>
      </c>
      <c r="I1745" s="67"/>
      <c r="J1745" s="67">
        <f>ROUND(+I1745-H1745,4)</f>
        <v>0</v>
      </c>
      <c r="K1745" s="67">
        <f>ROUND(IF(F1745="alluminio",0,I1745*1.5%),4)</f>
        <v>0</v>
      </c>
      <c r="L1745" s="67">
        <f>ROUND(IF(K1745&lt;J1745,K1745,0),4)</f>
        <v>0</v>
      </c>
      <c r="M1745" s="67">
        <f>ROUND(IF(J1745&gt;K1745,0,J1745),4)</f>
        <v>0</v>
      </c>
      <c r="N1745" s="67">
        <f>ROUND(+L1745*D1745,4)</f>
        <v>0</v>
      </c>
      <c r="O1745" s="67">
        <f>ROUND(IF(F1745="rame",0,+I1745*3%),4)</f>
        <v>0</v>
      </c>
      <c r="P1745" s="67">
        <f>ROUND(IF(O1745&lt;J1745,O1745,0),4)</f>
        <v>0</v>
      </c>
      <c r="Q1745" s="67">
        <f>ROUND(IF(J1745&gt;O1745,0,J1745),4)</f>
        <v>0</v>
      </c>
      <c r="R1745" s="67">
        <f>ROUND(+P1745*D1745,4)</f>
        <v>0</v>
      </c>
      <c r="S1745" s="67">
        <f>ROUND(IF(K1745=0,0,M1745*D1745),4)</f>
        <v>0</v>
      </c>
      <c r="T1745" s="67">
        <f>ROUND(+IF(K1745=0,Q1745*D1745,0),4)</f>
        <v>0</v>
      </c>
      <c r="U1745" s="67">
        <f>ROUND(+N1745+R1745+S1745+T1745,4)</f>
        <v>0</v>
      </c>
      <c r="V1745" s="67">
        <f>ROUND(IF(P1745=0,0,I1745-H1745-O1745)+IF(L1745=0,0,I1745-H1745-K1745),4)</f>
        <v>0</v>
      </c>
      <c r="W1745" s="67">
        <f>ROUND(+(V1745*60%)*D1745,4)</f>
        <v>0</v>
      </c>
      <c r="X1745" s="148">
        <f>ROUND(+U1745+W1745,4)</f>
        <v>0</v>
      </c>
      <c r="Y1745" s="68"/>
      <c r="Z1745" s="148">
        <f>ROUND(IF(X1745&gt;I1745,X1745,I1745),4)</f>
        <v>0</v>
      </c>
      <c r="AD1745" s="78">
        <f t="shared" si="32"/>
        <v>0</v>
      </c>
      <c r="AE1745" s="78">
        <f t="shared" si="33"/>
        <v>0</v>
      </c>
    </row>
    <row r="1746" spans="1:31" x14ac:dyDescent="0.2">
      <c r="A1746" s="66"/>
      <c r="B1746" s="66"/>
      <c r="C1746" s="66"/>
      <c r="D1746" s="144"/>
      <c r="E1746" s="67"/>
      <c r="F1746" s="67"/>
      <c r="G1746" s="67"/>
      <c r="H1746" s="67">
        <f>ROUND(+E1746+G1746,4)</f>
        <v>0</v>
      </c>
      <c r="I1746" s="67"/>
      <c r="J1746" s="67">
        <f>ROUND(+I1746-H1746,4)</f>
        <v>0</v>
      </c>
      <c r="K1746" s="67">
        <f>ROUND(IF(F1746="alluminio",0,I1746*1.5%),4)</f>
        <v>0</v>
      </c>
      <c r="L1746" s="67">
        <f>ROUND(IF(K1746&lt;J1746,K1746,0),4)</f>
        <v>0</v>
      </c>
      <c r="M1746" s="67">
        <f>ROUND(IF(J1746&gt;K1746,0,J1746),4)</f>
        <v>0</v>
      </c>
      <c r="N1746" s="67">
        <f>ROUND(+L1746*D1746,4)</f>
        <v>0</v>
      </c>
      <c r="O1746" s="67">
        <f>ROUND(IF(F1746="rame",0,+I1746*3%),4)</f>
        <v>0</v>
      </c>
      <c r="P1746" s="67">
        <f>ROUND(IF(O1746&lt;J1746,O1746,0),4)</f>
        <v>0</v>
      </c>
      <c r="Q1746" s="67">
        <f>ROUND(IF(J1746&gt;O1746,0,J1746),4)</f>
        <v>0</v>
      </c>
      <c r="R1746" s="67">
        <f>ROUND(+P1746*D1746,4)</f>
        <v>0</v>
      </c>
      <c r="S1746" s="67">
        <f>ROUND(IF(K1746=0,0,M1746*D1746),4)</f>
        <v>0</v>
      </c>
      <c r="T1746" s="67">
        <f>ROUND(+IF(K1746=0,Q1746*D1746,0),4)</f>
        <v>0</v>
      </c>
      <c r="U1746" s="67">
        <f>ROUND(+N1746+R1746+S1746+T1746,4)</f>
        <v>0</v>
      </c>
      <c r="V1746" s="67">
        <f>ROUND(IF(P1746=0,0,I1746-H1746-O1746)+IF(L1746=0,0,I1746-H1746-K1746),4)</f>
        <v>0</v>
      </c>
      <c r="W1746" s="67">
        <f>ROUND(+(V1746*60%)*D1746,4)</f>
        <v>0</v>
      </c>
      <c r="X1746" s="148">
        <f>ROUND(+U1746+W1746,4)</f>
        <v>0</v>
      </c>
      <c r="Y1746" s="68"/>
      <c r="Z1746" s="148">
        <f>ROUND(IF(X1746&gt;I1746,X1746,I1746),4)</f>
        <v>0</v>
      </c>
      <c r="AD1746" s="78">
        <f t="shared" si="32"/>
        <v>0</v>
      </c>
      <c r="AE1746" s="78">
        <f t="shared" si="33"/>
        <v>0</v>
      </c>
    </row>
    <row r="1747" spans="1:31" x14ac:dyDescent="0.2">
      <c r="A1747" s="66"/>
      <c r="B1747" s="66"/>
      <c r="C1747" s="66"/>
      <c r="D1747" s="144"/>
      <c r="E1747" s="67"/>
      <c r="F1747" s="67"/>
      <c r="G1747" s="67"/>
      <c r="H1747" s="67">
        <f>ROUND(+E1747+G1747,4)</f>
        <v>0</v>
      </c>
      <c r="I1747" s="67"/>
      <c r="J1747" s="67">
        <f>ROUND(+I1747-H1747,4)</f>
        <v>0</v>
      </c>
      <c r="K1747" s="67">
        <f>ROUND(IF(F1747="alluminio",0,I1747*1.5%),4)</f>
        <v>0</v>
      </c>
      <c r="L1747" s="67">
        <f>ROUND(IF(K1747&lt;J1747,K1747,0),4)</f>
        <v>0</v>
      </c>
      <c r="M1747" s="67">
        <f>ROUND(IF(J1747&gt;K1747,0,J1747),4)</f>
        <v>0</v>
      </c>
      <c r="N1747" s="67">
        <f>ROUND(+L1747*D1747,4)</f>
        <v>0</v>
      </c>
      <c r="O1747" s="67">
        <f>ROUND(IF(F1747="rame",0,+I1747*3%),4)</f>
        <v>0</v>
      </c>
      <c r="P1747" s="67">
        <f>ROUND(IF(O1747&lt;J1747,O1747,0),4)</f>
        <v>0</v>
      </c>
      <c r="Q1747" s="67">
        <f>ROUND(IF(J1747&gt;O1747,0,J1747),4)</f>
        <v>0</v>
      </c>
      <c r="R1747" s="67">
        <f>ROUND(+P1747*D1747,4)</f>
        <v>0</v>
      </c>
      <c r="S1747" s="67">
        <f>ROUND(IF(K1747=0,0,M1747*D1747),4)</f>
        <v>0</v>
      </c>
      <c r="T1747" s="67">
        <f>ROUND(+IF(K1747=0,Q1747*D1747,0),4)</f>
        <v>0</v>
      </c>
      <c r="U1747" s="67">
        <f>ROUND(+N1747+R1747+S1747+T1747,4)</f>
        <v>0</v>
      </c>
      <c r="V1747" s="67">
        <f>ROUND(IF(P1747=0,0,I1747-H1747-O1747)+IF(L1747=0,0,I1747-H1747-K1747),4)</f>
        <v>0</v>
      </c>
      <c r="W1747" s="67">
        <f>ROUND(+(V1747*60%)*D1747,4)</f>
        <v>0</v>
      </c>
      <c r="X1747" s="148">
        <f>ROUND(+U1747+W1747,4)</f>
        <v>0</v>
      </c>
      <c r="Y1747" s="68"/>
      <c r="Z1747" s="148">
        <f>ROUND(IF(X1747&gt;I1747,X1747,I1747),4)</f>
        <v>0</v>
      </c>
      <c r="AD1747" s="78">
        <f t="shared" si="32"/>
        <v>0</v>
      </c>
      <c r="AE1747" s="78">
        <f t="shared" si="33"/>
        <v>0</v>
      </c>
    </row>
    <row r="1748" spans="1:31" x14ac:dyDescent="0.2">
      <c r="A1748" s="66"/>
      <c r="B1748" s="66"/>
      <c r="C1748" s="66"/>
      <c r="D1748" s="144"/>
      <c r="E1748" s="67"/>
      <c r="F1748" s="67"/>
      <c r="G1748" s="67"/>
      <c r="H1748" s="67">
        <f>ROUND(+E1748+G1748,4)</f>
        <v>0</v>
      </c>
      <c r="I1748" s="67"/>
      <c r="J1748" s="67">
        <f>ROUND(+I1748-H1748,4)</f>
        <v>0</v>
      </c>
      <c r="K1748" s="67">
        <f>ROUND(IF(F1748="alluminio",0,I1748*1.5%),4)</f>
        <v>0</v>
      </c>
      <c r="L1748" s="67">
        <f>ROUND(IF(K1748&lt;J1748,K1748,0),4)</f>
        <v>0</v>
      </c>
      <c r="M1748" s="67">
        <f>ROUND(IF(J1748&gt;K1748,0,J1748),4)</f>
        <v>0</v>
      </c>
      <c r="N1748" s="67">
        <f>ROUND(+L1748*D1748,4)</f>
        <v>0</v>
      </c>
      <c r="O1748" s="67">
        <f>ROUND(IF(F1748="rame",0,+I1748*3%),4)</f>
        <v>0</v>
      </c>
      <c r="P1748" s="67">
        <f>ROUND(IF(O1748&lt;J1748,O1748,0),4)</f>
        <v>0</v>
      </c>
      <c r="Q1748" s="67">
        <f>ROUND(IF(J1748&gt;O1748,0,J1748),4)</f>
        <v>0</v>
      </c>
      <c r="R1748" s="67">
        <f>ROUND(+P1748*D1748,4)</f>
        <v>0</v>
      </c>
      <c r="S1748" s="67">
        <f>ROUND(IF(K1748=0,0,M1748*D1748),4)</f>
        <v>0</v>
      </c>
      <c r="T1748" s="67">
        <f>ROUND(+IF(K1748=0,Q1748*D1748,0),4)</f>
        <v>0</v>
      </c>
      <c r="U1748" s="67">
        <f>ROUND(+N1748+R1748+S1748+T1748,4)</f>
        <v>0</v>
      </c>
      <c r="V1748" s="67">
        <f>ROUND(IF(P1748=0,0,I1748-H1748-O1748)+IF(L1748=0,0,I1748-H1748-K1748),4)</f>
        <v>0</v>
      </c>
      <c r="W1748" s="67">
        <f>ROUND(+(V1748*60%)*D1748,4)</f>
        <v>0</v>
      </c>
      <c r="X1748" s="148">
        <f>ROUND(+U1748+W1748,4)</f>
        <v>0</v>
      </c>
      <c r="Y1748" s="68"/>
      <c r="Z1748" s="148">
        <f>ROUND(IF(X1748&gt;I1748,X1748,I1748),4)</f>
        <v>0</v>
      </c>
      <c r="AD1748" s="78">
        <f t="shared" si="32"/>
        <v>0</v>
      </c>
      <c r="AE1748" s="78">
        <f t="shared" si="33"/>
        <v>0</v>
      </c>
    </row>
    <row r="1749" spans="1:31" x14ac:dyDescent="0.2">
      <c r="A1749" s="66"/>
      <c r="B1749" s="66"/>
      <c r="C1749" s="66"/>
      <c r="D1749" s="144"/>
      <c r="E1749" s="67"/>
      <c r="F1749" s="67"/>
      <c r="G1749" s="67"/>
      <c r="H1749" s="67">
        <f>ROUND(+E1749+G1749,4)</f>
        <v>0</v>
      </c>
      <c r="I1749" s="67"/>
      <c r="J1749" s="67">
        <f>ROUND(+I1749-H1749,4)</f>
        <v>0</v>
      </c>
      <c r="K1749" s="67">
        <f>ROUND(IF(F1749="alluminio",0,I1749*1.5%),4)</f>
        <v>0</v>
      </c>
      <c r="L1749" s="67">
        <f>ROUND(IF(K1749&lt;J1749,K1749,0),4)</f>
        <v>0</v>
      </c>
      <c r="M1749" s="67">
        <f>ROUND(IF(J1749&gt;K1749,0,J1749),4)</f>
        <v>0</v>
      </c>
      <c r="N1749" s="67">
        <f>ROUND(+L1749*D1749,4)</f>
        <v>0</v>
      </c>
      <c r="O1749" s="67">
        <f>ROUND(IF(F1749="rame",0,+I1749*3%),4)</f>
        <v>0</v>
      </c>
      <c r="P1749" s="67">
        <f>ROUND(IF(O1749&lt;J1749,O1749,0),4)</f>
        <v>0</v>
      </c>
      <c r="Q1749" s="67">
        <f>ROUND(IF(J1749&gt;O1749,0,J1749),4)</f>
        <v>0</v>
      </c>
      <c r="R1749" s="67">
        <f>ROUND(+P1749*D1749,4)</f>
        <v>0</v>
      </c>
      <c r="S1749" s="67">
        <f>ROUND(IF(K1749=0,0,M1749*D1749),4)</f>
        <v>0</v>
      </c>
      <c r="T1749" s="67">
        <f>ROUND(+IF(K1749=0,Q1749*D1749,0),4)</f>
        <v>0</v>
      </c>
      <c r="U1749" s="67">
        <f>ROUND(+N1749+R1749+S1749+T1749,4)</f>
        <v>0</v>
      </c>
      <c r="V1749" s="67">
        <f>ROUND(IF(P1749=0,0,I1749-H1749-O1749)+IF(L1749=0,0,I1749-H1749-K1749),4)</f>
        <v>0</v>
      </c>
      <c r="W1749" s="67">
        <f>ROUND(+(V1749*60%)*D1749,4)</f>
        <v>0</v>
      </c>
      <c r="X1749" s="148">
        <f>ROUND(+U1749+W1749,4)</f>
        <v>0</v>
      </c>
      <c r="Y1749" s="68"/>
      <c r="Z1749" s="148">
        <f>ROUND(IF(X1749&gt;I1749,X1749,I1749),4)</f>
        <v>0</v>
      </c>
      <c r="AD1749" s="78">
        <f t="shared" si="32"/>
        <v>0</v>
      </c>
      <c r="AE1749" s="78">
        <f t="shared" si="33"/>
        <v>0</v>
      </c>
    </row>
    <row r="1750" spans="1:31" x14ac:dyDescent="0.2">
      <c r="A1750" s="66"/>
      <c r="B1750" s="66"/>
      <c r="C1750" s="66"/>
      <c r="D1750" s="144"/>
      <c r="E1750" s="67"/>
      <c r="F1750" s="67"/>
      <c r="G1750" s="67"/>
      <c r="H1750" s="67">
        <f>ROUND(+E1750+G1750,4)</f>
        <v>0</v>
      </c>
      <c r="I1750" s="67"/>
      <c r="J1750" s="67">
        <f>ROUND(+I1750-H1750,4)</f>
        <v>0</v>
      </c>
      <c r="K1750" s="67">
        <f>ROUND(IF(F1750="alluminio",0,I1750*1.5%),4)</f>
        <v>0</v>
      </c>
      <c r="L1750" s="67">
        <f>ROUND(IF(K1750&lt;J1750,K1750,0),4)</f>
        <v>0</v>
      </c>
      <c r="M1750" s="67">
        <f>ROUND(IF(J1750&gt;K1750,0,J1750),4)</f>
        <v>0</v>
      </c>
      <c r="N1750" s="67">
        <f>ROUND(+L1750*D1750,4)</f>
        <v>0</v>
      </c>
      <c r="O1750" s="67">
        <f>ROUND(IF(F1750="rame",0,+I1750*3%),4)</f>
        <v>0</v>
      </c>
      <c r="P1750" s="67">
        <f>ROUND(IF(O1750&lt;J1750,O1750,0),4)</f>
        <v>0</v>
      </c>
      <c r="Q1750" s="67">
        <f>ROUND(IF(J1750&gt;O1750,0,J1750),4)</f>
        <v>0</v>
      </c>
      <c r="R1750" s="67">
        <f>ROUND(+P1750*D1750,4)</f>
        <v>0</v>
      </c>
      <c r="S1750" s="67">
        <f>ROUND(IF(K1750=0,0,M1750*D1750),4)</f>
        <v>0</v>
      </c>
      <c r="T1750" s="67">
        <f>ROUND(+IF(K1750=0,Q1750*D1750,0),4)</f>
        <v>0</v>
      </c>
      <c r="U1750" s="67">
        <f>ROUND(+N1750+R1750+S1750+T1750,4)</f>
        <v>0</v>
      </c>
      <c r="V1750" s="67">
        <f>ROUND(IF(P1750=0,0,I1750-H1750-O1750)+IF(L1750=0,0,I1750-H1750-K1750),4)</f>
        <v>0</v>
      </c>
      <c r="W1750" s="67">
        <f>ROUND(+(V1750*60%)*D1750,4)</f>
        <v>0</v>
      </c>
      <c r="X1750" s="148">
        <f>ROUND(+U1750+W1750,4)</f>
        <v>0</v>
      </c>
      <c r="Y1750" s="68"/>
      <c r="Z1750" s="148">
        <f>ROUND(IF(X1750&gt;I1750,X1750,I1750),4)</f>
        <v>0</v>
      </c>
      <c r="AD1750" s="78">
        <f t="shared" si="32"/>
        <v>0</v>
      </c>
      <c r="AE1750" s="78">
        <f t="shared" si="33"/>
        <v>0</v>
      </c>
    </row>
    <row r="1751" spans="1:31" x14ac:dyDescent="0.2">
      <c r="A1751" s="66"/>
      <c r="B1751" s="66"/>
      <c r="C1751" s="66"/>
      <c r="D1751" s="144"/>
      <c r="E1751" s="67"/>
      <c r="F1751" s="67"/>
      <c r="G1751" s="67"/>
      <c r="H1751" s="67">
        <f>ROUND(+E1751+G1751,4)</f>
        <v>0</v>
      </c>
      <c r="I1751" s="67"/>
      <c r="J1751" s="67">
        <f>ROUND(+I1751-H1751,4)</f>
        <v>0</v>
      </c>
      <c r="K1751" s="67">
        <f>ROUND(IF(F1751="alluminio",0,I1751*1.5%),4)</f>
        <v>0</v>
      </c>
      <c r="L1751" s="67">
        <f>ROUND(IF(K1751&lt;J1751,K1751,0),4)</f>
        <v>0</v>
      </c>
      <c r="M1751" s="67">
        <f>ROUND(IF(J1751&gt;K1751,0,J1751),4)</f>
        <v>0</v>
      </c>
      <c r="N1751" s="67">
        <f>ROUND(+L1751*D1751,4)</f>
        <v>0</v>
      </c>
      <c r="O1751" s="67">
        <f>ROUND(IF(F1751="rame",0,+I1751*3%),4)</f>
        <v>0</v>
      </c>
      <c r="P1751" s="67">
        <f>ROUND(IF(O1751&lt;J1751,O1751,0),4)</f>
        <v>0</v>
      </c>
      <c r="Q1751" s="67">
        <f>ROUND(IF(J1751&gt;O1751,0,J1751),4)</f>
        <v>0</v>
      </c>
      <c r="R1751" s="67">
        <f>ROUND(+P1751*D1751,4)</f>
        <v>0</v>
      </c>
      <c r="S1751" s="67">
        <f>ROUND(IF(K1751=0,0,M1751*D1751),4)</f>
        <v>0</v>
      </c>
      <c r="T1751" s="67">
        <f>ROUND(+IF(K1751=0,Q1751*D1751,0),4)</f>
        <v>0</v>
      </c>
      <c r="U1751" s="67">
        <f>ROUND(+N1751+R1751+S1751+T1751,4)</f>
        <v>0</v>
      </c>
      <c r="V1751" s="67">
        <f>ROUND(IF(P1751=0,0,I1751-H1751-O1751)+IF(L1751=0,0,I1751-H1751-K1751),4)</f>
        <v>0</v>
      </c>
      <c r="W1751" s="67">
        <f>ROUND(+(V1751*60%)*D1751,4)</f>
        <v>0</v>
      </c>
      <c r="X1751" s="148">
        <f>ROUND(+U1751+W1751,4)</f>
        <v>0</v>
      </c>
      <c r="Y1751" s="68"/>
      <c r="Z1751" s="148">
        <f>ROUND(IF(X1751&gt;I1751,X1751,I1751),4)</f>
        <v>0</v>
      </c>
      <c r="AD1751" s="78">
        <f t="shared" si="32"/>
        <v>0</v>
      </c>
      <c r="AE1751" s="78">
        <f t="shared" si="33"/>
        <v>0</v>
      </c>
    </row>
    <row r="1752" spans="1:31" x14ac:dyDescent="0.2">
      <c r="A1752" s="66"/>
      <c r="B1752" s="66"/>
      <c r="C1752" s="66"/>
      <c r="D1752" s="144"/>
      <c r="E1752" s="67"/>
      <c r="F1752" s="67"/>
      <c r="G1752" s="67"/>
      <c r="H1752" s="67">
        <f>ROUND(+E1752+G1752,4)</f>
        <v>0</v>
      </c>
      <c r="I1752" s="67"/>
      <c r="J1752" s="67">
        <f>ROUND(+I1752-H1752,4)</f>
        <v>0</v>
      </c>
      <c r="K1752" s="67">
        <f>ROUND(IF(F1752="alluminio",0,I1752*1.5%),4)</f>
        <v>0</v>
      </c>
      <c r="L1752" s="67">
        <f>ROUND(IF(K1752&lt;J1752,K1752,0),4)</f>
        <v>0</v>
      </c>
      <c r="M1752" s="67">
        <f>ROUND(IF(J1752&gt;K1752,0,J1752),4)</f>
        <v>0</v>
      </c>
      <c r="N1752" s="67">
        <f>ROUND(+L1752*D1752,4)</f>
        <v>0</v>
      </c>
      <c r="O1752" s="67">
        <f>ROUND(IF(F1752="rame",0,+I1752*3%),4)</f>
        <v>0</v>
      </c>
      <c r="P1752" s="67">
        <f>ROUND(IF(O1752&lt;J1752,O1752,0),4)</f>
        <v>0</v>
      </c>
      <c r="Q1752" s="67">
        <f>ROUND(IF(J1752&gt;O1752,0,J1752),4)</f>
        <v>0</v>
      </c>
      <c r="R1752" s="67">
        <f>ROUND(+P1752*D1752,4)</f>
        <v>0</v>
      </c>
      <c r="S1752" s="67">
        <f>ROUND(IF(K1752=0,0,M1752*D1752),4)</f>
        <v>0</v>
      </c>
      <c r="T1752" s="67">
        <f>ROUND(+IF(K1752=0,Q1752*D1752,0),4)</f>
        <v>0</v>
      </c>
      <c r="U1752" s="67">
        <f>ROUND(+N1752+R1752+S1752+T1752,4)</f>
        <v>0</v>
      </c>
      <c r="V1752" s="67">
        <f>ROUND(IF(P1752=0,0,I1752-H1752-O1752)+IF(L1752=0,0,I1752-H1752-K1752),4)</f>
        <v>0</v>
      </c>
      <c r="W1752" s="67">
        <f>ROUND(+(V1752*60%)*D1752,4)</f>
        <v>0</v>
      </c>
      <c r="X1752" s="148">
        <f>ROUND(+U1752+W1752,4)</f>
        <v>0</v>
      </c>
      <c r="Y1752" s="68"/>
      <c r="Z1752" s="148">
        <f>ROUND(IF(X1752&gt;I1752,X1752,I1752),4)</f>
        <v>0</v>
      </c>
      <c r="AD1752" s="78">
        <f t="shared" si="32"/>
        <v>0</v>
      </c>
      <c r="AE1752" s="78">
        <f t="shared" si="33"/>
        <v>0</v>
      </c>
    </row>
    <row r="1753" spans="1:31" x14ac:dyDescent="0.2">
      <c r="A1753" s="66"/>
      <c r="B1753" s="66"/>
      <c r="C1753" s="66"/>
      <c r="D1753" s="144"/>
      <c r="E1753" s="67"/>
      <c r="F1753" s="67"/>
      <c r="G1753" s="67"/>
      <c r="H1753" s="67">
        <f>ROUND(+E1753+G1753,4)</f>
        <v>0</v>
      </c>
      <c r="I1753" s="67"/>
      <c r="J1753" s="67">
        <f>ROUND(+I1753-H1753,4)</f>
        <v>0</v>
      </c>
      <c r="K1753" s="67">
        <f>ROUND(IF(F1753="alluminio",0,I1753*1.5%),4)</f>
        <v>0</v>
      </c>
      <c r="L1753" s="67">
        <f>ROUND(IF(K1753&lt;J1753,K1753,0),4)</f>
        <v>0</v>
      </c>
      <c r="M1753" s="67">
        <f>ROUND(IF(J1753&gt;K1753,0,J1753),4)</f>
        <v>0</v>
      </c>
      <c r="N1753" s="67">
        <f>ROUND(+L1753*D1753,4)</f>
        <v>0</v>
      </c>
      <c r="O1753" s="67">
        <f>ROUND(IF(F1753="rame",0,+I1753*3%),4)</f>
        <v>0</v>
      </c>
      <c r="P1753" s="67">
        <f>ROUND(IF(O1753&lt;J1753,O1753,0),4)</f>
        <v>0</v>
      </c>
      <c r="Q1753" s="67">
        <f>ROUND(IF(J1753&gt;O1753,0,J1753),4)</f>
        <v>0</v>
      </c>
      <c r="R1753" s="67">
        <f>ROUND(+P1753*D1753,4)</f>
        <v>0</v>
      </c>
      <c r="S1753" s="67">
        <f>ROUND(IF(K1753=0,0,M1753*D1753),4)</f>
        <v>0</v>
      </c>
      <c r="T1753" s="67">
        <f>ROUND(+IF(K1753=0,Q1753*D1753,0),4)</f>
        <v>0</v>
      </c>
      <c r="U1753" s="67">
        <f>ROUND(+N1753+R1753+S1753+T1753,4)</f>
        <v>0</v>
      </c>
      <c r="V1753" s="67">
        <f>ROUND(IF(P1753=0,0,I1753-H1753-O1753)+IF(L1753=0,0,I1753-H1753-K1753),4)</f>
        <v>0</v>
      </c>
      <c r="W1753" s="67">
        <f>ROUND(+(V1753*60%)*D1753,4)</f>
        <v>0</v>
      </c>
      <c r="X1753" s="148">
        <f>ROUND(+U1753+W1753,4)</f>
        <v>0</v>
      </c>
      <c r="Y1753" s="68"/>
      <c r="Z1753" s="148">
        <f>ROUND(IF(X1753&gt;I1753,X1753,I1753),4)</f>
        <v>0</v>
      </c>
      <c r="AD1753" s="78">
        <f t="shared" si="32"/>
        <v>0</v>
      </c>
      <c r="AE1753" s="78">
        <f t="shared" si="33"/>
        <v>0</v>
      </c>
    </row>
    <row r="1754" spans="1:31" x14ac:dyDescent="0.2">
      <c r="A1754" s="66"/>
      <c r="B1754" s="66"/>
      <c r="C1754" s="66"/>
      <c r="D1754" s="144"/>
      <c r="E1754" s="67"/>
      <c r="F1754" s="67"/>
      <c r="G1754" s="67"/>
      <c r="H1754" s="67">
        <f>ROUND(+E1754+G1754,4)</f>
        <v>0</v>
      </c>
      <c r="I1754" s="67"/>
      <c r="J1754" s="67">
        <f>ROUND(+I1754-H1754,4)</f>
        <v>0</v>
      </c>
      <c r="K1754" s="67">
        <f>ROUND(IF(F1754="alluminio",0,I1754*1.5%),4)</f>
        <v>0</v>
      </c>
      <c r="L1754" s="67">
        <f>ROUND(IF(K1754&lt;J1754,K1754,0),4)</f>
        <v>0</v>
      </c>
      <c r="M1754" s="67">
        <f>ROUND(IF(J1754&gt;K1754,0,J1754),4)</f>
        <v>0</v>
      </c>
      <c r="N1754" s="67">
        <f>ROUND(+L1754*D1754,4)</f>
        <v>0</v>
      </c>
      <c r="O1754" s="67">
        <f>ROUND(IF(F1754="rame",0,+I1754*3%),4)</f>
        <v>0</v>
      </c>
      <c r="P1754" s="67">
        <f>ROUND(IF(O1754&lt;J1754,O1754,0),4)</f>
        <v>0</v>
      </c>
      <c r="Q1754" s="67">
        <f>ROUND(IF(J1754&gt;O1754,0,J1754),4)</f>
        <v>0</v>
      </c>
      <c r="R1754" s="67">
        <f>ROUND(+P1754*D1754,4)</f>
        <v>0</v>
      </c>
      <c r="S1754" s="67">
        <f>ROUND(IF(K1754=0,0,M1754*D1754),4)</f>
        <v>0</v>
      </c>
      <c r="T1754" s="67">
        <f>ROUND(+IF(K1754=0,Q1754*D1754,0),4)</f>
        <v>0</v>
      </c>
      <c r="U1754" s="67">
        <f>ROUND(+N1754+R1754+S1754+T1754,4)</f>
        <v>0</v>
      </c>
      <c r="V1754" s="67">
        <f>ROUND(IF(P1754=0,0,I1754-H1754-O1754)+IF(L1754=0,0,I1754-H1754-K1754),4)</f>
        <v>0</v>
      </c>
      <c r="W1754" s="67">
        <f>ROUND(+(V1754*60%)*D1754,4)</f>
        <v>0</v>
      </c>
      <c r="X1754" s="148">
        <f>ROUND(+U1754+W1754,4)</f>
        <v>0</v>
      </c>
      <c r="Y1754" s="68"/>
      <c r="Z1754" s="148">
        <f>ROUND(IF(X1754&gt;I1754,X1754,I1754),4)</f>
        <v>0</v>
      </c>
      <c r="AD1754" s="78">
        <f t="shared" si="32"/>
        <v>0</v>
      </c>
      <c r="AE1754" s="78">
        <f t="shared" si="33"/>
        <v>0</v>
      </c>
    </row>
    <row r="1755" spans="1:31" x14ac:dyDescent="0.2">
      <c r="A1755" s="66"/>
      <c r="B1755" s="66"/>
      <c r="C1755" s="66"/>
      <c r="D1755" s="144"/>
      <c r="E1755" s="67"/>
      <c r="F1755" s="67"/>
      <c r="G1755" s="67"/>
      <c r="H1755" s="67">
        <f>ROUND(+E1755+G1755,4)</f>
        <v>0</v>
      </c>
      <c r="I1755" s="67"/>
      <c r="J1755" s="67">
        <f>ROUND(+I1755-H1755,4)</f>
        <v>0</v>
      </c>
      <c r="K1755" s="67">
        <f>ROUND(IF(F1755="alluminio",0,I1755*1.5%),4)</f>
        <v>0</v>
      </c>
      <c r="L1755" s="67">
        <f>ROUND(IF(K1755&lt;J1755,K1755,0),4)</f>
        <v>0</v>
      </c>
      <c r="M1755" s="67">
        <f>ROUND(IF(J1755&gt;K1755,0,J1755),4)</f>
        <v>0</v>
      </c>
      <c r="N1755" s="67">
        <f>ROUND(+L1755*D1755,4)</f>
        <v>0</v>
      </c>
      <c r="O1755" s="67">
        <f>ROUND(IF(F1755="rame",0,+I1755*3%),4)</f>
        <v>0</v>
      </c>
      <c r="P1755" s="67">
        <f>ROUND(IF(O1755&lt;J1755,O1755,0),4)</f>
        <v>0</v>
      </c>
      <c r="Q1755" s="67">
        <f>ROUND(IF(J1755&gt;O1755,0,J1755),4)</f>
        <v>0</v>
      </c>
      <c r="R1755" s="67">
        <f>ROUND(+P1755*D1755,4)</f>
        <v>0</v>
      </c>
      <c r="S1755" s="67">
        <f>ROUND(IF(K1755=0,0,M1755*D1755),4)</f>
        <v>0</v>
      </c>
      <c r="T1755" s="67">
        <f>ROUND(+IF(K1755=0,Q1755*D1755,0),4)</f>
        <v>0</v>
      </c>
      <c r="U1755" s="67">
        <f>ROUND(+N1755+R1755+S1755+T1755,4)</f>
        <v>0</v>
      </c>
      <c r="V1755" s="67">
        <f>ROUND(IF(P1755=0,0,I1755-H1755-O1755)+IF(L1755=0,0,I1755-H1755-K1755),4)</f>
        <v>0</v>
      </c>
      <c r="W1755" s="67">
        <f>ROUND(+(V1755*60%)*D1755,4)</f>
        <v>0</v>
      </c>
      <c r="X1755" s="148">
        <f>ROUND(+U1755+W1755,4)</f>
        <v>0</v>
      </c>
      <c r="Y1755" s="68"/>
      <c r="Z1755" s="148">
        <f>ROUND(IF(X1755&gt;I1755,X1755,I1755),4)</f>
        <v>0</v>
      </c>
      <c r="AD1755" s="78">
        <f t="shared" si="32"/>
        <v>0</v>
      </c>
      <c r="AE1755" s="78">
        <f t="shared" si="33"/>
        <v>0</v>
      </c>
    </row>
    <row r="1756" spans="1:31" x14ac:dyDescent="0.2">
      <c r="A1756" s="66"/>
      <c r="B1756" s="66"/>
      <c r="C1756" s="66"/>
      <c r="D1756" s="144"/>
      <c r="E1756" s="67"/>
      <c r="F1756" s="67"/>
      <c r="G1756" s="67"/>
      <c r="H1756" s="67">
        <f>ROUND(+E1756+G1756,4)</f>
        <v>0</v>
      </c>
      <c r="I1756" s="67"/>
      <c r="J1756" s="67">
        <f>ROUND(+I1756-H1756,4)</f>
        <v>0</v>
      </c>
      <c r="K1756" s="67">
        <f>ROUND(IF(F1756="alluminio",0,I1756*1.5%),4)</f>
        <v>0</v>
      </c>
      <c r="L1756" s="67">
        <f>ROUND(IF(K1756&lt;J1756,K1756,0),4)</f>
        <v>0</v>
      </c>
      <c r="M1756" s="67">
        <f>ROUND(IF(J1756&gt;K1756,0,J1756),4)</f>
        <v>0</v>
      </c>
      <c r="N1756" s="67">
        <f>ROUND(+L1756*D1756,4)</f>
        <v>0</v>
      </c>
      <c r="O1756" s="67">
        <f>ROUND(IF(F1756="rame",0,+I1756*3%),4)</f>
        <v>0</v>
      </c>
      <c r="P1756" s="67">
        <f>ROUND(IF(O1756&lt;J1756,O1756,0),4)</f>
        <v>0</v>
      </c>
      <c r="Q1756" s="67">
        <f>ROUND(IF(J1756&gt;O1756,0,J1756),4)</f>
        <v>0</v>
      </c>
      <c r="R1756" s="67">
        <f>ROUND(+P1756*D1756,4)</f>
        <v>0</v>
      </c>
      <c r="S1756" s="67">
        <f>ROUND(IF(K1756=0,0,M1756*D1756),4)</f>
        <v>0</v>
      </c>
      <c r="T1756" s="67">
        <f>ROUND(+IF(K1756=0,Q1756*D1756,0),4)</f>
        <v>0</v>
      </c>
      <c r="U1756" s="67">
        <f>ROUND(+N1756+R1756+S1756+T1756,4)</f>
        <v>0</v>
      </c>
      <c r="V1756" s="67">
        <f>ROUND(IF(P1756=0,0,I1756-H1756-O1756)+IF(L1756=0,0,I1756-H1756-K1756),4)</f>
        <v>0</v>
      </c>
      <c r="W1756" s="67">
        <f>ROUND(+(V1756*60%)*D1756,4)</f>
        <v>0</v>
      </c>
      <c r="X1756" s="148">
        <f>ROUND(+U1756+W1756,4)</f>
        <v>0</v>
      </c>
      <c r="Y1756" s="68"/>
      <c r="Z1756" s="148">
        <f>ROUND(IF(X1756&gt;I1756,X1756,I1756),4)</f>
        <v>0</v>
      </c>
      <c r="AD1756" s="78">
        <f t="shared" si="32"/>
        <v>0</v>
      </c>
      <c r="AE1756" s="78">
        <f t="shared" si="33"/>
        <v>0</v>
      </c>
    </row>
    <row r="1757" spans="1:31" x14ac:dyDescent="0.2">
      <c r="A1757" s="66"/>
      <c r="B1757" s="66"/>
      <c r="C1757" s="66"/>
      <c r="D1757" s="144"/>
      <c r="E1757" s="67"/>
      <c r="F1757" s="67"/>
      <c r="G1757" s="67"/>
      <c r="H1757" s="67">
        <f>ROUND(+E1757+G1757,4)</f>
        <v>0</v>
      </c>
      <c r="I1757" s="67"/>
      <c r="J1757" s="67">
        <f>ROUND(+I1757-H1757,4)</f>
        <v>0</v>
      </c>
      <c r="K1757" s="67">
        <f>ROUND(IF(F1757="alluminio",0,I1757*1.5%),4)</f>
        <v>0</v>
      </c>
      <c r="L1757" s="67">
        <f>ROUND(IF(K1757&lt;J1757,K1757,0),4)</f>
        <v>0</v>
      </c>
      <c r="M1757" s="67">
        <f>ROUND(IF(J1757&gt;K1757,0,J1757),4)</f>
        <v>0</v>
      </c>
      <c r="N1757" s="67">
        <f>ROUND(+L1757*D1757,4)</f>
        <v>0</v>
      </c>
      <c r="O1757" s="67">
        <f>ROUND(IF(F1757="rame",0,+I1757*3%),4)</f>
        <v>0</v>
      </c>
      <c r="P1757" s="67">
        <f>ROUND(IF(O1757&lt;J1757,O1757,0),4)</f>
        <v>0</v>
      </c>
      <c r="Q1757" s="67">
        <f>ROUND(IF(J1757&gt;O1757,0,J1757),4)</f>
        <v>0</v>
      </c>
      <c r="R1757" s="67">
        <f>ROUND(+P1757*D1757,4)</f>
        <v>0</v>
      </c>
      <c r="S1757" s="67">
        <f>ROUND(IF(K1757=0,0,M1757*D1757),4)</f>
        <v>0</v>
      </c>
      <c r="T1757" s="67">
        <f>ROUND(+IF(K1757=0,Q1757*D1757,0),4)</f>
        <v>0</v>
      </c>
      <c r="U1757" s="67">
        <f>ROUND(+N1757+R1757+S1757+T1757,4)</f>
        <v>0</v>
      </c>
      <c r="V1757" s="67">
        <f>ROUND(IF(P1757=0,0,I1757-H1757-O1757)+IF(L1757=0,0,I1757-H1757-K1757),4)</f>
        <v>0</v>
      </c>
      <c r="W1757" s="67">
        <f>ROUND(+(V1757*60%)*D1757,4)</f>
        <v>0</v>
      </c>
      <c r="X1757" s="148">
        <f>ROUND(+U1757+W1757,4)</f>
        <v>0</v>
      </c>
      <c r="Y1757" s="68"/>
      <c r="Z1757" s="148">
        <f>ROUND(IF(X1757&gt;I1757,X1757,I1757),4)</f>
        <v>0</v>
      </c>
      <c r="AD1757" s="78">
        <f t="shared" si="32"/>
        <v>0</v>
      </c>
      <c r="AE1757" s="78">
        <f t="shared" si="33"/>
        <v>0</v>
      </c>
    </row>
    <row r="1758" spans="1:31" x14ac:dyDescent="0.2">
      <c r="A1758" s="66"/>
      <c r="B1758" s="66"/>
      <c r="C1758" s="66"/>
      <c r="D1758" s="144"/>
      <c r="E1758" s="67"/>
      <c r="F1758" s="67"/>
      <c r="G1758" s="67"/>
      <c r="H1758" s="67">
        <f>ROUND(+E1758+G1758,4)</f>
        <v>0</v>
      </c>
      <c r="I1758" s="67"/>
      <c r="J1758" s="67">
        <f>ROUND(+I1758-H1758,4)</f>
        <v>0</v>
      </c>
      <c r="K1758" s="67">
        <f>ROUND(IF(F1758="alluminio",0,I1758*1.5%),4)</f>
        <v>0</v>
      </c>
      <c r="L1758" s="67">
        <f>ROUND(IF(K1758&lt;J1758,K1758,0),4)</f>
        <v>0</v>
      </c>
      <c r="M1758" s="67">
        <f>ROUND(IF(J1758&gt;K1758,0,J1758),4)</f>
        <v>0</v>
      </c>
      <c r="N1758" s="67">
        <f>ROUND(+L1758*D1758,4)</f>
        <v>0</v>
      </c>
      <c r="O1758" s="67">
        <f>ROUND(IF(F1758="rame",0,+I1758*3%),4)</f>
        <v>0</v>
      </c>
      <c r="P1758" s="67">
        <f>ROUND(IF(O1758&lt;J1758,O1758,0),4)</f>
        <v>0</v>
      </c>
      <c r="Q1758" s="67">
        <f>ROUND(IF(J1758&gt;O1758,0,J1758),4)</f>
        <v>0</v>
      </c>
      <c r="R1758" s="67">
        <f>ROUND(+P1758*D1758,4)</f>
        <v>0</v>
      </c>
      <c r="S1758" s="67">
        <f>ROUND(IF(K1758=0,0,M1758*D1758),4)</f>
        <v>0</v>
      </c>
      <c r="T1758" s="67">
        <f>ROUND(+IF(K1758=0,Q1758*D1758,0),4)</f>
        <v>0</v>
      </c>
      <c r="U1758" s="67">
        <f>ROUND(+N1758+R1758+S1758+T1758,4)</f>
        <v>0</v>
      </c>
      <c r="V1758" s="67">
        <f>ROUND(IF(P1758=0,0,I1758-H1758-O1758)+IF(L1758=0,0,I1758-H1758-K1758),4)</f>
        <v>0</v>
      </c>
      <c r="W1758" s="67">
        <f>ROUND(+(V1758*60%)*D1758,4)</f>
        <v>0</v>
      </c>
      <c r="X1758" s="148">
        <f>ROUND(+U1758+W1758,4)</f>
        <v>0</v>
      </c>
      <c r="Y1758" s="68"/>
      <c r="Z1758" s="148">
        <f>ROUND(IF(X1758&gt;I1758,X1758,I1758),4)</f>
        <v>0</v>
      </c>
      <c r="AD1758" s="78">
        <f t="shared" si="32"/>
        <v>0</v>
      </c>
      <c r="AE1758" s="78">
        <f t="shared" si="33"/>
        <v>0</v>
      </c>
    </row>
    <row r="1759" spans="1:31" x14ac:dyDescent="0.2">
      <c r="A1759" s="66"/>
      <c r="B1759" s="66"/>
      <c r="C1759" s="66"/>
      <c r="D1759" s="144"/>
      <c r="E1759" s="67"/>
      <c r="F1759" s="67"/>
      <c r="G1759" s="67"/>
      <c r="H1759" s="67">
        <f>ROUND(+E1759+G1759,4)</f>
        <v>0</v>
      </c>
      <c r="I1759" s="67"/>
      <c r="J1759" s="67">
        <f>ROUND(+I1759-H1759,4)</f>
        <v>0</v>
      </c>
      <c r="K1759" s="67">
        <f>ROUND(IF(F1759="alluminio",0,I1759*1.5%),4)</f>
        <v>0</v>
      </c>
      <c r="L1759" s="67">
        <f>ROUND(IF(K1759&lt;J1759,K1759,0),4)</f>
        <v>0</v>
      </c>
      <c r="M1759" s="67">
        <f>ROUND(IF(J1759&gt;K1759,0,J1759),4)</f>
        <v>0</v>
      </c>
      <c r="N1759" s="67">
        <f>ROUND(+L1759*D1759,4)</f>
        <v>0</v>
      </c>
      <c r="O1759" s="67">
        <f>ROUND(IF(F1759="rame",0,+I1759*3%),4)</f>
        <v>0</v>
      </c>
      <c r="P1759" s="67">
        <f>ROUND(IF(O1759&lt;J1759,O1759,0),4)</f>
        <v>0</v>
      </c>
      <c r="Q1759" s="67">
        <f>ROUND(IF(J1759&gt;O1759,0,J1759),4)</f>
        <v>0</v>
      </c>
      <c r="R1759" s="67">
        <f>ROUND(+P1759*D1759,4)</f>
        <v>0</v>
      </c>
      <c r="S1759" s="67">
        <f>ROUND(IF(K1759=0,0,M1759*D1759),4)</f>
        <v>0</v>
      </c>
      <c r="T1759" s="67">
        <f>ROUND(+IF(K1759=0,Q1759*D1759,0),4)</f>
        <v>0</v>
      </c>
      <c r="U1759" s="67">
        <f>ROUND(+N1759+R1759+S1759+T1759,4)</f>
        <v>0</v>
      </c>
      <c r="V1759" s="67">
        <f>ROUND(IF(P1759=0,0,I1759-H1759-O1759)+IF(L1759=0,0,I1759-H1759-K1759),4)</f>
        <v>0</v>
      </c>
      <c r="W1759" s="67">
        <f>ROUND(+(V1759*60%)*D1759,4)</f>
        <v>0</v>
      </c>
      <c r="X1759" s="148">
        <f>ROUND(+U1759+W1759,4)</f>
        <v>0</v>
      </c>
      <c r="Y1759" s="68"/>
      <c r="Z1759" s="148">
        <f>ROUND(IF(X1759&gt;I1759,X1759,I1759),4)</f>
        <v>0</v>
      </c>
      <c r="AD1759" s="78">
        <f t="shared" si="32"/>
        <v>0</v>
      </c>
      <c r="AE1759" s="78">
        <f t="shared" si="33"/>
        <v>0</v>
      </c>
    </row>
    <row r="1760" spans="1:31" x14ac:dyDescent="0.2">
      <c r="A1760" s="66"/>
      <c r="B1760" s="66"/>
      <c r="C1760" s="66"/>
      <c r="D1760" s="144"/>
      <c r="E1760" s="67"/>
      <c r="F1760" s="67"/>
      <c r="G1760" s="67"/>
      <c r="H1760" s="67">
        <f>ROUND(+E1760+G1760,4)</f>
        <v>0</v>
      </c>
      <c r="I1760" s="67"/>
      <c r="J1760" s="67">
        <f>ROUND(+I1760-H1760,4)</f>
        <v>0</v>
      </c>
      <c r="K1760" s="67">
        <f>ROUND(IF(F1760="alluminio",0,I1760*1.5%),4)</f>
        <v>0</v>
      </c>
      <c r="L1760" s="67">
        <f>ROUND(IF(K1760&lt;J1760,K1760,0),4)</f>
        <v>0</v>
      </c>
      <c r="M1760" s="67">
        <f>ROUND(IF(J1760&gt;K1760,0,J1760),4)</f>
        <v>0</v>
      </c>
      <c r="N1760" s="67">
        <f>ROUND(+L1760*D1760,4)</f>
        <v>0</v>
      </c>
      <c r="O1760" s="67">
        <f>ROUND(IF(F1760="rame",0,+I1760*3%),4)</f>
        <v>0</v>
      </c>
      <c r="P1760" s="67">
        <f>ROUND(IF(O1760&lt;J1760,O1760,0),4)</f>
        <v>0</v>
      </c>
      <c r="Q1760" s="67">
        <f>ROUND(IF(J1760&gt;O1760,0,J1760),4)</f>
        <v>0</v>
      </c>
      <c r="R1760" s="67">
        <f>ROUND(+P1760*D1760,4)</f>
        <v>0</v>
      </c>
      <c r="S1760" s="67">
        <f>ROUND(IF(K1760=0,0,M1760*D1760),4)</f>
        <v>0</v>
      </c>
      <c r="T1760" s="67">
        <f>ROUND(+IF(K1760=0,Q1760*D1760,0),4)</f>
        <v>0</v>
      </c>
      <c r="U1760" s="67">
        <f>ROUND(+N1760+R1760+S1760+T1760,4)</f>
        <v>0</v>
      </c>
      <c r="V1760" s="67">
        <f>ROUND(IF(P1760=0,0,I1760-H1760-O1760)+IF(L1760=0,0,I1760-H1760-K1760),4)</f>
        <v>0</v>
      </c>
      <c r="W1760" s="67">
        <f>ROUND(+(V1760*60%)*D1760,4)</f>
        <v>0</v>
      </c>
      <c r="X1760" s="148">
        <f>ROUND(+U1760+W1760,4)</f>
        <v>0</v>
      </c>
      <c r="Y1760" s="68"/>
      <c r="Z1760" s="148">
        <f>ROUND(IF(X1760&gt;I1760,X1760,I1760),4)</f>
        <v>0</v>
      </c>
      <c r="AD1760" s="78">
        <f t="shared" si="32"/>
        <v>0</v>
      </c>
      <c r="AE1760" s="78">
        <f t="shared" si="33"/>
        <v>0</v>
      </c>
    </row>
    <row r="1761" spans="1:31" x14ac:dyDescent="0.2">
      <c r="A1761" s="66"/>
      <c r="B1761" s="66"/>
      <c r="C1761" s="66"/>
      <c r="D1761" s="144"/>
      <c r="E1761" s="67"/>
      <c r="F1761" s="67"/>
      <c r="G1761" s="67"/>
      <c r="H1761" s="67">
        <f>ROUND(+E1761+G1761,4)</f>
        <v>0</v>
      </c>
      <c r="I1761" s="67"/>
      <c r="J1761" s="67">
        <f>ROUND(+I1761-H1761,4)</f>
        <v>0</v>
      </c>
      <c r="K1761" s="67">
        <f>ROUND(IF(F1761="alluminio",0,I1761*1.5%),4)</f>
        <v>0</v>
      </c>
      <c r="L1761" s="67">
        <f>ROUND(IF(K1761&lt;J1761,K1761,0),4)</f>
        <v>0</v>
      </c>
      <c r="M1761" s="67">
        <f>ROUND(IF(J1761&gt;K1761,0,J1761),4)</f>
        <v>0</v>
      </c>
      <c r="N1761" s="67">
        <f>ROUND(+L1761*D1761,4)</f>
        <v>0</v>
      </c>
      <c r="O1761" s="67">
        <f>ROUND(IF(F1761="rame",0,+I1761*3%),4)</f>
        <v>0</v>
      </c>
      <c r="P1761" s="67">
        <f>ROUND(IF(O1761&lt;J1761,O1761,0),4)</f>
        <v>0</v>
      </c>
      <c r="Q1761" s="67">
        <f>ROUND(IF(J1761&gt;O1761,0,J1761),4)</f>
        <v>0</v>
      </c>
      <c r="R1761" s="67">
        <f>ROUND(+P1761*D1761,4)</f>
        <v>0</v>
      </c>
      <c r="S1761" s="67">
        <f>ROUND(IF(K1761=0,0,M1761*D1761),4)</f>
        <v>0</v>
      </c>
      <c r="T1761" s="67">
        <f>ROUND(+IF(K1761=0,Q1761*D1761,0),4)</f>
        <v>0</v>
      </c>
      <c r="U1761" s="67">
        <f>ROUND(+N1761+R1761+S1761+T1761,4)</f>
        <v>0</v>
      </c>
      <c r="V1761" s="67">
        <f>ROUND(IF(P1761=0,0,I1761-H1761-O1761)+IF(L1761=0,0,I1761-H1761-K1761),4)</f>
        <v>0</v>
      </c>
      <c r="W1761" s="67">
        <f>ROUND(+(V1761*60%)*D1761,4)</f>
        <v>0</v>
      </c>
      <c r="X1761" s="148">
        <f>ROUND(+U1761+W1761,4)</f>
        <v>0</v>
      </c>
      <c r="Y1761" s="68"/>
      <c r="Z1761" s="148">
        <f>ROUND(IF(X1761&gt;I1761,X1761,I1761),4)</f>
        <v>0</v>
      </c>
      <c r="AD1761" s="78">
        <f t="shared" si="32"/>
        <v>0</v>
      </c>
      <c r="AE1761" s="78">
        <f t="shared" si="33"/>
        <v>0</v>
      </c>
    </row>
    <row r="1762" spans="1:31" x14ac:dyDescent="0.2">
      <c r="A1762" s="66"/>
      <c r="B1762" s="66"/>
      <c r="C1762" s="66"/>
      <c r="D1762" s="144"/>
      <c r="E1762" s="67"/>
      <c r="F1762" s="67"/>
      <c r="G1762" s="67"/>
      <c r="H1762" s="67">
        <f>ROUND(+E1762+G1762,4)</f>
        <v>0</v>
      </c>
      <c r="I1762" s="67"/>
      <c r="J1762" s="67">
        <f>ROUND(+I1762-H1762,4)</f>
        <v>0</v>
      </c>
      <c r="K1762" s="67">
        <f>ROUND(IF(F1762="alluminio",0,I1762*1.5%),4)</f>
        <v>0</v>
      </c>
      <c r="L1762" s="67">
        <f>ROUND(IF(K1762&lt;J1762,K1762,0),4)</f>
        <v>0</v>
      </c>
      <c r="M1762" s="67">
        <f>ROUND(IF(J1762&gt;K1762,0,J1762),4)</f>
        <v>0</v>
      </c>
      <c r="N1762" s="67">
        <f>ROUND(+L1762*D1762,4)</f>
        <v>0</v>
      </c>
      <c r="O1762" s="67">
        <f>ROUND(IF(F1762="rame",0,+I1762*3%),4)</f>
        <v>0</v>
      </c>
      <c r="P1762" s="67">
        <f>ROUND(IF(O1762&lt;J1762,O1762,0),4)</f>
        <v>0</v>
      </c>
      <c r="Q1762" s="67">
        <f>ROUND(IF(J1762&gt;O1762,0,J1762),4)</f>
        <v>0</v>
      </c>
      <c r="R1762" s="67">
        <f>ROUND(+P1762*D1762,4)</f>
        <v>0</v>
      </c>
      <c r="S1762" s="67">
        <f>ROUND(IF(K1762=0,0,M1762*D1762),4)</f>
        <v>0</v>
      </c>
      <c r="T1762" s="67">
        <f>ROUND(+IF(K1762=0,Q1762*D1762,0),4)</f>
        <v>0</v>
      </c>
      <c r="U1762" s="67">
        <f>ROUND(+N1762+R1762+S1762+T1762,4)</f>
        <v>0</v>
      </c>
      <c r="V1762" s="67">
        <f>ROUND(IF(P1762=0,0,I1762-H1762-O1762)+IF(L1762=0,0,I1762-H1762-K1762),4)</f>
        <v>0</v>
      </c>
      <c r="W1762" s="67">
        <f>ROUND(+(V1762*60%)*D1762,4)</f>
        <v>0</v>
      </c>
      <c r="X1762" s="148">
        <f>ROUND(+U1762+W1762,4)</f>
        <v>0</v>
      </c>
      <c r="Y1762" s="68"/>
      <c r="Z1762" s="148">
        <f>ROUND(IF(X1762&gt;I1762,X1762,I1762),4)</f>
        <v>0</v>
      </c>
      <c r="AD1762" s="78">
        <f t="shared" si="32"/>
        <v>0</v>
      </c>
      <c r="AE1762" s="78">
        <f t="shared" si="33"/>
        <v>0</v>
      </c>
    </row>
    <row r="1763" spans="1:31" x14ac:dyDescent="0.2">
      <c r="A1763" s="66"/>
      <c r="B1763" s="66"/>
      <c r="C1763" s="66"/>
      <c r="D1763" s="144"/>
      <c r="E1763" s="67"/>
      <c r="F1763" s="67"/>
      <c r="G1763" s="67"/>
      <c r="H1763" s="67">
        <f>ROUND(+E1763+G1763,4)</f>
        <v>0</v>
      </c>
      <c r="I1763" s="67"/>
      <c r="J1763" s="67">
        <f>ROUND(+I1763-H1763,4)</f>
        <v>0</v>
      </c>
      <c r="K1763" s="67">
        <f>ROUND(IF(F1763="alluminio",0,I1763*1.5%),4)</f>
        <v>0</v>
      </c>
      <c r="L1763" s="67">
        <f>ROUND(IF(K1763&lt;J1763,K1763,0),4)</f>
        <v>0</v>
      </c>
      <c r="M1763" s="67">
        <f>ROUND(IF(J1763&gt;K1763,0,J1763),4)</f>
        <v>0</v>
      </c>
      <c r="N1763" s="67">
        <f>ROUND(+L1763*D1763,4)</f>
        <v>0</v>
      </c>
      <c r="O1763" s="67">
        <f>ROUND(IF(F1763="rame",0,+I1763*3%),4)</f>
        <v>0</v>
      </c>
      <c r="P1763" s="67">
        <f>ROUND(IF(O1763&lt;J1763,O1763,0),4)</f>
        <v>0</v>
      </c>
      <c r="Q1763" s="67">
        <f>ROUND(IF(J1763&gt;O1763,0,J1763),4)</f>
        <v>0</v>
      </c>
      <c r="R1763" s="67">
        <f>ROUND(+P1763*D1763,4)</f>
        <v>0</v>
      </c>
      <c r="S1763" s="67">
        <f>ROUND(IF(K1763=0,0,M1763*D1763),4)</f>
        <v>0</v>
      </c>
      <c r="T1763" s="67">
        <f>ROUND(+IF(K1763=0,Q1763*D1763,0),4)</f>
        <v>0</v>
      </c>
      <c r="U1763" s="67">
        <f>ROUND(+N1763+R1763+S1763+T1763,4)</f>
        <v>0</v>
      </c>
      <c r="V1763" s="67">
        <f>ROUND(IF(P1763=0,0,I1763-H1763-O1763)+IF(L1763=0,0,I1763-H1763-K1763),4)</f>
        <v>0</v>
      </c>
      <c r="W1763" s="67">
        <f>ROUND(+(V1763*60%)*D1763,4)</f>
        <v>0</v>
      </c>
      <c r="X1763" s="148">
        <f>ROUND(+U1763+W1763,4)</f>
        <v>0</v>
      </c>
      <c r="Y1763" s="68"/>
      <c r="Z1763" s="148">
        <f>ROUND(IF(X1763&gt;I1763,X1763,I1763),4)</f>
        <v>0</v>
      </c>
      <c r="AD1763" s="78">
        <f t="shared" si="32"/>
        <v>0</v>
      </c>
      <c r="AE1763" s="78">
        <f t="shared" si="33"/>
        <v>0</v>
      </c>
    </row>
    <row r="1764" spans="1:31" x14ac:dyDescent="0.2">
      <c r="A1764" s="66"/>
      <c r="B1764" s="66"/>
      <c r="C1764" s="66"/>
      <c r="D1764" s="144"/>
      <c r="E1764" s="67"/>
      <c r="F1764" s="67"/>
      <c r="G1764" s="67"/>
      <c r="H1764" s="67">
        <f>ROUND(+E1764+G1764,4)</f>
        <v>0</v>
      </c>
      <c r="I1764" s="67"/>
      <c r="J1764" s="67">
        <f>ROUND(+I1764-H1764,4)</f>
        <v>0</v>
      </c>
      <c r="K1764" s="67">
        <f>ROUND(IF(F1764="alluminio",0,I1764*1.5%),4)</f>
        <v>0</v>
      </c>
      <c r="L1764" s="67">
        <f>ROUND(IF(K1764&lt;J1764,K1764,0),4)</f>
        <v>0</v>
      </c>
      <c r="M1764" s="67">
        <f>ROUND(IF(J1764&gt;K1764,0,J1764),4)</f>
        <v>0</v>
      </c>
      <c r="N1764" s="67">
        <f>ROUND(+L1764*D1764,4)</f>
        <v>0</v>
      </c>
      <c r="O1764" s="67">
        <f>ROUND(IF(F1764="rame",0,+I1764*3%),4)</f>
        <v>0</v>
      </c>
      <c r="P1764" s="67">
        <f>ROUND(IF(O1764&lt;J1764,O1764,0),4)</f>
        <v>0</v>
      </c>
      <c r="Q1764" s="67">
        <f>ROUND(IF(J1764&gt;O1764,0,J1764),4)</f>
        <v>0</v>
      </c>
      <c r="R1764" s="67">
        <f>ROUND(+P1764*D1764,4)</f>
        <v>0</v>
      </c>
      <c r="S1764" s="67">
        <f>ROUND(IF(K1764=0,0,M1764*D1764),4)</f>
        <v>0</v>
      </c>
      <c r="T1764" s="67">
        <f>ROUND(+IF(K1764=0,Q1764*D1764,0),4)</f>
        <v>0</v>
      </c>
      <c r="U1764" s="67">
        <f>ROUND(+N1764+R1764+S1764+T1764,4)</f>
        <v>0</v>
      </c>
      <c r="V1764" s="67">
        <f>ROUND(IF(P1764=0,0,I1764-H1764-O1764)+IF(L1764=0,0,I1764-H1764-K1764),4)</f>
        <v>0</v>
      </c>
      <c r="W1764" s="67">
        <f>ROUND(+(V1764*60%)*D1764,4)</f>
        <v>0</v>
      </c>
      <c r="X1764" s="148">
        <f>ROUND(+U1764+W1764,4)</f>
        <v>0</v>
      </c>
      <c r="Y1764" s="68"/>
      <c r="Z1764" s="148">
        <f>ROUND(IF(X1764&gt;I1764,X1764,I1764),4)</f>
        <v>0</v>
      </c>
      <c r="AD1764" s="78">
        <f t="shared" si="32"/>
        <v>0</v>
      </c>
      <c r="AE1764" s="78">
        <f t="shared" si="33"/>
        <v>0</v>
      </c>
    </row>
    <row r="1765" spans="1:31" x14ac:dyDescent="0.2">
      <c r="A1765" s="66"/>
      <c r="B1765" s="66"/>
      <c r="C1765" s="66"/>
      <c r="D1765" s="144"/>
      <c r="E1765" s="67"/>
      <c r="F1765" s="67"/>
      <c r="G1765" s="67"/>
      <c r="H1765" s="67">
        <f>ROUND(+E1765+G1765,4)</f>
        <v>0</v>
      </c>
      <c r="I1765" s="67"/>
      <c r="J1765" s="67">
        <f>ROUND(+I1765-H1765,4)</f>
        <v>0</v>
      </c>
      <c r="K1765" s="67">
        <f>ROUND(IF(F1765="alluminio",0,I1765*1.5%),4)</f>
        <v>0</v>
      </c>
      <c r="L1765" s="67">
        <f>ROUND(IF(K1765&lt;J1765,K1765,0),4)</f>
        <v>0</v>
      </c>
      <c r="M1765" s="67">
        <f>ROUND(IF(J1765&gt;K1765,0,J1765),4)</f>
        <v>0</v>
      </c>
      <c r="N1765" s="67">
        <f>ROUND(+L1765*D1765,4)</f>
        <v>0</v>
      </c>
      <c r="O1765" s="67">
        <f>ROUND(IF(F1765="rame",0,+I1765*3%),4)</f>
        <v>0</v>
      </c>
      <c r="P1765" s="67">
        <f>ROUND(IF(O1765&lt;J1765,O1765,0),4)</f>
        <v>0</v>
      </c>
      <c r="Q1765" s="67">
        <f>ROUND(IF(J1765&gt;O1765,0,J1765),4)</f>
        <v>0</v>
      </c>
      <c r="R1765" s="67">
        <f>ROUND(+P1765*D1765,4)</f>
        <v>0</v>
      </c>
      <c r="S1765" s="67">
        <f>ROUND(IF(K1765=0,0,M1765*D1765),4)</f>
        <v>0</v>
      </c>
      <c r="T1765" s="67">
        <f>ROUND(+IF(K1765=0,Q1765*D1765,0),4)</f>
        <v>0</v>
      </c>
      <c r="U1765" s="67">
        <f>ROUND(+N1765+R1765+S1765+T1765,4)</f>
        <v>0</v>
      </c>
      <c r="V1765" s="67">
        <f>ROUND(IF(P1765=0,0,I1765-H1765-O1765)+IF(L1765=0,0,I1765-H1765-K1765),4)</f>
        <v>0</v>
      </c>
      <c r="W1765" s="67">
        <f>ROUND(+(V1765*60%)*D1765,4)</f>
        <v>0</v>
      </c>
      <c r="X1765" s="148">
        <f>ROUND(+U1765+W1765,4)</f>
        <v>0</v>
      </c>
      <c r="Y1765" s="68"/>
      <c r="Z1765" s="148">
        <f>ROUND(IF(X1765&gt;I1765,X1765,I1765),4)</f>
        <v>0</v>
      </c>
      <c r="AD1765" s="78">
        <f t="shared" si="32"/>
        <v>0</v>
      </c>
      <c r="AE1765" s="78">
        <f t="shared" si="33"/>
        <v>0</v>
      </c>
    </row>
    <row r="1766" spans="1:31" x14ac:dyDescent="0.2">
      <c r="A1766" s="66"/>
      <c r="B1766" s="66"/>
      <c r="C1766" s="66"/>
      <c r="D1766" s="144"/>
      <c r="E1766" s="67"/>
      <c r="F1766" s="67"/>
      <c r="G1766" s="67"/>
      <c r="H1766" s="67">
        <f>ROUND(+E1766+G1766,4)</f>
        <v>0</v>
      </c>
      <c r="I1766" s="67"/>
      <c r="J1766" s="67">
        <f>ROUND(+I1766-H1766,4)</f>
        <v>0</v>
      </c>
      <c r="K1766" s="67">
        <f>ROUND(IF(F1766="alluminio",0,I1766*1.5%),4)</f>
        <v>0</v>
      </c>
      <c r="L1766" s="67">
        <f>ROUND(IF(K1766&lt;J1766,K1766,0),4)</f>
        <v>0</v>
      </c>
      <c r="M1766" s="67">
        <f>ROUND(IF(J1766&gt;K1766,0,J1766),4)</f>
        <v>0</v>
      </c>
      <c r="N1766" s="67">
        <f>ROUND(+L1766*D1766,4)</f>
        <v>0</v>
      </c>
      <c r="O1766" s="67">
        <f>ROUND(IF(F1766="rame",0,+I1766*3%),4)</f>
        <v>0</v>
      </c>
      <c r="P1766" s="67">
        <f>ROUND(IF(O1766&lt;J1766,O1766,0),4)</f>
        <v>0</v>
      </c>
      <c r="Q1766" s="67">
        <f>ROUND(IF(J1766&gt;O1766,0,J1766),4)</f>
        <v>0</v>
      </c>
      <c r="R1766" s="67">
        <f>ROUND(+P1766*D1766,4)</f>
        <v>0</v>
      </c>
      <c r="S1766" s="67">
        <f>ROUND(IF(K1766=0,0,M1766*D1766),4)</f>
        <v>0</v>
      </c>
      <c r="T1766" s="67">
        <f>ROUND(+IF(K1766=0,Q1766*D1766,0),4)</f>
        <v>0</v>
      </c>
      <c r="U1766" s="67">
        <f>ROUND(+N1766+R1766+S1766+T1766,4)</f>
        <v>0</v>
      </c>
      <c r="V1766" s="67">
        <f>ROUND(IF(P1766=0,0,I1766-H1766-O1766)+IF(L1766=0,0,I1766-H1766-K1766),4)</f>
        <v>0</v>
      </c>
      <c r="W1766" s="67">
        <f>ROUND(+(V1766*60%)*D1766,4)</f>
        <v>0</v>
      </c>
      <c r="X1766" s="148">
        <f>ROUND(+U1766+W1766,4)</f>
        <v>0</v>
      </c>
      <c r="Y1766" s="68"/>
      <c r="Z1766" s="148">
        <f>ROUND(IF(X1766&gt;I1766,X1766,I1766),4)</f>
        <v>0</v>
      </c>
      <c r="AD1766" s="78">
        <f t="shared" si="32"/>
        <v>0</v>
      </c>
      <c r="AE1766" s="78">
        <f t="shared" si="33"/>
        <v>0</v>
      </c>
    </row>
    <row r="1767" spans="1:31" x14ac:dyDescent="0.2">
      <c r="A1767" s="66"/>
      <c r="B1767" s="66"/>
      <c r="C1767" s="66"/>
      <c r="D1767" s="144"/>
      <c r="E1767" s="67"/>
      <c r="F1767" s="67"/>
      <c r="G1767" s="67"/>
      <c r="H1767" s="67">
        <f>ROUND(+E1767+G1767,4)</f>
        <v>0</v>
      </c>
      <c r="I1767" s="67"/>
      <c r="J1767" s="67">
        <f>ROUND(+I1767-H1767,4)</f>
        <v>0</v>
      </c>
      <c r="K1767" s="67">
        <f>ROUND(IF(F1767="alluminio",0,I1767*1.5%),4)</f>
        <v>0</v>
      </c>
      <c r="L1767" s="67">
        <f>ROUND(IF(K1767&lt;J1767,K1767,0),4)</f>
        <v>0</v>
      </c>
      <c r="M1767" s="67">
        <f>ROUND(IF(J1767&gt;K1767,0,J1767),4)</f>
        <v>0</v>
      </c>
      <c r="N1767" s="67">
        <f>ROUND(+L1767*D1767,4)</f>
        <v>0</v>
      </c>
      <c r="O1767" s="67">
        <f>ROUND(IF(F1767="rame",0,+I1767*3%),4)</f>
        <v>0</v>
      </c>
      <c r="P1767" s="67">
        <f>ROUND(IF(O1767&lt;J1767,O1767,0),4)</f>
        <v>0</v>
      </c>
      <c r="Q1767" s="67">
        <f>ROUND(IF(J1767&gt;O1767,0,J1767),4)</f>
        <v>0</v>
      </c>
      <c r="R1767" s="67">
        <f>ROUND(+P1767*D1767,4)</f>
        <v>0</v>
      </c>
      <c r="S1767" s="67">
        <f>ROUND(IF(K1767=0,0,M1767*D1767),4)</f>
        <v>0</v>
      </c>
      <c r="T1767" s="67">
        <f>ROUND(+IF(K1767=0,Q1767*D1767,0),4)</f>
        <v>0</v>
      </c>
      <c r="U1767" s="67">
        <f>ROUND(+N1767+R1767+S1767+T1767,4)</f>
        <v>0</v>
      </c>
      <c r="V1767" s="67">
        <f>ROUND(IF(P1767=0,0,I1767-H1767-O1767)+IF(L1767=0,0,I1767-H1767-K1767),4)</f>
        <v>0</v>
      </c>
      <c r="W1767" s="67">
        <f>ROUND(+(V1767*60%)*D1767,4)</f>
        <v>0</v>
      </c>
      <c r="X1767" s="148">
        <f>ROUND(+U1767+W1767,4)</f>
        <v>0</v>
      </c>
      <c r="Y1767" s="68"/>
      <c r="Z1767" s="148">
        <f>ROUND(IF(X1767&gt;I1767,X1767,I1767),4)</f>
        <v>0</v>
      </c>
      <c r="AD1767" s="78">
        <f t="shared" si="32"/>
        <v>0</v>
      </c>
      <c r="AE1767" s="78">
        <f t="shared" si="33"/>
        <v>0</v>
      </c>
    </row>
    <row r="1768" spans="1:31" x14ac:dyDescent="0.2">
      <c r="A1768" s="66"/>
      <c r="B1768" s="66"/>
      <c r="C1768" s="66"/>
      <c r="D1768" s="144"/>
      <c r="E1768" s="67"/>
      <c r="F1768" s="67"/>
      <c r="G1768" s="67"/>
      <c r="H1768" s="67">
        <f>ROUND(+E1768+G1768,4)</f>
        <v>0</v>
      </c>
      <c r="I1768" s="67"/>
      <c r="J1768" s="67">
        <f>ROUND(+I1768-H1768,4)</f>
        <v>0</v>
      </c>
      <c r="K1768" s="67">
        <f>ROUND(IF(F1768="alluminio",0,I1768*1.5%),4)</f>
        <v>0</v>
      </c>
      <c r="L1768" s="67">
        <f>ROUND(IF(K1768&lt;J1768,K1768,0),4)</f>
        <v>0</v>
      </c>
      <c r="M1768" s="67">
        <f>ROUND(IF(J1768&gt;K1768,0,J1768),4)</f>
        <v>0</v>
      </c>
      <c r="N1768" s="67">
        <f>ROUND(+L1768*D1768,4)</f>
        <v>0</v>
      </c>
      <c r="O1768" s="67">
        <f>ROUND(IF(F1768="rame",0,+I1768*3%),4)</f>
        <v>0</v>
      </c>
      <c r="P1768" s="67">
        <f>ROUND(IF(O1768&lt;J1768,O1768,0),4)</f>
        <v>0</v>
      </c>
      <c r="Q1768" s="67">
        <f>ROUND(IF(J1768&gt;O1768,0,J1768),4)</f>
        <v>0</v>
      </c>
      <c r="R1768" s="67">
        <f>ROUND(+P1768*D1768,4)</f>
        <v>0</v>
      </c>
      <c r="S1768" s="67">
        <f>ROUND(IF(K1768=0,0,M1768*D1768),4)</f>
        <v>0</v>
      </c>
      <c r="T1768" s="67">
        <f>ROUND(+IF(K1768=0,Q1768*D1768,0),4)</f>
        <v>0</v>
      </c>
      <c r="U1768" s="67">
        <f>ROUND(+N1768+R1768+S1768+T1768,4)</f>
        <v>0</v>
      </c>
      <c r="V1768" s="67">
        <f>ROUND(IF(P1768=0,0,I1768-H1768-O1768)+IF(L1768=0,0,I1768-H1768-K1768),4)</f>
        <v>0</v>
      </c>
      <c r="W1768" s="67">
        <f>ROUND(+(V1768*60%)*D1768,4)</f>
        <v>0</v>
      </c>
      <c r="X1768" s="148">
        <f>ROUND(+U1768+W1768,4)</f>
        <v>0</v>
      </c>
      <c r="Y1768" s="68"/>
      <c r="Z1768" s="148">
        <f>ROUND(IF(X1768&gt;I1768,X1768,I1768),4)</f>
        <v>0</v>
      </c>
      <c r="AD1768" s="78">
        <f t="shared" si="32"/>
        <v>0</v>
      </c>
      <c r="AE1768" s="78">
        <f t="shared" si="33"/>
        <v>0</v>
      </c>
    </row>
    <row r="1769" spans="1:31" x14ac:dyDescent="0.2">
      <c r="A1769" s="66"/>
      <c r="B1769" s="66"/>
      <c r="C1769" s="66"/>
      <c r="D1769" s="144"/>
      <c r="E1769" s="67"/>
      <c r="F1769" s="67"/>
      <c r="G1769" s="67"/>
      <c r="H1769" s="67">
        <f>ROUND(+E1769+G1769,4)</f>
        <v>0</v>
      </c>
      <c r="I1769" s="67"/>
      <c r="J1769" s="67">
        <f>ROUND(+I1769-H1769,4)</f>
        <v>0</v>
      </c>
      <c r="K1769" s="67">
        <f>ROUND(IF(F1769="alluminio",0,I1769*1.5%),4)</f>
        <v>0</v>
      </c>
      <c r="L1769" s="67">
        <f>ROUND(IF(K1769&lt;J1769,K1769,0),4)</f>
        <v>0</v>
      </c>
      <c r="M1769" s="67">
        <f>ROUND(IF(J1769&gt;K1769,0,J1769),4)</f>
        <v>0</v>
      </c>
      <c r="N1769" s="67">
        <f>ROUND(+L1769*D1769,4)</f>
        <v>0</v>
      </c>
      <c r="O1769" s="67">
        <f>ROUND(IF(F1769="rame",0,+I1769*3%),4)</f>
        <v>0</v>
      </c>
      <c r="P1769" s="67">
        <f>ROUND(IF(O1769&lt;J1769,O1769,0),4)</f>
        <v>0</v>
      </c>
      <c r="Q1769" s="67">
        <f>ROUND(IF(J1769&gt;O1769,0,J1769),4)</f>
        <v>0</v>
      </c>
      <c r="R1769" s="67">
        <f>ROUND(+P1769*D1769,4)</f>
        <v>0</v>
      </c>
      <c r="S1769" s="67">
        <f>ROUND(IF(K1769=0,0,M1769*D1769),4)</f>
        <v>0</v>
      </c>
      <c r="T1769" s="67">
        <f>ROUND(+IF(K1769=0,Q1769*D1769,0),4)</f>
        <v>0</v>
      </c>
      <c r="U1769" s="67">
        <f>ROUND(+N1769+R1769+S1769+T1769,4)</f>
        <v>0</v>
      </c>
      <c r="V1769" s="67">
        <f>ROUND(IF(P1769=0,0,I1769-H1769-O1769)+IF(L1769=0,0,I1769-H1769-K1769),4)</f>
        <v>0</v>
      </c>
      <c r="W1769" s="67">
        <f>ROUND(+(V1769*60%)*D1769,4)</f>
        <v>0</v>
      </c>
      <c r="X1769" s="148">
        <f>ROUND(+U1769+W1769,4)</f>
        <v>0</v>
      </c>
      <c r="Y1769" s="68"/>
      <c r="Z1769" s="148">
        <f>ROUND(IF(X1769&gt;I1769,X1769,I1769),4)</f>
        <v>0</v>
      </c>
      <c r="AD1769" s="78">
        <f t="shared" si="32"/>
        <v>0</v>
      </c>
      <c r="AE1769" s="78">
        <f t="shared" si="33"/>
        <v>0</v>
      </c>
    </row>
    <row r="1770" spans="1:31" x14ac:dyDescent="0.2">
      <c r="A1770" s="66"/>
      <c r="B1770" s="66"/>
      <c r="C1770" s="66"/>
      <c r="D1770" s="144"/>
      <c r="E1770" s="67"/>
      <c r="F1770" s="67"/>
      <c r="G1770" s="67"/>
      <c r="H1770" s="67">
        <f>ROUND(+E1770+G1770,4)</f>
        <v>0</v>
      </c>
      <c r="I1770" s="67"/>
      <c r="J1770" s="67">
        <f>ROUND(+I1770-H1770,4)</f>
        <v>0</v>
      </c>
      <c r="K1770" s="67">
        <f>ROUND(IF(F1770="alluminio",0,I1770*1.5%),4)</f>
        <v>0</v>
      </c>
      <c r="L1770" s="67">
        <f>ROUND(IF(K1770&lt;J1770,K1770,0),4)</f>
        <v>0</v>
      </c>
      <c r="M1770" s="67">
        <f>ROUND(IF(J1770&gt;K1770,0,J1770),4)</f>
        <v>0</v>
      </c>
      <c r="N1770" s="67">
        <f>ROUND(+L1770*D1770,4)</f>
        <v>0</v>
      </c>
      <c r="O1770" s="67">
        <f>ROUND(IF(F1770="rame",0,+I1770*3%),4)</f>
        <v>0</v>
      </c>
      <c r="P1770" s="67">
        <f>ROUND(IF(O1770&lt;J1770,O1770,0),4)</f>
        <v>0</v>
      </c>
      <c r="Q1770" s="67">
        <f>ROUND(IF(J1770&gt;O1770,0,J1770),4)</f>
        <v>0</v>
      </c>
      <c r="R1770" s="67">
        <f>ROUND(+P1770*D1770,4)</f>
        <v>0</v>
      </c>
      <c r="S1770" s="67">
        <f>ROUND(IF(K1770=0,0,M1770*D1770),4)</f>
        <v>0</v>
      </c>
      <c r="T1770" s="67">
        <f>ROUND(+IF(K1770=0,Q1770*D1770,0),4)</f>
        <v>0</v>
      </c>
      <c r="U1770" s="67">
        <f>ROUND(+N1770+R1770+S1770+T1770,4)</f>
        <v>0</v>
      </c>
      <c r="V1770" s="67">
        <f>ROUND(IF(P1770=0,0,I1770-H1770-O1770)+IF(L1770=0,0,I1770-H1770-K1770),4)</f>
        <v>0</v>
      </c>
      <c r="W1770" s="67">
        <f>ROUND(+(V1770*60%)*D1770,4)</f>
        <v>0</v>
      </c>
      <c r="X1770" s="148">
        <f>ROUND(+U1770+W1770,4)</f>
        <v>0</v>
      </c>
      <c r="Y1770" s="68"/>
      <c r="Z1770" s="148">
        <f>ROUND(IF(X1770&gt;I1770,X1770,I1770),4)</f>
        <v>0</v>
      </c>
      <c r="AD1770" s="78">
        <f t="shared" si="32"/>
        <v>0</v>
      </c>
      <c r="AE1770" s="78">
        <f t="shared" si="33"/>
        <v>0</v>
      </c>
    </row>
    <row r="1771" spans="1:31" x14ac:dyDescent="0.2">
      <c r="A1771" s="66"/>
      <c r="B1771" s="66"/>
      <c r="C1771" s="66"/>
      <c r="D1771" s="144"/>
      <c r="E1771" s="67"/>
      <c r="F1771" s="67"/>
      <c r="G1771" s="67"/>
      <c r="H1771" s="67">
        <f>ROUND(+E1771+G1771,4)</f>
        <v>0</v>
      </c>
      <c r="I1771" s="67"/>
      <c r="J1771" s="67">
        <f>ROUND(+I1771-H1771,4)</f>
        <v>0</v>
      </c>
      <c r="K1771" s="67">
        <f>ROUND(IF(F1771="alluminio",0,I1771*1.5%),4)</f>
        <v>0</v>
      </c>
      <c r="L1771" s="67">
        <f>ROUND(IF(K1771&lt;J1771,K1771,0),4)</f>
        <v>0</v>
      </c>
      <c r="M1771" s="67">
        <f>ROUND(IF(J1771&gt;K1771,0,J1771),4)</f>
        <v>0</v>
      </c>
      <c r="N1771" s="67">
        <f>ROUND(+L1771*D1771,4)</f>
        <v>0</v>
      </c>
      <c r="O1771" s="67">
        <f>ROUND(IF(F1771="rame",0,+I1771*3%),4)</f>
        <v>0</v>
      </c>
      <c r="P1771" s="67">
        <f>ROUND(IF(O1771&lt;J1771,O1771,0),4)</f>
        <v>0</v>
      </c>
      <c r="Q1771" s="67">
        <f>ROUND(IF(J1771&gt;O1771,0,J1771),4)</f>
        <v>0</v>
      </c>
      <c r="R1771" s="67">
        <f>ROUND(+P1771*D1771,4)</f>
        <v>0</v>
      </c>
      <c r="S1771" s="67">
        <f>ROUND(IF(K1771=0,0,M1771*D1771),4)</f>
        <v>0</v>
      </c>
      <c r="T1771" s="67">
        <f>ROUND(+IF(K1771=0,Q1771*D1771,0),4)</f>
        <v>0</v>
      </c>
      <c r="U1771" s="67">
        <f>ROUND(+N1771+R1771+S1771+T1771,4)</f>
        <v>0</v>
      </c>
      <c r="V1771" s="67">
        <f>ROUND(IF(P1771=0,0,I1771-H1771-O1771)+IF(L1771=0,0,I1771-H1771-K1771),4)</f>
        <v>0</v>
      </c>
      <c r="W1771" s="67">
        <f>ROUND(+(V1771*60%)*D1771,4)</f>
        <v>0</v>
      </c>
      <c r="X1771" s="148">
        <f>ROUND(+U1771+W1771,4)</f>
        <v>0</v>
      </c>
      <c r="Y1771" s="68"/>
      <c r="Z1771" s="148">
        <f>ROUND(IF(X1771&gt;I1771,X1771,I1771),4)</f>
        <v>0</v>
      </c>
      <c r="AD1771" s="78">
        <f t="shared" si="32"/>
        <v>0</v>
      </c>
      <c r="AE1771" s="78">
        <f t="shared" si="33"/>
        <v>0</v>
      </c>
    </row>
    <row r="1772" spans="1:31" x14ac:dyDescent="0.2">
      <c r="A1772" s="66"/>
      <c r="B1772" s="66"/>
      <c r="C1772" s="66"/>
      <c r="D1772" s="144"/>
      <c r="E1772" s="67"/>
      <c r="F1772" s="67"/>
      <c r="G1772" s="67"/>
      <c r="H1772" s="67">
        <f>ROUND(+E1772+G1772,4)</f>
        <v>0</v>
      </c>
      <c r="I1772" s="67"/>
      <c r="J1772" s="67">
        <f>ROUND(+I1772-H1772,4)</f>
        <v>0</v>
      </c>
      <c r="K1772" s="67">
        <f>ROUND(IF(F1772="alluminio",0,I1772*1.5%),4)</f>
        <v>0</v>
      </c>
      <c r="L1772" s="67">
        <f>ROUND(IF(K1772&lt;J1772,K1772,0),4)</f>
        <v>0</v>
      </c>
      <c r="M1772" s="67">
        <f>ROUND(IF(J1772&gt;K1772,0,J1772),4)</f>
        <v>0</v>
      </c>
      <c r="N1772" s="67">
        <f>ROUND(+L1772*D1772,4)</f>
        <v>0</v>
      </c>
      <c r="O1772" s="67">
        <f>ROUND(IF(F1772="rame",0,+I1772*3%),4)</f>
        <v>0</v>
      </c>
      <c r="P1772" s="67">
        <f>ROUND(IF(O1772&lt;J1772,O1772,0),4)</f>
        <v>0</v>
      </c>
      <c r="Q1772" s="67">
        <f>ROUND(IF(J1772&gt;O1772,0,J1772),4)</f>
        <v>0</v>
      </c>
      <c r="R1772" s="67">
        <f>ROUND(+P1772*D1772,4)</f>
        <v>0</v>
      </c>
      <c r="S1772" s="67">
        <f>ROUND(IF(K1772=0,0,M1772*D1772),4)</f>
        <v>0</v>
      </c>
      <c r="T1772" s="67">
        <f>ROUND(+IF(K1772=0,Q1772*D1772,0),4)</f>
        <v>0</v>
      </c>
      <c r="U1772" s="67">
        <f>ROUND(+N1772+R1772+S1772+T1772,4)</f>
        <v>0</v>
      </c>
      <c r="V1772" s="67">
        <f>ROUND(IF(P1772=0,0,I1772-H1772-O1772)+IF(L1772=0,0,I1772-H1772-K1772),4)</f>
        <v>0</v>
      </c>
      <c r="W1772" s="67">
        <f>ROUND(+(V1772*60%)*D1772,4)</f>
        <v>0</v>
      </c>
      <c r="X1772" s="148">
        <f>ROUND(+U1772+W1772,4)</f>
        <v>0</v>
      </c>
      <c r="Y1772" s="68"/>
      <c r="Z1772" s="148">
        <f>ROUND(IF(X1772&gt;I1772,X1772,I1772),4)</f>
        <v>0</v>
      </c>
      <c r="AD1772" s="78">
        <f t="shared" si="32"/>
        <v>0</v>
      </c>
      <c r="AE1772" s="78">
        <f t="shared" si="33"/>
        <v>0</v>
      </c>
    </row>
    <row r="1773" spans="1:31" x14ac:dyDescent="0.2">
      <c r="A1773" s="66"/>
      <c r="B1773" s="66"/>
      <c r="C1773" s="66"/>
      <c r="D1773" s="144"/>
      <c r="E1773" s="67"/>
      <c r="F1773" s="67"/>
      <c r="G1773" s="67"/>
      <c r="H1773" s="67">
        <f>ROUND(+E1773+G1773,4)</f>
        <v>0</v>
      </c>
      <c r="I1773" s="67"/>
      <c r="J1773" s="67">
        <f>ROUND(+I1773-H1773,4)</f>
        <v>0</v>
      </c>
      <c r="K1773" s="67">
        <f>ROUND(IF(F1773="alluminio",0,I1773*1.5%),4)</f>
        <v>0</v>
      </c>
      <c r="L1773" s="67">
        <f>ROUND(IF(K1773&lt;J1773,K1773,0),4)</f>
        <v>0</v>
      </c>
      <c r="M1773" s="67">
        <f>ROUND(IF(J1773&gt;K1773,0,J1773),4)</f>
        <v>0</v>
      </c>
      <c r="N1773" s="67">
        <f>ROUND(+L1773*D1773,4)</f>
        <v>0</v>
      </c>
      <c r="O1773" s="67">
        <f>ROUND(IF(F1773="rame",0,+I1773*3%),4)</f>
        <v>0</v>
      </c>
      <c r="P1773" s="67">
        <f>ROUND(IF(O1773&lt;J1773,O1773,0),4)</f>
        <v>0</v>
      </c>
      <c r="Q1773" s="67">
        <f>ROUND(IF(J1773&gt;O1773,0,J1773),4)</f>
        <v>0</v>
      </c>
      <c r="R1773" s="67">
        <f>ROUND(+P1773*D1773,4)</f>
        <v>0</v>
      </c>
      <c r="S1773" s="67">
        <f>ROUND(IF(K1773=0,0,M1773*D1773),4)</f>
        <v>0</v>
      </c>
      <c r="T1773" s="67">
        <f>ROUND(+IF(K1773=0,Q1773*D1773,0),4)</f>
        <v>0</v>
      </c>
      <c r="U1773" s="67">
        <f>ROUND(+N1773+R1773+S1773+T1773,4)</f>
        <v>0</v>
      </c>
      <c r="V1773" s="67">
        <f>ROUND(IF(P1773=0,0,I1773-H1773-O1773)+IF(L1773=0,0,I1773-H1773-K1773),4)</f>
        <v>0</v>
      </c>
      <c r="W1773" s="67">
        <f>ROUND(+(V1773*60%)*D1773,4)</f>
        <v>0</v>
      </c>
      <c r="X1773" s="148">
        <f>ROUND(+U1773+W1773,4)</f>
        <v>0</v>
      </c>
      <c r="Y1773" s="68"/>
      <c r="Z1773" s="148">
        <f>ROUND(IF(X1773&gt;I1773,X1773,I1773),4)</f>
        <v>0</v>
      </c>
      <c r="AD1773" s="78">
        <f t="shared" si="32"/>
        <v>0</v>
      </c>
      <c r="AE1773" s="78">
        <f t="shared" si="33"/>
        <v>0</v>
      </c>
    </row>
    <row r="1774" spans="1:31" x14ac:dyDescent="0.2">
      <c r="A1774" s="66"/>
      <c r="B1774" s="66"/>
      <c r="C1774" s="66"/>
      <c r="D1774" s="144"/>
      <c r="E1774" s="67"/>
      <c r="F1774" s="67"/>
      <c r="G1774" s="67"/>
      <c r="H1774" s="67">
        <f>ROUND(+E1774+G1774,4)</f>
        <v>0</v>
      </c>
      <c r="I1774" s="67"/>
      <c r="J1774" s="67">
        <f>ROUND(+I1774-H1774,4)</f>
        <v>0</v>
      </c>
      <c r="K1774" s="67">
        <f>ROUND(IF(F1774="alluminio",0,I1774*1.5%),4)</f>
        <v>0</v>
      </c>
      <c r="L1774" s="67">
        <f>ROUND(IF(K1774&lt;J1774,K1774,0),4)</f>
        <v>0</v>
      </c>
      <c r="M1774" s="67">
        <f>ROUND(IF(J1774&gt;K1774,0,J1774),4)</f>
        <v>0</v>
      </c>
      <c r="N1774" s="67">
        <f>ROUND(+L1774*D1774,4)</f>
        <v>0</v>
      </c>
      <c r="O1774" s="67">
        <f>ROUND(IF(F1774="rame",0,+I1774*3%),4)</f>
        <v>0</v>
      </c>
      <c r="P1774" s="67">
        <f>ROUND(IF(O1774&lt;J1774,O1774,0),4)</f>
        <v>0</v>
      </c>
      <c r="Q1774" s="67">
        <f>ROUND(IF(J1774&gt;O1774,0,J1774),4)</f>
        <v>0</v>
      </c>
      <c r="R1774" s="67">
        <f>ROUND(+P1774*D1774,4)</f>
        <v>0</v>
      </c>
      <c r="S1774" s="67">
        <f>ROUND(IF(K1774=0,0,M1774*D1774),4)</f>
        <v>0</v>
      </c>
      <c r="T1774" s="67">
        <f>ROUND(+IF(K1774=0,Q1774*D1774,0),4)</f>
        <v>0</v>
      </c>
      <c r="U1774" s="67">
        <f>ROUND(+N1774+R1774+S1774+T1774,4)</f>
        <v>0</v>
      </c>
      <c r="V1774" s="67">
        <f>ROUND(IF(P1774=0,0,I1774-H1774-O1774)+IF(L1774=0,0,I1774-H1774-K1774),4)</f>
        <v>0</v>
      </c>
      <c r="W1774" s="67">
        <f>ROUND(+(V1774*60%)*D1774,4)</f>
        <v>0</v>
      </c>
      <c r="X1774" s="148">
        <f>ROUND(+U1774+W1774,4)</f>
        <v>0</v>
      </c>
      <c r="Y1774" s="68"/>
      <c r="Z1774" s="148">
        <f>ROUND(IF(X1774&gt;I1774,X1774,I1774),4)</f>
        <v>0</v>
      </c>
      <c r="AD1774" s="78">
        <f t="shared" si="32"/>
        <v>0</v>
      </c>
      <c r="AE1774" s="78">
        <f t="shared" si="33"/>
        <v>0</v>
      </c>
    </row>
    <row r="1775" spans="1:31" x14ac:dyDescent="0.2">
      <c r="A1775" s="66"/>
      <c r="B1775" s="66"/>
      <c r="C1775" s="66"/>
      <c r="D1775" s="144"/>
      <c r="E1775" s="67"/>
      <c r="F1775" s="67"/>
      <c r="G1775" s="67"/>
      <c r="H1775" s="67">
        <f>ROUND(+E1775+G1775,4)</f>
        <v>0</v>
      </c>
      <c r="I1775" s="67"/>
      <c r="J1775" s="67">
        <f>ROUND(+I1775-H1775,4)</f>
        <v>0</v>
      </c>
      <c r="K1775" s="67">
        <f>ROUND(IF(F1775="alluminio",0,I1775*1.5%),4)</f>
        <v>0</v>
      </c>
      <c r="L1775" s="67">
        <f>ROUND(IF(K1775&lt;J1775,K1775,0),4)</f>
        <v>0</v>
      </c>
      <c r="M1775" s="67">
        <f>ROUND(IF(J1775&gt;K1775,0,J1775),4)</f>
        <v>0</v>
      </c>
      <c r="N1775" s="67">
        <f>ROUND(+L1775*D1775,4)</f>
        <v>0</v>
      </c>
      <c r="O1775" s="67">
        <f>ROUND(IF(F1775="rame",0,+I1775*3%),4)</f>
        <v>0</v>
      </c>
      <c r="P1775" s="67">
        <f>ROUND(IF(O1775&lt;J1775,O1775,0),4)</f>
        <v>0</v>
      </c>
      <c r="Q1775" s="67">
        <f>ROUND(IF(J1775&gt;O1775,0,J1775),4)</f>
        <v>0</v>
      </c>
      <c r="R1775" s="67">
        <f>ROUND(+P1775*D1775,4)</f>
        <v>0</v>
      </c>
      <c r="S1775" s="67">
        <f>ROUND(IF(K1775=0,0,M1775*D1775),4)</f>
        <v>0</v>
      </c>
      <c r="T1775" s="67">
        <f>ROUND(+IF(K1775=0,Q1775*D1775,0),4)</f>
        <v>0</v>
      </c>
      <c r="U1775" s="67">
        <f>ROUND(+N1775+R1775+S1775+T1775,4)</f>
        <v>0</v>
      </c>
      <c r="V1775" s="67">
        <f>ROUND(IF(P1775=0,0,I1775-H1775-O1775)+IF(L1775=0,0,I1775-H1775-K1775),4)</f>
        <v>0</v>
      </c>
      <c r="W1775" s="67">
        <f>ROUND(+(V1775*60%)*D1775,4)</f>
        <v>0</v>
      </c>
      <c r="X1775" s="148">
        <f>ROUND(+U1775+W1775,4)</f>
        <v>0</v>
      </c>
      <c r="Y1775" s="68"/>
      <c r="Z1775" s="148">
        <f>ROUND(IF(X1775&gt;I1775,X1775,I1775),4)</f>
        <v>0</v>
      </c>
      <c r="AD1775" s="78">
        <f t="shared" si="32"/>
        <v>0</v>
      </c>
      <c r="AE1775" s="78">
        <f t="shared" si="33"/>
        <v>0</v>
      </c>
    </row>
    <row r="1776" spans="1:31" x14ac:dyDescent="0.2">
      <c r="A1776" s="66"/>
      <c r="B1776" s="66"/>
      <c r="C1776" s="66"/>
      <c r="D1776" s="144"/>
      <c r="E1776" s="67"/>
      <c r="F1776" s="67"/>
      <c r="G1776" s="67"/>
      <c r="H1776" s="67">
        <f>ROUND(+E1776+G1776,4)</f>
        <v>0</v>
      </c>
      <c r="I1776" s="67"/>
      <c r="J1776" s="67">
        <f>ROUND(+I1776-H1776,4)</f>
        <v>0</v>
      </c>
      <c r="K1776" s="67">
        <f>ROUND(IF(F1776="alluminio",0,I1776*1.5%),4)</f>
        <v>0</v>
      </c>
      <c r="L1776" s="67">
        <f>ROUND(IF(K1776&lt;J1776,K1776,0),4)</f>
        <v>0</v>
      </c>
      <c r="M1776" s="67">
        <f>ROUND(IF(J1776&gt;K1776,0,J1776),4)</f>
        <v>0</v>
      </c>
      <c r="N1776" s="67">
        <f>ROUND(+L1776*D1776,4)</f>
        <v>0</v>
      </c>
      <c r="O1776" s="67">
        <f>ROUND(IF(F1776="rame",0,+I1776*3%),4)</f>
        <v>0</v>
      </c>
      <c r="P1776" s="67">
        <f>ROUND(IF(O1776&lt;J1776,O1776,0),4)</f>
        <v>0</v>
      </c>
      <c r="Q1776" s="67">
        <f>ROUND(IF(J1776&gt;O1776,0,J1776),4)</f>
        <v>0</v>
      </c>
      <c r="R1776" s="67">
        <f>ROUND(+P1776*D1776,4)</f>
        <v>0</v>
      </c>
      <c r="S1776" s="67">
        <f>ROUND(IF(K1776=0,0,M1776*D1776),4)</f>
        <v>0</v>
      </c>
      <c r="T1776" s="67">
        <f>ROUND(+IF(K1776=0,Q1776*D1776,0),4)</f>
        <v>0</v>
      </c>
      <c r="U1776" s="67">
        <f>ROUND(+N1776+R1776+S1776+T1776,4)</f>
        <v>0</v>
      </c>
      <c r="V1776" s="67">
        <f>ROUND(IF(P1776=0,0,I1776-H1776-O1776)+IF(L1776=0,0,I1776-H1776-K1776),4)</f>
        <v>0</v>
      </c>
      <c r="W1776" s="67">
        <f>ROUND(+(V1776*60%)*D1776,4)</f>
        <v>0</v>
      </c>
      <c r="X1776" s="148">
        <f>ROUND(+U1776+W1776,4)</f>
        <v>0</v>
      </c>
      <c r="Y1776" s="68"/>
      <c r="Z1776" s="148">
        <f>ROUND(IF(X1776&gt;I1776,X1776,I1776),4)</f>
        <v>0</v>
      </c>
      <c r="AD1776" s="78">
        <f t="shared" si="32"/>
        <v>0</v>
      </c>
      <c r="AE1776" s="78">
        <f t="shared" si="33"/>
        <v>0</v>
      </c>
    </row>
    <row r="1777" spans="1:31" x14ac:dyDescent="0.2">
      <c r="A1777" s="66"/>
      <c r="B1777" s="66"/>
      <c r="C1777" s="66"/>
      <c r="D1777" s="144"/>
      <c r="E1777" s="67"/>
      <c r="F1777" s="67"/>
      <c r="G1777" s="67"/>
      <c r="H1777" s="67">
        <f>ROUND(+E1777+G1777,4)</f>
        <v>0</v>
      </c>
      <c r="I1777" s="67"/>
      <c r="J1777" s="67">
        <f>ROUND(+I1777-H1777,4)</f>
        <v>0</v>
      </c>
      <c r="K1777" s="67">
        <f>ROUND(IF(F1777="alluminio",0,I1777*1.5%),4)</f>
        <v>0</v>
      </c>
      <c r="L1777" s="67">
        <f>ROUND(IF(K1777&lt;J1777,K1777,0),4)</f>
        <v>0</v>
      </c>
      <c r="M1777" s="67">
        <f>ROUND(IF(J1777&gt;K1777,0,J1777),4)</f>
        <v>0</v>
      </c>
      <c r="N1777" s="67">
        <f>ROUND(+L1777*D1777,4)</f>
        <v>0</v>
      </c>
      <c r="O1777" s="67">
        <f>ROUND(IF(F1777="rame",0,+I1777*3%),4)</f>
        <v>0</v>
      </c>
      <c r="P1777" s="67">
        <f>ROUND(IF(O1777&lt;J1777,O1777,0),4)</f>
        <v>0</v>
      </c>
      <c r="Q1777" s="67">
        <f>ROUND(IF(J1777&gt;O1777,0,J1777),4)</f>
        <v>0</v>
      </c>
      <c r="R1777" s="67">
        <f>ROUND(+P1777*D1777,4)</f>
        <v>0</v>
      </c>
      <c r="S1777" s="67">
        <f>ROUND(IF(K1777=0,0,M1777*D1777),4)</f>
        <v>0</v>
      </c>
      <c r="T1777" s="67">
        <f>ROUND(+IF(K1777=0,Q1777*D1777,0),4)</f>
        <v>0</v>
      </c>
      <c r="U1777" s="67">
        <f>ROUND(+N1777+R1777+S1777+T1777,4)</f>
        <v>0</v>
      </c>
      <c r="V1777" s="67">
        <f>ROUND(IF(P1777=0,0,I1777-H1777-O1777)+IF(L1777=0,0,I1777-H1777-K1777),4)</f>
        <v>0</v>
      </c>
      <c r="W1777" s="67">
        <f>ROUND(+(V1777*60%)*D1777,4)</f>
        <v>0</v>
      </c>
      <c r="X1777" s="148">
        <f>ROUND(+U1777+W1777,4)</f>
        <v>0</v>
      </c>
      <c r="Y1777" s="68"/>
      <c r="Z1777" s="148">
        <f>ROUND(IF(X1777&gt;I1777,X1777,I1777),4)</f>
        <v>0</v>
      </c>
      <c r="AD1777" s="78">
        <f t="shared" si="32"/>
        <v>0</v>
      </c>
      <c r="AE1777" s="78">
        <f t="shared" si="33"/>
        <v>0</v>
      </c>
    </row>
    <row r="1778" spans="1:31" x14ac:dyDescent="0.2">
      <c r="A1778" s="66"/>
      <c r="B1778" s="66"/>
      <c r="C1778" s="66"/>
      <c r="D1778" s="144"/>
      <c r="E1778" s="67"/>
      <c r="F1778" s="67"/>
      <c r="G1778" s="67"/>
      <c r="H1778" s="67">
        <f>ROUND(+E1778+G1778,4)</f>
        <v>0</v>
      </c>
      <c r="I1778" s="67"/>
      <c r="J1778" s="67">
        <f>ROUND(+I1778-H1778,4)</f>
        <v>0</v>
      </c>
      <c r="K1778" s="67">
        <f>ROUND(IF(F1778="alluminio",0,I1778*1.5%),4)</f>
        <v>0</v>
      </c>
      <c r="L1778" s="67">
        <f>ROUND(IF(K1778&lt;J1778,K1778,0),4)</f>
        <v>0</v>
      </c>
      <c r="M1778" s="67">
        <f>ROUND(IF(J1778&gt;K1778,0,J1778),4)</f>
        <v>0</v>
      </c>
      <c r="N1778" s="67">
        <f>ROUND(+L1778*D1778,4)</f>
        <v>0</v>
      </c>
      <c r="O1778" s="67">
        <f>ROUND(IF(F1778="rame",0,+I1778*3%),4)</f>
        <v>0</v>
      </c>
      <c r="P1778" s="67">
        <f>ROUND(IF(O1778&lt;J1778,O1778,0),4)</f>
        <v>0</v>
      </c>
      <c r="Q1778" s="67">
        <f>ROUND(IF(J1778&gt;O1778,0,J1778),4)</f>
        <v>0</v>
      </c>
      <c r="R1778" s="67">
        <f>ROUND(+P1778*D1778,4)</f>
        <v>0</v>
      </c>
      <c r="S1778" s="67">
        <f>ROUND(IF(K1778=0,0,M1778*D1778),4)</f>
        <v>0</v>
      </c>
      <c r="T1778" s="67">
        <f>ROUND(+IF(K1778=0,Q1778*D1778,0),4)</f>
        <v>0</v>
      </c>
      <c r="U1778" s="67">
        <f>ROUND(+N1778+R1778+S1778+T1778,4)</f>
        <v>0</v>
      </c>
      <c r="V1778" s="67">
        <f>ROUND(IF(P1778=0,0,I1778-H1778-O1778)+IF(L1778=0,0,I1778-H1778-K1778),4)</f>
        <v>0</v>
      </c>
      <c r="W1778" s="67">
        <f>ROUND(+(V1778*60%)*D1778,4)</f>
        <v>0</v>
      </c>
      <c r="X1778" s="148">
        <f>ROUND(+U1778+W1778,4)</f>
        <v>0</v>
      </c>
      <c r="Y1778" s="68"/>
      <c r="Z1778" s="148">
        <f>ROUND(IF(X1778&gt;I1778,X1778,I1778),4)</f>
        <v>0</v>
      </c>
      <c r="AD1778" s="78">
        <f t="shared" si="32"/>
        <v>0</v>
      </c>
      <c r="AE1778" s="78">
        <f t="shared" si="33"/>
        <v>0</v>
      </c>
    </row>
    <row r="1779" spans="1:31" x14ac:dyDescent="0.2">
      <c r="A1779" s="66"/>
      <c r="B1779" s="66"/>
      <c r="C1779" s="66"/>
      <c r="D1779" s="144"/>
      <c r="E1779" s="67"/>
      <c r="F1779" s="67"/>
      <c r="G1779" s="67"/>
      <c r="H1779" s="67">
        <f>ROUND(+E1779+G1779,4)</f>
        <v>0</v>
      </c>
      <c r="I1779" s="67"/>
      <c r="J1779" s="67">
        <f>ROUND(+I1779-H1779,4)</f>
        <v>0</v>
      </c>
      <c r="K1779" s="67">
        <f>ROUND(IF(F1779="alluminio",0,I1779*1.5%),4)</f>
        <v>0</v>
      </c>
      <c r="L1779" s="67">
        <f>ROUND(IF(K1779&lt;J1779,K1779,0),4)</f>
        <v>0</v>
      </c>
      <c r="M1779" s="67">
        <f>ROUND(IF(J1779&gt;K1779,0,J1779),4)</f>
        <v>0</v>
      </c>
      <c r="N1779" s="67">
        <f>ROUND(+L1779*D1779,4)</f>
        <v>0</v>
      </c>
      <c r="O1779" s="67">
        <f>ROUND(IF(F1779="rame",0,+I1779*3%),4)</f>
        <v>0</v>
      </c>
      <c r="P1779" s="67">
        <f>ROUND(IF(O1779&lt;J1779,O1779,0),4)</f>
        <v>0</v>
      </c>
      <c r="Q1779" s="67">
        <f>ROUND(IF(J1779&gt;O1779,0,J1779),4)</f>
        <v>0</v>
      </c>
      <c r="R1779" s="67">
        <f>ROUND(+P1779*D1779,4)</f>
        <v>0</v>
      </c>
      <c r="S1779" s="67">
        <f>ROUND(IF(K1779=0,0,M1779*D1779),4)</f>
        <v>0</v>
      </c>
      <c r="T1779" s="67">
        <f>ROUND(+IF(K1779=0,Q1779*D1779,0),4)</f>
        <v>0</v>
      </c>
      <c r="U1779" s="67">
        <f>ROUND(+N1779+R1779+S1779+T1779,4)</f>
        <v>0</v>
      </c>
      <c r="V1779" s="67">
        <f>ROUND(IF(P1779=0,0,I1779-H1779-O1779)+IF(L1779=0,0,I1779-H1779-K1779),4)</f>
        <v>0</v>
      </c>
      <c r="W1779" s="67">
        <f>ROUND(+(V1779*60%)*D1779,4)</f>
        <v>0</v>
      </c>
      <c r="X1779" s="148">
        <f>ROUND(+U1779+W1779,4)</f>
        <v>0</v>
      </c>
      <c r="Y1779" s="68"/>
      <c r="Z1779" s="148">
        <f>ROUND(IF(X1779&gt;I1779,X1779,I1779),4)</f>
        <v>0</v>
      </c>
      <c r="AD1779" s="78">
        <f t="shared" si="32"/>
        <v>0</v>
      </c>
      <c r="AE1779" s="78">
        <f t="shared" si="33"/>
        <v>0</v>
      </c>
    </row>
    <row r="1780" spans="1:31" x14ac:dyDescent="0.2">
      <c r="A1780" s="66"/>
      <c r="B1780" s="66"/>
      <c r="C1780" s="66"/>
      <c r="D1780" s="144"/>
      <c r="E1780" s="67"/>
      <c r="F1780" s="67"/>
      <c r="G1780" s="67"/>
      <c r="H1780" s="67">
        <f>ROUND(+E1780+G1780,4)</f>
        <v>0</v>
      </c>
      <c r="I1780" s="67"/>
      <c r="J1780" s="67">
        <f>ROUND(+I1780-H1780,4)</f>
        <v>0</v>
      </c>
      <c r="K1780" s="67">
        <f>ROUND(IF(F1780="alluminio",0,I1780*1.5%),4)</f>
        <v>0</v>
      </c>
      <c r="L1780" s="67">
        <f>ROUND(IF(K1780&lt;J1780,K1780,0),4)</f>
        <v>0</v>
      </c>
      <c r="M1780" s="67">
        <f>ROUND(IF(J1780&gt;K1780,0,J1780),4)</f>
        <v>0</v>
      </c>
      <c r="N1780" s="67">
        <f>ROUND(+L1780*D1780,4)</f>
        <v>0</v>
      </c>
      <c r="O1780" s="67">
        <f>ROUND(IF(F1780="rame",0,+I1780*3%),4)</f>
        <v>0</v>
      </c>
      <c r="P1780" s="67">
        <f>ROUND(IF(O1780&lt;J1780,O1780,0),4)</f>
        <v>0</v>
      </c>
      <c r="Q1780" s="67">
        <f>ROUND(IF(J1780&gt;O1780,0,J1780),4)</f>
        <v>0</v>
      </c>
      <c r="R1780" s="67">
        <f>ROUND(+P1780*D1780,4)</f>
        <v>0</v>
      </c>
      <c r="S1780" s="67">
        <f>ROUND(IF(K1780=0,0,M1780*D1780),4)</f>
        <v>0</v>
      </c>
      <c r="T1780" s="67">
        <f>ROUND(+IF(K1780=0,Q1780*D1780,0),4)</f>
        <v>0</v>
      </c>
      <c r="U1780" s="67">
        <f>ROUND(+N1780+R1780+S1780+T1780,4)</f>
        <v>0</v>
      </c>
      <c r="V1780" s="67">
        <f>ROUND(IF(P1780=0,0,I1780-H1780-O1780)+IF(L1780=0,0,I1780-H1780-K1780),4)</f>
        <v>0</v>
      </c>
      <c r="W1780" s="67">
        <f>ROUND(+(V1780*60%)*D1780,4)</f>
        <v>0</v>
      </c>
      <c r="X1780" s="148">
        <f>ROUND(+U1780+W1780,4)</f>
        <v>0</v>
      </c>
      <c r="Y1780" s="68"/>
      <c r="Z1780" s="148">
        <f>ROUND(IF(X1780&gt;I1780,X1780,I1780),4)</f>
        <v>0</v>
      </c>
      <c r="AD1780" s="78">
        <f t="shared" si="32"/>
        <v>0</v>
      </c>
      <c r="AE1780" s="78">
        <f t="shared" si="33"/>
        <v>0</v>
      </c>
    </row>
    <row r="1781" spans="1:31" x14ac:dyDescent="0.2">
      <c r="A1781" s="66"/>
      <c r="B1781" s="66"/>
      <c r="C1781" s="66"/>
      <c r="D1781" s="144"/>
      <c r="E1781" s="67"/>
      <c r="F1781" s="67"/>
      <c r="G1781" s="67"/>
      <c r="H1781" s="67">
        <f>ROUND(+E1781+G1781,4)</f>
        <v>0</v>
      </c>
      <c r="I1781" s="67"/>
      <c r="J1781" s="67">
        <f>ROUND(+I1781-H1781,4)</f>
        <v>0</v>
      </c>
      <c r="K1781" s="67">
        <f>ROUND(IF(F1781="alluminio",0,I1781*1.5%),4)</f>
        <v>0</v>
      </c>
      <c r="L1781" s="67">
        <f>ROUND(IF(K1781&lt;J1781,K1781,0),4)</f>
        <v>0</v>
      </c>
      <c r="M1781" s="67">
        <f>ROUND(IF(J1781&gt;K1781,0,J1781),4)</f>
        <v>0</v>
      </c>
      <c r="N1781" s="67">
        <f>ROUND(+L1781*D1781,4)</f>
        <v>0</v>
      </c>
      <c r="O1781" s="67">
        <f>ROUND(IF(F1781="rame",0,+I1781*3%),4)</f>
        <v>0</v>
      </c>
      <c r="P1781" s="67">
        <f>ROUND(IF(O1781&lt;J1781,O1781,0),4)</f>
        <v>0</v>
      </c>
      <c r="Q1781" s="67">
        <f>ROUND(IF(J1781&gt;O1781,0,J1781),4)</f>
        <v>0</v>
      </c>
      <c r="R1781" s="67">
        <f>ROUND(+P1781*D1781,4)</f>
        <v>0</v>
      </c>
      <c r="S1781" s="67">
        <f>ROUND(IF(K1781=0,0,M1781*D1781),4)</f>
        <v>0</v>
      </c>
      <c r="T1781" s="67">
        <f>ROUND(+IF(K1781=0,Q1781*D1781,0),4)</f>
        <v>0</v>
      </c>
      <c r="U1781" s="67">
        <f>ROUND(+N1781+R1781+S1781+T1781,4)</f>
        <v>0</v>
      </c>
      <c r="V1781" s="67">
        <f>ROUND(IF(P1781=0,0,I1781-H1781-O1781)+IF(L1781=0,0,I1781-H1781-K1781),4)</f>
        <v>0</v>
      </c>
      <c r="W1781" s="67">
        <f>ROUND(+(V1781*60%)*D1781,4)</f>
        <v>0</v>
      </c>
      <c r="X1781" s="148">
        <f>ROUND(+U1781+W1781,4)</f>
        <v>0</v>
      </c>
      <c r="Y1781" s="68"/>
      <c r="Z1781" s="148">
        <f>ROUND(IF(X1781&gt;I1781,X1781,I1781),4)</f>
        <v>0</v>
      </c>
      <c r="AD1781" s="78">
        <f t="shared" si="32"/>
        <v>0</v>
      </c>
      <c r="AE1781" s="78">
        <f t="shared" si="33"/>
        <v>0</v>
      </c>
    </row>
    <row r="1782" spans="1:31" x14ac:dyDescent="0.2">
      <c r="A1782" s="66"/>
      <c r="B1782" s="66"/>
      <c r="C1782" s="66"/>
      <c r="D1782" s="144"/>
      <c r="E1782" s="67"/>
      <c r="F1782" s="67"/>
      <c r="G1782" s="67"/>
      <c r="H1782" s="67">
        <f>ROUND(+E1782+G1782,4)</f>
        <v>0</v>
      </c>
      <c r="I1782" s="67"/>
      <c r="J1782" s="67">
        <f>ROUND(+I1782-H1782,4)</f>
        <v>0</v>
      </c>
      <c r="K1782" s="67">
        <f>ROUND(IF(F1782="alluminio",0,I1782*1.5%),4)</f>
        <v>0</v>
      </c>
      <c r="L1782" s="67">
        <f>ROUND(IF(K1782&lt;J1782,K1782,0),4)</f>
        <v>0</v>
      </c>
      <c r="M1782" s="67">
        <f>ROUND(IF(J1782&gt;K1782,0,J1782),4)</f>
        <v>0</v>
      </c>
      <c r="N1782" s="67">
        <f>ROUND(+L1782*D1782,4)</f>
        <v>0</v>
      </c>
      <c r="O1782" s="67">
        <f>ROUND(IF(F1782="rame",0,+I1782*3%),4)</f>
        <v>0</v>
      </c>
      <c r="P1782" s="67">
        <f>ROUND(IF(O1782&lt;J1782,O1782,0),4)</f>
        <v>0</v>
      </c>
      <c r="Q1782" s="67">
        <f>ROUND(IF(J1782&gt;O1782,0,J1782),4)</f>
        <v>0</v>
      </c>
      <c r="R1782" s="67">
        <f>ROUND(+P1782*D1782,4)</f>
        <v>0</v>
      </c>
      <c r="S1782" s="67">
        <f>ROUND(IF(K1782=0,0,M1782*D1782),4)</f>
        <v>0</v>
      </c>
      <c r="T1782" s="67">
        <f>ROUND(+IF(K1782=0,Q1782*D1782,0),4)</f>
        <v>0</v>
      </c>
      <c r="U1782" s="67">
        <f>ROUND(+N1782+R1782+S1782+T1782,4)</f>
        <v>0</v>
      </c>
      <c r="V1782" s="67">
        <f>ROUND(IF(P1782=0,0,I1782-H1782-O1782)+IF(L1782=0,0,I1782-H1782-K1782),4)</f>
        <v>0</v>
      </c>
      <c r="W1782" s="67">
        <f>ROUND(+(V1782*60%)*D1782,4)</f>
        <v>0</v>
      </c>
      <c r="X1782" s="148">
        <f>ROUND(+U1782+W1782,4)</f>
        <v>0</v>
      </c>
      <c r="Y1782" s="68"/>
      <c r="Z1782" s="148">
        <f>ROUND(IF(X1782&gt;I1782,X1782,I1782),4)</f>
        <v>0</v>
      </c>
      <c r="AD1782" s="78">
        <f t="shared" si="32"/>
        <v>0</v>
      </c>
      <c r="AE1782" s="78">
        <f t="shared" si="33"/>
        <v>0</v>
      </c>
    </row>
    <row r="1783" spans="1:31" x14ac:dyDescent="0.2">
      <c r="A1783" s="66"/>
      <c r="B1783" s="66"/>
      <c r="C1783" s="66"/>
      <c r="D1783" s="144"/>
      <c r="E1783" s="67"/>
      <c r="F1783" s="67"/>
      <c r="G1783" s="67"/>
      <c r="H1783" s="67">
        <f>ROUND(+E1783+G1783,4)</f>
        <v>0</v>
      </c>
      <c r="I1783" s="67"/>
      <c r="J1783" s="67">
        <f>ROUND(+I1783-H1783,4)</f>
        <v>0</v>
      </c>
      <c r="K1783" s="67">
        <f>ROUND(IF(F1783="alluminio",0,I1783*1.5%),4)</f>
        <v>0</v>
      </c>
      <c r="L1783" s="67">
        <f>ROUND(IF(K1783&lt;J1783,K1783,0),4)</f>
        <v>0</v>
      </c>
      <c r="M1783" s="67">
        <f>ROUND(IF(J1783&gt;K1783,0,J1783),4)</f>
        <v>0</v>
      </c>
      <c r="N1783" s="67">
        <f>ROUND(+L1783*D1783,4)</f>
        <v>0</v>
      </c>
      <c r="O1783" s="67">
        <f>ROUND(IF(F1783="rame",0,+I1783*3%),4)</f>
        <v>0</v>
      </c>
      <c r="P1783" s="67">
        <f>ROUND(IF(O1783&lt;J1783,O1783,0),4)</f>
        <v>0</v>
      </c>
      <c r="Q1783" s="67">
        <f>ROUND(IF(J1783&gt;O1783,0,J1783),4)</f>
        <v>0</v>
      </c>
      <c r="R1783" s="67">
        <f>ROUND(+P1783*D1783,4)</f>
        <v>0</v>
      </c>
      <c r="S1783" s="67">
        <f>ROUND(IF(K1783=0,0,M1783*D1783),4)</f>
        <v>0</v>
      </c>
      <c r="T1783" s="67">
        <f>ROUND(+IF(K1783=0,Q1783*D1783,0),4)</f>
        <v>0</v>
      </c>
      <c r="U1783" s="67">
        <f>ROUND(+N1783+R1783+S1783+T1783,4)</f>
        <v>0</v>
      </c>
      <c r="V1783" s="67">
        <f>ROUND(IF(P1783=0,0,I1783-H1783-O1783)+IF(L1783=0,0,I1783-H1783-K1783),4)</f>
        <v>0</v>
      </c>
      <c r="W1783" s="67">
        <f>ROUND(+(V1783*60%)*D1783,4)</f>
        <v>0</v>
      </c>
      <c r="X1783" s="148">
        <f>ROUND(+U1783+W1783,4)</f>
        <v>0</v>
      </c>
      <c r="Y1783" s="68"/>
      <c r="Z1783" s="148">
        <f>ROUND(IF(X1783&gt;I1783,X1783,I1783),4)</f>
        <v>0</v>
      </c>
      <c r="AD1783" s="78">
        <f t="shared" si="32"/>
        <v>0</v>
      </c>
      <c r="AE1783" s="78">
        <f t="shared" si="33"/>
        <v>0</v>
      </c>
    </row>
    <row r="1784" spans="1:31" x14ac:dyDescent="0.2">
      <c r="A1784" s="66"/>
      <c r="B1784" s="66"/>
      <c r="C1784" s="66"/>
      <c r="D1784" s="144"/>
      <c r="E1784" s="67"/>
      <c r="F1784" s="67"/>
      <c r="G1784" s="67"/>
      <c r="H1784" s="67">
        <f>ROUND(+E1784+G1784,4)</f>
        <v>0</v>
      </c>
      <c r="I1784" s="67"/>
      <c r="J1784" s="67">
        <f>ROUND(+I1784-H1784,4)</f>
        <v>0</v>
      </c>
      <c r="K1784" s="67">
        <f>ROUND(IF(F1784="alluminio",0,I1784*1.5%),4)</f>
        <v>0</v>
      </c>
      <c r="L1784" s="67">
        <f>ROUND(IF(K1784&lt;J1784,K1784,0),4)</f>
        <v>0</v>
      </c>
      <c r="M1784" s="67">
        <f>ROUND(IF(J1784&gt;K1784,0,J1784),4)</f>
        <v>0</v>
      </c>
      <c r="N1784" s="67">
        <f>ROUND(+L1784*D1784,4)</f>
        <v>0</v>
      </c>
      <c r="O1784" s="67">
        <f>ROUND(IF(F1784="rame",0,+I1784*3%),4)</f>
        <v>0</v>
      </c>
      <c r="P1784" s="67">
        <f>ROUND(IF(O1784&lt;J1784,O1784,0),4)</f>
        <v>0</v>
      </c>
      <c r="Q1784" s="67">
        <f>ROUND(IF(J1784&gt;O1784,0,J1784),4)</f>
        <v>0</v>
      </c>
      <c r="R1784" s="67">
        <f>ROUND(+P1784*D1784,4)</f>
        <v>0</v>
      </c>
      <c r="S1784" s="67">
        <f>ROUND(IF(K1784=0,0,M1784*D1784),4)</f>
        <v>0</v>
      </c>
      <c r="T1784" s="67">
        <f>ROUND(+IF(K1784=0,Q1784*D1784,0),4)</f>
        <v>0</v>
      </c>
      <c r="U1784" s="67">
        <f>ROUND(+N1784+R1784+S1784+T1784,4)</f>
        <v>0</v>
      </c>
      <c r="V1784" s="67">
        <f>ROUND(IF(P1784=0,0,I1784-H1784-O1784)+IF(L1784=0,0,I1784-H1784-K1784),4)</f>
        <v>0</v>
      </c>
      <c r="W1784" s="67">
        <f>ROUND(+(V1784*60%)*D1784,4)</f>
        <v>0</v>
      </c>
      <c r="X1784" s="148">
        <f>ROUND(+U1784+W1784,4)</f>
        <v>0</v>
      </c>
      <c r="Y1784" s="68"/>
      <c r="Z1784" s="148">
        <f>ROUND(IF(X1784&gt;I1784,X1784,I1784),4)</f>
        <v>0</v>
      </c>
      <c r="AD1784" s="78">
        <f t="shared" si="32"/>
        <v>0</v>
      </c>
      <c r="AE1784" s="78">
        <f t="shared" si="33"/>
        <v>0</v>
      </c>
    </row>
    <row r="1785" spans="1:31" x14ac:dyDescent="0.2">
      <c r="A1785" s="66"/>
      <c r="B1785" s="66"/>
      <c r="C1785" s="66"/>
      <c r="D1785" s="144"/>
      <c r="E1785" s="67"/>
      <c r="F1785" s="67"/>
      <c r="G1785" s="67"/>
      <c r="H1785" s="67">
        <f>ROUND(+E1785+G1785,4)</f>
        <v>0</v>
      </c>
      <c r="I1785" s="67"/>
      <c r="J1785" s="67">
        <f>ROUND(+I1785-H1785,4)</f>
        <v>0</v>
      </c>
      <c r="K1785" s="67">
        <f>ROUND(IF(F1785="alluminio",0,I1785*1.5%),4)</f>
        <v>0</v>
      </c>
      <c r="L1785" s="67">
        <f>ROUND(IF(K1785&lt;J1785,K1785,0),4)</f>
        <v>0</v>
      </c>
      <c r="M1785" s="67">
        <f>ROUND(IF(J1785&gt;K1785,0,J1785),4)</f>
        <v>0</v>
      </c>
      <c r="N1785" s="67">
        <f>ROUND(+L1785*D1785,4)</f>
        <v>0</v>
      </c>
      <c r="O1785" s="67">
        <f>ROUND(IF(F1785="rame",0,+I1785*3%),4)</f>
        <v>0</v>
      </c>
      <c r="P1785" s="67">
        <f>ROUND(IF(O1785&lt;J1785,O1785,0),4)</f>
        <v>0</v>
      </c>
      <c r="Q1785" s="67">
        <f>ROUND(IF(J1785&gt;O1785,0,J1785),4)</f>
        <v>0</v>
      </c>
      <c r="R1785" s="67">
        <f>ROUND(+P1785*D1785,4)</f>
        <v>0</v>
      </c>
      <c r="S1785" s="67">
        <f>ROUND(IF(K1785=0,0,M1785*D1785),4)</f>
        <v>0</v>
      </c>
      <c r="T1785" s="67">
        <f>ROUND(+IF(K1785=0,Q1785*D1785,0),4)</f>
        <v>0</v>
      </c>
      <c r="U1785" s="67">
        <f>ROUND(+N1785+R1785+S1785+T1785,4)</f>
        <v>0</v>
      </c>
      <c r="V1785" s="67">
        <f>ROUND(IF(P1785=0,0,I1785-H1785-O1785)+IF(L1785=0,0,I1785-H1785-K1785),4)</f>
        <v>0</v>
      </c>
      <c r="W1785" s="67">
        <f>ROUND(+(V1785*60%)*D1785,4)</f>
        <v>0</v>
      </c>
      <c r="X1785" s="148">
        <f>ROUND(+U1785+W1785,4)</f>
        <v>0</v>
      </c>
      <c r="Y1785" s="68"/>
      <c r="Z1785" s="148">
        <f>ROUND(IF(X1785&gt;I1785,X1785,I1785),4)</f>
        <v>0</v>
      </c>
      <c r="AD1785" s="78">
        <f t="shared" si="32"/>
        <v>0</v>
      </c>
      <c r="AE1785" s="78">
        <f t="shared" si="33"/>
        <v>0</v>
      </c>
    </row>
    <row r="1786" spans="1:31" x14ac:dyDescent="0.2">
      <c r="A1786" s="66"/>
      <c r="B1786" s="66"/>
      <c r="C1786" s="66"/>
      <c r="D1786" s="144"/>
      <c r="E1786" s="67"/>
      <c r="F1786" s="67"/>
      <c r="G1786" s="67"/>
      <c r="H1786" s="67">
        <f>ROUND(+E1786+G1786,4)</f>
        <v>0</v>
      </c>
      <c r="I1786" s="67"/>
      <c r="J1786" s="67">
        <f>ROUND(+I1786-H1786,4)</f>
        <v>0</v>
      </c>
      <c r="K1786" s="67">
        <f>ROUND(IF(F1786="alluminio",0,I1786*1.5%),4)</f>
        <v>0</v>
      </c>
      <c r="L1786" s="67">
        <f>ROUND(IF(K1786&lt;J1786,K1786,0),4)</f>
        <v>0</v>
      </c>
      <c r="M1786" s="67">
        <f>ROUND(IF(J1786&gt;K1786,0,J1786),4)</f>
        <v>0</v>
      </c>
      <c r="N1786" s="67">
        <f>ROUND(+L1786*D1786,4)</f>
        <v>0</v>
      </c>
      <c r="O1786" s="67">
        <f>ROUND(IF(F1786="rame",0,+I1786*3%),4)</f>
        <v>0</v>
      </c>
      <c r="P1786" s="67">
        <f>ROUND(IF(O1786&lt;J1786,O1786,0),4)</f>
        <v>0</v>
      </c>
      <c r="Q1786" s="67">
        <f>ROUND(IF(J1786&gt;O1786,0,J1786),4)</f>
        <v>0</v>
      </c>
      <c r="R1786" s="67">
        <f>ROUND(+P1786*D1786,4)</f>
        <v>0</v>
      </c>
      <c r="S1786" s="67">
        <f>ROUND(IF(K1786=0,0,M1786*D1786),4)</f>
        <v>0</v>
      </c>
      <c r="T1786" s="67">
        <f>ROUND(+IF(K1786=0,Q1786*D1786,0),4)</f>
        <v>0</v>
      </c>
      <c r="U1786" s="67">
        <f>ROUND(+N1786+R1786+S1786+T1786,4)</f>
        <v>0</v>
      </c>
      <c r="V1786" s="67">
        <f>ROUND(IF(P1786=0,0,I1786-H1786-O1786)+IF(L1786=0,0,I1786-H1786-K1786),4)</f>
        <v>0</v>
      </c>
      <c r="W1786" s="67">
        <f>ROUND(+(V1786*60%)*D1786,4)</f>
        <v>0</v>
      </c>
      <c r="X1786" s="148">
        <f>ROUND(+U1786+W1786,4)</f>
        <v>0</v>
      </c>
      <c r="Y1786" s="68"/>
      <c r="Z1786" s="148">
        <f>ROUND(IF(X1786&gt;I1786,X1786,I1786),4)</f>
        <v>0</v>
      </c>
      <c r="AD1786" s="78">
        <f t="shared" si="32"/>
        <v>0</v>
      </c>
      <c r="AE1786" s="78">
        <f t="shared" si="33"/>
        <v>0</v>
      </c>
    </row>
    <row r="1787" spans="1:31" x14ac:dyDescent="0.2">
      <c r="A1787" s="66"/>
      <c r="B1787" s="66"/>
      <c r="C1787" s="66"/>
      <c r="D1787" s="144"/>
      <c r="E1787" s="67"/>
      <c r="F1787" s="67"/>
      <c r="G1787" s="67"/>
      <c r="H1787" s="67">
        <f>ROUND(+E1787+G1787,4)</f>
        <v>0</v>
      </c>
      <c r="I1787" s="67"/>
      <c r="J1787" s="67">
        <f>ROUND(+I1787-H1787,4)</f>
        <v>0</v>
      </c>
      <c r="K1787" s="67">
        <f>ROUND(IF(F1787="alluminio",0,I1787*1.5%),4)</f>
        <v>0</v>
      </c>
      <c r="L1787" s="67">
        <f>ROUND(IF(K1787&lt;J1787,K1787,0),4)</f>
        <v>0</v>
      </c>
      <c r="M1787" s="67">
        <f>ROUND(IF(J1787&gt;K1787,0,J1787),4)</f>
        <v>0</v>
      </c>
      <c r="N1787" s="67">
        <f>ROUND(+L1787*D1787,4)</f>
        <v>0</v>
      </c>
      <c r="O1787" s="67">
        <f>ROUND(IF(F1787="rame",0,+I1787*3%),4)</f>
        <v>0</v>
      </c>
      <c r="P1787" s="67">
        <f>ROUND(IF(O1787&lt;J1787,O1787,0),4)</f>
        <v>0</v>
      </c>
      <c r="Q1787" s="67">
        <f>ROUND(IF(J1787&gt;O1787,0,J1787),4)</f>
        <v>0</v>
      </c>
      <c r="R1787" s="67">
        <f>ROUND(+P1787*D1787,4)</f>
        <v>0</v>
      </c>
      <c r="S1787" s="67">
        <f>ROUND(IF(K1787=0,0,M1787*D1787),4)</f>
        <v>0</v>
      </c>
      <c r="T1787" s="67">
        <f>ROUND(+IF(K1787=0,Q1787*D1787,0),4)</f>
        <v>0</v>
      </c>
      <c r="U1787" s="67">
        <f>ROUND(+N1787+R1787+S1787+T1787,4)</f>
        <v>0</v>
      </c>
      <c r="V1787" s="67">
        <f>ROUND(IF(P1787=0,0,I1787-H1787-O1787)+IF(L1787=0,0,I1787-H1787-K1787),4)</f>
        <v>0</v>
      </c>
      <c r="W1787" s="67">
        <f>ROUND(+(V1787*60%)*D1787,4)</f>
        <v>0</v>
      </c>
      <c r="X1787" s="148">
        <f>ROUND(+U1787+W1787,4)</f>
        <v>0</v>
      </c>
      <c r="Y1787" s="68"/>
      <c r="Z1787" s="148">
        <f>ROUND(IF(X1787&gt;I1787,X1787,I1787),4)</f>
        <v>0</v>
      </c>
      <c r="AD1787" s="78">
        <f t="shared" si="32"/>
        <v>0</v>
      </c>
      <c r="AE1787" s="78">
        <f t="shared" si="33"/>
        <v>0</v>
      </c>
    </row>
    <row r="1788" spans="1:31" x14ac:dyDescent="0.2">
      <c r="A1788" s="66"/>
      <c r="B1788" s="66"/>
      <c r="C1788" s="66"/>
      <c r="D1788" s="144"/>
      <c r="E1788" s="67"/>
      <c r="F1788" s="67"/>
      <c r="G1788" s="67"/>
      <c r="H1788" s="67">
        <f>ROUND(+E1788+G1788,4)</f>
        <v>0</v>
      </c>
      <c r="I1788" s="67"/>
      <c r="J1788" s="67">
        <f>ROUND(+I1788-H1788,4)</f>
        <v>0</v>
      </c>
      <c r="K1788" s="67">
        <f>ROUND(IF(F1788="alluminio",0,I1788*1.5%),4)</f>
        <v>0</v>
      </c>
      <c r="L1788" s="67">
        <f>ROUND(IF(K1788&lt;J1788,K1788,0),4)</f>
        <v>0</v>
      </c>
      <c r="M1788" s="67">
        <f>ROUND(IF(J1788&gt;K1788,0,J1788),4)</f>
        <v>0</v>
      </c>
      <c r="N1788" s="67">
        <f>ROUND(+L1788*D1788,4)</f>
        <v>0</v>
      </c>
      <c r="O1788" s="67">
        <f>ROUND(IF(F1788="rame",0,+I1788*3%),4)</f>
        <v>0</v>
      </c>
      <c r="P1788" s="67">
        <f>ROUND(IF(O1788&lt;J1788,O1788,0),4)</f>
        <v>0</v>
      </c>
      <c r="Q1788" s="67">
        <f>ROUND(IF(J1788&gt;O1788,0,J1788),4)</f>
        <v>0</v>
      </c>
      <c r="R1788" s="67">
        <f>ROUND(+P1788*D1788,4)</f>
        <v>0</v>
      </c>
      <c r="S1788" s="67">
        <f>ROUND(IF(K1788=0,0,M1788*D1788),4)</f>
        <v>0</v>
      </c>
      <c r="T1788" s="67">
        <f>ROUND(+IF(K1788=0,Q1788*D1788,0),4)</f>
        <v>0</v>
      </c>
      <c r="U1788" s="67">
        <f>ROUND(+N1788+R1788+S1788+T1788,4)</f>
        <v>0</v>
      </c>
      <c r="V1788" s="67">
        <f>ROUND(IF(P1788=0,0,I1788-H1788-O1788)+IF(L1788=0,0,I1788-H1788-K1788),4)</f>
        <v>0</v>
      </c>
      <c r="W1788" s="67">
        <f>ROUND(+(V1788*60%)*D1788,4)</f>
        <v>0</v>
      </c>
      <c r="X1788" s="148">
        <f>ROUND(+U1788+W1788,4)</f>
        <v>0</v>
      </c>
      <c r="Y1788" s="68"/>
      <c r="Z1788" s="148">
        <f>ROUND(IF(X1788&gt;I1788,X1788,I1788),4)</f>
        <v>0</v>
      </c>
      <c r="AD1788" s="78">
        <f t="shared" si="32"/>
        <v>0</v>
      </c>
      <c r="AE1788" s="78">
        <f t="shared" si="33"/>
        <v>0</v>
      </c>
    </row>
    <row r="1789" spans="1:31" x14ac:dyDescent="0.2">
      <c r="A1789" s="66"/>
      <c r="B1789" s="66"/>
      <c r="C1789" s="66"/>
      <c r="D1789" s="144"/>
      <c r="E1789" s="67"/>
      <c r="F1789" s="67"/>
      <c r="G1789" s="67"/>
      <c r="H1789" s="67">
        <f>ROUND(+E1789+G1789,4)</f>
        <v>0</v>
      </c>
      <c r="I1789" s="67"/>
      <c r="J1789" s="67">
        <f>ROUND(+I1789-H1789,4)</f>
        <v>0</v>
      </c>
      <c r="K1789" s="67">
        <f>ROUND(IF(F1789="alluminio",0,I1789*1.5%),4)</f>
        <v>0</v>
      </c>
      <c r="L1789" s="67">
        <f>ROUND(IF(K1789&lt;J1789,K1789,0),4)</f>
        <v>0</v>
      </c>
      <c r="M1789" s="67">
        <f>ROUND(IF(J1789&gt;K1789,0,J1789),4)</f>
        <v>0</v>
      </c>
      <c r="N1789" s="67">
        <f>ROUND(+L1789*D1789,4)</f>
        <v>0</v>
      </c>
      <c r="O1789" s="67">
        <f>ROUND(IF(F1789="rame",0,+I1789*3%),4)</f>
        <v>0</v>
      </c>
      <c r="P1789" s="67">
        <f>ROUND(IF(O1789&lt;J1789,O1789,0),4)</f>
        <v>0</v>
      </c>
      <c r="Q1789" s="67">
        <f>ROUND(IF(J1789&gt;O1789,0,J1789),4)</f>
        <v>0</v>
      </c>
      <c r="R1789" s="67">
        <f>ROUND(+P1789*D1789,4)</f>
        <v>0</v>
      </c>
      <c r="S1789" s="67">
        <f>ROUND(IF(K1789=0,0,M1789*D1789),4)</f>
        <v>0</v>
      </c>
      <c r="T1789" s="67">
        <f>ROUND(+IF(K1789=0,Q1789*D1789,0),4)</f>
        <v>0</v>
      </c>
      <c r="U1789" s="67">
        <f>ROUND(+N1789+R1789+S1789+T1789,4)</f>
        <v>0</v>
      </c>
      <c r="V1789" s="67">
        <f>ROUND(IF(P1789=0,0,I1789-H1789-O1789)+IF(L1789=0,0,I1789-H1789-K1789),4)</f>
        <v>0</v>
      </c>
      <c r="W1789" s="67">
        <f>ROUND(+(V1789*60%)*D1789,4)</f>
        <v>0</v>
      </c>
      <c r="X1789" s="148">
        <f>ROUND(+U1789+W1789,4)</f>
        <v>0</v>
      </c>
      <c r="Y1789" s="68"/>
      <c r="Z1789" s="148">
        <f>ROUND(IF(X1789&gt;I1789,X1789,I1789),4)</f>
        <v>0</v>
      </c>
      <c r="AD1789" s="78">
        <f t="shared" si="32"/>
        <v>0</v>
      </c>
      <c r="AE1789" s="78">
        <f t="shared" si="33"/>
        <v>0</v>
      </c>
    </row>
    <row r="1790" spans="1:31" x14ac:dyDescent="0.2">
      <c r="A1790" s="66"/>
      <c r="B1790" s="66"/>
      <c r="C1790" s="66"/>
      <c r="D1790" s="144"/>
      <c r="E1790" s="67"/>
      <c r="F1790" s="67"/>
      <c r="G1790" s="67"/>
      <c r="H1790" s="67">
        <f>ROUND(+E1790+G1790,4)</f>
        <v>0</v>
      </c>
      <c r="I1790" s="67"/>
      <c r="J1790" s="67">
        <f>ROUND(+I1790-H1790,4)</f>
        <v>0</v>
      </c>
      <c r="K1790" s="67">
        <f>ROUND(IF(F1790="alluminio",0,I1790*1.5%),4)</f>
        <v>0</v>
      </c>
      <c r="L1790" s="67">
        <f>ROUND(IF(K1790&lt;J1790,K1790,0),4)</f>
        <v>0</v>
      </c>
      <c r="M1790" s="67">
        <f>ROUND(IF(J1790&gt;K1790,0,J1790),4)</f>
        <v>0</v>
      </c>
      <c r="N1790" s="67">
        <f>ROUND(+L1790*D1790,4)</f>
        <v>0</v>
      </c>
      <c r="O1790" s="67">
        <f>ROUND(IF(F1790="rame",0,+I1790*3%),4)</f>
        <v>0</v>
      </c>
      <c r="P1790" s="67">
        <f>ROUND(IF(O1790&lt;J1790,O1790,0),4)</f>
        <v>0</v>
      </c>
      <c r="Q1790" s="67">
        <f>ROUND(IF(J1790&gt;O1790,0,J1790),4)</f>
        <v>0</v>
      </c>
      <c r="R1790" s="67">
        <f>ROUND(+P1790*D1790,4)</f>
        <v>0</v>
      </c>
      <c r="S1790" s="67">
        <f>ROUND(IF(K1790=0,0,M1790*D1790),4)</f>
        <v>0</v>
      </c>
      <c r="T1790" s="67">
        <f>ROUND(+IF(K1790=0,Q1790*D1790,0),4)</f>
        <v>0</v>
      </c>
      <c r="U1790" s="67">
        <f>ROUND(+N1790+R1790+S1790+T1790,4)</f>
        <v>0</v>
      </c>
      <c r="V1790" s="67">
        <f>ROUND(IF(P1790=0,0,I1790-H1790-O1790)+IF(L1790=0,0,I1790-H1790-K1790),4)</f>
        <v>0</v>
      </c>
      <c r="W1790" s="67">
        <f>ROUND(+(V1790*60%)*D1790,4)</f>
        <v>0</v>
      </c>
      <c r="X1790" s="148">
        <f>ROUND(+U1790+W1790,4)</f>
        <v>0</v>
      </c>
      <c r="Y1790" s="68"/>
      <c r="Z1790" s="148">
        <f>ROUND(IF(X1790&gt;I1790,X1790,I1790),4)</f>
        <v>0</v>
      </c>
      <c r="AD1790" s="78">
        <f t="shared" ref="AD1790:AD1853" si="34">IF(Y1790="",0,MONTH(Y1790))</f>
        <v>0</v>
      </c>
      <c r="AE1790" s="78">
        <f t="shared" ref="AE1790:AE1853" si="35">IF(Y1790="",0,YEAR(Y1790))</f>
        <v>0</v>
      </c>
    </row>
    <row r="1791" spans="1:31" x14ac:dyDescent="0.2">
      <c r="A1791" s="66"/>
      <c r="B1791" s="66"/>
      <c r="C1791" s="66"/>
      <c r="D1791" s="144"/>
      <c r="E1791" s="67"/>
      <c r="F1791" s="67"/>
      <c r="G1791" s="67"/>
      <c r="H1791" s="67">
        <f>ROUND(+E1791+G1791,4)</f>
        <v>0</v>
      </c>
      <c r="I1791" s="67"/>
      <c r="J1791" s="67">
        <f>ROUND(+I1791-H1791,4)</f>
        <v>0</v>
      </c>
      <c r="K1791" s="67">
        <f>ROUND(IF(F1791="alluminio",0,I1791*1.5%),4)</f>
        <v>0</v>
      </c>
      <c r="L1791" s="67">
        <f>ROUND(IF(K1791&lt;J1791,K1791,0),4)</f>
        <v>0</v>
      </c>
      <c r="M1791" s="67">
        <f>ROUND(IF(J1791&gt;K1791,0,J1791),4)</f>
        <v>0</v>
      </c>
      <c r="N1791" s="67">
        <f>ROUND(+L1791*D1791,4)</f>
        <v>0</v>
      </c>
      <c r="O1791" s="67">
        <f>ROUND(IF(F1791="rame",0,+I1791*3%),4)</f>
        <v>0</v>
      </c>
      <c r="P1791" s="67">
        <f>ROUND(IF(O1791&lt;J1791,O1791,0),4)</f>
        <v>0</v>
      </c>
      <c r="Q1791" s="67">
        <f>ROUND(IF(J1791&gt;O1791,0,J1791),4)</f>
        <v>0</v>
      </c>
      <c r="R1791" s="67">
        <f>ROUND(+P1791*D1791,4)</f>
        <v>0</v>
      </c>
      <c r="S1791" s="67">
        <f>ROUND(IF(K1791=0,0,M1791*D1791),4)</f>
        <v>0</v>
      </c>
      <c r="T1791" s="67">
        <f>ROUND(+IF(K1791=0,Q1791*D1791,0),4)</f>
        <v>0</v>
      </c>
      <c r="U1791" s="67">
        <f>ROUND(+N1791+R1791+S1791+T1791,4)</f>
        <v>0</v>
      </c>
      <c r="V1791" s="67">
        <f>ROUND(IF(P1791=0,0,I1791-H1791-O1791)+IF(L1791=0,0,I1791-H1791-K1791),4)</f>
        <v>0</v>
      </c>
      <c r="W1791" s="67">
        <f>ROUND(+(V1791*60%)*D1791,4)</f>
        <v>0</v>
      </c>
      <c r="X1791" s="148">
        <f>ROUND(+U1791+W1791,4)</f>
        <v>0</v>
      </c>
      <c r="Y1791" s="68"/>
      <c r="Z1791" s="148">
        <f>ROUND(IF(X1791&gt;I1791,X1791,I1791),4)</f>
        <v>0</v>
      </c>
      <c r="AD1791" s="78">
        <f t="shared" si="34"/>
        <v>0</v>
      </c>
      <c r="AE1791" s="78">
        <f t="shared" si="35"/>
        <v>0</v>
      </c>
    </row>
    <row r="1792" spans="1:31" x14ac:dyDescent="0.2">
      <c r="A1792" s="66"/>
      <c r="B1792" s="66"/>
      <c r="C1792" s="66"/>
      <c r="D1792" s="144"/>
      <c r="E1792" s="67"/>
      <c r="F1792" s="67"/>
      <c r="G1792" s="67"/>
      <c r="H1792" s="67">
        <f>ROUND(+E1792+G1792,4)</f>
        <v>0</v>
      </c>
      <c r="I1792" s="67"/>
      <c r="J1792" s="67">
        <f>ROUND(+I1792-H1792,4)</f>
        <v>0</v>
      </c>
      <c r="K1792" s="67">
        <f>ROUND(IF(F1792="alluminio",0,I1792*1.5%),4)</f>
        <v>0</v>
      </c>
      <c r="L1792" s="67">
        <f>ROUND(IF(K1792&lt;J1792,K1792,0),4)</f>
        <v>0</v>
      </c>
      <c r="M1792" s="67">
        <f>ROUND(IF(J1792&gt;K1792,0,J1792),4)</f>
        <v>0</v>
      </c>
      <c r="N1792" s="67">
        <f>ROUND(+L1792*D1792,4)</f>
        <v>0</v>
      </c>
      <c r="O1792" s="67">
        <f>ROUND(IF(F1792="rame",0,+I1792*3%),4)</f>
        <v>0</v>
      </c>
      <c r="P1792" s="67">
        <f>ROUND(IF(O1792&lt;J1792,O1792,0),4)</f>
        <v>0</v>
      </c>
      <c r="Q1792" s="67">
        <f>ROUND(IF(J1792&gt;O1792,0,J1792),4)</f>
        <v>0</v>
      </c>
      <c r="R1792" s="67">
        <f>ROUND(+P1792*D1792,4)</f>
        <v>0</v>
      </c>
      <c r="S1792" s="67">
        <f>ROUND(IF(K1792=0,0,M1792*D1792),4)</f>
        <v>0</v>
      </c>
      <c r="T1792" s="67">
        <f>ROUND(+IF(K1792=0,Q1792*D1792,0),4)</f>
        <v>0</v>
      </c>
      <c r="U1792" s="67">
        <f>ROUND(+N1792+R1792+S1792+T1792,4)</f>
        <v>0</v>
      </c>
      <c r="V1792" s="67">
        <f>ROUND(IF(P1792=0,0,I1792-H1792-O1792)+IF(L1792=0,0,I1792-H1792-K1792),4)</f>
        <v>0</v>
      </c>
      <c r="W1792" s="67">
        <f>ROUND(+(V1792*60%)*D1792,4)</f>
        <v>0</v>
      </c>
      <c r="X1792" s="148">
        <f>ROUND(+U1792+W1792,4)</f>
        <v>0</v>
      </c>
      <c r="Y1792" s="68"/>
      <c r="Z1792" s="148">
        <f>ROUND(IF(X1792&gt;I1792,X1792,I1792),4)</f>
        <v>0</v>
      </c>
      <c r="AD1792" s="78">
        <f t="shared" si="34"/>
        <v>0</v>
      </c>
      <c r="AE1792" s="78">
        <f t="shared" si="35"/>
        <v>0</v>
      </c>
    </row>
    <row r="1793" spans="1:31" x14ac:dyDescent="0.2">
      <c r="A1793" s="66"/>
      <c r="B1793" s="66"/>
      <c r="C1793" s="66"/>
      <c r="D1793" s="144"/>
      <c r="E1793" s="67"/>
      <c r="F1793" s="67"/>
      <c r="G1793" s="67"/>
      <c r="H1793" s="67">
        <f>ROUND(+E1793+G1793,4)</f>
        <v>0</v>
      </c>
      <c r="I1793" s="67"/>
      <c r="J1793" s="67">
        <f>ROUND(+I1793-H1793,4)</f>
        <v>0</v>
      </c>
      <c r="K1793" s="67">
        <f>ROUND(IF(F1793="alluminio",0,I1793*1.5%),4)</f>
        <v>0</v>
      </c>
      <c r="L1793" s="67">
        <f>ROUND(IF(K1793&lt;J1793,K1793,0),4)</f>
        <v>0</v>
      </c>
      <c r="M1793" s="67">
        <f>ROUND(IF(J1793&gt;K1793,0,J1793),4)</f>
        <v>0</v>
      </c>
      <c r="N1793" s="67">
        <f>ROUND(+L1793*D1793,4)</f>
        <v>0</v>
      </c>
      <c r="O1793" s="67">
        <f>ROUND(IF(F1793="rame",0,+I1793*3%),4)</f>
        <v>0</v>
      </c>
      <c r="P1793" s="67">
        <f>ROUND(IF(O1793&lt;J1793,O1793,0),4)</f>
        <v>0</v>
      </c>
      <c r="Q1793" s="67">
        <f>ROUND(IF(J1793&gt;O1793,0,J1793),4)</f>
        <v>0</v>
      </c>
      <c r="R1793" s="67">
        <f>ROUND(+P1793*D1793,4)</f>
        <v>0</v>
      </c>
      <c r="S1793" s="67">
        <f>ROUND(IF(K1793=0,0,M1793*D1793),4)</f>
        <v>0</v>
      </c>
      <c r="T1793" s="67">
        <f>ROUND(+IF(K1793=0,Q1793*D1793,0),4)</f>
        <v>0</v>
      </c>
      <c r="U1793" s="67">
        <f>ROUND(+N1793+R1793+S1793+T1793,4)</f>
        <v>0</v>
      </c>
      <c r="V1793" s="67">
        <f>ROUND(IF(P1793=0,0,I1793-H1793-O1793)+IF(L1793=0,0,I1793-H1793-K1793),4)</f>
        <v>0</v>
      </c>
      <c r="W1793" s="67">
        <f>ROUND(+(V1793*60%)*D1793,4)</f>
        <v>0</v>
      </c>
      <c r="X1793" s="148">
        <f>ROUND(+U1793+W1793,4)</f>
        <v>0</v>
      </c>
      <c r="Y1793" s="68"/>
      <c r="Z1793" s="148">
        <f>ROUND(IF(X1793&gt;I1793,X1793,I1793),4)</f>
        <v>0</v>
      </c>
      <c r="AD1793" s="78">
        <f t="shared" si="34"/>
        <v>0</v>
      </c>
      <c r="AE1793" s="78">
        <f t="shared" si="35"/>
        <v>0</v>
      </c>
    </row>
    <row r="1794" spans="1:31" x14ac:dyDescent="0.2">
      <c r="A1794" s="66"/>
      <c r="B1794" s="66"/>
      <c r="C1794" s="66"/>
      <c r="D1794" s="144"/>
      <c r="E1794" s="67"/>
      <c r="F1794" s="67"/>
      <c r="G1794" s="67"/>
      <c r="H1794" s="67">
        <f>ROUND(+E1794+G1794,4)</f>
        <v>0</v>
      </c>
      <c r="I1794" s="67"/>
      <c r="J1794" s="67">
        <f>ROUND(+I1794-H1794,4)</f>
        <v>0</v>
      </c>
      <c r="K1794" s="67">
        <f>ROUND(IF(F1794="alluminio",0,I1794*1.5%),4)</f>
        <v>0</v>
      </c>
      <c r="L1794" s="67">
        <f>ROUND(IF(K1794&lt;J1794,K1794,0),4)</f>
        <v>0</v>
      </c>
      <c r="M1794" s="67">
        <f>ROUND(IF(J1794&gt;K1794,0,J1794),4)</f>
        <v>0</v>
      </c>
      <c r="N1794" s="67">
        <f>ROUND(+L1794*D1794,4)</f>
        <v>0</v>
      </c>
      <c r="O1794" s="67">
        <f>ROUND(IF(F1794="rame",0,+I1794*3%),4)</f>
        <v>0</v>
      </c>
      <c r="P1794" s="67">
        <f>ROUND(IF(O1794&lt;J1794,O1794,0),4)</f>
        <v>0</v>
      </c>
      <c r="Q1794" s="67">
        <f>ROUND(IF(J1794&gt;O1794,0,J1794),4)</f>
        <v>0</v>
      </c>
      <c r="R1794" s="67">
        <f>ROUND(+P1794*D1794,4)</f>
        <v>0</v>
      </c>
      <c r="S1794" s="67">
        <f>ROUND(IF(K1794=0,0,M1794*D1794),4)</f>
        <v>0</v>
      </c>
      <c r="T1794" s="67">
        <f>ROUND(+IF(K1794=0,Q1794*D1794,0),4)</f>
        <v>0</v>
      </c>
      <c r="U1794" s="67">
        <f>ROUND(+N1794+R1794+S1794+T1794,4)</f>
        <v>0</v>
      </c>
      <c r="V1794" s="67">
        <f>ROUND(IF(P1794=0,0,I1794-H1794-O1794)+IF(L1794=0,0,I1794-H1794-K1794),4)</f>
        <v>0</v>
      </c>
      <c r="W1794" s="67">
        <f>ROUND(+(V1794*60%)*D1794,4)</f>
        <v>0</v>
      </c>
      <c r="X1794" s="148">
        <f>ROUND(+U1794+W1794,4)</f>
        <v>0</v>
      </c>
      <c r="Y1794" s="68"/>
      <c r="Z1794" s="148">
        <f>ROUND(IF(X1794&gt;I1794,X1794,I1794),4)</f>
        <v>0</v>
      </c>
      <c r="AD1794" s="78">
        <f t="shared" si="34"/>
        <v>0</v>
      </c>
      <c r="AE1794" s="78">
        <f t="shared" si="35"/>
        <v>0</v>
      </c>
    </row>
    <row r="1795" spans="1:31" x14ac:dyDescent="0.2">
      <c r="A1795" s="66"/>
      <c r="B1795" s="66"/>
      <c r="C1795" s="66"/>
      <c r="D1795" s="144"/>
      <c r="E1795" s="67"/>
      <c r="F1795" s="67"/>
      <c r="G1795" s="67"/>
      <c r="H1795" s="67">
        <f>ROUND(+E1795+G1795,4)</f>
        <v>0</v>
      </c>
      <c r="I1795" s="67"/>
      <c r="J1795" s="67">
        <f>ROUND(+I1795-H1795,4)</f>
        <v>0</v>
      </c>
      <c r="K1795" s="67">
        <f>ROUND(IF(F1795="alluminio",0,I1795*1.5%),4)</f>
        <v>0</v>
      </c>
      <c r="L1795" s="67">
        <f>ROUND(IF(K1795&lt;J1795,K1795,0),4)</f>
        <v>0</v>
      </c>
      <c r="M1795" s="67">
        <f>ROUND(IF(J1795&gt;K1795,0,J1795),4)</f>
        <v>0</v>
      </c>
      <c r="N1795" s="67">
        <f>ROUND(+L1795*D1795,4)</f>
        <v>0</v>
      </c>
      <c r="O1795" s="67">
        <f>ROUND(IF(F1795="rame",0,+I1795*3%),4)</f>
        <v>0</v>
      </c>
      <c r="P1795" s="67">
        <f>ROUND(IF(O1795&lt;J1795,O1795,0),4)</f>
        <v>0</v>
      </c>
      <c r="Q1795" s="67">
        <f>ROUND(IF(J1795&gt;O1795,0,J1795),4)</f>
        <v>0</v>
      </c>
      <c r="R1795" s="67">
        <f>ROUND(+P1795*D1795,4)</f>
        <v>0</v>
      </c>
      <c r="S1795" s="67">
        <f>ROUND(IF(K1795=0,0,M1795*D1795),4)</f>
        <v>0</v>
      </c>
      <c r="T1795" s="67">
        <f>ROUND(+IF(K1795=0,Q1795*D1795,0),4)</f>
        <v>0</v>
      </c>
      <c r="U1795" s="67">
        <f>ROUND(+N1795+R1795+S1795+T1795,4)</f>
        <v>0</v>
      </c>
      <c r="V1795" s="67">
        <f>ROUND(IF(P1795=0,0,I1795-H1795-O1795)+IF(L1795=0,0,I1795-H1795-K1795),4)</f>
        <v>0</v>
      </c>
      <c r="W1795" s="67">
        <f>ROUND(+(V1795*60%)*D1795,4)</f>
        <v>0</v>
      </c>
      <c r="X1795" s="148">
        <f>ROUND(+U1795+W1795,4)</f>
        <v>0</v>
      </c>
      <c r="Y1795" s="68"/>
      <c r="Z1795" s="148">
        <f>ROUND(IF(X1795&gt;I1795,X1795,I1795),4)</f>
        <v>0</v>
      </c>
      <c r="AD1795" s="78">
        <f t="shared" si="34"/>
        <v>0</v>
      </c>
      <c r="AE1795" s="78">
        <f t="shared" si="35"/>
        <v>0</v>
      </c>
    </row>
    <row r="1796" spans="1:31" x14ac:dyDescent="0.2">
      <c r="A1796" s="66"/>
      <c r="B1796" s="66"/>
      <c r="C1796" s="66"/>
      <c r="D1796" s="144"/>
      <c r="E1796" s="67"/>
      <c r="F1796" s="67"/>
      <c r="G1796" s="67"/>
      <c r="H1796" s="67">
        <f>ROUND(+E1796+G1796,4)</f>
        <v>0</v>
      </c>
      <c r="I1796" s="67"/>
      <c r="J1796" s="67">
        <f>ROUND(+I1796-H1796,4)</f>
        <v>0</v>
      </c>
      <c r="K1796" s="67">
        <f>ROUND(IF(F1796="alluminio",0,I1796*1.5%),4)</f>
        <v>0</v>
      </c>
      <c r="L1796" s="67">
        <f>ROUND(IF(K1796&lt;J1796,K1796,0),4)</f>
        <v>0</v>
      </c>
      <c r="M1796" s="67">
        <f>ROUND(IF(J1796&gt;K1796,0,J1796),4)</f>
        <v>0</v>
      </c>
      <c r="N1796" s="67">
        <f>ROUND(+L1796*D1796,4)</f>
        <v>0</v>
      </c>
      <c r="O1796" s="67">
        <f>ROUND(IF(F1796="rame",0,+I1796*3%),4)</f>
        <v>0</v>
      </c>
      <c r="P1796" s="67">
        <f>ROUND(IF(O1796&lt;J1796,O1796,0),4)</f>
        <v>0</v>
      </c>
      <c r="Q1796" s="67">
        <f>ROUND(IF(J1796&gt;O1796,0,J1796),4)</f>
        <v>0</v>
      </c>
      <c r="R1796" s="67">
        <f>ROUND(+P1796*D1796,4)</f>
        <v>0</v>
      </c>
      <c r="S1796" s="67">
        <f>ROUND(IF(K1796=0,0,M1796*D1796),4)</f>
        <v>0</v>
      </c>
      <c r="T1796" s="67">
        <f>ROUND(+IF(K1796=0,Q1796*D1796,0),4)</f>
        <v>0</v>
      </c>
      <c r="U1796" s="67">
        <f>ROUND(+N1796+R1796+S1796+T1796,4)</f>
        <v>0</v>
      </c>
      <c r="V1796" s="67">
        <f>ROUND(IF(P1796=0,0,I1796-H1796-O1796)+IF(L1796=0,0,I1796-H1796-K1796),4)</f>
        <v>0</v>
      </c>
      <c r="W1796" s="67">
        <f>ROUND(+(V1796*60%)*D1796,4)</f>
        <v>0</v>
      </c>
      <c r="X1796" s="148">
        <f>ROUND(+U1796+W1796,4)</f>
        <v>0</v>
      </c>
      <c r="Y1796" s="68"/>
      <c r="Z1796" s="148">
        <f>ROUND(IF(X1796&gt;I1796,X1796,I1796),4)</f>
        <v>0</v>
      </c>
      <c r="AD1796" s="78">
        <f t="shared" si="34"/>
        <v>0</v>
      </c>
      <c r="AE1796" s="78">
        <f t="shared" si="35"/>
        <v>0</v>
      </c>
    </row>
    <row r="1797" spans="1:31" x14ac:dyDescent="0.2">
      <c r="A1797" s="66"/>
      <c r="B1797" s="66"/>
      <c r="C1797" s="66"/>
      <c r="D1797" s="144"/>
      <c r="E1797" s="67"/>
      <c r="F1797" s="67"/>
      <c r="G1797" s="67"/>
      <c r="H1797" s="67">
        <f>ROUND(+E1797+G1797,4)</f>
        <v>0</v>
      </c>
      <c r="I1797" s="67"/>
      <c r="J1797" s="67">
        <f>ROUND(+I1797-H1797,4)</f>
        <v>0</v>
      </c>
      <c r="K1797" s="67">
        <f>ROUND(IF(F1797="alluminio",0,I1797*1.5%),4)</f>
        <v>0</v>
      </c>
      <c r="L1797" s="67">
        <f>ROUND(IF(K1797&lt;J1797,K1797,0),4)</f>
        <v>0</v>
      </c>
      <c r="M1797" s="67">
        <f>ROUND(IF(J1797&gt;K1797,0,J1797),4)</f>
        <v>0</v>
      </c>
      <c r="N1797" s="67">
        <f>ROUND(+L1797*D1797,4)</f>
        <v>0</v>
      </c>
      <c r="O1797" s="67">
        <f>ROUND(IF(F1797="rame",0,+I1797*3%),4)</f>
        <v>0</v>
      </c>
      <c r="P1797" s="67">
        <f>ROUND(IF(O1797&lt;J1797,O1797,0),4)</f>
        <v>0</v>
      </c>
      <c r="Q1797" s="67">
        <f>ROUND(IF(J1797&gt;O1797,0,J1797),4)</f>
        <v>0</v>
      </c>
      <c r="R1797" s="67">
        <f>ROUND(+P1797*D1797,4)</f>
        <v>0</v>
      </c>
      <c r="S1797" s="67">
        <f>ROUND(IF(K1797=0,0,M1797*D1797),4)</f>
        <v>0</v>
      </c>
      <c r="T1797" s="67">
        <f>ROUND(+IF(K1797=0,Q1797*D1797,0),4)</f>
        <v>0</v>
      </c>
      <c r="U1797" s="67">
        <f>ROUND(+N1797+R1797+S1797+T1797,4)</f>
        <v>0</v>
      </c>
      <c r="V1797" s="67">
        <f>ROUND(IF(P1797=0,0,I1797-H1797-O1797)+IF(L1797=0,0,I1797-H1797-K1797),4)</f>
        <v>0</v>
      </c>
      <c r="W1797" s="67">
        <f>ROUND(+(V1797*60%)*D1797,4)</f>
        <v>0</v>
      </c>
      <c r="X1797" s="148">
        <f>ROUND(+U1797+W1797,4)</f>
        <v>0</v>
      </c>
      <c r="Y1797" s="68"/>
      <c r="Z1797" s="148">
        <f>ROUND(IF(X1797&gt;I1797,X1797,I1797),4)</f>
        <v>0</v>
      </c>
      <c r="AD1797" s="78">
        <f t="shared" si="34"/>
        <v>0</v>
      </c>
      <c r="AE1797" s="78">
        <f t="shared" si="35"/>
        <v>0</v>
      </c>
    </row>
    <row r="1798" spans="1:31" x14ac:dyDescent="0.2">
      <c r="A1798" s="66"/>
      <c r="B1798" s="66"/>
      <c r="C1798" s="66"/>
      <c r="D1798" s="144"/>
      <c r="E1798" s="67"/>
      <c r="F1798" s="67"/>
      <c r="G1798" s="67"/>
      <c r="H1798" s="67">
        <f>ROUND(+E1798+G1798,4)</f>
        <v>0</v>
      </c>
      <c r="I1798" s="67"/>
      <c r="J1798" s="67">
        <f>ROUND(+I1798-H1798,4)</f>
        <v>0</v>
      </c>
      <c r="K1798" s="67">
        <f>ROUND(IF(F1798="alluminio",0,I1798*1.5%),4)</f>
        <v>0</v>
      </c>
      <c r="L1798" s="67">
        <f>ROUND(IF(K1798&lt;J1798,K1798,0),4)</f>
        <v>0</v>
      </c>
      <c r="M1798" s="67">
        <f>ROUND(IF(J1798&gt;K1798,0,J1798),4)</f>
        <v>0</v>
      </c>
      <c r="N1798" s="67">
        <f>ROUND(+L1798*D1798,4)</f>
        <v>0</v>
      </c>
      <c r="O1798" s="67">
        <f>ROUND(IF(F1798="rame",0,+I1798*3%),4)</f>
        <v>0</v>
      </c>
      <c r="P1798" s="67">
        <f>ROUND(IF(O1798&lt;J1798,O1798,0),4)</f>
        <v>0</v>
      </c>
      <c r="Q1798" s="67">
        <f>ROUND(IF(J1798&gt;O1798,0,J1798),4)</f>
        <v>0</v>
      </c>
      <c r="R1798" s="67">
        <f>ROUND(+P1798*D1798,4)</f>
        <v>0</v>
      </c>
      <c r="S1798" s="67">
        <f>ROUND(IF(K1798=0,0,M1798*D1798),4)</f>
        <v>0</v>
      </c>
      <c r="T1798" s="67">
        <f>ROUND(+IF(K1798=0,Q1798*D1798,0),4)</f>
        <v>0</v>
      </c>
      <c r="U1798" s="67">
        <f>ROUND(+N1798+R1798+S1798+T1798,4)</f>
        <v>0</v>
      </c>
      <c r="V1798" s="67">
        <f>ROUND(IF(P1798=0,0,I1798-H1798-O1798)+IF(L1798=0,0,I1798-H1798-K1798),4)</f>
        <v>0</v>
      </c>
      <c r="W1798" s="67">
        <f>ROUND(+(V1798*60%)*D1798,4)</f>
        <v>0</v>
      </c>
      <c r="X1798" s="148">
        <f>ROUND(+U1798+W1798,4)</f>
        <v>0</v>
      </c>
      <c r="Y1798" s="68"/>
      <c r="Z1798" s="148">
        <f>ROUND(IF(X1798&gt;I1798,X1798,I1798),4)</f>
        <v>0</v>
      </c>
      <c r="AD1798" s="78">
        <f t="shared" si="34"/>
        <v>0</v>
      </c>
      <c r="AE1798" s="78">
        <f t="shared" si="35"/>
        <v>0</v>
      </c>
    </row>
    <row r="1799" spans="1:31" x14ac:dyDescent="0.2">
      <c r="A1799" s="66"/>
      <c r="B1799" s="66"/>
      <c r="C1799" s="66"/>
      <c r="D1799" s="144"/>
      <c r="E1799" s="67"/>
      <c r="F1799" s="67"/>
      <c r="G1799" s="67"/>
      <c r="H1799" s="67">
        <f>ROUND(+E1799+G1799,4)</f>
        <v>0</v>
      </c>
      <c r="I1799" s="67"/>
      <c r="J1799" s="67">
        <f>ROUND(+I1799-H1799,4)</f>
        <v>0</v>
      </c>
      <c r="K1799" s="67">
        <f>ROUND(IF(F1799="alluminio",0,I1799*1.5%),4)</f>
        <v>0</v>
      </c>
      <c r="L1799" s="67">
        <f>ROUND(IF(K1799&lt;J1799,K1799,0),4)</f>
        <v>0</v>
      </c>
      <c r="M1799" s="67">
        <f>ROUND(IF(J1799&gt;K1799,0,J1799),4)</f>
        <v>0</v>
      </c>
      <c r="N1799" s="67">
        <f>ROUND(+L1799*D1799,4)</f>
        <v>0</v>
      </c>
      <c r="O1799" s="67">
        <f>ROUND(IF(F1799="rame",0,+I1799*3%),4)</f>
        <v>0</v>
      </c>
      <c r="P1799" s="67">
        <f>ROUND(IF(O1799&lt;J1799,O1799,0),4)</f>
        <v>0</v>
      </c>
      <c r="Q1799" s="67">
        <f>ROUND(IF(J1799&gt;O1799,0,J1799),4)</f>
        <v>0</v>
      </c>
      <c r="R1799" s="67">
        <f>ROUND(+P1799*D1799,4)</f>
        <v>0</v>
      </c>
      <c r="S1799" s="67">
        <f>ROUND(IF(K1799=0,0,M1799*D1799),4)</f>
        <v>0</v>
      </c>
      <c r="T1799" s="67">
        <f>ROUND(+IF(K1799=0,Q1799*D1799,0),4)</f>
        <v>0</v>
      </c>
      <c r="U1799" s="67">
        <f>ROUND(+N1799+R1799+S1799+T1799,4)</f>
        <v>0</v>
      </c>
      <c r="V1799" s="67">
        <f>ROUND(IF(P1799=0,0,I1799-H1799-O1799)+IF(L1799=0,0,I1799-H1799-K1799),4)</f>
        <v>0</v>
      </c>
      <c r="W1799" s="67">
        <f>ROUND(+(V1799*60%)*D1799,4)</f>
        <v>0</v>
      </c>
      <c r="X1799" s="148">
        <f>ROUND(+U1799+W1799,4)</f>
        <v>0</v>
      </c>
      <c r="Y1799" s="68"/>
      <c r="Z1799" s="148">
        <f>ROUND(IF(X1799&gt;I1799,X1799,I1799),4)</f>
        <v>0</v>
      </c>
      <c r="AD1799" s="78">
        <f t="shared" si="34"/>
        <v>0</v>
      </c>
      <c r="AE1799" s="78">
        <f t="shared" si="35"/>
        <v>0</v>
      </c>
    </row>
    <row r="1800" spans="1:31" x14ac:dyDescent="0.2">
      <c r="A1800" s="66"/>
      <c r="B1800" s="66"/>
      <c r="C1800" s="66"/>
      <c r="D1800" s="144"/>
      <c r="E1800" s="67"/>
      <c r="F1800" s="67"/>
      <c r="G1800" s="67"/>
      <c r="H1800" s="67">
        <f>ROUND(+E1800+G1800,4)</f>
        <v>0</v>
      </c>
      <c r="I1800" s="67"/>
      <c r="J1800" s="67">
        <f>ROUND(+I1800-H1800,4)</f>
        <v>0</v>
      </c>
      <c r="K1800" s="67">
        <f>ROUND(IF(F1800="alluminio",0,I1800*1.5%),4)</f>
        <v>0</v>
      </c>
      <c r="L1800" s="67">
        <f>ROUND(IF(K1800&lt;J1800,K1800,0),4)</f>
        <v>0</v>
      </c>
      <c r="M1800" s="67">
        <f>ROUND(IF(J1800&gt;K1800,0,J1800),4)</f>
        <v>0</v>
      </c>
      <c r="N1800" s="67">
        <f>ROUND(+L1800*D1800,4)</f>
        <v>0</v>
      </c>
      <c r="O1800" s="67">
        <f>ROUND(IF(F1800="rame",0,+I1800*3%),4)</f>
        <v>0</v>
      </c>
      <c r="P1800" s="67">
        <f>ROUND(IF(O1800&lt;J1800,O1800,0),4)</f>
        <v>0</v>
      </c>
      <c r="Q1800" s="67">
        <f>ROUND(IF(J1800&gt;O1800,0,J1800),4)</f>
        <v>0</v>
      </c>
      <c r="R1800" s="67">
        <f>ROUND(+P1800*D1800,4)</f>
        <v>0</v>
      </c>
      <c r="S1800" s="67">
        <f>ROUND(IF(K1800=0,0,M1800*D1800),4)</f>
        <v>0</v>
      </c>
      <c r="T1800" s="67">
        <f>ROUND(+IF(K1800=0,Q1800*D1800,0),4)</f>
        <v>0</v>
      </c>
      <c r="U1800" s="67">
        <f>ROUND(+N1800+R1800+S1800+T1800,4)</f>
        <v>0</v>
      </c>
      <c r="V1800" s="67">
        <f>ROUND(IF(P1800=0,0,I1800-H1800-O1800)+IF(L1800=0,0,I1800-H1800-K1800),4)</f>
        <v>0</v>
      </c>
      <c r="W1800" s="67">
        <f>ROUND(+(V1800*60%)*D1800,4)</f>
        <v>0</v>
      </c>
      <c r="X1800" s="148">
        <f>ROUND(+U1800+W1800,4)</f>
        <v>0</v>
      </c>
      <c r="Y1800" s="68"/>
      <c r="Z1800" s="148">
        <f>ROUND(IF(X1800&gt;I1800,X1800,I1800),4)</f>
        <v>0</v>
      </c>
      <c r="AD1800" s="78">
        <f t="shared" si="34"/>
        <v>0</v>
      </c>
      <c r="AE1800" s="78">
        <f t="shared" si="35"/>
        <v>0</v>
      </c>
    </row>
    <row r="1801" spans="1:31" x14ac:dyDescent="0.2">
      <c r="A1801" s="66"/>
      <c r="B1801" s="66"/>
      <c r="C1801" s="66"/>
      <c r="D1801" s="144"/>
      <c r="E1801" s="67"/>
      <c r="F1801" s="67"/>
      <c r="G1801" s="67"/>
      <c r="H1801" s="67">
        <f>ROUND(+E1801+G1801,4)</f>
        <v>0</v>
      </c>
      <c r="I1801" s="67"/>
      <c r="J1801" s="67">
        <f>ROUND(+I1801-H1801,4)</f>
        <v>0</v>
      </c>
      <c r="K1801" s="67">
        <f>ROUND(IF(F1801="alluminio",0,I1801*1.5%),4)</f>
        <v>0</v>
      </c>
      <c r="L1801" s="67">
        <f>ROUND(IF(K1801&lt;J1801,K1801,0),4)</f>
        <v>0</v>
      </c>
      <c r="M1801" s="67">
        <f>ROUND(IF(J1801&gt;K1801,0,J1801),4)</f>
        <v>0</v>
      </c>
      <c r="N1801" s="67">
        <f>ROUND(+L1801*D1801,4)</f>
        <v>0</v>
      </c>
      <c r="O1801" s="67">
        <f>ROUND(IF(F1801="rame",0,+I1801*3%),4)</f>
        <v>0</v>
      </c>
      <c r="P1801" s="67">
        <f>ROUND(IF(O1801&lt;J1801,O1801,0),4)</f>
        <v>0</v>
      </c>
      <c r="Q1801" s="67">
        <f>ROUND(IF(J1801&gt;O1801,0,J1801),4)</f>
        <v>0</v>
      </c>
      <c r="R1801" s="67">
        <f>ROUND(+P1801*D1801,4)</f>
        <v>0</v>
      </c>
      <c r="S1801" s="67">
        <f>ROUND(IF(K1801=0,0,M1801*D1801),4)</f>
        <v>0</v>
      </c>
      <c r="T1801" s="67">
        <f>ROUND(+IF(K1801=0,Q1801*D1801,0),4)</f>
        <v>0</v>
      </c>
      <c r="U1801" s="67">
        <f>ROUND(+N1801+R1801+S1801+T1801,4)</f>
        <v>0</v>
      </c>
      <c r="V1801" s="67">
        <f>ROUND(IF(P1801=0,0,I1801-H1801-O1801)+IF(L1801=0,0,I1801-H1801-K1801),4)</f>
        <v>0</v>
      </c>
      <c r="W1801" s="67">
        <f>ROUND(+(V1801*60%)*D1801,4)</f>
        <v>0</v>
      </c>
      <c r="X1801" s="148">
        <f>ROUND(+U1801+W1801,4)</f>
        <v>0</v>
      </c>
      <c r="Y1801" s="68"/>
      <c r="Z1801" s="148">
        <f>ROUND(IF(X1801&gt;I1801,X1801,I1801),4)</f>
        <v>0</v>
      </c>
      <c r="AD1801" s="78">
        <f t="shared" si="34"/>
        <v>0</v>
      </c>
      <c r="AE1801" s="78">
        <f t="shared" si="35"/>
        <v>0</v>
      </c>
    </row>
    <row r="1802" spans="1:31" x14ac:dyDescent="0.2">
      <c r="A1802" s="66"/>
      <c r="B1802" s="66"/>
      <c r="C1802" s="66"/>
      <c r="D1802" s="144"/>
      <c r="E1802" s="67"/>
      <c r="F1802" s="67"/>
      <c r="G1802" s="67"/>
      <c r="H1802" s="67">
        <f>ROUND(+E1802+G1802,4)</f>
        <v>0</v>
      </c>
      <c r="I1802" s="67"/>
      <c r="J1802" s="67">
        <f>ROUND(+I1802-H1802,4)</f>
        <v>0</v>
      </c>
      <c r="K1802" s="67">
        <f>ROUND(IF(F1802="alluminio",0,I1802*1.5%),4)</f>
        <v>0</v>
      </c>
      <c r="L1802" s="67">
        <f>ROUND(IF(K1802&lt;J1802,K1802,0),4)</f>
        <v>0</v>
      </c>
      <c r="M1802" s="67">
        <f>ROUND(IF(J1802&gt;K1802,0,J1802),4)</f>
        <v>0</v>
      </c>
      <c r="N1802" s="67">
        <f>ROUND(+L1802*D1802,4)</f>
        <v>0</v>
      </c>
      <c r="O1802" s="67">
        <f>ROUND(IF(F1802="rame",0,+I1802*3%),4)</f>
        <v>0</v>
      </c>
      <c r="P1802" s="67">
        <f>ROUND(IF(O1802&lt;J1802,O1802,0),4)</f>
        <v>0</v>
      </c>
      <c r="Q1802" s="67">
        <f>ROUND(IF(J1802&gt;O1802,0,J1802),4)</f>
        <v>0</v>
      </c>
      <c r="R1802" s="67">
        <f>ROUND(+P1802*D1802,4)</f>
        <v>0</v>
      </c>
      <c r="S1802" s="67">
        <f>ROUND(IF(K1802=0,0,M1802*D1802),4)</f>
        <v>0</v>
      </c>
      <c r="T1802" s="67">
        <f>ROUND(+IF(K1802=0,Q1802*D1802,0),4)</f>
        <v>0</v>
      </c>
      <c r="U1802" s="67">
        <f>ROUND(+N1802+R1802+S1802+T1802,4)</f>
        <v>0</v>
      </c>
      <c r="V1802" s="67">
        <f>ROUND(IF(P1802=0,0,I1802-H1802-O1802)+IF(L1802=0,0,I1802-H1802-K1802),4)</f>
        <v>0</v>
      </c>
      <c r="W1802" s="67">
        <f>ROUND(+(V1802*60%)*D1802,4)</f>
        <v>0</v>
      </c>
      <c r="X1802" s="148">
        <f>ROUND(+U1802+W1802,4)</f>
        <v>0</v>
      </c>
      <c r="Y1802" s="68"/>
      <c r="Z1802" s="148">
        <f>ROUND(IF(X1802&gt;I1802,X1802,I1802),4)</f>
        <v>0</v>
      </c>
      <c r="AD1802" s="78">
        <f t="shared" si="34"/>
        <v>0</v>
      </c>
      <c r="AE1802" s="78">
        <f t="shared" si="35"/>
        <v>0</v>
      </c>
    </row>
    <row r="1803" spans="1:31" x14ac:dyDescent="0.2">
      <c r="A1803" s="66"/>
      <c r="B1803" s="66"/>
      <c r="C1803" s="66"/>
      <c r="D1803" s="144"/>
      <c r="E1803" s="67"/>
      <c r="F1803" s="67"/>
      <c r="G1803" s="67"/>
      <c r="H1803" s="67">
        <f>ROUND(+E1803+G1803,4)</f>
        <v>0</v>
      </c>
      <c r="I1803" s="67"/>
      <c r="J1803" s="67">
        <f>ROUND(+I1803-H1803,4)</f>
        <v>0</v>
      </c>
      <c r="K1803" s="67">
        <f>ROUND(IF(F1803="alluminio",0,I1803*1.5%),4)</f>
        <v>0</v>
      </c>
      <c r="L1803" s="67">
        <f>ROUND(IF(K1803&lt;J1803,K1803,0),4)</f>
        <v>0</v>
      </c>
      <c r="M1803" s="67">
        <f>ROUND(IF(J1803&gt;K1803,0,J1803),4)</f>
        <v>0</v>
      </c>
      <c r="N1803" s="67">
        <f>ROUND(+L1803*D1803,4)</f>
        <v>0</v>
      </c>
      <c r="O1803" s="67">
        <f>ROUND(IF(F1803="rame",0,+I1803*3%),4)</f>
        <v>0</v>
      </c>
      <c r="P1803" s="67">
        <f>ROUND(IF(O1803&lt;J1803,O1803,0),4)</f>
        <v>0</v>
      </c>
      <c r="Q1803" s="67">
        <f>ROUND(IF(J1803&gt;O1803,0,J1803),4)</f>
        <v>0</v>
      </c>
      <c r="R1803" s="67">
        <f>ROUND(+P1803*D1803,4)</f>
        <v>0</v>
      </c>
      <c r="S1803" s="67">
        <f>ROUND(IF(K1803=0,0,M1803*D1803),4)</f>
        <v>0</v>
      </c>
      <c r="T1803" s="67">
        <f>ROUND(+IF(K1803=0,Q1803*D1803,0),4)</f>
        <v>0</v>
      </c>
      <c r="U1803" s="67">
        <f>ROUND(+N1803+R1803+S1803+T1803,4)</f>
        <v>0</v>
      </c>
      <c r="V1803" s="67">
        <f>ROUND(IF(P1803=0,0,I1803-H1803-O1803)+IF(L1803=0,0,I1803-H1803-K1803),4)</f>
        <v>0</v>
      </c>
      <c r="W1803" s="67">
        <f>ROUND(+(V1803*60%)*D1803,4)</f>
        <v>0</v>
      </c>
      <c r="X1803" s="148">
        <f>ROUND(+U1803+W1803,4)</f>
        <v>0</v>
      </c>
      <c r="Y1803" s="68"/>
      <c r="Z1803" s="148">
        <f>ROUND(IF(X1803&gt;I1803,X1803,I1803),4)</f>
        <v>0</v>
      </c>
      <c r="AD1803" s="78">
        <f t="shared" si="34"/>
        <v>0</v>
      </c>
      <c r="AE1803" s="78">
        <f t="shared" si="35"/>
        <v>0</v>
      </c>
    </row>
    <row r="1804" spans="1:31" x14ac:dyDescent="0.2">
      <c r="A1804" s="66"/>
      <c r="B1804" s="66"/>
      <c r="C1804" s="66"/>
      <c r="D1804" s="144"/>
      <c r="E1804" s="67"/>
      <c r="F1804" s="67"/>
      <c r="G1804" s="67"/>
      <c r="H1804" s="67">
        <f>ROUND(+E1804+G1804,4)</f>
        <v>0</v>
      </c>
      <c r="I1804" s="67"/>
      <c r="J1804" s="67">
        <f>ROUND(+I1804-H1804,4)</f>
        <v>0</v>
      </c>
      <c r="K1804" s="67">
        <f>ROUND(IF(F1804="alluminio",0,I1804*1.5%),4)</f>
        <v>0</v>
      </c>
      <c r="L1804" s="67">
        <f>ROUND(IF(K1804&lt;J1804,K1804,0),4)</f>
        <v>0</v>
      </c>
      <c r="M1804" s="67">
        <f>ROUND(IF(J1804&gt;K1804,0,J1804),4)</f>
        <v>0</v>
      </c>
      <c r="N1804" s="67">
        <f>ROUND(+L1804*D1804,4)</f>
        <v>0</v>
      </c>
      <c r="O1804" s="67">
        <f>ROUND(IF(F1804="rame",0,+I1804*3%),4)</f>
        <v>0</v>
      </c>
      <c r="P1804" s="67">
        <f>ROUND(IF(O1804&lt;J1804,O1804,0),4)</f>
        <v>0</v>
      </c>
      <c r="Q1804" s="67">
        <f>ROUND(IF(J1804&gt;O1804,0,J1804),4)</f>
        <v>0</v>
      </c>
      <c r="R1804" s="67">
        <f>ROUND(+P1804*D1804,4)</f>
        <v>0</v>
      </c>
      <c r="S1804" s="67">
        <f>ROUND(IF(K1804=0,0,M1804*D1804),4)</f>
        <v>0</v>
      </c>
      <c r="T1804" s="67">
        <f>ROUND(+IF(K1804=0,Q1804*D1804,0),4)</f>
        <v>0</v>
      </c>
      <c r="U1804" s="67">
        <f>ROUND(+N1804+R1804+S1804+T1804,4)</f>
        <v>0</v>
      </c>
      <c r="V1804" s="67">
        <f>ROUND(IF(P1804=0,0,I1804-H1804-O1804)+IF(L1804=0,0,I1804-H1804-K1804),4)</f>
        <v>0</v>
      </c>
      <c r="W1804" s="67">
        <f>ROUND(+(V1804*60%)*D1804,4)</f>
        <v>0</v>
      </c>
      <c r="X1804" s="148">
        <f>ROUND(+U1804+W1804,4)</f>
        <v>0</v>
      </c>
      <c r="Y1804" s="68"/>
      <c r="Z1804" s="148">
        <f>ROUND(IF(X1804&gt;I1804,X1804,I1804),4)</f>
        <v>0</v>
      </c>
      <c r="AD1804" s="78">
        <f t="shared" si="34"/>
        <v>0</v>
      </c>
      <c r="AE1804" s="78">
        <f t="shared" si="35"/>
        <v>0</v>
      </c>
    </row>
    <row r="1805" spans="1:31" x14ac:dyDescent="0.2">
      <c r="A1805" s="66"/>
      <c r="B1805" s="66"/>
      <c r="C1805" s="66"/>
      <c r="D1805" s="144"/>
      <c r="E1805" s="67"/>
      <c r="F1805" s="67"/>
      <c r="G1805" s="67"/>
      <c r="H1805" s="67">
        <f>ROUND(+E1805+G1805,4)</f>
        <v>0</v>
      </c>
      <c r="I1805" s="67"/>
      <c r="J1805" s="67">
        <f>ROUND(+I1805-H1805,4)</f>
        <v>0</v>
      </c>
      <c r="K1805" s="67">
        <f>ROUND(IF(F1805="alluminio",0,I1805*1.5%),4)</f>
        <v>0</v>
      </c>
      <c r="L1805" s="67">
        <f>ROUND(IF(K1805&lt;J1805,K1805,0),4)</f>
        <v>0</v>
      </c>
      <c r="M1805" s="67">
        <f>ROUND(IF(J1805&gt;K1805,0,J1805),4)</f>
        <v>0</v>
      </c>
      <c r="N1805" s="67">
        <f>ROUND(+L1805*D1805,4)</f>
        <v>0</v>
      </c>
      <c r="O1805" s="67">
        <f>ROUND(IF(F1805="rame",0,+I1805*3%),4)</f>
        <v>0</v>
      </c>
      <c r="P1805" s="67">
        <f>ROUND(IF(O1805&lt;J1805,O1805,0),4)</f>
        <v>0</v>
      </c>
      <c r="Q1805" s="67">
        <f>ROUND(IF(J1805&gt;O1805,0,J1805),4)</f>
        <v>0</v>
      </c>
      <c r="R1805" s="67">
        <f>ROUND(+P1805*D1805,4)</f>
        <v>0</v>
      </c>
      <c r="S1805" s="67">
        <f>ROUND(IF(K1805=0,0,M1805*D1805),4)</f>
        <v>0</v>
      </c>
      <c r="T1805" s="67">
        <f>ROUND(+IF(K1805=0,Q1805*D1805,0),4)</f>
        <v>0</v>
      </c>
      <c r="U1805" s="67">
        <f>ROUND(+N1805+R1805+S1805+T1805,4)</f>
        <v>0</v>
      </c>
      <c r="V1805" s="67">
        <f>ROUND(IF(P1805=0,0,I1805-H1805-O1805)+IF(L1805=0,0,I1805-H1805-K1805),4)</f>
        <v>0</v>
      </c>
      <c r="W1805" s="67">
        <f>ROUND(+(V1805*60%)*D1805,4)</f>
        <v>0</v>
      </c>
      <c r="X1805" s="148">
        <f>ROUND(+U1805+W1805,4)</f>
        <v>0</v>
      </c>
      <c r="Y1805" s="68"/>
      <c r="Z1805" s="148">
        <f>ROUND(IF(X1805&gt;I1805,X1805,I1805),4)</f>
        <v>0</v>
      </c>
      <c r="AD1805" s="78">
        <f t="shared" si="34"/>
        <v>0</v>
      </c>
      <c r="AE1805" s="78">
        <f t="shared" si="35"/>
        <v>0</v>
      </c>
    </row>
    <row r="1806" spans="1:31" x14ac:dyDescent="0.2">
      <c r="A1806" s="66"/>
      <c r="B1806" s="66"/>
      <c r="C1806" s="66"/>
      <c r="D1806" s="144"/>
      <c r="E1806" s="67"/>
      <c r="F1806" s="67"/>
      <c r="G1806" s="67"/>
      <c r="H1806" s="67">
        <f>ROUND(+E1806+G1806,4)</f>
        <v>0</v>
      </c>
      <c r="I1806" s="67"/>
      <c r="J1806" s="67">
        <f>ROUND(+I1806-H1806,4)</f>
        <v>0</v>
      </c>
      <c r="K1806" s="67">
        <f>ROUND(IF(F1806="alluminio",0,I1806*1.5%),4)</f>
        <v>0</v>
      </c>
      <c r="L1806" s="67">
        <f>ROUND(IF(K1806&lt;J1806,K1806,0),4)</f>
        <v>0</v>
      </c>
      <c r="M1806" s="67">
        <f>ROUND(IF(J1806&gt;K1806,0,J1806),4)</f>
        <v>0</v>
      </c>
      <c r="N1806" s="67">
        <f>ROUND(+L1806*D1806,4)</f>
        <v>0</v>
      </c>
      <c r="O1806" s="67">
        <f>ROUND(IF(F1806="rame",0,+I1806*3%),4)</f>
        <v>0</v>
      </c>
      <c r="P1806" s="67">
        <f>ROUND(IF(O1806&lt;J1806,O1806,0),4)</f>
        <v>0</v>
      </c>
      <c r="Q1806" s="67">
        <f>ROUND(IF(J1806&gt;O1806,0,J1806),4)</f>
        <v>0</v>
      </c>
      <c r="R1806" s="67">
        <f>ROUND(+P1806*D1806,4)</f>
        <v>0</v>
      </c>
      <c r="S1806" s="67">
        <f>ROUND(IF(K1806=0,0,M1806*D1806),4)</f>
        <v>0</v>
      </c>
      <c r="T1806" s="67">
        <f>ROUND(+IF(K1806=0,Q1806*D1806,0),4)</f>
        <v>0</v>
      </c>
      <c r="U1806" s="67">
        <f>ROUND(+N1806+R1806+S1806+T1806,4)</f>
        <v>0</v>
      </c>
      <c r="V1806" s="67">
        <f>ROUND(IF(P1806=0,0,I1806-H1806-O1806)+IF(L1806=0,0,I1806-H1806-K1806),4)</f>
        <v>0</v>
      </c>
      <c r="W1806" s="67">
        <f>ROUND(+(V1806*60%)*D1806,4)</f>
        <v>0</v>
      </c>
      <c r="X1806" s="148">
        <f>ROUND(+U1806+W1806,4)</f>
        <v>0</v>
      </c>
      <c r="Y1806" s="68"/>
      <c r="Z1806" s="148">
        <f>ROUND(IF(X1806&gt;I1806,X1806,I1806),4)</f>
        <v>0</v>
      </c>
      <c r="AD1806" s="78">
        <f t="shared" si="34"/>
        <v>0</v>
      </c>
      <c r="AE1806" s="78">
        <f t="shared" si="35"/>
        <v>0</v>
      </c>
    </row>
    <row r="1807" spans="1:31" x14ac:dyDescent="0.2">
      <c r="A1807" s="66"/>
      <c r="B1807" s="66"/>
      <c r="C1807" s="66"/>
      <c r="D1807" s="144"/>
      <c r="E1807" s="67"/>
      <c r="F1807" s="67"/>
      <c r="G1807" s="67"/>
      <c r="H1807" s="67">
        <f>ROUND(+E1807+G1807,4)</f>
        <v>0</v>
      </c>
      <c r="I1807" s="67"/>
      <c r="J1807" s="67">
        <f>ROUND(+I1807-H1807,4)</f>
        <v>0</v>
      </c>
      <c r="K1807" s="67">
        <f>ROUND(IF(F1807="alluminio",0,I1807*1.5%),4)</f>
        <v>0</v>
      </c>
      <c r="L1807" s="67">
        <f>ROUND(IF(K1807&lt;J1807,K1807,0),4)</f>
        <v>0</v>
      </c>
      <c r="M1807" s="67">
        <f>ROUND(IF(J1807&gt;K1807,0,J1807),4)</f>
        <v>0</v>
      </c>
      <c r="N1807" s="67">
        <f>ROUND(+L1807*D1807,4)</f>
        <v>0</v>
      </c>
      <c r="O1807" s="67">
        <f>ROUND(IF(F1807="rame",0,+I1807*3%),4)</f>
        <v>0</v>
      </c>
      <c r="P1807" s="67">
        <f>ROUND(IF(O1807&lt;J1807,O1807,0),4)</f>
        <v>0</v>
      </c>
      <c r="Q1807" s="67">
        <f>ROUND(IF(J1807&gt;O1807,0,J1807),4)</f>
        <v>0</v>
      </c>
      <c r="R1807" s="67">
        <f>ROUND(+P1807*D1807,4)</f>
        <v>0</v>
      </c>
      <c r="S1807" s="67">
        <f>ROUND(IF(K1807=0,0,M1807*D1807),4)</f>
        <v>0</v>
      </c>
      <c r="T1807" s="67">
        <f>ROUND(+IF(K1807=0,Q1807*D1807,0),4)</f>
        <v>0</v>
      </c>
      <c r="U1807" s="67">
        <f>ROUND(+N1807+R1807+S1807+T1807,4)</f>
        <v>0</v>
      </c>
      <c r="V1807" s="67">
        <f>ROUND(IF(P1807=0,0,I1807-H1807-O1807)+IF(L1807=0,0,I1807-H1807-K1807),4)</f>
        <v>0</v>
      </c>
      <c r="W1807" s="67">
        <f>ROUND(+(V1807*60%)*D1807,4)</f>
        <v>0</v>
      </c>
      <c r="X1807" s="148">
        <f>ROUND(+U1807+W1807,4)</f>
        <v>0</v>
      </c>
      <c r="Y1807" s="68"/>
      <c r="Z1807" s="148">
        <f>ROUND(IF(X1807&gt;I1807,X1807,I1807),4)</f>
        <v>0</v>
      </c>
      <c r="AD1807" s="78">
        <f t="shared" si="34"/>
        <v>0</v>
      </c>
      <c r="AE1807" s="78">
        <f t="shared" si="35"/>
        <v>0</v>
      </c>
    </row>
    <row r="1808" spans="1:31" x14ac:dyDescent="0.2">
      <c r="A1808" s="66"/>
      <c r="B1808" s="66"/>
      <c r="C1808" s="66"/>
      <c r="D1808" s="144"/>
      <c r="E1808" s="67"/>
      <c r="F1808" s="67"/>
      <c r="G1808" s="67"/>
      <c r="H1808" s="67">
        <f>ROUND(+E1808+G1808,4)</f>
        <v>0</v>
      </c>
      <c r="I1808" s="67"/>
      <c r="J1808" s="67">
        <f>ROUND(+I1808-H1808,4)</f>
        <v>0</v>
      </c>
      <c r="K1808" s="67">
        <f>ROUND(IF(F1808="alluminio",0,I1808*1.5%),4)</f>
        <v>0</v>
      </c>
      <c r="L1808" s="67">
        <f>ROUND(IF(K1808&lt;J1808,K1808,0),4)</f>
        <v>0</v>
      </c>
      <c r="M1808" s="67">
        <f>ROUND(IF(J1808&gt;K1808,0,J1808),4)</f>
        <v>0</v>
      </c>
      <c r="N1808" s="67">
        <f>ROUND(+L1808*D1808,4)</f>
        <v>0</v>
      </c>
      <c r="O1808" s="67">
        <f>ROUND(IF(F1808="rame",0,+I1808*3%),4)</f>
        <v>0</v>
      </c>
      <c r="P1808" s="67">
        <f>ROUND(IF(O1808&lt;J1808,O1808,0),4)</f>
        <v>0</v>
      </c>
      <c r="Q1808" s="67">
        <f>ROUND(IF(J1808&gt;O1808,0,J1808),4)</f>
        <v>0</v>
      </c>
      <c r="R1808" s="67">
        <f>ROUND(+P1808*D1808,4)</f>
        <v>0</v>
      </c>
      <c r="S1808" s="67">
        <f>ROUND(IF(K1808=0,0,M1808*D1808),4)</f>
        <v>0</v>
      </c>
      <c r="T1808" s="67">
        <f>ROUND(+IF(K1808=0,Q1808*D1808,0),4)</f>
        <v>0</v>
      </c>
      <c r="U1808" s="67">
        <f>ROUND(+N1808+R1808+S1808+T1808,4)</f>
        <v>0</v>
      </c>
      <c r="V1808" s="67">
        <f>ROUND(IF(P1808=0,0,I1808-H1808-O1808)+IF(L1808=0,0,I1808-H1808-K1808),4)</f>
        <v>0</v>
      </c>
      <c r="W1808" s="67">
        <f>ROUND(+(V1808*60%)*D1808,4)</f>
        <v>0</v>
      </c>
      <c r="X1808" s="148">
        <f>ROUND(+U1808+W1808,4)</f>
        <v>0</v>
      </c>
      <c r="Y1808" s="68"/>
      <c r="Z1808" s="148">
        <f>ROUND(IF(X1808&gt;I1808,X1808,I1808),4)</f>
        <v>0</v>
      </c>
      <c r="AD1808" s="78">
        <f t="shared" si="34"/>
        <v>0</v>
      </c>
      <c r="AE1808" s="78">
        <f t="shared" si="35"/>
        <v>0</v>
      </c>
    </row>
    <row r="1809" spans="1:31" x14ac:dyDescent="0.2">
      <c r="A1809" s="66"/>
      <c r="B1809" s="66"/>
      <c r="C1809" s="66"/>
      <c r="D1809" s="144"/>
      <c r="E1809" s="67"/>
      <c r="F1809" s="67"/>
      <c r="G1809" s="67"/>
      <c r="H1809" s="67">
        <f>ROUND(+E1809+G1809,4)</f>
        <v>0</v>
      </c>
      <c r="I1809" s="67"/>
      <c r="J1809" s="67">
        <f>ROUND(+I1809-H1809,4)</f>
        <v>0</v>
      </c>
      <c r="K1809" s="67">
        <f>ROUND(IF(F1809="alluminio",0,I1809*1.5%),4)</f>
        <v>0</v>
      </c>
      <c r="L1809" s="67">
        <f>ROUND(IF(K1809&lt;J1809,K1809,0),4)</f>
        <v>0</v>
      </c>
      <c r="M1809" s="67">
        <f>ROUND(IF(J1809&gt;K1809,0,J1809),4)</f>
        <v>0</v>
      </c>
      <c r="N1809" s="67">
        <f>ROUND(+L1809*D1809,4)</f>
        <v>0</v>
      </c>
      <c r="O1809" s="67">
        <f>ROUND(IF(F1809="rame",0,+I1809*3%),4)</f>
        <v>0</v>
      </c>
      <c r="P1809" s="67">
        <f>ROUND(IF(O1809&lt;J1809,O1809,0),4)</f>
        <v>0</v>
      </c>
      <c r="Q1809" s="67">
        <f>ROUND(IF(J1809&gt;O1809,0,J1809),4)</f>
        <v>0</v>
      </c>
      <c r="R1809" s="67">
        <f>ROUND(+P1809*D1809,4)</f>
        <v>0</v>
      </c>
      <c r="S1809" s="67">
        <f>ROUND(IF(K1809=0,0,M1809*D1809),4)</f>
        <v>0</v>
      </c>
      <c r="T1809" s="67">
        <f>ROUND(+IF(K1809=0,Q1809*D1809,0),4)</f>
        <v>0</v>
      </c>
      <c r="U1809" s="67">
        <f>ROUND(+N1809+R1809+S1809+T1809,4)</f>
        <v>0</v>
      </c>
      <c r="V1809" s="67">
        <f>ROUND(IF(P1809=0,0,I1809-H1809-O1809)+IF(L1809=0,0,I1809-H1809-K1809),4)</f>
        <v>0</v>
      </c>
      <c r="W1809" s="67">
        <f>ROUND(+(V1809*60%)*D1809,4)</f>
        <v>0</v>
      </c>
      <c r="X1809" s="148">
        <f>ROUND(+U1809+W1809,4)</f>
        <v>0</v>
      </c>
      <c r="Y1809" s="68"/>
      <c r="Z1809" s="148">
        <f>ROUND(IF(X1809&gt;I1809,X1809,I1809),4)</f>
        <v>0</v>
      </c>
      <c r="AD1809" s="78">
        <f t="shared" si="34"/>
        <v>0</v>
      </c>
      <c r="AE1809" s="78">
        <f t="shared" si="35"/>
        <v>0</v>
      </c>
    </row>
    <row r="1810" spans="1:31" x14ac:dyDescent="0.2">
      <c r="A1810" s="66"/>
      <c r="B1810" s="66"/>
      <c r="C1810" s="66"/>
      <c r="D1810" s="144"/>
      <c r="E1810" s="67"/>
      <c r="F1810" s="67"/>
      <c r="G1810" s="67"/>
      <c r="H1810" s="67">
        <f>ROUND(+E1810+G1810,4)</f>
        <v>0</v>
      </c>
      <c r="I1810" s="67"/>
      <c r="J1810" s="67">
        <f>ROUND(+I1810-H1810,4)</f>
        <v>0</v>
      </c>
      <c r="K1810" s="67">
        <f>ROUND(IF(F1810="alluminio",0,I1810*1.5%),4)</f>
        <v>0</v>
      </c>
      <c r="L1810" s="67">
        <f>ROUND(IF(K1810&lt;J1810,K1810,0),4)</f>
        <v>0</v>
      </c>
      <c r="M1810" s="67">
        <f>ROUND(IF(J1810&gt;K1810,0,J1810),4)</f>
        <v>0</v>
      </c>
      <c r="N1810" s="67">
        <f>ROUND(+L1810*D1810,4)</f>
        <v>0</v>
      </c>
      <c r="O1810" s="67">
        <f>ROUND(IF(F1810="rame",0,+I1810*3%),4)</f>
        <v>0</v>
      </c>
      <c r="P1810" s="67">
        <f>ROUND(IF(O1810&lt;J1810,O1810,0),4)</f>
        <v>0</v>
      </c>
      <c r="Q1810" s="67">
        <f>ROUND(IF(J1810&gt;O1810,0,J1810),4)</f>
        <v>0</v>
      </c>
      <c r="R1810" s="67">
        <f>ROUND(+P1810*D1810,4)</f>
        <v>0</v>
      </c>
      <c r="S1810" s="67">
        <f>ROUND(IF(K1810=0,0,M1810*D1810),4)</f>
        <v>0</v>
      </c>
      <c r="T1810" s="67">
        <f>ROUND(+IF(K1810=0,Q1810*D1810,0),4)</f>
        <v>0</v>
      </c>
      <c r="U1810" s="67">
        <f>ROUND(+N1810+R1810+S1810+T1810,4)</f>
        <v>0</v>
      </c>
      <c r="V1810" s="67">
        <f>ROUND(IF(P1810=0,0,I1810-H1810-O1810)+IF(L1810=0,0,I1810-H1810-K1810),4)</f>
        <v>0</v>
      </c>
      <c r="W1810" s="67">
        <f>ROUND(+(V1810*60%)*D1810,4)</f>
        <v>0</v>
      </c>
      <c r="X1810" s="148">
        <f>ROUND(+U1810+W1810,4)</f>
        <v>0</v>
      </c>
      <c r="Y1810" s="68"/>
      <c r="Z1810" s="148">
        <f>ROUND(IF(X1810&gt;I1810,X1810,I1810),4)</f>
        <v>0</v>
      </c>
      <c r="AD1810" s="78">
        <f t="shared" si="34"/>
        <v>0</v>
      </c>
      <c r="AE1810" s="78">
        <f t="shared" si="35"/>
        <v>0</v>
      </c>
    </row>
    <row r="1811" spans="1:31" x14ac:dyDescent="0.2">
      <c r="A1811" s="66"/>
      <c r="B1811" s="66"/>
      <c r="C1811" s="66"/>
      <c r="D1811" s="144"/>
      <c r="E1811" s="67"/>
      <c r="F1811" s="67"/>
      <c r="G1811" s="67"/>
      <c r="H1811" s="67">
        <f>ROUND(+E1811+G1811,4)</f>
        <v>0</v>
      </c>
      <c r="I1811" s="67"/>
      <c r="J1811" s="67">
        <f>ROUND(+I1811-H1811,4)</f>
        <v>0</v>
      </c>
      <c r="K1811" s="67">
        <f>ROUND(IF(F1811="alluminio",0,I1811*1.5%),4)</f>
        <v>0</v>
      </c>
      <c r="L1811" s="67">
        <f>ROUND(IF(K1811&lt;J1811,K1811,0),4)</f>
        <v>0</v>
      </c>
      <c r="M1811" s="67">
        <f>ROUND(IF(J1811&gt;K1811,0,J1811),4)</f>
        <v>0</v>
      </c>
      <c r="N1811" s="67">
        <f>ROUND(+L1811*D1811,4)</f>
        <v>0</v>
      </c>
      <c r="O1811" s="67">
        <f>ROUND(IF(F1811="rame",0,+I1811*3%),4)</f>
        <v>0</v>
      </c>
      <c r="P1811" s="67">
        <f>ROUND(IF(O1811&lt;J1811,O1811,0),4)</f>
        <v>0</v>
      </c>
      <c r="Q1811" s="67">
        <f>ROUND(IF(J1811&gt;O1811,0,J1811),4)</f>
        <v>0</v>
      </c>
      <c r="R1811" s="67">
        <f>ROUND(+P1811*D1811,4)</f>
        <v>0</v>
      </c>
      <c r="S1811" s="67">
        <f>ROUND(IF(K1811=0,0,M1811*D1811),4)</f>
        <v>0</v>
      </c>
      <c r="T1811" s="67">
        <f>ROUND(+IF(K1811=0,Q1811*D1811,0),4)</f>
        <v>0</v>
      </c>
      <c r="U1811" s="67">
        <f>ROUND(+N1811+R1811+S1811+T1811,4)</f>
        <v>0</v>
      </c>
      <c r="V1811" s="67">
        <f>ROUND(IF(P1811=0,0,I1811-H1811-O1811)+IF(L1811=0,0,I1811-H1811-K1811),4)</f>
        <v>0</v>
      </c>
      <c r="W1811" s="67">
        <f>ROUND(+(V1811*60%)*D1811,4)</f>
        <v>0</v>
      </c>
      <c r="X1811" s="148">
        <f>ROUND(+U1811+W1811,4)</f>
        <v>0</v>
      </c>
      <c r="Y1811" s="68"/>
      <c r="Z1811" s="148">
        <f>ROUND(IF(X1811&gt;I1811,X1811,I1811),4)</f>
        <v>0</v>
      </c>
      <c r="AD1811" s="78">
        <f t="shared" si="34"/>
        <v>0</v>
      </c>
      <c r="AE1811" s="78">
        <f t="shared" si="35"/>
        <v>0</v>
      </c>
    </row>
    <row r="1812" spans="1:31" x14ac:dyDescent="0.2">
      <c r="A1812" s="66"/>
      <c r="B1812" s="66"/>
      <c r="C1812" s="66"/>
      <c r="D1812" s="144"/>
      <c r="E1812" s="67"/>
      <c r="F1812" s="67"/>
      <c r="G1812" s="67"/>
      <c r="H1812" s="67">
        <f>ROUND(+E1812+G1812,4)</f>
        <v>0</v>
      </c>
      <c r="I1812" s="67"/>
      <c r="J1812" s="67">
        <f>ROUND(+I1812-H1812,4)</f>
        <v>0</v>
      </c>
      <c r="K1812" s="67">
        <f>ROUND(IF(F1812="alluminio",0,I1812*1.5%),4)</f>
        <v>0</v>
      </c>
      <c r="L1812" s="67">
        <f>ROUND(IF(K1812&lt;J1812,K1812,0),4)</f>
        <v>0</v>
      </c>
      <c r="M1812" s="67">
        <f>ROUND(IF(J1812&gt;K1812,0,J1812),4)</f>
        <v>0</v>
      </c>
      <c r="N1812" s="67">
        <f>ROUND(+L1812*D1812,4)</f>
        <v>0</v>
      </c>
      <c r="O1812" s="67">
        <f>ROUND(IF(F1812="rame",0,+I1812*3%),4)</f>
        <v>0</v>
      </c>
      <c r="P1812" s="67">
        <f>ROUND(IF(O1812&lt;J1812,O1812,0),4)</f>
        <v>0</v>
      </c>
      <c r="Q1812" s="67">
        <f>ROUND(IF(J1812&gt;O1812,0,J1812),4)</f>
        <v>0</v>
      </c>
      <c r="R1812" s="67">
        <f>ROUND(+P1812*D1812,4)</f>
        <v>0</v>
      </c>
      <c r="S1812" s="67">
        <f>ROUND(IF(K1812=0,0,M1812*D1812),4)</f>
        <v>0</v>
      </c>
      <c r="T1812" s="67">
        <f>ROUND(+IF(K1812=0,Q1812*D1812,0),4)</f>
        <v>0</v>
      </c>
      <c r="U1812" s="67">
        <f>ROUND(+N1812+R1812+S1812+T1812,4)</f>
        <v>0</v>
      </c>
      <c r="V1812" s="67">
        <f>ROUND(IF(P1812=0,0,I1812-H1812-O1812)+IF(L1812=0,0,I1812-H1812-K1812),4)</f>
        <v>0</v>
      </c>
      <c r="W1812" s="67">
        <f>ROUND(+(V1812*60%)*D1812,4)</f>
        <v>0</v>
      </c>
      <c r="X1812" s="148">
        <f>ROUND(+U1812+W1812,4)</f>
        <v>0</v>
      </c>
      <c r="Y1812" s="68"/>
      <c r="Z1812" s="148">
        <f>ROUND(IF(X1812&gt;I1812,X1812,I1812),4)</f>
        <v>0</v>
      </c>
      <c r="AD1812" s="78">
        <f t="shared" si="34"/>
        <v>0</v>
      </c>
      <c r="AE1812" s="78">
        <f t="shared" si="35"/>
        <v>0</v>
      </c>
    </row>
    <row r="1813" spans="1:31" x14ac:dyDescent="0.2">
      <c r="A1813" s="66"/>
      <c r="B1813" s="66"/>
      <c r="C1813" s="66"/>
      <c r="D1813" s="144"/>
      <c r="E1813" s="67"/>
      <c r="F1813" s="67"/>
      <c r="G1813" s="67"/>
      <c r="H1813" s="67">
        <f>ROUND(+E1813+G1813,4)</f>
        <v>0</v>
      </c>
      <c r="I1813" s="67"/>
      <c r="J1813" s="67">
        <f>ROUND(+I1813-H1813,4)</f>
        <v>0</v>
      </c>
      <c r="K1813" s="67">
        <f>ROUND(IF(F1813="alluminio",0,I1813*1.5%),4)</f>
        <v>0</v>
      </c>
      <c r="L1813" s="67">
        <f>ROUND(IF(K1813&lt;J1813,K1813,0),4)</f>
        <v>0</v>
      </c>
      <c r="M1813" s="67">
        <f>ROUND(IF(J1813&gt;K1813,0,J1813),4)</f>
        <v>0</v>
      </c>
      <c r="N1813" s="67">
        <f>ROUND(+L1813*D1813,4)</f>
        <v>0</v>
      </c>
      <c r="O1813" s="67">
        <f>ROUND(IF(F1813="rame",0,+I1813*3%),4)</f>
        <v>0</v>
      </c>
      <c r="P1813" s="67">
        <f>ROUND(IF(O1813&lt;J1813,O1813,0),4)</f>
        <v>0</v>
      </c>
      <c r="Q1813" s="67">
        <f>ROUND(IF(J1813&gt;O1813,0,J1813),4)</f>
        <v>0</v>
      </c>
      <c r="R1813" s="67">
        <f>ROUND(+P1813*D1813,4)</f>
        <v>0</v>
      </c>
      <c r="S1813" s="67">
        <f>ROUND(IF(K1813=0,0,M1813*D1813),4)</f>
        <v>0</v>
      </c>
      <c r="T1813" s="67">
        <f>ROUND(+IF(K1813=0,Q1813*D1813,0),4)</f>
        <v>0</v>
      </c>
      <c r="U1813" s="67">
        <f>ROUND(+N1813+R1813+S1813+T1813,4)</f>
        <v>0</v>
      </c>
      <c r="V1813" s="67">
        <f>ROUND(IF(P1813=0,0,I1813-H1813-O1813)+IF(L1813=0,0,I1813-H1813-K1813),4)</f>
        <v>0</v>
      </c>
      <c r="W1813" s="67">
        <f>ROUND(+(V1813*60%)*D1813,4)</f>
        <v>0</v>
      </c>
      <c r="X1813" s="148">
        <f>ROUND(+U1813+W1813,4)</f>
        <v>0</v>
      </c>
      <c r="Y1813" s="68"/>
      <c r="Z1813" s="148">
        <f>ROUND(IF(X1813&gt;I1813,X1813,I1813),4)</f>
        <v>0</v>
      </c>
      <c r="AD1813" s="78">
        <f t="shared" si="34"/>
        <v>0</v>
      </c>
      <c r="AE1813" s="78">
        <f t="shared" si="35"/>
        <v>0</v>
      </c>
    </row>
    <row r="1814" spans="1:31" x14ac:dyDescent="0.2">
      <c r="A1814" s="66"/>
      <c r="B1814" s="66"/>
      <c r="C1814" s="66"/>
      <c r="D1814" s="144"/>
      <c r="E1814" s="67"/>
      <c r="F1814" s="67"/>
      <c r="G1814" s="67"/>
      <c r="H1814" s="67">
        <f>ROUND(+E1814+G1814,4)</f>
        <v>0</v>
      </c>
      <c r="I1814" s="67"/>
      <c r="J1814" s="67">
        <f>ROUND(+I1814-H1814,4)</f>
        <v>0</v>
      </c>
      <c r="K1814" s="67">
        <f>ROUND(IF(F1814="alluminio",0,I1814*1.5%),4)</f>
        <v>0</v>
      </c>
      <c r="L1814" s="67">
        <f>ROUND(IF(K1814&lt;J1814,K1814,0),4)</f>
        <v>0</v>
      </c>
      <c r="M1814" s="67">
        <f>ROUND(IF(J1814&gt;K1814,0,J1814),4)</f>
        <v>0</v>
      </c>
      <c r="N1814" s="67">
        <f>ROUND(+L1814*D1814,4)</f>
        <v>0</v>
      </c>
      <c r="O1814" s="67">
        <f>ROUND(IF(F1814="rame",0,+I1814*3%),4)</f>
        <v>0</v>
      </c>
      <c r="P1814" s="67">
        <f>ROUND(IF(O1814&lt;J1814,O1814,0),4)</f>
        <v>0</v>
      </c>
      <c r="Q1814" s="67">
        <f>ROUND(IF(J1814&gt;O1814,0,J1814),4)</f>
        <v>0</v>
      </c>
      <c r="R1814" s="67">
        <f>ROUND(+P1814*D1814,4)</f>
        <v>0</v>
      </c>
      <c r="S1814" s="67">
        <f>ROUND(IF(K1814=0,0,M1814*D1814),4)</f>
        <v>0</v>
      </c>
      <c r="T1814" s="67">
        <f>ROUND(+IF(K1814=0,Q1814*D1814,0),4)</f>
        <v>0</v>
      </c>
      <c r="U1814" s="67">
        <f>ROUND(+N1814+R1814+S1814+T1814,4)</f>
        <v>0</v>
      </c>
      <c r="V1814" s="67">
        <f>ROUND(IF(P1814=0,0,I1814-H1814-O1814)+IF(L1814=0,0,I1814-H1814-K1814),4)</f>
        <v>0</v>
      </c>
      <c r="W1814" s="67">
        <f>ROUND(+(V1814*60%)*D1814,4)</f>
        <v>0</v>
      </c>
      <c r="X1814" s="148">
        <f>ROUND(+U1814+W1814,4)</f>
        <v>0</v>
      </c>
      <c r="Y1814" s="68"/>
      <c r="Z1814" s="148">
        <f>ROUND(IF(X1814&gt;I1814,X1814,I1814),4)</f>
        <v>0</v>
      </c>
      <c r="AD1814" s="78">
        <f t="shared" si="34"/>
        <v>0</v>
      </c>
      <c r="AE1814" s="78">
        <f t="shared" si="35"/>
        <v>0</v>
      </c>
    </row>
    <row r="1815" spans="1:31" x14ac:dyDescent="0.2">
      <c r="A1815" s="66"/>
      <c r="B1815" s="66"/>
      <c r="C1815" s="66"/>
      <c r="D1815" s="144"/>
      <c r="E1815" s="67"/>
      <c r="F1815" s="67"/>
      <c r="G1815" s="67"/>
      <c r="H1815" s="67">
        <f>ROUND(+E1815+G1815,4)</f>
        <v>0</v>
      </c>
      <c r="I1815" s="67"/>
      <c r="J1815" s="67">
        <f>ROUND(+I1815-H1815,4)</f>
        <v>0</v>
      </c>
      <c r="K1815" s="67">
        <f>ROUND(IF(F1815="alluminio",0,I1815*1.5%),4)</f>
        <v>0</v>
      </c>
      <c r="L1815" s="67">
        <f>ROUND(IF(K1815&lt;J1815,K1815,0),4)</f>
        <v>0</v>
      </c>
      <c r="M1815" s="67">
        <f>ROUND(IF(J1815&gt;K1815,0,J1815),4)</f>
        <v>0</v>
      </c>
      <c r="N1815" s="67">
        <f>ROUND(+L1815*D1815,4)</f>
        <v>0</v>
      </c>
      <c r="O1815" s="67">
        <f>ROUND(IF(F1815="rame",0,+I1815*3%),4)</f>
        <v>0</v>
      </c>
      <c r="P1815" s="67">
        <f>ROUND(IF(O1815&lt;J1815,O1815,0),4)</f>
        <v>0</v>
      </c>
      <c r="Q1815" s="67">
        <f>ROUND(IF(J1815&gt;O1815,0,J1815),4)</f>
        <v>0</v>
      </c>
      <c r="R1815" s="67">
        <f>ROUND(+P1815*D1815,4)</f>
        <v>0</v>
      </c>
      <c r="S1815" s="67">
        <f>ROUND(IF(K1815=0,0,M1815*D1815),4)</f>
        <v>0</v>
      </c>
      <c r="T1815" s="67">
        <f>ROUND(+IF(K1815=0,Q1815*D1815,0),4)</f>
        <v>0</v>
      </c>
      <c r="U1815" s="67">
        <f>ROUND(+N1815+R1815+S1815+T1815,4)</f>
        <v>0</v>
      </c>
      <c r="V1815" s="67">
        <f>ROUND(IF(P1815=0,0,I1815-H1815-O1815)+IF(L1815=0,0,I1815-H1815-K1815),4)</f>
        <v>0</v>
      </c>
      <c r="W1815" s="67">
        <f>ROUND(+(V1815*60%)*D1815,4)</f>
        <v>0</v>
      </c>
      <c r="X1815" s="148">
        <f>ROUND(+U1815+W1815,4)</f>
        <v>0</v>
      </c>
      <c r="Y1815" s="68"/>
      <c r="Z1815" s="148">
        <f>ROUND(IF(X1815&gt;I1815,X1815,I1815),4)</f>
        <v>0</v>
      </c>
      <c r="AD1815" s="78">
        <f t="shared" si="34"/>
        <v>0</v>
      </c>
      <c r="AE1815" s="78">
        <f t="shared" si="35"/>
        <v>0</v>
      </c>
    </row>
    <row r="1816" spans="1:31" x14ac:dyDescent="0.2">
      <c r="A1816" s="66"/>
      <c r="B1816" s="66"/>
      <c r="C1816" s="66"/>
      <c r="D1816" s="144"/>
      <c r="E1816" s="67"/>
      <c r="F1816" s="67"/>
      <c r="G1816" s="67"/>
      <c r="H1816" s="67">
        <f>ROUND(+E1816+G1816,4)</f>
        <v>0</v>
      </c>
      <c r="I1816" s="67"/>
      <c r="J1816" s="67">
        <f>ROUND(+I1816-H1816,4)</f>
        <v>0</v>
      </c>
      <c r="K1816" s="67">
        <f>ROUND(IF(F1816="alluminio",0,I1816*1.5%),4)</f>
        <v>0</v>
      </c>
      <c r="L1816" s="67">
        <f>ROUND(IF(K1816&lt;J1816,K1816,0),4)</f>
        <v>0</v>
      </c>
      <c r="M1816" s="67">
        <f>ROUND(IF(J1816&gt;K1816,0,J1816),4)</f>
        <v>0</v>
      </c>
      <c r="N1816" s="67">
        <f>ROUND(+L1816*D1816,4)</f>
        <v>0</v>
      </c>
      <c r="O1816" s="67">
        <f>ROUND(IF(F1816="rame",0,+I1816*3%),4)</f>
        <v>0</v>
      </c>
      <c r="P1816" s="67">
        <f>ROUND(IF(O1816&lt;J1816,O1816,0),4)</f>
        <v>0</v>
      </c>
      <c r="Q1816" s="67">
        <f>ROUND(IF(J1816&gt;O1816,0,J1816),4)</f>
        <v>0</v>
      </c>
      <c r="R1816" s="67">
        <f>ROUND(+P1816*D1816,4)</f>
        <v>0</v>
      </c>
      <c r="S1816" s="67">
        <f>ROUND(IF(K1816=0,0,M1816*D1816),4)</f>
        <v>0</v>
      </c>
      <c r="T1816" s="67">
        <f>ROUND(+IF(K1816=0,Q1816*D1816,0),4)</f>
        <v>0</v>
      </c>
      <c r="U1816" s="67">
        <f>ROUND(+N1816+R1816+S1816+T1816,4)</f>
        <v>0</v>
      </c>
      <c r="V1816" s="67">
        <f>ROUND(IF(P1816=0,0,I1816-H1816-O1816)+IF(L1816=0,0,I1816-H1816-K1816),4)</f>
        <v>0</v>
      </c>
      <c r="W1816" s="67">
        <f>ROUND(+(V1816*60%)*D1816,4)</f>
        <v>0</v>
      </c>
      <c r="X1816" s="148">
        <f>ROUND(+U1816+W1816,4)</f>
        <v>0</v>
      </c>
      <c r="Y1816" s="68"/>
      <c r="Z1816" s="148">
        <f>ROUND(IF(X1816&gt;I1816,X1816,I1816),4)</f>
        <v>0</v>
      </c>
      <c r="AD1816" s="78">
        <f t="shared" si="34"/>
        <v>0</v>
      </c>
      <c r="AE1816" s="78">
        <f t="shared" si="35"/>
        <v>0</v>
      </c>
    </row>
    <row r="1817" spans="1:31" x14ac:dyDescent="0.2">
      <c r="A1817" s="66"/>
      <c r="B1817" s="66"/>
      <c r="C1817" s="66"/>
      <c r="D1817" s="144"/>
      <c r="E1817" s="67"/>
      <c r="F1817" s="67"/>
      <c r="G1817" s="67"/>
      <c r="H1817" s="67">
        <f>ROUND(+E1817+G1817,4)</f>
        <v>0</v>
      </c>
      <c r="I1817" s="67"/>
      <c r="J1817" s="67">
        <f>ROUND(+I1817-H1817,4)</f>
        <v>0</v>
      </c>
      <c r="K1817" s="67">
        <f>ROUND(IF(F1817="alluminio",0,I1817*1.5%),4)</f>
        <v>0</v>
      </c>
      <c r="L1817" s="67">
        <f>ROUND(IF(K1817&lt;J1817,K1817,0),4)</f>
        <v>0</v>
      </c>
      <c r="M1817" s="67">
        <f>ROUND(IF(J1817&gt;K1817,0,J1817),4)</f>
        <v>0</v>
      </c>
      <c r="N1817" s="67">
        <f>ROUND(+L1817*D1817,4)</f>
        <v>0</v>
      </c>
      <c r="O1817" s="67">
        <f>ROUND(IF(F1817="rame",0,+I1817*3%),4)</f>
        <v>0</v>
      </c>
      <c r="P1817" s="67">
        <f>ROUND(IF(O1817&lt;J1817,O1817,0),4)</f>
        <v>0</v>
      </c>
      <c r="Q1817" s="67">
        <f>ROUND(IF(J1817&gt;O1817,0,J1817),4)</f>
        <v>0</v>
      </c>
      <c r="R1817" s="67">
        <f>ROUND(+P1817*D1817,4)</f>
        <v>0</v>
      </c>
      <c r="S1817" s="67">
        <f>ROUND(IF(K1817=0,0,M1817*D1817),4)</f>
        <v>0</v>
      </c>
      <c r="T1817" s="67">
        <f>ROUND(+IF(K1817=0,Q1817*D1817,0),4)</f>
        <v>0</v>
      </c>
      <c r="U1817" s="67">
        <f>ROUND(+N1817+R1817+S1817+T1817,4)</f>
        <v>0</v>
      </c>
      <c r="V1817" s="67">
        <f>ROUND(IF(P1817=0,0,I1817-H1817-O1817)+IF(L1817=0,0,I1817-H1817-K1817),4)</f>
        <v>0</v>
      </c>
      <c r="W1817" s="67">
        <f>ROUND(+(V1817*60%)*D1817,4)</f>
        <v>0</v>
      </c>
      <c r="X1817" s="148">
        <f>ROUND(+U1817+W1817,4)</f>
        <v>0</v>
      </c>
      <c r="Y1817" s="68"/>
      <c r="Z1817" s="148">
        <f>ROUND(IF(X1817&gt;I1817,X1817,I1817),4)</f>
        <v>0</v>
      </c>
      <c r="AD1817" s="78">
        <f t="shared" si="34"/>
        <v>0</v>
      </c>
      <c r="AE1817" s="78">
        <f t="shared" si="35"/>
        <v>0</v>
      </c>
    </row>
    <row r="1818" spans="1:31" x14ac:dyDescent="0.2">
      <c r="A1818" s="66"/>
      <c r="B1818" s="66"/>
      <c r="C1818" s="66"/>
      <c r="D1818" s="144"/>
      <c r="E1818" s="67"/>
      <c r="F1818" s="67"/>
      <c r="G1818" s="67"/>
      <c r="H1818" s="67">
        <f>ROUND(+E1818+G1818,4)</f>
        <v>0</v>
      </c>
      <c r="I1818" s="67"/>
      <c r="J1818" s="67">
        <f>ROUND(+I1818-H1818,4)</f>
        <v>0</v>
      </c>
      <c r="K1818" s="67">
        <f>ROUND(IF(F1818="alluminio",0,I1818*1.5%),4)</f>
        <v>0</v>
      </c>
      <c r="L1818" s="67">
        <f>ROUND(IF(K1818&lt;J1818,K1818,0),4)</f>
        <v>0</v>
      </c>
      <c r="M1818" s="67">
        <f>ROUND(IF(J1818&gt;K1818,0,J1818),4)</f>
        <v>0</v>
      </c>
      <c r="N1818" s="67">
        <f>ROUND(+L1818*D1818,4)</f>
        <v>0</v>
      </c>
      <c r="O1818" s="67">
        <f>ROUND(IF(F1818="rame",0,+I1818*3%),4)</f>
        <v>0</v>
      </c>
      <c r="P1818" s="67">
        <f>ROUND(IF(O1818&lt;J1818,O1818,0),4)</f>
        <v>0</v>
      </c>
      <c r="Q1818" s="67">
        <f>ROUND(IF(J1818&gt;O1818,0,J1818),4)</f>
        <v>0</v>
      </c>
      <c r="R1818" s="67">
        <f>ROUND(+P1818*D1818,4)</f>
        <v>0</v>
      </c>
      <c r="S1818" s="67">
        <f>ROUND(IF(K1818=0,0,M1818*D1818),4)</f>
        <v>0</v>
      </c>
      <c r="T1818" s="67">
        <f>ROUND(+IF(K1818=0,Q1818*D1818,0),4)</f>
        <v>0</v>
      </c>
      <c r="U1818" s="67">
        <f>ROUND(+N1818+R1818+S1818+T1818,4)</f>
        <v>0</v>
      </c>
      <c r="V1818" s="67">
        <f>ROUND(IF(P1818=0,0,I1818-H1818-O1818)+IF(L1818=0,0,I1818-H1818-K1818),4)</f>
        <v>0</v>
      </c>
      <c r="W1818" s="67">
        <f>ROUND(+(V1818*60%)*D1818,4)</f>
        <v>0</v>
      </c>
      <c r="X1818" s="148">
        <f>ROUND(+U1818+W1818,4)</f>
        <v>0</v>
      </c>
      <c r="Y1818" s="68"/>
      <c r="Z1818" s="148">
        <f>ROUND(IF(X1818&gt;I1818,X1818,I1818),4)</f>
        <v>0</v>
      </c>
      <c r="AD1818" s="78">
        <f t="shared" si="34"/>
        <v>0</v>
      </c>
      <c r="AE1818" s="78">
        <f t="shared" si="35"/>
        <v>0</v>
      </c>
    </row>
    <row r="1819" spans="1:31" x14ac:dyDescent="0.2">
      <c r="A1819" s="66"/>
      <c r="B1819" s="66"/>
      <c r="C1819" s="66"/>
      <c r="D1819" s="144"/>
      <c r="E1819" s="67"/>
      <c r="F1819" s="67"/>
      <c r="G1819" s="67"/>
      <c r="H1819" s="67">
        <f>ROUND(+E1819+G1819,4)</f>
        <v>0</v>
      </c>
      <c r="I1819" s="67"/>
      <c r="J1819" s="67">
        <f>ROUND(+I1819-H1819,4)</f>
        <v>0</v>
      </c>
      <c r="K1819" s="67">
        <f>ROUND(IF(F1819="alluminio",0,I1819*1.5%),4)</f>
        <v>0</v>
      </c>
      <c r="L1819" s="67">
        <f>ROUND(IF(K1819&lt;J1819,K1819,0),4)</f>
        <v>0</v>
      </c>
      <c r="M1819" s="67">
        <f>ROUND(IF(J1819&gt;K1819,0,J1819),4)</f>
        <v>0</v>
      </c>
      <c r="N1819" s="67">
        <f>ROUND(+L1819*D1819,4)</f>
        <v>0</v>
      </c>
      <c r="O1819" s="67">
        <f>ROUND(IF(F1819="rame",0,+I1819*3%),4)</f>
        <v>0</v>
      </c>
      <c r="P1819" s="67">
        <f>ROUND(IF(O1819&lt;J1819,O1819,0),4)</f>
        <v>0</v>
      </c>
      <c r="Q1819" s="67">
        <f>ROUND(IF(J1819&gt;O1819,0,J1819),4)</f>
        <v>0</v>
      </c>
      <c r="R1819" s="67">
        <f>ROUND(+P1819*D1819,4)</f>
        <v>0</v>
      </c>
      <c r="S1819" s="67">
        <f>ROUND(IF(K1819=0,0,M1819*D1819),4)</f>
        <v>0</v>
      </c>
      <c r="T1819" s="67">
        <f>ROUND(+IF(K1819=0,Q1819*D1819,0),4)</f>
        <v>0</v>
      </c>
      <c r="U1819" s="67">
        <f>ROUND(+N1819+R1819+S1819+T1819,4)</f>
        <v>0</v>
      </c>
      <c r="V1819" s="67">
        <f>ROUND(IF(P1819=0,0,I1819-H1819-O1819)+IF(L1819=0,0,I1819-H1819-K1819),4)</f>
        <v>0</v>
      </c>
      <c r="W1819" s="67">
        <f>ROUND(+(V1819*60%)*D1819,4)</f>
        <v>0</v>
      </c>
      <c r="X1819" s="148">
        <f>ROUND(+U1819+W1819,4)</f>
        <v>0</v>
      </c>
      <c r="Y1819" s="68"/>
      <c r="Z1819" s="148">
        <f>ROUND(IF(X1819&gt;I1819,X1819,I1819),4)</f>
        <v>0</v>
      </c>
      <c r="AD1819" s="78">
        <f t="shared" si="34"/>
        <v>0</v>
      </c>
      <c r="AE1819" s="78">
        <f t="shared" si="35"/>
        <v>0</v>
      </c>
    </row>
    <row r="1820" spans="1:31" x14ac:dyDescent="0.2">
      <c r="A1820" s="66"/>
      <c r="B1820" s="66"/>
      <c r="C1820" s="66"/>
      <c r="D1820" s="144"/>
      <c r="E1820" s="67"/>
      <c r="F1820" s="67"/>
      <c r="G1820" s="67"/>
      <c r="H1820" s="67">
        <f>ROUND(+E1820+G1820,4)</f>
        <v>0</v>
      </c>
      <c r="I1820" s="67"/>
      <c r="J1820" s="67">
        <f>ROUND(+I1820-H1820,4)</f>
        <v>0</v>
      </c>
      <c r="K1820" s="67">
        <f>ROUND(IF(F1820="alluminio",0,I1820*1.5%),4)</f>
        <v>0</v>
      </c>
      <c r="L1820" s="67">
        <f>ROUND(IF(K1820&lt;J1820,K1820,0),4)</f>
        <v>0</v>
      </c>
      <c r="M1820" s="67">
        <f>ROUND(IF(J1820&gt;K1820,0,J1820),4)</f>
        <v>0</v>
      </c>
      <c r="N1820" s="67">
        <f>ROUND(+L1820*D1820,4)</f>
        <v>0</v>
      </c>
      <c r="O1820" s="67">
        <f>ROUND(IF(F1820="rame",0,+I1820*3%),4)</f>
        <v>0</v>
      </c>
      <c r="P1820" s="67">
        <f>ROUND(IF(O1820&lt;J1820,O1820,0),4)</f>
        <v>0</v>
      </c>
      <c r="Q1820" s="67">
        <f>ROUND(IF(J1820&gt;O1820,0,J1820),4)</f>
        <v>0</v>
      </c>
      <c r="R1820" s="67">
        <f>ROUND(+P1820*D1820,4)</f>
        <v>0</v>
      </c>
      <c r="S1820" s="67">
        <f>ROUND(IF(K1820=0,0,M1820*D1820),4)</f>
        <v>0</v>
      </c>
      <c r="T1820" s="67">
        <f>ROUND(+IF(K1820=0,Q1820*D1820,0),4)</f>
        <v>0</v>
      </c>
      <c r="U1820" s="67">
        <f>ROUND(+N1820+R1820+S1820+T1820,4)</f>
        <v>0</v>
      </c>
      <c r="V1820" s="67">
        <f>ROUND(IF(P1820=0,0,I1820-H1820-O1820)+IF(L1820=0,0,I1820-H1820-K1820),4)</f>
        <v>0</v>
      </c>
      <c r="W1820" s="67">
        <f>ROUND(+(V1820*60%)*D1820,4)</f>
        <v>0</v>
      </c>
      <c r="X1820" s="148">
        <f>ROUND(+U1820+W1820,4)</f>
        <v>0</v>
      </c>
      <c r="Y1820" s="68"/>
      <c r="Z1820" s="148">
        <f>ROUND(IF(X1820&gt;I1820,X1820,I1820),4)</f>
        <v>0</v>
      </c>
      <c r="AD1820" s="78">
        <f t="shared" si="34"/>
        <v>0</v>
      </c>
      <c r="AE1820" s="78">
        <f t="shared" si="35"/>
        <v>0</v>
      </c>
    </row>
    <row r="1821" spans="1:31" x14ac:dyDescent="0.2">
      <c r="A1821" s="66"/>
      <c r="B1821" s="66"/>
      <c r="C1821" s="66"/>
      <c r="D1821" s="144"/>
      <c r="E1821" s="67"/>
      <c r="F1821" s="67"/>
      <c r="G1821" s="67"/>
      <c r="H1821" s="67">
        <f>ROUND(+E1821+G1821,4)</f>
        <v>0</v>
      </c>
      <c r="I1821" s="67"/>
      <c r="J1821" s="67">
        <f>ROUND(+I1821-H1821,4)</f>
        <v>0</v>
      </c>
      <c r="K1821" s="67">
        <f>ROUND(IF(F1821="alluminio",0,I1821*1.5%),4)</f>
        <v>0</v>
      </c>
      <c r="L1821" s="67">
        <f>ROUND(IF(K1821&lt;J1821,K1821,0),4)</f>
        <v>0</v>
      </c>
      <c r="M1821" s="67">
        <f>ROUND(IF(J1821&gt;K1821,0,J1821),4)</f>
        <v>0</v>
      </c>
      <c r="N1821" s="67">
        <f>ROUND(+L1821*D1821,4)</f>
        <v>0</v>
      </c>
      <c r="O1821" s="67">
        <f>ROUND(IF(F1821="rame",0,+I1821*3%),4)</f>
        <v>0</v>
      </c>
      <c r="P1821" s="67">
        <f>ROUND(IF(O1821&lt;J1821,O1821,0),4)</f>
        <v>0</v>
      </c>
      <c r="Q1821" s="67">
        <f>ROUND(IF(J1821&gt;O1821,0,J1821),4)</f>
        <v>0</v>
      </c>
      <c r="R1821" s="67">
        <f>ROUND(+P1821*D1821,4)</f>
        <v>0</v>
      </c>
      <c r="S1821" s="67">
        <f>ROUND(IF(K1821=0,0,M1821*D1821),4)</f>
        <v>0</v>
      </c>
      <c r="T1821" s="67">
        <f>ROUND(+IF(K1821=0,Q1821*D1821,0),4)</f>
        <v>0</v>
      </c>
      <c r="U1821" s="67">
        <f>ROUND(+N1821+R1821+S1821+T1821,4)</f>
        <v>0</v>
      </c>
      <c r="V1821" s="67">
        <f>ROUND(IF(P1821=0,0,I1821-H1821-O1821)+IF(L1821=0,0,I1821-H1821-K1821),4)</f>
        <v>0</v>
      </c>
      <c r="W1821" s="67">
        <f>ROUND(+(V1821*60%)*D1821,4)</f>
        <v>0</v>
      </c>
      <c r="X1821" s="148">
        <f>ROUND(+U1821+W1821,4)</f>
        <v>0</v>
      </c>
      <c r="Y1821" s="68"/>
      <c r="Z1821" s="148">
        <f>ROUND(IF(X1821&gt;I1821,X1821,I1821),4)</f>
        <v>0</v>
      </c>
      <c r="AD1821" s="78">
        <f t="shared" si="34"/>
        <v>0</v>
      </c>
      <c r="AE1821" s="78">
        <f t="shared" si="35"/>
        <v>0</v>
      </c>
    </row>
    <row r="1822" spans="1:31" x14ac:dyDescent="0.2">
      <c r="A1822" s="66"/>
      <c r="B1822" s="66"/>
      <c r="C1822" s="66"/>
      <c r="D1822" s="144"/>
      <c r="E1822" s="67"/>
      <c r="F1822" s="67"/>
      <c r="G1822" s="67"/>
      <c r="H1822" s="67">
        <f>ROUND(+E1822+G1822,4)</f>
        <v>0</v>
      </c>
      <c r="I1822" s="67"/>
      <c r="J1822" s="67">
        <f>ROUND(+I1822-H1822,4)</f>
        <v>0</v>
      </c>
      <c r="K1822" s="67">
        <f>ROUND(IF(F1822="alluminio",0,I1822*1.5%),4)</f>
        <v>0</v>
      </c>
      <c r="L1822" s="67">
        <f>ROUND(IF(K1822&lt;J1822,K1822,0),4)</f>
        <v>0</v>
      </c>
      <c r="M1822" s="67">
        <f>ROUND(IF(J1822&gt;K1822,0,J1822),4)</f>
        <v>0</v>
      </c>
      <c r="N1822" s="67">
        <f>ROUND(+L1822*D1822,4)</f>
        <v>0</v>
      </c>
      <c r="O1822" s="67">
        <f>ROUND(IF(F1822="rame",0,+I1822*3%),4)</f>
        <v>0</v>
      </c>
      <c r="P1822" s="67">
        <f>ROUND(IF(O1822&lt;J1822,O1822,0),4)</f>
        <v>0</v>
      </c>
      <c r="Q1822" s="67">
        <f>ROUND(IF(J1822&gt;O1822,0,J1822),4)</f>
        <v>0</v>
      </c>
      <c r="R1822" s="67">
        <f>ROUND(+P1822*D1822,4)</f>
        <v>0</v>
      </c>
      <c r="S1822" s="67">
        <f>ROUND(IF(K1822=0,0,M1822*D1822),4)</f>
        <v>0</v>
      </c>
      <c r="T1822" s="67">
        <f>ROUND(+IF(K1822=0,Q1822*D1822,0),4)</f>
        <v>0</v>
      </c>
      <c r="U1822" s="67">
        <f>ROUND(+N1822+R1822+S1822+T1822,4)</f>
        <v>0</v>
      </c>
      <c r="V1822" s="67">
        <f>ROUND(IF(P1822=0,0,I1822-H1822-O1822)+IF(L1822=0,0,I1822-H1822-K1822),4)</f>
        <v>0</v>
      </c>
      <c r="W1822" s="67">
        <f>ROUND(+(V1822*60%)*D1822,4)</f>
        <v>0</v>
      </c>
      <c r="X1822" s="148">
        <f>ROUND(+U1822+W1822,4)</f>
        <v>0</v>
      </c>
      <c r="Y1822" s="68"/>
      <c r="Z1822" s="148">
        <f>ROUND(IF(X1822&gt;I1822,X1822,I1822),4)</f>
        <v>0</v>
      </c>
      <c r="AD1822" s="78">
        <f t="shared" si="34"/>
        <v>0</v>
      </c>
      <c r="AE1822" s="78">
        <f t="shared" si="35"/>
        <v>0</v>
      </c>
    </row>
    <row r="1823" spans="1:31" x14ac:dyDescent="0.2">
      <c r="A1823" s="66"/>
      <c r="B1823" s="66"/>
      <c r="C1823" s="66"/>
      <c r="D1823" s="144"/>
      <c r="E1823" s="67"/>
      <c r="F1823" s="67"/>
      <c r="G1823" s="67"/>
      <c r="H1823" s="67">
        <f>ROUND(+E1823+G1823,4)</f>
        <v>0</v>
      </c>
      <c r="I1823" s="67"/>
      <c r="J1823" s="67">
        <f>ROUND(+I1823-H1823,4)</f>
        <v>0</v>
      </c>
      <c r="K1823" s="67">
        <f>ROUND(IF(F1823="alluminio",0,I1823*1.5%),4)</f>
        <v>0</v>
      </c>
      <c r="L1823" s="67">
        <f>ROUND(IF(K1823&lt;J1823,K1823,0),4)</f>
        <v>0</v>
      </c>
      <c r="M1823" s="67">
        <f>ROUND(IF(J1823&gt;K1823,0,J1823),4)</f>
        <v>0</v>
      </c>
      <c r="N1823" s="67">
        <f>ROUND(+L1823*D1823,4)</f>
        <v>0</v>
      </c>
      <c r="O1823" s="67">
        <f>ROUND(IF(F1823="rame",0,+I1823*3%),4)</f>
        <v>0</v>
      </c>
      <c r="P1823" s="67">
        <f>ROUND(IF(O1823&lt;J1823,O1823,0),4)</f>
        <v>0</v>
      </c>
      <c r="Q1823" s="67">
        <f>ROUND(IF(J1823&gt;O1823,0,J1823),4)</f>
        <v>0</v>
      </c>
      <c r="R1823" s="67">
        <f>ROUND(+P1823*D1823,4)</f>
        <v>0</v>
      </c>
      <c r="S1823" s="67">
        <f>ROUND(IF(K1823=0,0,M1823*D1823),4)</f>
        <v>0</v>
      </c>
      <c r="T1823" s="67">
        <f>ROUND(+IF(K1823=0,Q1823*D1823,0),4)</f>
        <v>0</v>
      </c>
      <c r="U1823" s="67">
        <f>ROUND(+N1823+R1823+S1823+T1823,4)</f>
        <v>0</v>
      </c>
      <c r="V1823" s="67">
        <f>ROUND(IF(P1823=0,0,I1823-H1823-O1823)+IF(L1823=0,0,I1823-H1823-K1823),4)</f>
        <v>0</v>
      </c>
      <c r="W1823" s="67">
        <f>ROUND(+(V1823*60%)*D1823,4)</f>
        <v>0</v>
      </c>
      <c r="X1823" s="148">
        <f>ROUND(+U1823+W1823,4)</f>
        <v>0</v>
      </c>
      <c r="Y1823" s="68"/>
      <c r="Z1823" s="148">
        <f>ROUND(IF(X1823&gt;I1823,X1823,I1823),4)</f>
        <v>0</v>
      </c>
      <c r="AD1823" s="78">
        <f t="shared" si="34"/>
        <v>0</v>
      </c>
      <c r="AE1823" s="78">
        <f t="shared" si="35"/>
        <v>0</v>
      </c>
    </row>
    <row r="1824" spans="1:31" x14ac:dyDescent="0.2">
      <c r="A1824" s="66"/>
      <c r="B1824" s="66"/>
      <c r="C1824" s="66"/>
      <c r="D1824" s="144"/>
      <c r="E1824" s="67"/>
      <c r="F1824" s="67"/>
      <c r="G1824" s="67"/>
      <c r="H1824" s="67">
        <f>ROUND(+E1824+G1824,4)</f>
        <v>0</v>
      </c>
      <c r="I1824" s="67"/>
      <c r="J1824" s="67">
        <f>ROUND(+I1824-H1824,4)</f>
        <v>0</v>
      </c>
      <c r="K1824" s="67">
        <f>ROUND(IF(F1824="alluminio",0,I1824*1.5%),4)</f>
        <v>0</v>
      </c>
      <c r="L1824" s="67">
        <f>ROUND(IF(K1824&lt;J1824,K1824,0),4)</f>
        <v>0</v>
      </c>
      <c r="M1824" s="67">
        <f>ROUND(IF(J1824&gt;K1824,0,J1824),4)</f>
        <v>0</v>
      </c>
      <c r="N1824" s="67">
        <f>ROUND(+L1824*D1824,4)</f>
        <v>0</v>
      </c>
      <c r="O1824" s="67">
        <f>ROUND(IF(F1824="rame",0,+I1824*3%),4)</f>
        <v>0</v>
      </c>
      <c r="P1824" s="67">
        <f>ROUND(IF(O1824&lt;J1824,O1824,0),4)</f>
        <v>0</v>
      </c>
      <c r="Q1824" s="67">
        <f>ROUND(IF(J1824&gt;O1824,0,J1824),4)</f>
        <v>0</v>
      </c>
      <c r="R1824" s="67">
        <f>ROUND(+P1824*D1824,4)</f>
        <v>0</v>
      </c>
      <c r="S1824" s="67">
        <f>ROUND(IF(K1824=0,0,M1824*D1824),4)</f>
        <v>0</v>
      </c>
      <c r="T1824" s="67">
        <f>ROUND(+IF(K1824=0,Q1824*D1824,0),4)</f>
        <v>0</v>
      </c>
      <c r="U1824" s="67">
        <f>ROUND(+N1824+R1824+S1824+T1824,4)</f>
        <v>0</v>
      </c>
      <c r="V1824" s="67">
        <f>ROUND(IF(P1824=0,0,I1824-H1824-O1824)+IF(L1824=0,0,I1824-H1824-K1824),4)</f>
        <v>0</v>
      </c>
      <c r="W1824" s="67">
        <f>ROUND(+(V1824*60%)*D1824,4)</f>
        <v>0</v>
      </c>
      <c r="X1824" s="148">
        <f>ROUND(+U1824+W1824,4)</f>
        <v>0</v>
      </c>
      <c r="Y1824" s="68"/>
      <c r="Z1824" s="148">
        <f>ROUND(IF(X1824&gt;I1824,X1824,I1824),4)</f>
        <v>0</v>
      </c>
      <c r="AD1824" s="78">
        <f t="shared" si="34"/>
        <v>0</v>
      </c>
      <c r="AE1824" s="78">
        <f t="shared" si="35"/>
        <v>0</v>
      </c>
    </row>
    <row r="1825" spans="1:31" x14ac:dyDescent="0.2">
      <c r="A1825" s="66"/>
      <c r="B1825" s="66"/>
      <c r="C1825" s="66"/>
      <c r="D1825" s="144"/>
      <c r="E1825" s="67"/>
      <c r="F1825" s="67"/>
      <c r="G1825" s="67"/>
      <c r="H1825" s="67">
        <f>ROUND(+E1825+G1825,4)</f>
        <v>0</v>
      </c>
      <c r="I1825" s="67"/>
      <c r="J1825" s="67">
        <f>ROUND(+I1825-H1825,4)</f>
        <v>0</v>
      </c>
      <c r="K1825" s="67">
        <f>ROUND(IF(F1825="alluminio",0,I1825*1.5%),4)</f>
        <v>0</v>
      </c>
      <c r="L1825" s="67">
        <f>ROUND(IF(K1825&lt;J1825,K1825,0),4)</f>
        <v>0</v>
      </c>
      <c r="M1825" s="67">
        <f>ROUND(IF(J1825&gt;K1825,0,J1825),4)</f>
        <v>0</v>
      </c>
      <c r="N1825" s="67">
        <f>ROUND(+L1825*D1825,4)</f>
        <v>0</v>
      </c>
      <c r="O1825" s="67">
        <f>ROUND(IF(F1825="rame",0,+I1825*3%),4)</f>
        <v>0</v>
      </c>
      <c r="P1825" s="67">
        <f>ROUND(IF(O1825&lt;J1825,O1825,0),4)</f>
        <v>0</v>
      </c>
      <c r="Q1825" s="67">
        <f>ROUND(IF(J1825&gt;O1825,0,J1825),4)</f>
        <v>0</v>
      </c>
      <c r="R1825" s="67">
        <f>ROUND(+P1825*D1825,4)</f>
        <v>0</v>
      </c>
      <c r="S1825" s="67">
        <f>ROUND(IF(K1825=0,0,M1825*D1825),4)</f>
        <v>0</v>
      </c>
      <c r="T1825" s="67">
        <f>ROUND(+IF(K1825=0,Q1825*D1825,0),4)</f>
        <v>0</v>
      </c>
      <c r="U1825" s="67">
        <f>ROUND(+N1825+R1825+S1825+T1825,4)</f>
        <v>0</v>
      </c>
      <c r="V1825" s="67">
        <f>ROUND(IF(P1825=0,0,I1825-H1825-O1825)+IF(L1825=0,0,I1825-H1825-K1825),4)</f>
        <v>0</v>
      </c>
      <c r="W1825" s="67">
        <f>ROUND(+(V1825*60%)*D1825,4)</f>
        <v>0</v>
      </c>
      <c r="X1825" s="148">
        <f>ROUND(+U1825+W1825,4)</f>
        <v>0</v>
      </c>
      <c r="Y1825" s="68"/>
      <c r="Z1825" s="148">
        <f>ROUND(IF(X1825&gt;I1825,X1825,I1825),4)</f>
        <v>0</v>
      </c>
      <c r="AD1825" s="78">
        <f t="shared" si="34"/>
        <v>0</v>
      </c>
      <c r="AE1825" s="78">
        <f t="shared" si="35"/>
        <v>0</v>
      </c>
    </row>
    <row r="1826" spans="1:31" x14ac:dyDescent="0.2">
      <c r="A1826" s="66"/>
      <c r="B1826" s="66"/>
      <c r="C1826" s="66"/>
      <c r="D1826" s="144"/>
      <c r="E1826" s="67"/>
      <c r="F1826" s="67"/>
      <c r="G1826" s="67"/>
      <c r="H1826" s="67">
        <f>ROUND(+E1826+G1826,4)</f>
        <v>0</v>
      </c>
      <c r="I1826" s="67"/>
      <c r="J1826" s="67">
        <f>ROUND(+I1826-H1826,4)</f>
        <v>0</v>
      </c>
      <c r="K1826" s="67">
        <f>ROUND(IF(F1826="alluminio",0,I1826*1.5%),4)</f>
        <v>0</v>
      </c>
      <c r="L1826" s="67">
        <f>ROUND(IF(K1826&lt;J1826,K1826,0),4)</f>
        <v>0</v>
      </c>
      <c r="M1826" s="67">
        <f>ROUND(IF(J1826&gt;K1826,0,J1826),4)</f>
        <v>0</v>
      </c>
      <c r="N1826" s="67">
        <f>ROUND(+L1826*D1826,4)</f>
        <v>0</v>
      </c>
      <c r="O1826" s="67">
        <f>ROUND(IF(F1826="rame",0,+I1826*3%),4)</f>
        <v>0</v>
      </c>
      <c r="P1826" s="67">
        <f>ROUND(IF(O1826&lt;J1826,O1826,0),4)</f>
        <v>0</v>
      </c>
      <c r="Q1826" s="67">
        <f>ROUND(IF(J1826&gt;O1826,0,J1826),4)</f>
        <v>0</v>
      </c>
      <c r="R1826" s="67">
        <f>ROUND(+P1826*D1826,4)</f>
        <v>0</v>
      </c>
      <c r="S1826" s="67">
        <f>ROUND(IF(K1826=0,0,M1826*D1826),4)</f>
        <v>0</v>
      </c>
      <c r="T1826" s="67">
        <f>ROUND(+IF(K1826=0,Q1826*D1826,0),4)</f>
        <v>0</v>
      </c>
      <c r="U1826" s="67">
        <f>ROUND(+N1826+R1826+S1826+T1826,4)</f>
        <v>0</v>
      </c>
      <c r="V1826" s="67">
        <f>ROUND(IF(P1826=0,0,I1826-H1826-O1826)+IF(L1826=0,0,I1826-H1826-K1826),4)</f>
        <v>0</v>
      </c>
      <c r="W1826" s="67">
        <f>ROUND(+(V1826*60%)*D1826,4)</f>
        <v>0</v>
      </c>
      <c r="X1826" s="148">
        <f>ROUND(+U1826+W1826,4)</f>
        <v>0</v>
      </c>
      <c r="Y1826" s="68"/>
      <c r="Z1826" s="148">
        <f>ROUND(IF(X1826&gt;I1826,X1826,I1826),4)</f>
        <v>0</v>
      </c>
      <c r="AD1826" s="78">
        <f t="shared" si="34"/>
        <v>0</v>
      </c>
      <c r="AE1826" s="78">
        <f t="shared" si="35"/>
        <v>0</v>
      </c>
    </row>
    <row r="1827" spans="1:31" x14ac:dyDescent="0.2">
      <c r="A1827" s="66"/>
      <c r="B1827" s="66"/>
      <c r="C1827" s="66"/>
      <c r="D1827" s="144"/>
      <c r="E1827" s="67"/>
      <c r="F1827" s="67"/>
      <c r="G1827" s="67"/>
      <c r="H1827" s="67">
        <f>ROUND(+E1827+G1827,4)</f>
        <v>0</v>
      </c>
      <c r="I1827" s="67"/>
      <c r="J1827" s="67">
        <f>ROUND(+I1827-H1827,4)</f>
        <v>0</v>
      </c>
      <c r="K1827" s="67">
        <f>ROUND(IF(F1827="alluminio",0,I1827*1.5%),4)</f>
        <v>0</v>
      </c>
      <c r="L1827" s="67">
        <f>ROUND(IF(K1827&lt;J1827,K1827,0),4)</f>
        <v>0</v>
      </c>
      <c r="M1827" s="67">
        <f>ROUND(IF(J1827&gt;K1827,0,J1827),4)</f>
        <v>0</v>
      </c>
      <c r="N1827" s="67">
        <f>ROUND(+L1827*D1827,4)</f>
        <v>0</v>
      </c>
      <c r="O1827" s="67">
        <f>ROUND(IF(F1827="rame",0,+I1827*3%),4)</f>
        <v>0</v>
      </c>
      <c r="P1827" s="67">
        <f>ROUND(IF(O1827&lt;J1827,O1827,0),4)</f>
        <v>0</v>
      </c>
      <c r="Q1827" s="67">
        <f>ROUND(IF(J1827&gt;O1827,0,J1827),4)</f>
        <v>0</v>
      </c>
      <c r="R1827" s="67">
        <f>ROUND(+P1827*D1827,4)</f>
        <v>0</v>
      </c>
      <c r="S1827" s="67">
        <f>ROUND(IF(K1827=0,0,M1827*D1827),4)</f>
        <v>0</v>
      </c>
      <c r="T1827" s="67">
        <f>ROUND(+IF(K1827=0,Q1827*D1827,0),4)</f>
        <v>0</v>
      </c>
      <c r="U1827" s="67">
        <f>ROUND(+N1827+R1827+S1827+T1827,4)</f>
        <v>0</v>
      </c>
      <c r="V1827" s="67">
        <f>ROUND(IF(P1827=0,0,I1827-H1827-O1827)+IF(L1827=0,0,I1827-H1827-K1827),4)</f>
        <v>0</v>
      </c>
      <c r="W1827" s="67">
        <f>ROUND(+(V1827*60%)*D1827,4)</f>
        <v>0</v>
      </c>
      <c r="X1827" s="148">
        <f>ROUND(+U1827+W1827,4)</f>
        <v>0</v>
      </c>
      <c r="Y1827" s="68"/>
      <c r="Z1827" s="148">
        <f>ROUND(IF(X1827&gt;I1827,X1827,I1827),4)</f>
        <v>0</v>
      </c>
      <c r="AD1827" s="78">
        <f t="shared" si="34"/>
        <v>0</v>
      </c>
      <c r="AE1827" s="78">
        <f t="shared" si="35"/>
        <v>0</v>
      </c>
    </row>
    <row r="1828" spans="1:31" x14ac:dyDescent="0.2">
      <c r="A1828" s="66"/>
      <c r="B1828" s="66"/>
      <c r="C1828" s="66"/>
      <c r="D1828" s="144"/>
      <c r="E1828" s="67"/>
      <c r="F1828" s="67"/>
      <c r="G1828" s="67"/>
      <c r="H1828" s="67">
        <f>ROUND(+E1828+G1828,4)</f>
        <v>0</v>
      </c>
      <c r="I1828" s="67"/>
      <c r="J1828" s="67">
        <f>ROUND(+I1828-H1828,4)</f>
        <v>0</v>
      </c>
      <c r="K1828" s="67">
        <f>ROUND(IF(F1828="alluminio",0,I1828*1.5%),4)</f>
        <v>0</v>
      </c>
      <c r="L1828" s="67">
        <f>ROUND(IF(K1828&lt;J1828,K1828,0),4)</f>
        <v>0</v>
      </c>
      <c r="M1828" s="67">
        <f>ROUND(IF(J1828&gt;K1828,0,J1828),4)</f>
        <v>0</v>
      </c>
      <c r="N1828" s="67">
        <f>ROUND(+L1828*D1828,4)</f>
        <v>0</v>
      </c>
      <c r="O1828" s="67">
        <f>ROUND(IF(F1828="rame",0,+I1828*3%),4)</f>
        <v>0</v>
      </c>
      <c r="P1828" s="67">
        <f>ROUND(IF(O1828&lt;J1828,O1828,0),4)</f>
        <v>0</v>
      </c>
      <c r="Q1828" s="67">
        <f>ROUND(IF(J1828&gt;O1828,0,J1828),4)</f>
        <v>0</v>
      </c>
      <c r="R1828" s="67">
        <f>ROUND(+P1828*D1828,4)</f>
        <v>0</v>
      </c>
      <c r="S1828" s="67">
        <f>ROUND(IF(K1828=0,0,M1828*D1828),4)</f>
        <v>0</v>
      </c>
      <c r="T1828" s="67">
        <f>ROUND(+IF(K1828=0,Q1828*D1828,0),4)</f>
        <v>0</v>
      </c>
      <c r="U1828" s="67">
        <f>ROUND(+N1828+R1828+S1828+T1828,4)</f>
        <v>0</v>
      </c>
      <c r="V1828" s="67">
        <f>ROUND(IF(P1828=0,0,I1828-H1828-O1828)+IF(L1828=0,0,I1828-H1828-K1828),4)</f>
        <v>0</v>
      </c>
      <c r="W1828" s="67">
        <f>ROUND(+(V1828*60%)*D1828,4)</f>
        <v>0</v>
      </c>
      <c r="X1828" s="148">
        <f>ROUND(+U1828+W1828,4)</f>
        <v>0</v>
      </c>
      <c r="Y1828" s="68"/>
      <c r="Z1828" s="148">
        <f>ROUND(IF(X1828&gt;I1828,X1828,I1828),4)</f>
        <v>0</v>
      </c>
      <c r="AD1828" s="78">
        <f t="shared" si="34"/>
        <v>0</v>
      </c>
      <c r="AE1828" s="78">
        <f t="shared" si="35"/>
        <v>0</v>
      </c>
    </row>
    <row r="1829" spans="1:31" x14ac:dyDescent="0.2">
      <c r="A1829" s="66"/>
      <c r="B1829" s="66"/>
      <c r="C1829" s="66"/>
      <c r="D1829" s="144"/>
      <c r="E1829" s="67"/>
      <c r="F1829" s="67"/>
      <c r="G1829" s="67"/>
      <c r="H1829" s="67">
        <f>ROUND(+E1829+G1829,4)</f>
        <v>0</v>
      </c>
      <c r="I1829" s="67"/>
      <c r="J1829" s="67">
        <f>ROUND(+I1829-H1829,4)</f>
        <v>0</v>
      </c>
      <c r="K1829" s="67">
        <f>ROUND(IF(F1829="alluminio",0,I1829*1.5%),4)</f>
        <v>0</v>
      </c>
      <c r="L1829" s="67">
        <f>ROUND(IF(K1829&lt;J1829,K1829,0),4)</f>
        <v>0</v>
      </c>
      <c r="M1829" s="67">
        <f>ROUND(IF(J1829&gt;K1829,0,J1829),4)</f>
        <v>0</v>
      </c>
      <c r="N1829" s="67">
        <f>ROUND(+L1829*D1829,4)</f>
        <v>0</v>
      </c>
      <c r="O1829" s="67">
        <f>ROUND(IF(F1829="rame",0,+I1829*3%),4)</f>
        <v>0</v>
      </c>
      <c r="P1829" s="67">
        <f>ROUND(IF(O1829&lt;J1829,O1829,0),4)</f>
        <v>0</v>
      </c>
      <c r="Q1829" s="67">
        <f>ROUND(IF(J1829&gt;O1829,0,J1829),4)</f>
        <v>0</v>
      </c>
      <c r="R1829" s="67">
        <f>ROUND(+P1829*D1829,4)</f>
        <v>0</v>
      </c>
      <c r="S1829" s="67">
        <f>ROUND(IF(K1829=0,0,M1829*D1829),4)</f>
        <v>0</v>
      </c>
      <c r="T1829" s="67">
        <f>ROUND(+IF(K1829=0,Q1829*D1829,0),4)</f>
        <v>0</v>
      </c>
      <c r="U1829" s="67">
        <f>ROUND(+N1829+R1829+S1829+T1829,4)</f>
        <v>0</v>
      </c>
      <c r="V1829" s="67">
        <f>ROUND(IF(P1829=0,0,I1829-H1829-O1829)+IF(L1829=0,0,I1829-H1829-K1829),4)</f>
        <v>0</v>
      </c>
      <c r="W1829" s="67">
        <f>ROUND(+(V1829*60%)*D1829,4)</f>
        <v>0</v>
      </c>
      <c r="X1829" s="148">
        <f>ROUND(+U1829+W1829,4)</f>
        <v>0</v>
      </c>
      <c r="Y1829" s="68"/>
      <c r="Z1829" s="148">
        <f>ROUND(IF(X1829&gt;I1829,X1829,I1829),4)</f>
        <v>0</v>
      </c>
      <c r="AD1829" s="78">
        <f t="shared" si="34"/>
        <v>0</v>
      </c>
      <c r="AE1829" s="78">
        <f t="shared" si="35"/>
        <v>0</v>
      </c>
    </row>
    <row r="1830" spans="1:31" x14ac:dyDescent="0.2">
      <c r="A1830" s="66"/>
      <c r="B1830" s="66"/>
      <c r="C1830" s="66"/>
      <c r="D1830" s="144"/>
      <c r="E1830" s="67"/>
      <c r="F1830" s="67"/>
      <c r="G1830" s="67"/>
      <c r="H1830" s="67">
        <f>ROUND(+E1830+G1830,4)</f>
        <v>0</v>
      </c>
      <c r="I1830" s="67"/>
      <c r="J1830" s="67">
        <f>ROUND(+I1830-H1830,4)</f>
        <v>0</v>
      </c>
      <c r="K1830" s="67">
        <f>ROUND(IF(F1830="alluminio",0,I1830*1.5%),4)</f>
        <v>0</v>
      </c>
      <c r="L1830" s="67">
        <f>ROUND(IF(K1830&lt;J1830,K1830,0),4)</f>
        <v>0</v>
      </c>
      <c r="M1830" s="67">
        <f>ROUND(IF(J1830&gt;K1830,0,J1830),4)</f>
        <v>0</v>
      </c>
      <c r="N1830" s="67">
        <f>ROUND(+L1830*D1830,4)</f>
        <v>0</v>
      </c>
      <c r="O1830" s="67">
        <f>ROUND(IF(F1830="rame",0,+I1830*3%),4)</f>
        <v>0</v>
      </c>
      <c r="P1830" s="67">
        <f>ROUND(IF(O1830&lt;J1830,O1830,0),4)</f>
        <v>0</v>
      </c>
      <c r="Q1830" s="67">
        <f>ROUND(IF(J1830&gt;O1830,0,J1830),4)</f>
        <v>0</v>
      </c>
      <c r="R1830" s="67">
        <f>ROUND(+P1830*D1830,4)</f>
        <v>0</v>
      </c>
      <c r="S1830" s="67">
        <f>ROUND(IF(K1830=0,0,M1830*D1830),4)</f>
        <v>0</v>
      </c>
      <c r="T1830" s="67">
        <f>ROUND(+IF(K1830=0,Q1830*D1830,0),4)</f>
        <v>0</v>
      </c>
      <c r="U1830" s="67">
        <f>ROUND(+N1830+R1830+S1830+T1830,4)</f>
        <v>0</v>
      </c>
      <c r="V1830" s="67">
        <f>ROUND(IF(P1830=0,0,I1830-H1830-O1830)+IF(L1830=0,0,I1830-H1830-K1830),4)</f>
        <v>0</v>
      </c>
      <c r="W1830" s="67">
        <f>ROUND(+(V1830*60%)*D1830,4)</f>
        <v>0</v>
      </c>
      <c r="X1830" s="148">
        <f>ROUND(+U1830+W1830,4)</f>
        <v>0</v>
      </c>
      <c r="Y1830" s="68"/>
      <c r="Z1830" s="148">
        <f>ROUND(IF(X1830&gt;I1830,X1830,I1830),4)</f>
        <v>0</v>
      </c>
      <c r="AD1830" s="78">
        <f t="shared" si="34"/>
        <v>0</v>
      </c>
      <c r="AE1830" s="78">
        <f t="shared" si="35"/>
        <v>0</v>
      </c>
    </row>
    <row r="1831" spans="1:31" x14ac:dyDescent="0.2">
      <c r="A1831" s="66"/>
      <c r="B1831" s="66"/>
      <c r="C1831" s="66"/>
      <c r="D1831" s="144"/>
      <c r="E1831" s="67"/>
      <c r="F1831" s="67"/>
      <c r="G1831" s="67"/>
      <c r="H1831" s="67">
        <f>ROUND(+E1831+G1831,4)</f>
        <v>0</v>
      </c>
      <c r="I1831" s="67"/>
      <c r="J1831" s="67">
        <f>ROUND(+I1831-H1831,4)</f>
        <v>0</v>
      </c>
      <c r="K1831" s="67">
        <f>ROUND(IF(F1831="alluminio",0,I1831*1.5%),4)</f>
        <v>0</v>
      </c>
      <c r="L1831" s="67">
        <f>ROUND(IF(K1831&lt;J1831,K1831,0),4)</f>
        <v>0</v>
      </c>
      <c r="M1831" s="67">
        <f>ROUND(IF(J1831&gt;K1831,0,J1831),4)</f>
        <v>0</v>
      </c>
      <c r="N1831" s="67">
        <f>ROUND(+L1831*D1831,4)</f>
        <v>0</v>
      </c>
      <c r="O1831" s="67">
        <f>ROUND(IF(F1831="rame",0,+I1831*3%),4)</f>
        <v>0</v>
      </c>
      <c r="P1831" s="67">
        <f>ROUND(IF(O1831&lt;J1831,O1831,0),4)</f>
        <v>0</v>
      </c>
      <c r="Q1831" s="67">
        <f>ROUND(IF(J1831&gt;O1831,0,J1831),4)</f>
        <v>0</v>
      </c>
      <c r="R1831" s="67">
        <f>ROUND(+P1831*D1831,4)</f>
        <v>0</v>
      </c>
      <c r="S1831" s="67">
        <f>ROUND(IF(K1831=0,0,M1831*D1831),4)</f>
        <v>0</v>
      </c>
      <c r="T1831" s="67">
        <f>ROUND(+IF(K1831=0,Q1831*D1831,0),4)</f>
        <v>0</v>
      </c>
      <c r="U1831" s="67">
        <f>ROUND(+N1831+R1831+S1831+T1831,4)</f>
        <v>0</v>
      </c>
      <c r="V1831" s="67">
        <f>ROUND(IF(P1831=0,0,I1831-H1831-O1831)+IF(L1831=0,0,I1831-H1831-K1831),4)</f>
        <v>0</v>
      </c>
      <c r="W1831" s="67">
        <f>ROUND(+(V1831*60%)*D1831,4)</f>
        <v>0</v>
      </c>
      <c r="X1831" s="148">
        <f>ROUND(+U1831+W1831,4)</f>
        <v>0</v>
      </c>
      <c r="Y1831" s="68"/>
      <c r="Z1831" s="148">
        <f>ROUND(IF(X1831&gt;I1831,X1831,I1831),4)</f>
        <v>0</v>
      </c>
      <c r="AD1831" s="78">
        <f t="shared" si="34"/>
        <v>0</v>
      </c>
      <c r="AE1831" s="78">
        <f t="shared" si="35"/>
        <v>0</v>
      </c>
    </row>
    <row r="1832" spans="1:31" x14ac:dyDescent="0.2">
      <c r="A1832" s="66"/>
      <c r="B1832" s="66"/>
      <c r="C1832" s="66"/>
      <c r="D1832" s="144"/>
      <c r="E1832" s="67"/>
      <c r="F1832" s="67"/>
      <c r="G1832" s="67"/>
      <c r="H1832" s="67">
        <f>ROUND(+E1832+G1832,4)</f>
        <v>0</v>
      </c>
      <c r="I1832" s="67"/>
      <c r="J1832" s="67">
        <f>ROUND(+I1832-H1832,4)</f>
        <v>0</v>
      </c>
      <c r="K1832" s="67">
        <f>ROUND(IF(F1832="alluminio",0,I1832*1.5%),4)</f>
        <v>0</v>
      </c>
      <c r="L1832" s="67">
        <f>ROUND(IF(K1832&lt;J1832,K1832,0),4)</f>
        <v>0</v>
      </c>
      <c r="M1832" s="67">
        <f>ROUND(IF(J1832&gt;K1832,0,J1832),4)</f>
        <v>0</v>
      </c>
      <c r="N1832" s="67">
        <f>ROUND(+L1832*D1832,4)</f>
        <v>0</v>
      </c>
      <c r="O1832" s="67">
        <f>ROUND(IF(F1832="rame",0,+I1832*3%),4)</f>
        <v>0</v>
      </c>
      <c r="P1832" s="67">
        <f>ROUND(IF(O1832&lt;J1832,O1832,0),4)</f>
        <v>0</v>
      </c>
      <c r="Q1832" s="67">
        <f>ROUND(IF(J1832&gt;O1832,0,J1832),4)</f>
        <v>0</v>
      </c>
      <c r="R1832" s="67">
        <f>ROUND(+P1832*D1832,4)</f>
        <v>0</v>
      </c>
      <c r="S1832" s="67">
        <f>ROUND(IF(K1832=0,0,M1832*D1832),4)</f>
        <v>0</v>
      </c>
      <c r="T1832" s="67">
        <f>ROUND(+IF(K1832=0,Q1832*D1832,0),4)</f>
        <v>0</v>
      </c>
      <c r="U1832" s="67">
        <f>ROUND(+N1832+R1832+S1832+T1832,4)</f>
        <v>0</v>
      </c>
      <c r="V1832" s="67">
        <f>ROUND(IF(P1832=0,0,I1832-H1832-O1832)+IF(L1832=0,0,I1832-H1832-K1832),4)</f>
        <v>0</v>
      </c>
      <c r="W1832" s="67">
        <f>ROUND(+(V1832*60%)*D1832,4)</f>
        <v>0</v>
      </c>
      <c r="X1832" s="148">
        <f>ROUND(+U1832+W1832,4)</f>
        <v>0</v>
      </c>
      <c r="Y1832" s="68"/>
      <c r="Z1832" s="148">
        <f>ROUND(IF(X1832&gt;I1832,X1832,I1832),4)</f>
        <v>0</v>
      </c>
      <c r="AD1832" s="78">
        <f t="shared" si="34"/>
        <v>0</v>
      </c>
      <c r="AE1832" s="78">
        <f t="shared" si="35"/>
        <v>0</v>
      </c>
    </row>
    <row r="1833" spans="1:31" x14ac:dyDescent="0.2">
      <c r="A1833" s="66"/>
      <c r="B1833" s="66"/>
      <c r="C1833" s="66"/>
      <c r="D1833" s="144"/>
      <c r="E1833" s="67"/>
      <c r="F1833" s="67"/>
      <c r="G1833" s="67"/>
      <c r="H1833" s="67">
        <f>ROUND(+E1833+G1833,4)</f>
        <v>0</v>
      </c>
      <c r="I1833" s="67"/>
      <c r="J1833" s="67">
        <f>ROUND(+I1833-H1833,4)</f>
        <v>0</v>
      </c>
      <c r="K1833" s="67">
        <f>ROUND(IF(F1833="alluminio",0,I1833*1.5%),4)</f>
        <v>0</v>
      </c>
      <c r="L1833" s="67">
        <f>ROUND(IF(K1833&lt;J1833,K1833,0),4)</f>
        <v>0</v>
      </c>
      <c r="M1833" s="67">
        <f>ROUND(IF(J1833&gt;K1833,0,J1833),4)</f>
        <v>0</v>
      </c>
      <c r="N1833" s="67">
        <f>ROUND(+L1833*D1833,4)</f>
        <v>0</v>
      </c>
      <c r="O1833" s="67">
        <f>ROUND(IF(F1833="rame",0,+I1833*3%),4)</f>
        <v>0</v>
      </c>
      <c r="P1833" s="67">
        <f>ROUND(IF(O1833&lt;J1833,O1833,0),4)</f>
        <v>0</v>
      </c>
      <c r="Q1833" s="67">
        <f>ROUND(IF(J1833&gt;O1833,0,J1833),4)</f>
        <v>0</v>
      </c>
      <c r="R1833" s="67">
        <f>ROUND(+P1833*D1833,4)</f>
        <v>0</v>
      </c>
      <c r="S1833" s="67">
        <f>ROUND(IF(K1833=0,0,M1833*D1833),4)</f>
        <v>0</v>
      </c>
      <c r="T1833" s="67">
        <f>ROUND(+IF(K1833=0,Q1833*D1833,0),4)</f>
        <v>0</v>
      </c>
      <c r="U1833" s="67">
        <f>ROUND(+N1833+R1833+S1833+T1833,4)</f>
        <v>0</v>
      </c>
      <c r="V1833" s="67">
        <f>ROUND(IF(P1833=0,0,I1833-H1833-O1833)+IF(L1833=0,0,I1833-H1833-K1833),4)</f>
        <v>0</v>
      </c>
      <c r="W1833" s="67">
        <f>ROUND(+(V1833*60%)*D1833,4)</f>
        <v>0</v>
      </c>
      <c r="X1833" s="148">
        <f>ROUND(+U1833+W1833,4)</f>
        <v>0</v>
      </c>
      <c r="Y1833" s="68"/>
      <c r="Z1833" s="148">
        <f>ROUND(IF(X1833&gt;I1833,X1833,I1833),4)</f>
        <v>0</v>
      </c>
      <c r="AD1833" s="78">
        <f t="shared" si="34"/>
        <v>0</v>
      </c>
      <c r="AE1833" s="78">
        <f t="shared" si="35"/>
        <v>0</v>
      </c>
    </row>
    <row r="1834" spans="1:31" x14ac:dyDescent="0.2">
      <c r="A1834" s="66"/>
      <c r="B1834" s="66"/>
      <c r="C1834" s="66"/>
      <c r="D1834" s="144"/>
      <c r="E1834" s="67"/>
      <c r="F1834" s="67"/>
      <c r="G1834" s="67"/>
      <c r="H1834" s="67">
        <f>ROUND(+E1834+G1834,4)</f>
        <v>0</v>
      </c>
      <c r="I1834" s="67"/>
      <c r="J1834" s="67">
        <f>ROUND(+I1834-H1834,4)</f>
        <v>0</v>
      </c>
      <c r="K1834" s="67">
        <f>ROUND(IF(F1834="alluminio",0,I1834*1.5%),4)</f>
        <v>0</v>
      </c>
      <c r="L1834" s="67">
        <f>ROUND(IF(K1834&lt;J1834,K1834,0),4)</f>
        <v>0</v>
      </c>
      <c r="M1834" s="67">
        <f>ROUND(IF(J1834&gt;K1834,0,J1834),4)</f>
        <v>0</v>
      </c>
      <c r="N1834" s="67">
        <f>ROUND(+L1834*D1834,4)</f>
        <v>0</v>
      </c>
      <c r="O1834" s="67">
        <f>ROUND(IF(F1834="rame",0,+I1834*3%),4)</f>
        <v>0</v>
      </c>
      <c r="P1834" s="67">
        <f>ROUND(IF(O1834&lt;J1834,O1834,0),4)</f>
        <v>0</v>
      </c>
      <c r="Q1834" s="67">
        <f>ROUND(IF(J1834&gt;O1834,0,J1834),4)</f>
        <v>0</v>
      </c>
      <c r="R1834" s="67">
        <f>ROUND(+P1834*D1834,4)</f>
        <v>0</v>
      </c>
      <c r="S1834" s="67">
        <f>ROUND(IF(K1834=0,0,M1834*D1834),4)</f>
        <v>0</v>
      </c>
      <c r="T1834" s="67">
        <f>ROUND(+IF(K1834=0,Q1834*D1834,0),4)</f>
        <v>0</v>
      </c>
      <c r="U1834" s="67">
        <f>ROUND(+N1834+R1834+S1834+T1834,4)</f>
        <v>0</v>
      </c>
      <c r="V1834" s="67">
        <f>ROUND(IF(P1834=0,0,I1834-H1834-O1834)+IF(L1834=0,0,I1834-H1834-K1834),4)</f>
        <v>0</v>
      </c>
      <c r="W1834" s="67">
        <f>ROUND(+(V1834*60%)*D1834,4)</f>
        <v>0</v>
      </c>
      <c r="X1834" s="148">
        <f>ROUND(+U1834+W1834,4)</f>
        <v>0</v>
      </c>
      <c r="Y1834" s="68"/>
      <c r="Z1834" s="148">
        <f>ROUND(IF(X1834&gt;I1834,X1834,I1834),4)</f>
        <v>0</v>
      </c>
      <c r="AD1834" s="78">
        <f t="shared" si="34"/>
        <v>0</v>
      </c>
      <c r="AE1834" s="78">
        <f t="shared" si="35"/>
        <v>0</v>
      </c>
    </row>
    <row r="1835" spans="1:31" x14ac:dyDescent="0.2">
      <c r="A1835" s="66"/>
      <c r="B1835" s="66"/>
      <c r="C1835" s="66"/>
      <c r="D1835" s="144"/>
      <c r="E1835" s="67"/>
      <c r="F1835" s="67"/>
      <c r="G1835" s="67"/>
      <c r="H1835" s="67">
        <f>ROUND(+E1835+G1835,4)</f>
        <v>0</v>
      </c>
      <c r="I1835" s="67"/>
      <c r="J1835" s="67">
        <f>ROUND(+I1835-H1835,4)</f>
        <v>0</v>
      </c>
      <c r="K1835" s="67">
        <f>ROUND(IF(F1835="alluminio",0,I1835*1.5%),4)</f>
        <v>0</v>
      </c>
      <c r="L1835" s="67">
        <f>ROUND(IF(K1835&lt;J1835,K1835,0),4)</f>
        <v>0</v>
      </c>
      <c r="M1835" s="67">
        <f>ROUND(IF(J1835&gt;K1835,0,J1835),4)</f>
        <v>0</v>
      </c>
      <c r="N1835" s="67">
        <f>ROUND(+L1835*D1835,4)</f>
        <v>0</v>
      </c>
      <c r="O1835" s="67">
        <f>ROUND(IF(F1835="rame",0,+I1835*3%),4)</f>
        <v>0</v>
      </c>
      <c r="P1835" s="67">
        <f>ROUND(IF(O1835&lt;J1835,O1835,0),4)</f>
        <v>0</v>
      </c>
      <c r="Q1835" s="67">
        <f>ROUND(IF(J1835&gt;O1835,0,J1835),4)</f>
        <v>0</v>
      </c>
      <c r="R1835" s="67">
        <f>ROUND(+P1835*D1835,4)</f>
        <v>0</v>
      </c>
      <c r="S1835" s="67">
        <f>ROUND(IF(K1835=0,0,M1835*D1835),4)</f>
        <v>0</v>
      </c>
      <c r="T1835" s="67">
        <f>ROUND(+IF(K1835=0,Q1835*D1835,0),4)</f>
        <v>0</v>
      </c>
      <c r="U1835" s="67">
        <f>ROUND(+N1835+R1835+S1835+T1835,4)</f>
        <v>0</v>
      </c>
      <c r="V1835" s="67">
        <f>ROUND(IF(P1835=0,0,I1835-H1835-O1835)+IF(L1835=0,0,I1835-H1835-K1835),4)</f>
        <v>0</v>
      </c>
      <c r="W1835" s="67">
        <f>ROUND(+(V1835*60%)*D1835,4)</f>
        <v>0</v>
      </c>
      <c r="X1835" s="148">
        <f>ROUND(+U1835+W1835,4)</f>
        <v>0</v>
      </c>
      <c r="Y1835" s="68"/>
      <c r="Z1835" s="148">
        <f>ROUND(IF(X1835&gt;I1835,X1835,I1835),4)</f>
        <v>0</v>
      </c>
      <c r="AD1835" s="78">
        <f t="shared" si="34"/>
        <v>0</v>
      </c>
      <c r="AE1835" s="78">
        <f t="shared" si="35"/>
        <v>0</v>
      </c>
    </row>
    <row r="1836" spans="1:31" x14ac:dyDescent="0.2">
      <c r="A1836" s="66"/>
      <c r="B1836" s="66"/>
      <c r="C1836" s="66"/>
      <c r="D1836" s="144"/>
      <c r="E1836" s="67"/>
      <c r="F1836" s="67"/>
      <c r="G1836" s="67"/>
      <c r="H1836" s="67">
        <f>ROUND(+E1836+G1836,4)</f>
        <v>0</v>
      </c>
      <c r="I1836" s="67"/>
      <c r="J1836" s="67">
        <f>ROUND(+I1836-H1836,4)</f>
        <v>0</v>
      </c>
      <c r="K1836" s="67">
        <f>ROUND(IF(F1836="alluminio",0,I1836*1.5%),4)</f>
        <v>0</v>
      </c>
      <c r="L1836" s="67">
        <f>ROUND(IF(K1836&lt;J1836,K1836,0),4)</f>
        <v>0</v>
      </c>
      <c r="M1836" s="67">
        <f>ROUND(IF(J1836&gt;K1836,0,J1836),4)</f>
        <v>0</v>
      </c>
      <c r="N1836" s="67">
        <f>ROUND(+L1836*D1836,4)</f>
        <v>0</v>
      </c>
      <c r="O1836" s="67">
        <f>ROUND(IF(F1836="rame",0,+I1836*3%),4)</f>
        <v>0</v>
      </c>
      <c r="P1836" s="67">
        <f>ROUND(IF(O1836&lt;J1836,O1836,0),4)</f>
        <v>0</v>
      </c>
      <c r="Q1836" s="67">
        <f>ROUND(IF(J1836&gt;O1836,0,J1836),4)</f>
        <v>0</v>
      </c>
      <c r="R1836" s="67">
        <f>ROUND(+P1836*D1836,4)</f>
        <v>0</v>
      </c>
      <c r="S1836" s="67">
        <f>ROUND(IF(K1836=0,0,M1836*D1836),4)</f>
        <v>0</v>
      </c>
      <c r="T1836" s="67">
        <f>ROUND(+IF(K1836=0,Q1836*D1836,0),4)</f>
        <v>0</v>
      </c>
      <c r="U1836" s="67">
        <f>ROUND(+N1836+R1836+S1836+T1836,4)</f>
        <v>0</v>
      </c>
      <c r="V1836" s="67">
        <f>ROUND(IF(P1836=0,0,I1836-H1836-O1836)+IF(L1836=0,0,I1836-H1836-K1836),4)</f>
        <v>0</v>
      </c>
      <c r="W1836" s="67">
        <f>ROUND(+(V1836*60%)*D1836,4)</f>
        <v>0</v>
      </c>
      <c r="X1836" s="148">
        <f>ROUND(+U1836+W1836,4)</f>
        <v>0</v>
      </c>
      <c r="Y1836" s="68"/>
      <c r="Z1836" s="148">
        <f>ROUND(IF(X1836&gt;I1836,X1836,I1836),4)</f>
        <v>0</v>
      </c>
      <c r="AD1836" s="78">
        <f t="shared" si="34"/>
        <v>0</v>
      </c>
      <c r="AE1836" s="78">
        <f t="shared" si="35"/>
        <v>0</v>
      </c>
    </row>
    <row r="1837" spans="1:31" x14ac:dyDescent="0.2">
      <c r="A1837" s="66"/>
      <c r="B1837" s="66"/>
      <c r="C1837" s="66"/>
      <c r="D1837" s="144"/>
      <c r="E1837" s="67"/>
      <c r="F1837" s="67"/>
      <c r="G1837" s="67"/>
      <c r="H1837" s="67">
        <f>ROUND(+E1837+G1837,4)</f>
        <v>0</v>
      </c>
      <c r="I1837" s="67"/>
      <c r="J1837" s="67">
        <f>ROUND(+I1837-H1837,4)</f>
        <v>0</v>
      </c>
      <c r="K1837" s="67">
        <f>ROUND(IF(F1837="alluminio",0,I1837*1.5%),4)</f>
        <v>0</v>
      </c>
      <c r="L1837" s="67">
        <f>ROUND(IF(K1837&lt;J1837,K1837,0),4)</f>
        <v>0</v>
      </c>
      <c r="M1837" s="67">
        <f>ROUND(IF(J1837&gt;K1837,0,J1837),4)</f>
        <v>0</v>
      </c>
      <c r="N1837" s="67">
        <f>ROUND(+L1837*D1837,4)</f>
        <v>0</v>
      </c>
      <c r="O1837" s="67">
        <f>ROUND(IF(F1837="rame",0,+I1837*3%),4)</f>
        <v>0</v>
      </c>
      <c r="P1837" s="67">
        <f>ROUND(IF(O1837&lt;J1837,O1837,0),4)</f>
        <v>0</v>
      </c>
      <c r="Q1837" s="67">
        <f>ROUND(IF(J1837&gt;O1837,0,J1837),4)</f>
        <v>0</v>
      </c>
      <c r="R1837" s="67">
        <f>ROUND(+P1837*D1837,4)</f>
        <v>0</v>
      </c>
      <c r="S1837" s="67">
        <f>ROUND(IF(K1837=0,0,M1837*D1837),4)</f>
        <v>0</v>
      </c>
      <c r="T1837" s="67">
        <f>ROUND(+IF(K1837=0,Q1837*D1837,0),4)</f>
        <v>0</v>
      </c>
      <c r="U1837" s="67">
        <f>ROUND(+N1837+R1837+S1837+T1837,4)</f>
        <v>0</v>
      </c>
      <c r="V1837" s="67">
        <f>ROUND(IF(P1837=0,0,I1837-H1837-O1837)+IF(L1837=0,0,I1837-H1837-K1837),4)</f>
        <v>0</v>
      </c>
      <c r="W1837" s="67">
        <f>ROUND(+(V1837*60%)*D1837,4)</f>
        <v>0</v>
      </c>
      <c r="X1837" s="148">
        <f>ROUND(+U1837+W1837,4)</f>
        <v>0</v>
      </c>
      <c r="Y1837" s="68"/>
      <c r="Z1837" s="148">
        <f>ROUND(IF(X1837&gt;I1837,X1837,I1837),4)</f>
        <v>0</v>
      </c>
      <c r="AD1837" s="78">
        <f t="shared" si="34"/>
        <v>0</v>
      </c>
      <c r="AE1837" s="78">
        <f t="shared" si="35"/>
        <v>0</v>
      </c>
    </row>
    <row r="1838" spans="1:31" x14ac:dyDescent="0.2">
      <c r="A1838" s="66"/>
      <c r="B1838" s="66"/>
      <c r="C1838" s="66"/>
      <c r="D1838" s="144"/>
      <c r="E1838" s="67"/>
      <c r="F1838" s="67"/>
      <c r="G1838" s="67"/>
      <c r="H1838" s="67">
        <f>ROUND(+E1838+G1838,4)</f>
        <v>0</v>
      </c>
      <c r="I1838" s="67"/>
      <c r="J1838" s="67">
        <f>ROUND(+I1838-H1838,4)</f>
        <v>0</v>
      </c>
      <c r="K1838" s="67">
        <f>ROUND(IF(F1838="alluminio",0,I1838*1.5%),4)</f>
        <v>0</v>
      </c>
      <c r="L1838" s="67">
        <f>ROUND(IF(K1838&lt;J1838,K1838,0),4)</f>
        <v>0</v>
      </c>
      <c r="M1838" s="67">
        <f>ROUND(IF(J1838&gt;K1838,0,J1838),4)</f>
        <v>0</v>
      </c>
      <c r="N1838" s="67">
        <f>ROUND(+L1838*D1838,4)</f>
        <v>0</v>
      </c>
      <c r="O1838" s="67">
        <f>ROUND(IF(F1838="rame",0,+I1838*3%),4)</f>
        <v>0</v>
      </c>
      <c r="P1838" s="67">
        <f>ROUND(IF(O1838&lt;J1838,O1838,0),4)</f>
        <v>0</v>
      </c>
      <c r="Q1838" s="67">
        <f>ROUND(IF(J1838&gt;O1838,0,J1838),4)</f>
        <v>0</v>
      </c>
      <c r="R1838" s="67">
        <f>ROUND(+P1838*D1838,4)</f>
        <v>0</v>
      </c>
      <c r="S1838" s="67">
        <f>ROUND(IF(K1838=0,0,M1838*D1838),4)</f>
        <v>0</v>
      </c>
      <c r="T1838" s="67">
        <f>ROUND(+IF(K1838=0,Q1838*D1838,0),4)</f>
        <v>0</v>
      </c>
      <c r="U1838" s="67">
        <f>ROUND(+N1838+R1838+S1838+T1838,4)</f>
        <v>0</v>
      </c>
      <c r="V1838" s="67">
        <f>ROUND(IF(P1838=0,0,I1838-H1838-O1838)+IF(L1838=0,0,I1838-H1838-K1838),4)</f>
        <v>0</v>
      </c>
      <c r="W1838" s="67">
        <f>ROUND(+(V1838*60%)*D1838,4)</f>
        <v>0</v>
      </c>
      <c r="X1838" s="148">
        <f>ROUND(+U1838+W1838,4)</f>
        <v>0</v>
      </c>
      <c r="Y1838" s="68"/>
      <c r="Z1838" s="148">
        <f>ROUND(IF(X1838&gt;I1838,X1838,I1838),4)</f>
        <v>0</v>
      </c>
      <c r="AD1838" s="78">
        <f t="shared" si="34"/>
        <v>0</v>
      </c>
      <c r="AE1838" s="78">
        <f t="shared" si="35"/>
        <v>0</v>
      </c>
    </row>
    <row r="1839" spans="1:31" x14ac:dyDescent="0.2">
      <c r="A1839" s="66"/>
      <c r="B1839" s="66"/>
      <c r="C1839" s="66"/>
      <c r="D1839" s="144"/>
      <c r="E1839" s="67"/>
      <c r="F1839" s="67"/>
      <c r="G1839" s="67"/>
      <c r="H1839" s="67">
        <f>ROUND(+E1839+G1839,4)</f>
        <v>0</v>
      </c>
      <c r="I1839" s="67"/>
      <c r="J1839" s="67">
        <f>ROUND(+I1839-H1839,4)</f>
        <v>0</v>
      </c>
      <c r="K1839" s="67">
        <f>ROUND(IF(F1839="alluminio",0,I1839*1.5%),4)</f>
        <v>0</v>
      </c>
      <c r="L1839" s="67">
        <f>ROUND(IF(K1839&lt;J1839,K1839,0),4)</f>
        <v>0</v>
      </c>
      <c r="M1839" s="67">
        <f>ROUND(IF(J1839&gt;K1839,0,J1839),4)</f>
        <v>0</v>
      </c>
      <c r="N1839" s="67">
        <f>ROUND(+L1839*D1839,4)</f>
        <v>0</v>
      </c>
      <c r="O1839" s="67">
        <f>ROUND(IF(F1839="rame",0,+I1839*3%),4)</f>
        <v>0</v>
      </c>
      <c r="P1839" s="67">
        <f>ROUND(IF(O1839&lt;J1839,O1839,0),4)</f>
        <v>0</v>
      </c>
      <c r="Q1839" s="67">
        <f>ROUND(IF(J1839&gt;O1839,0,J1839),4)</f>
        <v>0</v>
      </c>
      <c r="R1839" s="67">
        <f>ROUND(+P1839*D1839,4)</f>
        <v>0</v>
      </c>
      <c r="S1839" s="67">
        <f>ROUND(IF(K1839=0,0,M1839*D1839),4)</f>
        <v>0</v>
      </c>
      <c r="T1839" s="67">
        <f>ROUND(+IF(K1839=0,Q1839*D1839,0),4)</f>
        <v>0</v>
      </c>
      <c r="U1839" s="67">
        <f>ROUND(+N1839+R1839+S1839+T1839,4)</f>
        <v>0</v>
      </c>
      <c r="V1839" s="67">
        <f>ROUND(IF(P1839=0,0,I1839-H1839-O1839)+IF(L1839=0,0,I1839-H1839-K1839),4)</f>
        <v>0</v>
      </c>
      <c r="W1839" s="67">
        <f>ROUND(+(V1839*60%)*D1839,4)</f>
        <v>0</v>
      </c>
      <c r="X1839" s="148">
        <f>ROUND(+U1839+W1839,4)</f>
        <v>0</v>
      </c>
      <c r="Y1839" s="68"/>
      <c r="Z1839" s="148">
        <f>ROUND(IF(X1839&gt;I1839,X1839,I1839),4)</f>
        <v>0</v>
      </c>
      <c r="AD1839" s="78">
        <f t="shared" si="34"/>
        <v>0</v>
      </c>
      <c r="AE1839" s="78">
        <f t="shared" si="35"/>
        <v>0</v>
      </c>
    </row>
    <row r="1840" spans="1:31" x14ac:dyDescent="0.2">
      <c r="A1840" s="66"/>
      <c r="B1840" s="66"/>
      <c r="C1840" s="66"/>
      <c r="D1840" s="144"/>
      <c r="E1840" s="67"/>
      <c r="F1840" s="67"/>
      <c r="G1840" s="67"/>
      <c r="H1840" s="67">
        <f>ROUND(+E1840+G1840,4)</f>
        <v>0</v>
      </c>
      <c r="I1840" s="67"/>
      <c r="J1840" s="67">
        <f>ROUND(+I1840-H1840,4)</f>
        <v>0</v>
      </c>
      <c r="K1840" s="67">
        <f>ROUND(IF(F1840="alluminio",0,I1840*1.5%),4)</f>
        <v>0</v>
      </c>
      <c r="L1840" s="67">
        <f>ROUND(IF(K1840&lt;J1840,K1840,0),4)</f>
        <v>0</v>
      </c>
      <c r="M1840" s="67">
        <f>ROUND(IF(J1840&gt;K1840,0,J1840),4)</f>
        <v>0</v>
      </c>
      <c r="N1840" s="67">
        <f>ROUND(+L1840*D1840,4)</f>
        <v>0</v>
      </c>
      <c r="O1840" s="67">
        <f>ROUND(IF(F1840="rame",0,+I1840*3%),4)</f>
        <v>0</v>
      </c>
      <c r="P1840" s="67">
        <f>ROUND(IF(O1840&lt;J1840,O1840,0),4)</f>
        <v>0</v>
      </c>
      <c r="Q1840" s="67">
        <f>ROUND(IF(J1840&gt;O1840,0,J1840),4)</f>
        <v>0</v>
      </c>
      <c r="R1840" s="67">
        <f>ROUND(+P1840*D1840,4)</f>
        <v>0</v>
      </c>
      <c r="S1840" s="67">
        <f>ROUND(IF(K1840=0,0,M1840*D1840),4)</f>
        <v>0</v>
      </c>
      <c r="T1840" s="67">
        <f>ROUND(+IF(K1840=0,Q1840*D1840,0),4)</f>
        <v>0</v>
      </c>
      <c r="U1840" s="67">
        <f>ROUND(+N1840+R1840+S1840+T1840,4)</f>
        <v>0</v>
      </c>
      <c r="V1840" s="67">
        <f>ROUND(IF(P1840=0,0,I1840-H1840-O1840)+IF(L1840=0,0,I1840-H1840-K1840),4)</f>
        <v>0</v>
      </c>
      <c r="W1840" s="67">
        <f>ROUND(+(V1840*60%)*D1840,4)</f>
        <v>0</v>
      </c>
      <c r="X1840" s="148">
        <f>ROUND(+U1840+W1840,4)</f>
        <v>0</v>
      </c>
      <c r="Y1840" s="68"/>
      <c r="Z1840" s="148">
        <f>ROUND(IF(X1840&gt;I1840,X1840,I1840),4)</f>
        <v>0</v>
      </c>
      <c r="AD1840" s="78">
        <f t="shared" si="34"/>
        <v>0</v>
      </c>
      <c r="AE1840" s="78">
        <f t="shared" si="35"/>
        <v>0</v>
      </c>
    </row>
    <row r="1841" spans="1:31" x14ac:dyDescent="0.2">
      <c r="A1841" s="66"/>
      <c r="B1841" s="66"/>
      <c r="C1841" s="66"/>
      <c r="D1841" s="144"/>
      <c r="E1841" s="67"/>
      <c r="F1841" s="67"/>
      <c r="G1841" s="67"/>
      <c r="H1841" s="67">
        <f>ROUND(+E1841+G1841,4)</f>
        <v>0</v>
      </c>
      <c r="I1841" s="67"/>
      <c r="J1841" s="67">
        <f>ROUND(+I1841-H1841,4)</f>
        <v>0</v>
      </c>
      <c r="K1841" s="67">
        <f>ROUND(IF(F1841="alluminio",0,I1841*1.5%),4)</f>
        <v>0</v>
      </c>
      <c r="L1841" s="67">
        <f>ROUND(IF(K1841&lt;J1841,K1841,0),4)</f>
        <v>0</v>
      </c>
      <c r="M1841" s="67">
        <f>ROUND(IF(J1841&gt;K1841,0,J1841),4)</f>
        <v>0</v>
      </c>
      <c r="N1841" s="67">
        <f>ROUND(+L1841*D1841,4)</f>
        <v>0</v>
      </c>
      <c r="O1841" s="67">
        <f>ROUND(IF(F1841="rame",0,+I1841*3%),4)</f>
        <v>0</v>
      </c>
      <c r="P1841" s="67">
        <f>ROUND(IF(O1841&lt;J1841,O1841,0),4)</f>
        <v>0</v>
      </c>
      <c r="Q1841" s="67">
        <f>ROUND(IF(J1841&gt;O1841,0,J1841),4)</f>
        <v>0</v>
      </c>
      <c r="R1841" s="67">
        <f>ROUND(+P1841*D1841,4)</f>
        <v>0</v>
      </c>
      <c r="S1841" s="67">
        <f>ROUND(IF(K1841=0,0,M1841*D1841),4)</f>
        <v>0</v>
      </c>
      <c r="T1841" s="67">
        <f>ROUND(+IF(K1841=0,Q1841*D1841,0),4)</f>
        <v>0</v>
      </c>
      <c r="U1841" s="67">
        <f>ROUND(+N1841+R1841+S1841+T1841,4)</f>
        <v>0</v>
      </c>
      <c r="V1841" s="67">
        <f>ROUND(IF(P1841=0,0,I1841-H1841-O1841)+IF(L1841=0,0,I1841-H1841-K1841),4)</f>
        <v>0</v>
      </c>
      <c r="W1841" s="67">
        <f>ROUND(+(V1841*60%)*D1841,4)</f>
        <v>0</v>
      </c>
      <c r="X1841" s="148">
        <f>ROUND(+U1841+W1841,4)</f>
        <v>0</v>
      </c>
      <c r="Y1841" s="68"/>
      <c r="Z1841" s="148">
        <f>ROUND(IF(X1841&gt;I1841,X1841,I1841),4)</f>
        <v>0</v>
      </c>
      <c r="AD1841" s="78">
        <f t="shared" si="34"/>
        <v>0</v>
      </c>
      <c r="AE1841" s="78">
        <f t="shared" si="35"/>
        <v>0</v>
      </c>
    </row>
    <row r="1842" spans="1:31" x14ac:dyDescent="0.2">
      <c r="A1842" s="66"/>
      <c r="B1842" s="66"/>
      <c r="C1842" s="66"/>
      <c r="D1842" s="144"/>
      <c r="E1842" s="67"/>
      <c r="F1842" s="67"/>
      <c r="G1842" s="67"/>
      <c r="H1842" s="67">
        <f>ROUND(+E1842+G1842,4)</f>
        <v>0</v>
      </c>
      <c r="I1842" s="67"/>
      <c r="J1842" s="67">
        <f>ROUND(+I1842-H1842,4)</f>
        <v>0</v>
      </c>
      <c r="K1842" s="67">
        <f>ROUND(IF(F1842="alluminio",0,I1842*1.5%),4)</f>
        <v>0</v>
      </c>
      <c r="L1842" s="67">
        <f>ROUND(IF(K1842&lt;J1842,K1842,0),4)</f>
        <v>0</v>
      </c>
      <c r="M1842" s="67">
        <f>ROUND(IF(J1842&gt;K1842,0,J1842),4)</f>
        <v>0</v>
      </c>
      <c r="N1842" s="67">
        <f>ROUND(+L1842*D1842,4)</f>
        <v>0</v>
      </c>
      <c r="O1842" s="67">
        <f>ROUND(IF(F1842="rame",0,+I1842*3%),4)</f>
        <v>0</v>
      </c>
      <c r="P1842" s="67">
        <f>ROUND(IF(O1842&lt;J1842,O1842,0),4)</f>
        <v>0</v>
      </c>
      <c r="Q1842" s="67">
        <f>ROUND(IF(J1842&gt;O1842,0,J1842),4)</f>
        <v>0</v>
      </c>
      <c r="R1842" s="67">
        <f>ROUND(+P1842*D1842,4)</f>
        <v>0</v>
      </c>
      <c r="S1842" s="67">
        <f>ROUND(IF(K1842=0,0,M1842*D1842),4)</f>
        <v>0</v>
      </c>
      <c r="T1842" s="67">
        <f>ROUND(+IF(K1842=0,Q1842*D1842,0),4)</f>
        <v>0</v>
      </c>
      <c r="U1842" s="67">
        <f>ROUND(+N1842+R1842+S1842+T1842,4)</f>
        <v>0</v>
      </c>
      <c r="V1842" s="67">
        <f>ROUND(IF(P1842=0,0,I1842-H1842-O1842)+IF(L1842=0,0,I1842-H1842-K1842),4)</f>
        <v>0</v>
      </c>
      <c r="W1842" s="67">
        <f>ROUND(+(V1842*60%)*D1842,4)</f>
        <v>0</v>
      </c>
      <c r="X1842" s="148">
        <f>ROUND(+U1842+W1842,4)</f>
        <v>0</v>
      </c>
      <c r="Y1842" s="68"/>
      <c r="Z1842" s="148">
        <f>ROUND(IF(X1842&gt;I1842,X1842,I1842),4)</f>
        <v>0</v>
      </c>
      <c r="AD1842" s="78">
        <f t="shared" si="34"/>
        <v>0</v>
      </c>
      <c r="AE1842" s="78">
        <f t="shared" si="35"/>
        <v>0</v>
      </c>
    </row>
    <row r="1843" spans="1:31" x14ac:dyDescent="0.2">
      <c r="A1843" s="66"/>
      <c r="B1843" s="66"/>
      <c r="C1843" s="66"/>
      <c r="D1843" s="144"/>
      <c r="E1843" s="67"/>
      <c r="F1843" s="67"/>
      <c r="G1843" s="67"/>
      <c r="H1843" s="67">
        <f>ROUND(+E1843+G1843,4)</f>
        <v>0</v>
      </c>
      <c r="I1843" s="67"/>
      <c r="J1843" s="67">
        <f>ROUND(+I1843-H1843,4)</f>
        <v>0</v>
      </c>
      <c r="K1843" s="67">
        <f>ROUND(IF(F1843="alluminio",0,I1843*1.5%),4)</f>
        <v>0</v>
      </c>
      <c r="L1843" s="67">
        <f>ROUND(IF(K1843&lt;J1843,K1843,0),4)</f>
        <v>0</v>
      </c>
      <c r="M1843" s="67">
        <f>ROUND(IF(J1843&gt;K1843,0,J1843),4)</f>
        <v>0</v>
      </c>
      <c r="N1843" s="67">
        <f>ROUND(+L1843*D1843,4)</f>
        <v>0</v>
      </c>
      <c r="O1843" s="67">
        <f>ROUND(IF(F1843="rame",0,+I1843*3%),4)</f>
        <v>0</v>
      </c>
      <c r="P1843" s="67">
        <f>ROUND(IF(O1843&lt;J1843,O1843,0),4)</f>
        <v>0</v>
      </c>
      <c r="Q1843" s="67">
        <f>ROUND(IF(J1843&gt;O1843,0,J1843),4)</f>
        <v>0</v>
      </c>
      <c r="R1843" s="67">
        <f>ROUND(+P1843*D1843,4)</f>
        <v>0</v>
      </c>
      <c r="S1843" s="67">
        <f>ROUND(IF(K1843=0,0,M1843*D1843),4)</f>
        <v>0</v>
      </c>
      <c r="T1843" s="67">
        <f>ROUND(+IF(K1843=0,Q1843*D1843,0),4)</f>
        <v>0</v>
      </c>
      <c r="U1843" s="67">
        <f>ROUND(+N1843+R1843+S1843+T1843,4)</f>
        <v>0</v>
      </c>
      <c r="V1843" s="67">
        <f>ROUND(IF(P1843=0,0,I1843-H1843-O1843)+IF(L1843=0,0,I1843-H1843-K1843),4)</f>
        <v>0</v>
      </c>
      <c r="W1843" s="67">
        <f>ROUND(+(V1843*60%)*D1843,4)</f>
        <v>0</v>
      </c>
      <c r="X1843" s="148">
        <f>ROUND(+U1843+W1843,4)</f>
        <v>0</v>
      </c>
      <c r="Y1843" s="68"/>
      <c r="Z1843" s="148">
        <f>ROUND(IF(X1843&gt;I1843,X1843,I1843),4)</f>
        <v>0</v>
      </c>
      <c r="AD1843" s="78">
        <f t="shared" si="34"/>
        <v>0</v>
      </c>
      <c r="AE1843" s="78">
        <f t="shared" si="35"/>
        <v>0</v>
      </c>
    </row>
    <row r="1844" spans="1:31" x14ac:dyDescent="0.2">
      <c r="A1844" s="66"/>
      <c r="B1844" s="66"/>
      <c r="C1844" s="66"/>
      <c r="D1844" s="144"/>
      <c r="E1844" s="67"/>
      <c r="F1844" s="67"/>
      <c r="G1844" s="67"/>
      <c r="H1844" s="67">
        <f>ROUND(+E1844+G1844,4)</f>
        <v>0</v>
      </c>
      <c r="I1844" s="67"/>
      <c r="J1844" s="67">
        <f>ROUND(+I1844-H1844,4)</f>
        <v>0</v>
      </c>
      <c r="K1844" s="67">
        <f>ROUND(IF(F1844="alluminio",0,I1844*1.5%),4)</f>
        <v>0</v>
      </c>
      <c r="L1844" s="67">
        <f>ROUND(IF(K1844&lt;J1844,K1844,0),4)</f>
        <v>0</v>
      </c>
      <c r="M1844" s="67">
        <f>ROUND(IF(J1844&gt;K1844,0,J1844),4)</f>
        <v>0</v>
      </c>
      <c r="N1844" s="67">
        <f>ROUND(+L1844*D1844,4)</f>
        <v>0</v>
      </c>
      <c r="O1844" s="67">
        <f>ROUND(IF(F1844="rame",0,+I1844*3%),4)</f>
        <v>0</v>
      </c>
      <c r="P1844" s="67">
        <f>ROUND(IF(O1844&lt;J1844,O1844,0),4)</f>
        <v>0</v>
      </c>
      <c r="Q1844" s="67">
        <f>ROUND(IF(J1844&gt;O1844,0,J1844),4)</f>
        <v>0</v>
      </c>
      <c r="R1844" s="67">
        <f>ROUND(+P1844*D1844,4)</f>
        <v>0</v>
      </c>
      <c r="S1844" s="67">
        <f>ROUND(IF(K1844=0,0,M1844*D1844),4)</f>
        <v>0</v>
      </c>
      <c r="T1844" s="67">
        <f>ROUND(+IF(K1844=0,Q1844*D1844,0),4)</f>
        <v>0</v>
      </c>
      <c r="U1844" s="67">
        <f>ROUND(+N1844+R1844+S1844+T1844,4)</f>
        <v>0</v>
      </c>
      <c r="V1844" s="67">
        <f>ROUND(IF(P1844=0,0,I1844-H1844-O1844)+IF(L1844=0,0,I1844-H1844-K1844),4)</f>
        <v>0</v>
      </c>
      <c r="W1844" s="67">
        <f>ROUND(+(V1844*60%)*D1844,4)</f>
        <v>0</v>
      </c>
      <c r="X1844" s="148">
        <f>ROUND(+U1844+W1844,4)</f>
        <v>0</v>
      </c>
      <c r="Y1844" s="68"/>
      <c r="Z1844" s="148">
        <f>ROUND(IF(X1844&gt;I1844,X1844,I1844),4)</f>
        <v>0</v>
      </c>
      <c r="AD1844" s="78">
        <f t="shared" si="34"/>
        <v>0</v>
      </c>
      <c r="AE1844" s="78">
        <f t="shared" si="35"/>
        <v>0</v>
      </c>
    </row>
    <row r="1845" spans="1:31" x14ac:dyDescent="0.2">
      <c r="A1845" s="66"/>
      <c r="B1845" s="66"/>
      <c r="C1845" s="66"/>
      <c r="D1845" s="144"/>
      <c r="E1845" s="67"/>
      <c r="F1845" s="67"/>
      <c r="G1845" s="67"/>
      <c r="H1845" s="67">
        <f>ROUND(+E1845+G1845,4)</f>
        <v>0</v>
      </c>
      <c r="I1845" s="67"/>
      <c r="J1845" s="67">
        <f>ROUND(+I1845-H1845,4)</f>
        <v>0</v>
      </c>
      <c r="K1845" s="67">
        <f>ROUND(IF(F1845="alluminio",0,I1845*1.5%),4)</f>
        <v>0</v>
      </c>
      <c r="L1845" s="67">
        <f>ROUND(IF(K1845&lt;J1845,K1845,0),4)</f>
        <v>0</v>
      </c>
      <c r="M1845" s="67">
        <f>ROUND(IF(J1845&gt;K1845,0,J1845),4)</f>
        <v>0</v>
      </c>
      <c r="N1845" s="67">
        <f>ROUND(+L1845*D1845,4)</f>
        <v>0</v>
      </c>
      <c r="O1845" s="67">
        <f>ROUND(IF(F1845="rame",0,+I1845*3%),4)</f>
        <v>0</v>
      </c>
      <c r="P1845" s="67">
        <f>ROUND(IF(O1845&lt;J1845,O1845,0),4)</f>
        <v>0</v>
      </c>
      <c r="Q1845" s="67">
        <f>ROUND(IF(J1845&gt;O1845,0,J1845),4)</f>
        <v>0</v>
      </c>
      <c r="R1845" s="67">
        <f>ROUND(+P1845*D1845,4)</f>
        <v>0</v>
      </c>
      <c r="S1845" s="67">
        <f>ROUND(IF(K1845=0,0,M1845*D1845),4)</f>
        <v>0</v>
      </c>
      <c r="T1845" s="67">
        <f>ROUND(+IF(K1845=0,Q1845*D1845,0),4)</f>
        <v>0</v>
      </c>
      <c r="U1845" s="67">
        <f>ROUND(+N1845+R1845+S1845+T1845,4)</f>
        <v>0</v>
      </c>
      <c r="V1845" s="67">
        <f>ROUND(IF(P1845=0,0,I1845-H1845-O1845)+IF(L1845=0,0,I1845-H1845-K1845),4)</f>
        <v>0</v>
      </c>
      <c r="W1845" s="67">
        <f>ROUND(+(V1845*60%)*D1845,4)</f>
        <v>0</v>
      </c>
      <c r="X1845" s="148">
        <f>ROUND(+U1845+W1845,4)</f>
        <v>0</v>
      </c>
      <c r="Y1845" s="68"/>
      <c r="Z1845" s="148">
        <f>ROUND(IF(X1845&gt;I1845,X1845,I1845),4)</f>
        <v>0</v>
      </c>
      <c r="AD1845" s="78">
        <f t="shared" si="34"/>
        <v>0</v>
      </c>
      <c r="AE1845" s="78">
        <f t="shared" si="35"/>
        <v>0</v>
      </c>
    </row>
    <row r="1846" spans="1:31" x14ac:dyDescent="0.2">
      <c r="A1846" s="66"/>
      <c r="B1846" s="66"/>
      <c r="C1846" s="66"/>
      <c r="D1846" s="144"/>
      <c r="E1846" s="67"/>
      <c r="F1846" s="67"/>
      <c r="G1846" s="67"/>
      <c r="H1846" s="67">
        <f>ROUND(+E1846+G1846,4)</f>
        <v>0</v>
      </c>
      <c r="I1846" s="67"/>
      <c r="J1846" s="67">
        <f>ROUND(+I1846-H1846,4)</f>
        <v>0</v>
      </c>
      <c r="K1846" s="67">
        <f>ROUND(IF(F1846="alluminio",0,I1846*1.5%),4)</f>
        <v>0</v>
      </c>
      <c r="L1846" s="67">
        <f>ROUND(IF(K1846&lt;J1846,K1846,0),4)</f>
        <v>0</v>
      </c>
      <c r="M1846" s="67">
        <f>ROUND(IF(J1846&gt;K1846,0,J1846),4)</f>
        <v>0</v>
      </c>
      <c r="N1846" s="67">
        <f>ROUND(+L1846*D1846,4)</f>
        <v>0</v>
      </c>
      <c r="O1846" s="67">
        <f>ROUND(IF(F1846="rame",0,+I1846*3%),4)</f>
        <v>0</v>
      </c>
      <c r="P1846" s="67">
        <f>ROUND(IF(O1846&lt;J1846,O1846,0),4)</f>
        <v>0</v>
      </c>
      <c r="Q1846" s="67">
        <f>ROUND(IF(J1846&gt;O1846,0,J1846),4)</f>
        <v>0</v>
      </c>
      <c r="R1846" s="67">
        <f>ROUND(+P1846*D1846,4)</f>
        <v>0</v>
      </c>
      <c r="S1846" s="67">
        <f>ROUND(IF(K1846=0,0,M1846*D1846),4)</f>
        <v>0</v>
      </c>
      <c r="T1846" s="67">
        <f>ROUND(+IF(K1846=0,Q1846*D1846,0),4)</f>
        <v>0</v>
      </c>
      <c r="U1846" s="67">
        <f>ROUND(+N1846+R1846+S1846+T1846,4)</f>
        <v>0</v>
      </c>
      <c r="V1846" s="67">
        <f>ROUND(IF(P1846=0,0,I1846-H1846-O1846)+IF(L1846=0,0,I1846-H1846-K1846),4)</f>
        <v>0</v>
      </c>
      <c r="W1846" s="67">
        <f>ROUND(+(V1846*60%)*D1846,4)</f>
        <v>0</v>
      </c>
      <c r="X1846" s="148">
        <f>ROUND(+U1846+W1846,4)</f>
        <v>0</v>
      </c>
      <c r="Y1846" s="68"/>
      <c r="Z1846" s="148">
        <f>ROUND(IF(X1846&gt;I1846,X1846,I1846),4)</f>
        <v>0</v>
      </c>
      <c r="AD1846" s="78">
        <f t="shared" si="34"/>
        <v>0</v>
      </c>
      <c r="AE1846" s="78">
        <f t="shared" si="35"/>
        <v>0</v>
      </c>
    </row>
    <row r="1847" spans="1:31" x14ac:dyDescent="0.2">
      <c r="A1847" s="66"/>
      <c r="B1847" s="66"/>
      <c r="C1847" s="66"/>
      <c r="D1847" s="144"/>
      <c r="E1847" s="67"/>
      <c r="F1847" s="67"/>
      <c r="G1847" s="67"/>
      <c r="H1847" s="67">
        <f>ROUND(+E1847+G1847,4)</f>
        <v>0</v>
      </c>
      <c r="I1847" s="67"/>
      <c r="J1847" s="67">
        <f>ROUND(+I1847-H1847,4)</f>
        <v>0</v>
      </c>
      <c r="K1847" s="67">
        <f>ROUND(IF(F1847="alluminio",0,I1847*1.5%),4)</f>
        <v>0</v>
      </c>
      <c r="L1847" s="67">
        <f>ROUND(IF(K1847&lt;J1847,K1847,0),4)</f>
        <v>0</v>
      </c>
      <c r="M1847" s="67">
        <f>ROUND(IF(J1847&gt;K1847,0,J1847),4)</f>
        <v>0</v>
      </c>
      <c r="N1847" s="67">
        <f>ROUND(+L1847*D1847,4)</f>
        <v>0</v>
      </c>
      <c r="O1847" s="67">
        <f>ROUND(IF(F1847="rame",0,+I1847*3%),4)</f>
        <v>0</v>
      </c>
      <c r="P1847" s="67">
        <f>ROUND(IF(O1847&lt;J1847,O1847,0),4)</f>
        <v>0</v>
      </c>
      <c r="Q1847" s="67">
        <f>ROUND(IF(J1847&gt;O1847,0,J1847),4)</f>
        <v>0</v>
      </c>
      <c r="R1847" s="67">
        <f>ROUND(+P1847*D1847,4)</f>
        <v>0</v>
      </c>
      <c r="S1847" s="67">
        <f>ROUND(IF(K1847=0,0,M1847*D1847),4)</f>
        <v>0</v>
      </c>
      <c r="T1847" s="67">
        <f>ROUND(+IF(K1847=0,Q1847*D1847,0),4)</f>
        <v>0</v>
      </c>
      <c r="U1847" s="67">
        <f>ROUND(+N1847+R1847+S1847+T1847,4)</f>
        <v>0</v>
      </c>
      <c r="V1847" s="67">
        <f>ROUND(IF(P1847=0,0,I1847-H1847-O1847)+IF(L1847=0,0,I1847-H1847-K1847),4)</f>
        <v>0</v>
      </c>
      <c r="W1847" s="67">
        <f>ROUND(+(V1847*60%)*D1847,4)</f>
        <v>0</v>
      </c>
      <c r="X1847" s="148">
        <f>ROUND(+U1847+W1847,4)</f>
        <v>0</v>
      </c>
      <c r="Y1847" s="68"/>
      <c r="Z1847" s="148">
        <f>ROUND(IF(X1847&gt;I1847,X1847,I1847),4)</f>
        <v>0</v>
      </c>
      <c r="AD1847" s="78">
        <f t="shared" si="34"/>
        <v>0</v>
      </c>
      <c r="AE1847" s="78">
        <f t="shared" si="35"/>
        <v>0</v>
      </c>
    </row>
    <row r="1848" spans="1:31" x14ac:dyDescent="0.2">
      <c r="A1848" s="66"/>
      <c r="B1848" s="66"/>
      <c r="C1848" s="66"/>
      <c r="D1848" s="144"/>
      <c r="E1848" s="67"/>
      <c r="F1848" s="67"/>
      <c r="G1848" s="67"/>
      <c r="H1848" s="67">
        <f>ROUND(+E1848+G1848,4)</f>
        <v>0</v>
      </c>
      <c r="I1848" s="67"/>
      <c r="J1848" s="67">
        <f>ROUND(+I1848-H1848,4)</f>
        <v>0</v>
      </c>
      <c r="K1848" s="67">
        <f>ROUND(IF(F1848="alluminio",0,I1848*1.5%),4)</f>
        <v>0</v>
      </c>
      <c r="L1848" s="67">
        <f>ROUND(IF(K1848&lt;J1848,K1848,0),4)</f>
        <v>0</v>
      </c>
      <c r="M1848" s="67">
        <f>ROUND(IF(J1848&gt;K1848,0,J1848),4)</f>
        <v>0</v>
      </c>
      <c r="N1848" s="67">
        <f>ROUND(+L1848*D1848,4)</f>
        <v>0</v>
      </c>
      <c r="O1848" s="67">
        <f>ROUND(IF(F1848="rame",0,+I1848*3%),4)</f>
        <v>0</v>
      </c>
      <c r="P1848" s="67">
        <f>ROUND(IF(O1848&lt;J1848,O1848,0),4)</f>
        <v>0</v>
      </c>
      <c r="Q1848" s="67">
        <f>ROUND(IF(J1848&gt;O1848,0,J1848),4)</f>
        <v>0</v>
      </c>
      <c r="R1848" s="67">
        <f>ROUND(+P1848*D1848,4)</f>
        <v>0</v>
      </c>
      <c r="S1848" s="67">
        <f>ROUND(IF(K1848=0,0,M1848*D1848),4)</f>
        <v>0</v>
      </c>
      <c r="T1848" s="67">
        <f>ROUND(+IF(K1848=0,Q1848*D1848,0),4)</f>
        <v>0</v>
      </c>
      <c r="U1848" s="67">
        <f>ROUND(+N1848+R1848+S1848+T1848,4)</f>
        <v>0</v>
      </c>
      <c r="V1848" s="67">
        <f>ROUND(IF(P1848=0,0,I1848-H1848-O1848)+IF(L1848=0,0,I1848-H1848-K1848),4)</f>
        <v>0</v>
      </c>
      <c r="W1848" s="67">
        <f>ROUND(+(V1848*60%)*D1848,4)</f>
        <v>0</v>
      </c>
      <c r="X1848" s="148">
        <f>ROUND(+U1848+W1848,4)</f>
        <v>0</v>
      </c>
      <c r="Y1848" s="68"/>
      <c r="Z1848" s="148">
        <f>ROUND(IF(X1848&gt;I1848,X1848,I1848),4)</f>
        <v>0</v>
      </c>
      <c r="AD1848" s="78">
        <f t="shared" si="34"/>
        <v>0</v>
      </c>
      <c r="AE1848" s="78">
        <f t="shared" si="35"/>
        <v>0</v>
      </c>
    </row>
    <row r="1849" spans="1:31" x14ac:dyDescent="0.2">
      <c r="A1849" s="66"/>
      <c r="B1849" s="66"/>
      <c r="C1849" s="66"/>
      <c r="D1849" s="144"/>
      <c r="E1849" s="67"/>
      <c r="F1849" s="67"/>
      <c r="G1849" s="67"/>
      <c r="H1849" s="67">
        <f>ROUND(+E1849+G1849,4)</f>
        <v>0</v>
      </c>
      <c r="I1849" s="67"/>
      <c r="J1849" s="67">
        <f>ROUND(+I1849-H1849,4)</f>
        <v>0</v>
      </c>
      <c r="K1849" s="67">
        <f>ROUND(IF(F1849="alluminio",0,I1849*1.5%),4)</f>
        <v>0</v>
      </c>
      <c r="L1849" s="67">
        <f>ROUND(IF(K1849&lt;J1849,K1849,0),4)</f>
        <v>0</v>
      </c>
      <c r="M1849" s="67">
        <f>ROUND(IF(J1849&gt;K1849,0,J1849),4)</f>
        <v>0</v>
      </c>
      <c r="N1849" s="67">
        <f>ROUND(+L1849*D1849,4)</f>
        <v>0</v>
      </c>
      <c r="O1849" s="67">
        <f>ROUND(IF(F1849="rame",0,+I1849*3%),4)</f>
        <v>0</v>
      </c>
      <c r="P1849" s="67">
        <f>ROUND(IF(O1849&lt;J1849,O1849,0),4)</f>
        <v>0</v>
      </c>
      <c r="Q1849" s="67">
        <f>ROUND(IF(J1849&gt;O1849,0,J1849),4)</f>
        <v>0</v>
      </c>
      <c r="R1849" s="67">
        <f>ROUND(+P1849*D1849,4)</f>
        <v>0</v>
      </c>
      <c r="S1849" s="67">
        <f>ROUND(IF(K1849=0,0,M1849*D1849),4)</f>
        <v>0</v>
      </c>
      <c r="T1849" s="67">
        <f>ROUND(+IF(K1849=0,Q1849*D1849,0),4)</f>
        <v>0</v>
      </c>
      <c r="U1849" s="67">
        <f>ROUND(+N1849+R1849+S1849+T1849,4)</f>
        <v>0</v>
      </c>
      <c r="V1849" s="67">
        <f>ROUND(IF(P1849=0,0,I1849-H1849-O1849)+IF(L1849=0,0,I1849-H1849-K1849),4)</f>
        <v>0</v>
      </c>
      <c r="W1849" s="67">
        <f>ROUND(+(V1849*60%)*D1849,4)</f>
        <v>0</v>
      </c>
      <c r="X1849" s="148">
        <f>ROUND(+U1849+W1849,4)</f>
        <v>0</v>
      </c>
      <c r="Y1849" s="68"/>
      <c r="Z1849" s="148">
        <f>ROUND(IF(X1849&gt;I1849,X1849,I1849),4)</f>
        <v>0</v>
      </c>
      <c r="AD1849" s="78">
        <f t="shared" si="34"/>
        <v>0</v>
      </c>
      <c r="AE1849" s="78">
        <f t="shared" si="35"/>
        <v>0</v>
      </c>
    </row>
    <row r="1850" spans="1:31" x14ac:dyDescent="0.2">
      <c r="A1850" s="66"/>
      <c r="B1850" s="66"/>
      <c r="C1850" s="66"/>
      <c r="D1850" s="144"/>
      <c r="E1850" s="67"/>
      <c r="F1850" s="67"/>
      <c r="G1850" s="67"/>
      <c r="H1850" s="67">
        <f>ROUND(+E1850+G1850,4)</f>
        <v>0</v>
      </c>
      <c r="I1850" s="67"/>
      <c r="J1850" s="67">
        <f>ROUND(+I1850-H1850,4)</f>
        <v>0</v>
      </c>
      <c r="K1850" s="67">
        <f>ROUND(IF(F1850="alluminio",0,I1850*1.5%),4)</f>
        <v>0</v>
      </c>
      <c r="L1850" s="67">
        <f>ROUND(IF(K1850&lt;J1850,K1850,0),4)</f>
        <v>0</v>
      </c>
      <c r="M1850" s="67">
        <f>ROUND(IF(J1850&gt;K1850,0,J1850),4)</f>
        <v>0</v>
      </c>
      <c r="N1850" s="67">
        <f>ROUND(+L1850*D1850,4)</f>
        <v>0</v>
      </c>
      <c r="O1850" s="67">
        <f>ROUND(IF(F1850="rame",0,+I1850*3%),4)</f>
        <v>0</v>
      </c>
      <c r="P1850" s="67">
        <f>ROUND(IF(O1850&lt;J1850,O1850,0),4)</f>
        <v>0</v>
      </c>
      <c r="Q1850" s="67">
        <f>ROUND(IF(J1850&gt;O1850,0,J1850),4)</f>
        <v>0</v>
      </c>
      <c r="R1850" s="67">
        <f>ROUND(+P1850*D1850,4)</f>
        <v>0</v>
      </c>
      <c r="S1850" s="67">
        <f>ROUND(IF(K1850=0,0,M1850*D1850),4)</f>
        <v>0</v>
      </c>
      <c r="T1850" s="67">
        <f>ROUND(+IF(K1850=0,Q1850*D1850,0),4)</f>
        <v>0</v>
      </c>
      <c r="U1850" s="67">
        <f>ROUND(+N1850+R1850+S1850+T1850,4)</f>
        <v>0</v>
      </c>
      <c r="V1850" s="67">
        <f>ROUND(IF(P1850=0,0,I1850-H1850-O1850)+IF(L1850=0,0,I1850-H1850-K1850),4)</f>
        <v>0</v>
      </c>
      <c r="W1850" s="67">
        <f>ROUND(+(V1850*60%)*D1850,4)</f>
        <v>0</v>
      </c>
      <c r="X1850" s="148">
        <f>ROUND(+U1850+W1850,4)</f>
        <v>0</v>
      </c>
      <c r="Y1850" s="68"/>
      <c r="Z1850" s="148">
        <f>ROUND(IF(X1850&gt;I1850,X1850,I1850),4)</f>
        <v>0</v>
      </c>
      <c r="AD1850" s="78">
        <f t="shared" si="34"/>
        <v>0</v>
      </c>
      <c r="AE1850" s="78">
        <f t="shared" si="35"/>
        <v>0</v>
      </c>
    </row>
    <row r="1851" spans="1:31" x14ac:dyDescent="0.2">
      <c r="A1851" s="66"/>
      <c r="B1851" s="66"/>
      <c r="C1851" s="66"/>
      <c r="D1851" s="144"/>
      <c r="E1851" s="67"/>
      <c r="F1851" s="67"/>
      <c r="G1851" s="67"/>
      <c r="H1851" s="67">
        <f>ROUND(+E1851+G1851,4)</f>
        <v>0</v>
      </c>
      <c r="I1851" s="67"/>
      <c r="J1851" s="67">
        <f>ROUND(+I1851-H1851,4)</f>
        <v>0</v>
      </c>
      <c r="K1851" s="67">
        <f>ROUND(IF(F1851="alluminio",0,I1851*1.5%),4)</f>
        <v>0</v>
      </c>
      <c r="L1851" s="67">
        <f>ROUND(IF(K1851&lt;J1851,K1851,0),4)</f>
        <v>0</v>
      </c>
      <c r="M1851" s="67">
        <f>ROUND(IF(J1851&gt;K1851,0,J1851),4)</f>
        <v>0</v>
      </c>
      <c r="N1851" s="67">
        <f>ROUND(+L1851*D1851,4)</f>
        <v>0</v>
      </c>
      <c r="O1851" s="67">
        <f>ROUND(IF(F1851="rame",0,+I1851*3%),4)</f>
        <v>0</v>
      </c>
      <c r="P1851" s="67">
        <f>ROUND(IF(O1851&lt;J1851,O1851,0),4)</f>
        <v>0</v>
      </c>
      <c r="Q1851" s="67">
        <f>ROUND(IF(J1851&gt;O1851,0,J1851),4)</f>
        <v>0</v>
      </c>
      <c r="R1851" s="67">
        <f>ROUND(+P1851*D1851,4)</f>
        <v>0</v>
      </c>
      <c r="S1851" s="67">
        <f>ROUND(IF(K1851=0,0,M1851*D1851),4)</f>
        <v>0</v>
      </c>
      <c r="T1851" s="67">
        <f>ROUND(+IF(K1851=0,Q1851*D1851,0),4)</f>
        <v>0</v>
      </c>
      <c r="U1851" s="67">
        <f>ROUND(+N1851+R1851+S1851+T1851,4)</f>
        <v>0</v>
      </c>
      <c r="V1851" s="67">
        <f>ROUND(IF(P1851=0,0,I1851-H1851-O1851)+IF(L1851=0,0,I1851-H1851-K1851),4)</f>
        <v>0</v>
      </c>
      <c r="W1851" s="67">
        <f>ROUND(+(V1851*60%)*D1851,4)</f>
        <v>0</v>
      </c>
      <c r="X1851" s="148">
        <f>ROUND(+U1851+W1851,4)</f>
        <v>0</v>
      </c>
      <c r="Y1851" s="68"/>
      <c r="Z1851" s="148">
        <f>ROUND(IF(X1851&gt;I1851,X1851,I1851),4)</f>
        <v>0</v>
      </c>
      <c r="AD1851" s="78">
        <f t="shared" si="34"/>
        <v>0</v>
      </c>
      <c r="AE1851" s="78">
        <f t="shared" si="35"/>
        <v>0</v>
      </c>
    </row>
    <row r="1852" spans="1:31" x14ac:dyDescent="0.2">
      <c r="A1852" s="66"/>
      <c r="B1852" s="66"/>
      <c r="C1852" s="66"/>
      <c r="D1852" s="144"/>
      <c r="E1852" s="67"/>
      <c r="F1852" s="67"/>
      <c r="G1852" s="67"/>
      <c r="H1852" s="67">
        <f>ROUND(+E1852+G1852,4)</f>
        <v>0</v>
      </c>
      <c r="I1852" s="67"/>
      <c r="J1852" s="67">
        <f>ROUND(+I1852-H1852,4)</f>
        <v>0</v>
      </c>
      <c r="K1852" s="67">
        <f>ROUND(IF(F1852="alluminio",0,I1852*1.5%),4)</f>
        <v>0</v>
      </c>
      <c r="L1852" s="67">
        <f>ROUND(IF(K1852&lt;J1852,K1852,0),4)</f>
        <v>0</v>
      </c>
      <c r="M1852" s="67">
        <f>ROUND(IF(J1852&gt;K1852,0,J1852),4)</f>
        <v>0</v>
      </c>
      <c r="N1852" s="67">
        <f>ROUND(+L1852*D1852,4)</f>
        <v>0</v>
      </c>
      <c r="O1852" s="67">
        <f>ROUND(IF(F1852="rame",0,+I1852*3%),4)</f>
        <v>0</v>
      </c>
      <c r="P1852" s="67">
        <f>ROUND(IF(O1852&lt;J1852,O1852,0),4)</f>
        <v>0</v>
      </c>
      <c r="Q1852" s="67">
        <f>ROUND(IF(J1852&gt;O1852,0,J1852),4)</f>
        <v>0</v>
      </c>
      <c r="R1852" s="67">
        <f>ROUND(+P1852*D1852,4)</f>
        <v>0</v>
      </c>
      <c r="S1852" s="67">
        <f>ROUND(IF(K1852=0,0,M1852*D1852),4)</f>
        <v>0</v>
      </c>
      <c r="T1852" s="67">
        <f>ROUND(+IF(K1852=0,Q1852*D1852,0),4)</f>
        <v>0</v>
      </c>
      <c r="U1852" s="67">
        <f>ROUND(+N1852+R1852+S1852+T1852,4)</f>
        <v>0</v>
      </c>
      <c r="V1852" s="67">
        <f>ROUND(IF(P1852=0,0,I1852-H1852-O1852)+IF(L1852=0,0,I1852-H1852-K1852),4)</f>
        <v>0</v>
      </c>
      <c r="W1852" s="67">
        <f>ROUND(+(V1852*60%)*D1852,4)</f>
        <v>0</v>
      </c>
      <c r="X1852" s="148">
        <f>ROUND(+U1852+W1852,4)</f>
        <v>0</v>
      </c>
      <c r="Y1852" s="68"/>
      <c r="Z1852" s="148">
        <f>ROUND(IF(X1852&gt;I1852,X1852,I1852),4)</f>
        <v>0</v>
      </c>
      <c r="AD1852" s="78">
        <f t="shared" si="34"/>
        <v>0</v>
      </c>
      <c r="AE1852" s="78">
        <f t="shared" si="35"/>
        <v>0</v>
      </c>
    </row>
    <row r="1853" spans="1:31" x14ac:dyDescent="0.2">
      <c r="A1853" s="66"/>
      <c r="B1853" s="66"/>
      <c r="C1853" s="66"/>
      <c r="D1853" s="144"/>
      <c r="E1853" s="67"/>
      <c r="F1853" s="67"/>
      <c r="G1853" s="67"/>
      <c r="H1853" s="67">
        <f>ROUND(+E1853+G1853,4)</f>
        <v>0</v>
      </c>
      <c r="I1853" s="67"/>
      <c r="J1853" s="67">
        <f>ROUND(+I1853-H1853,4)</f>
        <v>0</v>
      </c>
      <c r="K1853" s="67">
        <f>ROUND(IF(F1853="alluminio",0,I1853*1.5%),4)</f>
        <v>0</v>
      </c>
      <c r="L1853" s="67">
        <f>ROUND(IF(K1853&lt;J1853,K1853,0),4)</f>
        <v>0</v>
      </c>
      <c r="M1853" s="67">
        <f>ROUND(IF(J1853&gt;K1853,0,J1853),4)</f>
        <v>0</v>
      </c>
      <c r="N1853" s="67">
        <f>ROUND(+L1853*D1853,4)</f>
        <v>0</v>
      </c>
      <c r="O1853" s="67">
        <f>ROUND(IF(F1853="rame",0,+I1853*3%),4)</f>
        <v>0</v>
      </c>
      <c r="P1853" s="67">
        <f>ROUND(IF(O1853&lt;J1853,O1853,0),4)</f>
        <v>0</v>
      </c>
      <c r="Q1853" s="67">
        <f>ROUND(IF(J1853&gt;O1853,0,J1853),4)</f>
        <v>0</v>
      </c>
      <c r="R1853" s="67">
        <f>ROUND(+P1853*D1853,4)</f>
        <v>0</v>
      </c>
      <c r="S1853" s="67">
        <f>ROUND(IF(K1853=0,0,M1853*D1853),4)</f>
        <v>0</v>
      </c>
      <c r="T1853" s="67">
        <f>ROUND(+IF(K1853=0,Q1853*D1853,0),4)</f>
        <v>0</v>
      </c>
      <c r="U1853" s="67">
        <f>ROUND(+N1853+R1853+S1853+T1853,4)</f>
        <v>0</v>
      </c>
      <c r="V1853" s="67">
        <f>ROUND(IF(P1853=0,0,I1853-H1853-O1853)+IF(L1853=0,0,I1853-H1853-K1853),4)</f>
        <v>0</v>
      </c>
      <c r="W1853" s="67">
        <f>ROUND(+(V1853*60%)*D1853,4)</f>
        <v>0</v>
      </c>
      <c r="X1853" s="148">
        <f>ROUND(+U1853+W1853,4)</f>
        <v>0</v>
      </c>
      <c r="Y1853" s="68"/>
      <c r="Z1853" s="148">
        <f>ROUND(IF(X1853&gt;I1853,X1853,I1853),4)</f>
        <v>0</v>
      </c>
      <c r="AD1853" s="78">
        <f t="shared" si="34"/>
        <v>0</v>
      </c>
      <c r="AE1853" s="78">
        <f t="shared" si="35"/>
        <v>0</v>
      </c>
    </row>
    <row r="1854" spans="1:31" x14ac:dyDescent="0.2">
      <c r="A1854" s="66"/>
      <c r="B1854" s="66"/>
      <c r="C1854" s="66"/>
      <c r="D1854" s="144"/>
      <c r="E1854" s="67"/>
      <c r="F1854" s="67"/>
      <c r="G1854" s="67"/>
      <c r="H1854" s="67">
        <f>ROUND(+E1854+G1854,4)</f>
        <v>0</v>
      </c>
      <c r="I1854" s="67"/>
      <c r="J1854" s="67">
        <f>ROUND(+I1854-H1854,4)</f>
        <v>0</v>
      </c>
      <c r="K1854" s="67">
        <f>ROUND(IF(F1854="alluminio",0,I1854*1.5%),4)</f>
        <v>0</v>
      </c>
      <c r="L1854" s="67">
        <f>ROUND(IF(K1854&lt;J1854,K1854,0),4)</f>
        <v>0</v>
      </c>
      <c r="M1854" s="67">
        <f>ROUND(IF(J1854&gt;K1854,0,J1854),4)</f>
        <v>0</v>
      </c>
      <c r="N1854" s="67">
        <f>ROUND(+L1854*D1854,4)</f>
        <v>0</v>
      </c>
      <c r="O1854" s="67">
        <f>ROUND(IF(F1854="rame",0,+I1854*3%),4)</f>
        <v>0</v>
      </c>
      <c r="P1854" s="67">
        <f>ROUND(IF(O1854&lt;J1854,O1854,0),4)</f>
        <v>0</v>
      </c>
      <c r="Q1854" s="67">
        <f>ROUND(IF(J1854&gt;O1854,0,J1854),4)</f>
        <v>0</v>
      </c>
      <c r="R1854" s="67">
        <f>ROUND(+P1854*D1854,4)</f>
        <v>0</v>
      </c>
      <c r="S1854" s="67">
        <f>ROUND(IF(K1854=0,0,M1854*D1854),4)</f>
        <v>0</v>
      </c>
      <c r="T1854" s="67">
        <f>ROUND(+IF(K1854=0,Q1854*D1854,0),4)</f>
        <v>0</v>
      </c>
      <c r="U1854" s="67">
        <f>ROUND(+N1854+R1854+S1854+T1854,4)</f>
        <v>0</v>
      </c>
      <c r="V1854" s="67">
        <f>ROUND(IF(P1854=0,0,I1854-H1854-O1854)+IF(L1854=0,0,I1854-H1854-K1854),4)</f>
        <v>0</v>
      </c>
      <c r="W1854" s="67">
        <f>ROUND(+(V1854*60%)*D1854,4)</f>
        <v>0</v>
      </c>
      <c r="X1854" s="148">
        <f>ROUND(+U1854+W1854,4)</f>
        <v>0</v>
      </c>
      <c r="Y1854" s="68"/>
      <c r="Z1854" s="148">
        <f>ROUND(IF(X1854&gt;I1854,X1854,I1854),4)</f>
        <v>0</v>
      </c>
      <c r="AD1854" s="78">
        <f t="shared" ref="AD1854:AD1917" si="36">IF(Y1854="",0,MONTH(Y1854))</f>
        <v>0</v>
      </c>
      <c r="AE1854" s="78">
        <f t="shared" ref="AE1854:AE1917" si="37">IF(Y1854="",0,YEAR(Y1854))</f>
        <v>0</v>
      </c>
    </row>
    <row r="1855" spans="1:31" x14ac:dyDescent="0.2">
      <c r="A1855" s="66"/>
      <c r="B1855" s="66"/>
      <c r="C1855" s="66"/>
      <c r="D1855" s="144"/>
      <c r="E1855" s="67"/>
      <c r="F1855" s="67"/>
      <c r="G1855" s="67"/>
      <c r="H1855" s="67">
        <f>ROUND(+E1855+G1855,4)</f>
        <v>0</v>
      </c>
      <c r="I1855" s="67"/>
      <c r="J1855" s="67">
        <f>ROUND(+I1855-H1855,4)</f>
        <v>0</v>
      </c>
      <c r="K1855" s="67">
        <f>ROUND(IF(F1855="alluminio",0,I1855*1.5%),4)</f>
        <v>0</v>
      </c>
      <c r="L1855" s="67">
        <f>ROUND(IF(K1855&lt;J1855,K1855,0),4)</f>
        <v>0</v>
      </c>
      <c r="M1855" s="67">
        <f>ROUND(IF(J1855&gt;K1855,0,J1855),4)</f>
        <v>0</v>
      </c>
      <c r="N1855" s="67">
        <f>ROUND(+L1855*D1855,4)</f>
        <v>0</v>
      </c>
      <c r="O1855" s="67">
        <f>ROUND(IF(F1855="rame",0,+I1855*3%),4)</f>
        <v>0</v>
      </c>
      <c r="P1855" s="67">
        <f>ROUND(IF(O1855&lt;J1855,O1855,0),4)</f>
        <v>0</v>
      </c>
      <c r="Q1855" s="67">
        <f>ROUND(IF(J1855&gt;O1855,0,J1855),4)</f>
        <v>0</v>
      </c>
      <c r="R1855" s="67">
        <f>ROUND(+P1855*D1855,4)</f>
        <v>0</v>
      </c>
      <c r="S1855" s="67">
        <f>ROUND(IF(K1855=0,0,M1855*D1855),4)</f>
        <v>0</v>
      </c>
      <c r="T1855" s="67">
        <f>ROUND(+IF(K1855=0,Q1855*D1855,0),4)</f>
        <v>0</v>
      </c>
      <c r="U1855" s="67">
        <f>ROUND(+N1855+R1855+S1855+T1855,4)</f>
        <v>0</v>
      </c>
      <c r="V1855" s="67">
        <f>ROUND(IF(P1855=0,0,I1855-H1855-O1855)+IF(L1855=0,0,I1855-H1855-K1855),4)</f>
        <v>0</v>
      </c>
      <c r="W1855" s="67">
        <f>ROUND(+(V1855*60%)*D1855,4)</f>
        <v>0</v>
      </c>
      <c r="X1855" s="148">
        <f>ROUND(+U1855+W1855,4)</f>
        <v>0</v>
      </c>
      <c r="Y1855" s="68"/>
      <c r="Z1855" s="148">
        <f>ROUND(IF(X1855&gt;I1855,X1855,I1855),4)</f>
        <v>0</v>
      </c>
      <c r="AD1855" s="78">
        <f t="shared" si="36"/>
        <v>0</v>
      </c>
      <c r="AE1855" s="78">
        <f t="shared" si="37"/>
        <v>0</v>
      </c>
    </row>
    <row r="1856" spans="1:31" x14ac:dyDescent="0.2">
      <c r="A1856" s="66"/>
      <c r="B1856" s="66"/>
      <c r="C1856" s="66"/>
      <c r="D1856" s="144"/>
      <c r="E1856" s="67"/>
      <c r="F1856" s="67"/>
      <c r="G1856" s="67"/>
      <c r="H1856" s="67">
        <f>ROUND(+E1856+G1856,4)</f>
        <v>0</v>
      </c>
      <c r="I1856" s="67"/>
      <c r="J1856" s="67">
        <f>ROUND(+I1856-H1856,4)</f>
        <v>0</v>
      </c>
      <c r="K1856" s="67">
        <f>ROUND(IF(F1856="alluminio",0,I1856*1.5%),4)</f>
        <v>0</v>
      </c>
      <c r="L1856" s="67">
        <f>ROUND(IF(K1856&lt;J1856,K1856,0),4)</f>
        <v>0</v>
      </c>
      <c r="M1856" s="67">
        <f>ROUND(IF(J1856&gt;K1856,0,J1856),4)</f>
        <v>0</v>
      </c>
      <c r="N1856" s="67">
        <f>ROUND(+L1856*D1856,4)</f>
        <v>0</v>
      </c>
      <c r="O1856" s="67">
        <f>ROUND(IF(F1856="rame",0,+I1856*3%),4)</f>
        <v>0</v>
      </c>
      <c r="P1856" s="67">
        <f>ROUND(IF(O1856&lt;J1856,O1856,0),4)</f>
        <v>0</v>
      </c>
      <c r="Q1856" s="67">
        <f>ROUND(IF(J1856&gt;O1856,0,J1856),4)</f>
        <v>0</v>
      </c>
      <c r="R1856" s="67">
        <f>ROUND(+P1856*D1856,4)</f>
        <v>0</v>
      </c>
      <c r="S1856" s="67">
        <f>ROUND(IF(K1856=0,0,M1856*D1856),4)</f>
        <v>0</v>
      </c>
      <c r="T1856" s="67">
        <f>ROUND(+IF(K1856=0,Q1856*D1856,0),4)</f>
        <v>0</v>
      </c>
      <c r="U1856" s="67">
        <f>ROUND(+N1856+R1856+S1856+T1856,4)</f>
        <v>0</v>
      </c>
      <c r="V1856" s="67">
        <f>ROUND(IF(P1856=0,0,I1856-H1856-O1856)+IF(L1856=0,0,I1856-H1856-K1856),4)</f>
        <v>0</v>
      </c>
      <c r="W1856" s="67">
        <f>ROUND(+(V1856*60%)*D1856,4)</f>
        <v>0</v>
      </c>
      <c r="X1856" s="148">
        <f>ROUND(+U1856+W1856,4)</f>
        <v>0</v>
      </c>
      <c r="Y1856" s="68"/>
      <c r="Z1856" s="148">
        <f>ROUND(IF(X1856&gt;I1856,X1856,I1856),4)</f>
        <v>0</v>
      </c>
      <c r="AD1856" s="78">
        <f t="shared" si="36"/>
        <v>0</v>
      </c>
      <c r="AE1856" s="78">
        <f t="shared" si="37"/>
        <v>0</v>
      </c>
    </row>
    <row r="1857" spans="1:31" x14ac:dyDescent="0.2">
      <c r="A1857" s="66"/>
      <c r="B1857" s="66"/>
      <c r="C1857" s="66"/>
      <c r="D1857" s="144"/>
      <c r="E1857" s="67"/>
      <c r="F1857" s="67"/>
      <c r="G1857" s="67"/>
      <c r="H1857" s="67">
        <f>ROUND(+E1857+G1857,4)</f>
        <v>0</v>
      </c>
      <c r="I1857" s="67"/>
      <c r="J1857" s="67">
        <f>ROUND(+I1857-H1857,4)</f>
        <v>0</v>
      </c>
      <c r="K1857" s="67">
        <f>ROUND(IF(F1857="alluminio",0,I1857*1.5%),4)</f>
        <v>0</v>
      </c>
      <c r="L1857" s="67">
        <f>ROUND(IF(K1857&lt;J1857,K1857,0),4)</f>
        <v>0</v>
      </c>
      <c r="M1857" s="67">
        <f>ROUND(IF(J1857&gt;K1857,0,J1857),4)</f>
        <v>0</v>
      </c>
      <c r="N1857" s="67">
        <f>ROUND(+L1857*D1857,4)</f>
        <v>0</v>
      </c>
      <c r="O1857" s="67">
        <f>ROUND(IF(F1857="rame",0,+I1857*3%),4)</f>
        <v>0</v>
      </c>
      <c r="P1857" s="67">
        <f>ROUND(IF(O1857&lt;J1857,O1857,0),4)</f>
        <v>0</v>
      </c>
      <c r="Q1857" s="67">
        <f>ROUND(IF(J1857&gt;O1857,0,J1857),4)</f>
        <v>0</v>
      </c>
      <c r="R1857" s="67">
        <f>ROUND(+P1857*D1857,4)</f>
        <v>0</v>
      </c>
      <c r="S1857" s="67">
        <f>ROUND(IF(K1857=0,0,M1857*D1857),4)</f>
        <v>0</v>
      </c>
      <c r="T1857" s="67">
        <f>ROUND(+IF(K1857=0,Q1857*D1857,0),4)</f>
        <v>0</v>
      </c>
      <c r="U1857" s="67">
        <f>ROUND(+N1857+R1857+S1857+T1857,4)</f>
        <v>0</v>
      </c>
      <c r="V1857" s="67">
        <f>ROUND(IF(P1857=0,0,I1857-H1857-O1857)+IF(L1857=0,0,I1857-H1857-K1857),4)</f>
        <v>0</v>
      </c>
      <c r="W1857" s="67">
        <f>ROUND(+(V1857*60%)*D1857,4)</f>
        <v>0</v>
      </c>
      <c r="X1857" s="148">
        <f>ROUND(+U1857+W1857,4)</f>
        <v>0</v>
      </c>
      <c r="Y1857" s="68"/>
      <c r="Z1857" s="148">
        <f>ROUND(IF(X1857&gt;I1857,X1857,I1857),4)</f>
        <v>0</v>
      </c>
      <c r="AD1857" s="78">
        <f t="shared" si="36"/>
        <v>0</v>
      </c>
      <c r="AE1857" s="78">
        <f t="shared" si="37"/>
        <v>0</v>
      </c>
    </row>
    <row r="1858" spans="1:31" x14ac:dyDescent="0.2">
      <c r="A1858" s="66"/>
      <c r="B1858" s="66"/>
      <c r="C1858" s="66"/>
      <c r="D1858" s="144"/>
      <c r="E1858" s="67"/>
      <c r="F1858" s="67"/>
      <c r="G1858" s="67"/>
      <c r="H1858" s="67">
        <f>ROUND(+E1858+G1858,4)</f>
        <v>0</v>
      </c>
      <c r="I1858" s="67"/>
      <c r="J1858" s="67">
        <f>ROUND(+I1858-H1858,4)</f>
        <v>0</v>
      </c>
      <c r="K1858" s="67">
        <f>ROUND(IF(F1858="alluminio",0,I1858*1.5%),4)</f>
        <v>0</v>
      </c>
      <c r="L1858" s="67">
        <f>ROUND(IF(K1858&lt;J1858,K1858,0),4)</f>
        <v>0</v>
      </c>
      <c r="M1858" s="67">
        <f>ROUND(IF(J1858&gt;K1858,0,J1858),4)</f>
        <v>0</v>
      </c>
      <c r="N1858" s="67">
        <f>ROUND(+L1858*D1858,4)</f>
        <v>0</v>
      </c>
      <c r="O1858" s="67">
        <f>ROUND(IF(F1858="rame",0,+I1858*3%),4)</f>
        <v>0</v>
      </c>
      <c r="P1858" s="67">
        <f>ROUND(IF(O1858&lt;J1858,O1858,0),4)</f>
        <v>0</v>
      </c>
      <c r="Q1858" s="67">
        <f>ROUND(IF(J1858&gt;O1858,0,J1858),4)</f>
        <v>0</v>
      </c>
      <c r="R1858" s="67">
        <f>ROUND(+P1858*D1858,4)</f>
        <v>0</v>
      </c>
      <c r="S1858" s="67">
        <f>ROUND(IF(K1858=0,0,M1858*D1858),4)</f>
        <v>0</v>
      </c>
      <c r="T1858" s="67">
        <f>ROUND(+IF(K1858=0,Q1858*D1858,0),4)</f>
        <v>0</v>
      </c>
      <c r="U1858" s="67">
        <f>ROUND(+N1858+R1858+S1858+T1858,4)</f>
        <v>0</v>
      </c>
      <c r="V1858" s="67">
        <f>ROUND(IF(P1858=0,0,I1858-H1858-O1858)+IF(L1858=0,0,I1858-H1858-K1858),4)</f>
        <v>0</v>
      </c>
      <c r="W1858" s="67">
        <f>ROUND(+(V1858*60%)*D1858,4)</f>
        <v>0</v>
      </c>
      <c r="X1858" s="148">
        <f>ROUND(+U1858+W1858,4)</f>
        <v>0</v>
      </c>
      <c r="Y1858" s="68"/>
      <c r="Z1858" s="148">
        <f>ROUND(IF(X1858&gt;I1858,X1858,I1858),4)</f>
        <v>0</v>
      </c>
      <c r="AD1858" s="78">
        <f t="shared" si="36"/>
        <v>0</v>
      </c>
      <c r="AE1858" s="78">
        <f t="shared" si="37"/>
        <v>0</v>
      </c>
    </row>
    <row r="1859" spans="1:31" x14ac:dyDescent="0.2">
      <c r="A1859" s="66"/>
      <c r="B1859" s="66"/>
      <c r="C1859" s="66"/>
      <c r="D1859" s="144"/>
      <c r="E1859" s="67"/>
      <c r="F1859" s="67"/>
      <c r="G1859" s="67"/>
      <c r="H1859" s="67">
        <f>ROUND(+E1859+G1859,4)</f>
        <v>0</v>
      </c>
      <c r="I1859" s="67"/>
      <c r="J1859" s="67">
        <f>ROUND(+I1859-H1859,4)</f>
        <v>0</v>
      </c>
      <c r="K1859" s="67">
        <f>ROUND(IF(F1859="alluminio",0,I1859*1.5%),4)</f>
        <v>0</v>
      </c>
      <c r="L1859" s="67">
        <f>ROUND(IF(K1859&lt;J1859,K1859,0),4)</f>
        <v>0</v>
      </c>
      <c r="M1859" s="67">
        <f>ROUND(IF(J1859&gt;K1859,0,J1859),4)</f>
        <v>0</v>
      </c>
      <c r="N1859" s="67">
        <f>ROUND(+L1859*D1859,4)</f>
        <v>0</v>
      </c>
      <c r="O1859" s="67">
        <f>ROUND(IF(F1859="rame",0,+I1859*3%),4)</f>
        <v>0</v>
      </c>
      <c r="P1859" s="67">
        <f>ROUND(IF(O1859&lt;J1859,O1859,0),4)</f>
        <v>0</v>
      </c>
      <c r="Q1859" s="67">
        <f>ROUND(IF(J1859&gt;O1859,0,J1859),4)</f>
        <v>0</v>
      </c>
      <c r="R1859" s="67">
        <f>ROUND(+P1859*D1859,4)</f>
        <v>0</v>
      </c>
      <c r="S1859" s="67">
        <f>ROUND(IF(K1859=0,0,M1859*D1859),4)</f>
        <v>0</v>
      </c>
      <c r="T1859" s="67">
        <f>ROUND(+IF(K1859=0,Q1859*D1859,0),4)</f>
        <v>0</v>
      </c>
      <c r="U1859" s="67">
        <f>ROUND(+N1859+R1859+S1859+T1859,4)</f>
        <v>0</v>
      </c>
      <c r="V1859" s="67">
        <f>ROUND(IF(P1859=0,0,I1859-H1859-O1859)+IF(L1859=0,0,I1859-H1859-K1859),4)</f>
        <v>0</v>
      </c>
      <c r="W1859" s="67">
        <f>ROUND(+(V1859*60%)*D1859,4)</f>
        <v>0</v>
      </c>
      <c r="X1859" s="148">
        <f>ROUND(+U1859+W1859,4)</f>
        <v>0</v>
      </c>
      <c r="Y1859" s="68"/>
      <c r="Z1859" s="148">
        <f>ROUND(IF(X1859&gt;I1859,X1859,I1859),4)</f>
        <v>0</v>
      </c>
      <c r="AD1859" s="78">
        <f t="shared" si="36"/>
        <v>0</v>
      </c>
      <c r="AE1859" s="78">
        <f t="shared" si="37"/>
        <v>0</v>
      </c>
    </row>
    <row r="1860" spans="1:31" x14ac:dyDescent="0.2">
      <c r="A1860" s="66"/>
      <c r="B1860" s="66"/>
      <c r="C1860" s="66"/>
      <c r="D1860" s="144"/>
      <c r="E1860" s="67"/>
      <c r="F1860" s="67"/>
      <c r="G1860" s="67"/>
      <c r="H1860" s="67">
        <f>ROUND(+E1860+G1860,4)</f>
        <v>0</v>
      </c>
      <c r="I1860" s="67"/>
      <c r="J1860" s="67">
        <f>ROUND(+I1860-H1860,4)</f>
        <v>0</v>
      </c>
      <c r="K1860" s="67">
        <f>ROUND(IF(F1860="alluminio",0,I1860*1.5%),4)</f>
        <v>0</v>
      </c>
      <c r="L1860" s="67">
        <f>ROUND(IF(K1860&lt;J1860,K1860,0),4)</f>
        <v>0</v>
      </c>
      <c r="M1860" s="67">
        <f>ROUND(IF(J1860&gt;K1860,0,J1860),4)</f>
        <v>0</v>
      </c>
      <c r="N1860" s="67">
        <f>ROUND(+L1860*D1860,4)</f>
        <v>0</v>
      </c>
      <c r="O1860" s="67">
        <f>ROUND(IF(F1860="rame",0,+I1860*3%),4)</f>
        <v>0</v>
      </c>
      <c r="P1860" s="67">
        <f>ROUND(IF(O1860&lt;J1860,O1860,0),4)</f>
        <v>0</v>
      </c>
      <c r="Q1860" s="67">
        <f>ROUND(IF(J1860&gt;O1860,0,J1860),4)</f>
        <v>0</v>
      </c>
      <c r="R1860" s="67">
        <f>ROUND(+P1860*D1860,4)</f>
        <v>0</v>
      </c>
      <c r="S1860" s="67">
        <f>ROUND(IF(K1860=0,0,M1860*D1860),4)</f>
        <v>0</v>
      </c>
      <c r="T1860" s="67">
        <f>ROUND(+IF(K1860=0,Q1860*D1860,0),4)</f>
        <v>0</v>
      </c>
      <c r="U1860" s="67">
        <f>ROUND(+N1860+R1860+S1860+T1860,4)</f>
        <v>0</v>
      </c>
      <c r="V1860" s="67">
        <f>ROUND(IF(P1860=0,0,I1860-H1860-O1860)+IF(L1860=0,0,I1860-H1860-K1860),4)</f>
        <v>0</v>
      </c>
      <c r="W1860" s="67">
        <f>ROUND(+(V1860*60%)*D1860,4)</f>
        <v>0</v>
      </c>
      <c r="X1860" s="148">
        <f>ROUND(+U1860+W1860,4)</f>
        <v>0</v>
      </c>
      <c r="Y1860" s="68"/>
      <c r="Z1860" s="148">
        <f>ROUND(IF(X1860&gt;I1860,X1860,I1860),4)</f>
        <v>0</v>
      </c>
      <c r="AD1860" s="78">
        <f t="shared" si="36"/>
        <v>0</v>
      </c>
      <c r="AE1860" s="78">
        <f t="shared" si="37"/>
        <v>0</v>
      </c>
    </row>
    <row r="1861" spans="1:31" x14ac:dyDescent="0.2">
      <c r="A1861" s="66"/>
      <c r="B1861" s="66"/>
      <c r="C1861" s="66"/>
      <c r="D1861" s="144"/>
      <c r="E1861" s="67"/>
      <c r="F1861" s="67"/>
      <c r="G1861" s="67"/>
      <c r="H1861" s="67">
        <f>ROUND(+E1861+G1861,4)</f>
        <v>0</v>
      </c>
      <c r="I1861" s="67"/>
      <c r="J1861" s="67">
        <f>ROUND(+I1861-H1861,4)</f>
        <v>0</v>
      </c>
      <c r="K1861" s="67">
        <f>ROUND(IF(F1861="alluminio",0,I1861*1.5%),4)</f>
        <v>0</v>
      </c>
      <c r="L1861" s="67">
        <f>ROUND(IF(K1861&lt;J1861,K1861,0),4)</f>
        <v>0</v>
      </c>
      <c r="M1861" s="67">
        <f>ROUND(IF(J1861&gt;K1861,0,J1861),4)</f>
        <v>0</v>
      </c>
      <c r="N1861" s="67">
        <f>ROUND(+L1861*D1861,4)</f>
        <v>0</v>
      </c>
      <c r="O1861" s="67">
        <f>ROUND(IF(F1861="rame",0,+I1861*3%),4)</f>
        <v>0</v>
      </c>
      <c r="P1861" s="67">
        <f>ROUND(IF(O1861&lt;J1861,O1861,0),4)</f>
        <v>0</v>
      </c>
      <c r="Q1861" s="67">
        <f>ROUND(IF(J1861&gt;O1861,0,J1861),4)</f>
        <v>0</v>
      </c>
      <c r="R1861" s="67">
        <f>ROUND(+P1861*D1861,4)</f>
        <v>0</v>
      </c>
      <c r="S1861" s="67">
        <f>ROUND(IF(K1861=0,0,M1861*D1861),4)</f>
        <v>0</v>
      </c>
      <c r="T1861" s="67">
        <f>ROUND(+IF(K1861=0,Q1861*D1861,0),4)</f>
        <v>0</v>
      </c>
      <c r="U1861" s="67">
        <f>ROUND(+N1861+R1861+S1861+T1861,4)</f>
        <v>0</v>
      </c>
      <c r="V1861" s="67">
        <f>ROUND(IF(P1861=0,0,I1861-H1861-O1861)+IF(L1861=0,0,I1861-H1861-K1861),4)</f>
        <v>0</v>
      </c>
      <c r="W1861" s="67">
        <f>ROUND(+(V1861*60%)*D1861,4)</f>
        <v>0</v>
      </c>
      <c r="X1861" s="148">
        <f>ROUND(+U1861+W1861,4)</f>
        <v>0</v>
      </c>
      <c r="Y1861" s="68"/>
      <c r="Z1861" s="148">
        <f>ROUND(IF(X1861&gt;I1861,X1861,I1861),4)</f>
        <v>0</v>
      </c>
      <c r="AD1861" s="78">
        <f t="shared" si="36"/>
        <v>0</v>
      </c>
      <c r="AE1861" s="78">
        <f t="shared" si="37"/>
        <v>0</v>
      </c>
    </row>
    <row r="1862" spans="1:31" x14ac:dyDescent="0.2">
      <c r="A1862" s="66"/>
      <c r="B1862" s="66"/>
      <c r="C1862" s="66"/>
      <c r="D1862" s="144"/>
      <c r="E1862" s="67"/>
      <c r="F1862" s="67"/>
      <c r="G1862" s="67"/>
      <c r="H1862" s="67">
        <f>ROUND(+E1862+G1862,4)</f>
        <v>0</v>
      </c>
      <c r="I1862" s="67"/>
      <c r="J1862" s="67">
        <f>ROUND(+I1862-H1862,4)</f>
        <v>0</v>
      </c>
      <c r="K1862" s="67">
        <f>ROUND(IF(F1862="alluminio",0,I1862*1.5%),4)</f>
        <v>0</v>
      </c>
      <c r="L1862" s="67">
        <f>ROUND(IF(K1862&lt;J1862,K1862,0),4)</f>
        <v>0</v>
      </c>
      <c r="M1862" s="67">
        <f>ROUND(IF(J1862&gt;K1862,0,J1862),4)</f>
        <v>0</v>
      </c>
      <c r="N1862" s="67">
        <f>ROUND(+L1862*D1862,4)</f>
        <v>0</v>
      </c>
      <c r="O1862" s="67">
        <f>ROUND(IF(F1862="rame",0,+I1862*3%),4)</f>
        <v>0</v>
      </c>
      <c r="P1862" s="67">
        <f>ROUND(IF(O1862&lt;J1862,O1862,0),4)</f>
        <v>0</v>
      </c>
      <c r="Q1862" s="67">
        <f>ROUND(IF(J1862&gt;O1862,0,J1862),4)</f>
        <v>0</v>
      </c>
      <c r="R1862" s="67">
        <f>ROUND(+P1862*D1862,4)</f>
        <v>0</v>
      </c>
      <c r="S1862" s="67">
        <f>ROUND(IF(K1862=0,0,M1862*D1862),4)</f>
        <v>0</v>
      </c>
      <c r="T1862" s="67">
        <f>ROUND(+IF(K1862=0,Q1862*D1862,0),4)</f>
        <v>0</v>
      </c>
      <c r="U1862" s="67">
        <f>ROUND(+N1862+R1862+S1862+T1862,4)</f>
        <v>0</v>
      </c>
      <c r="V1862" s="67">
        <f>ROUND(IF(P1862=0,0,I1862-H1862-O1862)+IF(L1862=0,0,I1862-H1862-K1862),4)</f>
        <v>0</v>
      </c>
      <c r="W1862" s="67">
        <f>ROUND(+(V1862*60%)*D1862,4)</f>
        <v>0</v>
      </c>
      <c r="X1862" s="148">
        <f>ROUND(+U1862+W1862,4)</f>
        <v>0</v>
      </c>
      <c r="Y1862" s="68"/>
      <c r="Z1862" s="148">
        <f>ROUND(IF(X1862&gt;I1862,X1862,I1862),4)</f>
        <v>0</v>
      </c>
      <c r="AD1862" s="78">
        <f t="shared" si="36"/>
        <v>0</v>
      </c>
      <c r="AE1862" s="78">
        <f t="shared" si="37"/>
        <v>0</v>
      </c>
    </row>
    <row r="1863" spans="1:31" x14ac:dyDescent="0.2">
      <c r="A1863" s="66"/>
      <c r="B1863" s="66"/>
      <c r="C1863" s="66"/>
      <c r="D1863" s="144"/>
      <c r="E1863" s="67"/>
      <c r="F1863" s="67"/>
      <c r="G1863" s="67"/>
      <c r="H1863" s="67">
        <f>ROUND(+E1863+G1863,4)</f>
        <v>0</v>
      </c>
      <c r="I1863" s="67"/>
      <c r="J1863" s="67">
        <f>ROUND(+I1863-H1863,4)</f>
        <v>0</v>
      </c>
      <c r="K1863" s="67">
        <f>ROUND(IF(F1863="alluminio",0,I1863*1.5%),4)</f>
        <v>0</v>
      </c>
      <c r="L1863" s="67">
        <f>ROUND(IF(K1863&lt;J1863,K1863,0),4)</f>
        <v>0</v>
      </c>
      <c r="M1863" s="67">
        <f>ROUND(IF(J1863&gt;K1863,0,J1863),4)</f>
        <v>0</v>
      </c>
      <c r="N1863" s="67">
        <f>ROUND(+L1863*D1863,4)</f>
        <v>0</v>
      </c>
      <c r="O1863" s="67">
        <f>ROUND(IF(F1863="rame",0,+I1863*3%),4)</f>
        <v>0</v>
      </c>
      <c r="P1863" s="67">
        <f>ROUND(IF(O1863&lt;J1863,O1863,0),4)</f>
        <v>0</v>
      </c>
      <c r="Q1863" s="67">
        <f>ROUND(IF(J1863&gt;O1863,0,J1863),4)</f>
        <v>0</v>
      </c>
      <c r="R1863" s="67">
        <f>ROUND(+P1863*D1863,4)</f>
        <v>0</v>
      </c>
      <c r="S1863" s="67">
        <f>ROUND(IF(K1863=0,0,M1863*D1863),4)</f>
        <v>0</v>
      </c>
      <c r="T1863" s="67">
        <f>ROUND(+IF(K1863=0,Q1863*D1863,0),4)</f>
        <v>0</v>
      </c>
      <c r="U1863" s="67">
        <f>ROUND(+N1863+R1863+S1863+T1863,4)</f>
        <v>0</v>
      </c>
      <c r="V1863" s="67">
        <f>ROUND(IF(P1863=0,0,I1863-H1863-O1863)+IF(L1863=0,0,I1863-H1863-K1863),4)</f>
        <v>0</v>
      </c>
      <c r="W1863" s="67">
        <f>ROUND(+(V1863*60%)*D1863,4)</f>
        <v>0</v>
      </c>
      <c r="X1863" s="148">
        <f>ROUND(+U1863+W1863,4)</f>
        <v>0</v>
      </c>
      <c r="Y1863" s="68"/>
      <c r="Z1863" s="148">
        <f>ROUND(IF(X1863&gt;I1863,X1863,I1863),4)</f>
        <v>0</v>
      </c>
      <c r="AD1863" s="78">
        <f t="shared" si="36"/>
        <v>0</v>
      </c>
      <c r="AE1863" s="78">
        <f t="shared" si="37"/>
        <v>0</v>
      </c>
    </row>
    <row r="1864" spans="1:31" x14ac:dyDescent="0.2">
      <c r="A1864" s="66"/>
      <c r="B1864" s="66"/>
      <c r="C1864" s="66"/>
      <c r="D1864" s="144"/>
      <c r="E1864" s="67"/>
      <c r="F1864" s="67"/>
      <c r="G1864" s="67"/>
      <c r="H1864" s="67">
        <f>ROUND(+E1864+G1864,4)</f>
        <v>0</v>
      </c>
      <c r="I1864" s="67"/>
      <c r="J1864" s="67">
        <f>ROUND(+I1864-H1864,4)</f>
        <v>0</v>
      </c>
      <c r="K1864" s="67">
        <f>ROUND(IF(F1864="alluminio",0,I1864*1.5%),4)</f>
        <v>0</v>
      </c>
      <c r="L1864" s="67">
        <f>ROUND(IF(K1864&lt;J1864,K1864,0),4)</f>
        <v>0</v>
      </c>
      <c r="M1864" s="67">
        <f>ROUND(IF(J1864&gt;K1864,0,J1864),4)</f>
        <v>0</v>
      </c>
      <c r="N1864" s="67">
        <f>ROUND(+L1864*D1864,4)</f>
        <v>0</v>
      </c>
      <c r="O1864" s="67">
        <f>ROUND(IF(F1864="rame",0,+I1864*3%),4)</f>
        <v>0</v>
      </c>
      <c r="P1864" s="67">
        <f>ROUND(IF(O1864&lt;J1864,O1864,0),4)</f>
        <v>0</v>
      </c>
      <c r="Q1864" s="67">
        <f>ROUND(IF(J1864&gt;O1864,0,J1864),4)</f>
        <v>0</v>
      </c>
      <c r="R1864" s="67">
        <f>ROUND(+P1864*D1864,4)</f>
        <v>0</v>
      </c>
      <c r="S1864" s="67">
        <f>ROUND(IF(K1864=0,0,M1864*D1864),4)</f>
        <v>0</v>
      </c>
      <c r="T1864" s="67">
        <f>ROUND(+IF(K1864=0,Q1864*D1864,0),4)</f>
        <v>0</v>
      </c>
      <c r="U1864" s="67">
        <f>ROUND(+N1864+R1864+S1864+T1864,4)</f>
        <v>0</v>
      </c>
      <c r="V1864" s="67">
        <f>ROUND(IF(P1864=0,0,I1864-H1864-O1864)+IF(L1864=0,0,I1864-H1864-K1864),4)</f>
        <v>0</v>
      </c>
      <c r="W1864" s="67">
        <f>ROUND(+(V1864*60%)*D1864,4)</f>
        <v>0</v>
      </c>
      <c r="X1864" s="148">
        <f>ROUND(+U1864+W1864,4)</f>
        <v>0</v>
      </c>
      <c r="Y1864" s="68"/>
      <c r="Z1864" s="148">
        <f>ROUND(IF(X1864&gt;I1864,X1864,I1864),4)</f>
        <v>0</v>
      </c>
      <c r="AD1864" s="78">
        <f t="shared" si="36"/>
        <v>0</v>
      </c>
      <c r="AE1864" s="78">
        <f t="shared" si="37"/>
        <v>0</v>
      </c>
    </row>
    <row r="1865" spans="1:31" x14ac:dyDescent="0.2">
      <c r="A1865" s="66"/>
      <c r="B1865" s="66"/>
      <c r="C1865" s="66"/>
      <c r="D1865" s="144"/>
      <c r="E1865" s="67"/>
      <c r="F1865" s="67"/>
      <c r="G1865" s="67"/>
      <c r="H1865" s="67">
        <f>ROUND(+E1865+G1865,4)</f>
        <v>0</v>
      </c>
      <c r="I1865" s="67"/>
      <c r="J1865" s="67">
        <f>ROUND(+I1865-H1865,4)</f>
        <v>0</v>
      </c>
      <c r="K1865" s="67">
        <f>ROUND(IF(F1865="alluminio",0,I1865*1.5%),4)</f>
        <v>0</v>
      </c>
      <c r="L1865" s="67">
        <f>ROUND(IF(K1865&lt;J1865,K1865,0),4)</f>
        <v>0</v>
      </c>
      <c r="M1865" s="67">
        <f>ROUND(IF(J1865&gt;K1865,0,J1865),4)</f>
        <v>0</v>
      </c>
      <c r="N1865" s="67">
        <f>ROUND(+L1865*D1865,4)</f>
        <v>0</v>
      </c>
      <c r="O1865" s="67">
        <f>ROUND(IF(F1865="rame",0,+I1865*3%),4)</f>
        <v>0</v>
      </c>
      <c r="P1865" s="67">
        <f>ROUND(IF(O1865&lt;J1865,O1865,0),4)</f>
        <v>0</v>
      </c>
      <c r="Q1865" s="67">
        <f>ROUND(IF(J1865&gt;O1865,0,J1865),4)</f>
        <v>0</v>
      </c>
      <c r="R1865" s="67">
        <f>ROUND(+P1865*D1865,4)</f>
        <v>0</v>
      </c>
      <c r="S1865" s="67">
        <f>ROUND(IF(K1865=0,0,M1865*D1865),4)</f>
        <v>0</v>
      </c>
      <c r="T1865" s="67">
        <f>ROUND(+IF(K1865=0,Q1865*D1865,0),4)</f>
        <v>0</v>
      </c>
      <c r="U1865" s="67">
        <f>ROUND(+N1865+R1865+S1865+T1865,4)</f>
        <v>0</v>
      </c>
      <c r="V1865" s="67">
        <f>ROUND(IF(P1865=0,0,I1865-H1865-O1865)+IF(L1865=0,0,I1865-H1865-K1865),4)</f>
        <v>0</v>
      </c>
      <c r="W1865" s="67">
        <f>ROUND(+(V1865*60%)*D1865,4)</f>
        <v>0</v>
      </c>
      <c r="X1865" s="148">
        <f>ROUND(+U1865+W1865,4)</f>
        <v>0</v>
      </c>
      <c r="Y1865" s="68"/>
      <c r="Z1865" s="148">
        <f>ROUND(IF(X1865&gt;I1865,X1865,I1865),4)</f>
        <v>0</v>
      </c>
      <c r="AD1865" s="78">
        <f t="shared" si="36"/>
        <v>0</v>
      </c>
      <c r="AE1865" s="78">
        <f t="shared" si="37"/>
        <v>0</v>
      </c>
    </row>
    <row r="1866" spans="1:31" x14ac:dyDescent="0.2">
      <c r="A1866" s="66"/>
      <c r="B1866" s="66"/>
      <c r="C1866" s="66"/>
      <c r="D1866" s="144"/>
      <c r="E1866" s="67"/>
      <c r="F1866" s="67"/>
      <c r="G1866" s="67"/>
      <c r="H1866" s="67">
        <f>ROUND(+E1866+G1866,4)</f>
        <v>0</v>
      </c>
      <c r="I1866" s="67"/>
      <c r="J1866" s="67">
        <f>ROUND(+I1866-H1866,4)</f>
        <v>0</v>
      </c>
      <c r="K1866" s="67">
        <f>ROUND(IF(F1866="alluminio",0,I1866*1.5%),4)</f>
        <v>0</v>
      </c>
      <c r="L1866" s="67">
        <f>ROUND(IF(K1866&lt;J1866,K1866,0),4)</f>
        <v>0</v>
      </c>
      <c r="M1866" s="67">
        <f>ROUND(IF(J1866&gt;K1866,0,J1866),4)</f>
        <v>0</v>
      </c>
      <c r="N1866" s="67">
        <f>ROUND(+L1866*D1866,4)</f>
        <v>0</v>
      </c>
      <c r="O1866" s="67">
        <f>ROUND(IF(F1866="rame",0,+I1866*3%),4)</f>
        <v>0</v>
      </c>
      <c r="P1866" s="67">
        <f>ROUND(IF(O1866&lt;J1866,O1866,0),4)</f>
        <v>0</v>
      </c>
      <c r="Q1866" s="67">
        <f>ROUND(IF(J1866&gt;O1866,0,J1866),4)</f>
        <v>0</v>
      </c>
      <c r="R1866" s="67">
        <f>ROUND(+P1866*D1866,4)</f>
        <v>0</v>
      </c>
      <c r="S1866" s="67">
        <f>ROUND(IF(K1866=0,0,M1866*D1866),4)</f>
        <v>0</v>
      </c>
      <c r="T1866" s="67">
        <f>ROUND(+IF(K1866=0,Q1866*D1866,0),4)</f>
        <v>0</v>
      </c>
      <c r="U1866" s="67">
        <f>ROUND(+N1866+R1866+S1866+T1866,4)</f>
        <v>0</v>
      </c>
      <c r="V1866" s="67">
        <f>ROUND(IF(P1866=0,0,I1866-H1866-O1866)+IF(L1866=0,0,I1866-H1866-K1866),4)</f>
        <v>0</v>
      </c>
      <c r="W1866" s="67">
        <f>ROUND(+(V1866*60%)*D1866,4)</f>
        <v>0</v>
      </c>
      <c r="X1866" s="148">
        <f>ROUND(+U1866+W1866,4)</f>
        <v>0</v>
      </c>
      <c r="Y1866" s="68"/>
      <c r="Z1866" s="148">
        <f>ROUND(IF(X1866&gt;I1866,X1866,I1866),4)</f>
        <v>0</v>
      </c>
      <c r="AD1866" s="78">
        <f t="shared" si="36"/>
        <v>0</v>
      </c>
      <c r="AE1866" s="78">
        <f t="shared" si="37"/>
        <v>0</v>
      </c>
    </row>
    <row r="1867" spans="1:31" x14ac:dyDescent="0.2">
      <c r="A1867" s="66"/>
      <c r="B1867" s="66"/>
      <c r="C1867" s="66"/>
      <c r="D1867" s="144"/>
      <c r="E1867" s="67"/>
      <c r="F1867" s="67"/>
      <c r="G1867" s="67"/>
      <c r="H1867" s="67">
        <f>ROUND(+E1867+G1867,4)</f>
        <v>0</v>
      </c>
      <c r="I1867" s="67"/>
      <c r="J1867" s="67">
        <f>ROUND(+I1867-H1867,4)</f>
        <v>0</v>
      </c>
      <c r="K1867" s="67">
        <f>ROUND(IF(F1867="alluminio",0,I1867*1.5%),4)</f>
        <v>0</v>
      </c>
      <c r="L1867" s="67">
        <f>ROUND(IF(K1867&lt;J1867,K1867,0),4)</f>
        <v>0</v>
      </c>
      <c r="M1867" s="67">
        <f>ROUND(IF(J1867&gt;K1867,0,J1867),4)</f>
        <v>0</v>
      </c>
      <c r="N1867" s="67">
        <f>ROUND(+L1867*D1867,4)</f>
        <v>0</v>
      </c>
      <c r="O1867" s="67">
        <f>ROUND(IF(F1867="rame",0,+I1867*3%),4)</f>
        <v>0</v>
      </c>
      <c r="P1867" s="67">
        <f>ROUND(IF(O1867&lt;J1867,O1867,0),4)</f>
        <v>0</v>
      </c>
      <c r="Q1867" s="67">
        <f>ROUND(IF(J1867&gt;O1867,0,J1867),4)</f>
        <v>0</v>
      </c>
      <c r="R1867" s="67">
        <f>ROUND(+P1867*D1867,4)</f>
        <v>0</v>
      </c>
      <c r="S1867" s="67">
        <f>ROUND(IF(K1867=0,0,M1867*D1867),4)</f>
        <v>0</v>
      </c>
      <c r="T1867" s="67">
        <f>ROUND(+IF(K1867=0,Q1867*D1867,0),4)</f>
        <v>0</v>
      </c>
      <c r="U1867" s="67">
        <f>ROUND(+N1867+R1867+S1867+T1867,4)</f>
        <v>0</v>
      </c>
      <c r="V1867" s="67">
        <f>ROUND(IF(P1867=0,0,I1867-H1867-O1867)+IF(L1867=0,0,I1867-H1867-K1867),4)</f>
        <v>0</v>
      </c>
      <c r="W1867" s="67">
        <f>ROUND(+(V1867*60%)*D1867,4)</f>
        <v>0</v>
      </c>
      <c r="X1867" s="148">
        <f>ROUND(+U1867+W1867,4)</f>
        <v>0</v>
      </c>
      <c r="Y1867" s="68"/>
      <c r="Z1867" s="148">
        <f>ROUND(IF(X1867&gt;I1867,X1867,I1867),4)</f>
        <v>0</v>
      </c>
      <c r="AD1867" s="78">
        <f t="shared" si="36"/>
        <v>0</v>
      </c>
      <c r="AE1867" s="78">
        <f t="shared" si="37"/>
        <v>0</v>
      </c>
    </row>
    <row r="1868" spans="1:31" x14ac:dyDescent="0.2">
      <c r="A1868" s="66"/>
      <c r="B1868" s="66"/>
      <c r="C1868" s="66"/>
      <c r="D1868" s="144"/>
      <c r="E1868" s="67"/>
      <c r="F1868" s="67"/>
      <c r="G1868" s="67"/>
      <c r="H1868" s="67">
        <f>ROUND(+E1868+G1868,4)</f>
        <v>0</v>
      </c>
      <c r="I1868" s="67"/>
      <c r="J1868" s="67">
        <f>ROUND(+I1868-H1868,4)</f>
        <v>0</v>
      </c>
      <c r="K1868" s="67">
        <f>ROUND(IF(F1868="alluminio",0,I1868*1.5%),4)</f>
        <v>0</v>
      </c>
      <c r="L1868" s="67">
        <f>ROUND(IF(K1868&lt;J1868,K1868,0),4)</f>
        <v>0</v>
      </c>
      <c r="M1868" s="67">
        <f>ROUND(IF(J1868&gt;K1868,0,J1868),4)</f>
        <v>0</v>
      </c>
      <c r="N1868" s="67">
        <f>ROUND(+L1868*D1868,4)</f>
        <v>0</v>
      </c>
      <c r="O1868" s="67">
        <f>ROUND(IF(F1868="rame",0,+I1868*3%),4)</f>
        <v>0</v>
      </c>
      <c r="P1868" s="67">
        <f>ROUND(IF(O1868&lt;J1868,O1868,0),4)</f>
        <v>0</v>
      </c>
      <c r="Q1868" s="67">
        <f>ROUND(IF(J1868&gt;O1868,0,J1868),4)</f>
        <v>0</v>
      </c>
      <c r="R1868" s="67">
        <f>ROUND(+P1868*D1868,4)</f>
        <v>0</v>
      </c>
      <c r="S1868" s="67">
        <f>ROUND(IF(K1868=0,0,M1868*D1868),4)</f>
        <v>0</v>
      </c>
      <c r="T1868" s="67">
        <f>ROUND(+IF(K1868=0,Q1868*D1868,0),4)</f>
        <v>0</v>
      </c>
      <c r="U1868" s="67">
        <f>ROUND(+N1868+R1868+S1868+T1868,4)</f>
        <v>0</v>
      </c>
      <c r="V1868" s="67">
        <f>ROUND(IF(P1868=0,0,I1868-H1868-O1868)+IF(L1868=0,0,I1868-H1868-K1868),4)</f>
        <v>0</v>
      </c>
      <c r="W1868" s="67">
        <f>ROUND(+(V1868*60%)*D1868,4)</f>
        <v>0</v>
      </c>
      <c r="X1868" s="148">
        <f>ROUND(+U1868+W1868,4)</f>
        <v>0</v>
      </c>
      <c r="Y1868" s="68"/>
      <c r="Z1868" s="148">
        <f>ROUND(IF(X1868&gt;I1868,X1868,I1868),4)</f>
        <v>0</v>
      </c>
      <c r="AD1868" s="78">
        <f t="shared" si="36"/>
        <v>0</v>
      </c>
      <c r="AE1868" s="78">
        <f t="shared" si="37"/>
        <v>0</v>
      </c>
    </row>
    <row r="1869" spans="1:31" x14ac:dyDescent="0.2">
      <c r="A1869" s="66"/>
      <c r="B1869" s="66"/>
      <c r="C1869" s="66"/>
      <c r="D1869" s="144"/>
      <c r="E1869" s="67"/>
      <c r="F1869" s="67"/>
      <c r="G1869" s="67"/>
      <c r="H1869" s="67">
        <f>ROUND(+E1869+G1869,4)</f>
        <v>0</v>
      </c>
      <c r="I1869" s="67"/>
      <c r="J1869" s="67">
        <f>ROUND(+I1869-H1869,4)</f>
        <v>0</v>
      </c>
      <c r="K1869" s="67">
        <f>ROUND(IF(F1869="alluminio",0,I1869*1.5%),4)</f>
        <v>0</v>
      </c>
      <c r="L1869" s="67">
        <f>ROUND(IF(K1869&lt;J1869,K1869,0),4)</f>
        <v>0</v>
      </c>
      <c r="M1869" s="67">
        <f>ROUND(IF(J1869&gt;K1869,0,J1869),4)</f>
        <v>0</v>
      </c>
      <c r="N1869" s="67">
        <f>ROUND(+L1869*D1869,4)</f>
        <v>0</v>
      </c>
      <c r="O1869" s="67">
        <f>ROUND(IF(F1869="rame",0,+I1869*3%),4)</f>
        <v>0</v>
      </c>
      <c r="P1869" s="67">
        <f>ROUND(IF(O1869&lt;J1869,O1869,0),4)</f>
        <v>0</v>
      </c>
      <c r="Q1869" s="67">
        <f>ROUND(IF(J1869&gt;O1869,0,J1869),4)</f>
        <v>0</v>
      </c>
      <c r="R1869" s="67">
        <f>ROUND(+P1869*D1869,4)</f>
        <v>0</v>
      </c>
      <c r="S1869" s="67">
        <f>ROUND(IF(K1869=0,0,M1869*D1869),4)</f>
        <v>0</v>
      </c>
      <c r="T1869" s="67">
        <f>ROUND(+IF(K1869=0,Q1869*D1869,0),4)</f>
        <v>0</v>
      </c>
      <c r="U1869" s="67">
        <f>ROUND(+N1869+R1869+S1869+T1869,4)</f>
        <v>0</v>
      </c>
      <c r="V1869" s="67">
        <f>ROUND(IF(P1869=0,0,I1869-H1869-O1869)+IF(L1869=0,0,I1869-H1869-K1869),4)</f>
        <v>0</v>
      </c>
      <c r="W1869" s="67">
        <f>ROUND(+(V1869*60%)*D1869,4)</f>
        <v>0</v>
      </c>
      <c r="X1869" s="148">
        <f>ROUND(+U1869+W1869,4)</f>
        <v>0</v>
      </c>
      <c r="Y1869" s="68"/>
      <c r="Z1869" s="148">
        <f>ROUND(IF(X1869&gt;I1869,X1869,I1869),4)</f>
        <v>0</v>
      </c>
      <c r="AD1869" s="78">
        <f t="shared" si="36"/>
        <v>0</v>
      </c>
      <c r="AE1869" s="78">
        <f t="shared" si="37"/>
        <v>0</v>
      </c>
    </row>
    <row r="1870" spans="1:31" x14ac:dyDescent="0.2">
      <c r="A1870" s="66"/>
      <c r="B1870" s="66"/>
      <c r="C1870" s="66"/>
      <c r="D1870" s="144"/>
      <c r="E1870" s="67"/>
      <c r="F1870" s="67"/>
      <c r="G1870" s="67"/>
      <c r="H1870" s="67">
        <f>ROUND(+E1870+G1870,4)</f>
        <v>0</v>
      </c>
      <c r="I1870" s="67"/>
      <c r="J1870" s="67">
        <f>ROUND(+I1870-H1870,4)</f>
        <v>0</v>
      </c>
      <c r="K1870" s="67">
        <f>ROUND(IF(F1870="alluminio",0,I1870*1.5%),4)</f>
        <v>0</v>
      </c>
      <c r="L1870" s="67">
        <f>ROUND(IF(K1870&lt;J1870,K1870,0),4)</f>
        <v>0</v>
      </c>
      <c r="M1870" s="67">
        <f>ROUND(IF(J1870&gt;K1870,0,J1870),4)</f>
        <v>0</v>
      </c>
      <c r="N1870" s="67">
        <f>ROUND(+L1870*D1870,4)</f>
        <v>0</v>
      </c>
      <c r="O1870" s="67">
        <f>ROUND(IF(F1870="rame",0,+I1870*3%),4)</f>
        <v>0</v>
      </c>
      <c r="P1870" s="67">
        <f>ROUND(IF(O1870&lt;J1870,O1870,0),4)</f>
        <v>0</v>
      </c>
      <c r="Q1870" s="67">
        <f>ROUND(IF(J1870&gt;O1870,0,J1870),4)</f>
        <v>0</v>
      </c>
      <c r="R1870" s="67">
        <f>ROUND(+P1870*D1870,4)</f>
        <v>0</v>
      </c>
      <c r="S1870" s="67">
        <f>ROUND(IF(K1870=0,0,M1870*D1870),4)</f>
        <v>0</v>
      </c>
      <c r="T1870" s="67">
        <f>ROUND(+IF(K1870=0,Q1870*D1870,0),4)</f>
        <v>0</v>
      </c>
      <c r="U1870" s="67">
        <f>ROUND(+N1870+R1870+S1870+T1870,4)</f>
        <v>0</v>
      </c>
      <c r="V1870" s="67">
        <f>ROUND(IF(P1870=0,0,I1870-H1870-O1870)+IF(L1870=0,0,I1870-H1870-K1870),4)</f>
        <v>0</v>
      </c>
      <c r="W1870" s="67">
        <f>ROUND(+(V1870*60%)*D1870,4)</f>
        <v>0</v>
      </c>
      <c r="X1870" s="148">
        <f>ROUND(+U1870+W1870,4)</f>
        <v>0</v>
      </c>
      <c r="Y1870" s="68"/>
      <c r="Z1870" s="148">
        <f>ROUND(IF(X1870&gt;I1870,X1870,I1870),4)</f>
        <v>0</v>
      </c>
      <c r="AD1870" s="78">
        <f t="shared" si="36"/>
        <v>0</v>
      </c>
      <c r="AE1870" s="78">
        <f t="shared" si="37"/>
        <v>0</v>
      </c>
    </row>
    <row r="1871" spans="1:31" x14ac:dyDescent="0.2">
      <c r="A1871" s="66"/>
      <c r="B1871" s="66"/>
      <c r="C1871" s="66"/>
      <c r="D1871" s="144"/>
      <c r="E1871" s="67"/>
      <c r="F1871" s="67"/>
      <c r="G1871" s="67"/>
      <c r="H1871" s="67">
        <f>ROUND(+E1871+G1871,4)</f>
        <v>0</v>
      </c>
      <c r="I1871" s="67"/>
      <c r="J1871" s="67">
        <f>ROUND(+I1871-H1871,4)</f>
        <v>0</v>
      </c>
      <c r="K1871" s="67">
        <f>ROUND(IF(F1871="alluminio",0,I1871*1.5%),4)</f>
        <v>0</v>
      </c>
      <c r="L1871" s="67">
        <f>ROUND(IF(K1871&lt;J1871,K1871,0),4)</f>
        <v>0</v>
      </c>
      <c r="M1871" s="67">
        <f>ROUND(IF(J1871&gt;K1871,0,J1871),4)</f>
        <v>0</v>
      </c>
      <c r="N1871" s="67">
        <f>ROUND(+L1871*D1871,4)</f>
        <v>0</v>
      </c>
      <c r="O1871" s="67">
        <f>ROUND(IF(F1871="rame",0,+I1871*3%),4)</f>
        <v>0</v>
      </c>
      <c r="P1871" s="67">
        <f>ROUND(IF(O1871&lt;J1871,O1871,0),4)</f>
        <v>0</v>
      </c>
      <c r="Q1871" s="67">
        <f>ROUND(IF(J1871&gt;O1871,0,J1871),4)</f>
        <v>0</v>
      </c>
      <c r="R1871" s="67">
        <f>ROUND(+P1871*D1871,4)</f>
        <v>0</v>
      </c>
      <c r="S1871" s="67">
        <f>ROUND(IF(K1871=0,0,M1871*D1871),4)</f>
        <v>0</v>
      </c>
      <c r="T1871" s="67">
        <f>ROUND(+IF(K1871=0,Q1871*D1871,0),4)</f>
        <v>0</v>
      </c>
      <c r="U1871" s="67">
        <f>ROUND(+N1871+R1871+S1871+T1871,4)</f>
        <v>0</v>
      </c>
      <c r="V1871" s="67">
        <f>ROUND(IF(P1871=0,0,I1871-H1871-O1871)+IF(L1871=0,0,I1871-H1871-K1871),4)</f>
        <v>0</v>
      </c>
      <c r="W1871" s="67">
        <f>ROUND(+(V1871*60%)*D1871,4)</f>
        <v>0</v>
      </c>
      <c r="X1871" s="148">
        <f>ROUND(+U1871+W1871,4)</f>
        <v>0</v>
      </c>
      <c r="Y1871" s="68"/>
      <c r="Z1871" s="148">
        <f>ROUND(IF(X1871&gt;I1871,X1871,I1871),4)</f>
        <v>0</v>
      </c>
      <c r="AD1871" s="78">
        <f t="shared" si="36"/>
        <v>0</v>
      </c>
      <c r="AE1871" s="78">
        <f t="shared" si="37"/>
        <v>0</v>
      </c>
    </row>
    <row r="1872" spans="1:31" x14ac:dyDescent="0.2">
      <c r="A1872" s="66"/>
      <c r="B1872" s="66"/>
      <c r="C1872" s="66"/>
      <c r="D1872" s="144"/>
      <c r="E1872" s="67"/>
      <c r="F1872" s="67"/>
      <c r="G1872" s="67"/>
      <c r="H1872" s="67">
        <f>ROUND(+E1872+G1872,4)</f>
        <v>0</v>
      </c>
      <c r="I1872" s="67"/>
      <c r="J1872" s="67">
        <f>ROUND(+I1872-H1872,4)</f>
        <v>0</v>
      </c>
      <c r="K1872" s="67">
        <f>ROUND(IF(F1872="alluminio",0,I1872*1.5%),4)</f>
        <v>0</v>
      </c>
      <c r="L1872" s="67">
        <f>ROUND(IF(K1872&lt;J1872,K1872,0),4)</f>
        <v>0</v>
      </c>
      <c r="M1872" s="67">
        <f>ROUND(IF(J1872&gt;K1872,0,J1872),4)</f>
        <v>0</v>
      </c>
      <c r="N1872" s="67">
        <f>ROUND(+L1872*D1872,4)</f>
        <v>0</v>
      </c>
      <c r="O1872" s="67">
        <f>ROUND(IF(F1872="rame",0,+I1872*3%),4)</f>
        <v>0</v>
      </c>
      <c r="P1872" s="67">
        <f>ROUND(IF(O1872&lt;J1872,O1872,0),4)</f>
        <v>0</v>
      </c>
      <c r="Q1872" s="67">
        <f>ROUND(IF(J1872&gt;O1872,0,J1872),4)</f>
        <v>0</v>
      </c>
      <c r="R1872" s="67">
        <f>ROUND(+P1872*D1872,4)</f>
        <v>0</v>
      </c>
      <c r="S1872" s="67">
        <f>ROUND(IF(K1872=0,0,M1872*D1872),4)</f>
        <v>0</v>
      </c>
      <c r="T1872" s="67">
        <f>ROUND(+IF(K1872=0,Q1872*D1872,0),4)</f>
        <v>0</v>
      </c>
      <c r="U1872" s="67">
        <f>ROUND(+N1872+R1872+S1872+T1872,4)</f>
        <v>0</v>
      </c>
      <c r="V1872" s="67">
        <f>ROUND(IF(P1872=0,0,I1872-H1872-O1872)+IF(L1872=0,0,I1872-H1872-K1872),4)</f>
        <v>0</v>
      </c>
      <c r="W1872" s="67">
        <f>ROUND(+(V1872*60%)*D1872,4)</f>
        <v>0</v>
      </c>
      <c r="X1872" s="148">
        <f>ROUND(+U1872+W1872,4)</f>
        <v>0</v>
      </c>
      <c r="Y1872" s="68"/>
      <c r="Z1872" s="148">
        <f>ROUND(IF(X1872&gt;I1872,X1872,I1872),4)</f>
        <v>0</v>
      </c>
      <c r="AD1872" s="78">
        <f t="shared" si="36"/>
        <v>0</v>
      </c>
      <c r="AE1872" s="78">
        <f t="shared" si="37"/>
        <v>0</v>
      </c>
    </row>
    <row r="1873" spans="1:31" x14ac:dyDescent="0.2">
      <c r="A1873" s="66"/>
      <c r="B1873" s="66"/>
      <c r="C1873" s="66"/>
      <c r="D1873" s="144"/>
      <c r="E1873" s="67"/>
      <c r="F1873" s="67"/>
      <c r="G1873" s="67"/>
      <c r="H1873" s="67">
        <f>ROUND(+E1873+G1873,4)</f>
        <v>0</v>
      </c>
      <c r="I1873" s="67"/>
      <c r="J1873" s="67">
        <f>ROUND(+I1873-H1873,4)</f>
        <v>0</v>
      </c>
      <c r="K1873" s="67">
        <f>ROUND(IF(F1873="alluminio",0,I1873*1.5%),4)</f>
        <v>0</v>
      </c>
      <c r="L1873" s="67">
        <f>ROUND(IF(K1873&lt;J1873,K1873,0),4)</f>
        <v>0</v>
      </c>
      <c r="M1873" s="67">
        <f>ROUND(IF(J1873&gt;K1873,0,J1873),4)</f>
        <v>0</v>
      </c>
      <c r="N1873" s="67">
        <f>ROUND(+L1873*D1873,4)</f>
        <v>0</v>
      </c>
      <c r="O1873" s="67">
        <f>ROUND(IF(F1873="rame",0,+I1873*3%),4)</f>
        <v>0</v>
      </c>
      <c r="P1873" s="67">
        <f>ROUND(IF(O1873&lt;J1873,O1873,0),4)</f>
        <v>0</v>
      </c>
      <c r="Q1873" s="67">
        <f>ROUND(IF(J1873&gt;O1873,0,J1873),4)</f>
        <v>0</v>
      </c>
      <c r="R1873" s="67">
        <f>ROUND(+P1873*D1873,4)</f>
        <v>0</v>
      </c>
      <c r="S1873" s="67">
        <f>ROUND(IF(K1873=0,0,M1873*D1873),4)</f>
        <v>0</v>
      </c>
      <c r="T1873" s="67">
        <f>ROUND(+IF(K1873=0,Q1873*D1873,0),4)</f>
        <v>0</v>
      </c>
      <c r="U1873" s="67">
        <f>ROUND(+N1873+R1873+S1873+T1873,4)</f>
        <v>0</v>
      </c>
      <c r="V1873" s="67">
        <f>ROUND(IF(P1873=0,0,I1873-H1873-O1873)+IF(L1873=0,0,I1873-H1873-K1873),4)</f>
        <v>0</v>
      </c>
      <c r="W1873" s="67">
        <f>ROUND(+(V1873*60%)*D1873,4)</f>
        <v>0</v>
      </c>
      <c r="X1873" s="148">
        <f>ROUND(+U1873+W1873,4)</f>
        <v>0</v>
      </c>
      <c r="Y1873" s="68"/>
      <c r="Z1873" s="148">
        <f>ROUND(IF(X1873&gt;I1873,X1873,I1873),4)</f>
        <v>0</v>
      </c>
      <c r="AD1873" s="78">
        <f t="shared" si="36"/>
        <v>0</v>
      </c>
      <c r="AE1873" s="78">
        <f t="shared" si="37"/>
        <v>0</v>
      </c>
    </row>
    <row r="1874" spans="1:31" x14ac:dyDescent="0.2">
      <c r="A1874" s="66"/>
      <c r="B1874" s="66"/>
      <c r="C1874" s="66"/>
      <c r="D1874" s="144"/>
      <c r="E1874" s="67"/>
      <c r="F1874" s="67"/>
      <c r="G1874" s="67"/>
      <c r="H1874" s="67">
        <f>ROUND(+E1874+G1874,4)</f>
        <v>0</v>
      </c>
      <c r="I1874" s="67"/>
      <c r="J1874" s="67">
        <f>ROUND(+I1874-H1874,4)</f>
        <v>0</v>
      </c>
      <c r="K1874" s="67">
        <f>ROUND(IF(F1874="alluminio",0,I1874*1.5%),4)</f>
        <v>0</v>
      </c>
      <c r="L1874" s="67">
        <f>ROUND(IF(K1874&lt;J1874,K1874,0),4)</f>
        <v>0</v>
      </c>
      <c r="M1874" s="67">
        <f>ROUND(IF(J1874&gt;K1874,0,J1874),4)</f>
        <v>0</v>
      </c>
      <c r="N1874" s="67">
        <f>ROUND(+L1874*D1874,4)</f>
        <v>0</v>
      </c>
      <c r="O1874" s="67">
        <f>ROUND(IF(F1874="rame",0,+I1874*3%),4)</f>
        <v>0</v>
      </c>
      <c r="P1874" s="67">
        <f>ROUND(IF(O1874&lt;J1874,O1874,0),4)</f>
        <v>0</v>
      </c>
      <c r="Q1874" s="67">
        <f>ROUND(IF(J1874&gt;O1874,0,J1874),4)</f>
        <v>0</v>
      </c>
      <c r="R1874" s="67">
        <f>ROUND(+P1874*D1874,4)</f>
        <v>0</v>
      </c>
      <c r="S1874" s="67">
        <f>ROUND(IF(K1874=0,0,M1874*D1874),4)</f>
        <v>0</v>
      </c>
      <c r="T1874" s="67">
        <f>ROUND(+IF(K1874=0,Q1874*D1874,0),4)</f>
        <v>0</v>
      </c>
      <c r="U1874" s="67">
        <f>ROUND(+N1874+R1874+S1874+T1874,4)</f>
        <v>0</v>
      </c>
      <c r="V1874" s="67">
        <f>ROUND(IF(P1874=0,0,I1874-H1874-O1874)+IF(L1874=0,0,I1874-H1874-K1874),4)</f>
        <v>0</v>
      </c>
      <c r="W1874" s="67">
        <f>ROUND(+(V1874*60%)*D1874,4)</f>
        <v>0</v>
      </c>
      <c r="X1874" s="148">
        <f>ROUND(+U1874+W1874,4)</f>
        <v>0</v>
      </c>
      <c r="Y1874" s="68"/>
      <c r="Z1874" s="148">
        <f>ROUND(IF(X1874&gt;I1874,X1874,I1874),4)</f>
        <v>0</v>
      </c>
      <c r="AD1874" s="78">
        <f t="shared" si="36"/>
        <v>0</v>
      </c>
      <c r="AE1874" s="78">
        <f t="shared" si="37"/>
        <v>0</v>
      </c>
    </row>
    <row r="1875" spans="1:31" x14ac:dyDescent="0.2">
      <c r="A1875" s="66"/>
      <c r="B1875" s="66"/>
      <c r="C1875" s="66"/>
      <c r="D1875" s="144"/>
      <c r="E1875" s="67"/>
      <c r="F1875" s="67"/>
      <c r="G1875" s="67"/>
      <c r="H1875" s="67">
        <f>ROUND(+E1875+G1875,4)</f>
        <v>0</v>
      </c>
      <c r="I1875" s="67"/>
      <c r="J1875" s="67">
        <f>ROUND(+I1875-H1875,4)</f>
        <v>0</v>
      </c>
      <c r="K1875" s="67">
        <f>ROUND(IF(F1875="alluminio",0,I1875*1.5%),4)</f>
        <v>0</v>
      </c>
      <c r="L1875" s="67">
        <f>ROUND(IF(K1875&lt;J1875,K1875,0),4)</f>
        <v>0</v>
      </c>
      <c r="M1875" s="67">
        <f>ROUND(IF(J1875&gt;K1875,0,J1875),4)</f>
        <v>0</v>
      </c>
      <c r="N1875" s="67">
        <f>ROUND(+L1875*D1875,4)</f>
        <v>0</v>
      </c>
      <c r="O1875" s="67">
        <f>ROUND(IF(F1875="rame",0,+I1875*3%),4)</f>
        <v>0</v>
      </c>
      <c r="P1875" s="67">
        <f>ROUND(IF(O1875&lt;J1875,O1875,0),4)</f>
        <v>0</v>
      </c>
      <c r="Q1875" s="67">
        <f>ROUND(IF(J1875&gt;O1875,0,J1875),4)</f>
        <v>0</v>
      </c>
      <c r="R1875" s="67">
        <f>ROUND(+P1875*D1875,4)</f>
        <v>0</v>
      </c>
      <c r="S1875" s="67">
        <f>ROUND(IF(K1875=0,0,M1875*D1875),4)</f>
        <v>0</v>
      </c>
      <c r="T1875" s="67">
        <f>ROUND(+IF(K1875=0,Q1875*D1875,0),4)</f>
        <v>0</v>
      </c>
      <c r="U1875" s="67">
        <f>ROUND(+N1875+R1875+S1875+T1875,4)</f>
        <v>0</v>
      </c>
      <c r="V1875" s="67">
        <f>ROUND(IF(P1875=0,0,I1875-H1875-O1875)+IF(L1875=0,0,I1875-H1875-K1875),4)</f>
        <v>0</v>
      </c>
      <c r="W1875" s="67">
        <f>ROUND(+(V1875*60%)*D1875,4)</f>
        <v>0</v>
      </c>
      <c r="X1875" s="148">
        <f>ROUND(+U1875+W1875,4)</f>
        <v>0</v>
      </c>
      <c r="Y1875" s="68"/>
      <c r="Z1875" s="148">
        <f>ROUND(IF(X1875&gt;I1875,X1875,I1875),4)</f>
        <v>0</v>
      </c>
      <c r="AD1875" s="78">
        <f t="shared" si="36"/>
        <v>0</v>
      </c>
      <c r="AE1875" s="78">
        <f t="shared" si="37"/>
        <v>0</v>
      </c>
    </row>
    <row r="1876" spans="1:31" x14ac:dyDescent="0.2">
      <c r="A1876" s="66"/>
      <c r="B1876" s="66"/>
      <c r="C1876" s="66"/>
      <c r="D1876" s="144"/>
      <c r="E1876" s="67"/>
      <c r="F1876" s="67"/>
      <c r="G1876" s="67"/>
      <c r="H1876" s="67">
        <f>ROUND(+E1876+G1876,4)</f>
        <v>0</v>
      </c>
      <c r="I1876" s="67"/>
      <c r="J1876" s="67">
        <f>ROUND(+I1876-H1876,4)</f>
        <v>0</v>
      </c>
      <c r="K1876" s="67">
        <f>ROUND(IF(F1876="alluminio",0,I1876*1.5%),4)</f>
        <v>0</v>
      </c>
      <c r="L1876" s="67">
        <f>ROUND(IF(K1876&lt;J1876,K1876,0),4)</f>
        <v>0</v>
      </c>
      <c r="M1876" s="67">
        <f>ROUND(IF(J1876&gt;K1876,0,J1876),4)</f>
        <v>0</v>
      </c>
      <c r="N1876" s="67">
        <f>ROUND(+L1876*D1876,4)</f>
        <v>0</v>
      </c>
      <c r="O1876" s="67">
        <f>ROUND(IF(F1876="rame",0,+I1876*3%),4)</f>
        <v>0</v>
      </c>
      <c r="P1876" s="67">
        <f>ROUND(IF(O1876&lt;J1876,O1876,0),4)</f>
        <v>0</v>
      </c>
      <c r="Q1876" s="67">
        <f>ROUND(IF(J1876&gt;O1876,0,J1876),4)</f>
        <v>0</v>
      </c>
      <c r="R1876" s="67">
        <f>ROUND(+P1876*D1876,4)</f>
        <v>0</v>
      </c>
      <c r="S1876" s="67">
        <f>ROUND(IF(K1876=0,0,M1876*D1876),4)</f>
        <v>0</v>
      </c>
      <c r="T1876" s="67">
        <f>ROUND(+IF(K1876=0,Q1876*D1876,0),4)</f>
        <v>0</v>
      </c>
      <c r="U1876" s="67">
        <f>ROUND(+N1876+R1876+S1876+T1876,4)</f>
        <v>0</v>
      </c>
      <c r="V1876" s="67">
        <f>ROUND(IF(P1876=0,0,I1876-H1876-O1876)+IF(L1876=0,0,I1876-H1876-K1876),4)</f>
        <v>0</v>
      </c>
      <c r="W1876" s="67">
        <f>ROUND(+(V1876*60%)*D1876,4)</f>
        <v>0</v>
      </c>
      <c r="X1876" s="148">
        <f>ROUND(+U1876+W1876,4)</f>
        <v>0</v>
      </c>
      <c r="Y1876" s="68"/>
      <c r="Z1876" s="148">
        <f>ROUND(IF(X1876&gt;I1876,X1876,I1876),4)</f>
        <v>0</v>
      </c>
      <c r="AD1876" s="78">
        <f t="shared" si="36"/>
        <v>0</v>
      </c>
      <c r="AE1876" s="78">
        <f t="shared" si="37"/>
        <v>0</v>
      </c>
    </row>
    <row r="1877" spans="1:31" x14ac:dyDescent="0.2">
      <c r="A1877" s="66"/>
      <c r="B1877" s="66"/>
      <c r="C1877" s="66"/>
      <c r="D1877" s="144"/>
      <c r="E1877" s="67"/>
      <c r="F1877" s="67"/>
      <c r="G1877" s="67"/>
      <c r="H1877" s="67">
        <f>ROUND(+E1877+G1877,4)</f>
        <v>0</v>
      </c>
      <c r="I1877" s="67"/>
      <c r="J1877" s="67">
        <f>ROUND(+I1877-H1877,4)</f>
        <v>0</v>
      </c>
      <c r="K1877" s="67">
        <f>ROUND(IF(F1877="alluminio",0,I1877*1.5%),4)</f>
        <v>0</v>
      </c>
      <c r="L1877" s="67">
        <f>ROUND(IF(K1877&lt;J1877,K1877,0),4)</f>
        <v>0</v>
      </c>
      <c r="M1877" s="67">
        <f>ROUND(IF(J1877&gt;K1877,0,J1877),4)</f>
        <v>0</v>
      </c>
      <c r="N1877" s="67">
        <f>ROUND(+L1877*D1877,4)</f>
        <v>0</v>
      </c>
      <c r="O1877" s="67">
        <f>ROUND(IF(F1877="rame",0,+I1877*3%),4)</f>
        <v>0</v>
      </c>
      <c r="P1877" s="67">
        <f>ROUND(IF(O1877&lt;J1877,O1877,0),4)</f>
        <v>0</v>
      </c>
      <c r="Q1877" s="67">
        <f>ROUND(IF(J1877&gt;O1877,0,J1877),4)</f>
        <v>0</v>
      </c>
      <c r="R1877" s="67">
        <f>ROUND(+P1877*D1877,4)</f>
        <v>0</v>
      </c>
      <c r="S1877" s="67">
        <f>ROUND(IF(K1877=0,0,M1877*D1877),4)</f>
        <v>0</v>
      </c>
      <c r="T1877" s="67">
        <f>ROUND(+IF(K1877=0,Q1877*D1877,0),4)</f>
        <v>0</v>
      </c>
      <c r="U1877" s="67">
        <f>ROUND(+N1877+R1877+S1877+T1877,4)</f>
        <v>0</v>
      </c>
      <c r="V1877" s="67">
        <f>ROUND(IF(P1877=0,0,I1877-H1877-O1877)+IF(L1877=0,0,I1877-H1877-K1877),4)</f>
        <v>0</v>
      </c>
      <c r="W1877" s="67">
        <f>ROUND(+(V1877*60%)*D1877,4)</f>
        <v>0</v>
      </c>
      <c r="X1877" s="148">
        <f>ROUND(+U1877+W1877,4)</f>
        <v>0</v>
      </c>
      <c r="Y1877" s="68"/>
      <c r="Z1877" s="148">
        <f>ROUND(IF(X1877&gt;I1877,X1877,I1877),4)</f>
        <v>0</v>
      </c>
      <c r="AD1877" s="78">
        <f t="shared" si="36"/>
        <v>0</v>
      </c>
      <c r="AE1877" s="78">
        <f t="shared" si="37"/>
        <v>0</v>
      </c>
    </row>
    <row r="1878" spans="1:31" x14ac:dyDescent="0.2">
      <c r="A1878" s="66"/>
      <c r="B1878" s="66"/>
      <c r="C1878" s="66"/>
      <c r="D1878" s="144"/>
      <c r="E1878" s="67"/>
      <c r="F1878" s="67"/>
      <c r="G1878" s="67"/>
      <c r="H1878" s="67">
        <f>ROUND(+E1878+G1878,4)</f>
        <v>0</v>
      </c>
      <c r="I1878" s="67"/>
      <c r="J1878" s="67">
        <f>ROUND(+I1878-H1878,4)</f>
        <v>0</v>
      </c>
      <c r="K1878" s="67">
        <f>ROUND(IF(F1878="alluminio",0,I1878*1.5%),4)</f>
        <v>0</v>
      </c>
      <c r="L1878" s="67">
        <f>ROUND(IF(K1878&lt;J1878,K1878,0),4)</f>
        <v>0</v>
      </c>
      <c r="M1878" s="67">
        <f>ROUND(IF(J1878&gt;K1878,0,J1878),4)</f>
        <v>0</v>
      </c>
      <c r="N1878" s="67">
        <f>ROUND(+L1878*D1878,4)</f>
        <v>0</v>
      </c>
      <c r="O1878" s="67">
        <f>ROUND(IF(F1878="rame",0,+I1878*3%),4)</f>
        <v>0</v>
      </c>
      <c r="P1878" s="67">
        <f>ROUND(IF(O1878&lt;J1878,O1878,0),4)</f>
        <v>0</v>
      </c>
      <c r="Q1878" s="67">
        <f>ROUND(IF(J1878&gt;O1878,0,J1878),4)</f>
        <v>0</v>
      </c>
      <c r="R1878" s="67">
        <f>ROUND(+P1878*D1878,4)</f>
        <v>0</v>
      </c>
      <c r="S1878" s="67">
        <f>ROUND(IF(K1878=0,0,M1878*D1878),4)</f>
        <v>0</v>
      </c>
      <c r="T1878" s="67">
        <f>ROUND(+IF(K1878=0,Q1878*D1878,0),4)</f>
        <v>0</v>
      </c>
      <c r="U1878" s="67">
        <f>ROUND(+N1878+R1878+S1878+T1878,4)</f>
        <v>0</v>
      </c>
      <c r="V1878" s="67">
        <f>ROUND(IF(P1878=0,0,I1878-H1878-O1878)+IF(L1878=0,0,I1878-H1878-K1878),4)</f>
        <v>0</v>
      </c>
      <c r="W1878" s="67">
        <f>ROUND(+(V1878*60%)*D1878,4)</f>
        <v>0</v>
      </c>
      <c r="X1878" s="148">
        <f>ROUND(+U1878+W1878,4)</f>
        <v>0</v>
      </c>
      <c r="Y1878" s="68"/>
      <c r="Z1878" s="148">
        <f>ROUND(IF(X1878&gt;I1878,X1878,I1878),4)</f>
        <v>0</v>
      </c>
      <c r="AD1878" s="78">
        <f t="shared" si="36"/>
        <v>0</v>
      </c>
      <c r="AE1878" s="78">
        <f t="shared" si="37"/>
        <v>0</v>
      </c>
    </row>
    <row r="1879" spans="1:31" x14ac:dyDescent="0.2">
      <c r="A1879" s="66"/>
      <c r="B1879" s="66"/>
      <c r="C1879" s="66"/>
      <c r="D1879" s="144"/>
      <c r="E1879" s="67"/>
      <c r="F1879" s="67"/>
      <c r="G1879" s="67"/>
      <c r="H1879" s="67">
        <f>ROUND(+E1879+G1879,4)</f>
        <v>0</v>
      </c>
      <c r="I1879" s="67"/>
      <c r="J1879" s="67">
        <f>ROUND(+I1879-H1879,4)</f>
        <v>0</v>
      </c>
      <c r="K1879" s="67">
        <f>ROUND(IF(F1879="alluminio",0,I1879*1.5%),4)</f>
        <v>0</v>
      </c>
      <c r="L1879" s="67">
        <f>ROUND(IF(K1879&lt;J1879,K1879,0),4)</f>
        <v>0</v>
      </c>
      <c r="M1879" s="67">
        <f>ROUND(IF(J1879&gt;K1879,0,J1879),4)</f>
        <v>0</v>
      </c>
      <c r="N1879" s="67">
        <f>ROUND(+L1879*D1879,4)</f>
        <v>0</v>
      </c>
      <c r="O1879" s="67">
        <f>ROUND(IF(F1879="rame",0,+I1879*3%),4)</f>
        <v>0</v>
      </c>
      <c r="P1879" s="67">
        <f>ROUND(IF(O1879&lt;J1879,O1879,0),4)</f>
        <v>0</v>
      </c>
      <c r="Q1879" s="67">
        <f>ROUND(IF(J1879&gt;O1879,0,J1879),4)</f>
        <v>0</v>
      </c>
      <c r="R1879" s="67">
        <f>ROUND(+P1879*D1879,4)</f>
        <v>0</v>
      </c>
      <c r="S1879" s="67">
        <f>ROUND(IF(K1879=0,0,M1879*D1879),4)</f>
        <v>0</v>
      </c>
      <c r="T1879" s="67">
        <f>ROUND(+IF(K1879=0,Q1879*D1879,0),4)</f>
        <v>0</v>
      </c>
      <c r="U1879" s="67">
        <f>ROUND(+N1879+R1879+S1879+T1879,4)</f>
        <v>0</v>
      </c>
      <c r="V1879" s="67">
        <f>ROUND(IF(P1879=0,0,I1879-H1879-O1879)+IF(L1879=0,0,I1879-H1879-K1879),4)</f>
        <v>0</v>
      </c>
      <c r="W1879" s="67">
        <f>ROUND(+(V1879*60%)*D1879,4)</f>
        <v>0</v>
      </c>
      <c r="X1879" s="148">
        <f>ROUND(+U1879+W1879,4)</f>
        <v>0</v>
      </c>
      <c r="Y1879" s="68"/>
      <c r="Z1879" s="148">
        <f>ROUND(IF(X1879&gt;I1879,X1879,I1879),4)</f>
        <v>0</v>
      </c>
      <c r="AD1879" s="78">
        <f t="shared" si="36"/>
        <v>0</v>
      </c>
      <c r="AE1879" s="78">
        <f t="shared" si="37"/>
        <v>0</v>
      </c>
    </row>
    <row r="1880" spans="1:31" x14ac:dyDescent="0.2">
      <c r="A1880" s="66"/>
      <c r="B1880" s="66"/>
      <c r="C1880" s="66"/>
      <c r="D1880" s="144"/>
      <c r="E1880" s="67"/>
      <c r="F1880" s="67"/>
      <c r="G1880" s="67"/>
      <c r="H1880" s="67">
        <f>ROUND(+E1880+G1880,4)</f>
        <v>0</v>
      </c>
      <c r="I1880" s="67"/>
      <c r="J1880" s="67">
        <f>ROUND(+I1880-H1880,4)</f>
        <v>0</v>
      </c>
      <c r="K1880" s="67">
        <f>ROUND(IF(F1880="alluminio",0,I1880*1.5%),4)</f>
        <v>0</v>
      </c>
      <c r="L1880" s="67">
        <f>ROUND(IF(K1880&lt;J1880,K1880,0),4)</f>
        <v>0</v>
      </c>
      <c r="M1880" s="67">
        <f>ROUND(IF(J1880&gt;K1880,0,J1880),4)</f>
        <v>0</v>
      </c>
      <c r="N1880" s="67">
        <f>ROUND(+L1880*D1880,4)</f>
        <v>0</v>
      </c>
      <c r="O1880" s="67">
        <f>ROUND(IF(F1880="rame",0,+I1880*3%),4)</f>
        <v>0</v>
      </c>
      <c r="P1880" s="67">
        <f>ROUND(IF(O1880&lt;J1880,O1880,0),4)</f>
        <v>0</v>
      </c>
      <c r="Q1880" s="67">
        <f>ROUND(IF(J1880&gt;O1880,0,J1880),4)</f>
        <v>0</v>
      </c>
      <c r="R1880" s="67">
        <f>ROUND(+P1880*D1880,4)</f>
        <v>0</v>
      </c>
      <c r="S1880" s="67">
        <f>ROUND(IF(K1880=0,0,M1880*D1880),4)</f>
        <v>0</v>
      </c>
      <c r="T1880" s="67">
        <f>ROUND(+IF(K1880=0,Q1880*D1880,0),4)</f>
        <v>0</v>
      </c>
      <c r="U1880" s="67">
        <f>ROUND(+N1880+R1880+S1880+T1880,4)</f>
        <v>0</v>
      </c>
      <c r="V1880" s="67">
        <f>ROUND(IF(P1880=0,0,I1880-H1880-O1880)+IF(L1880=0,0,I1880-H1880-K1880),4)</f>
        <v>0</v>
      </c>
      <c r="W1880" s="67">
        <f>ROUND(+(V1880*60%)*D1880,4)</f>
        <v>0</v>
      </c>
      <c r="X1880" s="148">
        <f>ROUND(+U1880+W1880,4)</f>
        <v>0</v>
      </c>
      <c r="Y1880" s="68"/>
      <c r="Z1880" s="148">
        <f>ROUND(IF(X1880&gt;I1880,X1880,I1880),4)</f>
        <v>0</v>
      </c>
      <c r="AD1880" s="78">
        <f t="shared" si="36"/>
        <v>0</v>
      </c>
      <c r="AE1880" s="78">
        <f t="shared" si="37"/>
        <v>0</v>
      </c>
    </row>
    <row r="1881" spans="1:31" x14ac:dyDescent="0.2">
      <c r="A1881" s="66"/>
      <c r="B1881" s="66"/>
      <c r="C1881" s="66"/>
      <c r="D1881" s="144"/>
      <c r="E1881" s="67"/>
      <c r="F1881" s="67"/>
      <c r="G1881" s="67"/>
      <c r="H1881" s="67">
        <f>ROUND(+E1881+G1881,4)</f>
        <v>0</v>
      </c>
      <c r="I1881" s="67"/>
      <c r="J1881" s="67">
        <f>ROUND(+I1881-H1881,4)</f>
        <v>0</v>
      </c>
      <c r="K1881" s="67">
        <f>ROUND(IF(F1881="alluminio",0,I1881*1.5%),4)</f>
        <v>0</v>
      </c>
      <c r="L1881" s="67">
        <f>ROUND(IF(K1881&lt;J1881,K1881,0),4)</f>
        <v>0</v>
      </c>
      <c r="M1881" s="67">
        <f>ROUND(IF(J1881&gt;K1881,0,J1881),4)</f>
        <v>0</v>
      </c>
      <c r="N1881" s="67">
        <f>ROUND(+L1881*D1881,4)</f>
        <v>0</v>
      </c>
      <c r="O1881" s="67">
        <f>ROUND(IF(F1881="rame",0,+I1881*3%),4)</f>
        <v>0</v>
      </c>
      <c r="P1881" s="67">
        <f>ROUND(IF(O1881&lt;J1881,O1881,0),4)</f>
        <v>0</v>
      </c>
      <c r="Q1881" s="67">
        <f>ROUND(IF(J1881&gt;O1881,0,J1881),4)</f>
        <v>0</v>
      </c>
      <c r="R1881" s="67">
        <f>ROUND(+P1881*D1881,4)</f>
        <v>0</v>
      </c>
      <c r="S1881" s="67">
        <f>ROUND(IF(K1881=0,0,M1881*D1881),4)</f>
        <v>0</v>
      </c>
      <c r="T1881" s="67">
        <f>ROUND(+IF(K1881=0,Q1881*D1881,0),4)</f>
        <v>0</v>
      </c>
      <c r="U1881" s="67">
        <f>ROUND(+N1881+R1881+S1881+T1881,4)</f>
        <v>0</v>
      </c>
      <c r="V1881" s="67">
        <f>ROUND(IF(P1881=0,0,I1881-H1881-O1881)+IF(L1881=0,0,I1881-H1881-K1881),4)</f>
        <v>0</v>
      </c>
      <c r="W1881" s="67">
        <f>ROUND(+(V1881*60%)*D1881,4)</f>
        <v>0</v>
      </c>
      <c r="X1881" s="148">
        <f>ROUND(+U1881+W1881,4)</f>
        <v>0</v>
      </c>
      <c r="Y1881" s="68"/>
      <c r="Z1881" s="148">
        <f>ROUND(IF(X1881&gt;I1881,X1881,I1881),4)</f>
        <v>0</v>
      </c>
      <c r="AD1881" s="78">
        <f t="shared" si="36"/>
        <v>0</v>
      </c>
      <c r="AE1881" s="78">
        <f t="shared" si="37"/>
        <v>0</v>
      </c>
    </row>
    <row r="1882" spans="1:31" x14ac:dyDescent="0.2">
      <c r="A1882" s="66"/>
      <c r="B1882" s="66"/>
      <c r="C1882" s="66"/>
      <c r="D1882" s="144"/>
      <c r="E1882" s="67"/>
      <c r="F1882" s="67"/>
      <c r="G1882" s="67"/>
      <c r="H1882" s="67">
        <f>ROUND(+E1882+G1882,4)</f>
        <v>0</v>
      </c>
      <c r="I1882" s="67"/>
      <c r="J1882" s="67">
        <f>ROUND(+I1882-H1882,4)</f>
        <v>0</v>
      </c>
      <c r="K1882" s="67">
        <f>ROUND(IF(F1882="alluminio",0,I1882*1.5%),4)</f>
        <v>0</v>
      </c>
      <c r="L1882" s="67">
        <f>ROUND(IF(K1882&lt;J1882,K1882,0),4)</f>
        <v>0</v>
      </c>
      <c r="M1882" s="67">
        <f>ROUND(IF(J1882&gt;K1882,0,J1882),4)</f>
        <v>0</v>
      </c>
      <c r="N1882" s="67">
        <f>ROUND(+L1882*D1882,4)</f>
        <v>0</v>
      </c>
      <c r="O1882" s="67">
        <f>ROUND(IF(F1882="rame",0,+I1882*3%),4)</f>
        <v>0</v>
      </c>
      <c r="P1882" s="67">
        <f>ROUND(IF(O1882&lt;J1882,O1882,0),4)</f>
        <v>0</v>
      </c>
      <c r="Q1882" s="67">
        <f>ROUND(IF(J1882&gt;O1882,0,J1882),4)</f>
        <v>0</v>
      </c>
      <c r="R1882" s="67">
        <f>ROUND(+P1882*D1882,4)</f>
        <v>0</v>
      </c>
      <c r="S1882" s="67">
        <f>ROUND(IF(K1882=0,0,M1882*D1882),4)</f>
        <v>0</v>
      </c>
      <c r="T1882" s="67">
        <f>ROUND(+IF(K1882=0,Q1882*D1882,0),4)</f>
        <v>0</v>
      </c>
      <c r="U1882" s="67">
        <f>ROUND(+N1882+R1882+S1882+T1882,4)</f>
        <v>0</v>
      </c>
      <c r="V1882" s="67">
        <f>ROUND(IF(P1882=0,0,I1882-H1882-O1882)+IF(L1882=0,0,I1882-H1882-K1882),4)</f>
        <v>0</v>
      </c>
      <c r="W1882" s="67">
        <f>ROUND(+(V1882*60%)*D1882,4)</f>
        <v>0</v>
      </c>
      <c r="X1882" s="148">
        <f>ROUND(+U1882+W1882,4)</f>
        <v>0</v>
      </c>
      <c r="Y1882" s="68"/>
      <c r="Z1882" s="148">
        <f>ROUND(IF(X1882&gt;I1882,X1882,I1882),4)</f>
        <v>0</v>
      </c>
      <c r="AD1882" s="78">
        <f t="shared" si="36"/>
        <v>0</v>
      </c>
      <c r="AE1882" s="78">
        <f t="shared" si="37"/>
        <v>0</v>
      </c>
    </row>
    <row r="1883" spans="1:31" x14ac:dyDescent="0.2">
      <c r="A1883" s="66"/>
      <c r="B1883" s="66"/>
      <c r="C1883" s="66"/>
      <c r="D1883" s="144"/>
      <c r="E1883" s="67"/>
      <c r="F1883" s="67"/>
      <c r="G1883" s="67"/>
      <c r="H1883" s="67">
        <f>ROUND(+E1883+G1883,4)</f>
        <v>0</v>
      </c>
      <c r="I1883" s="67"/>
      <c r="J1883" s="67">
        <f>ROUND(+I1883-H1883,4)</f>
        <v>0</v>
      </c>
      <c r="K1883" s="67">
        <f>ROUND(IF(F1883="alluminio",0,I1883*1.5%),4)</f>
        <v>0</v>
      </c>
      <c r="L1883" s="67">
        <f>ROUND(IF(K1883&lt;J1883,K1883,0),4)</f>
        <v>0</v>
      </c>
      <c r="M1883" s="67">
        <f>ROUND(IF(J1883&gt;K1883,0,J1883),4)</f>
        <v>0</v>
      </c>
      <c r="N1883" s="67">
        <f>ROUND(+L1883*D1883,4)</f>
        <v>0</v>
      </c>
      <c r="O1883" s="67">
        <f>ROUND(IF(F1883="rame",0,+I1883*3%),4)</f>
        <v>0</v>
      </c>
      <c r="P1883" s="67">
        <f>ROUND(IF(O1883&lt;J1883,O1883,0),4)</f>
        <v>0</v>
      </c>
      <c r="Q1883" s="67">
        <f>ROUND(IF(J1883&gt;O1883,0,J1883),4)</f>
        <v>0</v>
      </c>
      <c r="R1883" s="67">
        <f>ROUND(+P1883*D1883,4)</f>
        <v>0</v>
      </c>
      <c r="S1883" s="67">
        <f>ROUND(IF(K1883=0,0,M1883*D1883),4)</f>
        <v>0</v>
      </c>
      <c r="T1883" s="67">
        <f>ROUND(+IF(K1883=0,Q1883*D1883,0),4)</f>
        <v>0</v>
      </c>
      <c r="U1883" s="67">
        <f>ROUND(+N1883+R1883+S1883+T1883,4)</f>
        <v>0</v>
      </c>
      <c r="V1883" s="67">
        <f>ROUND(IF(P1883=0,0,I1883-H1883-O1883)+IF(L1883=0,0,I1883-H1883-K1883),4)</f>
        <v>0</v>
      </c>
      <c r="W1883" s="67">
        <f>ROUND(+(V1883*60%)*D1883,4)</f>
        <v>0</v>
      </c>
      <c r="X1883" s="148">
        <f>ROUND(+U1883+W1883,4)</f>
        <v>0</v>
      </c>
      <c r="Y1883" s="68"/>
      <c r="Z1883" s="148">
        <f>ROUND(IF(X1883&gt;I1883,X1883,I1883),4)</f>
        <v>0</v>
      </c>
      <c r="AD1883" s="78">
        <f t="shared" si="36"/>
        <v>0</v>
      </c>
      <c r="AE1883" s="78">
        <f t="shared" si="37"/>
        <v>0</v>
      </c>
    </row>
    <row r="1884" spans="1:31" x14ac:dyDescent="0.2">
      <c r="A1884" s="66"/>
      <c r="B1884" s="66"/>
      <c r="C1884" s="66"/>
      <c r="D1884" s="144"/>
      <c r="E1884" s="67"/>
      <c r="F1884" s="67"/>
      <c r="G1884" s="67"/>
      <c r="H1884" s="67">
        <f>ROUND(+E1884+G1884,4)</f>
        <v>0</v>
      </c>
      <c r="I1884" s="67"/>
      <c r="J1884" s="67">
        <f>ROUND(+I1884-H1884,4)</f>
        <v>0</v>
      </c>
      <c r="K1884" s="67">
        <f>ROUND(IF(F1884="alluminio",0,I1884*1.5%),4)</f>
        <v>0</v>
      </c>
      <c r="L1884" s="67">
        <f>ROUND(IF(K1884&lt;J1884,K1884,0),4)</f>
        <v>0</v>
      </c>
      <c r="M1884" s="67">
        <f>ROUND(IF(J1884&gt;K1884,0,J1884),4)</f>
        <v>0</v>
      </c>
      <c r="N1884" s="67">
        <f>ROUND(+L1884*D1884,4)</f>
        <v>0</v>
      </c>
      <c r="O1884" s="67">
        <f>ROUND(IF(F1884="rame",0,+I1884*3%),4)</f>
        <v>0</v>
      </c>
      <c r="P1884" s="67">
        <f>ROUND(IF(O1884&lt;J1884,O1884,0),4)</f>
        <v>0</v>
      </c>
      <c r="Q1884" s="67">
        <f>ROUND(IF(J1884&gt;O1884,0,J1884),4)</f>
        <v>0</v>
      </c>
      <c r="R1884" s="67">
        <f>ROUND(+P1884*D1884,4)</f>
        <v>0</v>
      </c>
      <c r="S1884" s="67">
        <f>ROUND(IF(K1884=0,0,M1884*D1884),4)</f>
        <v>0</v>
      </c>
      <c r="T1884" s="67">
        <f>ROUND(+IF(K1884=0,Q1884*D1884,0),4)</f>
        <v>0</v>
      </c>
      <c r="U1884" s="67">
        <f>ROUND(+N1884+R1884+S1884+T1884,4)</f>
        <v>0</v>
      </c>
      <c r="V1884" s="67">
        <f>ROUND(IF(P1884=0,0,I1884-H1884-O1884)+IF(L1884=0,0,I1884-H1884-K1884),4)</f>
        <v>0</v>
      </c>
      <c r="W1884" s="67">
        <f>ROUND(+(V1884*60%)*D1884,4)</f>
        <v>0</v>
      </c>
      <c r="X1884" s="148">
        <f>ROUND(+U1884+W1884,4)</f>
        <v>0</v>
      </c>
      <c r="Y1884" s="68"/>
      <c r="Z1884" s="148">
        <f>ROUND(IF(X1884&gt;I1884,X1884,I1884),4)</f>
        <v>0</v>
      </c>
      <c r="AD1884" s="78">
        <f t="shared" si="36"/>
        <v>0</v>
      </c>
      <c r="AE1884" s="78">
        <f t="shared" si="37"/>
        <v>0</v>
      </c>
    </row>
    <row r="1885" spans="1:31" x14ac:dyDescent="0.2">
      <c r="A1885" s="66"/>
      <c r="B1885" s="66"/>
      <c r="C1885" s="66"/>
      <c r="D1885" s="144"/>
      <c r="E1885" s="67"/>
      <c r="F1885" s="67"/>
      <c r="G1885" s="67"/>
      <c r="H1885" s="67">
        <f>ROUND(+E1885+G1885,4)</f>
        <v>0</v>
      </c>
      <c r="I1885" s="67"/>
      <c r="J1885" s="67">
        <f>ROUND(+I1885-H1885,4)</f>
        <v>0</v>
      </c>
      <c r="K1885" s="67">
        <f>ROUND(IF(F1885="alluminio",0,I1885*1.5%),4)</f>
        <v>0</v>
      </c>
      <c r="L1885" s="67">
        <f>ROUND(IF(K1885&lt;J1885,K1885,0),4)</f>
        <v>0</v>
      </c>
      <c r="M1885" s="67">
        <f>ROUND(IF(J1885&gt;K1885,0,J1885),4)</f>
        <v>0</v>
      </c>
      <c r="N1885" s="67">
        <f>ROUND(+L1885*D1885,4)</f>
        <v>0</v>
      </c>
      <c r="O1885" s="67">
        <f>ROUND(IF(F1885="rame",0,+I1885*3%),4)</f>
        <v>0</v>
      </c>
      <c r="P1885" s="67">
        <f>ROUND(IF(O1885&lt;J1885,O1885,0),4)</f>
        <v>0</v>
      </c>
      <c r="Q1885" s="67">
        <f>ROUND(IF(J1885&gt;O1885,0,J1885),4)</f>
        <v>0</v>
      </c>
      <c r="R1885" s="67">
        <f>ROUND(+P1885*D1885,4)</f>
        <v>0</v>
      </c>
      <c r="S1885" s="67">
        <f>ROUND(IF(K1885=0,0,M1885*D1885),4)</f>
        <v>0</v>
      </c>
      <c r="T1885" s="67">
        <f>ROUND(+IF(K1885=0,Q1885*D1885,0),4)</f>
        <v>0</v>
      </c>
      <c r="U1885" s="67">
        <f>ROUND(+N1885+R1885+S1885+T1885,4)</f>
        <v>0</v>
      </c>
      <c r="V1885" s="67">
        <f>ROUND(IF(P1885=0,0,I1885-H1885-O1885)+IF(L1885=0,0,I1885-H1885-K1885),4)</f>
        <v>0</v>
      </c>
      <c r="W1885" s="67">
        <f>ROUND(+(V1885*60%)*D1885,4)</f>
        <v>0</v>
      </c>
      <c r="X1885" s="148">
        <f>ROUND(+U1885+W1885,4)</f>
        <v>0</v>
      </c>
      <c r="Y1885" s="68"/>
      <c r="Z1885" s="148">
        <f>ROUND(IF(X1885&gt;I1885,X1885,I1885),4)</f>
        <v>0</v>
      </c>
      <c r="AD1885" s="78">
        <f t="shared" si="36"/>
        <v>0</v>
      </c>
      <c r="AE1885" s="78">
        <f t="shared" si="37"/>
        <v>0</v>
      </c>
    </row>
    <row r="1886" spans="1:31" x14ac:dyDescent="0.2">
      <c r="A1886" s="66"/>
      <c r="B1886" s="66"/>
      <c r="C1886" s="66"/>
      <c r="D1886" s="144"/>
      <c r="E1886" s="67"/>
      <c r="F1886" s="67"/>
      <c r="G1886" s="67"/>
      <c r="H1886" s="67">
        <f>ROUND(+E1886+G1886,4)</f>
        <v>0</v>
      </c>
      <c r="I1886" s="67"/>
      <c r="J1886" s="67">
        <f>ROUND(+I1886-H1886,4)</f>
        <v>0</v>
      </c>
      <c r="K1886" s="67">
        <f>ROUND(IF(F1886="alluminio",0,I1886*1.5%),4)</f>
        <v>0</v>
      </c>
      <c r="L1886" s="67">
        <f>ROUND(IF(K1886&lt;J1886,K1886,0),4)</f>
        <v>0</v>
      </c>
      <c r="M1886" s="67">
        <f>ROUND(IF(J1886&gt;K1886,0,J1886),4)</f>
        <v>0</v>
      </c>
      <c r="N1886" s="67">
        <f>ROUND(+L1886*D1886,4)</f>
        <v>0</v>
      </c>
      <c r="O1886" s="67">
        <f>ROUND(IF(F1886="rame",0,+I1886*3%),4)</f>
        <v>0</v>
      </c>
      <c r="P1886" s="67">
        <f>ROUND(IF(O1886&lt;J1886,O1886,0),4)</f>
        <v>0</v>
      </c>
      <c r="Q1886" s="67">
        <f>ROUND(IF(J1886&gt;O1886,0,J1886),4)</f>
        <v>0</v>
      </c>
      <c r="R1886" s="67">
        <f>ROUND(+P1886*D1886,4)</f>
        <v>0</v>
      </c>
      <c r="S1886" s="67">
        <f>ROUND(IF(K1886=0,0,M1886*D1886),4)</f>
        <v>0</v>
      </c>
      <c r="T1886" s="67">
        <f>ROUND(+IF(K1886=0,Q1886*D1886,0),4)</f>
        <v>0</v>
      </c>
      <c r="U1886" s="67">
        <f>ROUND(+N1886+R1886+S1886+T1886,4)</f>
        <v>0</v>
      </c>
      <c r="V1886" s="67">
        <f>ROUND(IF(P1886=0,0,I1886-H1886-O1886)+IF(L1886=0,0,I1886-H1886-K1886),4)</f>
        <v>0</v>
      </c>
      <c r="W1886" s="67">
        <f>ROUND(+(V1886*60%)*D1886,4)</f>
        <v>0</v>
      </c>
      <c r="X1886" s="148">
        <f>ROUND(+U1886+W1886,4)</f>
        <v>0</v>
      </c>
      <c r="Y1886" s="68"/>
      <c r="Z1886" s="148">
        <f>ROUND(IF(X1886&gt;I1886,X1886,I1886),4)</f>
        <v>0</v>
      </c>
      <c r="AD1886" s="78">
        <f t="shared" si="36"/>
        <v>0</v>
      </c>
      <c r="AE1886" s="78">
        <f t="shared" si="37"/>
        <v>0</v>
      </c>
    </row>
    <row r="1887" spans="1:31" x14ac:dyDescent="0.2">
      <c r="A1887" s="66"/>
      <c r="B1887" s="66"/>
      <c r="C1887" s="66"/>
      <c r="D1887" s="144"/>
      <c r="E1887" s="67"/>
      <c r="F1887" s="67"/>
      <c r="G1887" s="67"/>
      <c r="H1887" s="67">
        <f>ROUND(+E1887+G1887,4)</f>
        <v>0</v>
      </c>
      <c r="I1887" s="67"/>
      <c r="J1887" s="67">
        <f>ROUND(+I1887-H1887,4)</f>
        <v>0</v>
      </c>
      <c r="K1887" s="67">
        <f>ROUND(IF(F1887="alluminio",0,I1887*1.5%),4)</f>
        <v>0</v>
      </c>
      <c r="L1887" s="67">
        <f>ROUND(IF(K1887&lt;J1887,K1887,0),4)</f>
        <v>0</v>
      </c>
      <c r="M1887" s="67">
        <f>ROUND(IF(J1887&gt;K1887,0,J1887),4)</f>
        <v>0</v>
      </c>
      <c r="N1887" s="67">
        <f>ROUND(+L1887*D1887,4)</f>
        <v>0</v>
      </c>
      <c r="O1887" s="67">
        <f>ROUND(IF(F1887="rame",0,+I1887*3%),4)</f>
        <v>0</v>
      </c>
      <c r="P1887" s="67">
        <f>ROUND(IF(O1887&lt;J1887,O1887,0),4)</f>
        <v>0</v>
      </c>
      <c r="Q1887" s="67">
        <f>ROUND(IF(J1887&gt;O1887,0,J1887),4)</f>
        <v>0</v>
      </c>
      <c r="R1887" s="67">
        <f>ROUND(+P1887*D1887,4)</f>
        <v>0</v>
      </c>
      <c r="S1887" s="67">
        <f>ROUND(IF(K1887=0,0,M1887*D1887),4)</f>
        <v>0</v>
      </c>
      <c r="T1887" s="67">
        <f>ROUND(+IF(K1887=0,Q1887*D1887,0),4)</f>
        <v>0</v>
      </c>
      <c r="U1887" s="67">
        <f>ROUND(+N1887+R1887+S1887+T1887,4)</f>
        <v>0</v>
      </c>
      <c r="V1887" s="67">
        <f>ROUND(IF(P1887=0,0,I1887-H1887-O1887)+IF(L1887=0,0,I1887-H1887-K1887),4)</f>
        <v>0</v>
      </c>
      <c r="W1887" s="67">
        <f>ROUND(+(V1887*60%)*D1887,4)</f>
        <v>0</v>
      </c>
      <c r="X1887" s="148">
        <f>ROUND(+U1887+W1887,4)</f>
        <v>0</v>
      </c>
      <c r="Y1887" s="68"/>
      <c r="Z1887" s="148">
        <f>ROUND(IF(X1887&gt;I1887,X1887,I1887),4)</f>
        <v>0</v>
      </c>
      <c r="AD1887" s="78">
        <f t="shared" si="36"/>
        <v>0</v>
      </c>
      <c r="AE1887" s="78">
        <f t="shared" si="37"/>
        <v>0</v>
      </c>
    </row>
    <row r="1888" spans="1:31" x14ac:dyDescent="0.2">
      <c r="A1888" s="66"/>
      <c r="B1888" s="66"/>
      <c r="C1888" s="66"/>
      <c r="D1888" s="144"/>
      <c r="E1888" s="67"/>
      <c r="F1888" s="67"/>
      <c r="G1888" s="67"/>
      <c r="H1888" s="67">
        <f>ROUND(+E1888+G1888,4)</f>
        <v>0</v>
      </c>
      <c r="I1888" s="67"/>
      <c r="J1888" s="67">
        <f>ROUND(+I1888-H1888,4)</f>
        <v>0</v>
      </c>
      <c r="K1888" s="67">
        <f>ROUND(IF(F1888="alluminio",0,I1888*1.5%),4)</f>
        <v>0</v>
      </c>
      <c r="L1888" s="67">
        <f>ROUND(IF(K1888&lt;J1888,K1888,0),4)</f>
        <v>0</v>
      </c>
      <c r="M1888" s="67">
        <f>ROUND(IF(J1888&gt;K1888,0,J1888),4)</f>
        <v>0</v>
      </c>
      <c r="N1888" s="67">
        <f>ROUND(+L1888*D1888,4)</f>
        <v>0</v>
      </c>
      <c r="O1888" s="67">
        <f>ROUND(IF(F1888="rame",0,+I1888*3%),4)</f>
        <v>0</v>
      </c>
      <c r="P1888" s="67">
        <f>ROUND(IF(O1888&lt;J1888,O1888,0),4)</f>
        <v>0</v>
      </c>
      <c r="Q1888" s="67">
        <f>ROUND(IF(J1888&gt;O1888,0,J1888),4)</f>
        <v>0</v>
      </c>
      <c r="R1888" s="67">
        <f>ROUND(+P1888*D1888,4)</f>
        <v>0</v>
      </c>
      <c r="S1888" s="67">
        <f>ROUND(IF(K1888=0,0,M1888*D1888),4)</f>
        <v>0</v>
      </c>
      <c r="T1888" s="67">
        <f>ROUND(+IF(K1888=0,Q1888*D1888,0),4)</f>
        <v>0</v>
      </c>
      <c r="U1888" s="67">
        <f>ROUND(+N1888+R1888+S1888+T1888,4)</f>
        <v>0</v>
      </c>
      <c r="V1888" s="67">
        <f>ROUND(IF(P1888=0,0,I1888-H1888-O1888)+IF(L1888=0,0,I1888-H1888-K1888),4)</f>
        <v>0</v>
      </c>
      <c r="W1888" s="67">
        <f>ROUND(+(V1888*60%)*D1888,4)</f>
        <v>0</v>
      </c>
      <c r="X1888" s="148">
        <f>ROUND(+U1888+W1888,4)</f>
        <v>0</v>
      </c>
      <c r="Y1888" s="68"/>
      <c r="Z1888" s="148">
        <f>ROUND(IF(X1888&gt;I1888,X1888,I1888),4)</f>
        <v>0</v>
      </c>
      <c r="AD1888" s="78">
        <f t="shared" si="36"/>
        <v>0</v>
      </c>
      <c r="AE1888" s="78">
        <f t="shared" si="37"/>
        <v>0</v>
      </c>
    </row>
    <row r="1889" spans="1:31" x14ac:dyDescent="0.2">
      <c r="A1889" s="66"/>
      <c r="B1889" s="66"/>
      <c r="C1889" s="66"/>
      <c r="D1889" s="144"/>
      <c r="E1889" s="67"/>
      <c r="F1889" s="67"/>
      <c r="G1889" s="67"/>
      <c r="H1889" s="67">
        <f>ROUND(+E1889+G1889,4)</f>
        <v>0</v>
      </c>
      <c r="I1889" s="67"/>
      <c r="J1889" s="67">
        <f>ROUND(+I1889-H1889,4)</f>
        <v>0</v>
      </c>
      <c r="K1889" s="67">
        <f>ROUND(IF(F1889="alluminio",0,I1889*1.5%),4)</f>
        <v>0</v>
      </c>
      <c r="L1889" s="67">
        <f>ROUND(IF(K1889&lt;J1889,K1889,0),4)</f>
        <v>0</v>
      </c>
      <c r="M1889" s="67">
        <f>ROUND(IF(J1889&gt;K1889,0,J1889),4)</f>
        <v>0</v>
      </c>
      <c r="N1889" s="67">
        <f>ROUND(+L1889*D1889,4)</f>
        <v>0</v>
      </c>
      <c r="O1889" s="67">
        <f>ROUND(IF(F1889="rame",0,+I1889*3%),4)</f>
        <v>0</v>
      </c>
      <c r="P1889" s="67">
        <f>ROUND(IF(O1889&lt;J1889,O1889,0),4)</f>
        <v>0</v>
      </c>
      <c r="Q1889" s="67">
        <f>ROUND(IF(J1889&gt;O1889,0,J1889),4)</f>
        <v>0</v>
      </c>
      <c r="R1889" s="67">
        <f>ROUND(+P1889*D1889,4)</f>
        <v>0</v>
      </c>
      <c r="S1889" s="67">
        <f>ROUND(IF(K1889=0,0,M1889*D1889),4)</f>
        <v>0</v>
      </c>
      <c r="T1889" s="67">
        <f>ROUND(+IF(K1889=0,Q1889*D1889,0),4)</f>
        <v>0</v>
      </c>
      <c r="U1889" s="67">
        <f>ROUND(+N1889+R1889+S1889+T1889,4)</f>
        <v>0</v>
      </c>
      <c r="V1889" s="67">
        <f>ROUND(IF(P1889=0,0,I1889-H1889-O1889)+IF(L1889=0,0,I1889-H1889-K1889),4)</f>
        <v>0</v>
      </c>
      <c r="W1889" s="67">
        <f>ROUND(+(V1889*60%)*D1889,4)</f>
        <v>0</v>
      </c>
      <c r="X1889" s="148">
        <f>ROUND(+U1889+W1889,4)</f>
        <v>0</v>
      </c>
      <c r="Y1889" s="68"/>
      <c r="Z1889" s="148">
        <f>ROUND(IF(X1889&gt;I1889,X1889,I1889),4)</f>
        <v>0</v>
      </c>
      <c r="AD1889" s="78">
        <f t="shared" si="36"/>
        <v>0</v>
      </c>
      <c r="AE1889" s="78">
        <f t="shared" si="37"/>
        <v>0</v>
      </c>
    </row>
    <row r="1890" spans="1:31" x14ac:dyDescent="0.2">
      <c r="A1890" s="66"/>
      <c r="B1890" s="66"/>
      <c r="C1890" s="66"/>
      <c r="D1890" s="144"/>
      <c r="E1890" s="67"/>
      <c r="F1890" s="67"/>
      <c r="G1890" s="67"/>
      <c r="H1890" s="67">
        <f>ROUND(+E1890+G1890,4)</f>
        <v>0</v>
      </c>
      <c r="I1890" s="67"/>
      <c r="J1890" s="67">
        <f>ROUND(+I1890-H1890,4)</f>
        <v>0</v>
      </c>
      <c r="K1890" s="67">
        <f>ROUND(IF(F1890="alluminio",0,I1890*1.5%),4)</f>
        <v>0</v>
      </c>
      <c r="L1890" s="67">
        <f>ROUND(IF(K1890&lt;J1890,K1890,0),4)</f>
        <v>0</v>
      </c>
      <c r="M1890" s="67">
        <f>ROUND(IF(J1890&gt;K1890,0,J1890),4)</f>
        <v>0</v>
      </c>
      <c r="N1890" s="67">
        <f>ROUND(+L1890*D1890,4)</f>
        <v>0</v>
      </c>
      <c r="O1890" s="67">
        <f>ROUND(IF(F1890="rame",0,+I1890*3%),4)</f>
        <v>0</v>
      </c>
      <c r="P1890" s="67">
        <f>ROUND(IF(O1890&lt;J1890,O1890,0),4)</f>
        <v>0</v>
      </c>
      <c r="Q1890" s="67">
        <f>ROUND(IF(J1890&gt;O1890,0,J1890),4)</f>
        <v>0</v>
      </c>
      <c r="R1890" s="67">
        <f>ROUND(+P1890*D1890,4)</f>
        <v>0</v>
      </c>
      <c r="S1890" s="67">
        <f>ROUND(IF(K1890=0,0,M1890*D1890),4)</f>
        <v>0</v>
      </c>
      <c r="T1890" s="67">
        <f>ROUND(+IF(K1890=0,Q1890*D1890,0),4)</f>
        <v>0</v>
      </c>
      <c r="U1890" s="67">
        <f>ROUND(+N1890+R1890+S1890+T1890,4)</f>
        <v>0</v>
      </c>
      <c r="V1890" s="67">
        <f>ROUND(IF(P1890=0,0,I1890-H1890-O1890)+IF(L1890=0,0,I1890-H1890-K1890),4)</f>
        <v>0</v>
      </c>
      <c r="W1890" s="67">
        <f>ROUND(+(V1890*60%)*D1890,4)</f>
        <v>0</v>
      </c>
      <c r="X1890" s="148">
        <f>ROUND(+U1890+W1890,4)</f>
        <v>0</v>
      </c>
      <c r="Y1890" s="68"/>
      <c r="Z1890" s="148">
        <f>ROUND(IF(X1890&gt;I1890,X1890,I1890),4)</f>
        <v>0</v>
      </c>
      <c r="AD1890" s="78">
        <f t="shared" si="36"/>
        <v>0</v>
      </c>
      <c r="AE1890" s="78">
        <f t="shared" si="37"/>
        <v>0</v>
      </c>
    </row>
    <row r="1891" spans="1:31" x14ac:dyDescent="0.2">
      <c r="A1891" s="66"/>
      <c r="B1891" s="66"/>
      <c r="C1891" s="66"/>
      <c r="D1891" s="144"/>
      <c r="E1891" s="67"/>
      <c r="F1891" s="67"/>
      <c r="G1891" s="67"/>
      <c r="H1891" s="67">
        <f>ROUND(+E1891+G1891,4)</f>
        <v>0</v>
      </c>
      <c r="I1891" s="67"/>
      <c r="J1891" s="67">
        <f>ROUND(+I1891-H1891,4)</f>
        <v>0</v>
      </c>
      <c r="K1891" s="67">
        <f>ROUND(IF(F1891="alluminio",0,I1891*1.5%),4)</f>
        <v>0</v>
      </c>
      <c r="L1891" s="67">
        <f>ROUND(IF(K1891&lt;J1891,K1891,0),4)</f>
        <v>0</v>
      </c>
      <c r="M1891" s="67">
        <f>ROUND(IF(J1891&gt;K1891,0,J1891),4)</f>
        <v>0</v>
      </c>
      <c r="N1891" s="67">
        <f>ROUND(+L1891*D1891,4)</f>
        <v>0</v>
      </c>
      <c r="O1891" s="67">
        <f>ROUND(IF(F1891="rame",0,+I1891*3%),4)</f>
        <v>0</v>
      </c>
      <c r="P1891" s="67">
        <f>ROUND(IF(O1891&lt;J1891,O1891,0),4)</f>
        <v>0</v>
      </c>
      <c r="Q1891" s="67">
        <f>ROUND(IF(J1891&gt;O1891,0,J1891),4)</f>
        <v>0</v>
      </c>
      <c r="R1891" s="67">
        <f>ROUND(+P1891*D1891,4)</f>
        <v>0</v>
      </c>
      <c r="S1891" s="67">
        <f>ROUND(IF(K1891=0,0,M1891*D1891),4)</f>
        <v>0</v>
      </c>
      <c r="T1891" s="67">
        <f>ROUND(+IF(K1891=0,Q1891*D1891,0),4)</f>
        <v>0</v>
      </c>
      <c r="U1891" s="67">
        <f>ROUND(+N1891+R1891+S1891+T1891,4)</f>
        <v>0</v>
      </c>
      <c r="V1891" s="67">
        <f>ROUND(IF(P1891=0,0,I1891-H1891-O1891)+IF(L1891=0,0,I1891-H1891-K1891),4)</f>
        <v>0</v>
      </c>
      <c r="W1891" s="67">
        <f>ROUND(+(V1891*60%)*D1891,4)</f>
        <v>0</v>
      </c>
      <c r="X1891" s="148">
        <f>ROUND(+U1891+W1891,4)</f>
        <v>0</v>
      </c>
      <c r="Y1891" s="68"/>
      <c r="Z1891" s="148">
        <f>ROUND(IF(X1891&gt;I1891,X1891,I1891),4)</f>
        <v>0</v>
      </c>
      <c r="AD1891" s="78">
        <f t="shared" si="36"/>
        <v>0</v>
      </c>
      <c r="AE1891" s="78">
        <f t="shared" si="37"/>
        <v>0</v>
      </c>
    </row>
    <row r="1892" spans="1:31" x14ac:dyDescent="0.2">
      <c r="A1892" s="66"/>
      <c r="B1892" s="66"/>
      <c r="C1892" s="66"/>
      <c r="D1892" s="144"/>
      <c r="E1892" s="67"/>
      <c r="F1892" s="67"/>
      <c r="G1892" s="67"/>
      <c r="H1892" s="67">
        <f>ROUND(+E1892+G1892,4)</f>
        <v>0</v>
      </c>
      <c r="I1892" s="67"/>
      <c r="J1892" s="67">
        <f>ROUND(+I1892-H1892,4)</f>
        <v>0</v>
      </c>
      <c r="K1892" s="67">
        <f>ROUND(IF(F1892="alluminio",0,I1892*1.5%),4)</f>
        <v>0</v>
      </c>
      <c r="L1892" s="67">
        <f>ROUND(IF(K1892&lt;J1892,K1892,0),4)</f>
        <v>0</v>
      </c>
      <c r="M1892" s="67">
        <f>ROUND(IF(J1892&gt;K1892,0,J1892),4)</f>
        <v>0</v>
      </c>
      <c r="N1892" s="67">
        <f>ROUND(+L1892*D1892,4)</f>
        <v>0</v>
      </c>
      <c r="O1892" s="67">
        <f>ROUND(IF(F1892="rame",0,+I1892*3%),4)</f>
        <v>0</v>
      </c>
      <c r="P1892" s="67">
        <f>ROUND(IF(O1892&lt;J1892,O1892,0),4)</f>
        <v>0</v>
      </c>
      <c r="Q1892" s="67">
        <f>ROUND(IF(J1892&gt;O1892,0,J1892),4)</f>
        <v>0</v>
      </c>
      <c r="R1892" s="67">
        <f>ROUND(+P1892*D1892,4)</f>
        <v>0</v>
      </c>
      <c r="S1892" s="67">
        <f>ROUND(IF(K1892=0,0,M1892*D1892),4)</f>
        <v>0</v>
      </c>
      <c r="T1892" s="67">
        <f>ROUND(+IF(K1892=0,Q1892*D1892,0),4)</f>
        <v>0</v>
      </c>
      <c r="U1892" s="67">
        <f>ROUND(+N1892+R1892+S1892+T1892,4)</f>
        <v>0</v>
      </c>
      <c r="V1892" s="67">
        <f>ROUND(IF(P1892=0,0,I1892-H1892-O1892)+IF(L1892=0,0,I1892-H1892-K1892),4)</f>
        <v>0</v>
      </c>
      <c r="W1892" s="67">
        <f>ROUND(+(V1892*60%)*D1892,4)</f>
        <v>0</v>
      </c>
      <c r="X1892" s="148">
        <f>ROUND(+U1892+W1892,4)</f>
        <v>0</v>
      </c>
      <c r="Y1892" s="68"/>
      <c r="Z1892" s="148">
        <f>ROUND(IF(X1892&gt;I1892,X1892,I1892),4)</f>
        <v>0</v>
      </c>
      <c r="AD1892" s="78">
        <f t="shared" si="36"/>
        <v>0</v>
      </c>
      <c r="AE1892" s="78">
        <f t="shared" si="37"/>
        <v>0</v>
      </c>
    </row>
    <row r="1893" spans="1:31" x14ac:dyDescent="0.2">
      <c r="A1893" s="66"/>
      <c r="B1893" s="66"/>
      <c r="C1893" s="66"/>
      <c r="D1893" s="144"/>
      <c r="E1893" s="67"/>
      <c r="F1893" s="67"/>
      <c r="G1893" s="67"/>
      <c r="H1893" s="67">
        <f>ROUND(+E1893+G1893,4)</f>
        <v>0</v>
      </c>
      <c r="I1893" s="67"/>
      <c r="J1893" s="67">
        <f>ROUND(+I1893-H1893,4)</f>
        <v>0</v>
      </c>
      <c r="K1893" s="67">
        <f>ROUND(IF(F1893="alluminio",0,I1893*1.5%),4)</f>
        <v>0</v>
      </c>
      <c r="L1893" s="67">
        <f>ROUND(IF(K1893&lt;J1893,K1893,0),4)</f>
        <v>0</v>
      </c>
      <c r="M1893" s="67">
        <f>ROUND(IF(J1893&gt;K1893,0,J1893),4)</f>
        <v>0</v>
      </c>
      <c r="N1893" s="67">
        <f>ROUND(+L1893*D1893,4)</f>
        <v>0</v>
      </c>
      <c r="O1893" s="67">
        <f>ROUND(IF(F1893="rame",0,+I1893*3%),4)</f>
        <v>0</v>
      </c>
      <c r="P1893" s="67">
        <f>ROUND(IF(O1893&lt;J1893,O1893,0),4)</f>
        <v>0</v>
      </c>
      <c r="Q1893" s="67">
        <f>ROUND(IF(J1893&gt;O1893,0,J1893),4)</f>
        <v>0</v>
      </c>
      <c r="R1893" s="67">
        <f>ROUND(+P1893*D1893,4)</f>
        <v>0</v>
      </c>
      <c r="S1893" s="67">
        <f>ROUND(IF(K1893=0,0,M1893*D1893),4)</f>
        <v>0</v>
      </c>
      <c r="T1893" s="67">
        <f>ROUND(+IF(K1893=0,Q1893*D1893,0),4)</f>
        <v>0</v>
      </c>
      <c r="U1893" s="67">
        <f>ROUND(+N1893+R1893+S1893+T1893,4)</f>
        <v>0</v>
      </c>
      <c r="V1893" s="67">
        <f>ROUND(IF(P1893=0,0,I1893-H1893-O1893)+IF(L1893=0,0,I1893-H1893-K1893),4)</f>
        <v>0</v>
      </c>
      <c r="W1893" s="67">
        <f>ROUND(+(V1893*60%)*D1893,4)</f>
        <v>0</v>
      </c>
      <c r="X1893" s="148">
        <f>ROUND(+U1893+W1893,4)</f>
        <v>0</v>
      </c>
      <c r="Y1893" s="68"/>
      <c r="Z1893" s="148">
        <f>ROUND(IF(X1893&gt;I1893,X1893,I1893),4)</f>
        <v>0</v>
      </c>
      <c r="AD1893" s="78">
        <f t="shared" si="36"/>
        <v>0</v>
      </c>
      <c r="AE1893" s="78">
        <f t="shared" si="37"/>
        <v>0</v>
      </c>
    </row>
    <row r="1894" spans="1:31" x14ac:dyDescent="0.2">
      <c r="A1894" s="66"/>
      <c r="B1894" s="66"/>
      <c r="C1894" s="66"/>
      <c r="D1894" s="144"/>
      <c r="E1894" s="67"/>
      <c r="F1894" s="67"/>
      <c r="G1894" s="67"/>
      <c r="H1894" s="67">
        <f>ROUND(+E1894+G1894,4)</f>
        <v>0</v>
      </c>
      <c r="I1894" s="67"/>
      <c r="J1894" s="67">
        <f>ROUND(+I1894-H1894,4)</f>
        <v>0</v>
      </c>
      <c r="K1894" s="67">
        <f>ROUND(IF(F1894="alluminio",0,I1894*1.5%),4)</f>
        <v>0</v>
      </c>
      <c r="L1894" s="67">
        <f>ROUND(IF(K1894&lt;J1894,K1894,0),4)</f>
        <v>0</v>
      </c>
      <c r="M1894" s="67">
        <f>ROUND(IF(J1894&gt;K1894,0,J1894),4)</f>
        <v>0</v>
      </c>
      <c r="N1894" s="67">
        <f>ROUND(+L1894*D1894,4)</f>
        <v>0</v>
      </c>
      <c r="O1894" s="67">
        <f>ROUND(IF(F1894="rame",0,+I1894*3%),4)</f>
        <v>0</v>
      </c>
      <c r="P1894" s="67">
        <f>ROUND(IF(O1894&lt;J1894,O1894,0),4)</f>
        <v>0</v>
      </c>
      <c r="Q1894" s="67">
        <f>ROUND(IF(J1894&gt;O1894,0,J1894),4)</f>
        <v>0</v>
      </c>
      <c r="R1894" s="67">
        <f>ROUND(+P1894*D1894,4)</f>
        <v>0</v>
      </c>
      <c r="S1894" s="67">
        <f>ROUND(IF(K1894=0,0,M1894*D1894),4)</f>
        <v>0</v>
      </c>
      <c r="T1894" s="67">
        <f>ROUND(+IF(K1894=0,Q1894*D1894,0),4)</f>
        <v>0</v>
      </c>
      <c r="U1894" s="67">
        <f>ROUND(+N1894+R1894+S1894+T1894,4)</f>
        <v>0</v>
      </c>
      <c r="V1894" s="67">
        <f>ROUND(IF(P1894=0,0,I1894-H1894-O1894)+IF(L1894=0,0,I1894-H1894-K1894),4)</f>
        <v>0</v>
      </c>
      <c r="W1894" s="67">
        <f>ROUND(+(V1894*60%)*D1894,4)</f>
        <v>0</v>
      </c>
      <c r="X1894" s="148">
        <f>ROUND(+U1894+W1894,4)</f>
        <v>0</v>
      </c>
      <c r="Y1894" s="68"/>
      <c r="Z1894" s="148">
        <f>ROUND(IF(X1894&gt;I1894,X1894,I1894),4)</f>
        <v>0</v>
      </c>
      <c r="AD1894" s="78">
        <f t="shared" si="36"/>
        <v>0</v>
      </c>
      <c r="AE1894" s="78">
        <f t="shared" si="37"/>
        <v>0</v>
      </c>
    </row>
    <row r="1895" spans="1:31" x14ac:dyDescent="0.2">
      <c r="A1895" s="66"/>
      <c r="B1895" s="66"/>
      <c r="C1895" s="66"/>
      <c r="D1895" s="144"/>
      <c r="E1895" s="67"/>
      <c r="F1895" s="67"/>
      <c r="G1895" s="67"/>
      <c r="H1895" s="67">
        <f>ROUND(+E1895+G1895,4)</f>
        <v>0</v>
      </c>
      <c r="I1895" s="67"/>
      <c r="J1895" s="67">
        <f>ROUND(+I1895-H1895,4)</f>
        <v>0</v>
      </c>
      <c r="K1895" s="67">
        <f>ROUND(IF(F1895="alluminio",0,I1895*1.5%),4)</f>
        <v>0</v>
      </c>
      <c r="L1895" s="67">
        <f>ROUND(IF(K1895&lt;J1895,K1895,0),4)</f>
        <v>0</v>
      </c>
      <c r="M1895" s="67">
        <f>ROUND(IF(J1895&gt;K1895,0,J1895),4)</f>
        <v>0</v>
      </c>
      <c r="N1895" s="67">
        <f>ROUND(+L1895*D1895,4)</f>
        <v>0</v>
      </c>
      <c r="O1895" s="67">
        <f>ROUND(IF(F1895="rame",0,+I1895*3%),4)</f>
        <v>0</v>
      </c>
      <c r="P1895" s="67">
        <f>ROUND(IF(O1895&lt;J1895,O1895,0),4)</f>
        <v>0</v>
      </c>
      <c r="Q1895" s="67">
        <f>ROUND(IF(J1895&gt;O1895,0,J1895),4)</f>
        <v>0</v>
      </c>
      <c r="R1895" s="67">
        <f>ROUND(+P1895*D1895,4)</f>
        <v>0</v>
      </c>
      <c r="S1895" s="67">
        <f>ROUND(IF(K1895=0,0,M1895*D1895),4)</f>
        <v>0</v>
      </c>
      <c r="T1895" s="67">
        <f>ROUND(+IF(K1895=0,Q1895*D1895,0),4)</f>
        <v>0</v>
      </c>
      <c r="U1895" s="67">
        <f>ROUND(+N1895+R1895+S1895+T1895,4)</f>
        <v>0</v>
      </c>
      <c r="V1895" s="67">
        <f>ROUND(IF(P1895=0,0,I1895-H1895-O1895)+IF(L1895=0,0,I1895-H1895-K1895),4)</f>
        <v>0</v>
      </c>
      <c r="W1895" s="67">
        <f>ROUND(+(V1895*60%)*D1895,4)</f>
        <v>0</v>
      </c>
      <c r="X1895" s="148">
        <f>ROUND(+U1895+W1895,4)</f>
        <v>0</v>
      </c>
      <c r="Y1895" s="68"/>
      <c r="Z1895" s="148">
        <f>ROUND(IF(X1895&gt;I1895,X1895,I1895),4)</f>
        <v>0</v>
      </c>
      <c r="AD1895" s="78">
        <f t="shared" si="36"/>
        <v>0</v>
      </c>
      <c r="AE1895" s="78">
        <f t="shared" si="37"/>
        <v>0</v>
      </c>
    </row>
    <row r="1896" spans="1:31" x14ac:dyDescent="0.2">
      <c r="A1896" s="66"/>
      <c r="B1896" s="66"/>
      <c r="C1896" s="66"/>
      <c r="D1896" s="144"/>
      <c r="E1896" s="67"/>
      <c r="F1896" s="67"/>
      <c r="G1896" s="67"/>
      <c r="H1896" s="67">
        <f>ROUND(+E1896+G1896,4)</f>
        <v>0</v>
      </c>
      <c r="I1896" s="67"/>
      <c r="J1896" s="67">
        <f>ROUND(+I1896-H1896,4)</f>
        <v>0</v>
      </c>
      <c r="K1896" s="67">
        <f>ROUND(IF(F1896="alluminio",0,I1896*1.5%),4)</f>
        <v>0</v>
      </c>
      <c r="L1896" s="67">
        <f>ROUND(IF(K1896&lt;J1896,K1896,0),4)</f>
        <v>0</v>
      </c>
      <c r="M1896" s="67">
        <f>ROUND(IF(J1896&gt;K1896,0,J1896),4)</f>
        <v>0</v>
      </c>
      <c r="N1896" s="67">
        <f>ROUND(+L1896*D1896,4)</f>
        <v>0</v>
      </c>
      <c r="O1896" s="67">
        <f>ROUND(IF(F1896="rame",0,+I1896*3%),4)</f>
        <v>0</v>
      </c>
      <c r="P1896" s="67">
        <f>ROUND(IF(O1896&lt;J1896,O1896,0),4)</f>
        <v>0</v>
      </c>
      <c r="Q1896" s="67">
        <f>ROUND(IF(J1896&gt;O1896,0,J1896),4)</f>
        <v>0</v>
      </c>
      <c r="R1896" s="67">
        <f>ROUND(+P1896*D1896,4)</f>
        <v>0</v>
      </c>
      <c r="S1896" s="67">
        <f>ROUND(IF(K1896=0,0,M1896*D1896),4)</f>
        <v>0</v>
      </c>
      <c r="T1896" s="67">
        <f>ROUND(+IF(K1896=0,Q1896*D1896,0),4)</f>
        <v>0</v>
      </c>
      <c r="U1896" s="67">
        <f>ROUND(+N1896+R1896+S1896+T1896,4)</f>
        <v>0</v>
      </c>
      <c r="V1896" s="67">
        <f>ROUND(IF(P1896=0,0,I1896-H1896-O1896)+IF(L1896=0,0,I1896-H1896-K1896),4)</f>
        <v>0</v>
      </c>
      <c r="W1896" s="67">
        <f>ROUND(+(V1896*60%)*D1896,4)</f>
        <v>0</v>
      </c>
      <c r="X1896" s="148">
        <f>ROUND(+U1896+W1896,4)</f>
        <v>0</v>
      </c>
      <c r="Y1896" s="68"/>
      <c r="Z1896" s="148">
        <f>ROUND(IF(X1896&gt;I1896,X1896,I1896),4)</f>
        <v>0</v>
      </c>
      <c r="AD1896" s="78">
        <f t="shared" si="36"/>
        <v>0</v>
      </c>
      <c r="AE1896" s="78">
        <f t="shared" si="37"/>
        <v>0</v>
      </c>
    </row>
    <row r="1897" spans="1:31" x14ac:dyDescent="0.2">
      <c r="A1897" s="66"/>
      <c r="B1897" s="66"/>
      <c r="C1897" s="66"/>
      <c r="D1897" s="144"/>
      <c r="E1897" s="67"/>
      <c r="F1897" s="67"/>
      <c r="G1897" s="67"/>
      <c r="H1897" s="67">
        <f>ROUND(+E1897+G1897,4)</f>
        <v>0</v>
      </c>
      <c r="I1897" s="67"/>
      <c r="J1897" s="67">
        <f>ROUND(+I1897-H1897,4)</f>
        <v>0</v>
      </c>
      <c r="K1897" s="67">
        <f>ROUND(IF(F1897="alluminio",0,I1897*1.5%),4)</f>
        <v>0</v>
      </c>
      <c r="L1897" s="67">
        <f>ROUND(IF(K1897&lt;J1897,K1897,0),4)</f>
        <v>0</v>
      </c>
      <c r="M1897" s="67">
        <f>ROUND(IF(J1897&gt;K1897,0,J1897),4)</f>
        <v>0</v>
      </c>
      <c r="N1897" s="67">
        <f>ROUND(+L1897*D1897,4)</f>
        <v>0</v>
      </c>
      <c r="O1897" s="67">
        <f>ROUND(IF(F1897="rame",0,+I1897*3%),4)</f>
        <v>0</v>
      </c>
      <c r="P1897" s="67">
        <f>ROUND(IF(O1897&lt;J1897,O1897,0),4)</f>
        <v>0</v>
      </c>
      <c r="Q1897" s="67">
        <f>ROUND(IF(J1897&gt;O1897,0,J1897),4)</f>
        <v>0</v>
      </c>
      <c r="R1897" s="67">
        <f>ROUND(+P1897*D1897,4)</f>
        <v>0</v>
      </c>
      <c r="S1897" s="67">
        <f>ROUND(IF(K1897=0,0,M1897*D1897),4)</f>
        <v>0</v>
      </c>
      <c r="T1897" s="67">
        <f>ROUND(+IF(K1897=0,Q1897*D1897,0),4)</f>
        <v>0</v>
      </c>
      <c r="U1897" s="67">
        <f>ROUND(+N1897+R1897+S1897+T1897,4)</f>
        <v>0</v>
      </c>
      <c r="V1897" s="67">
        <f>ROUND(IF(P1897=0,0,I1897-H1897-O1897)+IF(L1897=0,0,I1897-H1897-K1897),4)</f>
        <v>0</v>
      </c>
      <c r="W1897" s="67">
        <f>ROUND(+(V1897*60%)*D1897,4)</f>
        <v>0</v>
      </c>
      <c r="X1897" s="148">
        <f>ROUND(+U1897+W1897,4)</f>
        <v>0</v>
      </c>
      <c r="Y1897" s="68"/>
      <c r="Z1897" s="148">
        <f>ROUND(IF(X1897&gt;I1897,X1897,I1897),4)</f>
        <v>0</v>
      </c>
      <c r="AD1897" s="78">
        <f t="shared" si="36"/>
        <v>0</v>
      </c>
      <c r="AE1897" s="78">
        <f t="shared" si="37"/>
        <v>0</v>
      </c>
    </row>
    <row r="1898" spans="1:31" x14ac:dyDescent="0.2">
      <c r="A1898" s="66"/>
      <c r="B1898" s="66"/>
      <c r="C1898" s="66"/>
      <c r="D1898" s="144"/>
      <c r="E1898" s="67"/>
      <c r="F1898" s="67"/>
      <c r="G1898" s="67"/>
      <c r="H1898" s="67">
        <f>ROUND(+E1898+G1898,4)</f>
        <v>0</v>
      </c>
      <c r="I1898" s="67"/>
      <c r="J1898" s="67">
        <f>ROUND(+I1898-H1898,4)</f>
        <v>0</v>
      </c>
      <c r="K1898" s="67">
        <f>ROUND(IF(F1898="alluminio",0,I1898*1.5%),4)</f>
        <v>0</v>
      </c>
      <c r="L1898" s="67">
        <f>ROUND(IF(K1898&lt;J1898,K1898,0),4)</f>
        <v>0</v>
      </c>
      <c r="M1898" s="67">
        <f>ROUND(IF(J1898&gt;K1898,0,J1898),4)</f>
        <v>0</v>
      </c>
      <c r="N1898" s="67">
        <f>ROUND(+L1898*D1898,4)</f>
        <v>0</v>
      </c>
      <c r="O1898" s="67">
        <f>ROUND(IF(F1898="rame",0,+I1898*3%),4)</f>
        <v>0</v>
      </c>
      <c r="P1898" s="67">
        <f>ROUND(IF(O1898&lt;J1898,O1898,0),4)</f>
        <v>0</v>
      </c>
      <c r="Q1898" s="67">
        <f>ROUND(IF(J1898&gt;O1898,0,J1898),4)</f>
        <v>0</v>
      </c>
      <c r="R1898" s="67">
        <f>ROUND(+P1898*D1898,4)</f>
        <v>0</v>
      </c>
      <c r="S1898" s="67">
        <f>ROUND(IF(K1898=0,0,M1898*D1898),4)</f>
        <v>0</v>
      </c>
      <c r="T1898" s="67">
        <f>ROUND(+IF(K1898=0,Q1898*D1898,0),4)</f>
        <v>0</v>
      </c>
      <c r="U1898" s="67">
        <f>ROUND(+N1898+R1898+S1898+T1898,4)</f>
        <v>0</v>
      </c>
      <c r="V1898" s="67">
        <f>ROUND(IF(P1898=0,0,I1898-H1898-O1898)+IF(L1898=0,0,I1898-H1898-K1898),4)</f>
        <v>0</v>
      </c>
      <c r="W1898" s="67">
        <f>ROUND(+(V1898*60%)*D1898,4)</f>
        <v>0</v>
      </c>
      <c r="X1898" s="148">
        <f>ROUND(+U1898+W1898,4)</f>
        <v>0</v>
      </c>
      <c r="Y1898" s="68"/>
      <c r="Z1898" s="148">
        <f>ROUND(IF(X1898&gt;I1898,X1898,I1898),4)</f>
        <v>0</v>
      </c>
      <c r="AD1898" s="78">
        <f t="shared" si="36"/>
        <v>0</v>
      </c>
      <c r="AE1898" s="78">
        <f t="shared" si="37"/>
        <v>0</v>
      </c>
    </row>
    <row r="1899" spans="1:31" x14ac:dyDescent="0.2">
      <c r="A1899" s="66"/>
      <c r="B1899" s="66"/>
      <c r="C1899" s="66"/>
      <c r="D1899" s="144"/>
      <c r="E1899" s="67"/>
      <c r="F1899" s="67"/>
      <c r="G1899" s="67"/>
      <c r="H1899" s="67">
        <f>ROUND(+E1899+G1899,4)</f>
        <v>0</v>
      </c>
      <c r="I1899" s="67"/>
      <c r="J1899" s="67">
        <f>ROUND(+I1899-H1899,4)</f>
        <v>0</v>
      </c>
      <c r="K1899" s="67">
        <f>ROUND(IF(F1899="alluminio",0,I1899*1.5%),4)</f>
        <v>0</v>
      </c>
      <c r="L1899" s="67">
        <f>ROUND(IF(K1899&lt;J1899,K1899,0),4)</f>
        <v>0</v>
      </c>
      <c r="M1899" s="67">
        <f>ROUND(IF(J1899&gt;K1899,0,J1899),4)</f>
        <v>0</v>
      </c>
      <c r="N1899" s="67">
        <f>ROUND(+L1899*D1899,4)</f>
        <v>0</v>
      </c>
      <c r="O1899" s="67">
        <f>ROUND(IF(F1899="rame",0,+I1899*3%),4)</f>
        <v>0</v>
      </c>
      <c r="P1899" s="67">
        <f>ROUND(IF(O1899&lt;J1899,O1899,0),4)</f>
        <v>0</v>
      </c>
      <c r="Q1899" s="67">
        <f>ROUND(IF(J1899&gt;O1899,0,J1899),4)</f>
        <v>0</v>
      </c>
      <c r="R1899" s="67">
        <f>ROUND(+P1899*D1899,4)</f>
        <v>0</v>
      </c>
      <c r="S1899" s="67">
        <f>ROUND(IF(K1899=0,0,M1899*D1899),4)</f>
        <v>0</v>
      </c>
      <c r="T1899" s="67">
        <f>ROUND(+IF(K1899=0,Q1899*D1899,0),4)</f>
        <v>0</v>
      </c>
      <c r="U1899" s="67">
        <f>ROUND(+N1899+R1899+S1899+T1899,4)</f>
        <v>0</v>
      </c>
      <c r="V1899" s="67">
        <f>ROUND(IF(P1899=0,0,I1899-H1899-O1899)+IF(L1899=0,0,I1899-H1899-K1899),4)</f>
        <v>0</v>
      </c>
      <c r="W1899" s="67">
        <f>ROUND(+(V1899*60%)*D1899,4)</f>
        <v>0</v>
      </c>
      <c r="X1899" s="148">
        <f>ROUND(+U1899+W1899,4)</f>
        <v>0</v>
      </c>
      <c r="Y1899" s="68"/>
      <c r="Z1899" s="148">
        <f>ROUND(IF(X1899&gt;I1899,X1899,I1899),4)</f>
        <v>0</v>
      </c>
      <c r="AD1899" s="78">
        <f t="shared" si="36"/>
        <v>0</v>
      </c>
      <c r="AE1899" s="78">
        <f t="shared" si="37"/>
        <v>0</v>
      </c>
    </row>
    <row r="1900" spans="1:31" x14ac:dyDescent="0.2">
      <c r="A1900" s="66"/>
      <c r="B1900" s="66"/>
      <c r="C1900" s="66"/>
      <c r="D1900" s="144"/>
      <c r="E1900" s="67"/>
      <c r="F1900" s="67"/>
      <c r="G1900" s="67"/>
      <c r="H1900" s="67">
        <f>ROUND(+E1900+G1900,4)</f>
        <v>0</v>
      </c>
      <c r="I1900" s="67"/>
      <c r="J1900" s="67">
        <f>ROUND(+I1900-H1900,4)</f>
        <v>0</v>
      </c>
      <c r="K1900" s="67">
        <f>ROUND(IF(F1900="alluminio",0,I1900*1.5%),4)</f>
        <v>0</v>
      </c>
      <c r="L1900" s="67">
        <f>ROUND(IF(K1900&lt;J1900,K1900,0),4)</f>
        <v>0</v>
      </c>
      <c r="M1900" s="67">
        <f>ROUND(IF(J1900&gt;K1900,0,J1900),4)</f>
        <v>0</v>
      </c>
      <c r="N1900" s="67">
        <f>ROUND(+L1900*D1900,4)</f>
        <v>0</v>
      </c>
      <c r="O1900" s="67">
        <f>ROUND(IF(F1900="rame",0,+I1900*3%),4)</f>
        <v>0</v>
      </c>
      <c r="P1900" s="67">
        <f>ROUND(IF(O1900&lt;J1900,O1900,0),4)</f>
        <v>0</v>
      </c>
      <c r="Q1900" s="67">
        <f>ROUND(IF(J1900&gt;O1900,0,J1900),4)</f>
        <v>0</v>
      </c>
      <c r="R1900" s="67">
        <f>ROUND(+P1900*D1900,4)</f>
        <v>0</v>
      </c>
      <c r="S1900" s="67">
        <f>ROUND(IF(K1900=0,0,M1900*D1900),4)</f>
        <v>0</v>
      </c>
      <c r="T1900" s="67">
        <f>ROUND(+IF(K1900=0,Q1900*D1900,0),4)</f>
        <v>0</v>
      </c>
      <c r="U1900" s="67">
        <f>ROUND(+N1900+R1900+S1900+T1900,4)</f>
        <v>0</v>
      </c>
      <c r="V1900" s="67">
        <f>ROUND(IF(P1900=0,0,I1900-H1900-O1900)+IF(L1900=0,0,I1900-H1900-K1900),4)</f>
        <v>0</v>
      </c>
      <c r="W1900" s="67">
        <f>ROUND(+(V1900*60%)*D1900,4)</f>
        <v>0</v>
      </c>
      <c r="X1900" s="148">
        <f>ROUND(+U1900+W1900,4)</f>
        <v>0</v>
      </c>
      <c r="Y1900" s="68"/>
      <c r="Z1900" s="148">
        <f>ROUND(IF(X1900&gt;I1900,X1900,I1900),4)</f>
        <v>0</v>
      </c>
      <c r="AD1900" s="78">
        <f t="shared" si="36"/>
        <v>0</v>
      </c>
      <c r="AE1900" s="78">
        <f t="shared" si="37"/>
        <v>0</v>
      </c>
    </row>
    <row r="1901" spans="1:31" x14ac:dyDescent="0.2">
      <c r="A1901" s="66"/>
      <c r="B1901" s="66"/>
      <c r="C1901" s="66"/>
      <c r="D1901" s="144"/>
      <c r="E1901" s="67"/>
      <c r="F1901" s="67"/>
      <c r="G1901" s="67"/>
      <c r="H1901" s="67">
        <f>ROUND(+E1901+G1901,4)</f>
        <v>0</v>
      </c>
      <c r="I1901" s="67"/>
      <c r="J1901" s="67">
        <f>ROUND(+I1901-H1901,4)</f>
        <v>0</v>
      </c>
      <c r="K1901" s="67">
        <f>ROUND(IF(F1901="alluminio",0,I1901*1.5%),4)</f>
        <v>0</v>
      </c>
      <c r="L1901" s="67">
        <f>ROUND(IF(K1901&lt;J1901,K1901,0),4)</f>
        <v>0</v>
      </c>
      <c r="M1901" s="67">
        <f>ROUND(IF(J1901&gt;K1901,0,J1901),4)</f>
        <v>0</v>
      </c>
      <c r="N1901" s="67">
        <f>ROUND(+L1901*D1901,4)</f>
        <v>0</v>
      </c>
      <c r="O1901" s="67">
        <f>ROUND(IF(F1901="rame",0,+I1901*3%),4)</f>
        <v>0</v>
      </c>
      <c r="P1901" s="67">
        <f>ROUND(IF(O1901&lt;J1901,O1901,0),4)</f>
        <v>0</v>
      </c>
      <c r="Q1901" s="67">
        <f>ROUND(IF(J1901&gt;O1901,0,J1901),4)</f>
        <v>0</v>
      </c>
      <c r="R1901" s="67">
        <f>ROUND(+P1901*D1901,4)</f>
        <v>0</v>
      </c>
      <c r="S1901" s="67">
        <f>ROUND(IF(K1901=0,0,M1901*D1901),4)</f>
        <v>0</v>
      </c>
      <c r="T1901" s="67">
        <f>ROUND(+IF(K1901=0,Q1901*D1901,0),4)</f>
        <v>0</v>
      </c>
      <c r="U1901" s="67">
        <f>ROUND(+N1901+R1901+S1901+T1901,4)</f>
        <v>0</v>
      </c>
      <c r="V1901" s="67">
        <f>ROUND(IF(P1901=0,0,I1901-H1901-O1901)+IF(L1901=0,0,I1901-H1901-K1901),4)</f>
        <v>0</v>
      </c>
      <c r="W1901" s="67">
        <f>ROUND(+(V1901*60%)*D1901,4)</f>
        <v>0</v>
      </c>
      <c r="X1901" s="148">
        <f>ROUND(+U1901+W1901,4)</f>
        <v>0</v>
      </c>
      <c r="Y1901" s="68"/>
      <c r="Z1901" s="148">
        <f>ROUND(IF(X1901&gt;I1901,X1901,I1901),4)</f>
        <v>0</v>
      </c>
      <c r="AD1901" s="78">
        <f t="shared" si="36"/>
        <v>0</v>
      </c>
      <c r="AE1901" s="78">
        <f t="shared" si="37"/>
        <v>0</v>
      </c>
    </row>
    <row r="1902" spans="1:31" x14ac:dyDescent="0.2">
      <c r="A1902" s="66"/>
      <c r="B1902" s="66"/>
      <c r="C1902" s="66"/>
      <c r="D1902" s="144"/>
      <c r="E1902" s="67"/>
      <c r="F1902" s="67"/>
      <c r="G1902" s="67"/>
      <c r="H1902" s="67">
        <f>ROUND(+E1902+G1902,4)</f>
        <v>0</v>
      </c>
      <c r="I1902" s="67"/>
      <c r="J1902" s="67">
        <f>ROUND(+I1902-H1902,4)</f>
        <v>0</v>
      </c>
      <c r="K1902" s="67">
        <f>ROUND(IF(F1902="alluminio",0,I1902*1.5%),4)</f>
        <v>0</v>
      </c>
      <c r="L1902" s="67">
        <f>ROUND(IF(K1902&lt;J1902,K1902,0),4)</f>
        <v>0</v>
      </c>
      <c r="M1902" s="67">
        <f>ROUND(IF(J1902&gt;K1902,0,J1902),4)</f>
        <v>0</v>
      </c>
      <c r="N1902" s="67">
        <f>ROUND(+L1902*D1902,4)</f>
        <v>0</v>
      </c>
      <c r="O1902" s="67">
        <f>ROUND(IF(F1902="rame",0,+I1902*3%),4)</f>
        <v>0</v>
      </c>
      <c r="P1902" s="67">
        <f>ROUND(IF(O1902&lt;J1902,O1902,0),4)</f>
        <v>0</v>
      </c>
      <c r="Q1902" s="67">
        <f>ROUND(IF(J1902&gt;O1902,0,J1902),4)</f>
        <v>0</v>
      </c>
      <c r="R1902" s="67">
        <f>ROUND(+P1902*D1902,4)</f>
        <v>0</v>
      </c>
      <c r="S1902" s="67">
        <f>ROUND(IF(K1902=0,0,M1902*D1902),4)</f>
        <v>0</v>
      </c>
      <c r="T1902" s="67">
        <f>ROUND(+IF(K1902=0,Q1902*D1902,0),4)</f>
        <v>0</v>
      </c>
      <c r="U1902" s="67">
        <f>ROUND(+N1902+R1902+S1902+T1902,4)</f>
        <v>0</v>
      </c>
      <c r="V1902" s="67">
        <f>ROUND(IF(P1902=0,0,I1902-H1902-O1902)+IF(L1902=0,0,I1902-H1902-K1902),4)</f>
        <v>0</v>
      </c>
      <c r="W1902" s="67">
        <f>ROUND(+(V1902*60%)*D1902,4)</f>
        <v>0</v>
      </c>
      <c r="X1902" s="148">
        <f>ROUND(+U1902+W1902,4)</f>
        <v>0</v>
      </c>
      <c r="Y1902" s="68"/>
      <c r="Z1902" s="148">
        <f>ROUND(IF(X1902&gt;I1902,X1902,I1902),4)</f>
        <v>0</v>
      </c>
      <c r="AD1902" s="78">
        <f t="shared" si="36"/>
        <v>0</v>
      </c>
      <c r="AE1902" s="78">
        <f t="shared" si="37"/>
        <v>0</v>
      </c>
    </row>
    <row r="1903" spans="1:31" x14ac:dyDescent="0.2">
      <c r="A1903" s="66"/>
      <c r="B1903" s="66"/>
      <c r="C1903" s="66"/>
      <c r="D1903" s="144"/>
      <c r="E1903" s="67"/>
      <c r="F1903" s="67"/>
      <c r="G1903" s="67"/>
      <c r="H1903" s="67">
        <f>ROUND(+E1903+G1903,4)</f>
        <v>0</v>
      </c>
      <c r="I1903" s="67"/>
      <c r="J1903" s="67">
        <f>ROUND(+I1903-H1903,4)</f>
        <v>0</v>
      </c>
      <c r="K1903" s="67">
        <f>ROUND(IF(F1903="alluminio",0,I1903*1.5%),4)</f>
        <v>0</v>
      </c>
      <c r="L1903" s="67">
        <f>ROUND(IF(K1903&lt;J1903,K1903,0),4)</f>
        <v>0</v>
      </c>
      <c r="M1903" s="67">
        <f>ROUND(IF(J1903&gt;K1903,0,J1903),4)</f>
        <v>0</v>
      </c>
      <c r="N1903" s="67">
        <f>ROUND(+L1903*D1903,4)</f>
        <v>0</v>
      </c>
      <c r="O1903" s="67">
        <f>ROUND(IF(F1903="rame",0,+I1903*3%),4)</f>
        <v>0</v>
      </c>
      <c r="P1903" s="67">
        <f>ROUND(IF(O1903&lt;J1903,O1903,0),4)</f>
        <v>0</v>
      </c>
      <c r="Q1903" s="67">
        <f>ROUND(IF(J1903&gt;O1903,0,J1903),4)</f>
        <v>0</v>
      </c>
      <c r="R1903" s="67">
        <f>ROUND(+P1903*D1903,4)</f>
        <v>0</v>
      </c>
      <c r="S1903" s="67">
        <f>ROUND(IF(K1903=0,0,M1903*D1903),4)</f>
        <v>0</v>
      </c>
      <c r="T1903" s="67">
        <f>ROUND(+IF(K1903=0,Q1903*D1903,0),4)</f>
        <v>0</v>
      </c>
      <c r="U1903" s="67">
        <f>ROUND(+N1903+R1903+S1903+T1903,4)</f>
        <v>0</v>
      </c>
      <c r="V1903" s="67">
        <f>ROUND(IF(P1903=0,0,I1903-H1903-O1903)+IF(L1903=0,0,I1903-H1903-K1903),4)</f>
        <v>0</v>
      </c>
      <c r="W1903" s="67">
        <f>ROUND(+(V1903*60%)*D1903,4)</f>
        <v>0</v>
      </c>
      <c r="X1903" s="148">
        <f>ROUND(+U1903+W1903,4)</f>
        <v>0</v>
      </c>
      <c r="Y1903" s="68"/>
      <c r="Z1903" s="148">
        <f>ROUND(IF(X1903&gt;I1903,X1903,I1903),4)</f>
        <v>0</v>
      </c>
      <c r="AD1903" s="78">
        <f t="shared" si="36"/>
        <v>0</v>
      </c>
      <c r="AE1903" s="78">
        <f t="shared" si="37"/>
        <v>0</v>
      </c>
    </row>
    <row r="1904" spans="1:31" x14ac:dyDescent="0.2">
      <c r="A1904" s="66"/>
      <c r="B1904" s="66"/>
      <c r="C1904" s="66"/>
      <c r="D1904" s="144"/>
      <c r="E1904" s="67"/>
      <c r="F1904" s="67"/>
      <c r="G1904" s="67"/>
      <c r="H1904" s="67">
        <f>ROUND(+E1904+G1904,4)</f>
        <v>0</v>
      </c>
      <c r="I1904" s="67"/>
      <c r="J1904" s="67">
        <f>ROUND(+I1904-H1904,4)</f>
        <v>0</v>
      </c>
      <c r="K1904" s="67">
        <f>ROUND(IF(F1904="alluminio",0,I1904*1.5%),4)</f>
        <v>0</v>
      </c>
      <c r="L1904" s="67">
        <f>ROUND(IF(K1904&lt;J1904,K1904,0),4)</f>
        <v>0</v>
      </c>
      <c r="M1904" s="67">
        <f>ROUND(IF(J1904&gt;K1904,0,J1904),4)</f>
        <v>0</v>
      </c>
      <c r="N1904" s="67">
        <f>ROUND(+L1904*D1904,4)</f>
        <v>0</v>
      </c>
      <c r="O1904" s="67">
        <f>ROUND(IF(F1904="rame",0,+I1904*3%),4)</f>
        <v>0</v>
      </c>
      <c r="P1904" s="67">
        <f>ROUND(IF(O1904&lt;J1904,O1904,0),4)</f>
        <v>0</v>
      </c>
      <c r="Q1904" s="67">
        <f>ROUND(IF(J1904&gt;O1904,0,J1904),4)</f>
        <v>0</v>
      </c>
      <c r="R1904" s="67">
        <f>ROUND(+P1904*D1904,4)</f>
        <v>0</v>
      </c>
      <c r="S1904" s="67">
        <f>ROUND(IF(K1904=0,0,M1904*D1904),4)</f>
        <v>0</v>
      </c>
      <c r="T1904" s="67">
        <f>ROUND(+IF(K1904=0,Q1904*D1904,0),4)</f>
        <v>0</v>
      </c>
      <c r="U1904" s="67">
        <f>ROUND(+N1904+R1904+S1904+T1904,4)</f>
        <v>0</v>
      </c>
      <c r="V1904" s="67">
        <f>ROUND(IF(P1904=0,0,I1904-H1904-O1904)+IF(L1904=0,0,I1904-H1904-K1904),4)</f>
        <v>0</v>
      </c>
      <c r="W1904" s="67">
        <f>ROUND(+(V1904*60%)*D1904,4)</f>
        <v>0</v>
      </c>
      <c r="X1904" s="148">
        <f>ROUND(+U1904+W1904,4)</f>
        <v>0</v>
      </c>
      <c r="Y1904" s="68"/>
      <c r="Z1904" s="148">
        <f>ROUND(IF(X1904&gt;I1904,X1904,I1904),4)</f>
        <v>0</v>
      </c>
      <c r="AD1904" s="78">
        <f t="shared" si="36"/>
        <v>0</v>
      </c>
      <c r="AE1904" s="78">
        <f t="shared" si="37"/>
        <v>0</v>
      </c>
    </row>
    <row r="1905" spans="1:31" x14ac:dyDescent="0.2">
      <c r="A1905" s="66"/>
      <c r="B1905" s="66"/>
      <c r="C1905" s="66"/>
      <c r="D1905" s="144"/>
      <c r="E1905" s="67"/>
      <c r="F1905" s="67"/>
      <c r="G1905" s="67"/>
      <c r="H1905" s="67">
        <f>ROUND(+E1905+G1905,4)</f>
        <v>0</v>
      </c>
      <c r="I1905" s="67"/>
      <c r="J1905" s="67">
        <f>ROUND(+I1905-H1905,4)</f>
        <v>0</v>
      </c>
      <c r="K1905" s="67">
        <f>ROUND(IF(F1905="alluminio",0,I1905*1.5%),4)</f>
        <v>0</v>
      </c>
      <c r="L1905" s="67">
        <f>ROUND(IF(K1905&lt;J1905,K1905,0),4)</f>
        <v>0</v>
      </c>
      <c r="M1905" s="67">
        <f>ROUND(IF(J1905&gt;K1905,0,J1905),4)</f>
        <v>0</v>
      </c>
      <c r="N1905" s="67">
        <f>ROUND(+L1905*D1905,4)</f>
        <v>0</v>
      </c>
      <c r="O1905" s="67">
        <f>ROUND(IF(F1905="rame",0,+I1905*3%),4)</f>
        <v>0</v>
      </c>
      <c r="P1905" s="67">
        <f>ROUND(IF(O1905&lt;J1905,O1905,0),4)</f>
        <v>0</v>
      </c>
      <c r="Q1905" s="67">
        <f>ROUND(IF(J1905&gt;O1905,0,J1905),4)</f>
        <v>0</v>
      </c>
      <c r="R1905" s="67">
        <f>ROUND(+P1905*D1905,4)</f>
        <v>0</v>
      </c>
      <c r="S1905" s="67">
        <f>ROUND(IF(K1905=0,0,M1905*D1905),4)</f>
        <v>0</v>
      </c>
      <c r="T1905" s="67">
        <f>ROUND(+IF(K1905=0,Q1905*D1905,0),4)</f>
        <v>0</v>
      </c>
      <c r="U1905" s="67">
        <f>ROUND(+N1905+R1905+S1905+T1905,4)</f>
        <v>0</v>
      </c>
      <c r="V1905" s="67">
        <f>ROUND(IF(P1905=0,0,I1905-H1905-O1905)+IF(L1905=0,0,I1905-H1905-K1905),4)</f>
        <v>0</v>
      </c>
      <c r="W1905" s="67">
        <f>ROUND(+(V1905*60%)*D1905,4)</f>
        <v>0</v>
      </c>
      <c r="X1905" s="148">
        <f>ROUND(+U1905+W1905,4)</f>
        <v>0</v>
      </c>
      <c r="Y1905" s="68"/>
      <c r="Z1905" s="148">
        <f>ROUND(IF(X1905&gt;I1905,X1905,I1905),4)</f>
        <v>0</v>
      </c>
      <c r="AD1905" s="78">
        <f t="shared" si="36"/>
        <v>0</v>
      </c>
      <c r="AE1905" s="78">
        <f t="shared" si="37"/>
        <v>0</v>
      </c>
    </row>
    <row r="1906" spans="1:31" x14ac:dyDescent="0.2">
      <c r="A1906" s="66"/>
      <c r="B1906" s="66"/>
      <c r="C1906" s="66"/>
      <c r="D1906" s="144"/>
      <c r="E1906" s="67"/>
      <c r="F1906" s="67"/>
      <c r="G1906" s="67"/>
      <c r="H1906" s="67">
        <f>ROUND(+E1906+G1906,4)</f>
        <v>0</v>
      </c>
      <c r="I1906" s="67"/>
      <c r="J1906" s="67">
        <f>ROUND(+I1906-H1906,4)</f>
        <v>0</v>
      </c>
      <c r="K1906" s="67">
        <f>ROUND(IF(F1906="alluminio",0,I1906*1.5%),4)</f>
        <v>0</v>
      </c>
      <c r="L1906" s="67">
        <f>ROUND(IF(K1906&lt;J1906,K1906,0),4)</f>
        <v>0</v>
      </c>
      <c r="M1906" s="67">
        <f>ROUND(IF(J1906&gt;K1906,0,J1906),4)</f>
        <v>0</v>
      </c>
      <c r="N1906" s="67">
        <f>ROUND(+L1906*D1906,4)</f>
        <v>0</v>
      </c>
      <c r="O1906" s="67">
        <f>ROUND(IF(F1906="rame",0,+I1906*3%),4)</f>
        <v>0</v>
      </c>
      <c r="P1906" s="67">
        <f>ROUND(IF(O1906&lt;J1906,O1906,0),4)</f>
        <v>0</v>
      </c>
      <c r="Q1906" s="67">
        <f>ROUND(IF(J1906&gt;O1906,0,J1906),4)</f>
        <v>0</v>
      </c>
      <c r="R1906" s="67">
        <f>ROUND(+P1906*D1906,4)</f>
        <v>0</v>
      </c>
      <c r="S1906" s="67">
        <f>ROUND(IF(K1906=0,0,M1906*D1906),4)</f>
        <v>0</v>
      </c>
      <c r="T1906" s="67">
        <f>ROUND(+IF(K1906=0,Q1906*D1906,0),4)</f>
        <v>0</v>
      </c>
      <c r="U1906" s="67">
        <f>ROUND(+N1906+R1906+S1906+T1906,4)</f>
        <v>0</v>
      </c>
      <c r="V1906" s="67">
        <f>ROUND(IF(P1906=0,0,I1906-H1906-O1906)+IF(L1906=0,0,I1906-H1906-K1906),4)</f>
        <v>0</v>
      </c>
      <c r="W1906" s="67">
        <f>ROUND(+(V1906*60%)*D1906,4)</f>
        <v>0</v>
      </c>
      <c r="X1906" s="148">
        <f>ROUND(+U1906+W1906,4)</f>
        <v>0</v>
      </c>
      <c r="Y1906" s="68"/>
      <c r="Z1906" s="148">
        <f>ROUND(IF(X1906&gt;I1906,X1906,I1906),4)</f>
        <v>0</v>
      </c>
      <c r="AD1906" s="78">
        <f t="shared" si="36"/>
        <v>0</v>
      </c>
      <c r="AE1906" s="78">
        <f t="shared" si="37"/>
        <v>0</v>
      </c>
    </row>
    <row r="1907" spans="1:31" x14ac:dyDescent="0.2">
      <c r="A1907" s="66"/>
      <c r="B1907" s="66"/>
      <c r="C1907" s="66"/>
      <c r="D1907" s="144"/>
      <c r="E1907" s="67"/>
      <c r="F1907" s="67"/>
      <c r="G1907" s="67"/>
      <c r="H1907" s="67">
        <f>ROUND(+E1907+G1907,4)</f>
        <v>0</v>
      </c>
      <c r="I1907" s="67"/>
      <c r="J1907" s="67">
        <f>ROUND(+I1907-H1907,4)</f>
        <v>0</v>
      </c>
      <c r="K1907" s="67">
        <f>ROUND(IF(F1907="alluminio",0,I1907*1.5%),4)</f>
        <v>0</v>
      </c>
      <c r="L1907" s="67">
        <f>ROUND(IF(K1907&lt;J1907,K1907,0),4)</f>
        <v>0</v>
      </c>
      <c r="M1907" s="67">
        <f>ROUND(IF(J1907&gt;K1907,0,J1907),4)</f>
        <v>0</v>
      </c>
      <c r="N1907" s="67">
        <f>ROUND(+L1907*D1907,4)</f>
        <v>0</v>
      </c>
      <c r="O1907" s="67">
        <f>ROUND(IF(F1907="rame",0,+I1907*3%),4)</f>
        <v>0</v>
      </c>
      <c r="P1907" s="67">
        <f>ROUND(IF(O1907&lt;J1907,O1907,0),4)</f>
        <v>0</v>
      </c>
      <c r="Q1907" s="67">
        <f>ROUND(IF(J1907&gt;O1907,0,J1907),4)</f>
        <v>0</v>
      </c>
      <c r="R1907" s="67">
        <f>ROUND(+P1907*D1907,4)</f>
        <v>0</v>
      </c>
      <c r="S1907" s="67">
        <f>ROUND(IF(K1907=0,0,M1907*D1907),4)</f>
        <v>0</v>
      </c>
      <c r="T1907" s="67">
        <f>ROUND(+IF(K1907=0,Q1907*D1907,0),4)</f>
        <v>0</v>
      </c>
      <c r="U1907" s="67">
        <f>ROUND(+N1907+R1907+S1907+T1907,4)</f>
        <v>0</v>
      </c>
      <c r="V1907" s="67">
        <f>ROUND(IF(P1907=0,0,I1907-H1907-O1907)+IF(L1907=0,0,I1907-H1907-K1907),4)</f>
        <v>0</v>
      </c>
      <c r="W1907" s="67">
        <f>ROUND(+(V1907*60%)*D1907,4)</f>
        <v>0</v>
      </c>
      <c r="X1907" s="148">
        <f>ROUND(+U1907+W1907,4)</f>
        <v>0</v>
      </c>
      <c r="Y1907" s="68"/>
      <c r="Z1907" s="148">
        <f>ROUND(IF(X1907&gt;I1907,X1907,I1907),4)</f>
        <v>0</v>
      </c>
      <c r="AD1907" s="78">
        <f t="shared" si="36"/>
        <v>0</v>
      </c>
      <c r="AE1907" s="78">
        <f t="shared" si="37"/>
        <v>0</v>
      </c>
    </row>
    <row r="1908" spans="1:31" x14ac:dyDescent="0.2">
      <c r="A1908" s="66"/>
      <c r="B1908" s="66"/>
      <c r="C1908" s="66"/>
      <c r="D1908" s="144"/>
      <c r="E1908" s="67"/>
      <c r="F1908" s="67"/>
      <c r="G1908" s="67"/>
      <c r="H1908" s="67">
        <f>ROUND(+E1908+G1908,4)</f>
        <v>0</v>
      </c>
      <c r="I1908" s="67"/>
      <c r="J1908" s="67">
        <f>ROUND(+I1908-H1908,4)</f>
        <v>0</v>
      </c>
      <c r="K1908" s="67">
        <f>ROUND(IF(F1908="alluminio",0,I1908*1.5%),4)</f>
        <v>0</v>
      </c>
      <c r="L1908" s="67">
        <f>ROUND(IF(K1908&lt;J1908,K1908,0),4)</f>
        <v>0</v>
      </c>
      <c r="M1908" s="67">
        <f>ROUND(IF(J1908&gt;K1908,0,J1908),4)</f>
        <v>0</v>
      </c>
      <c r="N1908" s="67">
        <f>ROUND(+L1908*D1908,4)</f>
        <v>0</v>
      </c>
      <c r="O1908" s="67">
        <f>ROUND(IF(F1908="rame",0,+I1908*3%),4)</f>
        <v>0</v>
      </c>
      <c r="P1908" s="67">
        <f>ROUND(IF(O1908&lt;J1908,O1908,0),4)</f>
        <v>0</v>
      </c>
      <c r="Q1908" s="67">
        <f>ROUND(IF(J1908&gt;O1908,0,J1908),4)</f>
        <v>0</v>
      </c>
      <c r="R1908" s="67">
        <f>ROUND(+P1908*D1908,4)</f>
        <v>0</v>
      </c>
      <c r="S1908" s="67">
        <f>ROUND(IF(K1908=0,0,M1908*D1908),4)</f>
        <v>0</v>
      </c>
      <c r="T1908" s="67">
        <f>ROUND(+IF(K1908=0,Q1908*D1908,0),4)</f>
        <v>0</v>
      </c>
      <c r="U1908" s="67">
        <f>ROUND(+N1908+R1908+S1908+T1908,4)</f>
        <v>0</v>
      </c>
      <c r="V1908" s="67">
        <f>ROUND(IF(P1908=0,0,I1908-H1908-O1908)+IF(L1908=0,0,I1908-H1908-K1908),4)</f>
        <v>0</v>
      </c>
      <c r="W1908" s="67">
        <f>ROUND(+(V1908*60%)*D1908,4)</f>
        <v>0</v>
      </c>
      <c r="X1908" s="148">
        <f>ROUND(+U1908+W1908,4)</f>
        <v>0</v>
      </c>
      <c r="Y1908" s="68"/>
      <c r="Z1908" s="148">
        <f>ROUND(IF(X1908&gt;I1908,X1908,I1908),4)</f>
        <v>0</v>
      </c>
      <c r="AD1908" s="78">
        <f t="shared" si="36"/>
        <v>0</v>
      </c>
      <c r="AE1908" s="78">
        <f t="shared" si="37"/>
        <v>0</v>
      </c>
    </row>
    <row r="1909" spans="1:31" x14ac:dyDescent="0.2">
      <c r="A1909" s="66"/>
      <c r="B1909" s="66"/>
      <c r="C1909" s="66"/>
      <c r="D1909" s="144"/>
      <c r="E1909" s="67"/>
      <c r="F1909" s="67"/>
      <c r="G1909" s="67"/>
      <c r="H1909" s="67">
        <f>ROUND(+E1909+G1909,4)</f>
        <v>0</v>
      </c>
      <c r="I1909" s="67"/>
      <c r="J1909" s="67">
        <f>ROUND(+I1909-H1909,4)</f>
        <v>0</v>
      </c>
      <c r="K1909" s="67">
        <f>ROUND(IF(F1909="alluminio",0,I1909*1.5%),4)</f>
        <v>0</v>
      </c>
      <c r="L1909" s="67">
        <f>ROUND(IF(K1909&lt;J1909,K1909,0),4)</f>
        <v>0</v>
      </c>
      <c r="M1909" s="67">
        <f>ROUND(IF(J1909&gt;K1909,0,J1909),4)</f>
        <v>0</v>
      </c>
      <c r="N1909" s="67">
        <f>ROUND(+L1909*D1909,4)</f>
        <v>0</v>
      </c>
      <c r="O1909" s="67">
        <f>ROUND(IF(F1909="rame",0,+I1909*3%),4)</f>
        <v>0</v>
      </c>
      <c r="P1909" s="67">
        <f>ROUND(IF(O1909&lt;J1909,O1909,0),4)</f>
        <v>0</v>
      </c>
      <c r="Q1909" s="67">
        <f>ROUND(IF(J1909&gt;O1909,0,J1909),4)</f>
        <v>0</v>
      </c>
      <c r="R1909" s="67">
        <f>ROUND(+P1909*D1909,4)</f>
        <v>0</v>
      </c>
      <c r="S1909" s="67">
        <f>ROUND(IF(K1909=0,0,M1909*D1909),4)</f>
        <v>0</v>
      </c>
      <c r="T1909" s="67">
        <f>ROUND(+IF(K1909=0,Q1909*D1909,0),4)</f>
        <v>0</v>
      </c>
      <c r="U1909" s="67">
        <f>ROUND(+N1909+R1909+S1909+T1909,4)</f>
        <v>0</v>
      </c>
      <c r="V1909" s="67">
        <f>ROUND(IF(P1909=0,0,I1909-H1909-O1909)+IF(L1909=0,0,I1909-H1909-K1909),4)</f>
        <v>0</v>
      </c>
      <c r="W1909" s="67">
        <f>ROUND(+(V1909*60%)*D1909,4)</f>
        <v>0</v>
      </c>
      <c r="X1909" s="148">
        <f>ROUND(+U1909+W1909,4)</f>
        <v>0</v>
      </c>
      <c r="Y1909" s="68"/>
      <c r="Z1909" s="148">
        <f>ROUND(IF(X1909&gt;I1909,X1909,I1909),4)</f>
        <v>0</v>
      </c>
      <c r="AD1909" s="78">
        <f t="shared" si="36"/>
        <v>0</v>
      </c>
      <c r="AE1909" s="78">
        <f t="shared" si="37"/>
        <v>0</v>
      </c>
    </row>
    <row r="1910" spans="1:31" x14ac:dyDescent="0.2">
      <c r="A1910" s="66"/>
      <c r="B1910" s="66"/>
      <c r="C1910" s="66"/>
      <c r="D1910" s="144"/>
      <c r="E1910" s="67"/>
      <c r="F1910" s="67"/>
      <c r="G1910" s="67"/>
      <c r="H1910" s="67">
        <f>ROUND(+E1910+G1910,4)</f>
        <v>0</v>
      </c>
      <c r="I1910" s="67"/>
      <c r="J1910" s="67">
        <f>ROUND(+I1910-H1910,4)</f>
        <v>0</v>
      </c>
      <c r="K1910" s="67">
        <f>ROUND(IF(F1910="alluminio",0,I1910*1.5%),4)</f>
        <v>0</v>
      </c>
      <c r="L1910" s="67">
        <f>ROUND(IF(K1910&lt;J1910,K1910,0),4)</f>
        <v>0</v>
      </c>
      <c r="M1910" s="67">
        <f>ROUND(IF(J1910&gt;K1910,0,J1910),4)</f>
        <v>0</v>
      </c>
      <c r="N1910" s="67">
        <f>ROUND(+L1910*D1910,4)</f>
        <v>0</v>
      </c>
      <c r="O1910" s="67">
        <f>ROUND(IF(F1910="rame",0,+I1910*3%),4)</f>
        <v>0</v>
      </c>
      <c r="P1910" s="67">
        <f>ROUND(IF(O1910&lt;J1910,O1910,0),4)</f>
        <v>0</v>
      </c>
      <c r="Q1910" s="67">
        <f>ROUND(IF(J1910&gt;O1910,0,J1910),4)</f>
        <v>0</v>
      </c>
      <c r="R1910" s="67">
        <f>ROUND(+P1910*D1910,4)</f>
        <v>0</v>
      </c>
      <c r="S1910" s="67">
        <f>ROUND(IF(K1910=0,0,M1910*D1910),4)</f>
        <v>0</v>
      </c>
      <c r="T1910" s="67">
        <f>ROUND(+IF(K1910=0,Q1910*D1910,0),4)</f>
        <v>0</v>
      </c>
      <c r="U1910" s="67">
        <f>ROUND(+N1910+R1910+S1910+T1910,4)</f>
        <v>0</v>
      </c>
      <c r="V1910" s="67">
        <f>ROUND(IF(P1910=0,0,I1910-H1910-O1910)+IF(L1910=0,0,I1910-H1910-K1910),4)</f>
        <v>0</v>
      </c>
      <c r="W1910" s="67">
        <f>ROUND(+(V1910*60%)*D1910,4)</f>
        <v>0</v>
      </c>
      <c r="X1910" s="148">
        <f>ROUND(+U1910+W1910,4)</f>
        <v>0</v>
      </c>
      <c r="Y1910" s="68"/>
      <c r="Z1910" s="148">
        <f>ROUND(IF(X1910&gt;I1910,X1910,I1910),4)</f>
        <v>0</v>
      </c>
      <c r="AD1910" s="78">
        <f t="shared" si="36"/>
        <v>0</v>
      </c>
      <c r="AE1910" s="78">
        <f t="shared" si="37"/>
        <v>0</v>
      </c>
    </row>
    <row r="1911" spans="1:31" x14ac:dyDescent="0.2">
      <c r="A1911" s="66"/>
      <c r="B1911" s="66"/>
      <c r="C1911" s="66"/>
      <c r="D1911" s="144"/>
      <c r="E1911" s="67"/>
      <c r="F1911" s="67"/>
      <c r="G1911" s="67"/>
      <c r="H1911" s="67">
        <f>ROUND(+E1911+G1911,4)</f>
        <v>0</v>
      </c>
      <c r="I1911" s="67"/>
      <c r="J1911" s="67">
        <f>ROUND(+I1911-H1911,4)</f>
        <v>0</v>
      </c>
      <c r="K1911" s="67">
        <f>ROUND(IF(F1911="alluminio",0,I1911*1.5%),4)</f>
        <v>0</v>
      </c>
      <c r="L1911" s="67">
        <f>ROUND(IF(K1911&lt;J1911,K1911,0),4)</f>
        <v>0</v>
      </c>
      <c r="M1911" s="67">
        <f>ROUND(IF(J1911&gt;K1911,0,J1911),4)</f>
        <v>0</v>
      </c>
      <c r="N1911" s="67">
        <f>ROUND(+L1911*D1911,4)</f>
        <v>0</v>
      </c>
      <c r="O1911" s="67">
        <f>ROUND(IF(F1911="rame",0,+I1911*3%),4)</f>
        <v>0</v>
      </c>
      <c r="P1911" s="67">
        <f>ROUND(IF(O1911&lt;J1911,O1911,0),4)</f>
        <v>0</v>
      </c>
      <c r="Q1911" s="67">
        <f>ROUND(IF(J1911&gt;O1911,0,J1911),4)</f>
        <v>0</v>
      </c>
      <c r="R1911" s="67">
        <f>ROUND(+P1911*D1911,4)</f>
        <v>0</v>
      </c>
      <c r="S1911" s="67">
        <f>ROUND(IF(K1911=0,0,M1911*D1911),4)</f>
        <v>0</v>
      </c>
      <c r="T1911" s="67">
        <f>ROUND(+IF(K1911=0,Q1911*D1911,0),4)</f>
        <v>0</v>
      </c>
      <c r="U1911" s="67">
        <f>ROUND(+N1911+R1911+S1911+T1911,4)</f>
        <v>0</v>
      </c>
      <c r="V1911" s="67">
        <f>ROUND(IF(P1911=0,0,I1911-H1911-O1911)+IF(L1911=0,0,I1911-H1911-K1911),4)</f>
        <v>0</v>
      </c>
      <c r="W1911" s="67">
        <f>ROUND(+(V1911*60%)*D1911,4)</f>
        <v>0</v>
      </c>
      <c r="X1911" s="148">
        <f>ROUND(+U1911+W1911,4)</f>
        <v>0</v>
      </c>
      <c r="Y1911" s="68"/>
      <c r="Z1911" s="148">
        <f>ROUND(IF(X1911&gt;I1911,X1911,I1911),4)</f>
        <v>0</v>
      </c>
      <c r="AD1911" s="78">
        <f t="shared" si="36"/>
        <v>0</v>
      </c>
      <c r="AE1911" s="78">
        <f t="shared" si="37"/>
        <v>0</v>
      </c>
    </row>
    <row r="1912" spans="1:31" x14ac:dyDescent="0.2">
      <c r="A1912" s="66"/>
      <c r="B1912" s="66"/>
      <c r="C1912" s="66"/>
      <c r="D1912" s="144"/>
      <c r="E1912" s="67"/>
      <c r="F1912" s="67"/>
      <c r="G1912" s="67"/>
      <c r="H1912" s="67">
        <f>ROUND(+E1912+G1912,4)</f>
        <v>0</v>
      </c>
      <c r="I1912" s="67"/>
      <c r="J1912" s="67">
        <f>ROUND(+I1912-H1912,4)</f>
        <v>0</v>
      </c>
      <c r="K1912" s="67">
        <f>ROUND(IF(F1912="alluminio",0,I1912*1.5%),4)</f>
        <v>0</v>
      </c>
      <c r="L1912" s="67">
        <f>ROUND(IF(K1912&lt;J1912,K1912,0),4)</f>
        <v>0</v>
      </c>
      <c r="M1912" s="67">
        <f>ROUND(IF(J1912&gt;K1912,0,J1912),4)</f>
        <v>0</v>
      </c>
      <c r="N1912" s="67">
        <f>ROUND(+L1912*D1912,4)</f>
        <v>0</v>
      </c>
      <c r="O1912" s="67">
        <f>ROUND(IF(F1912="rame",0,+I1912*3%),4)</f>
        <v>0</v>
      </c>
      <c r="P1912" s="67">
        <f>ROUND(IF(O1912&lt;J1912,O1912,0),4)</f>
        <v>0</v>
      </c>
      <c r="Q1912" s="67">
        <f>ROUND(IF(J1912&gt;O1912,0,J1912),4)</f>
        <v>0</v>
      </c>
      <c r="R1912" s="67">
        <f>ROUND(+P1912*D1912,4)</f>
        <v>0</v>
      </c>
      <c r="S1912" s="67">
        <f>ROUND(IF(K1912=0,0,M1912*D1912),4)</f>
        <v>0</v>
      </c>
      <c r="T1912" s="67">
        <f>ROUND(+IF(K1912=0,Q1912*D1912,0),4)</f>
        <v>0</v>
      </c>
      <c r="U1912" s="67">
        <f>ROUND(+N1912+R1912+S1912+T1912,4)</f>
        <v>0</v>
      </c>
      <c r="V1912" s="67">
        <f>ROUND(IF(P1912=0,0,I1912-H1912-O1912)+IF(L1912=0,0,I1912-H1912-K1912),4)</f>
        <v>0</v>
      </c>
      <c r="W1912" s="67">
        <f>ROUND(+(V1912*60%)*D1912,4)</f>
        <v>0</v>
      </c>
      <c r="X1912" s="148">
        <f>ROUND(+U1912+W1912,4)</f>
        <v>0</v>
      </c>
      <c r="Y1912" s="68"/>
      <c r="Z1912" s="148">
        <f>ROUND(IF(X1912&gt;I1912,X1912,I1912),4)</f>
        <v>0</v>
      </c>
      <c r="AD1912" s="78">
        <f t="shared" si="36"/>
        <v>0</v>
      </c>
      <c r="AE1912" s="78">
        <f t="shared" si="37"/>
        <v>0</v>
      </c>
    </row>
    <row r="1913" spans="1:31" x14ac:dyDescent="0.2">
      <c r="A1913" s="66"/>
      <c r="B1913" s="66"/>
      <c r="C1913" s="66"/>
      <c r="D1913" s="144"/>
      <c r="E1913" s="67"/>
      <c r="F1913" s="67"/>
      <c r="G1913" s="67"/>
      <c r="H1913" s="67">
        <f>ROUND(+E1913+G1913,4)</f>
        <v>0</v>
      </c>
      <c r="I1913" s="67"/>
      <c r="J1913" s="67">
        <f>ROUND(+I1913-H1913,4)</f>
        <v>0</v>
      </c>
      <c r="K1913" s="67">
        <f>ROUND(IF(F1913="alluminio",0,I1913*1.5%),4)</f>
        <v>0</v>
      </c>
      <c r="L1913" s="67">
        <f>ROUND(IF(K1913&lt;J1913,K1913,0),4)</f>
        <v>0</v>
      </c>
      <c r="M1913" s="67">
        <f>ROUND(IF(J1913&gt;K1913,0,J1913),4)</f>
        <v>0</v>
      </c>
      <c r="N1913" s="67">
        <f>ROUND(+L1913*D1913,4)</f>
        <v>0</v>
      </c>
      <c r="O1913" s="67">
        <f>ROUND(IF(F1913="rame",0,+I1913*3%),4)</f>
        <v>0</v>
      </c>
      <c r="P1913" s="67">
        <f>ROUND(IF(O1913&lt;J1913,O1913,0),4)</f>
        <v>0</v>
      </c>
      <c r="Q1913" s="67">
        <f>ROUND(IF(J1913&gt;O1913,0,J1913),4)</f>
        <v>0</v>
      </c>
      <c r="R1913" s="67">
        <f>ROUND(+P1913*D1913,4)</f>
        <v>0</v>
      </c>
      <c r="S1913" s="67">
        <f>ROUND(IF(K1913=0,0,M1913*D1913),4)</f>
        <v>0</v>
      </c>
      <c r="T1913" s="67">
        <f>ROUND(+IF(K1913=0,Q1913*D1913,0),4)</f>
        <v>0</v>
      </c>
      <c r="U1913" s="67">
        <f>ROUND(+N1913+R1913+S1913+T1913,4)</f>
        <v>0</v>
      </c>
      <c r="V1913" s="67">
        <f>ROUND(IF(P1913=0,0,I1913-H1913-O1913)+IF(L1913=0,0,I1913-H1913-K1913),4)</f>
        <v>0</v>
      </c>
      <c r="W1913" s="67">
        <f>ROUND(+(V1913*60%)*D1913,4)</f>
        <v>0</v>
      </c>
      <c r="X1913" s="148">
        <f>ROUND(+U1913+W1913,4)</f>
        <v>0</v>
      </c>
      <c r="Y1913" s="68"/>
      <c r="Z1913" s="148">
        <f>ROUND(IF(X1913&gt;I1913,X1913,I1913),4)</f>
        <v>0</v>
      </c>
      <c r="AD1913" s="78">
        <f t="shared" si="36"/>
        <v>0</v>
      </c>
      <c r="AE1913" s="78">
        <f t="shared" si="37"/>
        <v>0</v>
      </c>
    </row>
    <row r="1914" spans="1:31" x14ac:dyDescent="0.2">
      <c r="A1914" s="66"/>
      <c r="B1914" s="66"/>
      <c r="C1914" s="66"/>
      <c r="D1914" s="144"/>
      <c r="E1914" s="67"/>
      <c r="F1914" s="67"/>
      <c r="G1914" s="67"/>
      <c r="H1914" s="67">
        <f>ROUND(+E1914+G1914,4)</f>
        <v>0</v>
      </c>
      <c r="I1914" s="67"/>
      <c r="J1914" s="67">
        <f>ROUND(+I1914-H1914,4)</f>
        <v>0</v>
      </c>
      <c r="K1914" s="67">
        <f>ROUND(IF(F1914="alluminio",0,I1914*1.5%),4)</f>
        <v>0</v>
      </c>
      <c r="L1914" s="67">
        <f>ROUND(IF(K1914&lt;J1914,K1914,0),4)</f>
        <v>0</v>
      </c>
      <c r="M1914" s="67">
        <f>ROUND(IF(J1914&gt;K1914,0,J1914),4)</f>
        <v>0</v>
      </c>
      <c r="N1914" s="67">
        <f>ROUND(+L1914*D1914,4)</f>
        <v>0</v>
      </c>
      <c r="O1914" s="67">
        <f>ROUND(IF(F1914="rame",0,+I1914*3%),4)</f>
        <v>0</v>
      </c>
      <c r="P1914" s="67">
        <f>ROUND(IF(O1914&lt;J1914,O1914,0),4)</f>
        <v>0</v>
      </c>
      <c r="Q1914" s="67">
        <f>ROUND(IF(J1914&gt;O1914,0,J1914),4)</f>
        <v>0</v>
      </c>
      <c r="R1914" s="67">
        <f>ROUND(+P1914*D1914,4)</f>
        <v>0</v>
      </c>
      <c r="S1914" s="67">
        <f>ROUND(IF(K1914=0,0,M1914*D1914),4)</f>
        <v>0</v>
      </c>
      <c r="T1914" s="67">
        <f>ROUND(+IF(K1914=0,Q1914*D1914,0),4)</f>
        <v>0</v>
      </c>
      <c r="U1914" s="67">
        <f>ROUND(+N1914+R1914+S1914+T1914,4)</f>
        <v>0</v>
      </c>
      <c r="V1914" s="67">
        <f>ROUND(IF(P1914=0,0,I1914-H1914-O1914)+IF(L1914=0,0,I1914-H1914-K1914),4)</f>
        <v>0</v>
      </c>
      <c r="W1914" s="67">
        <f>ROUND(+(V1914*60%)*D1914,4)</f>
        <v>0</v>
      </c>
      <c r="X1914" s="148">
        <f>ROUND(+U1914+W1914,4)</f>
        <v>0</v>
      </c>
      <c r="Y1914" s="68"/>
      <c r="Z1914" s="148">
        <f>ROUND(IF(X1914&gt;I1914,X1914,I1914),4)</f>
        <v>0</v>
      </c>
      <c r="AD1914" s="78">
        <f t="shared" si="36"/>
        <v>0</v>
      </c>
      <c r="AE1914" s="78">
        <f t="shared" si="37"/>
        <v>0</v>
      </c>
    </row>
    <row r="1915" spans="1:31" x14ac:dyDescent="0.2">
      <c r="A1915" s="66"/>
      <c r="B1915" s="66"/>
      <c r="C1915" s="66"/>
      <c r="D1915" s="144"/>
      <c r="E1915" s="67"/>
      <c r="F1915" s="67"/>
      <c r="G1915" s="67"/>
      <c r="H1915" s="67">
        <f>ROUND(+E1915+G1915,4)</f>
        <v>0</v>
      </c>
      <c r="I1915" s="67"/>
      <c r="J1915" s="67">
        <f>ROUND(+I1915-H1915,4)</f>
        <v>0</v>
      </c>
      <c r="K1915" s="67">
        <f>ROUND(IF(F1915="alluminio",0,I1915*1.5%),4)</f>
        <v>0</v>
      </c>
      <c r="L1915" s="67">
        <f>ROUND(IF(K1915&lt;J1915,K1915,0),4)</f>
        <v>0</v>
      </c>
      <c r="M1915" s="67">
        <f>ROUND(IF(J1915&gt;K1915,0,J1915),4)</f>
        <v>0</v>
      </c>
      <c r="N1915" s="67">
        <f>ROUND(+L1915*D1915,4)</f>
        <v>0</v>
      </c>
      <c r="O1915" s="67">
        <f>ROUND(IF(F1915="rame",0,+I1915*3%),4)</f>
        <v>0</v>
      </c>
      <c r="P1915" s="67">
        <f>ROUND(IF(O1915&lt;J1915,O1915,0),4)</f>
        <v>0</v>
      </c>
      <c r="Q1915" s="67">
        <f>ROUND(IF(J1915&gt;O1915,0,J1915),4)</f>
        <v>0</v>
      </c>
      <c r="R1915" s="67">
        <f>ROUND(+P1915*D1915,4)</f>
        <v>0</v>
      </c>
      <c r="S1915" s="67">
        <f>ROUND(IF(K1915=0,0,M1915*D1915),4)</f>
        <v>0</v>
      </c>
      <c r="T1915" s="67">
        <f>ROUND(+IF(K1915=0,Q1915*D1915,0),4)</f>
        <v>0</v>
      </c>
      <c r="U1915" s="67">
        <f>ROUND(+N1915+R1915+S1915+T1915,4)</f>
        <v>0</v>
      </c>
      <c r="V1915" s="67">
        <f>ROUND(IF(P1915=0,0,I1915-H1915-O1915)+IF(L1915=0,0,I1915-H1915-K1915),4)</f>
        <v>0</v>
      </c>
      <c r="W1915" s="67">
        <f>ROUND(+(V1915*60%)*D1915,4)</f>
        <v>0</v>
      </c>
      <c r="X1915" s="148">
        <f>ROUND(+U1915+W1915,4)</f>
        <v>0</v>
      </c>
      <c r="Y1915" s="68"/>
      <c r="Z1915" s="148">
        <f>ROUND(IF(X1915&gt;I1915,X1915,I1915),4)</f>
        <v>0</v>
      </c>
      <c r="AD1915" s="78">
        <f t="shared" si="36"/>
        <v>0</v>
      </c>
      <c r="AE1915" s="78">
        <f t="shared" si="37"/>
        <v>0</v>
      </c>
    </row>
    <row r="1916" spans="1:31" x14ac:dyDescent="0.2">
      <c r="A1916" s="66"/>
      <c r="B1916" s="66"/>
      <c r="C1916" s="66"/>
      <c r="D1916" s="144"/>
      <c r="E1916" s="67"/>
      <c r="F1916" s="67"/>
      <c r="G1916" s="67"/>
      <c r="H1916" s="67">
        <f>ROUND(+E1916+G1916,4)</f>
        <v>0</v>
      </c>
      <c r="I1916" s="67"/>
      <c r="J1916" s="67">
        <f>ROUND(+I1916-H1916,4)</f>
        <v>0</v>
      </c>
      <c r="K1916" s="67">
        <f>ROUND(IF(F1916="alluminio",0,I1916*1.5%),4)</f>
        <v>0</v>
      </c>
      <c r="L1916" s="67">
        <f>ROUND(IF(K1916&lt;J1916,K1916,0),4)</f>
        <v>0</v>
      </c>
      <c r="M1916" s="67">
        <f>ROUND(IF(J1916&gt;K1916,0,J1916),4)</f>
        <v>0</v>
      </c>
      <c r="N1916" s="67">
        <f>ROUND(+L1916*D1916,4)</f>
        <v>0</v>
      </c>
      <c r="O1916" s="67">
        <f>ROUND(IF(F1916="rame",0,+I1916*3%),4)</f>
        <v>0</v>
      </c>
      <c r="P1916" s="67">
        <f>ROUND(IF(O1916&lt;J1916,O1916,0),4)</f>
        <v>0</v>
      </c>
      <c r="Q1916" s="67">
        <f>ROUND(IF(J1916&gt;O1916,0,J1916),4)</f>
        <v>0</v>
      </c>
      <c r="R1916" s="67">
        <f>ROUND(+P1916*D1916,4)</f>
        <v>0</v>
      </c>
      <c r="S1916" s="67">
        <f>ROUND(IF(K1916=0,0,M1916*D1916),4)</f>
        <v>0</v>
      </c>
      <c r="T1916" s="67">
        <f>ROUND(+IF(K1916=0,Q1916*D1916,0),4)</f>
        <v>0</v>
      </c>
      <c r="U1916" s="67">
        <f>ROUND(+N1916+R1916+S1916+T1916,4)</f>
        <v>0</v>
      </c>
      <c r="V1916" s="67">
        <f>ROUND(IF(P1916=0,0,I1916-H1916-O1916)+IF(L1916=0,0,I1916-H1916-K1916),4)</f>
        <v>0</v>
      </c>
      <c r="W1916" s="67">
        <f>ROUND(+(V1916*60%)*D1916,4)</f>
        <v>0</v>
      </c>
      <c r="X1916" s="148">
        <f>ROUND(+U1916+W1916,4)</f>
        <v>0</v>
      </c>
      <c r="Y1916" s="68"/>
      <c r="Z1916" s="148">
        <f>ROUND(IF(X1916&gt;I1916,X1916,I1916),4)</f>
        <v>0</v>
      </c>
      <c r="AD1916" s="78">
        <f t="shared" si="36"/>
        <v>0</v>
      </c>
      <c r="AE1916" s="78">
        <f t="shared" si="37"/>
        <v>0</v>
      </c>
    </row>
    <row r="1917" spans="1:31" x14ac:dyDescent="0.2">
      <c r="A1917" s="66"/>
      <c r="B1917" s="66"/>
      <c r="C1917" s="66"/>
      <c r="D1917" s="144"/>
      <c r="E1917" s="67"/>
      <c r="F1917" s="67"/>
      <c r="G1917" s="67"/>
      <c r="H1917" s="67">
        <f>ROUND(+E1917+G1917,4)</f>
        <v>0</v>
      </c>
      <c r="I1917" s="67"/>
      <c r="J1917" s="67">
        <f>ROUND(+I1917-H1917,4)</f>
        <v>0</v>
      </c>
      <c r="K1917" s="67">
        <f>ROUND(IF(F1917="alluminio",0,I1917*1.5%),4)</f>
        <v>0</v>
      </c>
      <c r="L1917" s="67">
        <f>ROUND(IF(K1917&lt;J1917,K1917,0),4)</f>
        <v>0</v>
      </c>
      <c r="M1917" s="67">
        <f>ROUND(IF(J1917&gt;K1917,0,J1917),4)</f>
        <v>0</v>
      </c>
      <c r="N1917" s="67">
        <f>ROUND(+L1917*D1917,4)</f>
        <v>0</v>
      </c>
      <c r="O1917" s="67">
        <f>ROUND(IF(F1917="rame",0,+I1917*3%),4)</f>
        <v>0</v>
      </c>
      <c r="P1917" s="67">
        <f>ROUND(IF(O1917&lt;J1917,O1917,0),4)</f>
        <v>0</v>
      </c>
      <c r="Q1917" s="67">
        <f>ROUND(IF(J1917&gt;O1917,0,J1917),4)</f>
        <v>0</v>
      </c>
      <c r="R1917" s="67">
        <f>ROUND(+P1917*D1917,4)</f>
        <v>0</v>
      </c>
      <c r="S1917" s="67">
        <f>ROUND(IF(K1917=0,0,M1917*D1917),4)</f>
        <v>0</v>
      </c>
      <c r="T1917" s="67">
        <f>ROUND(+IF(K1917=0,Q1917*D1917,0),4)</f>
        <v>0</v>
      </c>
      <c r="U1917" s="67">
        <f>ROUND(+N1917+R1917+S1917+T1917,4)</f>
        <v>0</v>
      </c>
      <c r="V1917" s="67">
        <f>ROUND(IF(P1917=0,0,I1917-H1917-O1917)+IF(L1917=0,0,I1917-H1917-K1917),4)</f>
        <v>0</v>
      </c>
      <c r="W1917" s="67">
        <f>ROUND(+(V1917*60%)*D1917,4)</f>
        <v>0</v>
      </c>
      <c r="X1917" s="148">
        <f>ROUND(+U1917+W1917,4)</f>
        <v>0</v>
      </c>
      <c r="Y1917" s="68"/>
      <c r="Z1917" s="148">
        <f>ROUND(IF(X1917&gt;I1917,X1917,I1917),4)</f>
        <v>0</v>
      </c>
      <c r="AD1917" s="78">
        <f t="shared" si="36"/>
        <v>0</v>
      </c>
      <c r="AE1917" s="78">
        <f t="shared" si="37"/>
        <v>0</v>
      </c>
    </row>
    <row r="1918" spans="1:31" x14ac:dyDescent="0.2">
      <c r="A1918" s="66"/>
      <c r="B1918" s="66"/>
      <c r="C1918" s="66"/>
      <c r="D1918" s="144"/>
      <c r="E1918" s="67"/>
      <c r="F1918" s="67"/>
      <c r="G1918" s="67"/>
      <c r="H1918" s="67">
        <f>ROUND(+E1918+G1918,4)</f>
        <v>0</v>
      </c>
      <c r="I1918" s="67"/>
      <c r="J1918" s="67">
        <f>ROUND(+I1918-H1918,4)</f>
        <v>0</v>
      </c>
      <c r="K1918" s="67">
        <f>ROUND(IF(F1918="alluminio",0,I1918*1.5%),4)</f>
        <v>0</v>
      </c>
      <c r="L1918" s="67">
        <f>ROUND(IF(K1918&lt;J1918,K1918,0),4)</f>
        <v>0</v>
      </c>
      <c r="M1918" s="67">
        <f>ROUND(IF(J1918&gt;K1918,0,J1918),4)</f>
        <v>0</v>
      </c>
      <c r="N1918" s="67">
        <f>ROUND(+L1918*D1918,4)</f>
        <v>0</v>
      </c>
      <c r="O1918" s="67">
        <f>ROUND(IF(F1918="rame",0,+I1918*3%),4)</f>
        <v>0</v>
      </c>
      <c r="P1918" s="67">
        <f>ROUND(IF(O1918&lt;J1918,O1918,0),4)</f>
        <v>0</v>
      </c>
      <c r="Q1918" s="67">
        <f>ROUND(IF(J1918&gt;O1918,0,J1918),4)</f>
        <v>0</v>
      </c>
      <c r="R1918" s="67">
        <f>ROUND(+P1918*D1918,4)</f>
        <v>0</v>
      </c>
      <c r="S1918" s="67">
        <f>ROUND(IF(K1918=0,0,M1918*D1918),4)</f>
        <v>0</v>
      </c>
      <c r="T1918" s="67">
        <f>ROUND(+IF(K1918=0,Q1918*D1918,0),4)</f>
        <v>0</v>
      </c>
      <c r="U1918" s="67">
        <f>ROUND(+N1918+R1918+S1918+T1918,4)</f>
        <v>0</v>
      </c>
      <c r="V1918" s="67">
        <f>ROUND(IF(P1918=0,0,I1918-H1918-O1918)+IF(L1918=0,0,I1918-H1918-K1918),4)</f>
        <v>0</v>
      </c>
      <c r="W1918" s="67">
        <f>ROUND(+(V1918*60%)*D1918,4)</f>
        <v>0</v>
      </c>
      <c r="X1918" s="148">
        <f>ROUND(+U1918+W1918,4)</f>
        <v>0</v>
      </c>
      <c r="Y1918" s="68"/>
      <c r="Z1918" s="148">
        <f>ROUND(IF(X1918&gt;I1918,X1918,I1918),4)</f>
        <v>0</v>
      </c>
      <c r="AD1918" s="78">
        <f t="shared" ref="AD1918:AD1981" si="38">IF(Y1918="",0,MONTH(Y1918))</f>
        <v>0</v>
      </c>
      <c r="AE1918" s="78">
        <f t="shared" ref="AE1918:AE1981" si="39">IF(Y1918="",0,YEAR(Y1918))</f>
        <v>0</v>
      </c>
    </row>
    <row r="1919" spans="1:31" x14ac:dyDescent="0.2">
      <c r="A1919" s="66"/>
      <c r="B1919" s="66"/>
      <c r="C1919" s="66"/>
      <c r="D1919" s="144"/>
      <c r="E1919" s="67"/>
      <c r="F1919" s="67"/>
      <c r="G1919" s="67"/>
      <c r="H1919" s="67">
        <f>ROUND(+E1919+G1919,4)</f>
        <v>0</v>
      </c>
      <c r="I1919" s="67"/>
      <c r="J1919" s="67">
        <f>ROUND(+I1919-H1919,4)</f>
        <v>0</v>
      </c>
      <c r="K1919" s="67">
        <f>ROUND(IF(F1919="alluminio",0,I1919*1.5%),4)</f>
        <v>0</v>
      </c>
      <c r="L1919" s="67">
        <f>ROUND(IF(K1919&lt;J1919,K1919,0),4)</f>
        <v>0</v>
      </c>
      <c r="M1919" s="67">
        <f>ROUND(IF(J1919&gt;K1919,0,J1919),4)</f>
        <v>0</v>
      </c>
      <c r="N1919" s="67">
        <f>ROUND(+L1919*D1919,4)</f>
        <v>0</v>
      </c>
      <c r="O1919" s="67">
        <f>ROUND(IF(F1919="rame",0,+I1919*3%),4)</f>
        <v>0</v>
      </c>
      <c r="P1919" s="67">
        <f>ROUND(IF(O1919&lt;J1919,O1919,0),4)</f>
        <v>0</v>
      </c>
      <c r="Q1919" s="67">
        <f>ROUND(IF(J1919&gt;O1919,0,J1919),4)</f>
        <v>0</v>
      </c>
      <c r="R1919" s="67">
        <f>ROUND(+P1919*D1919,4)</f>
        <v>0</v>
      </c>
      <c r="S1919" s="67">
        <f>ROUND(IF(K1919=0,0,M1919*D1919),4)</f>
        <v>0</v>
      </c>
      <c r="T1919" s="67">
        <f>ROUND(+IF(K1919=0,Q1919*D1919,0),4)</f>
        <v>0</v>
      </c>
      <c r="U1919" s="67">
        <f>ROUND(+N1919+R1919+S1919+T1919,4)</f>
        <v>0</v>
      </c>
      <c r="V1919" s="67">
        <f>ROUND(IF(P1919=0,0,I1919-H1919-O1919)+IF(L1919=0,0,I1919-H1919-K1919),4)</f>
        <v>0</v>
      </c>
      <c r="W1919" s="67">
        <f>ROUND(+(V1919*60%)*D1919,4)</f>
        <v>0</v>
      </c>
      <c r="X1919" s="148">
        <f>ROUND(+U1919+W1919,4)</f>
        <v>0</v>
      </c>
      <c r="Y1919" s="68"/>
      <c r="Z1919" s="148">
        <f>ROUND(IF(X1919&gt;I1919,X1919,I1919),4)</f>
        <v>0</v>
      </c>
      <c r="AD1919" s="78">
        <f t="shared" si="38"/>
        <v>0</v>
      </c>
      <c r="AE1919" s="78">
        <f t="shared" si="39"/>
        <v>0</v>
      </c>
    </row>
    <row r="1920" spans="1:31" x14ac:dyDescent="0.2">
      <c r="A1920" s="66"/>
      <c r="B1920" s="66"/>
      <c r="C1920" s="66"/>
      <c r="D1920" s="144"/>
      <c r="E1920" s="67"/>
      <c r="F1920" s="67"/>
      <c r="G1920" s="67"/>
      <c r="H1920" s="67">
        <f>ROUND(+E1920+G1920,4)</f>
        <v>0</v>
      </c>
      <c r="I1920" s="67"/>
      <c r="J1920" s="67">
        <f>ROUND(+I1920-H1920,4)</f>
        <v>0</v>
      </c>
      <c r="K1920" s="67">
        <f>ROUND(IF(F1920="alluminio",0,I1920*1.5%),4)</f>
        <v>0</v>
      </c>
      <c r="L1920" s="67">
        <f>ROUND(IF(K1920&lt;J1920,K1920,0),4)</f>
        <v>0</v>
      </c>
      <c r="M1920" s="67">
        <f>ROUND(IF(J1920&gt;K1920,0,J1920),4)</f>
        <v>0</v>
      </c>
      <c r="N1920" s="67">
        <f>ROUND(+L1920*D1920,4)</f>
        <v>0</v>
      </c>
      <c r="O1920" s="67">
        <f>ROUND(IF(F1920="rame",0,+I1920*3%),4)</f>
        <v>0</v>
      </c>
      <c r="P1920" s="67">
        <f>ROUND(IF(O1920&lt;J1920,O1920,0),4)</f>
        <v>0</v>
      </c>
      <c r="Q1920" s="67">
        <f>ROUND(IF(J1920&gt;O1920,0,J1920),4)</f>
        <v>0</v>
      </c>
      <c r="R1920" s="67">
        <f>ROUND(+P1920*D1920,4)</f>
        <v>0</v>
      </c>
      <c r="S1920" s="67">
        <f>ROUND(IF(K1920=0,0,M1920*D1920),4)</f>
        <v>0</v>
      </c>
      <c r="T1920" s="67">
        <f>ROUND(+IF(K1920=0,Q1920*D1920,0),4)</f>
        <v>0</v>
      </c>
      <c r="U1920" s="67">
        <f>ROUND(+N1920+R1920+S1920+T1920,4)</f>
        <v>0</v>
      </c>
      <c r="V1920" s="67">
        <f>ROUND(IF(P1920=0,0,I1920-H1920-O1920)+IF(L1920=0,0,I1920-H1920-K1920),4)</f>
        <v>0</v>
      </c>
      <c r="W1920" s="67">
        <f>ROUND(+(V1920*60%)*D1920,4)</f>
        <v>0</v>
      </c>
      <c r="X1920" s="148">
        <f>ROUND(+U1920+W1920,4)</f>
        <v>0</v>
      </c>
      <c r="Y1920" s="68"/>
      <c r="Z1920" s="148">
        <f>ROUND(IF(X1920&gt;I1920,X1920,I1920),4)</f>
        <v>0</v>
      </c>
      <c r="AD1920" s="78">
        <f t="shared" si="38"/>
        <v>0</v>
      </c>
      <c r="AE1920" s="78">
        <f t="shared" si="39"/>
        <v>0</v>
      </c>
    </row>
    <row r="1921" spans="1:31" x14ac:dyDescent="0.2">
      <c r="A1921" s="66"/>
      <c r="B1921" s="66"/>
      <c r="C1921" s="66"/>
      <c r="D1921" s="144"/>
      <c r="E1921" s="67"/>
      <c r="F1921" s="67"/>
      <c r="G1921" s="67"/>
      <c r="H1921" s="67">
        <f>ROUND(+E1921+G1921,4)</f>
        <v>0</v>
      </c>
      <c r="I1921" s="67"/>
      <c r="J1921" s="67">
        <f>ROUND(+I1921-H1921,4)</f>
        <v>0</v>
      </c>
      <c r="K1921" s="67">
        <f>ROUND(IF(F1921="alluminio",0,I1921*1.5%),4)</f>
        <v>0</v>
      </c>
      <c r="L1921" s="67">
        <f>ROUND(IF(K1921&lt;J1921,K1921,0),4)</f>
        <v>0</v>
      </c>
      <c r="M1921" s="67">
        <f>ROUND(IF(J1921&gt;K1921,0,J1921),4)</f>
        <v>0</v>
      </c>
      <c r="N1921" s="67">
        <f>ROUND(+L1921*D1921,4)</f>
        <v>0</v>
      </c>
      <c r="O1921" s="67">
        <f>ROUND(IF(F1921="rame",0,+I1921*3%),4)</f>
        <v>0</v>
      </c>
      <c r="P1921" s="67">
        <f>ROUND(IF(O1921&lt;J1921,O1921,0),4)</f>
        <v>0</v>
      </c>
      <c r="Q1921" s="67">
        <f>ROUND(IF(J1921&gt;O1921,0,J1921),4)</f>
        <v>0</v>
      </c>
      <c r="R1921" s="67">
        <f>ROUND(+P1921*D1921,4)</f>
        <v>0</v>
      </c>
      <c r="S1921" s="67">
        <f>ROUND(IF(K1921=0,0,M1921*D1921),4)</f>
        <v>0</v>
      </c>
      <c r="T1921" s="67">
        <f>ROUND(+IF(K1921=0,Q1921*D1921,0),4)</f>
        <v>0</v>
      </c>
      <c r="U1921" s="67">
        <f>ROUND(+N1921+R1921+S1921+T1921,4)</f>
        <v>0</v>
      </c>
      <c r="V1921" s="67">
        <f>ROUND(IF(P1921=0,0,I1921-H1921-O1921)+IF(L1921=0,0,I1921-H1921-K1921),4)</f>
        <v>0</v>
      </c>
      <c r="W1921" s="67">
        <f>ROUND(+(V1921*60%)*D1921,4)</f>
        <v>0</v>
      </c>
      <c r="X1921" s="148">
        <f>ROUND(+U1921+W1921,4)</f>
        <v>0</v>
      </c>
      <c r="Y1921" s="68"/>
      <c r="Z1921" s="148">
        <f>ROUND(IF(X1921&gt;I1921,X1921,I1921),4)</f>
        <v>0</v>
      </c>
      <c r="AD1921" s="78">
        <f t="shared" si="38"/>
        <v>0</v>
      </c>
      <c r="AE1921" s="78">
        <f t="shared" si="39"/>
        <v>0</v>
      </c>
    </row>
    <row r="1922" spans="1:31" x14ac:dyDescent="0.2">
      <c r="A1922" s="66"/>
      <c r="B1922" s="66"/>
      <c r="C1922" s="66"/>
      <c r="D1922" s="144"/>
      <c r="E1922" s="67"/>
      <c r="F1922" s="67"/>
      <c r="G1922" s="67"/>
      <c r="H1922" s="67">
        <f>ROUND(+E1922+G1922,4)</f>
        <v>0</v>
      </c>
      <c r="I1922" s="67"/>
      <c r="J1922" s="67">
        <f>ROUND(+I1922-H1922,4)</f>
        <v>0</v>
      </c>
      <c r="K1922" s="67">
        <f>ROUND(IF(F1922="alluminio",0,I1922*1.5%),4)</f>
        <v>0</v>
      </c>
      <c r="L1922" s="67">
        <f>ROUND(IF(K1922&lt;J1922,K1922,0),4)</f>
        <v>0</v>
      </c>
      <c r="M1922" s="67">
        <f>ROUND(IF(J1922&gt;K1922,0,J1922),4)</f>
        <v>0</v>
      </c>
      <c r="N1922" s="67">
        <f>ROUND(+L1922*D1922,4)</f>
        <v>0</v>
      </c>
      <c r="O1922" s="67">
        <f>ROUND(IF(F1922="rame",0,+I1922*3%),4)</f>
        <v>0</v>
      </c>
      <c r="P1922" s="67">
        <f>ROUND(IF(O1922&lt;J1922,O1922,0),4)</f>
        <v>0</v>
      </c>
      <c r="Q1922" s="67">
        <f>ROUND(IF(J1922&gt;O1922,0,J1922),4)</f>
        <v>0</v>
      </c>
      <c r="R1922" s="67">
        <f>ROUND(+P1922*D1922,4)</f>
        <v>0</v>
      </c>
      <c r="S1922" s="67">
        <f>ROUND(IF(K1922=0,0,M1922*D1922),4)</f>
        <v>0</v>
      </c>
      <c r="T1922" s="67">
        <f>ROUND(+IF(K1922=0,Q1922*D1922,0),4)</f>
        <v>0</v>
      </c>
      <c r="U1922" s="67">
        <f>ROUND(+N1922+R1922+S1922+T1922,4)</f>
        <v>0</v>
      </c>
      <c r="V1922" s="67">
        <f>ROUND(IF(P1922=0,0,I1922-H1922-O1922)+IF(L1922=0,0,I1922-H1922-K1922),4)</f>
        <v>0</v>
      </c>
      <c r="W1922" s="67">
        <f>ROUND(+(V1922*60%)*D1922,4)</f>
        <v>0</v>
      </c>
      <c r="X1922" s="148">
        <f>ROUND(+U1922+W1922,4)</f>
        <v>0</v>
      </c>
      <c r="Y1922" s="68"/>
      <c r="Z1922" s="148">
        <f>ROUND(IF(X1922&gt;I1922,X1922,I1922),4)</f>
        <v>0</v>
      </c>
      <c r="AD1922" s="78">
        <f t="shared" si="38"/>
        <v>0</v>
      </c>
      <c r="AE1922" s="78">
        <f t="shared" si="39"/>
        <v>0</v>
      </c>
    </row>
    <row r="1923" spans="1:31" x14ac:dyDescent="0.2">
      <c r="A1923" s="66"/>
      <c r="B1923" s="66"/>
      <c r="C1923" s="66"/>
      <c r="D1923" s="144"/>
      <c r="E1923" s="67"/>
      <c r="F1923" s="67"/>
      <c r="G1923" s="67"/>
      <c r="H1923" s="67">
        <f>ROUND(+E1923+G1923,4)</f>
        <v>0</v>
      </c>
      <c r="I1923" s="67"/>
      <c r="J1923" s="67">
        <f>ROUND(+I1923-H1923,4)</f>
        <v>0</v>
      </c>
      <c r="K1923" s="67">
        <f>ROUND(IF(F1923="alluminio",0,I1923*1.5%),4)</f>
        <v>0</v>
      </c>
      <c r="L1923" s="67">
        <f>ROUND(IF(K1923&lt;J1923,K1923,0),4)</f>
        <v>0</v>
      </c>
      <c r="M1923" s="67">
        <f>ROUND(IF(J1923&gt;K1923,0,J1923),4)</f>
        <v>0</v>
      </c>
      <c r="N1923" s="67">
        <f>ROUND(+L1923*D1923,4)</f>
        <v>0</v>
      </c>
      <c r="O1923" s="67">
        <f>ROUND(IF(F1923="rame",0,+I1923*3%),4)</f>
        <v>0</v>
      </c>
      <c r="P1923" s="67">
        <f>ROUND(IF(O1923&lt;J1923,O1923,0),4)</f>
        <v>0</v>
      </c>
      <c r="Q1923" s="67">
        <f>ROUND(IF(J1923&gt;O1923,0,J1923),4)</f>
        <v>0</v>
      </c>
      <c r="R1923" s="67">
        <f>ROUND(+P1923*D1923,4)</f>
        <v>0</v>
      </c>
      <c r="S1923" s="67">
        <f>ROUND(IF(K1923=0,0,M1923*D1923),4)</f>
        <v>0</v>
      </c>
      <c r="T1923" s="67">
        <f>ROUND(+IF(K1923=0,Q1923*D1923,0),4)</f>
        <v>0</v>
      </c>
      <c r="U1923" s="67">
        <f>ROUND(+N1923+R1923+S1923+T1923,4)</f>
        <v>0</v>
      </c>
      <c r="V1923" s="67">
        <f>ROUND(IF(P1923=0,0,I1923-H1923-O1923)+IF(L1923=0,0,I1923-H1923-K1923),4)</f>
        <v>0</v>
      </c>
      <c r="W1923" s="67">
        <f>ROUND(+(V1923*60%)*D1923,4)</f>
        <v>0</v>
      </c>
      <c r="X1923" s="148">
        <f>ROUND(+U1923+W1923,4)</f>
        <v>0</v>
      </c>
      <c r="Y1923" s="68"/>
      <c r="Z1923" s="148">
        <f>ROUND(IF(X1923&gt;I1923,X1923,I1923),4)</f>
        <v>0</v>
      </c>
      <c r="AD1923" s="78">
        <f t="shared" si="38"/>
        <v>0</v>
      </c>
      <c r="AE1923" s="78">
        <f t="shared" si="39"/>
        <v>0</v>
      </c>
    </row>
    <row r="1924" spans="1:31" x14ac:dyDescent="0.2">
      <c r="A1924" s="66"/>
      <c r="B1924" s="66"/>
      <c r="C1924" s="66"/>
      <c r="D1924" s="144"/>
      <c r="E1924" s="67"/>
      <c r="F1924" s="67"/>
      <c r="G1924" s="67"/>
      <c r="H1924" s="67">
        <f>ROUND(+E1924+G1924,4)</f>
        <v>0</v>
      </c>
      <c r="I1924" s="67"/>
      <c r="J1924" s="67">
        <f>ROUND(+I1924-H1924,4)</f>
        <v>0</v>
      </c>
      <c r="K1924" s="67">
        <f>ROUND(IF(F1924="alluminio",0,I1924*1.5%),4)</f>
        <v>0</v>
      </c>
      <c r="L1924" s="67">
        <f>ROUND(IF(K1924&lt;J1924,K1924,0),4)</f>
        <v>0</v>
      </c>
      <c r="M1924" s="67">
        <f>ROUND(IF(J1924&gt;K1924,0,J1924),4)</f>
        <v>0</v>
      </c>
      <c r="N1924" s="67">
        <f>ROUND(+L1924*D1924,4)</f>
        <v>0</v>
      </c>
      <c r="O1924" s="67">
        <f>ROUND(IF(F1924="rame",0,+I1924*3%),4)</f>
        <v>0</v>
      </c>
      <c r="P1924" s="67">
        <f>ROUND(IF(O1924&lt;J1924,O1924,0),4)</f>
        <v>0</v>
      </c>
      <c r="Q1924" s="67">
        <f>ROUND(IF(J1924&gt;O1924,0,J1924),4)</f>
        <v>0</v>
      </c>
      <c r="R1924" s="67">
        <f>ROUND(+P1924*D1924,4)</f>
        <v>0</v>
      </c>
      <c r="S1924" s="67">
        <f>ROUND(IF(K1924=0,0,M1924*D1924),4)</f>
        <v>0</v>
      </c>
      <c r="T1924" s="67">
        <f>ROUND(+IF(K1924=0,Q1924*D1924,0),4)</f>
        <v>0</v>
      </c>
      <c r="U1924" s="67">
        <f>ROUND(+N1924+R1924+S1924+T1924,4)</f>
        <v>0</v>
      </c>
      <c r="V1924" s="67">
        <f>ROUND(IF(P1924=0,0,I1924-H1924-O1924)+IF(L1924=0,0,I1924-H1924-K1924),4)</f>
        <v>0</v>
      </c>
      <c r="W1924" s="67">
        <f>ROUND(+(V1924*60%)*D1924,4)</f>
        <v>0</v>
      </c>
      <c r="X1924" s="148">
        <f>ROUND(+U1924+W1924,4)</f>
        <v>0</v>
      </c>
      <c r="Y1924" s="68"/>
      <c r="Z1924" s="148">
        <f>ROUND(IF(X1924&gt;I1924,X1924,I1924),4)</f>
        <v>0</v>
      </c>
      <c r="AD1924" s="78">
        <f t="shared" si="38"/>
        <v>0</v>
      </c>
      <c r="AE1924" s="78">
        <f t="shared" si="39"/>
        <v>0</v>
      </c>
    </row>
    <row r="1925" spans="1:31" x14ac:dyDescent="0.2">
      <c r="A1925" s="66"/>
      <c r="B1925" s="66"/>
      <c r="C1925" s="66"/>
      <c r="D1925" s="144"/>
      <c r="E1925" s="67"/>
      <c r="F1925" s="67"/>
      <c r="G1925" s="67"/>
      <c r="H1925" s="67">
        <f>ROUND(+E1925+G1925,4)</f>
        <v>0</v>
      </c>
      <c r="I1925" s="67"/>
      <c r="J1925" s="67">
        <f>ROUND(+I1925-H1925,4)</f>
        <v>0</v>
      </c>
      <c r="K1925" s="67">
        <f>ROUND(IF(F1925="alluminio",0,I1925*1.5%),4)</f>
        <v>0</v>
      </c>
      <c r="L1925" s="67">
        <f>ROUND(IF(K1925&lt;J1925,K1925,0),4)</f>
        <v>0</v>
      </c>
      <c r="M1925" s="67">
        <f>ROUND(IF(J1925&gt;K1925,0,J1925),4)</f>
        <v>0</v>
      </c>
      <c r="N1925" s="67">
        <f>ROUND(+L1925*D1925,4)</f>
        <v>0</v>
      </c>
      <c r="O1925" s="67">
        <f>ROUND(IF(F1925="rame",0,+I1925*3%),4)</f>
        <v>0</v>
      </c>
      <c r="P1925" s="67">
        <f>ROUND(IF(O1925&lt;J1925,O1925,0),4)</f>
        <v>0</v>
      </c>
      <c r="Q1925" s="67">
        <f>ROUND(IF(J1925&gt;O1925,0,J1925),4)</f>
        <v>0</v>
      </c>
      <c r="R1925" s="67">
        <f>ROUND(+P1925*D1925,4)</f>
        <v>0</v>
      </c>
      <c r="S1925" s="67">
        <f>ROUND(IF(K1925=0,0,M1925*D1925),4)</f>
        <v>0</v>
      </c>
      <c r="T1925" s="67">
        <f>ROUND(+IF(K1925=0,Q1925*D1925,0),4)</f>
        <v>0</v>
      </c>
      <c r="U1925" s="67">
        <f>ROUND(+N1925+R1925+S1925+T1925,4)</f>
        <v>0</v>
      </c>
      <c r="V1925" s="67">
        <f>ROUND(IF(P1925=0,0,I1925-H1925-O1925)+IF(L1925=0,0,I1925-H1925-K1925),4)</f>
        <v>0</v>
      </c>
      <c r="W1925" s="67">
        <f>ROUND(+(V1925*60%)*D1925,4)</f>
        <v>0</v>
      </c>
      <c r="X1925" s="148">
        <f>ROUND(+U1925+W1925,4)</f>
        <v>0</v>
      </c>
      <c r="Y1925" s="68"/>
      <c r="Z1925" s="148">
        <f>ROUND(IF(X1925&gt;I1925,X1925,I1925),4)</f>
        <v>0</v>
      </c>
      <c r="AD1925" s="78">
        <f t="shared" si="38"/>
        <v>0</v>
      </c>
      <c r="AE1925" s="78">
        <f t="shared" si="39"/>
        <v>0</v>
      </c>
    </row>
    <row r="1926" spans="1:31" x14ac:dyDescent="0.2">
      <c r="A1926" s="66"/>
      <c r="B1926" s="66"/>
      <c r="C1926" s="66"/>
      <c r="D1926" s="144"/>
      <c r="E1926" s="67"/>
      <c r="F1926" s="67"/>
      <c r="G1926" s="67"/>
      <c r="H1926" s="67">
        <f>ROUND(+E1926+G1926,4)</f>
        <v>0</v>
      </c>
      <c r="I1926" s="67"/>
      <c r="J1926" s="67">
        <f>ROUND(+I1926-H1926,4)</f>
        <v>0</v>
      </c>
      <c r="K1926" s="67">
        <f>ROUND(IF(F1926="alluminio",0,I1926*1.5%),4)</f>
        <v>0</v>
      </c>
      <c r="L1926" s="67">
        <f>ROUND(IF(K1926&lt;J1926,K1926,0),4)</f>
        <v>0</v>
      </c>
      <c r="M1926" s="67">
        <f>ROUND(IF(J1926&gt;K1926,0,J1926),4)</f>
        <v>0</v>
      </c>
      <c r="N1926" s="67">
        <f>ROUND(+L1926*D1926,4)</f>
        <v>0</v>
      </c>
      <c r="O1926" s="67">
        <f>ROUND(IF(F1926="rame",0,+I1926*3%),4)</f>
        <v>0</v>
      </c>
      <c r="P1926" s="67">
        <f>ROUND(IF(O1926&lt;J1926,O1926,0),4)</f>
        <v>0</v>
      </c>
      <c r="Q1926" s="67">
        <f>ROUND(IF(J1926&gt;O1926,0,J1926),4)</f>
        <v>0</v>
      </c>
      <c r="R1926" s="67">
        <f>ROUND(+P1926*D1926,4)</f>
        <v>0</v>
      </c>
      <c r="S1926" s="67">
        <f>ROUND(IF(K1926=0,0,M1926*D1926),4)</f>
        <v>0</v>
      </c>
      <c r="T1926" s="67">
        <f>ROUND(+IF(K1926=0,Q1926*D1926,0),4)</f>
        <v>0</v>
      </c>
      <c r="U1926" s="67">
        <f>ROUND(+N1926+R1926+S1926+T1926,4)</f>
        <v>0</v>
      </c>
      <c r="V1926" s="67">
        <f>ROUND(IF(P1926=0,0,I1926-H1926-O1926)+IF(L1926=0,0,I1926-H1926-K1926),4)</f>
        <v>0</v>
      </c>
      <c r="W1926" s="67">
        <f>ROUND(+(V1926*60%)*D1926,4)</f>
        <v>0</v>
      </c>
      <c r="X1926" s="148">
        <f>ROUND(+U1926+W1926,4)</f>
        <v>0</v>
      </c>
      <c r="Y1926" s="68"/>
      <c r="Z1926" s="148">
        <f>ROUND(IF(X1926&gt;I1926,X1926,I1926),4)</f>
        <v>0</v>
      </c>
      <c r="AD1926" s="78">
        <f t="shared" si="38"/>
        <v>0</v>
      </c>
      <c r="AE1926" s="78">
        <f t="shared" si="39"/>
        <v>0</v>
      </c>
    </row>
    <row r="1927" spans="1:31" x14ac:dyDescent="0.2">
      <c r="A1927" s="66"/>
      <c r="B1927" s="66"/>
      <c r="C1927" s="66"/>
      <c r="D1927" s="144"/>
      <c r="E1927" s="67"/>
      <c r="F1927" s="67"/>
      <c r="G1927" s="67"/>
      <c r="H1927" s="67">
        <f>ROUND(+E1927+G1927,4)</f>
        <v>0</v>
      </c>
      <c r="I1927" s="67"/>
      <c r="J1927" s="67">
        <f>ROUND(+I1927-H1927,4)</f>
        <v>0</v>
      </c>
      <c r="K1927" s="67">
        <f>ROUND(IF(F1927="alluminio",0,I1927*1.5%),4)</f>
        <v>0</v>
      </c>
      <c r="L1927" s="67">
        <f>ROUND(IF(K1927&lt;J1927,K1927,0),4)</f>
        <v>0</v>
      </c>
      <c r="M1927" s="67">
        <f>ROUND(IF(J1927&gt;K1927,0,J1927),4)</f>
        <v>0</v>
      </c>
      <c r="N1927" s="67">
        <f>ROUND(+L1927*D1927,4)</f>
        <v>0</v>
      </c>
      <c r="O1927" s="67">
        <f>ROUND(IF(F1927="rame",0,+I1927*3%),4)</f>
        <v>0</v>
      </c>
      <c r="P1927" s="67">
        <f>ROUND(IF(O1927&lt;J1927,O1927,0),4)</f>
        <v>0</v>
      </c>
      <c r="Q1927" s="67">
        <f>ROUND(IF(J1927&gt;O1927,0,J1927),4)</f>
        <v>0</v>
      </c>
      <c r="R1927" s="67">
        <f>ROUND(+P1927*D1927,4)</f>
        <v>0</v>
      </c>
      <c r="S1927" s="67">
        <f>ROUND(IF(K1927=0,0,M1927*D1927),4)</f>
        <v>0</v>
      </c>
      <c r="T1927" s="67">
        <f>ROUND(+IF(K1927=0,Q1927*D1927,0),4)</f>
        <v>0</v>
      </c>
      <c r="U1927" s="67">
        <f>ROUND(+N1927+R1927+S1927+T1927,4)</f>
        <v>0</v>
      </c>
      <c r="V1927" s="67">
        <f>ROUND(IF(P1927=0,0,I1927-H1927-O1927)+IF(L1927=0,0,I1927-H1927-K1927),4)</f>
        <v>0</v>
      </c>
      <c r="W1927" s="67">
        <f>ROUND(+(V1927*60%)*D1927,4)</f>
        <v>0</v>
      </c>
      <c r="X1927" s="148">
        <f>ROUND(+U1927+W1927,4)</f>
        <v>0</v>
      </c>
      <c r="Y1927" s="68"/>
      <c r="Z1927" s="148">
        <f>ROUND(IF(X1927&gt;I1927,X1927,I1927),4)</f>
        <v>0</v>
      </c>
      <c r="AD1927" s="78">
        <f t="shared" si="38"/>
        <v>0</v>
      </c>
      <c r="AE1927" s="78">
        <f t="shared" si="39"/>
        <v>0</v>
      </c>
    </row>
    <row r="1928" spans="1:31" x14ac:dyDescent="0.2">
      <c r="A1928" s="66"/>
      <c r="B1928" s="66"/>
      <c r="C1928" s="66"/>
      <c r="D1928" s="144"/>
      <c r="E1928" s="67"/>
      <c r="F1928" s="67"/>
      <c r="G1928" s="67"/>
      <c r="H1928" s="67">
        <f>ROUND(+E1928+G1928,4)</f>
        <v>0</v>
      </c>
      <c r="I1928" s="67"/>
      <c r="J1928" s="67">
        <f>ROUND(+I1928-H1928,4)</f>
        <v>0</v>
      </c>
      <c r="K1928" s="67">
        <f>ROUND(IF(F1928="alluminio",0,I1928*1.5%),4)</f>
        <v>0</v>
      </c>
      <c r="L1928" s="67">
        <f>ROUND(IF(K1928&lt;J1928,K1928,0),4)</f>
        <v>0</v>
      </c>
      <c r="M1928" s="67">
        <f>ROUND(IF(J1928&gt;K1928,0,J1928),4)</f>
        <v>0</v>
      </c>
      <c r="N1928" s="67">
        <f>ROUND(+L1928*D1928,4)</f>
        <v>0</v>
      </c>
      <c r="O1928" s="67">
        <f>ROUND(IF(F1928="rame",0,+I1928*3%),4)</f>
        <v>0</v>
      </c>
      <c r="P1928" s="67">
        <f>ROUND(IF(O1928&lt;J1928,O1928,0),4)</f>
        <v>0</v>
      </c>
      <c r="Q1928" s="67">
        <f>ROUND(IF(J1928&gt;O1928,0,J1928),4)</f>
        <v>0</v>
      </c>
      <c r="R1928" s="67">
        <f>ROUND(+P1928*D1928,4)</f>
        <v>0</v>
      </c>
      <c r="S1928" s="67">
        <f>ROUND(IF(K1928=0,0,M1928*D1928),4)</f>
        <v>0</v>
      </c>
      <c r="T1928" s="67">
        <f>ROUND(+IF(K1928=0,Q1928*D1928,0),4)</f>
        <v>0</v>
      </c>
      <c r="U1928" s="67">
        <f>ROUND(+N1928+R1928+S1928+T1928,4)</f>
        <v>0</v>
      </c>
      <c r="V1928" s="67">
        <f>ROUND(IF(P1928=0,0,I1928-H1928-O1928)+IF(L1928=0,0,I1928-H1928-K1928),4)</f>
        <v>0</v>
      </c>
      <c r="W1928" s="67">
        <f>ROUND(+(V1928*60%)*D1928,4)</f>
        <v>0</v>
      </c>
      <c r="X1928" s="148">
        <f>ROUND(+U1928+W1928,4)</f>
        <v>0</v>
      </c>
      <c r="Y1928" s="68"/>
      <c r="Z1928" s="148">
        <f>ROUND(IF(X1928&gt;I1928,X1928,I1928),4)</f>
        <v>0</v>
      </c>
      <c r="AD1928" s="78">
        <f t="shared" si="38"/>
        <v>0</v>
      </c>
      <c r="AE1928" s="78">
        <f t="shared" si="39"/>
        <v>0</v>
      </c>
    </row>
    <row r="1929" spans="1:31" x14ac:dyDescent="0.2">
      <c r="A1929" s="66"/>
      <c r="B1929" s="66"/>
      <c r="C1929" s="66"/>
      <c r="D1929" s="144"/>
      <c r="E1929" s="67"/>
      <c r="F1929" s="67"/>
      <c r="G1929" s="67"/>
      <c r="H1929" s="67">
        <f>ROUND(+E1929+G1929,4)</f>
        <v>0</v>
      </c>
      <c r="I1929" s="67"/>
      <c r="J1929" s="67">
        <f>ROUND(+I1929-H1929,4)</f>
        <v>0</v>
      </c>
      <c r="K1929" s="67">
        <f>ROUND(IF(F1929="alluminio",0,I1929*1.5%),4)</f>
        <v>0</v>
      </c>
      <c r="L1929" s="67">
        <f>ROUND(IF(K1929&lt;J1929,K1929,0),4)</f>
        <v>0</v>
      </c>
      <c r="M1929" s="67">
        <f>ROUND(IF(J1929&gt;K1929,0,J1929),4)</f>
        <v>0</v>
      </c>
      <c r="N1929" s="67">
        <f>ROUND(+L1929*D1929,4)</f>
        <v>0</v>
      </c>
      <c r="O1929" s="67">
        <f>ROUND(IF(F1929="rame",0,+I1929*3%),4)</f>
        <v>0</v>
      </c>
      <c r="P1929" s="67">
        <f>ROUND(IF(O1929&lt;J1929,O1929,0),4)</f>
        <v>0</v>
      </c>
      <c r="Q1929" s="67">
        <f>ROUND(IF(J1929&gt;O1929,0,J1929),4)</f>
        <v>0</v>
      </c>
      <c r="R1929" s="67">
        <f>ROUND(+P1929*D1929,4)</f>
        <v>0</v>
      </c>
      <c r="S1929" s="67">
        <f>ROUND(IF(K1929=0,0,M1929*D1929),4)</f>
        <v>0</v>
      </c>
      <c r="T1929" s="67">
        <f>ROUND(+IF(K1929=0,Q1929*D1929,0),4)</f>
        <v>0</v>
      </c>
      <c r="U1929" s="67">
        <f>ROUND(+N1929+R1929+S1929+T1929,4)</f>
        <v>0</v>
      </c>
      <c r="V1929" s="67">
        <f>ROUND(IF(P1929=0,0,I1929-H1929-O1929)+IF(L1929=0,0,I1929-H1929-K1929),4)</f>
        <v>0</v>
      </c>
      <c r="W1929" s="67">
        <f>ROUND(+(V1929*60%)*D1929,4)</f>
        <v>0</v>
      </c>
      <c r="X1929" s="148">
        <f>ROUND(+U1929+W1929,4)</f>
        <v>0</v>
      </c>
      <c r="Y1929" s="68"/>
      <c r="Z1929" s="148">
        <f>ROUND(IF(X1929&gt;I1929,X1929,I1929),4)</f>
        <v>0</v>
      </c>
      <c r="AD1929" s="78">
        <f t="shared" si="38"/>
        <v>0</v>
      </c>
      <c r="AE1929" s="78">
        <f t="shared" si="39"/>
        <v>0</v>
      </c>
    </row>
    <row r="1930" spans="1:31" x14ac:dyDescent="0.2">
      <c r="A1930" s="66"/>
      <c r="B1930" s="66"/>
      <c r="C1930" s="66"/>
      <c r="D1930" s="144"/>
      <c r="E1930" s="67"/>
      <c r="F1930" s="67"/>
      <c r="G1930" s="67"/>
      <c r="H1930" s="67">
        <f>ROUND(+E1930+G1930,4)</f>
        <v>0</v>
      </c>
      <c r="I1930" s="67"/>
      <c r="J1930" s="67">
        <f>ROUND(+I1930-H1930,4)</f>
        <v>0</v>
      </c>
      <c r="K1930" s="67">
        <f>ROUND(IF(F1930="alluminio",0,I1930*1.5%),4)</f>
        <v>0</v>
      </c>
      <c r="L1930" s="67">
        <f>ROUND(IF(K1930&lt;J1930,K1930,0),4)</f>
        <v>0</v>
      </c>
      <c r="M1930" s="67">
        <f>ROUND(IF(J1930&gt;K1930,0,J1930),4)</f>
        <v>0</v>
      </c>
      <c r="N1930" s="67">
        <f>ROUND(+L1930*D1930,4)</f>
        <v>0</v>
      </c>
      <c r="O1930" s="67">
        <f>ROUND(IF(F1930="rame",0,+I1930*3%),4)</f>
        <v>0</v>
      </c>
      <c r="P1930" s="67">
        <f>ROUND(IF(O1930&lt;J1930,O1930,0),4)</f>
        <v>0</v>
      </c>
      <c r="Q1930" s="67">
        <f>ROUND(IF(J1930&gt;O1930,0,J1930),4)</f>
        <v>0</v>
      </c>
      <c r="R1930" s="67">
        <f>ROUND(+P1930*D1930,4)</f>
        <v>0</v>
      </c>
      <c r="S1930" s="67">
        <f>ROUND(IF(K1930=0,0,M1930*D1930),4)</f>
        <v>0</v>
      </c>
      <c r="T1930" s="67">
        <f>ROUND(+IF(K1930=0,Q1930*D1930,0),4)</f>
        <v>0</v>
      </c>
      <c r="U1930" s="67">
        <f>ROUND(+N1930+R1930+S1930+T1930,4)</f>
        <v>0</v>
      </c>
      <c r="V1930" s="67">
        <f>ROUND(IF(P1930=0,0,I1930-H1930-O1930)+IF(L1930=0,0,I1930-H1930-K1930),4)</f>
        <v>0</v>
      </c>
      <c r="W1930" s="67">
        <f>ROUND(+(V1930*60%)*D1930,4)</f>
        <v>0</v>
      </c>
      <c r="X1930" s="148">
        <f>ROUND(+U1930+W1930,4)</f>
        <v>0</v>
      </c>
      <c r="Y1930" s="68"/>
      <c r="Z1930" s="148">
        <f>ROUND(IF(X1930&gt;I1930,X1930,I1930),4)</f>
        <v>0</v>
      </c>
      <c r="AD1930" s="78">
        <f t="shared" si="38"/>
        <v>0</v>
      </c>
      <c r="AE1930" s="78">
        <f t="shared" si="39"/>
        <v>0</v>
      </c>
    </row>
    <row r="1931" spans="1:31" x14ac:dyDescent="0.2">
      <c r="A1931" s="66"/>
      <c r="B1931" s="66"/>
      <c r="C1931" s="66"/>
      <c r="D1931" s="144"/>
      <c r="E1931" s="67"/>
      <c r="F1931" s="67"/>
      <c r="G1931" s="67"/>
      <c r="H1931" s="67">
        <f>ROUND(+E1931+G1931,4)</f>
        <v>0</v>
      </c>
      <c r="I1931" s="67"/>
      <c r="J1931" s="67">
        <f>ROUND(+I1931-H1931,4)</f>
        <v>0</v>
      </c>
      <c r="K1931" s="67">
        <f>ROUND(IF(F1931="alluminio",0,I1931*1.5%),4)</f>
        <v>0</v>
      </c>
      <c r="L1931" s="67">
        <f>ROUND(IF(K1931&lt;J1931,K1931,0),4)</f>
        <v>0</v>
      </c>
      <c r="M1931" s="67">
        <f>ROUND(IF(J1931&gt;K1931,0,J1931),4)</f>
        <v>0</v>
      </c>
      <c r="N1931" s="67">
        <f>ROUND(+L1931*D1931,4)</f>
        <v>0</v>
      </c>
      <c r="O1931" s="67">
        <f>ROUND(IF(F1931="rame",0,+I1931*3%),4)</f>
        <v>0</v>
      </c>
      <c r="P1931" s="67">
        <f>ROUND(IF(O1931&lt;J1931,O1931,0),4)</f>
        <v>0</v>
      </c>
      <c r="Q1931" s="67">
        <f>ROUND(IF(J1931&gt;O1931,0,J1931),4)</f>
        <v>0</v>
      </c>
      <c r="R1931" s="67">
        <f>ROUND(+P1931*D1931,4)</f>
        <v>0</v>
      </c>
      <c r="S1931" s="67">
        <f>ROUND(IF(K1931=0,0,M1931*D1931),4)</f>
        <v>0</v>
      </c>
      <c r="T1931" s="67">
        <f>ROUND(+IF(K1931=0,Q1931*D1931,0),4)</f>
        <v>0</v>
      </c>
      <c r="U1931" s="67">
        <f>ROUND(+N1931+R1931+S1931+T1931,4)</f>
        <v>0</v>
      </c>
      <c r="V1931" s="67">
        <f>ROUND(IF(P1931=0,0,I1931-H1931-O1931)+IF(L1931=0,0,I1931-H1931-K1931),4)</f>
        <v>0</v>
      </c>
      <c r="W1931" s="67">
        <f>ROUND(+(V1931*60%)*D1931,4)</f>
        <v>0</v>
      </c>
      <c r="X1931" s="148">
        <f>ROUND(+U1931+W1931,4)</f>
        <v>0</v>
      </c>
      <c r="Y1931" s="68"/>
      <c r="Z1931" s="148">
        <f>ROUND(IF(X1931&gt;I1931,X1931,I1931),4)</f>
        <v>0</v>
      </c>
      <c r="AD1931" s="78">
        <f t="shared" si="38"/>
        <v>0</v>
      </c>
      <c r="AE1931" s="78">
        <f t="shared" si="39"/>
        <v>0</v>
      </c>
    </row>
    <row r="1932" spans="1:31" x14ac:dyDescent="0.2">
      <c r="A1932" s="66"/>
      <c r="B1932" s="66"/>
      <c r="C1932" s="66"/>
      <c r="D1932" s="144"/>
      <c r="E1932" s="67"/>
      <c r="F1932" s="67"/>
      <c r="G1932" s="67"/>
      <c r="H1932" s="67">
        <f>ROUND(+E1932+G1932,4)</f>
        <v>0</v>
      </c>
      <c r="I1932" s="67"/>
      <c r="J1932" s="67">
        <f>ROUND(+I1932-H1932,4)</f>
        <v>0</v>
      </c>
      <c r="K1932" s="67">
        <f>ROUND(IF(F1932="alluminio",0,I1932*1.5%),4)</f>
        <v>0</v>
      </c>
      <c r="L1932" s="67">
        <f>ROUND(IF(K1932&lt;J1932,K1932,0),4)</f>
        <v>0</v>
      </c>
      <c r="M1932" s="67">
        <f>ROUND(IF(J1932&gt;K1932,0,J1932),4)</f>
        <v>0</v>
      </c>
      <c r="N1932" s="67">
        <f>ROUND(+L1932*D1932,4)</f>
        <v>0</v>
      </c>
      <c r="O1932" s="67">
        <f>ROUND(IF(F1932="rame",0,+I1932*3%),4)</f>
        <v>0</v>
      </c>
      <c r="P1932" s="67">
        <f>ROUND(IF(O1932&lt;J1932,O1932,0),4)</f>
        <v>0</v>
      </c>
      <c r="Q1932" s="67">
        <f>ROUND(IF(J1932&gt;O1932,0,J1932),4)</f>
        <v>0</v>
      </c>
      <c r="R1932" s="67">
        <f>ROUND(+P1932*D1932,4)</f>
        <v>0</v>
      </c>
      <c r="S1932" s="67">
        <f>ROUND(IF(K1932=0,0,M1932*D1932),4)</f>
        <v>0</v>
      </c>
      <c r="T1932" s="67">
        <f>ROUND(+IF(K1932=0,Q1932*D1932,0),4)</f>
        <v>0</v>
      </c>
      <c r="U1932" s="67">
        <f>ROUND(+N1932+R1932+S1932+T1932,4)</f>
        <v>0</v>
      </c>
      <c r="V1932" s="67">
        <f>ROUND(IF(P1932=0,0,I1932-H1932-O1932)+IF(L1932=0,0,I1932-H1932-K1932),4)</f>
        <v>0</v>
      </c>
      <c r="W1932" s="67">
        <f>ROUND(+(V1932*60%)*D1932,4)</f>
        <v>0</v>
      </c>
      <c r="X1932" s="148">
        <f>ROUND(+U1932+W1932,4)</f>
        <v>0</v>
      </c>
      <c r="Y1932" s="68"/>
      <c r="Z1932" s="148">
        <f>ROUND(IF(X1932&gt;I1932,X1932,I1932),4)</f>
        <v>0</v>
      </c>
      <c r="AD1932" s="78">
        <f t="shared" si="38"/>
        <v>0</v>
      </c>
      <c r="AE1932" s="78">
        <f t="shared" si="39"/>
        <v>0</v>
      </c>
    </row>
    <row r="1933" spans="1:31" x14ac:dyDescent="0.2">
      <c r="A1933" s="66"/>
      <c r="B1933" s="66"/>
      <c r="C1933" s="66"/>
      <c r="D1933" s="144"/>
      <c r="E1933" s="67"/>
      <c r="F1933" s="67"/>
      <c r="G1933" s="67"/>
      <c r="H1933" s="67">
        <f>ROUND(+E1933+G1933,4)</f>
        <v>0</v>
      </c>
      <c r="I1933" s="67"/>
      <c r="J1933" s="67">
        <f>ROUND(+I1933-H1933,4)</f>
        <v>0</v>
      </c>
      <c r="K1933" s="67">
        <f>ROUND(IF(F1933="alluminio",0,I1933*1.5%),4)</f>
        <v>0</v>
      </c>
      <c r="L1933" s="67">
        <f>ROUND(IF(K1933&lt;J1933,K1933,0),4)</f>
        <v>0</v>
      </c>
      <c r="M1933" s="67">
        <f>ROUND(IF(J1933&gt;K1933,0,J1933),4)</f>
        <v>0</v>
      </c>
      <c r="N1933" s="67">
        <f>ROUND(+L1933*D1933,4)</f>
        <v>0</v>
      </c>
      <c r="O1933" s="67">
        <f>ROUND(IF(F1933="rame",0,+I1933*3%),4)</f>
        <v>0</v>
      </c>
      <c r="P1933" s="67">
        <f>ROUND(IF(O1933&lt;J1933,O1933,0),4)</f>
        <v>0</v>
      </c>
      <c r="Q1933" s="67">
        <f>ROUND(IF(J1933&gt;O1933,0,J1933),4)</f>
        <v>0</v>
      </c>
      <c r="R1933" s="67">
        <f>ROUND(+P1933*D1933,4)</f>
        <v>0</v>
      </c>
      <c r="S1933" s="67">
        <f>ROUND(IF(K1933=0,0,M1933*D1933),4)</f>
        <v>0</v>
      </c>
      <c r="T1933" s="67">
        <f>ROUND(+IF(K1933=0,Q1933*D1933,0),4)</f>
        <v>0</v>
      </c>
      <c r="U1933" s="67">
        <f>ROUND(+N1933+R1933+S1933+T1933,4)</f>
        <v>0</v>
      </c>
      <c r="V1933" s="67">
        <f>ROUND(IF(P1933=0,0,I1933-H1933-O1933)+IF(L1933=0,0,I1933-H1933-K1933),4)</f>
        <v>0</v>
      </c>
      <c r="W1933" s="67">
        <f>ROUND(+(V1933*60%)*D1933,4)</f>
        <v>0</v>
      </c>
      <c r="X1933" s="148">
        <f>ROUND(+U1933+W1933,4)</f>
        <v>0</v>
      </c>
      <c r="Y1933" s="68"/>
      <c r="Z1933" s="148">
        <f>ROUND(IF(X1933&gt;I1933,X1933,I1933),4)</f>
        <v>0</v>
      </c>
      <c r="AD1933" s="78">
        <f t="shared" si="38"/>
        <v>0</v>
      </c>
      <c r="AE1933" s="78">
        <f t="shared" si="39"/>
        <v>0</v>
      </c>
    </row>
    <row r="1934" spans="1:31" x14ac:dyDescent="0.2">
      <c r="A1934" s="66"/>
      <c r="B1934" s="66"/>
      <c r="C1934" s="66"/>
      <c r="D1934" s="144"/>
      <c r="E1934" s="67"/>
      <c r="F1934" s="67"/>
      <c r="G1934" s="67"/>
      <c r="H1934" s="67">
        <f>ROUND(+E1934+G1934,4)</f>
        <v>0</v>
      </c>
      <c r="I1934" s="67"/>
      <c r="J1934" s="67">
        <f>ROUND(+I1934-H1934,4)</f>
        <v>0</v>
      </c>
      <c r="K1934" s="67">
        <f>ROUND(IF(F1934="alluminio",0,I1934*1.5%),4)</f>
        <v>0</v>
      </c>
      <c r="L1934" s="67">
        <f>ROUND(IF(K1934&lt;J1934,K1934,0),4)</f>
        <v>0</v>
      </c>
      <c r="M1934" s="67">
        <f>ROUND(IF(J1934&gt;K1934,0,J1934),4)</f>
        <v>0</v>
      </c>
      <c r="N1934" s="67">
        <f>ROUND(+L1934*D1934,4)</f>
        <v>0</v>
      </c>
      <c r="O1934" s="67">
        <f>ROUND(IF(F1934="rame",0,+I1934*3%),4)</f>
        <v>0</v>
      </c>
      <c r="P1934" s="67">
        <f>ROUND(IF(O1934&lt;J1934,O1934,0),4)</f>
        <v>0</v>
      </c>
      <c r="Q1934" s="67">
        <f>ROUND(IF(J1934&gt;O1934,0,J1934),4)</f>
        <v>0</v>
      </c>
      <c r="R1934" s="67">
        <f>ROUND(+P1934*D1934,4)</f>
        <v>0</v>
      </c>
      <c r="S1934" s="67">
        <f>ROUND(IF(K1934=0,0,M1934*D1934),4)</f>
        <v>0</v>
      </c>
      <c r="T1934" s="67">
        <f>ROUND(+IF(K1934=0,Q1934*D1934,0),4)</f>
        <v>0</v>
      </c>
      <c r="U1934" s="67">
        <f>ROUND(+N1934+R1934+S1934+T1934,4)</f>
        <v>0</v>
      </c>
      <c r="V1934" s="67">
        <f>ROUND(IF(P1934=0,0,I1934-H1934-O1934)+IF(L1934=0,0,I1934-H1934-K1934),4)</f>
        <v>0</v>
      </c>
      <c r="W1934" s="67">
        <f>ROUND(+(V1934*60%)*D1934,4)</f>
        <v>0</v>
      </c>
      <c r="X1934" s="148">
        <f>ROUND(+U1934+W1934,4)</f>
        <v>0</v>
      </c>
      <c r="Y1934" s="68"/>
      <c r="Z1934" s="148">
        <f>ROUND(IF(X1934&gt;I1934,X1934,I1934),4)</f>
        <v>0</v>
      </c>
      <c r="AD1934" s="78">
        <f t="shared" si="38"/>
        <v>0</v>
      </c>
      <c r="AE1934" s="78">
        <f t="shared" si="39"/>
        <v>0</v>
      </c>
    </row>
    <row r="1935" spans="1:31" x14ac:dyDescent="0.2">
      <c r="A1935" s="66"/>
      <c r="B1935" s="66"/>
      <c r="C1935" s="66"/>
      <c r="D1935" s="144"/>
      <c r="E1935" s="67"/>
      <c r="F1935" s="67"/>
      <c r="G1935" s="67"/>
      <c r="H1935" s="67">
        <f>ROUND(+E1935+G1935,4)</f>
        <v>0</v>
      </c>
      <c r="I1935" s="67"/>
      <c r="J1935" s="67">
        <f>ROUND(+I1935-H1935,4)</f>
        <v>0</v>
      </c>
      <c r="K1935" s="67">
        <f>ROUND(IF(F1935="alluminio",0,I1935*1.5%),4)</f>
        <v>0</v>
      </c>
      <c r="L1935" s="67">
        <f>ROUND(IF(K1935&lt;J1935,K1935,0),4)</f>
        <v>0</v>
      </c>
      <c r="M1935" s="67">
        <f>ROUND(IF(J1935&gt;K1935,0,J1935),4)</f>
        <v>0</v>
      </c>
      <c r="N1935" s="67">
        <f>ROUND(+L1935*D1935,4)</f>
        <v>0</v>
      </c>
      <c r="O1935" s="67">
        <f>ROUND(IF(F1935="rame",0,+I1935*3%),4)</f>
        <v>0</v>
      </c>
      <c r="P1935" s="67">
        <f>ROUND(IF(O1935&lt;J1935,O1935,0),4)</f>
        <v>0</v>
      </c>
      <c r="Q1935" s="67">
        <f>ROUND(IF(J1935&gt;O1935,0,J1935),4)</f>
        <v>0</v>
      </c>
      <c r="R1935" s="67">
        <f>ROUND(+P1935*D1935,4)</f>
        <v>0</v>
      </c>
      <c r="S1935" s="67">
        <f>ROUND(IF(K1935=0,0,M1935*D1935),4)</f>
        <v>0</v>
      </c>
      <c r="T1935" s="67">
        <f>ROUND(+IF(K1935=0,Q1935*D1935,0),4)</f>
        <v>0</v>
      </c>
      <c r="U1935" s="67">
        <f>ROUND(+N1935+R1935+S1935+T1935,4)</f>
        <v>0</v>
      </c>
      <c r="V1935" s="67">
        <f>ROUND(IF(P1935=0,0,I1935-H1935-O1935)+IF(L1935=0,0,I1935-H1935-K1935),4)</f>
        <v>0</v>
      </c>
      <c r="W1935" s="67">
        <f>ROUND(+(V1935*60%)*D1935,4)</f>
        <v>0</v>
      </c>
      <c r="X1935" s="148">
        <f>ROUND(+U1935+W1935,4)</f>
        <v>0</v>
      </c>
      <c r="Y1935" s="68"/>
      <c r="Z1935" s="148">
        <f>ROUND(IF(X1935&gt;I1935,X1935,I1935),4)</f>
        <v>0</v>
      </c>
      <c r="AD1935" s="78">
        <f t="shared" si="38"/>
        <v>0</v>
      </c>
      <c r="AE1935" s="78">
        <f t="shared" si="39"/>
        <v>0</v>
      </c>
    </row>
    <row r="1936" spans="1:31" x14ac:dyDescent="0.2">
      <c r="A1936" s="66"/>
      <c r="B1936" s="66"/>
      <c r="C1936" s="66"/>
      <c r="D1936" s="144"/>
      <c r="E1936" s="67"/>
      <c r="F1936" s="67"/>
      <c r="G1936" s="67"/>
      <c r="H1936" s="67">
        <f>ROUND(+E1936+G1936,4)</f>
        <v>0</v>
      </c>
      <c r="I1936" s="67"/>
      <c r="J1936" s="67">
        <f>ROUND(+I1936-H1936,4)</f>
        <v>0</v>
      </c>
      <c r="K1936" s="67">
        <f>ROUND(IF(F1936="alluminio",0,I1936*1.5%),4)</f>
        <v>0</v>
      </c>
      <c r="L1936" s="67">
        <f>ROUND(IF(K1936&lt;J1936,K1936,0),4)</f>
        <v>0</v>
      </c>
      <c r="M1936" s="67">
        <f>ROUND(IF(J1936&gt;K1936,0,J1936),4)</f>
        <v>0</v>
      </c>
      <c r="N1936" s="67">
        <f>ROUND(+L1936*D1936,4)</f>
        <v>0</v>
      </c>
      <c r="O1936" s="67">
        <f>ROUND(IF(F1936="rame",0,+I1936*3%),4)</f>
        <v>0</v>
      </c>
      <c r="P1936" s="67">
        <f>ROUND(IF(O1936&lt;J1936,O1936,0),4)</f>
        <v>0</v>
      </c>
      <c r="Q1936" s="67">
        <f>ROUND(IF(J1936&gt;O1936,0,J1936),4)</f>
        <v>0</v>
      </c>
      <c r="R1936" s="67">
        <f>ROUND(+P1936*D1936,4)</f>
        <v>0</v>
      </c>
      <c r="S1936" s="67">
        <f>ROUND(IF(K1936=0,0,M1936*D1936),4)</f>
        <v>0</v>
      </c>
      <c r="T1936" s="67">
        <f>ROUND(+IF(K1936=0,Q1936*D1936,0),4)</f>
        <v>0</v>
      </c>
      <c r="U1936" s="67">
        <f>ROUND(+N1936+R1936+S1936+T1936,4)</f>
        <v>0</v>
      </c>
      <c r="V1936" s="67">
        <f>ROUND(IF(P1936=0,0,I1936-H1936-O1936)+IF(L1936=0,0,I1936-H1936-K1936),4)</f>
        <v>0</v>
      </c>
      <c r="W1936" s="67">
        <f>ROUND(+(V1936*60%)*D1936,4)</f>
        <v>0</v>
      </c>
      <c r="X1936" s="148">
        <f>ROUND(+U1936+W1936,4)</f>
        <v>0</v>
      </c>
      <c r="Y1936" s="68"/>
      <c r="Z1936" s="148">
        <f>ROUND(IF(X1936&gt;I1936,X1936,I1936),4)</f>
        <v>0</v>
      </c>
      <c r="AD1936" s="78">
        <f t="shared" si="38"/>
        <v>0</v>
      </c>
      <c r="AE1936" s="78">
        <f t="shared" si="39"/>
        <v>0</v>
      </c>
    </row>
    <row r="1937" spans="1:31" x14ac:dyDescent="0.2">
      <c r="A1937" s="66"/>
      <c r="B1937" s="66"/>
      <c r="C1937" s="66"/>
      <c r="D1937" s="144"/>
      <c r="E1937" s="67"/>
      <c r="F1937" s="67"/>
      <c r="G1937" s="67"/>
      <c r="H1937" s="67">
        <f>ROUND(+E1937+G1937,4)</f>
        <v>0</v>
      </c>
      <c r="I1937" s="67"/>
      <c r="J1937" s="67">
        <f>ROUND(+I1937-H1937,4)</f>
        <v>0</v>
      </c>
      <c r="K1937" s="67">
        <f>ROUND(IF(F1937="alluminio",0,I1937*1.5%),4)</f>
        <v>0</v>
      </c>
      <c r="L1937" s="67">
        <f>ROUND(IF(K1937&lt;J1937,K1937,0),4)</f>
        <v>0</v>
      </c>
      <c r="M1937" s="67">
        <f>ROUND(IF(J1937&gt;K1937,0,J1937),4)</f>
        <v>0</v>
      </c>
      <c r="N1937" s="67">
        <f>ROUND(+L1937*D1937,4)</f>
        <v>0</v>
      </c>
      <c r="O1937" s="67">
        <f>ROUND(IF(F1937="rame",0,+I1937*3%),4)</f>
        <v>0</v>
      </c>
      <c r="P1937" s="67">
        <f>ROUND(IF(O1937&lt;J1937,O1937,0),4)</f>
        <v>0</v>
      </c>
      <c r="Q1937" s="67">
        <f>ROUND(IF(J1937&gt;O1937,0,J1937),4)</f>
        <v>0</v>
      </c>
      <c r="R1937" s="67">
        <f>ROUND(+P1937*D1937,4)</f>
        <v>0</v>
      </c>
      <c r="S1937" s="67">
        <f>ROUND(IF(K1937=0,0,M1937*D1937),4)</f>
        <v>0</v>
      </c>
      <c r="T1937" s="67">
        <f>ROUND(+IF(K1937=0,Q1937*D1937,0),4)</f>
        <v>0</v>
      </c>
      <c r="U1937" s="67">
        <f>ROUND(+N1937+R1937+S1937+T1937,4)</f>
        <v>0</v>
      </c>
      <c r="V1937" s="67">
        <f>ROUND(IF(P1937=0,0,I1937-H1937-O1937)+IF(L1937=0,0,I1937-H1937-K1937),4)</f>
        <v>0</v>
      </c>
      <c r="W1937" s="67">
        <f>ROUND(+(V1937*60%)*D1937,4)</f>
        <v>0</v>
      </c>
      <c r="X1937" s="148">
        <f>ROUND(+U1937+W1937,4)</f>
        <v>0</v>
      </c>
      <c r="Y1937" s="68"/>
      <c r="Z1937" s="148">
        <f>ROUND(IF(X1937&gt;I1937,X1937,I1937),4)</f>
        <v>0</v>
      </c>
      <c r="AD1937" s="78">
        <f t="shared" si="38"/>
        <v>0</v>
      </c>
      <c r="AE1937" s="78">
        <f t="shared" si="39"/>
        <v>0</v>
      </c>
    </row>
    <row r="1938" spans="1:31" x14ac:dyDescent="0.2">
      <c r="A1938" s="66"/>
      <c r="B1938" s="66"/>
      <c r="C1938" s="66"/>
      <c r="D1938" s="144"/>
      <c r="E1938" s="67"/>
      <c r="F1938" s="67"/>
      <c r="G1938" s="67"/>
      <c r="H1938" s="67">
        <f>ROUND(+E1938+G1938,4)</f>
        <v>0</v>
      </c>
      <c r="I1938" s="67"/>
      <c r="J1938" s="67">
        <f>ROUND(+I1938-H1938,4)</f>
        <v>0</v>
      </c>
      <c r="K1938" s="67">
        <f>ROUND(IF(F1938="alluminio",0,I1938*1.5%),4)</f>
        <v>0</v>
      </c>
      <c r="L1938" s="67">
        <f>ROUND(IF(K1938&lt;J1938,K1938,0),4)</f>
        <v>0</v>
      </c>
      <c r="M1938" s="67">
        <f>ROUND(IF(J1938&gt;K1938,0,J1938),4)</f>
        <v>0</v>
      </c>
      <c r="N1938" s="67">
        <f>ROUND(+L1938*D1938,4)</f>
        <v>0</v>
      </c>
      <c r="O1938" s="67">
        <f>ROUND(IF(F1938="rame",0,+I1938*3%),4)</f>
        <v>0</v>
      </c>
      <c r="P1938" s="67">
        <f>ROUND(IF(O1938&lt;J1938,O1938,0),4)</f>
        <v>0</v>
      </c>
      <c r="Q1938" s="67">
        <f>ROUND(IF(J1938&gt;O1938,0,J1938),4)</f>
        <v>0</v>
      </c>
      <c r="R1938" s="67">
        <f>ROUND(+P1938*D1938,4)</f>
        <v>0</v>
      </c>
      <c r="S1938" s="67">
        <f>ROUND(IF(K1938=0,0,M1938*D1938),4)</f>
        <v>0</v>
      </c>
      <c r="T1938" s="67">
        <f>ROUND(+IF(K1938=0,Q1938*D1938,0),4)</f>
        <v>0</v>
      </c>
      <c r="U1938" s="67">
        <f>ROUND(+N1938+R1938+S1938+T1938,4)</f>
        <v>0</v>
      </c>
      <c r="V1938" s="67">
        <f>ROUND(IF(P1938=0,0,I1938-H1938-O1938)+IF(L1938=0,0,I1938-H1938-K1938),4)</f>
        <v>0</v>
      </c>
      <c r="W1938" s="67">
        <f>ROUND(+(V1938*60%)*D1938,4)</f>
        <v>0</v>
      </c>
      <c r="X1938" s="148">
        <f>ROUND(+U1938+W1938,4)</f>
        <v>0</v>
      </c>
      <c r="Y1938" s="68"/>
      <c r="Z1938" s="148">
        <f>ROUND(IF(X1938&gt;I1938,X1938,I1938),4)</f>
        <v>0</v>
      </c>
      <c r="AD1938" s="78">
        <f t="shared" si="38"/>
        <v>0</v>
      </c>
      <c r="AE1938" s="78">
        <f t="shared" si="39"/>
        <v>0</v>
      </c>
    </row>
    <row r="1939" spans="1:31" x14ac:dyDescent="0.2">
      <c r="A1939" s="66"/>
      <c r="B1939" s="66"/>
      <c r="C1939" s="66"/>
      <c r="D1939" s="144"/>
      <c r="E1939" s="67"/>
      <c r="F1939" s="67"/>
      <c r="G1939" s="67"/>
      <c r="H1939" s="67">
        <f>ROUND(+E1939+G1939,4)</f>
        <v>0</v>
      </c>
      <c r="I1939" s="67"/>
      <c r="J1939" s="67">
        <f>ROUND(+I1939-H1939,4)</f>
        <v>0</v>
      </c>
      <c r="K1939" s="67">
        <f>ROUND(IF(F1939="alluminio",0,I1939*1.5%),4)</f>
        <v>0</v>
      </c>
      <c r="L1939" s="67">
        <f>ROUND(IF(K1939&lt;J1939,K1939,0),4)</f>
        <v>0</v>
      </c>
      <c r="M1939" s="67">
        <f>ROUND(IF(J1939&gt;K1939,0,J1939),4)</f>
        <v>0</v>
      </c>
      <c r="N1939" s="67">
        <f>ROUND(+L1939*D1939,4)</f>
        <v>0</v>
      </c>
      <c r="O1939" s="67">
        <f>ROUND(IF(F1939="rame",0,+I1939*3%),4)</f>
        <v>0</v>
      </c>
      <c r="P1939" s="67">
        <f>ROUND(IF(O1939&lt;J1939,O1939,0),4)</f>
        <v>0</v>
      </c>
      <c r="Q1939" s="67">
        <f>ROUND(IF(J1939&gt;O1939,0,J1939),4)</f>
        <v>0</v>
      </c>
      <c r="R1939" s="67">
        <f>ROUND(+P1939*D1939,4)</f>
        <v>0</v>
      </c>
      <c r="S1939" s="67">
        <f>ROUND(IF(K1939=0,0,M1939*D1939),4)</f>
        <v>0</v>
      </c>
      <c r="T1939" s="67">
        <f>ROUND(+IF(K1939=0,Q1939*D1939,0),4)</f>
        <v>0</v>
      </c>
      <c r="U1939" s="67">
        <f>ROUND(+N1939+R1939+S1939+T1939,4)</f>
        <v>0</v>
      </c>
      <c r="V1939" s="67">
        <f>ROUND(IF(P1939=0,0,I1939-H1939-O1939)+IF(L1939=0,0,I1939-H1939-K1939),4)</f>
        <v>0</v>
      </c>
      <c r="W1939" s="67">
        <f>ROUND(+(V1939*60%)*D1939,4)</f>
        <v>0</v>
      </c>
      <c r="X1939" s="148">
        <f>ROUND(+U1939+W1939,4)</f>
        <v>0</v>
      </c>
      <c r="Y1939" s="68"/>
      <c r="Z1939" s="148">
        <f>ROUND(IF(X1939&gt;I1939,X1939,I1939),4)</f>
        <v>0</v>
      </c>
      <c r="AD1939" s="78">
        <f t="shared" si="38"/>
        <v>0</v>
      </c>
      <c r="AE1939" s="78">
        <f t="shared" si="39"/>
        <v>0</v>
      </c>
    </row>
    <row r="1940" spans="1:31" x14ac:dyDescent="0.2">
      <c r="A1940" s="66"/>
      <c r="B1940" s="66"/>
      <c r="C1940" s="66"/>
      <c r="D1940" s="144"/>
      <c r="E1940" s="67"/>
      <c r="F1940" s="67"/>
      <c r="G1940" s="67"/>
      <c r="H1940" s="67">
        <f>ROUND(+E1940+G1940,4)</f>
        <v>0</v>
      </c>
      <c r="I1940" s="67"/>
      <c r="J1940" s="67">
        <f>ROUND(+I1940-H1940,4)</f>
        <v>0</v>
      </c>
      <c r="K1940" s="67">
        <f>ROUND(IF(F1940="alluminio",0,I1940*1.5%),4)</f>
        <v>0</v>
      </c>
      <c r="L1940" s="67">
        <f>ROUND(IF(K1940&lt;J1940,K1940,0),4)</f>
        <v>0</v>
      </c>
      <c r="M1940" s="67">
        <f>ROUND(IF(J1940&gt;K1940,0,J1940),4)</f>
        <v>0</v>
      </c>
      <c r="N1940" s="67">
        <f>ROUND(+L1940*D1940,4)</f>
        <v>0</v>
      </c>
      <c r="O1940" s="67">
        <f>ROUND(IF(F1940="rame",0,+I1940*3%),4)</f>
        <v>0</v>
      </c>
      <c r="P1940" s="67">
        <f>ROUND(IF(O1940&lt;J1940,O1940,0),4)</f>
        <v>0</v>
      </c>
      <c r="Q1940" s="67">
        <f>ROUND(IF(J1940&gt;O1940,0,J1940),4)</f>
        <v>0</v>
      </c>
      <c r="R1940" s="67">
        <f>ROUND(+P1940*D1940,4)</f>
        <v>0</v>
      </c>
      <c r="S1940" s="67">
        <f>ROUND(IF(K1940=0,0,M1940*D1940),4)</f>
        <v>0</v>
      </c>
      <c r="T1940" s="67">
        <f>ROUND(+IF(K1940=0,Q1940*D1940,0),4)</f>
        <v>0</v>
      </c>
      <c r="U1940" s="67">
        <f>ROUND(+N1940+R1940+S1940+T1940,4)</f>
        <v>0</v>
      </c>
      <c r="V1940" s="67">
        <f>ROUND(IF(P1940=0,0,I1940-H1940-O1940)+IF(L1940=0,0,I1940-H1940-K1940),4)</f>
        <v>0</v>
      </c>
      <c r="W1940" s="67">
        <f>ROUND(+(V1940*60%)*D1940,4)</f>
        <v>0</v>
      </c>
      <c r="X1940" s="148">
        <f>ROUND(+U1940+W1940,4)</f>
        <v>0</v>
      </c>
      <c r="Y1940" s="68"/>
      <c r="Z1940" s="148">
        <f>ROUND(IF(X1940&gt;I1940,X1940,I1940),4)</f>
        <v>0</v>
      </c>
      <c r="AD1940" s="78">
        <f t="shared" si="38"/>
        <v>0</v>
      </c>
      <c r="AE1940" s="78">
        <f t="shared" si="39"/>
        <v>0</v>
      </c>
    </row>
    <row r="1941" spans="1:31" x14ac:dyDescent="0.2">
      <c r="A1941" s="66"/>
      <c r="B1941" s="66"/>
      <c r="C1941" s="66"/>
      <c r="D1941" s="144"/>
      <c r="E1941" s="67"/>
      <c r="F1941" s="67"/>
      <c r="G1941" s="67"/>
      <c r="H1941" s="67">
        <f>ROUND(+E1941+G1941,4)</f>
        <v>0</v>
      </c>
      <c r="I1941" s="67"/>
      <c r="J1941" s="67">
        <f>ROUND(+I1941-H1941,4)</f>
        <v>0</v>
      </c>
      <c r="K1941" s="67">
        <f>ROUND(IF(F1941="alluminio",0,I1941*1.5%),4)</f>
        <v>0</v>
      </c>
      <c r="L1941" s="67">
        <f>ROUND(IF(K1941&lt;J1941,K1941,0),4)</f>
        <v>0</v>
      </c>
      <c r="M1941" s="67">
        <f>ROUND(IF(J1941&gt;K1941,0,J1941),4)</f>
        <v>0</v>
      </c>
      <c r="N1941" s="67">
        <f>ROUND(+L1941*D1941,4)</f>
        <v>0</v>
      </c>
      <c r="O1941" s="67">
        <f>ROUND(IF(F1941="rame",0,+I1941*3%),4)</f>
        <v>0</v>
      </c>
      <c r="P1941" s="67">
        <f>ROUND(IF(O1941&lt;J1941,O1941,0),4)</f>
        <v>0</v>
      </c>
      <c r="Q1941" s="67">
        <f>ROUND(IF(J1941&gt;O1941,0,J1941),4)</f>
        <v>0</v>
      </c>
      <c r="R1941" s="67">
        <f>ROUND(+P1941*D1941,4)</f>
        <v>0</v>
      </c>
      <c r="S1941" s="67">
        <f>ROUND(IF(K1941=0,0,M1941*D1941),4)</f>
        <v>0</v>
      </c>
      <c r="T1941" s="67">
        <f>ROUND(+IF(K1941=0,Q1941*D1941,0),4)</f>
        <v>0</v>
      </c>
      <c r="U1941" s="67">
        <f>ROUND(+N1941+R1941+S1941+T1941,4)</f>
        <v>0</v>
      </c>
      <c r="V1941" s="67">
        <f>ROUND(IF(P1941=0,0,I1941-H1941-O1941)+IF(L1941=0,0,I1941-H1941-K1941),4)</f>
        <v>0</v>
      </c>
      <c r="W1941" s="67">
        <f>ROUND(+(V1941*60%)*D1941,4)</f>
        <v>0</v>
      </c>
      <c r="X1941" s="148">
        <f>ROUND(+U1941+W1941,4)</f>
        <v>0</v>
      </c>
      <c r="Y1941" s="68"/>
      <c r="Z1941" s="148">
        <f>ROUND(IF(X1941&gt;I1941,X1941,I1941),4)</f>
        <v>0</v>
      </c>
      <c r="AD1941" s="78">
        <f t="shared" si="38"/>
        <v>0</v>
      </c>
      <c r="AE1941" s="78">
        <f t="shared" si="39"/>
        <v>0</v>
      </c>
    </row>
    <row r="1942" spans="1:31" x14ac:dyDescent="0.2">
      <c r="A1942" s="66"/>
      <c r="B1942" s="66"/>
      <c r="C1942" s="66"/>
      <c r="D1942" s="144"/>
      <c r="E1942" s="67"/>
      <c r="F1942" s="67"/>
      <c r="G1942" s="67"/>
      <c r="H1942" s="67">
        <f>ROUND(+E1942+G1942,4)</f>
        <v>0</v>
      </c>
      <c r="I1942" s="67"/>
      <c r="J1942" s="67">
        <f>ROUND(+I1942-H1942,4)</f>
        <v>0</v>
      </c>
      <c r="K1942" s="67">
        <f>ROUND(IF(F1942="alluminio",0,I1942*1.5%),4)</f>
        <v>0</v>
      </c>
      <c r="L1942" s="67">
        <f>ROUND(IF(K1942&lt;J1942,K1942,0),4)</f>
        <v>0</v>
      </c>
      <c r="M1942" s="67">
        <f>ROUND(IF(J1942&gt;K1942,0,J1942),4)</f>
        <v>0</v>
      </c>
      <c r="N1942" s="67">
        <f>ROUND(+L1942*D1942,4)</f>
        <v>0</v>
      </c>
      <c r="O1942" s="67">
        <f>ROUND(IF(F1942="rame",0,+I1942*3%),4)</f>
        <v>0</v>
      </c>
      <c r="P1942" s="67">
        <f>ROUND(IF(O1942&lt;J1942,O1942,0),4)</f>
        <v>0</v>
      </c>
      <c r="Q1942" s="67">
        <f>ROUND(IF(J1942&gt;O1942,0,J1942),4)</f>
        <v>0</v>
      </c>
      <c r="R1942" s="67">
        <f>ROUND(+P1942*D1942,4)</f>
        <v>0</v>
      </c>
      <c r="S1942" s="67">
        <f>ROUND(IF(K1942=0,0,M1942*D1942),4)</f>
        <v>0</v>
      </c>
      <c r="T1942" s="67">
        <f>ROUND(+IF(K1942=0,Q1942*D1942,0),4)</f>
        <v>0</v>
      </c>
      <c r="U1942" s="67">
        <f>ROUND(+N1942+R1942+S1942+T1942,4)</f>
        <v>0</v>
      </c>
      <c r="V1942" s="67">
        <f>ROUND(IF(P1942=0,0,I1942-H1942-O1942)+IF(L1942=0,0,I1942-H1942-K1942),4)</f>
        <v>0</v>
      </c>
      <c r="W1942" s="67">
        <f>ROUND(+(V1942*60%)*D1942,4)</f>
        <v>0</v>
      </c>
      <c r="X1942" s="148">
        <f>ROUND(+U1942+W1942,4)</f>
        <v>0</v>
      </c>
      <c r="Y1942" s="68"/>
      <c r="Z1942" s="148">
        <f>ROUND(IF(X1942&gt;I1942,X1942,I1942),4)</f>
        <v>0</v>
      </c>
      <c r="AD1942" s="78">
        <f t="shared" si="38"/>
        <v>0</v>
      </c>
      <c r="AE1942" s="78">
        <f t="shared" si="39"/>
        <v>0</v>
      </c>
    </row>
    <row r="1943" spans="1:31" x14ac:dyDescent="0.2">
      <c r="A1943" s="66"/>
      <c r="B1943" s="66"/>
      <c r="C1943" s="66"/>
      <c r="D1943" s="144"/>
      <c r="E1943" s="67"/>
      <c r="F1943" s="67"/>
      <c r="G1943" s="67"/>
      <c r="H1943" s="67">
        <f>ROUND(+E1943+G1943,4)</f>
        <v>0</v>
      </c>
      <c r="I1943" s="67"/>
      <c r="J1943" s="67">
        <f>ROUND(+I1943-H1943,4)</f>
        <v>0</v>
      </c>
      <c r="K1943" s="67">
        <f>ROUND(IF(F1943="alluminio",0,I1943*1.5%),4)</f>
        <v>0</v>
      </c>
      <c r="L1943" s="67">
        <f>ROUND(IF(K1943&lt;J1943,K1943,0),4)</f>
        <v>0</v>
      </c>
      <c r="M1943" s="67">
        <f>ROUND(IF(J1943&gt;K1943,0,J1943),4)</f>
        <v>0</v>
      </c>
      <c r="N1943" s="67">
        <f>ROUND(+L1943*D1943,4)</f>
        <v>0</v>
      </c>
      <c r="O1943" s="67">
        <f>ROUND(IF(F1943="rame",0,+I1943*3%),4)</f>
        <v>0</v>
      </c>
      <c r="P1943" s="67">
        <f>ROUND(IF(O1943&lt;J1943,O1943,0),4)</f>
        <v>0</v>
      </c>
      <c r="Q1943" s="67">
        <f>ROUND(IF(J1943&gt;O1943,0,J1943),4)</f>
        <v>0</v>
      </c>
      <c r="R1943" s="67">
        <f>ROUND(+P1943*D1943,4)</f>
        <v>0</v>
      </c>
      <c r="S1943" s="67">
        <f>ROUND(IF(K1943=0,0,M1943*D1943),4)</f>
        <v>0</v>
      </c>
      <c r="T1943" s="67">
        <f>ROUND(+IF(K1943=0,Q1943*D1943,0),4)</f>
        <v>0</v>
      </c>
      <c r="U1943" s="67">
        <f>ROUND(+N1943+R1943+S1943+T1943,4)</f>
        <v>0</v>
      </c>
      <c r="V1943" s="67">
        <f>ROUND(IF(P1943=0,0,I1943-H1943-O1943)+IF(L1943=0,0,I1943-H1943-K1943),4)</f>
        <v>0</v>
      </c>
      <c r="W1943" s="67">
        <f>ROUND(+(V1943*60%)*D1943,4)</f>
        <v>0</v>
      </c>
      <c r="X1943" s="148">
        <f>ROUND(+U1943+W1943,4)</f>
        <v>0</v>
      </c>
      <c r="Y1943" s="68"/>
      <c r="Z1943" s="148">
        <f>ROUND(IF(X1943&gt;I1943,X1943,I1943),4)</f>
        <v>0</v>
      </c>
      <c r="AD1943" s="78">
        <f t="shared" si="38"/>
        <v>0</v>
      </c>
      <c r="AE1943" s="78">
        <f t="shared" si="39"/>
        <v>0</v>
      </c>
    </row>
    <row r="1944" spans="1:31" x14ac:dyDescent="0.2">
      <c r="A1944" s="66"/>
      <c r="B1944" s="66"/>
      <c r="C1944" s="66"/>
      <c r="D1944" s="144"/>
      <c r="E1944" s="67"/>
      <c r="F1944" s="67"/>
      <c r="G1944" s="67"/>
      <c r="H1944" s="67">
        <f>ROUND(+E1944+G1944,4)</f>
        <v>0</v>
      </c>
      <c r="I1944" s="67"/>
      <c r="J1944" s="67">
        <f>ROUND(+I1944-H1944,4)</f>
        <v>0</v>
      </c>
      <c r="K1944" s="67">
        <f>ROUND(IF(F1944="alluminio",0,I1944*1.5%),4)</f>
        <v>0</v>
      </c>
      <c r="L1944" s="67">
        <f>ROUND(IF(K1944&lt;J1944,K1944,0),4)</f>
        <v>0</v>
      </c>
      <c r="M1944" s="67">
        <f>ROUND(IF(J1944&gt;K1944,0,J1944),4)</f>
        <v>0</v>
      </c>
      <c r="N1944" s="67">
        <f>ROUND(+L1944*D1944,4)</f>
        <v>0</v>
      </c>
      <c r="O1944" s="67">
        <f>ROUND(IF(F1944="rame",0,+I1944*3%),4)</f>
        <v>0</v>
      </c>
      <c r="P1944" s="67">
        <f>ROUND(IF(O1944&lt;J1944,O1944,0),4)</f>
        <v>0</v>
      </c>
      <c r="Q1944" s="67">
        <f>ROUND(IF(J1944&gt;O1944,0,J1944),4)</f>
        <v>0</v>
      </c>
      <c r="R1944" s="67">
        <f>ROUND(+P1944*D1944,4)</f>
        <v>0</v>
      </c>
      <c r="S1944" s="67">
        <f>ROUND(IF(K1944=0,0,M1944*D1944),4)</f>
        <v>0</v>
      </c>
      <c r="T1944" s="67">
        <f>ROUND(+IF(K1944=0,Q1944*D1944,0),4)</f>
        <v>0</v>
      </c>
      <c r="U1944" s="67">
        <f>ROUND(+N1944+R1944+S1944+T1944,4)</f>
        <v>0</v>
      </c>
      <c r="V1944" s="67">
        <f>ROUND(IF(P1944=0,0,I1944-H1944-O1944)+IF(L1944=0,0,I1944-H1944-K1944),4)</f>
        <v>0</v>
      </c>
      <c r="W1944" s="67">
        <f>ROUND(+(V1944*60%)*D1944,4)</f>
        <v>0</v>
      </c>
      <c r="X1944" s="148">
        <f>ROUND(+U1944+W1944,4)</f>
        <v>0</v>
      </c>
      <c r="Y1944" s="68"/>
      <c r="Z1944" s="148">
        <f>ROUND(IF(X1944&gt;I1944,X1944,I1944),4)</f>
        <v>0</v>
      </c>
      <c r="AD1944" s="78">
        <f t="shared" si="38"/>
        <v>0</v>
      </c>
      <c r="AE1944" s="78">
        <f t="shared" si="39"/>
        <v>0</v>
      </c>
    </row>
    <row r="1945" spans="1:31" x14ac:dyDescent="0.2">
      <c r="A1945" s="66"/>
      <c r="B1945" s="66"/>
      <c r="C1945" s="66"/>
      <c r="D1945" s="144"/>
      <c r="E1945" s="67"/>
      <c r="F1945" s="67"/>
      <c r="G1945" s="67"/>
      <c r="H1945" s="67">
        <f>ROUND(+E1945+G1945,4)</f>
        <v>0</v>
      </c>
      <c r="I1945" s="67"/>
      <c r="J1945" s="67">
        <f>ROUND(+I1945-H1945,4)</f>
        <v>0</v>
      </c>
      <c r="K1945" s="67">
        <f>ROUND(IF(F1945="alluminio",0,I1945*1.5%),4)</f>
        <v>0</v>
      </c>
      <c r="L1945" s="67">
        <f>ROUND(IF(K1945&lt;J1945,K1945,0),4)</f>
        <v>0</v>
      </c>
      <c r="M1945" s="67">
        <f>ROUND(IF(J1945&gt;K1945,0,J1945),4)</f>
        <v>0</v>
      </c>
      <c r="N1945" s="67">
        <f>ROUND(+L1945*D1945,4)</f>
        <v>0</v>
      </c>
      <c r="O1945" s="67">
        <f>ROUND(IF(F1945="rame",0,+I1945*3%),4)</f>
        <v>0</v>
      </c>
      <c r="P1945" s="67">
        <f>ROUND(IF(O1945&lt;J1945,O1945,0),4)</f>
        <v>0</v>
      </c>
      <c r="Q1945" s="67">
        <f>ROUND(IF(J1945&gt;O1945,0,J1945),4)</f>
        <v>0</v>
      </c>
      <c r="R1945" s="67">
        <f>ROUND(+P1945*D1945,4)</f>
        <v>0</v>
      </c>
      <c r="S1945" s="67">
        <f>ROUND(IF(K1945=0,0,M1945*D1945),4)</f>
        <v>0</v>
      </c>
      <c r="T1945" s="67">
        <f>ROUND(+IF(K1945=0,Q1945*D1945,0),4)</f>
        <v>0</v>
      </c>
      <c r="U1945" s="67">
        <f>ROUND(+N1945+R1945+S1945+T1945,4)</f>
        <v>0</v>
      </c>
      <c r="V1945" s="67">
        <f>ROUND(IF(P1945=0,0,I1945-H1945-O1945)+IF(L1945=0,0,I1945-H1945-K1945),4)</f>
        <v>0</v>
      </c>
      <c r="W1945" s="67">
        <f>ROUND(+(V1945*60%)*D1945,4)</f>
        <v>0</v>
      </c>
      <c r="X1945" s="148">
        <f>ROUND(+U1945+W1945,4)</f>
        <v>0</v>
      </c>
      <c r="Y1945" s="68"/>
      <c r="Z1945" s="148">
        <f>ROUND(IF(X1945&gt;I1945,X1945,I1945),4)</f>
        <v>0</v>
      </c>
      <c r="AD1945" s="78">
        <f t="shared" si="38"/>
        <v>0</v>
      </c>
      <c r="AE1945" s="78">
        <f t="shared" si="39"/>
        <v>0</v>
      </c>
    </row>
    <row r="1946" spans="1:31" x14ac:dyDescent="0.2">
      <c r="A1946" s="66"/>
      <c r="B1946" s="66"/>
      <c r="C1946" s="66"/>
      <c r="D1946" s="144"/>
      <c r="E1946" s="67"/>
      <c r="F1946" s="67"/>
      <c r="G1946" s="67"/>
      <c r="H1946" s="67">
        <f>ROUND(+E1946+G1946,4)</f>
        <v>0</v>
      </c>
      <c r="I1946" s="67"/>
      <c r="J1946" s="67">
        <f>ROUND(+I1946-H1946,4)</f>
        <v>0</v>
      </c>
      <c r="K1946" s="67">
        <f>ROUND(IF(F1946="alluminio",0,I1946*1.5%),4)</f>
        <v>0</v>
      </c>
      <c r="L1946" s="67">
        <f>ROUND(IF(K1946&lt;J1946,K1946,0),4)</f>
        <v>0</v>
      </c>
      <c r="M1946" s="67">
        <f>ROUND(IF(J1946&gt;K1946,0,J1946),4)</f>
        <v>0</v>
      </c>
      <c r="N1946" s="67">
        <f>ROUND(+L1946*D1946,4)</f>
        <v>0</v>
      </c>
      <c r="O1946" s="67">
        <f>ROUND(IF(F1946="rame",0,+I1946*3%),4)</f>
        <v>0</v>
      </c>
      <c r="P1946" s="67">
        <f>ROUND(IF(O1946&lt;J1946,O1946,0),4)</f>
        <v>0</v>
      </c>
      <c r="Q1946" s="67">
        <f>ROUND(IF(J1946&gt;O1946,0,J1946),4)</f>
        <v>0</v>
      </c>
      <c r="R1946" s="67">
        <f>ROUND(+P1946*D1946,4)</f>
        <v>0</v>
      </c>
      <c r="S1946" s="67">
        <f>ROUND(IF(K1946=0,0,M1946*D1946),4)</f>
        <v>0</v>
      </c>
      <c r="T1946" s="67">
        <f>ROUND(+IF(K1946=0,Q1946*D1946,0),4)</f>
        <v>0</v>
      </c>
      <c r="U1946" s="67">
        <f>ROUND(+N1946+R1946+S1946+T1946,4)</f>
        <v>0</v>
      </c>
      <c r="V1946" s="67">
        <f>ROUND(IF(P1946=0,0,I1946-H1946-O1946)+IF(L1946=0,0,I1946-H1946-K1946),4)</f>
        <v>0</v>
      </c>
      <c r="W1946" s="67">
        <f>ROUND(+(V1946*60%)*D1946,4)</f>
        <v>0</v>
      </c>
      <c r="X1946" s="148">
        <f>ROUND(+U1946+W1946,4)</f>
        <v>0</v>
      </c>
      <c r="Y1946" s="68"/>
      <c r="Z1946" s="148">
        <f>ROUND(IF(X1946&gt;I1946,X1946,I1946),4)</f>
        <v>0</v>
      </c>
      <c r="AD1946" s="78">
        <f t="shared" si="38"/>
        <v>0</v>
      </c>
      <c r="AE1946" s="78">
        <f t="shared" si="39"/>
        <v>0</v>
      </c>
    </row>
    <row r="1947" spans="1:31" x14ac:dyDescent="0.2">
      <c r="A1947" s="66"/>
      <c r="B1947" s="66"/>
      <c r="C1947" s="66"/>
      <c r="D1947" s="144"/>
      <c r="E1947" s="67"/>
      <c r="F1947" s="67"/>
      <c r="G1947" s="67"/>
      <c r="H1947" s="67">
        <f>ROUND(+E1947+G1947,4)</f>
        <v>0</v>
      </c>
      <c r="I1947" s="67"/>
      <c r="J1947" s="67">
        <f>ROUND(+I1947-H1947,4)</f>
        <v>0</v>
      </c>
      <c r="K1947" s="67">
        <f>ROUND(IF(F1947="alluminio",0,I1947*1.5%),4)</f>
        <v>0</v>
      </c>
      <c r="L1947" s="67">
        <f>ROUND(IF(K1947&lt;J1947,K1947,0),4)</f>
        <v>0</v>
      </c>
      <c r="M1947" s="67">
        <f>ROUND(IF(J1947&gt;K1947,0,J1947),4)</f>
        <v>0</v>
      </c>
      <c r="N1947" s="67">
        <f>ROUND(+L1947*D1947,4)</f>
        <v>0</v>
      </c>
      <c r="O1947" s="67">
        <f>ROUND(IF(F1947="rame",0,+I1947*3%),4)</f>
        <v>0</v>
      </c>
      <c r="P1947" s="67">
        <f>ROUND(IF(O1947&lt;J1947,O1947,0),4)</f>
        <v>0</v>
      </c>
      <c r="Q1947" s="67">
        <f>ROUND(IF(J1947&gt;O1947,0,J1947),4)</f>
        <v>0</v>
      </c>
      <c r="R1947" s="67">
        <f>ROUND(+P1947*D1947,4)</f>
        <v>0</v>
      </c>
      <c r="S1947" s="67">
        <f>ROUND(IF(K1947=0,0,M1947*D1947),4)</f>
        <v>0</v>
      </c>
      <c r="T1947" s="67">
        <f>ROUND(+IF(K1947=0,Q1947*D1947,0),4)</f>
        <v>0</v>
      </c>
      <c r="U1947" s="67">
        <f>ROUND(+N1947+R1947+S1947+T1947,4)</f>
        <v>0</v>
      </c>
      <c r="V1947" s="67">
        <f>ROUND(IF(P1947=0,0,I1947-H1947-O1947)+IF(L1947=0,0,I1947-H1947-K1947),4)</f>
        <v>0</v>
      </c>
      <c r="W1947" s="67">
        <f>ROUND(+(V1947*60%)*D1947,4)</f>
        <v>0</v>
      </c>
      <c r="X1947" s="148">
        <f>ROUND(+U1947+W1947,4)</f>
        <v>0</v>
      </c>
      <c r="Y1947" s="68"/>
      <c r="Z1947" s="148">
        <f>ROUND(IF(X1947&gt;I1947,X1947,I1947),4)</f>
        <v>0</v>
      </c>
      <c r="AD1947" s="78">
        <f t="shared" si="38"/>
        <v>0</v>
      </c>
      <c r="AE1947" s="78">
        <f t="shared" si="39"/>
        <v>0</v>
      </c>
    </row>
    <row r="1948" spans="1:31" x14ac:dyDescent="0.2">
      <c r="A1948" s="66"/>
      <c r="B1948" s="66"/>
      <c r="C1948" s="66"/>
      <c r="D1948" s="144"/>
      <c r="E1948" s="67"/>
      <c r="F1948" s="67"/>
      <c r="G1948" s="67"/>
      <c r="H1948" s="67">
        <f>ROUND(+E1948+G1948,4)</f>
        <v>0</v>
      </c>
      <c r="I1948" s="67"/>
      <c r="J1948" s="67">
        <f>ROUND(+I1948-H1948,4)</f>
        <v>0</v>
      </c>
      <c r="K1948" s="67">
        <f>ROUND(IF(F1948="alluminio",0,I1948*1.5%),4)</f>
        <v>0</v>
      </c>
      <c r="L1948" s="67">
        <f>ROUND(IF(K1948&lt;J1948,K1948,0),4)</f>
        <v>0</v>
      </c>
      <c r="M1948" s="67">
        <f>ROUND(IF(J1948&gt;K1948,0,J1948),4)</f>
        <v>0</v>
      </c>
      <c r="N1948" s="67">
        <f>ROUND(+L1948*D1948,4)</f>
        <v>0</v>
      </c>
      <c r="O1948" s="67">
        <f>ROUND(IF(F1948="rame",0,+I1948*3%),4)</f>
        <v>0</v>
      </c>
      <c r="P1948" s="67">
        <f>ROUND(IF(O1948&lt;J1948,O1948,0),4)</f>
        <v>0</v>
      </c>
      <c r="Q1948" s="67">
        <f>ROUND(IF(J1948&gt;O1948,0,J1948),4)</f>
        <v>0</v>
      </c>
      <c r="R1948" s="67">
        <f>ROUND(+P1948*D1948,4)</f>
        <v>0</v>
      </c>
      <c r="S1948" s="67">
        <f>ROUND(IF(K1948=0,0,M1948*D1948),4)</f>
        <v>0</v>
      </c>
      <c r="T1948" s="67">
        <f>ROUND(+IF(K1948=0,Q1948*D1948,0),4)</f>
        <v>0</v>
      </c>
      <c r="U1948" s="67">
        <f>ROUND(+N1948+R1948+S1948+T1948,4)</f>
        <v>0</v>
      </c>
      <c r="V1948" s="67">
        <f>ROUND(IF(P1948=0,0,I1948-H1948-O1948)+IF(L1948=0,0,I1948-H1948-K1948),4)</f>
        <v>0</v>
      </c>
      <c r="W1948" s="67">
        <f>ROUND(+(V1948*60%)*D1948,4)</f>
        <v>0</v>
      </c>
      <c r="X1948" s="148">
        <f>ROUND(+U1948+W1948,4)</f>
        <v>0</v>
      </c>
      <c r="Y1948" s="68"/>
      <c r="Z1948" s="148">
        <f>ROUND(IF(X1948&gt;I1948,X1948,I1948),4)</f>
        <v>0</v>
      </c>
      <c r="AD1948" s="78">
        <f t="shared" si="38"/>
        <v>0</v>
      </c>
      <c r="AE1948" s="78">
        <f t="shared" si="39"/>
        <v>0</v>
      </c>
    </row>
    <row r="1949" spans="1:31" x14ac:dyDescent="0.2">
      <c r="A1949" s="66"/>
      <c r="B1949" s="66"/>
      <c r="C1949" s="66"/>
      <c r="D1949" s="144"/>
      <c r="E1949" s="67"/>
      <c r="F1949" s="67"/>
      <c r="G1949" s="67"/>
      <c r="H1949" s="67">
        <f>ROUND(+E1949+G1949,4)</f>
        <v>0</v>
      </c>
      <c r="I1949" s="67"/>
      <c r="J1949" s="67">
        <f>ROUND(+I1949-H1949,4)</f>
        <v>0</v>
      </c>
      <c r="K1949" s="67">
        <f>ROUND(IF(F1949="alluminio",0,I1949*1.5%),4)</f>
        <v>0</v>
      </c>
      <c r="L1949" s="67">
        <f>ROUND(IF(K1949&lt;J1949,K1949,0),4)</f>
        <v>0</v>
      </c>
      <c r="M1949" s="67">
        <f>ROUND(IF(J1949&gt;K1949,0,J1949),4)</f>
        <v>0</v>
      </c>
      <c r="N1949" s="67">
        <f>ROUND(+L1949*D1949,4)</f>
        <v>0</v>
      </c>
      <c r="O1949" s="67">
        <f>ROUND(IF(F1949="rame",0,+I1949*3%),4)</f>
        <v>0</v>
      </c>
      <c r="P1949" s="67">
        <f>ROUND(IF(O1949&lt;J1949,O1949,0),4)</f>
        <v>0</v>
      </c>
      <c r="Q1949" s="67">
        <f>ROUND(IF(J1949&gt;O1949,0,J1949),4)</f>
        <v>0</v>
      </c>
      <c r="R1949" s="67">
        <f>ROUND(+P1949*D1949,4)</f>
        <v>0</v>
      </c>
      <c r="S1949" s="67">
        <f>ROUND(IF(K1949=0,0,M1949*D1949),4)</f>
        <v>0</v>
      </c>
      <c r="T1949" s="67">
        <f>ROUND(+IF(K1949=0,Q1949*D1949,0),4)</f>
        <v>0</v>
      </c>
      <c r="U1949" s="67">
        <f>ROUND(+N1949+R1949+S1949+T1949,4)</f>
        <v>0</v>
      </c>
      <c r="V1949" s="67">
        <f>ROUND(IF(P1949=0,0,I1949-H1949-O1949)+IF(L1949=0,0,I1949-H1949-K1949),4)</f>
        <v>0</v>
      </c>
      <c r="W1949" s="67">
        <f>ROUND(+(V1949*60%)*D1949,4)</f>
        <v>0</v>
      </c>
      <c r="X1949" s="148">
        <f>ROUND(+U1949+W1949,4)</f>
        <v>0</v>
      </c>
      <c r="Y1949" s="68"/>
      <c r="Z1949" s="148">
        <f>ROUND(IF(X1949&gt;I1949,X1949,I1949),4)</f>
        <v>0</v>
      </c>
      <c r="AD1949" s="78">
        <f t="shared" si="38"/>
        <v>0</v>
      </c>
      <c r="AE1949" s="78">
        <f t="shared" si="39"/>
        <v>0</v>
      </c>
    </row>
    <row r="1950" spans="1:31" x14ac:dyDescent="0.2">
      <c r="A1950" s="66"/>
      <c r="B1950" s="66"/>
      <c r="C1950" s="66"/>
      <c r="D1950" s="144"/>
      <c r="E1950" s="67"/>
      <c r="F1950" s="67"/>
      <c r="G1950" s="67"/>
      <c r="H1950" s="67">
        <f>ROUND(+E1950+G1950,4)</f>
        <v>0</v>
      </c>
      <c r="I1950" s="67"/>
      <c r="J1950" s="67">
        <f>ROUND(+I1950-H1950,4)</f>
        <v>0</v>
      </c>
      <c r="K1950" s="67">
        <f>ROUND(IF(F1950="alluminio",0,I1950*1.5%),4)</f>
        <v>0</v>
      </c>
      <c r="L1950" s="67">
        <f>ROUND(IF(K1950&lt;J1950,K1950,0),4)</f>
        <v>0</v>
      </c>
      <c r="M1950" s="67">
        <f>ROUND(IF(J1950&gt;K1950,0,J1950),4)</f>
        <v>0</v>
      </c>
      <c r="N1950" s="67">
        <f>ROUND(+L1950*D1950,4)</f>
        <v>0</v>
      </c>
      <c r="O1950" s="67">
        <f>ROUND(IF(F1950="rame",0,+I1950*3%),4)</f>
        <v>0</v>
      </c>
      <c r="P1950" s="67">
        <f>ROUND(IF(O1950&lt;J1950,O1950,0),4)</f>
        <v>0</v>
      </c>
      <c r="Q1950" s="67">
        <f>ROUND(IF(J1950&gt;O1950,0,J1950),4)</f>
        <v>0</v>
      </c>
      <c r="R1950" s="67">
        <f>ROUND(+P1950*D1950,4)</f>
        <v>0</v>
      </c>
      <c r="S1950" s="67">
        <f>ROUND(IF(K1950=0,0,M1950*D1950),4)</f>
        <v>0</v>
      </c>
      <c r="T1950" s="67">
        <f>ROUND(+IF(K1950=0,Q1950*D1950,0),4)</f>
        <v>0</v>
      </c>
      <c r="U1950" s="67">
        <f>ROUND(+N1950+R1950+S1950+T1950,4)</f>
        <v>0</v>
      </c>
      <c r="V1950" s="67">
        <f>ROUND(IF(P1950=0,0,I1950-H1950-O1950)+IF(L1950=0,0,I1950-H1950-K1950),4)</f>
        <v>0</v>
      </c>
      <c r="W1950" s="67">
        <f>ROUND(+(V1950*60%)*D1950,4)</f>
        <v>0</v>
      </c>
      <c r="X1950" s="148">
        <f>ROUND(+U1950+W1950,4)</f>
        <v>0</v>
      </c>
      <c r="Y1950" s="68"/>
      <c r="Z1950" s="148">
        <f>ROUND(IF(X1950&gt;I1950,X1950,I1950),4)</f>
        <v>0</v>
      </c>
      <c r="AD1950" s="78">
        <f t="shared" si="38"/>
        <v>0</v>
      </c>
      <c r="AE1950" s="78">
        <f t="shared" si="39"/>
        <v>0</v>
      </c>
    </row>
    <row r="1951" spans="1:31" x14ac:dyDescent="0.2">
      <c r="A1951" s="66"/>
      <c r="B1951" s="66"/>
      <c r="C1951" s="66"/>
      <c r="D1951" s="144"/>
      <c r="E1951" s="67"/>
      <c r="F1951" s="67"/>
      <c r="G1951" s="67"/>
      <c r="H1951" s="67">
        <f>ROUND(+E1951+G1951,4)</f>
        <v>0</v>
      </c>
      <c r="I1951" s="67"/>
      <c r="J1951" s="67">
        <f>ROUND(+I1951-H1951,4)</f>
        <v>0</v>
      </c>
      <c r="K1951" s="67">
        <f>ROUND(IF(F1951="alluminio",0,I1951*1.5%),4)</f>
        <v>0</v>
      </c>
      <c r="L1951" s="67">
        <f>ROUND(IF(K1951&lt;J1951,K1951,0),4)</f>
        <v>0</v>
      </c>
      <c r="M1951" s="67">
        <f>ROUND(IF(J1951&gt;K1951,0,J1951),4)</f>
        <v>0</v>
      </c>
      <c r="N1951" s="67">
        <f>ROUND(+L1951*D1951,4)</f>
        <v>0</v>
      </c>
      <c r="O1951" s="67">
        <f>ROUND(IF(F1951="rame",0,+I1951*3%),4)</f>
        <v>0</v>
      </c>
      <c r="P1951" s="67">
        <f>ROUND(IF(O1951&lt;J1951,O1951,0),4)</f>
        <v>0</v>
      </c>
      <c r="Q1951" s="67">
        <f>ROUND(IF(J1951&gt;O1951,0,J1951),4)</f>
        <v>0</v>
      </c>
      <c r="R1951" s="67">
        <f>ROUND(+P1951*D1951,4)</f>
        <v>0</v>
      </c>
      <c r="S1951" s="67">
        <f>ROUND(IF(K1951=0,0,M1951*D1951),4)</f>
        <v>0</v>
      </c>
      <c r="T1951" s="67">
        <f>ROUND(+IF(K1951=0,Q1951*D1951,0),4)</f>
        <v>0</v>
      </c>
      <c r="U1951" s="67">
        <f>ROUND(+N1951+R1951+S1951+T1951,4)</f>
        <v>0</v>
      </c>
      <c r="V1951" s="67">
        <f>ROUND(IF(P1951=0,0,I1951-H1951-O1951)+IF(L1951=0,0,I1951-H1951-K1951),4)</f>
        <v>0</v>
      </c>
      <c r="W1951" s="67">
        <f>ROUND(+(V1951*60%)*D1951,4)</f>
        <v>0</v>
      </c>
      <c r="X1951" s="148">
        <f>ROUND(+U1951+W1951,4)</f>
        <v>0</v>
      </c>
      <c r="Y1951" s="68"/>
      <c r="Z1951" s="148">
        <f>ROUND(IF(X1951&gt;I1951,X1951,I1951),4)</f>
        <v>0</v>
      </c>
      <c r="AD1951" s="78">
        <f t="shared" si="38"/>
        <v>0</v>
      </c>
      <c r="AE1951" s="78">
        <f t="shared" si="39"/>
        <v>0</v>
      </c>
    </row>
    <row r="1952" spans="1:31" x14ac:dyDescent="0.2">
      <c r="A1952" s="66"/>
      <c r="B1952" s="66"/>
      <c r="C1952" s="66"/>
      <c r="D1952" s="144"/>
      <c r="E1952" s="67"/>
      <c r="F1952" s="67"/>
      <c r="G1952" s="67"/>
      <c r="H1952" s="67">
        <f>ROUND(+E1952+G1952,4)</f>
        <v>0</v>
      </c>
      <c r="I1952" s="67"/>
      <c r="J1952" s="67">
        <f>ROUND(+I1952-H1952,4)</f>
        <v>0</v>
      </c>
      <c r="K1952" s="67">
        <f>ROUND(IF(F1952="alluminio",0,I1952*1.5%),4)</f>
        <v>0</v>
      </c>
      <c r="L1952" s="67">
        <f>ROUND(IF(K1952&lt;J1952,K1952,0),4)</f>
        <v>0</v>
      </c>
      <c r="M1952" s="67">
        <f>ROUND(IF(J1952&gt;K1952,0,J1952),4)</f>
        <v>0</v>
      </c>
      <c r="N1952" s="67">
        <f>ROUND(+L1952*D1952,4)</f>
        <v>0</v>
      </c>
      <c r="O1952" s="67">
        <f>ROUND(IF(F1952="rame",0,+I1952*3%),4)</f>
        <v>0</v>
      </c>
      <c r="P1952" s="67">
        <f>ROUND(IF(O1952&lt;J1952,O1952,0),4)</f>
        <v>0</v>
      </c>
      <c r="Q1952" s="67">
        <f>ROUND(IF(J1952&gt;O1952,0,J1952),4)</f>
        <v>0</v>
      </c>
      <c r="R1952" s="67">
        <f>ROUND(+P1952*D1952,4)</f>
        <v>0</v>
      </c>
      <c r="S1952" s="67">
        <f>ROUND(IF(K1952=0,0,M1952*D1952),4)</f>
        <v>0</v>
      </c>
      <c r="T1952" s="67">
        <f>ROUND(+IF(K1952=0,Q1952*D1952,0),4)</f>
        <v>0</v>
      </c>
      <c r="U1952" s="67">
        <f>ROUND(+N1952+R1952+S1952+T1952,4)</f>
        <v>0</v>
      </c>
      <c r="V1952" s="67">
        <f>ROUND(IF(P1952=0,0,I1952-H1952-O1952)+IF(L1952=0,0,I1952-H1952-K1952),4)</f>
        <v>0</v>
      </c>
      <c r="W1952" s="67">
        <f>ROUND(+(V1952*60%)*D1952,4)</f>
        <v>0</v>
      </c>
      <c r="X1952" s="148">
        <f>ROUND(+U1952+W1952,4)</f>
        <v>0</v>
      </c>
      <c r="Y1952" s="68"/>
      <c r="Z1952" s="148">
        <f>ROUND(IF(X1952&gt;I1952,X1952,I1952),4)</f>
        <v>0</v>
      </c>
      <c r="AD1952" s="78">
        <f t="shared" si="38"/>
        <v>0</v>
      </c>
      <c r="AE1952" s="78">
        <f t="shared" si="39"/>
        <v>0</v>
      </c>
    </row>
    <row r="1953" spans="1:31" x14ac:dyDescent="0.2">
      <c r="A1953" s="66"/>
      <c r="B1953" s="66"/>
      <c r="C1953" s="66"/>
      <c r="D1953" s="144"/>
      <c r="E1953" s="67"/>
      <c r="F1953" s="67"/>
      <c r="G1953" s="67"/>
      <c r="H1953" s="67">
        <f>ROUND(+E1953+G1953,4)</f>
        <v>0</v>
      </c>
      <c r="I1953" s="67"/>
      <c r="J1953" s="67">
        <f>ROUND(+I1953-H1953,4)</f>
        <v>0</v>
      </c>
      <c r="K1953" s="67">
        <f>ROUND(IF(F1953="alluminio",0,I1953*1.5%),4)</f>
        <v>0</v>
      </c>
      <c r="L1953" s="67">
        <f>ROUND(IF(K1953&lt;J1953,K1953,0),4)</f>
        <v>0</v>
      </c>
      <c r="M1953" s="67">
        <f>ROUND(IF(J1953&gt;K1953,0,J1953),4)</f>
        <v>0</v>
      </c>
      <c r="N1953" s="67">
        <f>ROUND(+L1953*D1953,4)</f>
        <v>0</v>
      </c>
      <c r="O1953" s="67">
        <f>ROUND(IF(F1953="rame",0,+I1953*3%),4)</f>
        <v>0</v>
      </c>
      <c r="P1953" s="67">
        <f>ROUND(IF(O1953&lt;J1953,O1953,0),4)</f>
        <v>0</v>
      </c>
      <c r="Q1953" s="67">
        <f>ROUND(IF(J1953&gt;O1953,0,J1953),4)</f>
        <v>0</v>
      </c>
      <c r="R1953" s="67">
        <f>ROUND(+P1953*D1953,4)</f>
        <v>0</v>
      </c>
      <c r="S1953" s="67">
        <f>ROUND(IF(K1953=0,0,M1953*D1953),4)</f>
        <v>0</v>
      </c>
      <c r="T1953" s="67">
        <f>ROUND(+IF(K1953=0,Q1953*D1953,0),4)</f>
        <v>0</v>
      </c>
      <c r="U1953" s="67">
        <f>ROUND(+N1953+R1953+S1953+T1953,4)</f>
        <v>0</v>
      </c>
      <c r="V1953" s="67">
        <f>ROUND(IF(P1953=0,0,I1953-H1953-O1953)+IF(L1953=0,0,I1953-H1953-K1953),4)</f>
        <v>0</v>
      </c>
      <c r="W1953" s="67">
        <f>ROUND(+(V1953*60%)*D1953,4)</f>
        <v>0</v>
      </c>
      <c r="X1953" s="148">
        <f>ROUND(+U1953+W1953,4)</f>
        <v>0</v>
      </c>
      <c r="Y1953" s="68"/>
      <c r="Z1953" s="148">
        <f>ROUND(IF(X1953&gt;I1953,X1953,I1953),4)</f>
        <v>0</v>
      </c>
      <c r="AD1953" s="78">
        <f t="shared" si="38"/>
        <v>0</v>
      </c>
      <c r="AE1953" s="78">
        <f t="shared" si="39"/>
        <v>0</v>
      </c>
    </row>
    <row r="1954" spans="1:31" x14ac:dyDescent="0.2">
      <c r="A1954" s="66"/>
      <c r="B1954" s="66"/>
      <c r="C1954" s="66"/>
      <c r="D1954" s="144"/>
      <c r="E1954" s="67"/>
      <c r="F1954" s="67"/>
      <c r="G1954" s="67"/>
      <c r="H1954" s="67">
        <f>ROUND(+E1954+G1954,4)</f>
        <v>0</v>
      </c>
      <c r="I1954" s="67"/>
      <c r="J1954" s="67">
        <f>ROUND(+I1954-H1954,4)</f>
        <v>0</v>
      </c>
      <c r="K1954" s="67">
        <f>ROUND(IF(F1954="alluminio",0,I1954*1.5%),4)</f>
        <v>0</v>
      </c>
      <c r="L1954" s="67">
        <f>ROUND(IF(K1954&lt;J1954,K1954,0),4)</f>
        <v>0</v>
      </c>
      <c r="M1954" s="67">
        <f>ROUND(IF(J1954&gt;K1954,0,J1954),4)</f>
        <v>0</v>
      </c>
      <c r="N1954" s="67">
        <f>ROUND(+L1954*D1954,4)</f>
        <v>0</v>
      </c>
      <c r="O1954" s="67">
        <f>ROUND(IF(F1954="rame",0,+I1954*3%),4)</f>
        <v>0</v>
      </c>
      <c r="P1954" s="67">
        <f>ROUND(IF(O1954&lt;J1954,O1954,0),4)</f>
        <v>0</v>
      </c>
      <c r="Q1954" s="67">
        <f>ROUND(IF(J1954&gt;O1954,0,J1954),4)</f>
        <v>0</v>
      </c>
      <c r="R1954" s="67">
        <f>ROUND(+P1954*D1954,4)</f>
        <v>0</v>
      </c>
      <c r="S1954" s="67">
        <f>ROUND(IF(K1954=0,0,M1954*D1954),4)</f>
        <v>0</v>
      </c>
      <c r="T1954" s="67">
        <f>ROUND(+IF(K1954=0,Q1954*D1954,0),4)</f>
        <v>0</v>
      </c>
      <c r="U1954" s="67">
        <f>ROUND(+N1954+R1954+S1954+T1954,4)</f>
        <v>0</v>
      </c>
      <c r="V1954" s="67">
        <f>ROUND(IF(P1954=0,0,I1954-H1954-O1954)+IF(L1954=0,0,I1954-H1954-K1954),4)</f>
        <v>0</v>
      </c>
      <c r="W1954" s="67">
        <f>ROUND(+(V1954*60%)*D1954,4)</f>
        <v>0</v>
      </c>
      <c r="X1954" s="148">
        <f>ROUND(+U1954+W1954,4)</f>
        <v>0</v>
      </c>
      <c r="Y1954" s="68"/>
      <c r="Z1954" s="148">
        <f>ROUND(IF(X1954&gt;I1954,X1954,I1954),4)</f>
        <v>0</v>
      </c>
      <c r="AD1954" s="78">
        <f t="shared" si="38"/>
        <v>0</v>
      </c>
      <c r="AE1954" s="78">
        <f t="shared" si="39"/>
        <v>0</v>
      </c>
    </row>
    <row r="1955" spans="1:31" x14ac:dyDescent="0.2">
      <c r="A1955" s="66"/>
      <c r="B1955" s="66"/>
      <c r="C1955" s="66"/>
      <c r="D1955" s="144"/>
      <c r="E1955" s="67"/>
      <c r="F1955" s="67"/>
      <c r="G1955" s="67"/>
      <c r="H1955" s="67">
        <f>ROUND(+E1955+G1955,4)</f>
        <v>0</v>
      </c>
      <c r="I1955" s="67"/>
      <c r="J1955" s="67">
        <f>ROUND(+I1955-H1955,4)</f>
        <v>0</v>
      </c>
      <c r="K1955" s="67">
        <f>ROUND(IF(F1955="alluminio",0,I1955*1.5%),4)</f>
        <v>0</v>
      </c>
      <c r="L1955" s="67">
        <f>ROUND(IF(K1955&lt;J1955,K1955,0),4)</f>
        <v>0</v>
      </c>
      <c r="M1955" s="67">
        <f>ROUND(IF(J1955&gt;K1955,0,J1955),4)</f>
        <v>0</v>
      </c>
      <c r="N1955" s="67">
        <f>ROUND(+L1955*D1955,4)</f>
        <v>0</v>
      </c>
      <c r="O1955" s="67">
        <f>ROUND(IF(F1955="rame",0,+I1955*3%),4)</f>
        <v>0</v>
      </c>
      <c r="P1955" s="67">
        <f>ROUND(IF(O1955&lt;J1955,O1955,0),4)</f>
        <v>0</v>
      </c>
      <c r="Q1955" s="67">
        <f>ROUND(IF(J1955&gt;O1955,0,J1955),4)</f>
        <v>0</v>
      </c>
      <c r="R1955" s="67">
        <f>ROUND(+P1955*D1955,4)</f>
        <v>0</v>
      </c>
      <c r="S1955" s="67">
        <f>ROUND(IF(K1955=0,0,M1955*D1955),4)</f>
        <v>0</v>
      </c>
      <c r="T1955" s="67">
        <f>ROUND(+IF(K1955=0,Q1955*D1955,0),4)</f>
        <v>0</v>
      </c>
      <c r="U1955" s="67">
        <f>ROUND(+N1955+R1955+S1955+T1955,4)</f>
        <v>0</v>
      </c>
      <c r="V1955" s="67">
        <f>ROUND(IF(P1955=0,0,I1955-H1955-O1955)+IF(L1955=0,0,I1955-H1955-K1955),4)</f>
        <v>0</v>
      </c>
      <c r="W1955" s="67">
        <f>ROUND(+(V1955*60%)*D1955,4)</f>
        <v>0</v>
      </c>
      <c r="X1955" s="148">
        <f>ROUND(+U1955+W1955,4)</f>
        <v>0</v>
      </c>
      <c r="Y1955" s="68"/>
      <c r="Z1955" s="148">
        <f>ROUND(IF(X1955&gt;I1955,X1955,I1955),4)</f>
        <v>0</v>
      </c>
      <c r="AD1955" s="78">
        <f t="shared" si="38"/>
        <v>0</v>
      </c>
      <c r="AE1955" s="78">
        <f t="shared" si="39"/>
        <v>0</v>
      </c>
    </row>
    <row r="1956" spans="1:31" x14ac:dyDescent="0.2">
      <c r="A1956" s="66"/>
      <c r="B1956" s="66"/>
      <c r="C1956" s="66"/>
      <c r="D1956" s="144"/>
      <c r="E1956" s="67"/>
      <c r="F1956" s="67"/>
      <c r="G1956" s="67"/>
      <c r="H1956" s="67">
        <f>ROUND(+E1956+G1956,4)</f>
        <v>0</v>
      </c>
      <c r="I1956" s="67"/>
      <c r="J1956" s="67">
        <f>ROUND(+I1956-H1956,4)</f>
        <v>0</v>
      </c>
      <c r="K1956" s="67">
        <f>ROUND(IF(F1956="alluminio",0,I1956*1.5%),4)</f>
        <v>0</v>
      </c>
      <c r="L1956" s="67">
        <f>ROUND(IF(K1956&lt;J1956,K1956,0),4)</f>
        <v>0</v>
      </c>
      <c r="M1956" s="67">
        <f>ROUND(IF(J1956&gt;K1956,0,J1956),4)</f>
        <v>0</v>
      </c>
      <c r="N1956" s="67">
        <f>ROUND(+L1956*D1956,4)</f>
        <v>0</v>
      </c>
      <c r="O1956" s="67">
        <f>ROUND(IF(F1956="rame",0,+I1956*3%),4)</f>
        <v>0</v>
      </c>
      <c r="P1956" s="67">
        <f>ROUND(IF(O1956&lt;J1956,O1956,0),4)</f>
        <v>0</v>
      </c>
      <c r="Q1956" s="67">
        <f>ROUND(IF(J1956&gt;O1956,0,J1956),4)</f>
        <v>0</v>
      </c>
      <c r="R1956" s="67">
        <f>ROUND(+P1956*D1956,4)</f>
        <v>0</v>
      </c>
      <c r="S1956" s="67">
        <f>ROUND(IF(K1956=0,0,M1956*D1956),4)</f>
        <v>0</v>
      </c>
      <c r="T1956" s="67">
        <f>ROUND(+IF(K1956=0,Q1956*D1956,0),4)</f>
        <v>0</v>
      </c>
      <c r="U1956" s="67">
        <f>ROUND(+N1956+R1956+S1956+T1956,4)</f>
        <v>0</v>
      </c>
      <c r="V1956" s="67">
        <f>ROUND(IF(P1956=0,0,I1956-H1956-O1956)+IF(L1956=0,0,I1956-H1956-K1956),4)</f>
        <v>0</v>
      </c>
      <c r="W1956" s="67">
        <f>ROUND(+(V1956*60%)*D1956,4)</f>
        <v>0</v>
      </c>
      <c r="X1956" s="148">
        <f>ROUND(+U1956+W1956,4)</f>
        <v>0</v>
      </c>
      <c r="Y1956" s="68"/>
      <c r="Z1956" s="148">
        <f>ROUND(IF(X1956&gt;I1956,X1956,I1956),4)</f>
        <v>0</v>
      </c>
      <c r="AD1956" s="78">
        <f t="shared" si="38"/>
        <v>0</v>
      </c>
      <c r="AE1956" s="78">
        <f t="shared" si="39"/>
        <v>0</v>
      </c>
    </row>
    <row r="1957" spans="1:31" x14ac:dyDescent="0.2">
      <c r="A1957" s="66"/>
      <c r="B1957" s="66"/>
      <c r="C1957" s="66"/>
      <c r="D1957" s="144"/>
      <c r="E1957" s="67"/>
      <c r="F1957" s="67"/>
      <c r="G1957" s="67"/>
      <c r="H1957" s="67">
        <f>ROUND(+E1957+G1957,4)</f>
        <v>0</v>
      </c>
      <c r="I1957" s="67"/>
      <c r="J1957" s="67">
        <f>ROUND(+I1957-H1957,4)</f>
        <v>0</v>
      </c>
      <c r="K1957" s="67">
        <f>ROUND(IF(F1957="alluminio",0,I1957*1.5%),4)</f>
        <v>0</v>
      </c>
      <c r="L1957" s="67">
        <f>ROUND(IF(K1957&lt;J1957,K1957,0),4)</f>
        <v>0</v>
      </c>
      <c r="M1957" s="67">
        <f>ROUND(IF(J1957&gt;K1957,0,J1957),4)</f>
        <v>0</v>
      </c>
      <c r="N1957" s="67">
        <f>ROUND(+L1957*D1957,4)</f>
        <v>0</v>
      </c>
      <c r="O1957" s="67">
        <f>ROUND(IF(F1957="rame",0,+I1957*3%),4)</f>
        <v>0</v>
      </c>
      <c r="P1957" s="67">
        <f>ROUND(IF(O1957&lt;J1957,O1957,0),4)</f>
        <v>0</v>
      </c>
      <c r="Q1957" s="67">
        <f>ROUND(IF(J1957&gt;O1957,0,J1957),4)</f>
        <v>0</v>
      </c>
      <c r="R1957" s="67">
        <f>ROUND(+P1957*D1957,4)</f>
        <v>0</v>
      </c>
      <c r="S1957" s="67">
        <f>ROUND(IF(K1957=0,0,M1957*D1957),4)</f>
        <v>0</v>
      </c>
      <c r="T1957" s="67">
        <f>ROUND(+IF(K1957=0,Q1957*D1957,0),4)</f>
        <v>0</v>
      </c>
      <c r="U1957" s="67">
        <f>ROUND(+N1957+R1957+S1957+T1957,4)</f>
        <v>0</v>
      </c>
      <c r="V1957" s="67">
        <f>ROUND(IF(P1957=0,0,I1957-H1957-O1957)+IF(L1957=0,0,I1957-H1957-K1957),4)</f>
        <v>0</v>
      </c>
      <c r="W1957" s="67">
        <f>ROUND(+(V1957*60%)*D1957,4)</f>
        <v>0</v>
      </c>
      <c r="X1957" s="148">
        <f>ROUND(+U1957+W1957,4)</f>
        <v>0</v>
      </c>
      <c r="Y1957" s="68"/>
      <c r="Z1957" s="148">
        <f>ROUND(IF(X1957&gt;I1957,X1957,I1957),4)</f>
        <v>0</v>
      </c>
      <c r="AD1957" s="78">
        <f t="shared" si="38"/>
        <v>0</v>
      </c>
      <c r="AE1957" s="78">
        <f t="shared" si="39"/>
        <v>0</v>
      </c>
    </row>
    <row r="1958" spans="1:31" x14ac:dyDescent="0.2">
      <c r="A1958" s="66"/>
      <c r="B1958" s="66"/>
      <c r="C1958" s="66"/>
      <c r="D1958" s="144"/>
      <c r="E1958" s="67"/>
      <c r="F1958" s="67"/>
      <c r="G1958" s="67"/>
      <c r="H1958" s="67">
        <f>ROUND(+E1958+G1958,4)</f>
        <v>0</v>
      </c>
      <c r="I1958" s="67"/>
      <c r="J1958" s="67">
        <f>ROUND(+I1958-H1958,4)</f>
        <v>0</v>
      </c>
      <c r="K1958" s="67">
        <f>ROUND(IF(F1958="alluminio",0,I1958*1.5%),4)</f>
        <v>0</v>
      </c>
      <c r="L1958" s="67">
        <f>ROUND(IF(K1958&lt;J1958,K1958,0),4)</f>
        <v>0</v>
      </c>
      <c r="M1958" s="67">
        <f>ROUND(IF(J1958&gt;K1958,0,J1958),4)</f>
        <v>0</v>
      </c>
      <c r="N1958" s="67">
        <f>ROUND(+L1958*D1958,4)</f>
        <v>0</v>
      </c>
      <c r="O1958" s="67">
        <f>ROUND(IF(F1958="rame",0,+I1958*3%),4)</f>
        <v>0</v>
      </c>
      <c r="P1958" s="67">
        <f>ROUND(IF(O1958&lt;J1958,O1958,0),4)</f>
        <v>0</v>
      </c>
      <c r="Q1958" s="67">
        <f>ROUND(IF(J1958&gt;O1958,0,J1958),4)</f>
        <v>0</v>
      </c>
      <c r="R1958" s="67">
        <f>ROUND(+P1958*D1958,4)</f>
        <v>0</v>
      </c>
      <c r="S1958" s="67">
        <f>ROUND(IF(K1958=0,0,M1958*D1958),4)</f>
        <v>0</v>
      </c>
      <c r="T1958" s="67">
        <f>ROUND(+IF(K1958=0,Q1958*D1958,0),4)</f>
        <v>0</v>
      </c>
      <c r="U1958" s="67">
        <f>ROUND(+N1958+R1958+S1958+T1958,4)</f>
        <v>0</v>
      </c>
      <c r="V1958" s="67">
        <f>ROUND(IF(P1958=0,0,I1958-H1958-O1958)+IF(L1958=0,0,I1958-H1958-K1958),4)</f>
        <v>0</v>
      </c>
      <c r="W1958" s="67">
        <f>ROUND(+(V1958*60%)*D1958,4)</f>
        <v>0</v>
      </c>
      <c r="X1958" s="148">
        <f>ROUND(+U1958+W1958,4)</f>
        <v>0</v>
      </c>
      <c r="Y1958" s="68"/>
      <c r="Z1958" s="148">
        <f>ROUND(IF(X1958&gt;I1958,X1958,I1958),4)</f>
        <v>0</v>
      </c>
      <c r="AD1958" s="78">
        <f t="shared" si="38"/>
        <v>0</v>
      </c>
      <c r="AE1958" s="78">
        <f t="shared" si="39"/>
        <v>0</v>
      </c>
    </row>
    <row r="1959" spans="1:31" x14ac:dyDescent="0.2">
      <c r="A1959" s="66"/>
      <c r="B1959" s="66"/>
      <c r="C1959" s="66"/>
      <c r="D1959" s="144"/>
      <c r="E1959" s="67"/>
      <c r="F1959" s="67"/>
      <c r="G1959" s="67"/>
      <c r="H1959" s="67">
        <f>ROUND(+E1959+G1959,4)</f>
        <v>0</v>
      </c>
      <c r="I1959" s="67"/>
      <c r="J1959" s="67">
        <f>ROUND(+I1959-H1959,4)</f>
        <v>0</v>
      </c>
      <c r="K1959" s="67">
        <f>ROUND(IF(F1959="alluminio",0,I1959*1.5%),4)</f>
        <v>0</v>
      </c>
      <c r="L1959" s="67">
        <f>ROUND(IF(K1959&lt;J1959,K1959,0),4)</f>
        <v>0</v>
      </c>
      <c r="M1959" s="67">
        <f>ROUND(IF(J1959&gt;K1959,0,J1959),4)</f>
        <v>0</v>
      </c>
      <c r="N1959" s="67">
        <f>ROUND(+L1959*D1959,4)</f>
        <v>0</v>
      </c>
      <c r="O1959" s="67">
        <f>ROUND(IF(F1959="rame",0,+I1959*3%),4)</f>
        <v>0</v>
      </c>
      <c r="P1959" s="67">
        <f>ROUND(IF(O1959&lt;J1959,O1959,0),4)</f>
        <v>0</v>
      </c>
      <c r="Q1959" s="67">
        <f>ROUND(IF(J1959&gt;O1959,0,J1959),4)</f>
        <v>0</v>
      </c>
      <c r="R1959" s="67">
        <f>ROUND(+P1959*D1959,4)</f>
        <v>0</v>
      </c>
      <c r="S1959" s="67">
        <f>ROUND(IF(K1959=0,0,M1959*D1959),4)</f>
        <v>0</v>
      </c>
      <c r="T1959" s="67">
        <f>ROUND(+IF(K1959=0,Q1959*D1959,0),4)</f>
        <v>0</v>
      </c>
      <c r="U1959" s="67">
        <f>ROUND(+N1959+R1959+S1959+T1959,4)</f>
        <v>0</v>
      </c>
      <c r="V1959" s="67">
        <f>ROUND(IF(P1959=0,0,I1959-H1959-O1959)+IF(L1959=0,0,I1959-H1959-K1959),4)</f>
        <v>0</v>
      </c>
      <c r="W1959" s="67">
        <f>ROUND(+(V1959*60%)*D1959,4)</f>
        <v>0</v>
      </c>
      <c r="X1959" s="148">
        <f>ROUND(+U1959+W1959,4)</f>
        <v>0</v>
      </c>
      <c r="Y1959" s="68"/>
      <c r="Z1959" s="148">
        <f>ROUND(IF(X1959&gt;I1959,X1959,I1959),4)</f>
        <v>0</v>
      </c>
      <c r="AD1959" s="78">
        <f t="shared" si="38"/>
        <v>0</v>
      </c>
      <c r="AE1959" s="78">
        <f t="shared" si="39"/>
        <v>0</v>
      </c>
    </row>
    <row r="1960" spans="1:31" x14ac:dyDescent="0.2">
      <c r="A1960" s="66"/>
      <c r="B1960" s="66"/>
      <c r="C1960" s="66"/>
      <c r="D1960" s="144"/>
      <c r="E1960" s="67"/>
      <c r="F1960" s="67"/>
      <c r="G1960" s="67"/>
      <c r="H1960" s="67">
        <f>ROUND(+E1960+G1960,4)</f>
        <v>0</v>
      </c>
      <c r="I1960" s="67"/>
      <c r="J1960" s="67">
        <f>ROUND(+I1960-H1960,4)</f>
        <v>0</v>
      </c>
      <c r="K1960" s="67">
        <f>ROUND(IF(F1960="alluminio",0,I1960*1.5%),4)</f>
        <v>0</v>
      </c>
      <c r="L1960" s="67">
        <f>ROUND(IF(K1960&lt;J1960,K1960,0),4)</f>
        <v>0</v>
      </c>
      <c r="M1960" s="67">
        <f>ROUND(IF(J1960&gt;K1960,0,J1960),4)</f>
        <v>0</v>
      </c>
      <c r="N1960" s="67">
        <f>ROUND(+L1960*D1960,4)</f>
        <v>0</v>
      </c>
      <c r="O1960" s="67">
        <f>ROUND(IF(F1960="rame",0,+I1960*3%),4)</f>
        <v>0</v>
      </c>
      <c r="P1960" s="67">
        <f>ROUND(IF(O1960&lt;J1960,O1960,0),4)</f>
        <v>0</v>
      </c>
      <c r="Q1960" s="67">
        <f>ROUND(IF(J1960&gt;O1960,0,J1960),4)</f>
        <v>0</v>
      </c>
      <c r="R1960" s="67">
        <f>ROUND(+P1960*D1960,4)</f>
        <v>0</v>
      </c>
      <c r="S1960" s="67">
        <f>ROUND(IF(K1960=0,0,M1960*D1960),4)</f>
        <v>0</v>
      </c>
      <c r="T1960" s="67">
        <f>ROUND(+IF(K1960=0,Q1960*D1960,0),4)</f>
        <v>0</v>
      </c>
      <c r="U1960" s="67">
        <f>ROUND(+N1960+R1960+S1960+T1960,4)</f>
        <v>0</v>
      </c>
      <c r="V1960" s="67">
        <f>ROUND(IF(P1960=0,0,I1960-H1960-O1960)+IF(L1960=0,0,I1960-H1960-K1960),4)</f>
        <v>0</v>
      </c>
      <c r="W1960" s="67">
        <f>ROUND(+(V1960*60%)*D1960,4)</f>
        <v>0</v>
      </c>
      <c r="X1960" s="148">
        <f>ROUND(+U1960+W1960,4)</f>
        <v>0</v>
      </c>
      <c r="Y1960" s="68"/>
      <c r="Z1960" s="148">
        <f>ROUND(IF(X1960&gt;I1960,X1960,I1960),4)</f>
        <v>0</v>
      </c>
      <c r="AD1960" s="78">
        <f t="shared" si="38"/>
        <v>0</v>
      </c>
      <c r="AE1960" s="78">
        <f t="shared" si="39"/>
        <v>0</v>
      </c>
    </row>
    <row r="1961" spans="1:31" x14ac:dyDescent="0.2">
      <c r="A1961" s="66"/>
      <c r="B1961" s="66"/>
      <c r="C1961" s="66"/>
      <c r="D1961" s="144"/>
      <c r="E1961" s="67"/>
      <c r="F1961" s="67"/>
      <c r="G1961" s="67"/>
      <c r="H1961" s="67">
        <f>ROUND(+E1961+G1961,4)</f>
        <v>0</v>
      </c>
      <c r="I1961" s="67"/>
      <c r="J1961" s="67">
        <f>ROUND(+I1961-H1961,4)</f>
        <v>0</v>
      </c>
      <c r="K1961" s="67">
        <f>ROUND(IF(F1961="alluminio",0,I1961*1.5%),4)</f>
        <v>0</v>
      </c>
      <c r="L1961" s="67">
        <f>ROUND(IF(K1961&lt;J1961,K1961,0),4)</f>
        <v>0</v>
      </c>
      <c r="M1961" s="67">
        <f>ROUND(IF(J1961&gt;K1961,0,J1961),4)</f>
        <v>0</v>
      </c>
      <c r="N1961" s="67">
        <f>ROUND(+L1961*D1961,4)</f>
        <v>0</v>
      </c>
      <c r="O1961" s="67">
        <f>ROUND(IF(F1961="rame",0,+I1961*3%),4)</f>
        <v>0</v>
      </c>
      <c r="P1961" s="67">
        <f>ROUND(IF(O1961&lt;J1961,O1961,0),4)</f>
        <v>0</v>
      </c>
      <c r="Q1961" s="67">
        <f>ROUND(IF(J1961&gt;O1961,0,J1961),4)</f>
        <v>0</v>
      </c>
      <c r="R1961" s="67">
        <f>ROUND(+P1961*D1961,4)</f>
        <v>0</v>
      </c>
      <c r="S1961" s="67">
        <f>ROUND(IF(K1961=0,0,M1961*D1961),4)</f>
        <v>0</v>
      </c>
      <c r="T1961" s="67">
        <f>ROUND(+IF(K1961=0,Q1961*D1961,0),4)</f>
        <v>0</v>
      </c>
      <c r="U1961" s="67">
        <f>ROUND(+N1961+R1961+S1961+T1961,4)</f>
        <v>0</v>
      </c>
      <c r="V1961" s="67">
        <f>ROUND(IF(P1961=0,0,I1961-H1961-O1961)+IF(L1961=0,0,I1961-H1961-K1961),4)</f>
        <v>0</v>
      </c>
      <c r="W1961" s="67">
        <f>ROUND(+(V1961*60%)*D1961,4)</f>
        <v>0</v>
      </c>
      <c r="X1961" s="148">
        <f>ROUND(+U1961+W1961,4)</f>
        <v>0</v>
      </c>
      <c r="Y1961" s="68"/>
      <c r="Z1961" s="148">
        <f>ROUND(IF(X1961&gt;I1961,X1961,I1961),4)</f>
        <v>0</v>
      </c>
      <c r="AD1961" s="78">
        <f t="shared" si="38"/>
        <v>0</v>
      </c>
      <c r="AE1961" s="78">
        <f t="shared" si="39"/>
        <v>0</v>
      </c>
    </row>
    <row r="1962" spans="1:31" x14ac:dyDescent="0.2">
      <c r="A1962" s="66"/>
      <c r="B1962" s="66"/>
      <c r="C1962" s="66"/>
      <c r="D1962" s="144"/>
      <c r="E1962" s="67"/>
      <c r="F1962" s="67"/>
      <c r="G1962" s="67"/>
      <c r="H1962" s="67">
        <f>ROUND(+E1962+G1962,4)</f>
        <v>0</v>
      </c>
      <c r="I1962" s="67"/>
      <c r="J1962" s="67">
        <f>ROUND(+I1962-H1962,4)</f>
        <v>0</v>
      </c>
      <c r="K1962" s="67">
        <f>ROUND(IF(F1962="alluminio",0,I1962*1.5%),4)</f>
        <v>0</v>
      </c>
      <c r="L1962" s="67">
        <f>ROUND(IF(K1962&lt;J1962,K1962,0),4)</f>
        <v>0</v>
      </c>
      <c r="M1962" s="67">
        <f>ROUND(IF(J1962&gt;K1962,0,J1962),4)</f>
        <v>0</v>
      </c>
      <c r="N1962" s="67">
        <f>ROUND(+L1962*D1962,4)</f>
        <v>0</v>
      </c>
      <c r="O1962" s="67">
        <f>ROUND(IF(F1962="rame",0,+I1962*3%),4)</f>
        <v>0</v>
      </c>
      <c r="P1962" s="67">
        <f>ROUND(IF(O1962&lt;J1962,O1962,0),4)</f>
        <v>0</v>
      </c>
      <c r="Q1962" s="67">
        <f>ROUND(IF(J1962&gt;O1962,0,J1962),4)</f>
        <v>0</v>
      </c>
      <c r="R1962" s="67">
        <f>ROUND(+P1962*D1962,4)</f>
        <v>0</v>
      </c>
      <c r="S1962" s="67">
        <f>ROUND(IF(K1962=0,0,M1962*D1962),4)</f>
        <v>0</v>
      </c>
      <c r="T1962" s="67">
        <f>ROUND(+IF(K1962=0,Q1962*D1962,0),4)</f>
        <v>0</v>
      </c>
      <c r="U1962" s="67">
        <f>ROUND(+N1962+R1962+S1962+T1962,4)</f>
        <v>0</v>
      </c>
      <c r="V1962" s="67">
        <f>ROUND(IF(P1962=0,0,I1962-H1962-O1962)+IF(L1962=0,0,I1962-H1962-K1962),4)</f>
        <v>0</v>
      </c>
      <c r="W1962" s="67">
        <f>ROUND(+(V1962*60%)*D1962,4)</f>
        <v>0</v>
      </c>
      <c r="X1962" s="148">
        <f>ROUND(+U1962+W1962,4)</f>
        <v>0</v>
      </c>
      <c r="Y1962" s="68"/>
      <c r="Z1962" s="148">
        <f>ROUND(IF(X1962&gt;I1962,X1962,I1962),4)</f>
        <v>0</v>
      </c>
      <c r="AD1962" s="78">
        <f t="shared" si="38"/>
        <v>0</v>
      </c>
      <c r="AE1962" s="78">
        <f t="shared" si="39"/>
        <v>0</v>
      </c>
    </row>
    <row r="1963" spans="1:31" x14ac:dyDescent="0.2">
      <c r="A1963" s="66"/>
      <c r="B1963" s="66"/>
      <c r="C1963" s="66"/>
      <c r="D1963" s="144"/>
      <c r="E1963" s="67"/>
      <c r="F1963" s="67"/>
      <c r="G1963" s="67"/>
      <c r="H1963" s="67">
        <f>ROUND(+E1963+G1963,4)</f>
        <v>0</v>
      </c>
      <c r="I1963" s="67"/>
      <c r="J1963" s="67">
        <f>ROUND(+I1963-H1963,4)</f>
        <v>0</v>
      </c>
      <c r="K1963" s="67">
        <f>ROUND(IF(F1963="alluminio",0,I1963*1.5%),4)</f>
        <v>0</v>
      </c>
      <c r="L1963" s="67">
        <f>ROUND(IF(K1963&lt;J1963,K1963,0),4)</f>
        <v>0</v>
      </c>
      <c r="M1963" s="67">
        <f>ROUND(IF(J1963&gt;K1963,0,J1963),4)</f>
        <v>0</v>
      </c>
      <c r="N1963" s="67">
        <f>ROUND(+L1963*D1963,4)</f>
        <v>0</v>
      </c>
      <c r="O1963" s="67">
        <f>ROUND(IF(F1963="rame",0,+I1963*3%),4)</f>
        <v>0</v>
      </c>
      <c r="P1963" s="67">
        <f>ROUND(IF(O1963&lt;J1963,O1963,0),4)</f>
        <v>0</v>
      </c>
      <c r="Q1963" s="67">
        <f>ROUND(IF(J1963&gt;O1963,0,J1963),4)</f>
        <v>0</v>
      </c>
      <c r="R1963" s="67">
        <f>ROUND(+P1963*D1963,4)</f>
        <v>0</v>
      </c>
      <c r="S1963" s="67">
        <f>ROUND(IF(K1963=0,0,M1963*D1963),4)</f>
        <v>0</v>
      </c>
      <c r="T1963" s="67">
        <f>ROUND(+IF(K1963=0,Q1963*D1963,0),4)</f>
        <v>0</v>
      </c>
      <c r="U1963" s="67">
        <f>ROUND(+N1963+R1963+S1963+T1963,4)</f>
        <v>0</v>
      </c>
      <c r="V1963" s="67">
        <f>ROUND(IF(P1963=0,0,I1963-H1963-O1963)+IF(L1963=0,0,I1963-H1963-K1963),4)</f>
        <v>0</v>
      </c>
      <c r="W1963" s="67">
        <f>ROUND(+(V1963*60%)*D1963,4)</f>
        <v>0</v>
      </c>
      <c r="X1963" s="148">
        <f>ROUND(+U1963+W1963,4)</f>
        <v>0</v>
      </c>
      <c r="Y1963" s="68"/>
      <c r="Z1963" s="148">
        <f>ROUND(IF(X1963&gt;I1963,X1963,I1963),4)</f>
        <v>0</v>
      </c>
      <c r="AD1963" s="78">
        <f t="shared" si="38"/>
        <v>0</v>
      </c>
      <c r="AE1963" s="78">
        <f t="shared" si="39"/>
        <v>0</v>
      </c>
    </row>
    <row r="1964" spans="1:31" x14ac:dyDescent="0.2">
      <c r="A1964" s="66"/>
      <c r="B1964" s="66"/>
      <c r="C1964" s="66"/>
      <c r="D1964" s="144"/>
      <c r="E1964" s="67"/>
      <c r="F1964" s="67"/>
      <c r="G1964" s="67"/>
      <c r="H1964" s="67">
        <f>ROUND(+E1964+G1964,4)</f>
        <v>0</v>
      </c>
      <c r="I1964" s="67"/>
      <c r="J1964" s="67">
        <f>ROUND(+I1964-H1964,4)</f>
        <v>0</v>
      </c>
      <c r="K1964" s="67">
        <f>ROUND(IF(F1964="alluminio",0,I1964*1.5%),4)</f>
        <v>0</v>
      </c>
      <c r="L1964" s="67">
        <f>ROUND(IF(K1964&lt;J1964,K1964,0),4)</f>
        <v>0</v>
      </c>
      <c r="M1964" s="67">
        <f>ROUND(IF(J1964&gt;K1964,0,J1964),4)</f>
        <v>0</v>
      </c>
      <c r="N1964" s="67">
        <f>ROUND(+L1964*D1964,4)</f>
        <v>0</v>
      </c>
      <c r="O1964" s="67">
        <f>ROUND(IF(F1964="rame",0,+I1964*3%),4)</f>
        <v>0</v>
      </c>
      <c r="P1964" s="67">
        <f>ROUND(IF(O1964&lt;J1964,O1964,0),4)</f>
        <v>0</v>
      </c>
      <c r="Q1964" s="67">
        <f>ROUND(IF(J1964&gt;O1964,0,J1964),4)</f>
        <v>0</v>
      </c>
      <c r="R1964" s="67">
        <f>ROUND(+P1964*D1964,4)</f>
        <v>0</v>
      </c>
      <c r="S1964" s="67">
        <f>ROUND(IF(K1964=0,0,M1964*D1964),4)</f>
        <v>0</v>
      </c>
      <c r="T1964" s="67">
        <f>ROUND(+IF(K1964=0,Q1964*D1964,0),4)</f>
        <v>0</v>
      </c>
      <c r="U1964" s="67">
        <f>ROUND(+N1964+R1964+S1964+T1964,4)</f>
        <v>0</v>
      </c>
      <c r="V1964" s="67">
        <f>ROUND(IF(P1964=0,0,I1964-H1964-O1964)+IF(L1964=0,0,I1964-H1964-K1964),4)</f>
        <v>0</v>
      </c>
      <c r="W1964" s="67">
        <f>ROUND(+(V1964*60%)*D1964,4)</f>
        <v>0</v>
      </c>
      <c r="X1964" s="148">
        <f>ROUND(+U1964+W1964,4)</f>
        <v>0</v>
      </c>
      <c r="Y1964" s="68"/>
      <c r="Z1964" s="148">
        <f>ROUND(IF(X1964&gt;I1964,X1964,I1964),4)</f>
        <v>0</v>
      </c>
      <c r="AD1964" s="78">
        <f t="shared" si="38"/>
        <v>0</v>
      </c>
      <c r="AE1964" s="78">
        <f t="shared" si="39"/>
        <v>0</v>
      </c>
    </row>
    <row r="1965" spans="1:31" x14ac:dyDescent="0.2">
      <c r="A1965" s="66"/>
      <c r="B1965" s="66"/>
      <c r="C1965" s="66"/>
      <c r="D1965" s="144"/>
      <c r="E1965" s="67"/>
      <c r="F1965" s="67"/>
      <c r="G1965" s="67"/>
      <c r="H1965" s="67">
        <f>ROUND(+E1965+G1965,4)</f>
        <v>0</v>
      </c>
      <c r="I1965" s="67"/>
      <c r="J1965" s="67">
        <f>ROUND(+I1965-H1965,4)</f>
        <v>0</v>
      </c>
      <c r="K1965" s="67">
        <f>ROUND(IF(F1965="alluminio",0,I1965*1.5%),4)</f>
        <v>0</v>
      </c>
      <c r="L1965" s="67">
        <f>ROUND(IF(K1965&lt;J1965,K1965,0),4)</f>
        <v>0</v>
      </c>
      <c r="M1965" s="67">
        <f>ROUND(IF(J1965&gt;K1965,0,J1965),4)</f>
        <v>0</v>
      </c>
      <c r="N1965" s="67">
        <f>ROUND(+L1965*D1965,4)</f>
        <v>0</v>
      </c>
      <c r="O1965" s="67">
        <f>ROUND(IF(F1965="rame",0,+I1965*3%),4)</f>
        <v>0</v>
      </c>
      <c r="P1965" s="67">
        <f>ROUND(IF(O1965&lt;J1965,O1965,0),4)</f>
        <v>0</v>
      </c>
      <c r="Q1965" s="67">
        <f>ROUND(IF(J1965&gt;O1965,0,J1965),4)</f>
        <v>0</v>
      </c>
      <c r="R1965" s="67">
        <f>ROUND(+P1965*D1965,4)</f>
        <v>0</v>
      </c>
      <c r="S1965" s="67">
        <f>ROUND(IF(K1965=0,0,M1965*D1965),4)</f>
        <v>0</v>
      </c>
      <c r="T1965" s="67">
        <f>ROUND(+IF(K1965=0,Q1965*D1965,0),4)</f>
        <v>0</v>
      </c>
      <c r="U1965" s="67">
        <f>ROUND(+N1965+R1965+S1965+T1965,4)</f>
        <v>0</v>
      </c>
      <c r="V1965" s="67">
        <f>ROUND(IF(P1965=0,0,I1965-H1965-O1965)+IF(L1965=0,0,I1965-H1965-K1965),4)</f>
        <v>0</v>
      </c>
      <c r="W1965" s="67">
        <f>ROUND(+(V1965*60%)*D1965,4)</f>
        <v>0</v>
      </c>
      <c r="X1965" s="148">
        <f>ROUND(+U1965+W1965,4)</f>
        <v>0</v>
      </c>
      <c r="Y1965" s="68"/>
      <c r="Z1965" s="148">
        <f>ROUND(IF(X1965&gt;I1965,X1965,I1965),4)</f>
        <v>0</v>
      </c>
      <c r="AD1965" s="78">
        <f t="shared" si="38"/>
        <v>0</v>
      </c>
      <c r="AE1965" s="78">
        <f t="shared" si="39"/>
        <v>0</v>
      </c>
    </row>
    <row r="1966" spans="1:31" x14ac:dyDescent="0.2">
      <c r="A1966" s="66"/>
      <c r="B1966" s="66"/>
      <c r="C1966" s="66"/>
      <c r="D1966" s="144"/>
      <c r="E1966" s="67"/>
      <c r="F1966" s="67"/>
      <c r="G1966" s="67"/>
      <c r="H1966" s="67">
        <f>ROUND(+E1966+G1966,4)</f>
        <v>0</v>
      </c>
      <c r="I1966" s="67"/>
      <c r="J1966" s="67">
        <f>ROUND(+I1966-H1966,4)</f>
        <v>0</v>
      </c>
      <c r="K1966" s="67">
        <f>ROUND(IF(F1966="alluminio",0,I1966*1.5%),4)</f>
        <v>0</v>
      </c>
      <c r="L1966" s="67">
        <f>ROUND(IF(K1966&lt;J1966,K1966,0),4)</f>
        <v>0</v>
      </c>
      <c r="M1966" s="67">
        <f>ROUND(IF(J1966&gt;K1966,0,J1966),4)</f>
        <v>0</v>
      </c>
      <c r="N1966" s="67">
        <f>ROUND(+L1966*D1966,4)</f>
        <v>0</v>
      </c>
      <c r="O1966" s="67">
        <f>ROUND(IF(F1966="rame",0,+I1966*3%),4)</f>
        <v>0</v>
      </c>
      <c r="P1966" s="67">
        <f>ROUND(IF(O1966&lt;J1966,O1966,0),4)</f>
        <v>0</v>
      </c>
      <c r="Q1966" s="67">
        <f>ROUND(IF(J1966&gt;O1966,0,J1966),4)</f>
        <v>0</v>
      </c>
      <c r="R1966" s="67">
        <f>ROUND(+P1966*D1966,4)</f>
        <v>0</v>
      </c>
      <c r="S1966" s="67">
        <f>ROUND(IF(K1966=0,0,M1966*D1966),4)</f>
        <v>0</v>
      </c>
      <c r="T1966" s="67">
        <f>ROUND(+IF(K1966=0,Q1966*D1966,0),4)</f>
        <v>0</v>
      </c>
      <c r="U1966" s="67">
        <f>ROUND(+N1966+R1966+S1966+T1966,4)</f>
        <v>0</v>
      </c>
      <c r="V1966" s="67">
        <f>ROUND(IF(P1966=0,0,I1966-H1966-O1966)+IF(L1966=0,0,I1966-H1966-K1966),4)</f>
        <v>0</v>
      </c>
      <c r="W1966" s="67">
        <f>ROUND(+(V1966*60%)*D1966,4)</f>
        <v>0</v>
      </c>
      <c r="X1966" s="148">
        <f>ROUND(+U1966+W1966,4)</f>
        <v>0</v>
      </c>
      <c r="Y1966" s="68"/>
      <c r="Z1966" s="148">
        <f>ROUND(IF(X1966&gt;I1966,X1966,I1966),4)</f>
        <v>0</v>
      </c>
      <c r="AD1966" s="78">
        <f t="shared" si="38"/>
        <v>0</v>
      </c>
      <c r="AE1966" s="78">
        <f t="shared" si="39"/>
        <v>0</v>
      </c>
    </row>
    <row r="1967" spans="1:31" x14ac:dyDescent="0.2">
      <c r="A1967" s="66"/>
      <c r="B1967" s="66"/>
      <c r="C1967" s="66"/>
      <c r="D1967" s="144"/>
      <c r="E1967" s="67"/>
      <c r="F1967" s="67"/>
      <c r="G1967" s="67"/>
      <c r="H1967" s="67">
        <f>ROUND(+E1967+G1967,4)</f>
        <v>0</v>
      </c>
      <c r="I1967" s="67"/>
      <c r="J1967" s="67">
        <f>ROUND(+I1967-H1967,4)</f>
        <v>0</v>
      </c>
      <c r="K1967" s="67">
        <f>ROUND(IF(F1967="alluminio",0,I1967*1.5%),4)</f>
        <v>0</v>
      </c>
      <c r="L1967" s="67">
        <f>ROUND(IF(K1967&lt;J1967,K1967,0),4)</f>
        <v>0</v>
      </c>
      <c r="M1967" s="67">
        <f>ROUND(IF(J1967&gt;K1967,0,J1967),4)</f>
        <v>0</v>
      </c>
      <c r="N1967" s="67">
        <f>ROUND(+L1967*D1967,4)</f>
        <v>0</v>
      </c>
      <c r="O1967" s="67">
        <f>ROUND(IF(F1967="rame",0,+I1967*3%),4)</f>
        <v>0</v>
      </c>
      <c r="P1967" s="67">
        <f>ROUND(IF(O1967&lt;J1967,O1967,0),4)</f>
        <v>0</v>
      </c>
      <c r="Q1967" s="67">
        <f>ROUND(IF(J1967&gt;O1967,0,J1967),4)</f>
        <v>0</v>
      </c>
      <c r="R1967" s="67">
        <f>ROUND(+P1967*D1967,4)</f>
        <v>0</v>
      </c>
      <c r="S1967" s="67">
        <f>ROUND(IF(K1967=0,0,M1967*D1967),4)</f>
        <v>0</v>
      </c>
      <c r="T1967" s="67">
        <f>ROUND(+IF(K1967=0,Q1967*D1967,0),4)</f>
        <v>0</v>
      </c>
      <c r="U1967" s="67">
        <f>ROUND(+N1967+R1967+S1967+T1967,4)</f>
        <v>0</v>
      </c>
      <c r="V1967" s="67">
        <f>ROUND(IF(P1967=0,0,I1967-H1967-O1967)+IF(L1967=0,0,I1967-H1967-K1967),4)</f>
        <v>0</v>
      </c>
      <c r="W1967" s="67">
        <f>ROUND(+(V1967*60%)*D1967,4)</f>
        <v>0</v>
      </c>
      <c r="X1967" s="148">
        <f>ROUND(+U1967+W1967,4)</f>
        <v>0</v>
      </c>
      <c r="Y1967" s="68"/>
      <c r="Z1967" s="148">
        <f>ROUND(IF(X1967&gt;I1967,X1967,I1967),4)</f>
        <v>0</v>
      </c>
      <c r="AD1967" s="78">
        <f t="shared" si="38"/>
        <v>0</v>
      </c>
      <c r="AE1967" s="78">
        <f t="shared" si="39"/>
        <v>0</v>
      </c>
    </row>
    <row r="1968" spans="1:31" x14ac:dyDescent="0.2">
      <c r="A1968" s="66"/>
      <c r="B1968" s="66"/>
      <c r="C1968" s="66"/>
      <c r="D1968" s="144"/>
      <c r="E1968" s="67"/>
      <c r="F1968" s="67"/>
      <c r="G1968" s="67"/>
      <c r="H1968" s="67">
        <f>ROUND(+E1968+G1968,4)</f>
        <v>0</v>
      </c>
      <c r="I1968" s="67"/>
      <c r="J1968" s="67">
        <f>ROUND(+I1968-H1968,4)</f>
        <v>0</v>
      </c>
      <c r="K1968" s="67">
        <f>ROUND(IF(F1968="alluminio",0,I1968*1.5%),4)</f>
        <v>0</v>
      </c>
      <c r="L1968" s="67">
        <f>ROUND(IF(K1968&lt;J1968,K1968,0),4)</f>
        <v>0</v>
      </c>
      <c r="M1968" s="67">
        <f>ROUND(IF(J1968&gt;K1968,0,J1968),4)</f>
        <v>0</v>
      </c>
      <c r="N1968" s="67">
        <f>ROUND(+L1968*D1968,4)</f>
        <v>0</v>
      </c>
      <c r="O1968" s="67">
        <f>ROUND(IF(F1968="rame",0,+I1968*3%),4)</f>
        <v>0</v>
      </c>
      <c r="P1968" s="67">
        <f>ROUND(IF(O1968&lt;J1968,O1968,0),4)</f>
        <v>0</v>
      </c>
      <c r="Q1968" s="67">
        <f>ROUND(IF(J1968&gt;O1968,0,J1968),4)</f>
        <v>0</v>
      </c>
      <c r="R1968" s="67">
        <f>ROUND(+P1968*D1968,4)</f>
        <v>0</v>
      </c>
      <c r="S1968" s="67">
        <f>ROUND(IF(K1968=0,0,M1968*D1968),4)</f>
        <v>0</v>
      </c>
      <c r="T1968" s="67">
        <f>ROUND(+IF(K1968=0,Q1968*D1968,0),4)</f>
        <v>0</v>
      </c>
      <c r="U1968" s="67">
        <f>ROUND(+N1968+R1968+S1968+T1968,4)</f>
        <v>0</v>
      </c>
      <c r="V1968" s="67">
        <f>ROUND(IF(P1968=0,0,I1968-H1968-O1968)+IF(L1968=0,0,I1968-H1968-K1968),4)</f>
        <v>0</v>
      </c>
      <c r="W1968" s="67">
        <f>ROUND(+(V1968*60%)*D1968,4)</f>
        <v>0</v>
      </c>
      <c r="X1968" s="148">
        <f>ROUND(+U1968+W1968,4)</f>
        <v>0</v>
      </c>
      <c r="Y1968" s="68"/>
      <c r="Z1968" s="148">
        <f>ROUND(IF(X1968&gt;I1968,X1968,I1968),4)</f>
        <v>0</v>
      </c>
      <c r="AD1968" s="78">
        <f t="shared" si="38"/>
        <v>0</v>
      </c>
      <c r="AE1968" s="78">
        <f t="shared" si="39"/>
        <v>0</v>
      </c>
    </row>
    <row r="1969" spans="1:31" x14ac:dyDescent="0.2">
      <c r="A1969" s="66"/>
      <c r="B1969" s="66"/>
      <c r="C1969" s="66"/>
      <c r="D1969" s="144"/>
      <c r="E1969" s="67"/>
      <c r="F1969" s="67"/>
      <c r="G1969" s="67"/>
      <c r="H1969" s="67">
        <f>ROUND(+E1969+G1969,4)</f>
        <v>0</v>
      </c>
      <c r="I1969" s="67"/>
      <c r="J1969" s="67">
        <f>ROUND(+I1969-H1969,4)</f>
        <v>0</v>
      </c>
      <c r="K1969" s="67">
        <f>ROUND(IF(F1969="alluminio",0,I1969*1.5%),4)</f>
        <v>0</v>
      </c>
      <c r="L1969" s="67">
        <f>ROUND(IF(K1969&lt;J1969,K1969,0),4)</f>
        <v>0</v>
      </c>
      <c r="M1969" s="67">
        <f>ROUND(IF(J1969&gt;K1969,0,J1969),4)</f>
        <v>0</v>
      </c>
      <c r="N1969" s="67">
        <f>ROUND(+L1969*D1969,4)</f>
        <v>0</v>
      </c>
      <c r="O1969" s="67">
        <f>ROUND(IF(F1969="rame",0,+I1969*3%),4)</f>
        <v>0</v>
      </c>
      <c r="P1969" s="67">
        <f>ROUND(IF(O1969&lt;J1969,O1969,0),4)</f>
        <v>0</v>
      </c>
      <c r="Q1969" s="67">
        <f>ROUND(IF(J1969&gt;O1969,0,J1969),4)</f>
        <v>0</v>
      </c>
      <c r="R1969" s="67">
        <f>ROUND(+P1969*D1969,4)</f>
        <v>0</v>
      </c>
      <c r="S1969" s="67">
        <f>ROUND(IF(K1969=0,0,M1969*D1969),4)</f>
        <v>0</v>
      </c>
      <c r="T1969" s="67">
        <f>ROUND(+IF(K1969=0,Q1969*D1969,0),4)</f>
        <v>0</v>
      </c>
      <c r="U1969" s="67">
        <f>ROUND(+N1969+R1969+S1969+T1969,4)</f>
        <v>0</v>
      </c>
      <c r="V1969" s="67">
        <f>ROUND(IF(P1969=0,0,I1969-H1969-O1969)+IF(L1969=0,0,I1969-H1969-K1969),4)</f>
        <v>0</v>
      </c>
      <c r="W1969" s="67">
        <f>ROUND(+(V1969*60%)*D1969,4)</f>
        <v>0</v>
      </c>
      <c r="X1969" s="148">
        <f>ROUND(+U1969+W1969,4)</f>
        <v>0</v>
      </c>
      <c r="Y1969" s="68"/>
      <c r="Z1969" s="148">
        <f>ROUND(IF(X1969&gt;I1969,X1969,I1969),4)</f>
        <v>0</v>
      </c>
      <c r="AD1969" s="78">
        <f t="shared" si="38"/>
        <v>0</v>
      </c>
      <c r="AE1969" s="78">
        <f t="shared" si="39"/>
        <v>0</v>
      </c>
    </row>
    <row r="1970" spans="1:31" x14ac:dyDescent="0.2">
      <c r="A1970" s="66"/>
      <c r="B1970" s="66"/>
      <c r="C1970" s="66"/>
      <c r="D1970" s="144"/>
      <c r="E1970" s="67"/>
      <c r="F1970" s="67"/>
      <c r="G1970" s="67"/>
      <c r="H1970" s="67">
        <f>ROUND(+E1970+G1970,4)</f>
        <v>0</v>
      </c>
      <c r="I1970" s="67"/>
      <c r="J1970" s="67">
        <f>ROUND(+I1970-H1970,4)</f>
        <v>0</v>
      </c>
      <c r="K1970" s="67">
        <f>ROUND(IF(F1970="alluminio",0,I1970*1.5%),4)</f>
        <v>0</v>
      </c>
      <c r="L1970" s="67">
        <f>ROUND(IF(K1970&lt;J1970,K1970,0),4)</f>
        <v>0</v>
      </c>
      <c r="M1970" s="67">
        <f>ROUND(IF(J1970&gt;K1970,0,J1970),4)</f>
        <v>0</v>
      </c>
      <c r="N1970" s="67">
        <f>ROUND(+L1970*D1970,4)</f>
        <v>0</v>
      </c>
      <c r="O1970" s="67">
        <f>ROUND(IF(F1970="rame",0,+I1970*3%),4)</f>
        <v>0</v>
      </c>
      <c r="P1970" s="67">
        <f>ROUND(IF(O1970&lt;J1970,O1970,0),4)</f>
        <v>0</v>
      </c>
      <c r="Q1970" s="67">
        <f>ROUND(IF(J1970&gt;O1970,0,J1970),4)</f>
        <v>0</v>
      </c>
      <c r="R1970" s="67">
        <f>ROUND(+P1970*D1970,4)</f>
        <v>0</v>
      </c>
      <c r="S1970" s="67">
        <f>ROUND(IF(K1970=0,0,M1970*D1970),4)</f>
        <v>0</v>
      </c>
      <c r="T1970" s="67">
        <f>ROUND(+IF(K1970=0,Q1970*D1970,0),4)</f>
        <v>0</v>
      </c>
      <c r="U1970" s="67">
        <f>ROUND(+N1970+R1970+S1970+T1970,4)</f>
        <v>0</v>
      </c>
      <c r="V1970" s="67">
        <f>ROUND(IF(P1970=0,0,I1970-H1970-O1970)+IF(L1970=0,0,I1970-H1970-K1970),4)</f>
        <v>0</v>
      </c>
      <c r="W1970" s="67">
        <f>ROUND(+(V1970*60%)*D1970,4)</f>
        <v>0</v>
      </c>
      <c r="X1970" s="148">
        <f>ROUND(+U1970+W1970,4)</f>
        <v>0</v>
      </c>
      <c r="Y1970" s="68"/>
      <c r="Z1970" s="148">
        <f>ROUND(IF(X1970&gt;I1970,X1970,I1970),4)</f>
        <v>0</v>
      </c>
      <c r="AD1970" s="78">
        <f t="shared" si="38"/>
        <v>0</v>
      </c>
      <c r="AE1970" s="78">
        <f t="shared" si="39"/>
        <v>0</v>
      </c>
    </row>
    <row r="1971" spans="1:31" x14ac:dyDescent="0.2">
      <c r="A1971" s="66"/>
      <c r="B1971" s="66"/>
      <c r="C1971" s="66"/>
      <c r="D1971" s="144"/>
      <c r="E1971" s="67"/>
      <c r="F1971" s="67"/>
      <c r="G1971" s="67"/>
      <c r="H1971" s="67">
        <f>ROUND(+E1971+G1971,4)</f>
        <v>0</v>
      </c>
      <c r="I1971" s="67"/>
      <c r="J1971" s="67">
        <f>ROUND(+I1971-H1971,4)</f>
        <v>0</v>
      </c>
      <c r="K1971" s="67">
        <f>ROUND(IF(F1971="alluminio",0,I1971*1.5%),4)</f>
        <v>0</v>
      </c>
      <c r="L1971" s="67">
        <f>ROUND(IF(K1971&lt;J1971,K1971,0),4)</f>
        <v>0</v>
      </c>
      <c r="M1971" s="67">
        <f>ROUND(IF(J1971&gt;K1971,0,J1971),4)</f>
        <v>0</v>
      </c>
      <c r="N1971" s="67">
        <f>ROUND(+L1971*D1971,4)</f>
        <v>0</v>
      </c>
      <c r="O1971" s="67">
        <f>ROUND(IF(F1971="rame",0,+I1971*3%),4)</f>
        <v>0</v>
      </c>
      <c r="P1971" s="67">
        <f>ROUND(IF(O1971&lt;J1971,O1971,0),4)</f>
        <v>0</v>
      </c>
      <c r="Q1971" s="67">
        <f>ROUND(IF(J1971&gt;O1971,0,J1971),4)</f>
        <v>0</v>
      </c>
      <c r="R1971" s="67">
        <f>ROUND(+P1971*D1971,4)</f>
        <v>0</v>
      </c>
      <c r="S1971" s="67">
        <f>ROUND(IF(K1971=0,0,M1971*D1971),4)</f>
        <v>0</v>
      </c>
      <c r="T1971" s="67">
        <f>ROUND(+IF(K1971=0,Q1971*D1971,0),4)</f>
        <v>0</v>
      </c>
      <c r="U1971" s="67">
        <f>ROUND(+N1971+R1971+S1971+T1971,4)</f>
        <v>0</v>
      </c>
      <c r="V1971" s="67">
        <f>ROUND(IF(P1971=0,0,I1971-H1971-O1971)+IF(L1971=0,0,I1971-H1971-K1971),4)</f>
        <v>0</v>
      </c>
      <c r="W1971" s="67">
        <f>ROUND(+(V1971*60%)*D1971,4)</f>
        <v>0</v>
      </c>
      <c r="X1971" s="148">
        <f>ROUND(+U1971+W1971,4)</f>
        <v>0</v>
      </c>
      <c r="Y1971" s="68"/>
      <c r="Z1971" s="148">
        <f>ROUND(IF(X1971&gt;I1971,X1971,I1971),4)</f>
        <v>0</v>
      </c>
      <c r="AD1971" s="78">
        <f t="shared" si="38"/>
        <v>0</v>
      </c>
      <c r="AE1971" s="78">
        <f t="shared" si="39"/>
        <v>0</v>
      </c>
    </row>
    <row r="1972" spans="1:31" x14ac:dyDescent="0.2">
      <c r="A1972" s="66"/>
      <c r="B1972" s="66"/>
      <c r="C1972" s="66"/>
      <c r="D1972" s="144"/>
      <c r="E1972" s="67"/>
      <c r="F1972" s="67"/>
      <c r="G1972" s="67"/>
      <c r="H1972" s="67">
        <f>ROUND(+E1972+G1972,4)</f>
        <v>0</v>
      </c>
      <c r="I1972" s="67"/>
      <c r="J1972" s="67">
        <f>ROUND(+I1972-H1972,4)</f>
        <v>0</v>
      </c>
      <c r="K1972" s="67">
        <f>ROUND(IF(F1972="alluminio",0,I1972*1.5%),4)</f>
        <v>0</v>
      </c>
      <c r="L1972" s="67">
        <f>ROUND(IF(K1972&lt;J1972,K1972,0),4)</f>
        <v>0</v>
      </c>
      <c r="M1972" s="67">
        <f>ROUND(IF(J1972&gt;K1972,0,J1972),4)</f>
        <v>0</v>
      </c>
      <c r="N1972" s="67">
        <f>ROUND(+L1972*D1972,4)</f>
        <v>0</v>
      </c>
      <c r="O1972" s="67">
        <f>ROUND(IF(F1972="rame",0,+I1972*3%),4)</f>
        <v>0</v>
      </c>
      <c r="P1972" s="67">
        <f>ROUND(IF(O1972&lt;J1972,O1972,0),4)</f>
        <v>0</v>
      </c>
      <c r="Q1972" s="67">
        <f>ROUND(IF(J1972&gt;O1972,0,J1972),4)</f>
        <v>0</v>
      </c>
      <c r="R1972" s="67">
        <f>ROUND(+P1972*D1972,4)</f>
        <v>0</v>
      </c>
      <c r="S1972" s="67">
        <f>ROUND(IF(K1972=0,0,M1972*D1972),4)</f>
        <v>0</v>
      </c>
      <c r="T1972" s="67">
        <f>ROUND(+IF(K1972=0,Q1972*D1972,0),4)</f>
        <v>0</v>
      </c>
      <c r="U1972" s="67">
        <f>ROUND(+N1972+R1972+S1972+T1972,4)</f>
        <v>0</v>
      </c>
      <c r="V1972" s="67">
        <f>ROUND(IF(P1972=0,0,I1972-H1972-O1972)+IF(L1972=0,0,I1972-H1972-K1972),4)</f>
        <v>0</v>
      </c>
      <c r="W1972" s="67">
        <f>ROUND(+(V1972*60%)*D1972,4)</f>
        <v>0</v>
      </c>
      <c r="X1972" s="148">
        <f>ROUND(+U1972+W1972,4)</f>
        <v>0</v>
      </c>
      <c r="Y1972" s="68"/>
      <c r="Z1972" s="148">
        <f>ROUND(IF(X1972&gt;I1972,X1972,I1972),4)</f>
        <v>0</v>
      </c>
      <c r="AD1972" s="78">
        <f t="shared" si="38"/>
        <v>0</v>
      </c>
      <c r="AE1972" s="78">
        <f t="shared" si="39"/>
        <v>0</v>
      </c>
    </row>
    <row r="1973" spans="1:31" x14ac:dyDescent="0.2">
      <c r="A1973" s="66"/>
      <c r="B1973" s="66"/>
      <c r="C1973" s="66"/>
      <c r="D1973" s="144"/>
      <c r="E1973" s="67"/>
      <c r="F1973" s="67"/>
      <c r="G1973" s="67"/>
      <c r="H1973" s="67">
        <f>ROUND(+E1973+G1973,4)</f>
        <v>0</v>
      </c>
      <c r="I1973" s="67"/>
      <c r="J1973" s="67">
        <f>ROUND(+I1973-H1973,4)</f>
        <v>0</v>
      </c>
      <c r="K1973" s="67">
        <f>ROUND(IF(F1973="alluminio",0,I1973*1.5%),4)</f>
        <v>0</v>
      </c>
      <c r="L1973" s="67">
        <f>ROUND(IF(K1973&lt;J1973,K1973,0),4)</f>
        <v>0</v>
      </c>
      <c r="M1973" s="67">
        <f>ROUND(IF(J1973&gt;K1973,0,J1973),4)</f>
        <v>0</v>
      </c>
      <c r="N1973" s="67">
        <f>ROUND(+L1973*D1973,4)</f>
        <v>0</v>
      </c>
      <c r="O1973" s="67">
        <f>ROUND(IF(F1973="rame",0,+I1973*3%),4)</f>
        <v>0</v>
      </c>
      <c r="P1973" s="67">
        <f>ROUND(IF(O1973&lt;J1973,O1973,0),4)</f>
        <v>0</v>
      </c>
      <c r="Q1973" s="67">
        <f>ROUND(IF(J1973&gt;O1973,0,J1973),4)</f>
        <v>0</v>
      </c>
      <c r="R1973" s="67">
        <f>ROUND(+P1973*D1973,4)</f>
        <v>0</v>
      </c>
      <c r="S1973" s="67">
        <f>ROUND(IF(K1973=0,0,M1973*D1973),4)</f>
        <v>0</v>
      </c>
      <c r="T1973" s="67">
        <f>ROUND(+IF(K1973=0,Q1973*D1973,0),4)</f>
        <v>0</v>
      </c>
      <c r="U1973" s="67">
        <f>ROUND(+N1973+R1973+S1973+T1973,4)</f>
        <v>0</v>
      </c>
      <c r="V1973" s="67">
        <f>ROUND(IF(P1973=0,0,I1973-H1973-O1973)+IF(L1973=0,0,I1973-H1973-K1973),4)</f>
        <v>0</v>
      </c>
      <c r="W1973" s="67">
        <f>ROUND(+(V1973*60%)*D1973,4)</f>
        <v>0</v>
      </c>
      <c r="X1973" s="148">
        <f>ROUND(+U1973+W1973,4)</f>
        <v>0</v>
      </c>
      <c r="Y1973" s="68"/>
      <c r="Z1973" s="148">
        <f>ROUND(IF(X1973&gt;I1973,X1973,I1973),4)</f>
        <v>0</v>
      </c>
      <c r="AD1973" s="78">
        <f t="shared" si="38"/>
        <v>0</v>
      </c>
      <c r="AE1973" s="78">
        <f t="shared" si="39"/>
        <v>0</v>
      </c>
    </row>
    <row r="1974" spans="1:31" x14ac:dyDescent="0.2">
      <c r="A1974" s="66"/>
      <c r="B1974" s="66"/>
      <c r="C1974" s="66"/>
      <c r="D1974" s="144"/>
      <c r="E1974" s="67"/>
      <c r="F1974" s="67"/>
      <c r="G1974" s="67"/>
      <c r="H1974" s="67">
        <f>ROUND(+E1974+G1974,4)</f>
        <v>0</v>
      </c>
      <c r="I1974" s="67"/>
      <c r="J1974" s="67">
        <f>ROUND(+I1974-H1974,4)</f>
        <v>0</v>
      </c>
      <c r="K1974" s="67">
        <f>ROUND(IF(F1974="alluminio",0,I1974*1.5%),4)</f>
        <v>0</v>
      </c>
      <c r="L1974" s="67">
        <f>ROUND(IF(K1974&lt;J1974,K1974,0),4)</f>
        <v>0</v>
      </c>
      <c r="M1974" s="67">
        <f>ROUND(IF(J1974&gt;K1974,0,J1974),4)</f>
        <v>0</v>
      </c>
      <c r="N1974" s="67">
        <f>ROUND(+L1974*D1974,4)</f>
        <v>0</v>
      </c>
      <c r="O1974" s="67">
        <f>ROUND(IF(F1974="rame",0,+I1974*3%),4)</f>
        <v>0</v>
      </c>
      <c r="P1974" s="67">
        <f>ROUND(IF(O1974&lt;J1974,O1974,0),4)</f>
        <v>0</v>
      </c>
      <c r="Q1974" s="67">
        <f>ROUND(IF(J1974&gt;O1974,0,J1974),4)</f>
        <v>0</v>
      </c>
      <c r="R1974" s="67">
        <f>ROUND(+P1974*D1974,4)</f>
        <v>0</v>
      </c>
      <c r="S1974" s="67">
        <f>ROUND(IF(K1974=0,0,M1974*D1974),4)</f>
        <v>0</v>
      </c>
      <c r="T1974" s="67">
        <f>ROUND(+IF(K1974=0,Q1974*D1974,0),4)</f>
        <v>0</v>
      </c>
      <c r="U1974" s="67">
        <f>ROUND(+N1974+R1974+S1974+T1974,4)</f>
        <v>0</v>
      </c>
      <c r="V1974" s="67">
        <f>ROUND(IF(P1974=0,0,I1974-H1974-O1974)+IF(L1974=0,0,I1974-H1974-K1974),4)</f>
        <v>0</v>
      </c>
      <c r="W1974" s="67">
        <f>ROUND(+(V1974*60%)*D1974,4)</f>
        <v>0</v>
      </c>
      <c r="X1974" s="148">
        <f>ROUND(+U1974+W1974,4)</f>
        <v>0</v>
      </c>
      <c r="Y1974" s="68"/>
      <c r="Z1974" s="148">
        <f>ROUND(IF(X1974&gt;I1974,X1974,I1974),4)</f>
        <v>0</v>
      </c>
      <c r="AD1974" s="78">
        <f t="shared" si="38"/>
        <v>0</v>
      </c>
      <c r="AE1974" s="78">
        <f t="shared" si="39"/>
        <v>0</v>
      </c>
    </row>
    <row r="1975" spans="1:31" x14ac:dyDescent="0.2">
      <c r="A1975" s="66"/>
      <c r="B1975" s="66"/>
      <c r="C1975" s="66"/>
      <c r="D1975" s="144"/>
      <c r="E1975" s="67"/>
      <c r="F1975" s="67"/>
      <c r="G1975" s="67"/>
      <c r="H1975" s="67">
        <f>ROUND(+E1975+G1975,4)</f>
        <v>0</v>
      </c>
      <c r="I1975" s="67"/>
      <c r="J1975" s="67">
        <f>ROUND(+I1975-H1975,4)</f>
        <v>0</v>
      </c>
      <c r="K1975" s="67">
        <f>ROUND(IF(F1975="alluminio",0,I1975*1.5%),4)</f>
        <v>0</v>
      </c>
      <c r="L1975" s="67">
        <f>ROUND(IF(K1975&lt;J1975,K1975,0),4)</f>
        <v>0</v>
      </c>
      <c r="M1975" s="67">
        <f>ROUND(IF(J1975&gt;K1975,0,J1975),4)</f>
        <v>0</v>
      </c>
      <c r="N1975" s="67">
        <f>ROUND(+L1975*D1975,4)</f>
        <v>0</v>
      </c>
      <c r="O1975" s="67">
        <f>ROUND(IF(F1975="rame",0,+I1975*3%),4)</f>
        <v>0</v>
      </c>
      <c r="P1975" s="67">
        <f>ROUND(IF(O1975&lt;J1975,O1975,0),4)</f>
        <v>0</v>
      </c>
      <c r="Q1975" s="67">
        <f>ROUND(IF(J1975&gt;O1975,0,J1975),4)</f>
        <v>0</v>
      </c>
      <c r="R1975" s="67">
        <f>ROUND(+P1975*D1975,4)</f>
        <v>0</v>
      </c>
      <c r="S1975" s="67">
        <f>ROUND(IF(K1975=0,0,M1975*D1975),4)</f>
        <v>0</v>
      </c>
      <c r="T1975" s="67">
        <f>ROUND(+IF(K1975=0,Q1975*D1975,0),4)</f>
        <v>0</v>
      </c>
      <c r="U1975" s="67">
        <f>ROUND(+N1975+R1975+S1975+T1975,4)</f>
        <v>0</v>
      </c>
      <c r="V1975" s="67">
        <f>ROUND(IF(P1975=0,0,I1975-H1975-O1975)+IF(L1975=0,0,I1975-H1975-K1975),4)</f>
        <v>0</v>
      </c>
      <c r="W1975" s="67">
        <f>ROUND(+(V1975*60%)*D1975,4)</f>
        <v>0</v>
      </c>
      <c r="X1975" s="148">
        <f>ROUND(+U1975+W1975,4)</f>
        <v>0</v>
      </c>
      <c r="Y1975" s="68"/>
      <c r="Z1975" s="148">
        <f>ROUND(IF(X1975&gt;I1975,X1975,I1975),4)</f>
        <v>0</v>
      </c>
      <c r="AD1975" s="78">
        <f t="shared" si="38"/>
        <v>0</v>
      </c>
      <c r="AE1975" s="78">
        <f t="shared" si="39"/>
        <v>0</v>
      </c>
    </row>
    <row r="1976" spans="1:31" x14ac:dyDescent="0.2">
      <c r="A1976" s="66"/>
      <c r="B1976" s="66"/>
      <c r="C1976" s="66"/>
      <c r="D1976" s="144"/>
      <c r="E1976" s="67"/>
      <c r="F1976" s="67"/>
      <c r="G1976" s="67"/>
      <c r="H1976" s="67">
        <f>ROUND(+E1976+G1976,4)</f>
        <v>0</v>
      </c>
      <c r="I1976" s="67"/>
      <c r="J1976" s="67">
        <f>ROUND(+I1976-H1976,4)</f>
        <v>0</v>
      </c>
      <c r="K1976" s="67">
        <f>ROUND(IF(F1976="alluminio",0,I1976*1.5%),4)</f>
        <v>0</v>
      </c>
      <c r="L1976" s="67">
        <f>ROUND(IF(K1976&lt;J1976,K1976,0),4)</f>
        <v>0</v>
      </c>
      <c r="M1976" s="67">
        <f>ROUND(IF(J1976&gt;K1976,0,J1976),4)</f>
        <v>0</v>
      </c>
      <c r="N1976" s="67">
        <f>ROUND(+L1976*D1976,4)</f>
        <v>0</v>
      </c>
      <c r="O1976" s="67">
        <f>ROUND(IF(F1976="rame",0,+I1976*3%),4)</f>
        <v>0</v>
      </c>
      <c r="P1976" s="67">
        <f>ROUND(IF(O1976&lt;J1976,O1976,0),4)</f>
        <v>0</v>
      </c>
      <c r="Q1976" s="67">
        <f>ROUND(IF(J1976&gt;O1976,0,J1976),4)</f>
        <v>0</v>
      </c>
      <c r="R1976" s="67">
        <f>ROUND(+P1976*D1976,4)</f>
        <v>0</v>
      </c>
      <c r="S1976" s="67">
        <f>ROUND(IF(K1976=0,0,M1976*D1976),4)</f>
        <v>0</v>
      </c>
      <c r="T1976" s="67">
        <f>ROUND(+IF(K1976=0,Q1976*D1976,0),4)</f>
        <v>0</v>
      </c>
      <c r="U1976" s="67">
        <f>ROUND(+N1976+R1976+S1976+T1976,4)</f>
        <v>0</v>
      </c>
      <c r="V1976" s="67">
        <f>ROUND(IF(P1976=0,0,I1976-H1976-O1976)+IF(L1976=0,0,I1976-H1976-K1976),4)</f>
        <v>0</v>
      </c>
      <c r="W1976" s="67">
        <f>ROUND(+(V1976*60%)*D1976,4)</f>
        <v>0</v>
      </c>
      <c r="X1976" s="148">
        <f>ROUND(+U1976+W1976,4)</f>
        <v>0</v>
      </c>
      <c r="Y1976" s="68"/>
      <c r="Z1976" s="148">
        <f>ROUND(IF(X1976&gt;I1976,X1976,I1976),4)</f>
        <v>0</v>
      </c>
      <c r="AD1976" s="78">
        <f t="shared" si="38"/>
        <v>0</v>
      </c>
      <c r="AE1976" s="78">
        <f t="shared" si="39"/>
        <v>0</v>
      </c>
    </row>
    <row r="1977" spans="1:31" x14ac:dyDescent="0.2">
      <c r="A1977" s="66"/>
      <c r="B1977" s="66"/>
      <c r="C1977" s="66"/>
      <c r="D1977" s="144"/>
      <c r="E1977" s="67"/>
      <c r="F1977" s="67"/>
      <c r="G1977" s="67"/>
      <c r="H1977" s="67">
        <f>ROUND(+E1977+G1977,4)</f>
        <v>0</v>
      </c>
      <c r="I1977" s="67"/>
      <c r="J1977" s="67">
        <f>ROUND(+I1977-H1977,4)</f>
        <v>0</v>
      </c>
      <c r="K1977" s="67">
        <f>ROUND(IF(F1977="alluminio",0,I1977*1.5%),4)</f>
        <v>0</v>
      </c>
      <c r="L1977" s="67">
        <f>ROUND(IF(K1977&lt;J1977,K1977,0),4)</f>
        <v>0</v>
      </c>
      <c r="M1977" s="67">
        <f>ROUND(IF(J1977&gt;K1977,0,J1977),4)</f>
        <v>0</v>
      </c>
      <c r="N1977" s="67">
        <f>ROUND(+L1977*D1977,4)</f>
        <v>0</v>
      </c>
      <c r="O1977" s="67">
        <f>ROUND(IF(F1977="rame",0,+I1977*3%),4)</f>
        <v>0</v>
      </c>
      <c r="P1977" s="67">
        <f>ROUND(IF(O1977&lt;J1977,O1977,0),4)</f>
        <v>0</v>
      </c>
      <c r="Q1977" s="67">
        <f>ROUND(IF(J1977&gt;O1977,0,J1977),4)</f>
        <v>0</v>
      </c>
      <c r="R1977" s="67">
        <f>ROUND(+P1977*D1977,4)</f>
        <v>0</v>
      </c>
      <c r="S1977" s="67">
        <f>ROUND(IF(K1977=0,0,M1977*D1977),4)</f>
        <v>0</v>
      </c>
      <c r="T1977" s="67">
        <f>ROUND(+IF(K1977=0,Q1977*D1977,0),4)</f>
        <v>0</v>
      </c>
      <c r="U1977" s="67">
        <f>ROUND(+N1977+R1977+S1977+T1977,4)</f>
        <v>0</v>
      </c>
      <c r="V1977" s="67">
        <f>ROUND(IF(P1977=0,0,I1977-H1977-O1977)+IF(L1977=0,0,I1977-H1977-K1977),4)</f>
        <v>0</v>
      </c>
      <c r="W1977" s="67">
        <f>ROUND(+(V1977*60%)*D1977,4)</f>
        <v>0</v>
      </c>
      <c r="X1977" s="148">
        <f>ROUND(+U1977+W1977,4)</f>
        <v>0</v>
      </c>
      <c r="Y1977" s="68"/>
      <c r="Z1977" s="148">
        <f>ROUND(IF(X1977&gt;I1977,X1977,I1977),4)</f>
        <v>0</v>
      </c>
      <c r="AD1977" s="78">
        <f t="shared" si="38"/>
        <v>0</v>
      </c>
      <c r="AE1977" s="78">
        <f t="shared" si="39"/>
        <v>0</v>
      </c>
    </row>
    <row r="1978" spans="1:31" x14ac:dyDescent="0.2">
      <c r="A1978" s="66"/>
      <c r="B1978" s="66"/>
      <c r="C1978" s="66"/>
      <c r="D1978" s="144"/>
      <c r="E1978" s="67"/>
      <c r="F1978" s="67"/>
      <c r="G1978" s="67"/>
      <c r="H1978" s="67">
        <f>ROUND(+E1978+G1978,4)</f>
        <v>0</v>
      </c>
      <c r="I1978" s="67"/>
      <c r="J1978" s="67">
        <f>ROUND(+I1978-H1978,4)</f>
        <v>0</v>
      </c>
      <c r="K1978" s="67">
        <f>ROUND(IF(F1978="alluminio",0,I1978*1.5%),4)</f>
        <v>0</v>
      </c>
      <c r="L1978" s="67">
        <f>ROUND(IF(K1978&lt;J1978,K1978,0),4)</f>
        <v>0</v>
      </c>
      <c r="M1978" s="67">
        <f>ROUND(IF(J1978&gt;K1978,0,J1978),4)</f>
        <v>0</v>
      </c>
      <c r="N1978" s="67">
        <f>ROUND(+L1978*D1978,4)</f>
        <v>0</v>
      </c>
      <c r="O1978" s="67">
        <f>ROUND(IF(F1978="rame",0,+I1978*3%),4)</f>
        <v>0</v>
      </c>
      <c r="P1978" s="67">
        <f>ROUND(IF(O1978&lt;J1978,O1978,0),4)</f>
        <v>0</v>
      </c>
      <c r="Q1978" s="67">
        <f>ROUND(IF(J1978&gt;O1978,0,J1978),4)</f>
        <v>0</v>
      </c>
      <c r="R1978" s="67">
        <f>ROUND(+P1978*D1978,4)</f>
        <v>0</v>
      </c>
      <c r="S1978" s="67">
        <f>ROUND(IF(K1978=0,0,M1978*D1978),4)</f>
        <v>0</v>
      </c>
      <c r="T1978" s="67">
        <f>ROUND(+IF(K1978=0,Q1978*D1978,0),4)</f>
        <v>0</v>
      </c>
      <c r="U1978" s="67">
        <f>ROUND(+N1978+R1978+S1978+T1978,4)</f>
        <v>0</v>
      </c>
      <c r="V1978" s="67">
        <f>ROUND(IF(P1978=0,0,I1978-H1978-O1978)+IF(L1978=0,0,I1978-H1978-K1978),4)</f>
        <v>0</v>
      </c>
      <c r="W1978" s="67">
        <f>ROUND(+(V1978*60%)*D1978,4)</f>
        <v>0</v>
      </c>
      <c r="X1978" s="148">
        <f>ROUND(+U1978+W1978,4)</f>
        <v>0</v>
      </c>
      <c r="Y1978" s="68"/>
      <c r="Z1978" s="148">
        <f>ROUND(IF(X1978&gt;I1978,X1978,I1978),4)</f>
        <v>0</v>
      </c>
      <c r="AD1978" s="78">
        <f t="shared" si="38"/>
        <v>0</v>
      </c>
      <c r="AE1978" s="78">
        <f t="shared" si="39"/>
        <v>0</v>
      </c>
    </row>
    <row r="1979" spans="1:31" x14ac:dyDescent="0.2">
      <c r="A1979" s="66"/>
      <c r="B1979" s="66"/>
      <c r="C1979" s="66"/>
      <c r="D1979" s="144"/>
      <c r="E1979" s="67"/>
      <c r="F1979" s="67"/>
      <c r="G1979" s="67"/>
      <c r="H1979" s="67">
        <f>ROUND(+E1979+G1979,4)</f>
        <v>0</v>
      </c>
      <c r="I1979" s="67"/>
      <c r="J1979" s="67">
        <f>ROUND(+I1979-H1979,4)</f>
        <v>0</v>
      </c>
      <c r="K1979" s="67">
        <f>ROUND(IF(F1979="alluminio",0,I1979*1.5%),4)</f>
        <v>0</v>
      </c>
      <c r="L1979" s="67">
        <f>ROUND(IF(K1979&lt;J1979,K1979,0),4)</f>
        <v>0</v>
      </c>
      <c r="M1979" s="67">
        <f>ROUND(IF(J1979&gt;K1979,0,J1979),4)</f>
        <v>0</v>
      </c>
      <c r="N1979" s="67">
        <f>ROUND(+L1979*D1979,4)</f>
        <v>0</v>
      </c>
      <c r="O1979" s="67">
        <f>ROUND(IF(F1979="rame",0,+I1979*3%),4)</f>
        <v>0</v>
      </c>
      <c r="P1979" s="67">
        <f>ROUND(IF(O1979&lt;J1979,O1979,0),4)</f>
        <v>0</v>
      </c>
      <c r="Q1979" s="67">
        <f>ROUND(IF(J1979&gt;O1979,0,J1979),4)</f>
        <v>0</v>
      </c>
      <c r="R1979" s="67">
        <f>ROUND(+P1979*D1979,4)</f>
        <v>0</v>
      </c>
      <c r="S1979" s="67">
        <f>ROUND(IF(K1979=0,0,M1979*D1979),4)</f>
        <v>0</v>
      </c>
      <c r="T1979" s="67">
        <f>ROUND(+IF(K1979=0,Q1979*D1979,0),4)</f>
        <v>0</v>
      </c>
      <c r="U1979" s="67">
        <f>ROUND(+N1979+R1979+S1979+T1979,4)</f>
        <v>0</v>
      </c>
      <c r="V1979" s="67">
        <f>ROUND(IF(P1979=0,0,I1979-H1979-O1979)+IF(L1979=0,0,I1979-H1979-K1979),4)</f>
        <v>0</v>
      </c>
      <c r="W1979" s="67">
        <f>ROUND(+(V1979*60%)*D1979,4)</f>
        <v>0</v>
      </c>
      <c r="X1979" s="148">
        <f>ROUND(+U1979+W1979,4)</f>
        <v>0</v>
      </c>
      <c r="Y1979" s="68"/>
      <c r="Z1979" s="148">
        <f>ROUND(IF(X1979&gt;I1979,X1979,I1979),4)</f>
        <v>0</v>
      </c>
      <c r="AD1979" s="78">
        <f t="shared" si="38"/>
        <v>0</v>
      </c>
      <c r="AE1979" s="78">
        <f t="shared" si="39"/>
        <v>0</v>
      </c>
    </row>
    <row r="1980" spans="1:31" x14ac:dyDescent="0.2">
      <c r="A1980" s="66"/>
      <c r="B1980" s="66"/>
      <c r="C1980" s="66"/>
      <c r="D1980" s="144"/>
      <c r="E1980" s="67"/>
      <c r="F1980" s="67"/>
      <c r="G1980" s="67"/>
      <c r="H1980" s="67">
        <f>ROUND(+E1980+G1980,4)</f>
        <v>0</v>
      </c>
      <c r="I1980" s="67"/>
      <c r="J1980" s="67">
        <f>ROUND(+I1980-H1980,4)</f>
        <v>0</v>
      </c>
      <c r="K1980" s="67">
        <f>ROUND(IF(F1980="alluminio",0,I1980*1.5%),4)</f>
        <v>0</v>
      </c>
      <c r="L1980" s="67">
        <f>ROUND(IF(K1980&lt;J1980,K1980,0),4)</f>
        <v>0</v>
      </c>
      <c r="M1980" s="67">
        <f>ROUND(IF(J1980&gt;K1980,0,J1980),4)</f>
        <v>0</v>
      </c>
      <c r="N1980" s="67">
        <f>ROUND(+L1980*D1980,4)</f>
        <v>0</v>
      </c>
      <c r="O1980" s="67">
        <f>ROUND(IF(F1980="rame",0,+I1980*3%),4)</f>
        <v>0</v>
      </c>
      <c r="P1980" s="67">
        <f>ROUND(IF(O1980&lt;J1980,O1980,0),4)</f>
        <v>0</v>
      </c>
      <c r="Q1980" s="67">
        <f>ROUND(IF(J1980&gt;O1980,0,J1980),4)</f>
        <v>0</v>
      </c>
      <c r="R1980" s="67">
        <f>ROUND(+P1980*D1980,4)</f>
        <v>0</v>
      </c>
      <c r="S1980" s="67">
        <f>ROUND(IF(K1980=0,0,M1980*D1980),4)</f>
        <v>0</v>
      </c>
      <c r="T1980" s="67">
        <f>ROUND(+IF(K1980=0,Q1980*D1980,0),4)</f>
        <v>0</v>
      </c>
      <c r="U1980" s="67">
        <f>ROUND(+N1980+R1980+S1980+T1980,4)</f>
        <v>0</v>
      </c>
      <c r="V1980" s="67">
        <f>ROUND(IF(P1980=0,0,I1980-H1980-O1980)+IF(L1980=0,0,I1980-H1980-K1980),4)</f>
        <v>0</v>
      </c>
      <c r="W1980" s="67">
        <f>ROUND(+(V1980*60%)*D1980,4)</f>
        <v>0</v>
      </c>
      <c r="X1980" s="148">
        <f>ROUND(+U1980+W1980,4)</f>
        <v>0</v>
      </c>
      <c r="Y1980" s="68"/>
      <c r="Z1980" s="148">
        <f>ROUND(IF(X1980&gt;I1980,X1980,I1980),4)</f>
        <v>0</v>
      </c>
      <c r="AD1980" s="78">
        <f t="shared" si="38"/>
        <v>0</v>
      </c>
      <c r="AE1980" s="78">
        <f t="shared" si="39"/>
        <v>0</v>
      </c>
    </row>
    <row r="1981" spans="1:31" x14ac:dyDescent="0.2">
      <c r="A1981" s="66"/>
      <c r="B1981" s="66"/>
      <c r="C1981" s="66"/>
      <c r="D1981" s="144"/>
      <c r="E1981" s="67"/>
      <c r="F1981" s="67"/>
      <c r="G1981" s="67"/>
      <c r="H1981" s="67">
        <f>ROUND(+E1981+G1981,4)</f>
        <v>0</v>
      </c>
      <c r="I1981" s="67"/>
      <c r="J1981" s="67">
        <f>ROUND(+I1981-H1981,4)</f>
        <v>0</v>
      </c>
      <c r="K1981" s="67">
        <f>ROUND(IF(F1981="alluminio",0,I1981*1.5%),4)</f>
        <v>0</v>
      </c>
      <c r="L1981" s="67">
        <f>ROUND(IF(K1981&lt;J1981,K1981,0),4)</f>
        <v>0</v>
      </c>
      <c r="M1981" s="67">
        <f>ROUND(IF(J1981&gt;K1981,0,J1981),4)</f>
        <v>0</v>
      </c>
      <c r="N1981" s="67">
        <f>ROUND(+L1981*D1981,4)</f>
        <v>0</v>
      </c>
      <c r="O1981" s="67">
        <f>ROUND(IF(F1981="rame",0,+I1981*3%),4)</f>
        <v>0</v>
      </c>
      <c r="P1981" s="67">
        <f>ROUND(IF(O1981&lt;J1981,O1981,0),4)</f>
        <v>0</v>
      </c>
      <c r="Q1981" s="67">
        <f>ROUND(IF(J1981&gt;O1981,0,J1981),4)</f>
        <v>0</v>
      </c>
      <c r="R1981" s="67">
        <f>ROUND(+P1981*D1981,4)</f>
        <v>0</v>
      </c>
      <c r="S1981" s="67">
        <f>ROUND(IF(K1981=0,0,M1981*D1981),4)</f>
        <v>0</v>
      </c>
      <c r="T1981" s="67">
        <f>ROUND(+IF(K1981=0,Q1981*D1981,0),4)</f>
        <v>0</v>
      </c>
      <c r="U1981" s="67">
        <f>ROUND(+N1981+R1981+S1981+T1981,4)</f>
        <v>0</v>
      </c>
      <c r="V1981" s="67">
        <f>ROUND(IF(P1981=0,0,I1981-H1981-O1981)+IF(L1981=0,0,I1981-H1981-K1981),4)</f>
        <v>0</v>
      </c>
      <c r="W1981" s="67">
        <f>ROUND(+(V1981*60%)*D1981,4)</f>
        <v>0</v>
      </c>
      <c r="X1981" s="148">
        <f>ROUND(+U1981+W1981,4)</f>
        <v>0</v>
      </c>
      <c r="Y1981" s="68"/>
      <c r="Z1981" s="148">
        <f>ROUND(IF(X1981&gt;I1981,X1981,I1981),4)</f>
        <v>0</v>
      </c>
      <c r="AD1981" s="78">
        <f t="shared" si="38"/>
        <v>0</v>
      </c>
      <c r="AE1981" s="78">
        <f t="shared" si="39"/>
        <v>0</v>
      </c>
    </row>
    <row r="1982" spans="1:31" x14ac:dyDescent="0.2">
      <c r="A1982" s="66"/>
      <c r="B1982" s="66"/>
      <c r="C1982" s="66"/>
      <c r="D1982" s="144"/>
      <c r="E1982" s="67"/>
      <c r="F1982" s="67"/>
      <c r="G1982" s="67"/>
      <c r="H1982" s="67">
        <f>ROUND(+E1982+G1982,4)</f>
        <v>0</v>
      </c>
      <c r="I1982" s="67"/>
      <c r="J1982" s="67">
        <f>ROUND(+I1982-H1982,4)</f>
        <v>0</v>
      </c>
      <c r="K1982" s="67">
        <f>ROUND(IF(F1982="alluminio",0,I1982*1.5%),4)</f>
        <v>0</v>
      </c>
      <c r="L1982" s="67">
        <f>ROUND(IF(K1982&lt;J1982,K1982,0),4)</f>
        <v>0</v>
      </c>
      <c r="M1982" s="67">
        <f>ROUND(IF(J1982&gt;K1982,0,J1982),4)</f>
        <v>0</v>
      </c>
      <c r="N1982" s="67">
        <f>ROUND(+L1982*D1982,4)</f>
        <v>0</v>
      </c>
      <c r="O1982" s="67">
        <f>ROUND(IF(F1982="rame",0,+I1982*3%),4)</f>
        <v>0</v>
      </c>
      <c r="P1982" s="67">
        <f>ROUND(IF(O1982&lt;J1982,O1982,0),4)</f>
        <v>0</v>
      </c>
      <c r="Q1982" s="67">
        <f>ROUND(IF(J1982&gt;O1982,0,J1982),4)</f>
        <v>0</v>
      </c>
      <c r="R1982" s="67">
        <f>ROUND(+P1982*D1982,4)</f>
        <v>0</v>
      </c>
      <c r="S1982" s="67">
        <f>ROUND(IF(K1982=0,0,M1982*D1982),4)</f>
        <v>0</v>
      </c>
      <c r="T1982" s="67">
        <f>ROUND(+IF(K1982=0,Q1982*D1982,0),4)</f>
        <v>0</v>
      </c>
      <c r="U1982" s="67">
        <f>ROUND(+N1982+R1982+S1982+T1982,4)</f>
        <v>0</v>
      </c>
      <c r="V1982" s="67">
        <f>ROUND(IF(P1982=0,0,I1982-H1982-O1982)+IF(L1982=0,0,I1982-H1982-K1982),4)</f>
        <v>0</v>
      </c>
      <c r="W1982" s="67">
        <f>ROUND(+(V1982*60%)*D1982,4)</f>
        <v>0</v>
      </c>
      <c r="X1982" s="148">
        <f>ROUND(+U1982+W1982,4)</f>
        <v>0</v>
      </c>
      <c r="Y1982" s="68"/>
      <c r="Z1982" s="148">
        <f>ROUND(IF(X1982&gt;I1982,X1982,I1982),4)</f>
        <v>0</v>
      </c>
      <c r="AD1982" s="78">
        <f t="shared" ref="AD1982:AD2045" si="40">IF(Y1982="",0,MONTH(Y1982))</f>
        <v>0</v>
      </c>
      <c r="AE1982" s="78">
        <f t="shared" ref="AE1982:AE2045" si="41">IF(Y1982="",0,YEAR(Y1982))</f>
        <v>0</v>
      </c>
    </row>
    <row r="1983" spans="1:31" x14ac:dyDescent="0.2">
      <c r="A1983" s="66"/>
      <c r="B1983" s="66"/>
      <c r="C1983" s="66"/>
      <c r="D1983" s="144"/>
      <c r="E1983" s="67"/>
      <c r="F1983" s="67"/>
      <c r="G1983" s="67"/>
      <c r="H1983" s="67">
        <f>ROUND(+E1983+G1983,4)</f>
        <v>0</v>
      </c>
      <c r="I1983" s="67"/>
      <c r="J1983" s="67">
        <f>ROUND(+I1983-H1983,4)</f>
        <v>0</v>
      </c>
      <c r="K1983" s="67">
        <f>ROUND(IF(F1983="alluminio",0,I1983*1.5%),4)</f>
        <v>0</v>
      </c>
      <c r="L1983" s="67">
        <f>ROUND(IF(K1983&lt;J1983,K1983,0),4)</f>
        <v>0</v>
      </c>
      <c r="M1983" s="67">
        <f>ROUND(IF(J1983&gt;K1983,0,J1983),4)</f>
        <v>0</v>
      </c>
      <c r="N1983" s="67">
        <f>ROUND(+L1983*D1983,4)</f>
        <v>0</v>
      </c>
      <c r="O1983" s="67">
        <f>ROUND(IF(F1983="rame",0,+I1983*3%),4)</f>
        <v>0</v>
      </c>
      <c r="P1983" s="67">
        <f>ROUND(IF(O1983&lt;J1983,O1983,0),4)</f>
        <v>0</v>
      </c>
      <c r="Q1983" s="67">
        <f>ROUND(IF(J1983&gt;O1983,0,J1983),4)</f>
        <v>0</v>
      </c>
      <c r="R1983" s="67">
        <f>ROUND(+P1983*D1983,4)</f>
        <v>0</v>
      </c>
      <c r="S1983" s="67">
        <f>ROUND(IF(K1983=0,0,M1983*D1983),4)</f>
        <v>0</v>
      </c>
      <c r="T1983" s="67">
        <f>ROUND(+IF(K1983=0,Q1983*D1983,0),4)</f>
        <v>0</v>
      </c>
      <c r="U1983" s="67">
        <f>ROUND(+N1983+R1983+S1983+T1983,4)</f>
        <v>0</v>
      </c>
      <c r="V1983" s="67">
        <f>ROUND(IF(P1983=0,0,I1983-H1983-O1983)+IF(L1983=0,0,I1983-H1983-K1983),4)</f>
        <v>0</v>
      </c>
      <c r="W1983" s="67">
        <f>ROUND(+(V1983*60%)*D1983,4)</f>
        <v>0</v>
      </c>
      <c r="X1983" s="148">
        <f>ROUND(+U1983+W1983,4)</f>
        <v>0</v>
      </c>
      <c r="Y1983" s="68"/>
      <c r="Z1983" s="148">
        <f>ROUND(IF(X1983&gt;I1983,X1983,I1983),4)</f>
        <v>0</v>
      </c>
      <c r="AD1983" s="78">
        <f t="shared" si="40"/>
        <v>0</v>
      </c>
      <c r="AE1983" s="78">
        <f t="shared" si="41"/>
        <v>0</v>
      </c>
    </row>
    <row r="1984" spans="1:31" x14ac:dyDescent="0.2">
      <c r="A1984" s="66"/>
      <c r="B1984" s="66"/>
      <c r="C1984" s="66"/>
      <c r="D1984" s="144"/>
      <c r="E1984" s="67"/>
      <c r="F1984" s="67"/>
      <c r="G1984" s="67"/>
      <c r="H1984" s="67">
        <f>ROUND(+E1984+G1984,4)</f>
        <v>0</v>
      </c>
      <c r="I1984" s="67"/>
      <c r="J1984" s="67">
        <f>ROUND(+I1984-H1984,4)</f>
        <v>0</v>
      </c>
      <c r="K1984" s="67">
        <f>ROUND(IF(F1984="alluminio",0,I1984*1.5%),4)</f>
        <v>0</v>
      </c>
      <c r="L1984" s="67">
        <f>ROUND(IF(K1984&lt;J1984,K1984,0),4)</f>
        <v>0</v>
      </c>
      <c r="M1984" s="67">
        <f>ROUND(IF(J1984&gt;K1984,0,J1984),4)</f>
        <v>0</v>
      </c>
      <c r="N1984" s="67">
        <f>ROUND(+L1984*D1984,4)</f>
        <v>0</v>
      </c>
      <c r="O1984" s="67">
        <f>ROUND(IF(F1984="rame",0,+I1984*3%),4)</f>
        <v>0</v>
      </c>
      <c r="P1984" s="67">
        <f>ROUND(IF(O1984&lt;J1984,O1984,0),4)</f>
        <v>0</v>
      </c>
      <c r="Q1984" s="67">
        <f>ROUND(IF(J1984&gt;O1984,0,J1984),4)</f>
        <v>0</v>
      </c>
      <c r="R1984" s="67">
        <f>ROUND(+P1984*D1984,4)</f>
        <v>0</v>
      </c>
      <c r="S1984" s="67">
        <f>ROUND(IF(K1984=0,0,M1984*D1984),4)</f>
        <v>0</v>
      </c>
      <c r="T1984" s="67">
        <f>ROUND(+IF(K1984=0,Q1984*D1984,0),4)</f>
        <v>0</v>
      </c>
      <c r="U1984" s="67">
        <f>ROUND(+N1984+R1984+S1984+T1984,4)</f>
        <v>0</v>
      </c>
      <c r="V1984" s="67">
        <f>ROUND(IF(P1984=0,0,I1984-H1984-O1984)+IF(L1984=0,0,I1984-H1984-K1984),4)</f>
        <v>0</v>
      </c>
      <c r="W1984" s="67">
        <f>ROUND(+(V1984*60%)*D1984,4)</f>
        <v>0</v>
      </c>
      <c r="X1984" s="148">
        <f>ROUND(+U1984+W1984,4)</f>
        <v>0</v>
      </c>
      <c r="Y1984" s="68"/>
      <c r="Z1984" s="148">
        <f>ROUND(IF(X1984&gt;I1984,X1984,I1984),4)</f>
        <v>0</v>
      </c>
      <c r="AD1984" s="78">
        <f t="shared" si="40"/>
        <v>0</v>
      </c>
      <c r="AE1984" s="78">
        <f t="shared" si="41"/>
        <v>0</v>
      </c>
    </row>
    <row r="1985" spans="1:31" x14ac:dyDescent="0.2">
      <c r="A1985" s="66"/>
      <c r="B1985" s="66"/>
      <c r="C1985" s="66"/>
      <c r="D1985" s="144"/>
      <c r="E1985" s="67"/>
      <c r="F1985" s="67"/>
      <c r="G1985" s="67"/>
      <c r="H1985" s="67">
        <f>ROUND(+E1985+G1985,4)</f>
        <v>0</v>
      </c>
      <c r="I1985" s="67"/>
      <c r="J1985" s="67">
        <f>ROUND(+I1985-H1985,4)</f>
        <v>0</v>
      </c>
      <c r="K1985" s="67">
        <f>ROUND(IF(F1985="alluminio",0,I1985*1.5%),4)</f>
        <v>0</v>
      </c>
      <c r="L1985" s="67">
        <f>ROUND(IF(K1985&lt;J1985,K1985,0),4)</f>
        <v>0</v>
      </c>
      <c r="M1985" s="67">
        <f>ROUND(IF(J1985&gt;K1985,0,J1985),4)</f>
        <v>0</v>
      </c>
      <c r="N1985" s="67">
        <f>ROUND(+L1985*D1985,4)</f>
        <v>0</v>
      </c>
      <c r="O1985" s="67">
        <f>ROUND(IF(F1985="rame",0,+I1985*3%),4)</f>
        <v>0</v>
      </c>
      <c r="P1985" s="67">
        <f>ROUND(IF(O1985&lt;J1985,O1985,0),4)</f>
        <v>0</v>
      </c>
      <c r="Q1985" s="67">
        <f>ROUND(IF(J1985&gt;O1985,0,J1985),4)</f>
        <v>0</v>
      </c>
      <c r="R1985" s="67">
        <f>ROUND(+P1985*D1985,4)</f>
        <v>0</v>
      </c>
      <c r="S1985" s="67">
        <f>ROUND(IF(K1985=0,0,M1985*D1985),4)</f>
        <v>0</v>
      </c>
      <c r="T1985" s="67">
        <f>ROUND(+IF(K1985=0,Q1985*D1985,0),4)</f>
        <v>0</v>
      </c>
      <c r="U1985" s="67">
        <f>ROUND(+N1985+R1985+S1985+T1985,4)</f>
        <v>0</v>
      </c>
      <c r="V1985" s="67">
        <f>ROUND(IF(P1985=0,0,I1985-H1985-O1985)+IF(L1985=0,0,I1985-H1985-K1985),4)</f>
        <v>0</v>
      </c>
      <c r="W1985" s="67">
        <f>ROUND(+(V1985*60%)*D1985,4)</f>
        <v>0</v>
      </c>
      <c r="X1985" s="148">
        <f>ROUND(+U1985+W1985,4)</f>
        <v>0</v>
      </c>
      <c r="Y1985" s="68"/>
      <c r="Z1985" s="148">
        <f>ROUND(IF(X1985&gt;I1985,X1985,I1985),4)</f>
        <v>0</v>
      </c>
      <c r="AD1985" s="78">
        <f t="shared" si="40"/>
        <v>0</v>
      </c>
      <c r="AE1985" s="78">
        <f t="shared" si="41"/>
        <v>0</v>
      </c>
    </row>
    <row r="1986" spans="1:31" x14ac:dyDescent="0.2">
      <c r="A1986" s="66"/>
      <c r="B1986" s="66"/>
      <c r="C1986" s="66"/>
      <c r="D1986" s="144"/>
      <c r="E1986" s="67"/>
      <c r="F1986" s="67"/>
      <c r="G1986" s="67"/>
      <c r="H1986" s="67">
        <f>ROUND(+E1986+G1986,4)</f>
        <v>0</v>
      </c>
      <c r="I1986" s="67"/>
      <c r="J1986" s="67">
        <f>ROUND(+I1986-H1986,4)</f>
        <v>0</v>
      </c>
      <c r="K1986" s="67">
        <f>ROUND(IF(F1986="alluminio",0,I1986*1.5%),4)</f>
        <v>0</v>
      </c>
      <c r="L1986" s="67">
        <f>ROUND(IF(K1986&lt;J1986,K1986,0),4)</f>
        <v>0</v>
      </c>
      <c r="M1986" s="67">
        <f>ROUND(IF(J1986&gt;K1986,0,J1986),4)</f>
        <v>0</v>
      </c>
      <c r="N1986" s="67">
        <f>ROUND(+L1986*D1986,4)</f>
        <v>0</v>
      </c>
      <c r="O1986" s="67">
        <f>ROUND(IF(F1986="rame",0,+I1986*3%),4)</f>
        <v>0</v>
      </c>
      <c r="P1986" s="67">
        <f>ROUND(IF(O1986&lt;J1986,O1986,0),4)</f>
        <v>0</v>
      </c>
      <c r="Q1986" s="67">
        <f>ROUND(IF(J1986&gt;O1986,0,J1986),4)</f>
        <v>0</v>
      </c>
      <c r="R1986" s="67">
        <f>ROUND(+P1986*D1986,4)</f>
        <v>0</v>
      </c>
      <c r="S1986" s="67">
        <f>ROUND(IF(K1986=0,0,M1986*D1986),4)</f>
        <v>0</v>
      </c>
      <c r="T1986" s="67">
        <f>ROUND(+IF(K1986=0,Q1986*D1986,0),4)</f>
        <v>0</v>
      </c>
      <c r="U1986" s="67">
        <f>ROUND(+N1986+R1986+S1986+T1986,4)</f>
        <v>0</v>
      </c>
      <c r="V1986" s="67">
        <f>ROUND(IF(P1986=0,0,I1986-H1986-O1986)+IF(L1986=0,0,I1986-H1986-K1986),4)</f>
        <v>0</v>
      </c>
      <c r="W1986" s="67">
        <f>ROUND(+(V1986*60%)*D1986,4)</f>
        <v>0</v>
      </c>
      <c r="X1986" s="148">
        <f>ROUND(+U1986+W1986,4)</f>
        <v>0</v>
      </c>
      <c r="Y1986" s="68"/>
      <c r="Z1986" s="148">
        <f>ROUND(IF(X1986&gt;I1986,X1986,I1986),4)</f>
        <v>0</v>
      </c>
      <c r="AD1986" s="78">
        <f t="shared" si="40"/>
        <v>0</v>
      </c>
      <c r="AE1986" s="78">
        <f t="shared" si="41"/>
        <v>0</v>
      </c>
    </row>
    <row r="1987" spans="1:31" x14ac:dyDescent="0.2">
      <c r="A1987" s="66"/>
      <c r="B1987" s="66"/>
      <c r="C1987" s="66"/>
      <c r="D1987" s="144"/>
      <c r="E1987" s="67"/>
      <c r="F1987" s="67"/>
      <c r="G1987" s="67"/>
      <c r="H1987" s="67">
        <f>ROUND(+E1987+G1987,4)</f>
        <v>0</v>
      </c>
      <c r="I1987" s="67"/>
      <c r="J1987" s="67">
        <f>ROUND(+I1987-H1987,4)</f>
        <v>0</v>
      </c>
      <c r="K1987" s="67">
        <f>ROUND(IF(F1987="alluminio",0,I1987*1.5%),4)</f>
        <v>0</v>
      </c>
      <c r="L1987" s="67">
        <f>ROUND(IF(K1987&lt;J1987,K1987,0),4)</f>
        <v>0</v>
      </c>
      <c r="M1987" s="67">
        <f>ROUND(IF(J1987&gt;K1987,0,J1987),4)</f>
        <v>0</v>
      </c>
      <c r="N1987" s="67">
        <f>ROUND(+L1987*D1987,4)</f>
        <v>0</v>
      </c>
      <c r="O1987" s="67">
        <f>ROUND(IF(F1987="rame",0,+I1987*3%),4)</f>
        <v>0</v>
      </c>
      <c r="P1987" s="67">
        <f>ROUND(IF(O1987&lt;J1987,O1987,0),4)</f>
        <v>0</v>
      </c>
      <c r="Q1987" s="67">
        <f>ROUND(IF(J1987&gt;O1987,0,J1987),4)</f>
        <v>0</v>
      </c>
      <c r="R1987" s="67">
        <f>ROUND(+P1987*D1987,4)</f>
        <v>0</v>
      </c>
      <c r="S1987" s="67">
        <f>ROUND(IF(K1987=0,0,M1987*D1987),4)</f>
        <v>0</v>
      </c>
      <c r="T1987" s="67">
        <f>ROUND(+IF(K1987=0,Q1987*D1987,0),4)</f>
        <v>0</v>
      </c>
      <c r="U1987" s="67">
        <f>ROUND(+N1987+R1987+S1987+T1987,4)</f>
        <v>0</v>
      </c>
      <c r="V1987" s="67">
        <f>ROUND(IF(P1987=0,0,I1987-H1987-O1987)+IF(L1987=0,0,I1987-H1987-K1987),4)</f>
        <v>0</v>
      </c>
      <c r="W1987" s="67">
        <f>ROUND(+(V1987*60%)*D1987,4)</f>
        <v>0</v>
      </c>
      <c r="X1987" s="148">
        <f>ROUND(+U1987+W1987,4)</f>
        <v>0</v>
      </c>
      <c r="Y1987" s="68"/>
      <c r="Z1987" s="148">
        <f>ROUND(IF(X1987&gt;I1987,X1987,I1987),4)</f>
        <v>0</v>
      </c>
      <c r="AD1987" s="78">
        <f t="shared" si="40"/>
        <v>0</v>
      </c>
      <c r="AE1987" s="78">
        <f t="shared" si="41"/>
        <v>0</v>
      </c>
    </row>
    <row r="1988" spans="1:31" x14ac:dyDescent="0.2">
      <c r="A1988" s="66"/>
      <c r="B1988" s="66"/>
      <c r="C1988" s="66"/>
      <c r="D1988" s="144"/>
      <c r="E1988" s="67"/>
      <c r="F1988" s="67"/>
      <c r="G1988" s="67"/>
      <c r="H1988" s="67">
        <f>ROUND(+E1988+G1988,4)</f>
        <v>0</v>
      </c>
      <c r="I1988" s="67"/>
      <c r="J1988" s="67">
        <f>ROUND(+I1988-H1988,4)</f>
        <v>0</v>
      </c>
      <c r="K1988" s="67">
        <f>ROUND(IF(F1988="alluminio",0,I1988*1.5%),4)</f>
        <v>0</v>
      </c>
      <c r="L1988" s="67">
        <f>ROUND(IF(K1988&lt;J1988,K1988,0),4)</f>
        <v>0</v>
      </c>
      <c r="M1988" s="67">
        <f>ROUND(IF(J1988&gt;K1988,0,J1988),4)</f>
        <v>0</v>
      </c>
      <c r="N1988" s="67">
        <f>ROUND(+L1988*D1988,4)</f>
        <v>0</v>
      </c>
      <c r="O1988" s="67">
        <f>ROUND(IF(F1988="rame",0,+I1988*3%),4)</f>
        <v>0</v>
      </c>
      <c r="P1988" s="67">
        <f>ROUND(IF(O1988&lt;J1988,O1988,0),4)</f>
        <v>0</v>
      </c>
      <c r="Q1988" s="67">
        <f>ROUND(IF(J1988&gt;O1988,0,J1988),4)</f>
        <v>0</v>
      </c>
      <c r="R1988" s="67">
        <f>ROUND(+P1988*D1988,4)</f>
        <v>0</v>
      </c>
      <c r="S1988" s="67">
        <f>ROUND(IF(K1988=0,0,M1988*D1988),4)</f>
        <v>0</v>
      </c>
      <c r="T1988" s="67">
        <f>ROUND(+IF(K1988=0,Q1988*D1988,0),4)</f>
        <v>0</v>
      </c>
      <c r="U1988" s="67">
        <f>ROUND(+N1988+R1988+S1988+T1988,4)</f>
        <v>0</v>
      </c>
      <c r="V1988" s="67">
        <f>ROUND(IF(P1988=0,0,I1988-H1988-O1988)+IF(L1988=0,0,I1988-H1988-K1988),4)</f>
        <v>0</v>
      </c>
      <c r="W1988" s="67">
        <f>ROUND(+(V1988*60%)*D1988,4)</f>
        <v>0</v>
      </c>
      <c r="X1988" s="148">
        <f>ROUND(+U1988+W1988,4)</f>
        <v>0</v>
      </c>
      <c r="Y1988" s="68"/>
      <c r="Z1988" s="148">
        <f>ROUND(IF(X1988&gt;I1988,X1988,I1988),4)</f>
        <v>0</v>
      </c>
      <c r="AD1988" s="78">
        <f t="shared" si="40"/>
        <v>0</v>
      </c>
      <c r="AE1988" s="78">
        <f t="shared" si="41"/>
        <v>0</v>
      </c>
    </row>
    <row r="1989" spans="1:31" x14ac:dyDescent="0.2">
      <c r="A1989" s="66"/>
      <c r="B1989" s="66"/>
      <c r="C1989" s="66"/>
      <c r="D1989" s="144"/>
      <c r="E1989" s="67"/>
      <c r="F1989" s="67"/>
      <c r="G1989" s="67"/>
      <c r="H1989" s="67">
        <f>ROUND(+E1989+G1989,4)</f>
        <v>0</v>
      </c>
      <c r="I1989" s="67"/>
      <c r="J1989" s="67">
        <f>ROUND(+I1989-H1989,4)</f>
        <v>0</v>
      </c>
      <c r="K1989" s="67">
        <f>ROUND(IF(F1989="alluminio",0,I1989*1.5%),4)</f>
        <v>0</v>
      </c>
      <c r="L1989" s="67">
        <f>ROUND(IF(K1989&lt;J1989,K1989,0),4)</f>
        <v>0</v>
      </c>
      <c r="M1989" s="67">
        <f>ROUND(IF(J1989&gt;K1989,0,J1989),4)</f>
        <v>0</v>
      </c>
      <c r="N1989" s="67">
        <f>ROUND(+L1989*D1989,4)</f>
        <v>0</v>
      </c>
      <c r="O1989" s="67">
        <f>ROUND(IF(F1989="rame",0,+I1989*3%),4)</f>
        <v>0</v>
      </c>
      <c r="P1989" s="67">
        <f>ROUND(IF(O1989&lt;J1989,O1989,0),4)</f>
        <v>0</v>
      </c>
      <c r="Q1989" s="67">
        <f>ROUND(IF(J1989&gt;O1989,0,J1989),4)</f>
        <v>0</v>
      </c>
      <c r="R1989" s="67">
        <f>ROUND(+P1989*D1989,4)</f>
        <v>0</v>
      </c>
      <c r="S1989" s="67">
        <f>ROUND(IF(K1989=0,0,M1989*D1989),4)</f>
        <v>0</v>
      </c>
      <c r="T1989" s="67">
        <f>ROUND(+IF(K1989=0,Q1989*D1989,0),4)</f>
        <v>0</v>
      </c>
      <c r="U1989" s="67">
        <f>ROUND(+N1989+R1989+S1989+T1989,4)</f>
        <v>0</v>
      </c>
      <c r="V1989" s="67">
        <f>ROUND(IF(P1989=0,0,I1989-H1989-O1989)+IF(L1989=0,0,I1989-H1989-K1989),4)</f>
        <v>0</v>
      </c>
      <c r="W1989" s="67">
        <f>ROUND(+(V1989*60%)*D1989,4)</f>
        <v>0</v>
      </c>
      <c r="X1989" s="148">
        <f>ROUND(+U1989+W1989,4)</f>
        <v>0</v>
      </c>
      <c r="Y1989" s="68"/>
      <c r="Z1989" s="148">
        <f>ROUND(IF(X1989&gt;I1989,X1989,I1989),4)</f>
        <v>0</v>
      </c>
      <c r="AD1989" s="78">
        <f t="shared" si="40"/>
        <v>0</v>
      </c>
      <c r="AE1989" s="78">
        <f t="shared" si="41"/>
        <v>0</v>
      </c>
    </row>
    <row r="1990" spans="1:31" x14ac:dyDescent="0.2">
      <c r="A1990" s="66"/>
      <c r="B1990" s="66"/>
      <c r="C1990" s="66"/>
      <c r="D1990" s="144"/>
      <c r="E1990" s="67"/>
      <c r="F1990" s="67"/>
      <c r="G1990" s="67"/>
      <c r="H1990" s="67">
        <f>ROUND(+E1990+G1990,4)</f>
        <v>0</v>
      </c>
      <c r="I1990" s="67"/>
      <c r="J1990" s="67">
        <f>ROUND(+I1990-H1990,4)</f>
        <v>0</v>
      </c>
      <c r="K1990" s="67">
        <f>ROUND(IF(F1990="alluminio",0,I1990*1.5%),4)</f>
        <v>0</v>
      </c>
      <c r="L1990" s="67">
        <f>ROUND(IF(K1990&lt;J1990,K1990,0),4)</f>
        <v>0</v>
      </c>
      <c r="M1990" s="67">
        <f>ROUND(IF(J1990&gt;K1990,0,J1990),4)</f>
        <v>0</v>
      </c>
      <c r="N1990" s="67">
        <f>ROUND(+L1990*D1990,4)</f>
        <v>0</v>
      </c>
      <c r="O1990" s="67">
        <f>ROUND(IF(F1990="rame",0,+I1990*3%),4)</f>
        <v>0</v>
      </c>
      <c r="P1990" s="67">
        <f>ROUND(IF(O1990&lt;J1990,O1990,0),4)</f>
        <v>0</v>
      </c>
      <c r="Q1990" s="67">
        <f>ROUND(IF(J1990&gt;O1990,0,J1990),4)</f>
        <v>0</v>
      </c>
      <c r="R1990" s="67">
        <f>ROUND(+P1990*D1990,4)</f>
        <v>0</v>
      </c>
      <c r="S1990" s="67">
        <f>ROUND(IF(K1990=0,0,M1990*D1990),4)</f>
        <v>0</v>
      </c>
      <c r="T1990" s="67">
        <f>ROUND(+IF(K1990=0,Q1990*D1990,0),4)</f>
        <v>0</v>
      </c>
      <c r="U1990" s="67">
        <f>ROUND(+N1990+R1990+S1990+T1990,4)</f>
        <v>0</v>
      </c>
      <c r="V1990" s="67">
        <f>ROUND(IF(P1990=0,0,I1990-H1990-O1990)+IF(L1990=0,0,I1990-H1990-K1990),4)</f>
        <v>0</v>
      </c>
      <c r="W1990" s="67">
        <f>ROUND(+(V1990*60%)*D1990,4)</f>
        <v>0</v>
      </c>
      <c r="X1990" s="148">
        <f>ROUND(+U1990+W1990,4)</f>
        <v>0</v>
      </c>
      <c r="Y1990" s="68"/>
      <c r="Z1990" s="148">
        <f>ROUND(IF(X1990&gt;I1990,X1990,I1990),4)</f>
        <v>0</v>
      </c>
      <c r="AD1990" s="78">
        <f t="shared" si="40"/>
        <v>0</v>
      </c>
      <c r="AE1990" s="78">
        <f t="shared" si="41"/>
        <v>0</v>
      </c>
    </row>
    <row r="1991" spans="1:31" x14ac:dyDescent="0.2">
      <c r="A1991" s="66"/>
      <c r="B1991" s="66"/>
      <c r="C1991" s="66"/>
      <c r="D1991" s="144"/>
      <c r="E1991" s="67"/>
      <c r="F1991" s="67"/>
      <c r="G1991" s="67"/>
      <c r="H1991" s="67">
        <f>ROUND(+E1991+G1991,4)</f>
        <v>0</v>
      </c>
      <c r="I1991" s="67"/>
      <c r="J1991" s="67">
        <f>ROUND(+I1991-H1991,4)</f>
        <v>0</v>
      </c>
      <c r="K1991" s="67">
        <f>ROUND(IF(F1991="alluminio",0,I1991*1.5%),4)</f>
        <v>0</v>
      </c>
      <c r="L1991" s="67">
        <f>ROUND(IF(K1991&lt;J1991,K1991,0),4)</f>
        <v>0</v>
      </c>
      <c r="M1991" s="67">
        <f>ROUND(IF(J1991&gt;K1991,0,J1991),4)</f>
        <v>0</v>
      </c>
      <c r="N1991" s="67">
        <f>ROUND(+L1991*D1991,4)</f>
        <v>0</v>
      </c>
      <c r="O1991" s="67">
        <f>ROUND(IF(F1991="rame",0,+I1991*3%),4)</f>
        <v>0</v>
      </c>
      <c r="P1991" s="67">
        <f>ROUND(IF(O1991&lt;J1991,O1991,0),4)</f>
        <v>0</v>
      </c>
      <c r="Q1991" s="67">
        <f>ROUND(IF(J1991&gt;O1991,0,J1991),4)</f>
        <v>0</v>
      </c>
      <c r="R1991" s="67">
        <f>ROUND(+P1991*D1991,4)</f>
        <v>0</v>
      </c>
      <c r="S1991" s="67">
        <f>ROUND(IF(K1991=0,0,M1991*D1991),4)</f>
        <v>0</v>
      </c>
      <c r="T1991" s="67">
        <f>ROUND(+IF(K1991=0,Q1991*D1991,0),4)</f>
        <v>0</v>
      </c>
      <c r="U1991" s="67">
        <f>ROUND(+N1991+R1991+S1991+T1991,4)</f>
        <v>0</v>
      </c>
      <c r="V1991" s="67">
        <f>ROUND(IF(P1991=0,0,I1991-H1991-O1991)+IF(L1991=0,0,I1991-H1991-K1991),4)</f>
        <v>0</v>
      </c>
      <c r="W1991" s="67">
        <f>ROUND(+(V1991*60%)*D1991,4)</f>
        <v>0</v>
      </c>
      <c r="X1991" s="148">
        <f>ROUND(+U1991+W1991,4)</f>
        <v>0</v>
      </c>
      <c r="Y1991" s="68"/>
      <c r="Z1991" s="148">
        <f>ROUND(IF(X1991&gt;I1991,X1991,I1991),4)</f>
        <v>0</v>
      </c>
      <c r="AD1991" s="78">
        <f t="shared" si="40"/>
        <v>0</v>
      </c>
      <c r="AE1991" s="78">
        <f t="shared" si="41"/>
        <v>0</v>
      </c>
    </row>
    <row r="1992" spans="1:31" x14ac:dyDescent="0.2">
      <c r="A1992" s="66"/>
      <c r="B1992" s="66"/>
      <c r="C1992" s="66"/>
      <c r="D1992" s="144"/>
      <c r="E1992" s="67"/>
      <c r="F1992" s="67"/>
      <c r="G1992" s="67"/>
      <c r="H1992" s="67">
        <f>ROUND(+E1992+G1992,4)</f>
        <v>0</v>
      </c>
      <c r="I1992" s="67"/>
      <c r="J1992" s="67">
        <f>ROUND(+I1992-H1992,4)</f>
        <v>0</v>
      </c>
      <c r="K1992" s="67">
        <f>ROUND(IF(F1992="alluminio",0,I1992*1.5%),4)</f>
        <v>0</v>
      </c>
      <c r="L1992" s="67">
        <f>ROUND(IF(K1992&lt;J1992,K1992,0),4)</f>
        <v>0</v>
      </c>
      <c r="M1992" s="67">
        <f>ROUND(IF(J1992&gt;K1992,0,J1992),4)</f>
        <v>0</v>
      </c>
      <c r="N1992" s="67">
        <f>ROUND(+L1992*D1992,4)</f>
        <v>0</v>
      </c>
      <c r="O1992" s="67">
        <f>ROUND(IF(F1992="rame",0,+I1992*3%),4)</f>
        <v>0</v>
      </c>
      <c r="P1992" s="67">
        <f>ROUND(IF(O1992&lt;J1992,O1992,0),4)</f>
        <v>0</v>
      </c>
      <c r="Q1992" s="67">
        <f>ROUND(IF(J1992&gt;O1992,0,J1992),4)</f>
        <v>0</v>
      </c>
      <c r="R1992" s="67">
        <f>ROUND(+P1992*D1992,4)</f>
        <v>0</v>
      </c>
      <c r="S1992" s="67">
        <f>ROUND(IF(K1992=0,0,M1992*D1992),4)</f>
        <v>0</v>
      </c>
      <c r="T1992" s="67">
        <f>ROUND(+IF(K1992=0,Q1992*D1992,0),4)</f>
        <v>0</v>
      </c>
      <c r="U1992" s="67">
        <f>ROUND(+N1992+R1992+S1992+T1992,4)</f>
        <v>0</v>
      </c>
      <c r="V1992" s="67">
        <f>ROUND(IF(P1992=0,0,I1992-H1992-O1992)+IF(L1992=0,0,I1992-H1992-K1992),4)</f>
        <v>0</v>
      </c>
      <c r="W1992" s="67">
        <f>ROUND(+(V1992*60%)*D1992,4)</f>
        <v>0</v>
      </c>
      <c r="X1992" s="148">
        <f>ROUND(+U1992+W1992,4)</f>
        <v>0</v>
      </c>
      <c r="Y1992" s="68"/>
      <c r="Z1992" s="148">
        <f>ROUND(IF(X1992&gt;I1992,X1992,I1992),4)</f>
        <v>0</v>
      </c>
      <c r="AD1992" s="78">
        <f t="shared" si="40"/>
        <v>0</v>
      </c>
      <c r="AE1992" s="78">
        <f t="shared" si="41"/>
        <v>0</v>
      </c>
    </row>
    <row r="1993" spans="1:31" x14ac:dyDescent="0.2">
      <c r="A1993" s="66"/>
      <c r="B1993" s="66"/>
      <c r="C1993" s="66"/>
      <c r="D1993" s="144"/>
      <c r="E1993" s="67"/>
      <c r="F1993" s="67"/>
      <c r="G1993" s="67"/>
      <c r="H1993" s="67">
        <f>ROUND(+E1993+G1993,4)</f>
        <v>0</v>
      </c>
      <c r="I1993" s="67"/>
      <c r="J1993" s="67">
        <f>ROUND(+I1993-H1993,4)</f>
        <v>0</v>
      </c>
      <c r="K1993" s="67">
        <f>ROUND(IF(F1993="alluminio",0,I1993*1.5%),4)</f>
        <v>0</v>
      </c>
      <c r="L1993" s="67">
        <f>ROUND(IF(K1993&lt;J1993,K1993,0),4)</f>
        <v>0</v>
      </c>
      <c r="M1993" s="67">
        <f>ROUND(IF(J1993&gt;K1993,0,J1993),4)</f>
        <v>0</v>
      </c>
      <c r="N1993" s="67">
        <f>ROUND(+L1993*D1993,4)</f>
        <v>0</v>
      </c>
      <c r="O1993" s="67">
        <f>ROUND(IF(F1993="rame",0,+I1993*3%),4)</f>
        <v>0</v>
      </c>
      <c r="P1993" s="67">
        <f>ROUND(IF(O1993&lt;J1993,O1993,0),4)</f>
        <v>0</v>
      </c>
      <c r="Q1993" s="67">
        <f>ROUND(IF(J1993&gt;O1993,0,J1993),4)</f>
        <v>0</v>
      </c>
      <c r="R1993" s="67">
        <f>ROUND(+P1993*D1993,4)</f>
        <v>0</v>
      </c>
      <c r="S1993" s="67">
        <f>ROUND(IF(K1993=0,0,M1993*D1993),4)</f>
        <v>0</v>
      </c>
      <c r="T1993" s="67">
        <f>ROUND(+IF(K1993=0,Q1993*D1993,0),4)</f>
        <v>0</v>
      </c>
      <c r="U1993" s="67">
        <f>ROUND(+N1993+R1993+S1993+T1993,4)</f>
        <v>0</v>
      </c>
      <c r="V1993" s="67">
        <f>ROUND(IF(P1993=0,0,I1993-H1993-O1993)+IF(L1993=0,0,I1993-H1993-K1993),4)</f>
        <v>0</v>
      </c>
      <c r="W1993" s="67">
        <f>ROUND(+(V1993*60%)*D1993,4)</f>
        <v>0</v>
      </c>
      <c r="X1993" s="148">
        <f>ROUND(+U1993+W1993,4)</f>
        <v>0</v>
      </c>
      <c r="Y1993" s="68"/>
      <c r="Z1993" s="148">
        <f>ROUND(IF(X1993&gt;I1993,X1993,I1993),4)</f>
        <v>0</v>
      </c>
      <c r="AD1993" s="78">
        <f t="shared" si="40"/>
        <v>0</v>
      </c>
      <c r="AE1993" s="78">
        <f t="shared" si="41"/>
        <v>0</v>
      </c>
    </row>
    <row r="1994" spans="1:31" x14ac:dyDescent="0.2">
      <c r="A1994" s="66"/>
      <c r="B1994" s="66"/>
      <c r="C1994" s="66"/>
      <c r="D1994" s="144"/>
      <c r="E1994" s="67"/>
      <c r="F1994" s="67"/>
      <c r="G1994" s="67"/>
      <c r="H1994" s="67">
        <f>ROUND(+E1994+G1994,4)</f>
        <v>0</v>
      </c>
      <c r="I1994" s="67"/>
      <c r="J1994" s="67">
        <f>ROUND(+I1994-H1994,4)</f>
        <v>0</v>
      </c>
      <c r="K1994" s="67">
        <f>ROUND(IF(F1994="alluminio",0,I1994*1.5%),4)</f>
        <v>0</v>
      </c>
      <c r="L1994" s="67">
        <f>ROUND(IF(K1994&lt;J1994,K1994,0),4)</f>
        <v>0</v>
      </c>
      <c r="M1994" s="67">
        <f>ROUND(IF(J1994&gt;K1994,0,J1994),4)</f>
        <v>0</v>
      </c>
      <c r="N1994" s="67">
        <f>ROUND(+L1994*D1994,4)</f>
        <v>0</v>
      </c>
      <c r="O1994" s="67">
        <f>ROUND(IF(F1994="rame",0,+I1994*3%),4)</f>
        <v>0</v>
      </c>
      <c r="P1994" s="67">
        <f>ROUND(IF(O1994&lt;J1994,O1994,0),4)</f>
        <v>0</v>
      </c>
      <c r="Q1994" s="67">
        <f>ROUND(IF(J1994&gt;O1994,0,J1994),4)</f>
        <v>0</v>
      </c>
      <c r="R1994" s="67">
        <f>ROUND(+P1994*D1994,4)</f>
        <v>0</v>
      </c>
      <c r="S1994" s="67">
        <f>ROUND(IF(K1994=0,0,M1994*D1994),4)</f>
        <v>0</v>
      </c>
      <c r="T1994" s="67">
        <f>ROUND(+IF(K1994=0,Q1994*D1994,0),4)</f>
        <v>0</v>
      </c>
      <c r="U1994" s="67">
        <f>ROUND(+N1994+R1994+S1994+T1994,4)</f>
        <v>0</v>
      </c>
      <c r="V1994" s="67">
        <f>ROUND(IF(P1994=0,0,I1994-H1994-O1994)+IF(L1994=0,0,I1994-H1994-K1994),4)</f>
        <v>0</v>
      </c>
      <c r="W1994" s="67">
        <f>ROUND(+(V1994*60%)*D1994,4)</f>
        <v>0</v>
      </c>
      <c r="X1994" s="148">
        <f>ROUND(+U1994+W1994,4)</f>
        <v>0</v>
      </c>
      <c r="Y1994" s="68"/>
      <c r="Z1994" s="148">
        <f>ROUND(IF(X1994&gt;I1994,X1994,I1994),4)</f>
        <v>0</v>
      </c>
      <c r="AD1994" s="78">
        <f t="shared" si="40"/>
        <v>0</v>
      </c>
      <c r="AE1994" s="78">
        <f t="shared" si="41"/>
        <v>0</v>
      </c>
    </row>
    <row r="1995" spans="1:31" x14ac:dyDescent="0.2">
      <c r="A1995" s="66"/>
      <c r="B1995" s="66"/>
      <c r="C1995" s="66"/>
      <c r="D1995" s="144"/>
      <c r="E1995" s="67"/>
      <c r="F1995" s="67"/>
      <c r="G1995" s="67"/>
      <c r="H1995" s="67">
        <f>ROUND(+E1995+G1995,4)</f>
        <v>0</v>
      </c>
      <c r="I1995" s="67"/>
      <c r="J1995" s="67">
        <f>ROUND(+I1995-H1995,4)</f>
        <v>0</v>
      </c>
      <c r="K1995" s="67">
        <f>ROUND(IF(F1995="alluminio",0,I1995*1.5%),4)</f>
        <v>0</v>
      </c>
      <c r="L1995" s="67">
        <f>ROUND(IF(K1995&lt;J1995,K1995,0),4)</f>
        <v>0</v>
      </c>
      <c r="M1995" s="67">
        <f>ROUND(IF(J1995&gt;K1995,0,J1995),4)</f>
        <v>0</v>
      </c>
      <c r="N1995" s="67">
        <f>ROUND(+L1995*D1995,4)</f>
        <v>0</v>
      </c>
      <c r="O1995" s="67">
        <f>ROUND(IF(F1995="rame",0,+I1995*3%),4)</f>
        <v>0</v>
      </c>
      <c r="P1995" s="67">
        <f>ROUND(IF(O1995&lt;J1995,O1995,0),4)</f>
        <v>0</v>
      </c>
      <c r="Q1995" s="67">
        <f>ROUND(IF(J1995&gt;O1995,0,J1995),4)</f>
        <v>0</v>
      </c>
      <c r="R1995" s="67">
        <f>ROUND(+P1995*D1995,4)</f>
        <v>0</v>
      </c>
      <c r="S1995" s="67">
        <f>ROUND(IF(K1995=0,0,M1995*D1995),4)</f>
        <v>0</v>
      </c>
      <c r="T1995" s="67">
        <f>ROUND(+IF(K1995=0,Q1995*D1995,0),4)</f>
        <v>0</v>
      </c>
      <c r="U1995" s="67">
        <f>ROUND(+N1995+R1995+S1995+T1995,4)</f>
        <v>0</v>
      </c>
      <c r="V1995" s="67">
        <f>ROUND(IF(P1995=0,0,I1995-H1995-O1995)+IF(L1995=0,0,I1995-H1995-K1995),4)</f>
        <v>0</v>
      </c>
      <c r="W1995" s="67">
        <f>ROUND(+(V1995*60%)*D1995,4)</f>
        <v>0</v>
      </c>
      <c r="X1995" s="148">
        <f>ROUND(+U1995+W1995,4)</f>
        <v>0</v>
      </c>
      <c r="Y1995" s="68"/>
      <c r="Z1995" s="148">
        <f>ROUND(IF(X1995&gt;I1995,X1995,I1995),4)</f>
        <v>0</v>
      </c>
      <c r="AD1995" s="78">
        <f t="shared" si="40"/>
        <v>0</v>
      </c>
      <c r="AE1995" s="78">
        <f t="shared" si="41"/>
        <v>0</v>
      </c>
    </row>
    <row r="1996" spans="1:31" x14ac:dyDescent="0.2">
      <c r="A1996" s="66"/>
      <c r="B1996" s="66"/>
      <c r="C1996" s="66"/>
      <c r="D1996" s="144"/>
      <c r="E1996" s="67"/>
      <c r="F1996" s="67"/>
      <c r="G1996" s="67"/>
      <c r="H1996" s="67">
        <f>ROUND(+E1996+G1996,4)</f>
        <v>0</v>
      </c>
      <c r="I1996" s="67"/>
      <c r="J1996" s="67">
        <f>ROUND(+I1996-H1996,4)</f>
        <v>0</v>
      </c>
      <c r="K1996" s="67">
        <f>ROUND(IF(F1996="alluminio",0,I1996*1.5%),4)</f>
        <v>0</v>
      </c>
      <c r="L1996" s="67">
        <f>ROUND(IF(K1996&lt;J1996,K1996,0),4)</f>
        <v>0</v>
      </c>
      <c r="M1996" s="67">
        <f>ROUND(IF(J1996&gt;K1996,0,J1996),4)</f>
        <v>0</v>
      </c>
      <c r="N1996" s="67">
        <f>ROUND(+L1996*D1996,4)</f>
        <v>0</v>
      </c>
      <c r="O1996" s="67">
        <f>ROUND(IF(F1996="rame",0,+I1996*3%),4)</f>
        <v>0</v>
      </c>
      <c r="P1996" s="67">
        <f>ROUND(IF(O1996&lt;J1996,O1996,0),4)</f>
        <v>0</v>
      </c>
      <c r="Q1996" s="67">
        <f>ROUND(IF(J1996&gt;O1996,0,J1996),4)</f>
        <v>0</v>
      </c>
      <c r="R1996" s="67">
        <f>ROUND(+P1996*D1996,4)</f>
        <v>0</v>
      </c>
      <c r="S1996" s="67">
        <f>ROUND(IF(K1996=0,0,M1996*D1996),4)</f>
        <v>0</v>
      </c>
      <c r="T1996" s="67">
        <f>ROUND(+IF(K1996=0,Q1996*D1996,0),4)</f>
        <v>0</v>
      </c>
      <c r="U1996" s="67">
        <f>ROUND(+N1996+R1996+S1996+T1996,4)</f>
        <v>0</v>
      </c>
      <c r="V1996" s="67">
        <f>ROUND(IF(P1996=0,0,I1996-H1996-O1996)+IF(L1996=0,0,I1996-H1996-K1996),4)</f>
        <v>0</v>
      </c>
      <c r="W1996" s="67">
        <f>ROUND(+(V1996*60%)*D1996,4)</f>
        <v>0</v>
      </c>
      <c r="X1996" s="148">
        <f>ROUND(+U1996+W1996,4)</f>
        <v>0</v>
      </c>
      <c r="Y1996" s="68"/>
      <c r="Z1996" s="148">
        <f>ROUND(IF(X1996&gt;I1996,X1996,I1996),4)</f>
        <v>0</v>
      </c>
      <c r="AD1996" s="78">
        <f t="shared" si="40"/>
        <v>0</v>
      </c>
      <c r="AE1996" s="78">
        <f t="shared" si="41"/>
        <v>0</v>
      </c>
    </row>
    <row r="1997" spans="1:31" x14ac:dyDescent="0.2">
      <c r="A1997" s="66"/>
      <c r="B1997" s="66"/>
      <c r="C1997" s="66"/>
      <c r="D1997" s="144"/>
      <c r="E1997" s="67"/>
      <c r="F1997" s="67"/>
      <c r="G1997" s="67"/>
      <c r="H1997" s="67">
        <f>ROUND(+E1997+G1997,4)</f>
        <v>0</v>
      </c>
      <c r="I1997" s="67"/>
      <c r="J1997" s="67">
        <f>ROUND(+I1997-H1997,4)</f>
        <v>0</v>
      </c>
      <c r="K1997" s="67">
        <f>ROUND(IF(F1997="alluminio",0,I1997*1.5%),4)</f>
        <v>0</v>
      </c>
      <c r="L1997" s="67">
        <f>ROUND(IF(K1997&lt;J1997,K1997,0),4)</f>
        <v>0</v>
      </c>
      <c r="M1997" s="67">
        <f>ROUND(IF(J1997&gt;K1997,0,J1997),4)</f>
        <v>0</v>
      </c>
      <c r="N1997" s="67">
        <f>ROUND(+L1997*D1997,4)</f>
        <v>0</v>
      </c>
      <c r="O1997" s="67">
        <f>ROUND(IF(F1997="rame",0,+I1997*3%),4)</f>
        <v>0</v>
      </c>
      <c r="P1997" s="67">
        <f>ROUND(IF(O1997&lt;J1997,O1997,0),4)</f>
        <v>0</v>
      </c>
      <c r="Q1997" s="67">
        <f>ROUND(IF(J1997&gt;O1997,0,J1997),4)</f>
        <v>0</v>
      </c>
      <c r="R1997" s="67">
        <f>ROUND(+P1997*D1997,4)</f>
        <v>0</v>
      </c>
      <c r="S1997" s="67">
        <f>ROUND(IF(K1997=0,0,M1997*D1997),4)</f>
        <v>0</v>
      </c>
      <c r="T1997" s="67">
        <f>ROUND(+IF(K1997=0,Q1997*D1997,0),4)</f>
        <v>0</v>
      </c>
      <c r="U1997" s="67">
        <f>ROUND(+N1997+R1997+S1997+T1997,4)</f>
        <v>0</v>
      </c>
      <c r="V1997" s="67">
        <f>ROUND(IF(P1997=0,0,I1997-H1997-O1997)+IF(L1997=0,0,I1997-H1997-K1997),4)</f>
        <v>0</v>
      </c>
      <c r="W1997" s="67">
        <f>ROUND(+(V1997*60%)*D1997,4)</f>
        <v>0</v>
      </c>
      <c r="X1997" s="148">
        <f>ROUND(+U1997+W1997,4)</f>
        <v>0</v>
      </c>
      <c r="Y1997" s="68"/>
      <c r="Z1997" s="148">
        <f>ROUND(IF(X1997&gt;I1997,X1997,I1997),4)</f>
        <v>0</v>
      </c>
      <c r="AD1997" s="78">
        <f t="shared" si="40"/>
        <v>0</v>
      </c>
      <c r="AE1997" s="78">
        <f t="shared" si="41"/>
        <v>0</v>
      </c>
    </row>
    <row r="1998" spans="1:31" x14ac:dyDescent="0.2">
      <c r="A1998" s="66"/>
      <c r="B1998" s="66"/>
      <c r="C1998" s="66"/>
      <c r="D1998" s="144"/>
      <c r="E1998" s="67"/>
      <c r="F1998" s="67"/>
      <c r="G1998" s="67"/>
      <c r="H1998" s="67">
        <f>ROUND(+E1998+G1998,4)</f>
        <v>0</v>
      </c>
      <c r="I1998" s="67"/>
      <c r="J1998" s="67">
        <f>ROUND(+I1998-H1998,4)</f>
        <v>0</v>
      </c>
      <c r="K1998" s="67">
        <f>ROUND(IF(F1998="alluminio",0,I1998*1.5%),4)</f>
        <v>0</v>
      </c>
      <c r="L1998" s="67">
        <f>ROUND(IF(K1998&lt;J1998,K1998,0),4)</f>
        <v>0</v>
      </c>
      <c r="M1998" s="67">
        <f>ROUND(IF(J1998&gt;K1998,0,J1998),4)</f>
        <v>0</v>
      </c>
      <c r="N1998" s="67">
        <f>ROUND(+L1998*D1998,4)</f>
        <v>0</v>
      </c>
      <c r="O1998" s="67">
        <f>ROUND(IF(F1998="rame",0,+I1998*3%),4)</f>
        <v>0</v>
      </c>
      <c r="P1998" s="67">
        <f>ROUND(IF(O1998&lt;J1998,O1998,0),4)</f>
        <v>0</v>
      </c>
      <c r="Q1998" s="67">
        <f>ROUND(IF(J1998&gt;O1998,0,J1998),4)</f>
        <v>0</v>
      </c>
      <c r="R1998" s="67">
        <f>ROUND(+P1998*D1998,4)</f>
        <v>0</v>
      </c>
      <c r="S1998" s="67">
        <f>ROUND(IF(K1998=0,0,M1998*D1998),4)</f>
        <v>0</v>
      </c>
      <c r="T1998" s="67">
        <f>ROUND(+IF(K1998=0,Q1998*D1998,0),4)</f>
        <v>0</v>
      </c>
      <c r="U1998" s="67">
        <f>ROUND(+N1998+R1998+S1998+T1998,4)</f>
        <v>0</v>
      </c>
      <c r="V1998" s="67">
        <f>ROUND(IF(P1998=0,0,I1998-H1998-O1998)+IF(L1998=0,0,I1998-H1998-K1998),4)</f>
        <v>0</v>
      </c>
      <c r="W1998" s="67">
        <f>ROUND(+(V1998*60%)*D1998,4)</f>
        <v>0</v>
      </c>
      <c r="X1998" s="148">
        <f>ROUND(+U1998+W1998,4)</f>
        <v>0</v>
      </c>
      <c r="Y1998" s="68"/>
      <c r="Z1998" s="148">
        <f>ROUND(IF(X1998&gt;I1998,X1998,I1998),4)</f>
        <v>0</v>
      </c>
      <c r="AD1998" s="78">
        <f t="shared" si="40"/>
        <v>0</v>
      </c>
      <c r="AE1998" s="78">
        <f t="shared" si="41"/>
        <v>0</v>
      </c>
    </row>
    <row r="1999" spans="1:31" x14ac:dyDescent="0.2">
      <c r="A1999" s="66"/>
      <c r="B1999" s="66"/>
      <c r="C1999" s="66"/>
      <c r="D1999" s="144"/>
      <c r="E1999" s="67"/>
      <c r="F1999" s="67"/>
      <c r="G1999" s="67"/>
      <c r="H1999" s="67">
        <f>ROUND(+E1999+G1999,4)</f>
        <v>0</v>
      </c>
      <c r="I1999" s="67"/>
      <c r="J1999" s="67">
        <f>ROUND(+I1999-H1999,4)</f>
        <v>0</v>
      </c>
      <c r="K1999" s="67">
        <f>ROUND(IF(F1999="alluminio",0,I1999*1.5%),4)</f>
        <v>0</v>
      </c>
      <c r="L1999" s="67">
        <f>ROUND(IF(K1999&lt;J1999,K1999,0),4)</f>
        <v>0</v>
      </c>
      <c r="M1999" s="67">
        <f>ROUND(IF(J1999&gt;K1999,0,J1999),4)</f>
        <v>0</v>
      </c>
      <c r="N1999" s="67">
        <f>ROUND(+L1999*D1999,4)</f>
        <v>0</v>
      </c>
      <c r="O1999" s="67">
        <f>ROUND(IF(F1999="rame",0,+I1999*3%),4)</f>
        <v>0</v>
      </c>
      <c r="P1999" s="67">
        <f>ROUND(IF(O1999&lt;J1999,O1999,0),4)</f>
        <v>0</v>
      </c>
      <c r="Q1999" s="67">
        <f>ROUND(IF(J1999&gt;O1999,0,J1999),4)</f>
        <v>0</v>
      </c>
      <c r="R1999" s="67">
        <f>ROUND(+P1999*D1999,4)</f>
        <v>0</v>
      </c>
      <c r="S1999" s="67">
        <f>ROUND(IF(K1999=0,0,M1999*D1999),4)</f>
        <v>0</v>
      </c>
      <c r="T1999" s="67">
        <f>ROUND(+IF(K1999=0,Q1999*D1999,0),4)</f>
        <v>0</v>
      </c>
      <c r="U1999" s="67">
        <f>ROUND(+N1999+R1999+S1999+T1999,4)</f>
        <v>0</v>
      </c>
      <c r="V1999" s="67">
        <f>ROUND(IF(P1999=0,0,I1999-H1999-O1999)+IF(L1999=0,0,I1999-H1999-K1999),4)</f>
        <v>0</v>
      </c>
      <c r="W1999" s="67">
        <f>ROUND(+(V1999*60%)*D1999,4)</f>
        <v>0</v>
      </c>
      <c r="X1999" s="148">
        <f>ROUND(+U1999+W1999,4)</f>
        <v>0</v>
      </c>
      <c r="Y1999" s="68"/>
      <c r="Z1999" s="148">
        <f>ROUND(IF(X1999&gt;I1999,X1999,I1999),4)</f>
        <v>0</v>
      </c>
      <c r="AD1999" s="78">
        <f t="shared" si="40"/>
        <v>0</v>
      </c>
      <c r="AE1999" s="78">
        <f t="shared" si="41"/>
        <v>0</v>
      </c>
    </row>
    <row r="2000" spans="1:31" x14ac:dyDescent="0.2">
      <c r="A2000" s="66"/>
      <c r="B2000" s="66"/>
      <c r="C2000" s="66"/>
      <c r="D2000" s="144"/>
      <c r="E2000" s="67"/>
      <c r="F2000" s="67"/>
      <c r="G2000" s="67"/>
      <c r="H2000" s="67">
        <f>ROUND(+E2000+G2000,4)</f>
        <v>0</v>
      </c>
      <c r="I2000" s="67"/>
      <c r="J2000" s="67">
        <f>ROUND(+I2000-H2000,4)</f>
        <v>0</v>
      </c>
      <c r="K2000" s="67">
        <f>ROUND(IF(F2000="alluminio",0,I2000*1.5%),4)</f>
        <v>0</v>
      </c>
      <c r="L2000" s="67">
        <f>ROUND(IF(K2000&lt;J2000,K2000,0),4)</f>
        <v>0</v>
      </c>
      <c r="M2000" s="67">
        <f>ROUND(IF(J2000&gt;K2000,0,J2000),4)</f>
        <v>0</v>
      </c>
      <c r="N2000" s="67">
        <f>ROUND(+L2000*D2000,4)</f>
        <v>0</v>
      </c>
      <c r="O2000" s="67">
        <f>ROUND(IF(F2000="rame",0,+I2000*3%),4)</f>
        <v>0</v>
      </c>
      <c r="P2000" s="67">
        <f>ROUND(IF(O2000&lt;J2000,O2000,0),4)</f>
        <v>0</v>
      </c>
      <c r="Q2000" s="67">
        <f>ROUND(IF(J2000&gt;O2000,0,J2000),4)</f>
        <v>0</v>
      </c>
      <c r="R2000" s="67">
        <f>ROUND(+P2000*D2000,4)</f>
        <v>0</v>
      </c>
      <c r="S2000" s="67">
        <f>ROUND(IF(K2000=0,0,M2000*D2000),4)</f>
        <v>0</v>
      </c>
      <c r="T2000" s="67">
        <f>ROUND(+IF(K2000=0,Q2000*D2000,0),4)</f>
        <v>0</v>
      </c>
      <c r="U2000" s="67">
        <f>ROUND(+N2000+R2000+S2000+T2000,4)</f>
        <v>0</v>
      </c>
      <c r="V2000" s="67">
        <f>ROUND(IF(P2000=0,0,I2000-H2000-O2000)+IF(L2000=0,0,I2000-H2000-K2000),4)</f>
        <v>0</v>
      </c>
      <c r="W2000" s="67">
        <f>ROUND(+(V2000*60%)*D2000,4)</f>
        <v>0</v>
      </c>
      <c r="X2000" s="148">
        <f>ROUND(+U2000+W2000,4)</f>
        <v>0</v>
      </c>
      <c r="Y2000" s="68"/>
      <c r="Z2000" s="148">
        <f>ROUND(IF(X2000&gt;I2000,X2000,I2000),4)</f>
        <v>0</v>
      </c>
      <c r="AD2000" s="78">
        <f t="shared" si="40"/>
        <v>0</v>
      </c>
      <c r="AE2000" s="78">
        <f t="shared" si="41"/>
        <v>0</v>
      </c>
    </row>
    <row r="2001" spans="1:31" x14ac:dyDescent="0.2">
      <c r="A2001" s="66"/>
      <c r="B2001" s="66"/>
      <c r="C2001" s="66"/>
      <c r="D2001" s="144"/>
      <c r="E2001" s="67"/>
      <c r="F2001" s="67"/>
      <c r="G2001" s="67"/>
      <c r="H2001" s="67">
        <f>ROUND(+E2001+G2001,4)</f>
        <v>0</v>
      </c>
      <c r="I2001" s="67"/>
      <c r="J2001" s="67">
        <f>ROUND(+I2001-H2001,4)</f>
        <v>0</v>
      </c>
      <c r="K2001" s="67">
        <f>ROUND(IF(F2001="alluminio",0,I2001*1.5%),4)</f>
        <v>0</v>
      </c>
      <c r="L2001" s="67">
        <f>ROUND(IF(K2001&lt;J2001,K2001,0),4)</f>
        <v>0</v>
      </c>
      <c r="M2001" s="67">
        <f>ROUND(IF(J2001&gt;K2001,0,J2001),4)</f>
        <v>0</v>
      </c>
      <c r="N2001" s="67">
        <f>ROUND(+L2001*D2001,4)</f>
        <v>0</v>
      </c>
      <c r="O2001" s="67">
        <f>ROUND(IF(F2001="rame",0,+I2001*3%),4)</f>
        <v>0</v>
      </c>
      <c r="P2001" s="67">
        <f>ROUND(IF(O2001&lt;J2001,O2001,0),4)</f>
        <v>0</v>
      </c>
      <c r="Q2001" s="67">
        <f>ROUND(IF(J2001&gt;O2001,0,J2001),4)</f>
        <v>0</v>
      </c>
      <c r="R2001" s="67">
        <f>ROUND(+P2001*D2001,4)</f>
        <v>0</v>
      </c>
      <c r="S2001" s="67">
        <f>ROUND(IF(K2001=0,0,M2001*D2001),4)</f>
        <v>0</v>
      </c>
      <c r="T2001" s="67">
        <f>ROUND(+IF(K2001=0,Q2001*D2001,0),4)</f>
        <v>0</v>
      </c>
      <c r="U2001" s="67">
        <f>ROUND(+N2001+R2001+S2001+T2001,4)</f>
        <v>0</v>
      </c>
      <c r="V2001" s="67">
        <f>ROUND(IF(P2001=0,0,I2001-H2001-O2001)+IF(L2001=0,0,I2001-H2001-K2001),4)</f>
        <v>0</v>
      </c>
      <c r="W2001" s="67">
        <f>ROUND(+(V2001*60%)*D2001,4)</f>
        <v>0</v>
      </c>
      <c r="X2001" s="148">
        <f>ROUND(+U2001+W2001,4)</f>
        <v>0</v>
      </c>
      <c r="Y2001" s="68"/>
      <c r="Z2001" s="148">
        <f>ROUND(IF(X2001&gt;I2001,X2001,I2001),4)</f>
        <v>0</v>
      </c>
      <c r="AD2001" s="78">
        <f t="shared" si="40"/>
        <v>0</v>
      </c>
      <c r="AE2001" s="78">
        <f t="shared" si="41"/>
        <v>0</v>
      </c>
    </row>
    <row r="2002" spans="1:31" x14ac:dyDescent="0.2">
      <c r="A2002" s="66"/>
      <c r="B2002" s="66"/>
      <c r="C2002" s="66"/>
      <c r="D2002" s="144"/>
      <c r="E2002" s="67"/>
      <c r="F2002" s="67"/>
      <c r="G2002" s="67"/>
      <c r="H2002" s="67">
        <f>ROUND(+E2002+G2002,4)</f>
        <v>0</v>
      </c>
      <c r="I2002" s="67"/>
      <c r="J2002" s="67">
        <f>ROUND(+I2002-H2002,4)</f>
        <v>0</v>
      </c>
      <c r="K2002" s="67">
        <f>ROUND(IF(F2002="alluminio",0,I2002*1.5%),4)</f>
        <v>0</v>
      </c>
      <c r="L2002" s="67">
        <f>ROUND(IF(K2002&lt;J2002,K2002,0),4)</f>
        <v>0</v>
      </c>
      <c r="M2002" s="67">
        <f>ROUND(IF(J2002&gt;K2002,0,J2002),4)</f>
        <v>0</v>
      </c>
      <c r="N2002" s="67">
        <f>ROUND(+L2002*D2002,4)</f>
        <v>0</v>
      </c>
      <c r="O2002" s="67">
        <f>ROUND(IF(F2002="rame",0,+I2002*3%),4)</f>
        <v>0</v>
      </c>
      <c r="P2002" s="67">
        <f>ROUND(IF(O2002&lt;J2002,O2002,0),4)</f>
        <v>0</v>
      </c>
      <c r="Q2002" s="67">
        <f>ROUND(IF(J2002&gt;O2002,0,J2002),4)</f>
        <v>0</v>
      </c>
      <c r="R2002" s="67">
        <f>ROUND(+P2002*D2002,4)</f>
        <v>0</v>
      </c>
      <c r="S2002" s="67">
        <f>ROUND(IF(K2002=0,0,M2002*D2002),4)</f>
        <v>0</v>
      </c>
      <c r="T2002" s="67">
        <f>ROUND(+IF(K2002=0,Q2002*D2002,0),4)</f>
        <v>0</v>
      </c>
      <c r="U2002" s="67">
        <f>ROUND(+N2002+R2002+S2002+T2002,4)</f>
        <v>0</v>
      </c>
      <c r="V2002" s="67">
        <f>ROUND(IF(P2002=0,0,I2002-H2002-O2002)+IF(L2002=0,0,I2002-H2002-K2002),4)</f>
        <v>0</v>
      </c>
      <c r="W2002" s="67">
        <f>ROUND(+(V2002*60%)*D2002,4)</f>
        <v>0</v>
      </c>
      <c r="X2002" s="148">
        <f>ROUND(+U2002+W2002,4)</f>
        <v>0</v>
      </c>
      <c r="Y2002" s="68"/>
      <c r="Z2002" s="148">
        <f>ROUND(IF(X2002&gt;I2002,X2002,I2002),4)</f>
        <v>0</v>
      </c>
      <c r="AD2002" s="78">
        <f t="shared" si="40"/>
        <v>0</v>
      </c>
      <c r="AE2002" s="78">
        <f t="shared" si="41"/>
        <v>0</v>
      </c>
    </row>
    <row r="2003" spans="1:31" x14ac:dyDescent="0.2">
      <c r="A2003" s="66"/>
      <c r="B2003" s="66"/>
      <c r="C2003" s="66"/>
      <c r="D2003" s="144"/>
      <c r="E2003" s="67"/>
      <c r="F2003" s="67"/>
      <c r="G2003" s="67"/>
      <c r="H2003" s="67">
        <f>ROUND(+E2003+G2003,4)</f>
        <v>0</v>
      </c>
      <c r="I2003" s="67"/>
      <c r="J2003" s="67">
        <f>ROUND(+I2003-H2003,4)</f>
        <v>0</v>
      </c>
      <c r="K2003" s="67">
        <f>ROUND(IF(F2003="alluminio",0,I2003*1.5%),4)</f>
        <v>0</v>
      </c>
      <c r="L2003" s="67">
        <f>ROUND(IF(K2003&lt;J2003,K2003,0),4)</f>
        <v>0</v>
      </c>
      <c r="M2003" s="67">
        <f>ROUND(IF(J2003&gt;K2003,0,J2003),4)</f>
        <v>0</v>
      </c>
      <c r="N2003" s="67">
        <f>ROUND(+L2003*D2003,4)</f>
        <v>0</v>
      </c>
      <c r="O2003" s="67">
        <f>ROUND(IF(F2003="rame",0,+I2003*3%),4)</f>
        <v>0</v>
      </c>
      <c r="P2003" s="67">
        <f>ROUND(IF(O2003&lt;J2003,O2003,0),4)</f>
        <v>0</v>
      </c>
      <c r="Q2003" s="67">
        <f>ROUND(IF(J2003&gt;O2003,0,J2003),4)</f>
        <v>0</v>
      </c>
      <c r="R2003" s="67">
        <f>ROUND(+P2003*D2003,4)</f>
        <v>0</v>
      </c>
      <c r="S2003" s="67">
        <f>ROUND(IF(K2003=0,0,M2003*D2003),4)</f>
        <v>0</v>
      </c>
      <c r="T2003" s="67">
        <f>ROUND(+IF(K2003=0,Q2003*D2003,0),4)</f>
        <v>0</v>
      </c>
      <c r="U2003" s="67">
        <f>ROUND(+N2003+R2003+S2003+T2003,4)</f>
        <v>0</v>
      </c>
      <c r="V2003" s="67">
        <f>ROUND(IF(P2003=0,0,I2003-H2003-O2003)+IF(L2003=0,0,I2003-H2003-K2003),4)</f>
        <v>0</v>
      </c>
      <c r="W2003" s="67">
        <f>ROUND(+(V2003*60%)*D2003,4)</f>
        <v>0</v>
      </c>
      <c r="X2003" s="148">
        <f>ROUND(+U2003+W2003,4)</f>
        <v>0</v>
      </c>
      <c r="Y2003" s="68"/>
      <c r="Z2003" s="148">
        <f>ROUND(IF(X2003&gt;I2003,X2003,I2003),4)</f>
        <v>0</v>
      </c>
      <c r="AD2003" s="78">
        <f t="shared" si="40"/>
        <v>0</v>
      </c>
      <c r="AE2003" s="78">
        <f t="shared" si="41"/>
        <v>0</v>
      </c>
    </row>
    <row r="2004" spans="1:31" x14ac:dyDescent="0.2">
      <c r="A2004" s="66"/>
      <c r="B2004" s="66"/>
      <c r="C2004" s="66"/>
      <c r="D2004" s="144"/>
      <c r="E2004" s="67"/>
      <c r="F2004" s="67"/>
      <c r="G2004" s="67"/>
      <c r="H2004" s="67">
        <f>ROUND(+E2004+G2004,4)</f>
        <v>0</v>
      </c>
      <c r="I2004" s="67"/>
      <c r="J2004" s="67">
        <f>ROUND(+I2004-H2004,4)</f>
        <v>0</v>
      </c>
      <c r="K2004" s="67">
        <f>ROUND(IF(F2004="alluminio",0,I2004*1.5%),4)</f>
        <v>0</v>
      </c>
      <c r="L2004" s="67">
        <f>ROUND(IF(K2004&lt;J2004,K2004,0),4)</f>
        <v>0</v>
      </c>
      <c r="M2004" s="67">
        <f>ROUND(IF(J2004&gt;K2004,0,J2004),4)</f>
        <v>0</v>
      </c>
      <c r="N2004" s="67">
        <f>ROUND(+L2004*D2004,4)</f>
        <v>0</v>
      </c>
      <c r="O2004" s="67">
        <f>ROUND(IF(F2004="rame",0,+I2004*3%),4)</f>
        <v>0</v>
      </c>
      <c r="P2004" s="67">
        <f>ROUND(IF(O2004&lt;J2004,O2004,0),4)</f>
        <v>0</v>
      </c>
      <c r="Q2004" s="67">
        <f>ROUND(IF(J2004&gt;O2004,0,J2004),4)</f>
        <v>0</v>
      </c>
      <c r="R2004" s="67">
        <f>ROUND(+P2004*D2004,4)</f>
        <v>0</v>
      </c>
      <c r="S2004" s="67">
        <f>ROUND(IF(K2004=0,0,M2004*D2004),4)</f>
        <v>0</v>
      </c>
      <c r="T2004" s="67">
        <f>ROUND(+IF(K2004=0,Q2004*D2004,0),4)</f>
        <v>0</v>
      </c>
      <c r="U2004" s="67">
        <f>ROUND(+N2004+R2004+S2004+T2004,4)</f>
        <v>0</v>
      </c>
      <c r="V2004" s="67">
        <f>ROUND(IF(P2004=0,0,I2004-H2004-O2004)+IF(L2004=0,0,I2004-H2004-K2004),4)</f>
        <v>0</v>
      </c>
      <c r="W2004" s="67">
        <f>ROUND(+(V2004*60%)*D2004,4)</f>
        <v>0</v>
      </c>
      <c r="X2004" s="148">
        <f>ROUND(+U2004+W2004,4)</f>
        <v>0</v>
      </c>
      <c r="Y2004" s="68"/>
      <c r="Z2004" s="148">
        <f>ROUND(IF(X2004&gt;I2004,X2004,I2004),4)</f>
        <v>0</v>
      </c>
      <c r="AD2004" s="78">
        <f t="shared" si="40"/>
        <v>0</v>
      </c>
      <c r="AE2004" s="78">
        <f t="shared" si="41"/>
        <v>0</v>
      </c>
    </row>
    <row r="2005" spans="1:31" x14ac:dyDescent="0.2">
      <c r="A2005" s="66"/>
      <c r="B2005" s="66"/>
      <c r="C2005" s="66"/>
      <c r="D2005" s="144"/>
      <c r="E2005" s="67"/>
      <c r="F2005" s="67"/>
      <c r="G2005" s="67"/>
      <c r="H2005" s="67">
        <f>ROUND(+E2005+G2005,4)</f>
        <v>0</v>
      </c>
      <c r="I2005" s="67"/>
      <c r="J2005" s="67">
        <f>ROUND(+I2005-H2005,4)</f>
        <v>0</v>
      </c>
      <c r="K2005" s="67">
        <f>ROUND(IF(F2005="alluminio",0,I2005*1.5%),4)</f>
        <v>0</v>
      </c>
      <c r="L2005" s="67">
        <f>ROUND(IF(K2005&lt;J2005,K2005,0),4)</f>
        <v>0</v>
      </c>
      <c r="M2005" s="67">
        <f>ROUND(IF(J2005&gt;K2005,0,J2005),4)</f>
        <v>0</v>
      </c>
      <c r="N2005" s="67">
        <f>ROUND(+L2005*D2005,4)</f>
        <v>0</v>
      </c>
      <c r="O2005" s="67">
        <f>ROUND(IF(F2005="rame",0,+I2005*3%),4)</f>
        <v>0</v>
      </c>
      <c r="P2005" s="67">
        <f>ROUND(IF(O2005&lt;J2005,O2005,0),4)</f>
        <v>0</v>
      </c>
      <c r="Q2005" s="67">
        <f>ROUND(IF(J2005&gt;O2005,0,J2005),4)</f>
        <v>0</v>
      </c>
      <c r="R2005" s="67">
        <f>ROUND(+P2005*D2005,4)</f>
        <v>0</v>
      </c>
      <c r="S2005" s="67">
        <f>ROUND(IF(K2005=0,0,M2005*D2005),4)</f>
        <v>0</v>
      </c>
      <c r="T2005" s="67">
        <f>ROUND(+IF(K2005=0,Q2005*D2005,0),4)</f>
        <v>0</v>
      </c>
      <c r="U2005" s="67">
        <f>ROUND(+N2005+R2005+S2005+T2005,4)</f>
        <v>0</v>
      </c>
      <c r="V2005" s="67">
        <f>ROUND(IF(P2005=0,0,I2005-H2005-O2005)+IF(L2005=0,0,I2005-H2005-K2005),4)</f>
        <v>0</v>
      </c>
      <c r="W2005" s="67">
        <f>ROUND(+(V2005*60%)*D2005,4)</f>
        <v>0</v>
      </c>
      <c r="X2005" s="148">
        <f>ROUND(+U2005+W2005,4)</f>
        <v>0</v>
      </c>
      <c r="Y2005" s="68"/>
      <c r="Z2005" s="148">
        <f>ROUND(IF(X2005&gt;I2005,X2005,I2005),4)</f>
        <v>0</v>
      </c>
      <c r="AD2005" s="78">
        <f t="shared" si="40"/>
        <v>0</v>
      </c>
      <c r="AE2005" s="78">
        <f t="shared" si="41"/>
        <v>0</v>
      </c>
    </row>
    <row r="2006" spans="1:31" x14ac:dyDescent="0.2">
      <c r="A2006" s="66"/>
      <c r="B2006" s="66"/>
      <c r="C2006" s="66"/>
      <c r="D2006" s="144"/>
      <c r="E2006" s="67"/>
      <c r="F2006" s="67"/>
      <c r="G2006" s="67"/>
      <c r="H2006" s="67">
        <f>ROUND(+E2006+G2006,4)</f>
        <v>0</v>
      </c>
      <c r="I2006" s="67"/>
      <c r="J2006" s="67">
        <f>ROUND(+I2006-H2006,4)</f>
        <v>0</v>
      </c>
      <c r="K2006" s="67">
        <f>ROUND(IF(F2006="alluminio",0,I2006*1.5%),4)</f>
        <v>0</v>
      </c>
      <c r="L2006" s="67">
        <f>ROUND(IF(K2006&lt;J2006,K2006,0),4)</f>
        <v>0</v>
      </c>
      <c r="M2006" s="67">
        <f>ROUND(IF(J2006&gt;K2006,0,J2006),4)</f>
        <v>0</v>
      </c>
      <c r="N2006" s="67">
        <f>ROUND(+L2006*D2006,4)</f>
        <v>0</v>
      </c>
      <c r="O2006" s="67">
        <f>ROUND(IF(F2006="rame",0,+I2006*3%),4)</f>
        <v>0</v>
      </c>
      <c r="P2006" s="67">
        <f>ROUND(IF(O2006&lt;J2006,O2006,0),4)</f>
        <v>0</v>
      </c>
      <c r="Q2006" s="67">
        <f>ROUND(IF(J2006&gt;O2006,0,J2006),4)</f>
        <v>0</v>
      </c>
      <c r="R2006" s="67">
        <f>ROUND(+P2006*D2006,4)</f>
        <v>0</v>
      </c>
      <c r="S2006" s="67">
        <f>ROUND(IF(K2006=0,0,M2006*D2006),4)</f>
        <v>0</v>
      </c>
      <c r="T2006" s="67">
        <f>ROUND(+IF(K2006=0,Q2006*D2006,0),4)</f>
        <v>0</v>
      </c>
      <c r="U2006" s="67">
        <f>ROUND(+N2006+R2006+S2006+T2006,4)</f>
        <v>0</v>
      </c>
      <c r="V2006" s="67">
        <f>ROUND(IF(P2006=0,0,I2006-H2006-O2006)+IF(L2006=0,0,I2006-H2006-K2006),4)</f>
        <v>0</v>
      </c>
      <c r="W2006" s="67">
        <f>ROUND(+(V2006*60%)*D2006,4)</f>
        <v>0</v>
      </c>
      <c r="X2006" s="148">
        <f>ROUND(+U2006+W2006,4)</f>
        <v>0</v>
      </c>
      <c r="Y2006" s="68"/>
      <c r="Z2006" s="148">
        <f>ROUND(IF(X2006&gt;I2006,X2006,I2006),4)</f>
        <v>0</v>
      </c>
      <c r="AD2006" s="78">
        <f t="shared" si="40"/>
        <v>0</v>
      </c>
      <c r="AE2006" s="78">
        <f t="shared" si="41"/>
        <v>0</v>
      </c>
    </row>
    <row r="2007" spans="1:31" x14ac:dyDescent="0.2">
      <c r="A2007" s="66"/>
      <c r="B2007" s="66"/>
      <c r="C2007" s="66"/>
      <c r="D2007" s="144"/>
      <c r="E2007" s="67"/>
      <c r="F2007" s="67"/>
      <c r="G2007" s="67"/>
      <c r="H2007" s="67">
        <f>ROUND(+E2007+G2007,4)</f>
        <v>0</v>
      </c>
      <c r="I2007" s="67"/>
      <c r="J2007" s="67">
        <f>ROUND(+I2007-H2007,4)</f>
        <v>0</v>
      </c>
      <c r="K2007" s="67">
        <f>ROUND(IF(F2007="alluminio",0,I2007*1.5%),4)</f>
        <v>0</v>
      </c>
      <c r="L2007" s="67">
        <f>ROUND(IF(K2007&lt;J2007,K2007,0),4)</f>
        <v>0</v>
      </c>
      <c r="M2007" s="67">
        <f>ROUND(IF(J2007&gt;K2007,0,J2007),4)</f>
        <v>0</v>
      </c>
      <c r="N2007" s="67">
        <f>ROUND(+L2007*D2007,4)</f>
        <v>0</v>
      </c>
      <c r="O2007" s="67">
        <f>ROUND(IF(F2007="rame",0,+I2007*3%),4)</f>
        <v>0</v>
      </c>
      <c r="P2007" s="67">
        <f>ROUND(IF(O2007&lt;J2007,O2007,0),4)</f>
        <v>0</v>
      </c>
      <c r="Q2007" s="67">
        <f>ROUND(IF(J2007&gt;O2007,0,J2007),4)</f>
        <v>0</v>
      </c>
      <c r="R2007" s="67">
        <f>ROUND(+P2007*D2007,4)</f>
        <v>0</v>
      </c>
      <c r="S2007" s="67">
        <f>ROUND(IF(K2007=0,0,M2007*D2007),4)</f>
        <v>0</v>
      </c>
      <c r="T2007" s="67">
        <f>ROUND(+IF(K2007=0,Q2007*D2007,0),4)</f>
        <v>0</v>
      </c>
      <c r="U2007" s="67">
        <f>ROUND(+N2007+R2007+S2007+T2007,4)</f>
        <v>0</v>
      </c>
      <c r="V2007" s="67">
        <f>ROUND(IF(P2007=0,0,I2007-H2007-O2007)+IF(L2007=0,0,I2007-H2007-K2007),4)</f>
        <v>0</v>
      </c>
      <c r="W2007" s="67">
        <f>ROUND(+(V2007*60%)*D2007,4)</f>
        <v>0</v>
      </c>
      <c r="X2007" s="148">
        <f>ROUND(+U2007+W2007,4)</f>
        <v>0</v>
      </c>
      <c r="Y2007" s="68"/>
      <c r="Z2007" s="148">
        <f>ROUND(IF(X2007&gt;I2007,X2007,I2007),4)</f>
        <v>0</v>
      </c>
      <c r="AD2007" s="78">
        <f t="shared" si="40"/>
        <v>0</v>
      </c>
      <c r="AE2007" s="78">
        <f t="shared" si="41"/>
        <v>0</v>
      </c>
    </row>
    <row r="2008" spans="1:31" x14ac:dyDescent="0.2">
      <c r="A2008" s="66"/>
      <c r="B2008" s="66"/>
      <c r="C2008" s="66"/>
      <c r="D2008" s="144"/>
      <c r="E2008" s="67"/>
      <c r="F2008" s="67"/>
      <c r="G2008" s="67"/>
      <c r="H2008" s="67">
        <f>ROUND(+E2008+G2008,4)</f>
        <v>0</v>
      </c>
      <c r="I2008" s="67"/>
      <c r="J2008" s="67">
        <f>ROUND(+I2008-H2008,4)</f>
        <v>0</v>
      </c>
      <c r="K2008" s="67">
        <f>ROUND(IF(F2008="alluminio",0,I2008*1.5%),4)</f>
        <v>0</v>
      </c>
      <c r="L2008" s="67">
        <f>ROUND(IF(K2008&lt;J2008,K2008,0),4)</f>
        <v>0</v>
      </c>
      <c r="M2008" s="67">
        <f>ROUND(IF(J2008&gt;K2008,0,J2008),4)</f>
        <v>0</v>
      </c>
      <c r="N2008" s="67">
        <f>ROUND(+L2008*D2008,4)</f>
        <v>0</v>
      </c>
      <c r="O2008" s="67">
        <f>ROUND(IF(F2008="rame",0,+I2008*3%),4)</f>
        <v>0</v>
      </c>
      <c r="P2008" s="67">
        <f>ROUND(IF(O2008&lt;J2008,O2008,0),4)</f>
        <v>0</v>
      </c>
      <c r="Q2008" s="67">
        <f>ROUND(IF(J2008&gt;O2008,0,J2008),4)</f>
        <v>0</v>
      </c>
      <c r="R2008" s="67">
        <f>ROUND(+P2008*D2008,4)</f>
        <v>0</v>
      </c>
      <c r="S2008" s="67">
        <f>ROUND(IF(K2008=0,0,M2008*D2008),4)</f>
        <v>0</v>
      </c>
      <c r="T2008" s="67">
        <f>ROUND(+IF(K2008=0,Q2008*D2008,0),4)</f>
        <v>0</v>
      </c>
      <c r="U2008" s="67">
        <f>ROUND(+N2008+R2008+S2008+T2008,4)</f>
        <v>0</v>
      </c>
      <c r="V2008" s="67">
        <f>ROUND(IF(P2008=0,0,I2008-H2008-O2008)+IF(L2008=0,0,I2008-H2008-K2008),4)</f>
        <v>0</v>
      </c>
      <c r="W2008" s="67">
        <f>ROUND(+(V2008*60%)*D2008,4)</f>
        <v>0</v>
      </c>
      <c r="X2008" s="148">
        <f>ROUND(+U2008+W2008,4)</f>
        <v>0</v>
      </c>
      <c r="Y2008" s="68"/>
      <c r="Z2008" s="148">
        <f>ROUND(IF(X2008&gt;I2008,X2008,I2008),4)</f>
        <v>0</v>
      </c>
      <c r="AD2008" s="78">
        <f t="shared" si="40"/>
        <v>0</v>
      </c>
      <c r="AE2008" s="78">
        <f t="shared" si="41"/>
        <v>0</v>
      </c>
    </row>
    <row r="2009" spans="1:31" x14ac:dyDescent="0.2">
      <c r="A2009" s="66"/>
      <c r="B2009" s="66"/>
      <c r="C2009" s="66"/>
      <c r="D2009" s="144"/>
      <c r="E2009" s="67"/>
      <c r="F2009" s="67"/>
      <c r="G2009" s="67"/>
      <c r="H2009" s="67">
        <f>ROUND(+E2009+G2009,4)</f>
        <v>0</v>
      </c>
      <c r="I2009" s="67"/>
      <c r="J2009" s="67">
        <f>ROUND(+I2009-H2009,4)</f>
        <v>0</v>
      </c>
      <c r="K2009" s="67">
        <f>ROUND(IF(F2009="alluminio",0,I2009*1.5%),4)</f>
        <v>0</v>
      </c>
      <c r="L2009" s="67">
        <f>ROUND(IF(K2009&lt;J2009,K2009,0),4)</f>
        <v>0</v>
      </c>
      <c r="M2009" s="67">
        <f>ROUND(IF(J2009&gt;K2009,0,J2009),4)</f>
        <v>0</v>
      </c>
      <c r="N2009" s="67">
        <f>ROUND(+L2009*D2009,4)</f>
        <v>0</v>
      </c>
      <c r="O2009" s="67">
        <f>ROUND(IF(F2009="rame",0,+I2009*3%),4)</f>
        <v>0</v>
      </c>
      <c r="P2009" s="67">
        <f>ROUND(IF(O2009&lt;J2009,O2009,0),4)</f>
        <v>0</v>
      </c>
      <c r="Q2009" s="67">
        <f>ROUND(IF(J2009&gt;O2009,0,J2009),4)</f>
        <v>0</v>
      </c>
      <c r="R2009" s="67">
        <f>ROUND(+P2009*D2009,4)</f>
        <v>0</v>
      </c>
      <c r="S2009" s="67">
        <f>ROUND(IF(K2009=0,0,M2009*D2009),4)</f>
        <v>0</v>
      </c>
      <c r="T2009" s="67">
        <f>ROUND(+IF(K2009=0,Q2009*D2009,0),4)</f>
        <v>0</v>
      </c>
      <c r="U2009" s="67">
        <f>ROUND(+N2009+R2009+S2009+T2009,4)</f>
        <v>0</v>
      </c>
      <c r="V2009" s="67">
        <f>ROUND(IF(P2009=0,0,I2009-H2009-O2009)+IF(L2009=0,0,I2009-H2009-K2009),4)</f>
        <v>0</v>
      </c>
      <c r="W2009" s="67">
        <f>ROUND(+(V2009*60%)*D2009,4)</f>
        <v>0</v>
      </c>
      <c r="X2009" s="148">
        <f>ROUND(+U2009+W2009,4)</f>
        <v>0</v>
      </c>
      <c r="Y2009" s="68"/>
      <c r="Z2009" s="148">
        <f>ROUND(IF(X2009&gt;I2009,X2009,I2009),4)</f>
        <v>0</v>
      </c>
      <c r="AD2009" s="78">
        <f t="shared" si="40"/>
        <v>0</v>
      </c>
      <c r="AE2009" s="78">
        <f t="shared" si="41"/>
        <v>0</v>
      </c>
    </row>
    <row r="2010" spans="1:31" x14ac:dyDescent="0.2">
      <c r="A2010" s="66"/>
      <c r="B2010" s="66"/>
      <c r="C2010" s="66"/>
      <c r="D2010" s="144"/>
      <c r="E2010" s="67"/>
      <c r="F2010" s="67"/>
      <c r="G2010" s="67"/>
      <c r="H2010" s="67">
        <f>ROUND(+E2010+G2010,4)</f>
        <v>0</v>
      </c>
      <c r="I2010" s="67"/>
      <c r="J2010" s="67">
        <f>ROUND(+I2010-H2010,4)</f>
        <v>0</v>
      </c>
      <c r="K2010" s="67">
        <f>ROUND(IF(F2010="alluminio",0,I2010*1.5%),4)</f>
        <v>0</v>
      </c>
      <c r="L2010" s="67">
        <f>ROUND(IF(K2010&lt;J2010,K2010,0),4)</f>
        <v>0</v>
      </c>
      <c r="M2010" s="67">
        <f>ROUND(IF(J2010&gt;K2010,0,J2010),4)</f>
        <v>0</v>
      </c>
      <c r="N2010" s="67">
        <f>ROUND(+L2010*D2010,4)</f>
        <v>0</v>
      </c>
      <c r="O2010" s="67">
        <f>ROUND(IF(F2010="rame",0,+I2010*3%),4)</f>
        <v>0</v>
      </c>
      <c r="P2010" s="67">
        <f>ROUND(IF(O2010&lt;J2010,O2010,0),4)</f>
        <v>0</v>
      </c>
      <c r="Q2010" s="67">
        <f>ROUND(IF(J2010&gt;O2010,0,J2010),4)</f>
        <v>0</v>
      </c>
      <c r="R2010" s="67">
        <f>ROUND(+P2010*D2010,4)</f>
        <v>0</v>
      </c>
      <c r="S2010" s="67">
        <f>ROUND(IF(K2010=0,0,M2010*D2010),4)</f>
        <v>0</v>
      </c>
      <c r="T2010" s="67">
        <f>ROUND(+IF(K2010=0,Q2010*D2010,0),4)</f>
        <v>0</v>
      </c>
      <c r="U2010" s="67">
        <f>ROUND(+N2010+R2010+S2010+T2010,4)</f>
        <v>0</v>
      </c>
      <c r="V2010" s="67">
        <f>ROUND(IF(P2010=0,0,I2010-H2010-O2010)+IF(L2010=0,0,I2010-H2010-K2010),4)</f>
        <v>0</v>
      </c>
      <c r="W2010" s="67">
        <f>ROUND(+(V2010*60%)*D2010,4)</f>
        <v>0</v>
      </c>
      <c r="X2010" s="148">
        <f>ROUND(+U2010+W2010,4)</f>
        <v>0</v>
      </c>
      <c r="Y2010" s="68"/>
      <c r="Z2010" s="148">
        <f>ROUND(IF(X2010&gt;I2010,X2010,I2010),4)</f>
        <v>0</v>
      </c>
      <c r="AD2010" s="78">
        <f t="shared" si="40"/>
        <v>0</v>
      </c>
      <c r="AE2010" s="78">
        <f t="shared" si="41"/>
        <v>0</v>
      </c>
    </row>
    <row r="2011" spans="1:31" x14ac:dyDescent="0.2">
      <c r="A2011" s="66"/>
      <c r="B2011" s="66"/>
      <c r="C2011" s="66"/>
      <c r="D2011" s="144"/>
      <c r="E2011" s="67"/>
      <c r="F2011" s="67"/>
      <c r="G2011" s="67"/>
      <c r="H2011" s="67">
        <f>ROUND(+E2011+G2011,4)</f>
        <v>0</v>
      </c>
      <c r="I2011" s="67"/>
      <c r="J2011" s="67">
        <f>ROUND(+I2011-H2011,4)</f>
        <v>0</v>
      </c>
      <c r="K2011" s="67">
        <f>ROUND(IF(F2011="alluminio",0,I2011*1.5%),4)</f>
        <v>0</v>
      </c>
      <c r="L2011" s="67">
        <f>ROUND(IF(K2011&lt;J2011,K2011,0),4)</f>
        <v>0</v>
      </c>
      <c r="M2011" s="67">
        <f>ROUND(IF(J2011&gt;K2011,0,J2011),4)</f>
        <v>0</v>
      </c>
      <c r="N2011" s="67">
        <f>ROUND(+L2011*D2011,4)</f>
        <v>0</v>
      </c>
      <c r="O2011" s="67">
        <f>ROUND(IF(F2011="rame",0,+I2011*3%),4)</f>
        <v>0</v>
      </c>
      <c r="P2011" s="67">
        <f>ROUND(IF(O2011&lt;J2011,O2011,0),4)</f>
        <v>0</v>
      </c>
      <c r="Q2011" s="67">
        <f>ROUND(IF(J2011&gt;O2011,0,J2011),4)</f>
        <v>0</v>
      </c>
      <c r="R2011" s="67">
        <f>ROUND(+P2011*D2011,4)</f>
        <v>0</v>
      </c>
      <c r="S2011" s="67">
        <f>ROUND(IF(K2011=0,0,M2011*D2011),4)</f>
        <v>0</v>
      </c>
      <c r="T2011" s="67">
        <f>ROUND(+IF(K2011=0,Q2011*D2011,0),4)</f>
        <v>0</v>
      </c>
      <c r="U2011" s="67">
        <f>ROUND(+N2011+R2011+S2011+T2011,4)</f>
        <v>0</v>
      </c>
      <c r="V2011" s="67">
        <f>ROUND(IF(P2011=0,0,I2011-H2011-O2011)+IF(L2011=0,0,I2011-H2011-K2011),4)</f>
        <v>0</v>
      </c>
      <c r="W2011" s="67">
        <f>ROUND(+(V2011*60%)*D2011,4)</f>
        <v>0</v>
      </c>
      <c r="X2011" s="148">
        <f>ROUND(+U2011+W2011,4)</f>
        <v>0</v>
      </c>
      <c r="Y2011" s="68"/>
      <c r="Z2011" s="148">
        <f>ROUND(IF(X2011&gt;I2011,X2011,I2011),4)</f>
        <v>0</v>
      </c>
      <c r="AD2011" s="78">
        <f t="shared" si="40"/>
        <v>0</v>
      </c>
      <c r="AE2011" s="78">
        <f t="shared" si="41"/>
        <v>0</v>
      </c>
    </row>
    <row r="2012" spans="1:31" x14ac:dyDescent="0.2">
      <c r="A2012" s="66"/>
      <c r="B2012" s="66"/>
      <c r="C2012" s="66"/>
      <c r="D2012" s="144"/>
      <c r="E2012" s="67"/>
      <c r="F2012" s="67"/>
      <c r="G2012" s="67"/>
      <c r="H2012" s="67">
        <f>ROUND(+E2012+G2012,4)</f>
        <v>0</v>
      </c>
      <c r="I2012" s="67"/>
      <c r="J2012" s="67">
        <f>ROUND(+I2012-H2012,4)</f>
        <v>0</v>
      </c>
      <c r="K2012" s="67">
        <f>ROUND(IF(F2012="alluminio",0,I2012*1.5%),4)</f>
        <v>0</v>
      </c>
      <c r="L2012" s="67">
        <f>ROUND(IF(K2012&lt;J2012,K2012,0),4)</f>
        <v>0</v>
      </c>
      <c r="M2012" s="67">
        <f>ROUND(IF(J2012&gt;K2012,0,J2012),4)</f>
        <v>0</v>
      </c>
      <c r="N2012" s="67">
        <f>ROUND(+L2012*D2012,4)</f>
        <v>0</v>
      </c>
      <c r="O2012" s="67">
        <f>ROUND(IF(F2012="rame",0,+I2012*3%),4)</f>
        <v>0</v>
      </c>
      <c r="P2012" s="67">
        <f>ROUND(IF(O2012&lt;J2012,O2012,0),4)</f>
        <v>0</v>
      </c>
      <c r="Q2012" s="67">
        <f>ROUND(IF(J2012&gt;O2012,0,J2012),4)</f>
        <v>0</v>
      </c>
      <c r="R2012" s="67">
        <f>ROUND(+P2012*D2012,4)</f>
        <v>0</v>
      </c>
      <c r="S2012" s="67">
        <f>ROUND(IF(K2012=0,0,M2012*D2012),4)</f>
        <v>0</v>
      </c>
      <c r="T2012" s="67">
        <f>ROUND(+IF(K2012=0,Q2012*D2012,0),4)</f>
        <v>0</v>
      </c>
      <c r="U2012" s="67">
        <f>ROUND(+N2012+R2012+S2012+T2012,4)</f>
        <v>0</v>
      </c>
      <c r="V2012" s="67">
        <f>ROUND(IF(P2012=0,0,I2012-H2012-O2012)+IF(L2012=0,0,I2012-H2012-K2012),4)</f>
        <v>0</v>
      </c>
      <c r="W2012" s="67">
        <f>ROUND(+(V2012*60%)*D2012,4)</f>
        <v>0</v>
      </c>
      <c r="X2012" s="148">
        <f>ROUND(+U2012+W2012,4)</f>
        <v>0</v>
      </c>
      <c r="Y2012" s="68"/>
      <c r="Z2012" s="148">
        <f>ROUND(IF(X2012&gt;I2012,X2012,I2012),4)</f>
        <v>0</v>
      </c>
      <c r="AD2012" s="78">
        <f t="shared" si="40"/>
        <v>0</v>
      </c>
      <c r="AE2012" s="78">
        <f t="shared" si="41"/>
        <v>0</v>
      </c>
    </row>
    <row r="2013" spans="1:31" x14ac:dyDescent="0.2">
      <c r="A2013" s="66"/>
      <c r="B2013" s="66"/>
      <c r="C2013" s="66"/>
      <c r="D2013" s="144"/>
      <c r="E2013" s="67"/>
      <c r="F2013" s="67"/>
      <c r="G2013" s="67"/>
      <c r="H2013" s="67">
        <f>ROUND(+E2013+G2013,4)</f>
        <v>0</v>
      </c>
      <c r="I2013" s="67"/>
      <c r="J2013" s="67">
        <f>ROUND(+I2013-H2013,4)</f>
        <v>0</v>
      </c>
      <c r="K2013" s="67">
        <f>ROUND(IF(F2013="alluminio",0,I2013*1.5%),4)</f>
        <v>0</v>
      </c>
      <c r="L2013" s="67">
        <f>ROUND(IF(K2013&lt;J2013,K2013,0),4)</f>
        <v>0</v>
      </c>
      <c r="M2013" s="67">
        <f>ROUND(IF(J2013&gt;K2013,0,J2013),4)</f>
        <v>0</v>
      </c>
      <c r="N2013" s="67">
        <f>ROUND(+L2013*D2013,4)</f>
        <v>0</v>
      </c>
      <c r="O2013" s="67">
        <f>ROUND(IF(F2013="rame",0,+I2013*3%),4)</f>
        <v>0</v>
      </c>
      <c r="P2013" s="67">
        <f>ROUND(IF(O2013&lt;J2013,O2013,0),4)</f>
        <v>0</v>
      </c>
      <c r="Q2013" s="67">
        <f>ROUND(IF(J2013&gt;O2013,0,J2013),4)</f>
        <v>0</v>
      </c>
      <c r="R2013" s="67">
        <f>ROUND(+P2013*D2013,4)</f>
        <v>0</v>
      </c>
      <c r="S2013" s="67">
        <f>ROUND(IF(K2013=0,0,M2013*D2013),4)</f>
        <v>0</v>
      </c>
      <c r="T2013" s="67">
        <f>ROUND(+IF(K2013=0,Q2013*D2013,0),4)</f>
        <v>0</v>
      </c>
      <c r="U2013" s="67">
        <f>ROUND(+N2013+R2013+S2013+T2013,4)</f>
        <v>0</v>
      </c>
      <c r="V2013" s="67">
        <f>ROUND(IF(P2013=0,0,I2013-H2013-O2013)+IF(L2013=0,0,I2013-H2013-K2013),4)</f>
        <v>0</v>
      </c>
      <c r="W2013" s="67">
        <f>ROUND(+(V2013*60%)*D2013,4)</f>
        <v>0</v>
      </c>
      <c r="X2013" s="148">
        <f>ROUND(+U2013+W2013,4)</f>
        <v>0</v>
      </c>
      <c r="Y2013" s="68"/>
      <c r="Z2013" s="148">
        <f>ROUND(IF(X2013&gt;I2013,X2013,I2013),4)</f>
        <v>0</v>
      </c>
      <c r="AD2013" s="78">
        <f t="shared" si="40"/>
        <v>0</v>
      </c>
      <c r="AE2013" s="78">
        <f t="shared" si="41"/>
        <v>0</v>
      </c>
    </row>
    <row r="2014" spans="1:31" x14ac:dyDescent="0.2">
      <c r="A2014" s="66"/>
      <c r="B2014" s="66"/>
      <c r="C2014" s="66"/>
      <c r="D2014" s="144"/>
      <c r="E2014" s="67"/>
      <c r="F2014" s="67"/>
      <c r="G2014" s="67"/>
      <c r="H2014" s="67">
        <f>ROUND(+E2014+G2014,4)</f>
        <v>0</v>
      </c>
      <c r="I2014" s="67"/>
      <c r="J2014" s="67">
        <f>ROUND(+I2014-H2014,4)</f>
        <v>0</v>
      </c>
      <c r="K2014" s="67">
        <f>ROUND(IF(F2014="alluminio",0,I2014*1.5%),4)</f>
        <v>0</v>
      </c>
      <c r="L2014" s="67">
        <f>ROUND(IF(K2014&lt;J2014,K2014,0),4)</f>
        <v>0</v>
      </c>
      <c r="M2014" s="67">
        <f>ROUND(IF(J2014&gt;K2014,0,J2014),4)</f>
        <v>0</v>
      </c>
      <c r="N2014" s="67">
        <f>ROUND(+L2014*D2014,4)</f>
        <v>0</v>
      </c>
      <c r="O2014" s="67">
        <f>ROUND(IF(F2014="rame",0,+I2014*3%),4)</f>
        <v>0</v>
      </c>
      <c r="P2014" s="67">
        <f>ROUND(IF(O2014&lt;J2014,O2014,0),4)</f>
        <v>0</v>
      </c>
      <c r="Q2014" s="67">
        <f>ROUND(IF(J2014&gt;O2014,0,J2014),4)</f>
        <v>0</v>
      </c>
      <c r="R2014" s="67">
        <f>ROUND(+P2014*D2014,4)</f>
        <v>0</v>
      </c>
      <c r="S2014" s="67">
        <f>ROUND(IF(K2014=0,0,M2014*D2014),4)</f>
        <v>0</v>
      </c>
      <c r="T2014" s="67">
        <f>ROUND(+IF(K2014=0,Q2014*D2014,0),4)</f>
        <v>0</v>
      </c>
      <c r="U2014" s="67">
        <f>ROUND(+N2014+R2014+S2014+T2014,4)</f>
        <v>0</v>
      </c>
      <c r="V2014" s="67">
        <f>ROUND(IF(P2014=0,0,I2014-H2014-O2014)+IF(L2014=0,0,I2014-H2014-K2014),4)</f>
        <v>0</v>
      </c>
      <c r="W2014" s="67">
        <f>ROUND(+(V2014*60%)*D2014,4)</f>
        <v>0</v>
      </c>
      <c r="X2014" s="148">
        <f>ROUND(+U2014+W2014,4)</f>
        <v>0</v>
      </c>
      <c r="Y2014" s="68"/>
      <c r="Z2014" s="148">
        <f>ROUND(IF(X2014&gt;I2014,X2014,I2014),4)</f>
        <v>0</v>
      </c>
      <c r="AD2014" s="78">
        <f t="shared" si="40"/>
        <v>0</v>
      </c>
      <c r="AE2014" s="78">
        <f t="shared" si="41"/>
        <v>0</v>
      </c>
    </row>
    <row r="2015" spans="1:31" x14ac:dyDescent="0.2">
      <c r="A2015" s="66"/>
      <c r="B2015" s="66"/>
      <c r="C2015" s="66"/>
      <c r="D2015" s="144"/>
      <c r="E2015" s="67"/>
      <c r="F2015" s="67"/>
      <c r="G2015" s="67"/>
      <c r="H2015" s="67">
        <f>ROUND(+E2015+G2015,4)</f>
        <v>0</v>
      </c>
      <c r="I2015" s="67"/>
      <c r="J2015" s="67">
        <f>ROUND(+I2015-H2015,4)</f>
        <v>0</v>
      </c>
      <c r="K2015" s="67">
        <f>ROUND(IF(F2015="alluminio",0,I2015*1.5%),4)</f>
        <v>0</v>
      </c>
      <c r="L2015" s="67">
        <f>ROUND(IF(K2015&lt;J2015,K2015,0),4)</f>
        <v>0</v>
      </c>
      <c r="M2015" s="67">
        <f>ROUND(IF(J2015&gt;K2015,0,J2015),4)</f>
        <v>0</v>
      </c>
      <c r="N2015" s="67">
        <f>ROUND(+L2015*D2015,4)</f>
        <v>0</v>
      </c>
      <c r="O2015" s="67">
        <f>ROUND(IF(F2015="rame",0,+I2015*3%),4)</f>
        <v>0</v>
      </c>
      <c r="P2015" s="67">
        <f>ROUND(IF(O2015&lt;J2015,O2015,0),4)</f>
        <v>0</v>
      </c>
      <c r="Q2015" s="67">
        <f>ROUND(IF(J2015&gt;O2015,0,J2015),4)</f>
        <v>0</v>
      </c>
      <c r="R2015" s="67">
        <f>ROUND(+P2015*D2015,4)</f>
        <v>0</v>
      </c>
      <c r="S2015" s="67">
        <f>ROUND(IF(K2015=0,0,M2015*D2015),4)</f>
        <v>0</v>
      </c>
      <c r="T2015" s="67">
        <f>ROUND(+IF(K2015=0,Q2015*D2015,0),4)</f>
        <v>0</v>
      </c>
      <c r="U2015" s="67">
        <f>ROUND(+N2015+R2015+S2015+T2015,4)</f>
        <v>0</v>
      </c>
      <c r="V2015" s="67">
        <f>ROUND(IF(P2015=0,0,I2015-H2015-O2015)+IF(L2015=0,0,I2015-H2015-K2015),4)</f>
        <v>0</v>
      </c>
      <c r="W2015" s="67">
        <f>ROUND(+(V2015*60%)*D2015,4)</f>
        <v>0</v>
      </c>
      <c r="X2015" s="148">
        <f>ROUND(+U2015+W2015,4)</f>
        <v>0</v>
      </c>
      <c r="Y2015" s="68"/>
      <c r="Z2015" s="148">
        <f>ROUND(IF(X2015&gt;I2015,X2015,I2015),4)</f>
        <v>0</v>
      </c>
      <c r="AD2015" s="78">
        <f t="shared" si="40"/>
        <v>0</v>
      </c>
      <c r="AE2015" s="78">
        <f t="shared" si="41"/>
        <v>0</v>
      </c>
    </row>
    <row r="2016" spans="1:31" x14ac:dyDescent="0.2">
      <c r="A2016" s="66"/>
      <c r="B2016" s="66"/>
      <c r="C2016" s="66"/>
      <c r="D2016" s="144"/>
      <c r="E2016" s="67"/>
      <c r="F2016" s="67"/>
      <c r="G2016" s="67"/>
      <c r="H2016" s="67">
        <f>ROUND(+E2016+G2016,4)</f>
        <v>0</v>
      </c>
      <c r="I2016" s="67"/>
      <c r="J2016" s="67">
        <f>ROUND(+I2016-H2016,4)</f>
        <v>0</v>
      </c>
      <c r="K2016" s="67">
        <f>ROUND(IF(F2016="alluminio",0,I2016*1.5%),4)</f>
        <v>0</v>
      </c>
      <c r="L2016" s="67">
        <f>ROUND(IF(K2016&lt;J2016,K2016,0),4)</f>
        <v>0</v>
      </c>
      <c r="M2016" s="67">
        <f>ROUND(IF(J2016&gt;K2016,0,J2016),4)</f>
        <v>0</v>
      </c>
      <c r="N2016" s="67">
        <f>ROUND(+L2016*D2016,4)</f>
        <v>0</v>
      </c>
      <c r="O2016" s="67">
        <f>ROUND(IF(F2016="rame",0,+I2016*3%),4)</f>
        <v>0</v>
      </c>
      <c r="P2016" s="67">
        <f>ROUND(IF(O2016&lt;J2016,O2016,0),4)</f>
        <v>0</v>
      </c>
      <c r="Q2016" s="67">
        <f>ROUND(IF(J2016&gt;O2016,0,J2016),4)</f>
        <v>0</v>
      </c>
      <c r="R2016" s="67">
        <f>ROUND(+P2016*D2016,4)</f>
        <v>0</v>
      </c>
      <c r="S2016" s="67">
        <f>ROUND(IF(K2016=0,0,M2016*D2016),4)</f>
        <v>0</v>
      </c>
      <c r="T2016" s="67">
        <f>ROUND(+IF(K2016=0,Q2016*D2016,0),4)</f>
        <v>0</v>
      </c>
      <c r="U2016" s="67">
        <f>ROUND(+N2016+R2016+S2016+T2016,4)</f>
        <v>0</v>
      </c>
      <c r="V2016" s="67">
        <f>ROUND(IF(P2016=0,0,I2016-H2016-O2016)+IF(L2016=0,0,I2016-H2016-K2016),4)</f>
        <v>0</v>
      </c>
      <c r="W2016" s="67">
        <f>ROUND(+(V2016*60%)*D2016,4)</f>
        <v>0</v>
      </c>
      <c r="X2016" s="148">
        <f>ROUND(+U2016+W2016,4)</f>
        <v>0</v>
      </c>
      <c r="Y2016" s="68"/>
      <c r="Z2016" s="148">
        <f>ROUND(IF(X2016&gt;I2016,X2016,I2016),4)</f>
        <v>0</v>
      </c>
      <c r="AD2016" s="78">
        <f t="shared" si="40"/>
        <v>0</v>
      </c>
      <c r="AE2016" s="78">
        <f t="shared" si="41"/>
        <v>0</v>
      </c>
    </row>
    <row r="2017" spans="1:31" x14ac:dyDescent="0.2">
      <c r="A2017" s="66"/>
      <c r="B2017" s="66"/>
      <c r="C2017" s="66"/>
      <c r="D2017" s="144"/>
      <c r="E2017" s="67"/>
      <c r="F2017" s="67"/>
      <c r="G2017" s="67"/>
      <c r="H2017" s="67">
        <f>ROUND(+E2017+G2017,4)</f>
        <v>0</v>
      </c>
      <c r="I2017" s="67"/>
      <c r="J2017" s="67">
        <f>ROUND(+I2017-H2017,4)</f>
        <v>0</v>
      </c>
      <c r="K2017" s="67">
        <f>ROUND(IF(F2017="alluminio",0,I2017*1.5%),4)</f>
        <v>0</v>
      </c>
      <c r="L2017" s="67">
        <f>ROUND(IF(K2017&lt;J2017,K2017,0),4)</f>
        <v>0</v>
      </c>
      <c r="M2017" s="67">
        <f>ROUND(IF(J2017&gt;K2017,0,J2017),4)</f>
        <v>0</v>
      </c>
      <c r="N2017" s="67">
        <f>ROUND(+L2017*D2017,4)</f>
        <v>0</v>
      </c>
      <c r="O2017" s="67">
        <f>ROUND(IF(F2017="rame",0,+I2017*3%),4)</f>
        <v>0</v>
      </c>
      <c r="P2017" s="67">
        <f>ROUND(IF(O2017&lt;J2017,O2017,0),4)</f>
        <v>0</v>
      </c>
      <c r="Q2017" s="67">
        <f>ROUND(IF(J2017&gt;O2017,0,J2017),4)</f>
        <v>0</v>
      </c>
      <c r="R2017" s="67">
        <f>ROUND(+P2017*D2017,4)</f>
        <v>0</v>
      </c>
      <c r="S2017" s="67">
        <f>ROUND(IF(K2017=0,0,M2017*D2017),4)</f>
        <v>0</v>
      </c>
      <c r="T2017" s="67">
        <f>ROUND(+IF(K2017=0,Q2017*D2017,0),4)</f>
        <v>0</v>
      </c>
      <c r="U2017" s="67">
        <f>ROUND(+N2017+R2017+S2017+T2017,4)</f>
        <v>0</v>
      </c>
      <c r="V2017" s="67">
        <f>ROUND(IF(P2017=0,0,I2017-H2017-O2017)+IF(L2017=0,0,I2017-H2017-K2017),4)</f>
        <v>0</v>
      </c>
      <c r="W2017" s="67">
        <f>ROUND(+(V2017*60%)*D2017,4)</f>
        <v>0</v>
      </c>
      <c r="X2017" s="148">
        <f>ROUND(+U2017+W2017,4)</f>
        <v>0</v>
      </c>
      <c r="Y2017" s="68"/>
      <c r="Z2017" s="148">
        <f>ROUND(IF(X2017&gt;I2017,X2017,I2017),4)</f>
        <v>0</v>
      </c>
      <c r="AD2017" s="78">
        <f t="shared" si="40"/>
        <v>0</v>
      </c>
      <c r="AE2017" s="78">
        <f t="shared" si="41"/>
        <v>0</v>
      </c>
    </row>
    <row r="2018" spans="1:31" x14ac:dyDescent="0.2">
      <c r="A2018" s="66"/>
      <c r="B2018" s="66"/>
      <c r="C2018" s="66"/>
      <c r="D2018" s="144"/>
      <c r="E2018" s="67"/>
      <c r="F2018" s="67"/>
      <c r="G2018" s="67"/>
      <c r="H2018" s="67">
        <f>ROUND(+E2018+G2018,4)</f>
        <v>0</v>
      </c>
      <c r="I2018" s="67"/>
      <c r="J2018" s="67">
        <f>ROUND(+I2018-H2018,4)</f>
        <v>0</v>
      </c>
      <c r="K2018" s="67">
        <f>ROUND(IF(F2018="alluminio",0,I2018*1.5%),4)</f>
        <v>0</v>
      </c>
      <c r="L2018" s="67">
        <f>ROUND(IF(K2018&lt;J2018,K2018,0),4)</f>
        <v>0</v>
      </c>
      <c r="M2018" s="67">
        <f>ROUND(IF(J2018&gt;K2018,0,J2018),4)</f>
        <v>0</v>
      </c>
      <c r="N2018" s="67">
        <f>ROUND(+L2018*D2018,4)</f>
        <v>0</v>
      </c>
      <c r="O2018" s="67">
        <f>ROUND(IF(F2018="rame",0,+I2018*3%),4)</f>
        <v>0</v>
      </c>
      <c r="P2018" s="67">
        <f>ROUND(IF(O2018&lt;J2018,O2018,0),4)</f>
        <v>0</v>
      </c>
      <c r="Q2018" s="67">
        <f>ROUND(IF(J2018&gt;O2018,0,J2018),4)</f>
        <v>0</v>
      </c>
      <c r="R2018" s="67">
        <f>ROUND(+P2018*D2018,4)</f>
        <v>0</v>
      </c>
      <c r="S2018" s="67">
        <f>ROUND(IF(K2018=0,0,M2018*D2018),4)</f>
        <v>0</v>
      </c>
      <c r="T2018" s="67">
        <f>ROUND(+IF(K2018=0,Q2018*D2018,0),4)</f>
        <v>0</v>
      </c>
      <c r="U2018" s="67">
        <f>ROUND(+N2018+R2018+S2018+T2018,4)</f>
        <v>0</v>
      </c>
      <c r="V2018" s="67">
        <f>ROUND(IF(P2018=0,0,I2018-H2018-O2018)+IF(L2018=0,0,I2018-H2018-K2018),4)</f>
        <v>0</v>
      </c>
      <c r="W2018" s="67">
        <f>ROUND(+(V2018*60%)*D2018,4)</f>
        <v>0</v>
      </c>
      <c r="X2018" s="148">
        <f>ROUND(+U2018+W2018,4)</f>
        <v>0</v>
      </c>
      <c r="Y2018" s="68"/>
      <c r="Z2018" s="148">
        <f>ROUND(IF(X2018&gt;I2018,X2018,I2018),4)</f>
        <v>0</v>
      </c>
      <c r="AD2018" s="78">
        <f t="shared" si="40"/>
        <v>0</v>
      </c>
      <c r="AE2018" s="78">
        <f t="shared" si="41"/>
        <v>0</v>
      </c>
    </row>
    <row r="2019" spans="1:31" x14ac:dyDescent="0.2">
      <c r="A2019" s="66"/>
      <c r="B2019" s="66"/>
      <c r="C2019" s="66"/>
      <c r="D2019" s="144"/>
      <c r="E2019" s="67"/>
      <c r="F2019" s="67"/>
      <c r="G2019" s="67"/>
      <c r="H2019" s="67">
        <f>ROUND(+E2019+G2019,4)</f>
        <v>0</v>
      </c>
      <c r="I2019" s="67"/>
      <c r="J2019" s="67">
        <f>ROUND(+I2019-H2019,4)</f>
        <v>0</v>
      </c>
      <c r="K2019" s="67">
        <f>ROUND(IF(F2019="alluminio",0,I2019*1.5%),4)</f>
        <v>0</v>
      </c>
      <c r="L2019" s="67">
        <f>ROUND(IF(K2019&lt;J2019,K2019,0),4)</f>
        <v>0</v>
      </c>
      <c r="M2019" s="67">
        <f>ROUND(IF(J2019&gt;K2019,0,J2019),4)</f>
        <v>0</v>
      </c>
      <c r="N2019" s="67">
        <f>ROUND(+L2019*D2019,4)</f>
        <v>0</v>
      </c>
      <c r="O2019" s="67">
        <f>ROUND(IF(F2019="rame",0,+I2019*3%),4)</f>
        <v>0</v>
      </c>
      <c r="P2019" s="67">
        <f>ROUND(IF(O2019&lt;J2019,O2019,0),4)</f>
        <v>0</v>
      </c>
      <c r="Q2019" s="67">
        <f>ROUND(IF(J2019&gt;O2019,0,J2019),4)</f>
        <v>0</v>
      </c>
      <c r="R2019" s="67">
        <f>ROUND(+P2019*D2019,4)</f>
        <v>0</v>
      </c>
      <c r="S2019" s="67">
        <f>ROUND(IF(K2019=0,0,M2019*D2019),4)</f>
        <v>0</v>
      </c>
      <c r="T2019" s="67">
        <f>ROUND(+IF(K2019=0,Q2019*D2019,0),4)</f>
        <v>0</v>
      </c>
      <c r="U2019" s="67">
        <f>ROUND(+N2019+R2019+S2019+T2019,4)</f>
        <v>0</v>
      </c>
      <c r="V2019" s="67">
        <f>ROUND(IF(P2019=0,0,I2019-H2019-O2019)+IF(L2019=0,0,I2019-H2019-K2019),4)</f>
        <v>0</v>
      </c>
      <c r="W2019" s="67">
        <f>ROUND(+(V2019*60%)*D2019,4)</f>
        <v>0</v>
      </c>
      <c r="X2019" s="148">
        <f>ROUND(+U2019+W2019,4)</f>
        <v>0</v>
      </c>
      <c r="Y2019" s="68"/>
      <c r="Z2019" s="148">
        <f>ROUND(IF(X2019&gt;I2019,X2019,I2019),4)</f>
        <v>0</v>
      </c>
      <c r="AD2019" s="78">
        <f t="shared" si="40"/>
        <v>0</v>
      </c>
      <c r="AE2019" s="78">
        <f t="shared" si="41"/>
        <v>0</v>
      </c>
    </row>
    <row r="2020" spans="1:31" x14ac:dyDescent="0.2">
      <c r="A2020" s="66"/>
      <c r="B2020" s="66"/>
      <c r="C2020" s="66"/>
      <c r="D2020" s="144"/>
      <c r="E2020" s="67"/>
      <c r="F2020" s="67"/>
      <c r="G2020" s="67"/>
      <c r="H2020" s="67">
        <f>ROUND(+E2020+G2020,4)</f>
        <v>0</v>
      </c>
      <c r="I2020" s="67"/>
      <c r="J2020" s="67">
        <f>ROUND(+I2020-H2020,4)</f>
        <v>0</v>
      </c>
      <c r="K2020" s="67">
        <f>ROUND(IF(F2020="alluminio",0,I2020*1.5%),4)</f>
        <v>0</v>
      </c>
      <c r="L2020" s="67">
        <f>ROUND(IF(K2020&lt;J2020,K2020,0),4)</f>
        <v>0</v>
      </c>
      <c r="M2020" s="67">
        <f>ROUND(IF(J2020&gt;K2020,0,J2020),4)</f>
        <v>0</v>
      </c>
      <c r="N2020" s="67">
        <f>ROUND(+L2020*D2020,4)</f>
        <v>0</v>
      </c>
      <c r="O2020" s="67">
        <f>ROUND(IF(F2020="rame",0,+I2020*3%),4)</f>
        <v>0</v>
      </c>
      <c r="P2020" s="67">
        <f>ROUND(IF(O2020&lt;J2020,O2020,0),4)</f>
        <v>0</v>
      </c>
      <c r="Q2020" s="67">
        <f>ROUND(IF(J2020&gt;O2020,0,J2020),4)</f>
        <v>0</v>
      </c>
      <c r="R2020" s="67">
        <f>ROUND(+P2020*D2020,4)</f>
        <v>0</v>
      </c>
      <c r="S2020" s="67">
        <f>ROUND(IF(K2020=0,0,M2020*D2020),4)</f>
        <v>0</v>
      </c>
      <c r="T2020" s="67">
        <f>ROUND(+IF(K2020=0,Q2020*D2020,0),4)</f>
        <v>0</v>
      </c>
      <c r="U2020" s="67">
        <f>ROUND(+N2020+R2020+S2020+T2020,4)</f>
        <v>0</v>
      </c>
      <c r="V2020" s="67">
        <f>ROUND(IF(P2020=0,0,I2020-H2020-O2020)+IF(L2020=0,0,I2020-H2020-K2020),4)</f>
        <v>0</v>
      </c>
      <c r="W2020" s="67">
        <f>ROUND(+(V2020*60%)*D2020,4)</f>
        <v>0</v>
      </c>
      <c r="X2020" s="148">
        <f>ROUND(+U2020+W2020,4)</f>
        <v>0</v>
      </c>
      <c r="Y2020" s="68"/>
      <c r="Z2020" s="148">
        <f>ROUND(IF(X2020&gt;I2020,X2020,I2020),4)</f>
        <v>0</v>
      </c>
      <c r="AD2020" s="78">
        <f t="shared" si="40"/>
        <v>0</v>
      </c>
      <c r="AE2020" s="78">
        <f t="shared" si="41"/>
        <v>0</v>
      </c>
    </row>
    <row r="2021" spans="1:31" x14ac:dyDescent="0.2">
      <c r="A2021" s="66"/>
      <c r="B2021" s="66"/>
      <c r="C2021" s="66"/>
      <c r="D2021" s="144"/>
      <c r="E2021" s="67"/>
      <c r="F2021" s="67"/>
      <c r="G2021" s="67"/>
      <c r="H2021" s="67">
        <f>ROUND(+E2021+G2021,4)</f>
        <v>0</v>
      </c>
      <c r="I2021" s="67"/>
      <c r="J2021" s="67">
        <f>ROUND(+I2021-H2021,4)</f>
        <v>0</v>
      </c>
      <c r="K2021" s="67">
        <f>ROUND(IF(F2021="alluminio",0,I2021*1.5%),4)</f>
        <v>0</v>
      </c>
      <c r="L2021" s="67">
        <f>ROUND(IF(K2021&lt;J2021,K2021,0),4)</f>
        <v>0</v>
      </c>
      <c r="M2021" s="67">
        <f>ROUND(IF(J2021&gt;K2021,0,J2021),4)</f>
        <v>0</v>
      </c>
      <c r="N2021" s="67">
        <f>ROUND(+L2021*D2021,4)</f>
        <v>0</v>
      </c>
      <c r="O2021" s="67">
        <f>ROUND(IF(F2021="rame",0,+I2021*3%),4)</f>
        <v>0</v>
      </c>
      <c r="P2021" s="67">
        <f>ROUND(IF(O2021&lt;J2021,O2021,0),4)</f>
        <v>0</v>
      </c>
      <c r="Q2021" s="67">
        <f>ROUND(IF(J2021&gt;O2021,0,J2021),4)</f>
        <v>0</v>
      </c>
      <c r="R2021" s="67">
        <f>ROUND(+P2021*D2021,4)</f>
        <v>0</v>
      </c>
      <c r="S2021" s="67">
        <f>ROUND(IF(K2021=0,0,M2021*D2021),4)</f>
        <v>0</v>
      </c>
      <c r="T2021" s="67">
        <f>ROUND(+IF(K2021=0,Q2021*D2021,0),4)</f>
        <v>0</v>
      </c>
      <c r="U2021" s="67">
        <f>ROUND(+N2021+R2021+S2021+T2021,4)</f>
        <v>0</v>
      </c>
      <c r="V2021" s="67">
        <f>ROUND(IF(P2021=0,0,I2021-H2021-O2021)+IF(L2021=0,0,I2021-H2021-K2021),4)</f>
        <v>0</v>
      </c>
      <c r="W2021" s="67">
        <f>ROUND(+(V2021*60%)*D2021,4)</f>
        <v>0</v>
      </c>
      <c r="X2021" s="148">
        <f>ROUND(+U2021+W2021,4)</f>
        <v>0</v>
      </c>
      <c r="Y2021" s="68"/>
      <c r="Z2021" s="148">
        <f>ROUND(IF(X2021&gt;I2021,X2021,I2021),4)</f>
        <v>0</v>
      </c>
      <c r="AD2021" s="78">
        <f t="shared" si="40"/>
        <v>0</v>
      </c>
      <c r="AE2021" s="78">
        <f t="shared" si="41"/>
        <v>0</v>
      </c>
    </row>
    <row r="2022" spans="1:31" x14ac:dyDescent="0.2">
      <c r="A2022" s="66"/>
      <c r="B2022" s="66"/>
      <c r="C2022" s="66"/>
      <c r="D2022" s="144"/>
      <c r="E2022" s="67"/>
      <c r="F2022" s="67"/>
      <c r="G2022" s="67"/>
      <c r="H2022" s="67">
        <f>ROUND(+E2022+G2022,4)</f>
        <v>0</v>
      </c>
      <c r="I2022" s="67"/>
      <c r="J2022" s="67">
        <f>ROUND(+I2022-H2022,4)</f>
        <v>0</v>
      </c>
      <c r="K2022" s="67">
        <f>ROUND(IF(F2022="alluminio",0,I2022*1.5%),4)</f>
        <v>0</v>
      </c>
      <c r="L2022" s="67">
        <f>ROUND(IF(K2022&lt;J2022,K2022,0),4)</f>
        <v>0</v>
      </c>
      <c r="M2022" s="67">
        <f>ROUND(IF(J2022&gt;K2022,0,J2022),4)</f>
        <v>0</v>
      </c>
      <c r="N2022" s="67">
        <f>ROUND(+L2022*D2022,4)</f>
        <v>0</v>
      </c>
      <c r="O2022" s="67">
        <f>ROUND(IF(F2022="rame",0,+I2022*3%),4)</f>
        <v>0</v>
      </c>
      <c r="P2022" s="67">
        <f>ROUND(IF(O2022&lt;J2022,O2022,0),4)</f>
        <v>0</v>
      </c>
      <c r="Q2022" s="67">
        <f>ROUND(IF(J2022&gt;O2022,0,J2022),4)</f>
        <v>0</v>
      </c>
      <c r="R2022" s="67">
        <f>ROUND(+P2022*D2022,4)</f>
        <v>0</v>
      </c>
      <c r="S2022" s="67">
        <f>ROUND(IF(K2022=0,0,M2022*D2022),4)</f>
        <v>0</v>
      </c>
      <c r="T2022" s="67">
        <f>ROUND(+IF(K2022=0,Q2022*D2022,0),4)</f>
        <v>0</v>
      </c>
      <c r="U2022" s="67">
        <f>ROUND(+N2022+R2022+S2022+T2022,4)</f>
        <v>0</v>
      </c>
      <c r="V2022" s="67">
        <f>ROUND(IF(P2022=0,0,I2022-H2022-O2022)+IF(L2022=0,0,I2022-H2022-K2022),4)</f>
        <v>0</v>
      </c>
      <c r="W2022" s="67">
        <f>ROUND(+(V2022*60%)*D2022,4)</f>
        <v>0</v>
      </c>
      <c r="X2022" s="148">
        <f>ROUND(+U2022+W2022,4)</f>
        <v>0</v>
      </c>
      <c r="Y2022" s="68"/>
      <c r="Z2022" s="148">
        <f>ROUND(IF(X2022&gt;I2022,X2022,I2022),4)</f>
        <v>0</v>
      </c>
      <c r="AD2022" s="78">
        <f t="shared" si="40"/>
        <v>0</v>
      </c>
      <c r="AE2022" s="78">
        <f t="shared" si="41"/>
        <v>0</v>
      </c>
    </row>
    <row r="2023" spans="1:31" x14ac:dyDescent="0.2">
      <c r="A2023" s="66"/>
      <c r="B2023" s="66"/>
      <c r="C2023" s="66"/>
      <c r="D2023" s="144"/>
      <c r="E2023" s="67"/>
      <c r="F2023" s="67"/>
      <c r="G2023" s="67"/>
      <c r="H2023" s="67">
        <f>ROUND(+E2023+G2023,4)</f>
        <v>0</v>
      </c>
      <c r="I2023" s="67"/>
      <c r="J2023" s="67">
        <f>ROUND(+I2023-H2023,4)</f>
        <v>0</v>
      </c>
      <c r="K2023" s="67">
        <f>ROUND(IF(F2023="alluminio",0,I2023*1.5%),4)</f>
        <v>0</v>
      </c>
      <c r="L2023" s="67">
        <f>ROUND(IF(K2023&lt;J2023,K2023,0),4)</f>
        <v>0</v>
      </c>
      <c r="M2023" s="67">
        <f>ROUND(IF(J2023&gt;K2023,0,J2023),4)</f>
        <v>0</v>
      </c>
      <c r="N2023" s="67">
        <f>ROUND(+L2023*D2023,4)</f>
        <v>0</v>
      </c>
      <c r="O2023" s="67">
        <f>ROUND(IF(F2023="rame",0,+I2023*3%),4)</f>
        <v>0</v>
      </c>
      <c r="P2023" s="67">
        <f>ROUND(IF(O2023&lt;J2023,O2023,0),4)</f>
        <v>0</v>
      </c>
      <c r="Q2023" s="67">
        <f>ROUND(IF(J2023&gt;O2023,0,J2023),4)</f>
        <v>0</v>
      </c>
      <c r="R2023" s="67">
        <f>ROUND(+P2023*D2023,4)</f>
        <v>0</v>
      </c>
      <c r="S2023" s="67">
        <f>ROUND(IF(K2023=0,0,M2023*D2023),4)</f>
        <v>0</v>
      </c>
      <c r="T2023" s="67">
        <f>ROUND(+IF(K2023=0,Q2023*D2023,0),4)</f>
        <v>0</v>
      </c>
      <c r="U2023" s="67">
        <f>ROUND(+N2023+R2023+S2023+T2023,4)</f>
        <v>0</v>
      </c>
      <c r="V2023" s="67">
        <f>ROUND(IF(P2023=0,0,I2023-H2023-O2023)+IF(L2023=0,0,I2023-H2023-K2023),4)</f>
        <v>0</v>
      </c>
      <c r="W2023" s="67">
        <f>ROUND(+(V2023*60%)*D2023,4)</f>
        <v>0</v>
      </c>
      <c r="X2023" s="148">
        <f>ROUND(+U2023+W2023,4)</f>
        <v>0</v>
      </c>
      <c r="Y2023" s="68"/>
      <c r="Z2023" s="148">
        <f>ROUND(IF(X2023&gt;I2023,X2023,I2023),4)</f>
        <v>0</v>
      </c>
      <c r="AD2023" s="78">
        <f t="shared" si="40"/>
        <v>0</v>
      </c>
      <c r="AE2023" s="78">
        <f t="shared" si="41"/>
        <v>0</v>
      </c>
    </row>
    <row r="2024" spans="1:31" x14ac:dyDescent="0.2">
      <c r="A2024" s="66"/>
      <c r="B2024" s="66"/>
      <c r="C2024" s="66"/>
      <c r="D2024" s="144"/>
      <c r="E2024" s="67"/>
      <c r="F2024" s="67"/>
      <c r="G2024" s="67"/>
      <c r="H2024" s="67">
        <f>ROUND(+E2024+G2024,4)</f>
        <v>0</v>
      </c>
      <c r="I2024" s="67"/>
      <c r="J2024" s="67">
        <f>ROUND(+I2024-H2024,4)</f>
        <v>0</v>
      </c>
      <c r="K2024" s="67">
        <f>ROUND(IF(F2024="alluminio",0,I2024*1.5%),4)</f>
        <v>0</v>
      </c>
      <c r="L2024" s="67">
        <f>ROUND(IF(K2024&lt;J2024,K2024,0),4)</f>
        <v>0</v>
      </c>
      <c r="M2024" s="67">
        <f>ROUND(IF(J2024&gt;K2024,0,J2024),4)</f>
        <v>0</v>
      </c>
      <c r="N2024" s="67">
        <f>ROUND(+L2024*D2024,4)</f>
        <v>0</v>
      </c>
      <c r="O2024" s="67">
        <f>ROUND(IF(F2024="rame",0,+I2024*3%),4)</f>
        <v>0</v>
      </c>
      <c r="P2024" s="67">
        <f>ROUND(IF(O2024&lt;J2024,O2024,0),4)</f>
        <v>0</v>
      </c>
      <c r="Q2024" s="67">
        <f>ROUND(IF(J2024&gt;O2024,0,J2024),4)</f>
        <v>0</v>
      </c>
      <c r="R2024" s="67">
        <f>ROUND(+P2024*D2024,4)</f>
        <v>0</v>
      </c>
      <c r="S2024" s="67">
        <f>ROUND(IF(K2024=0,0,M2024*D2024),4)</f>
        <v>0</v>
      </c>
      <c r="T2024" s="67">
        <f>ROUND(+IF(K2024=0,Q2024*D2024,0),4)</f>
        <v>0</v>
      </c>
      <c r="U2024" s="67">
        <f>ROUND(+N2024+R2024+S2024+T2024,4)</f>
        <v>0</v>
      </c>
      <c r="V2024" s="67">
        <f>ROUND(IF(P2024=0,0,I2024-H2024-O2024)+IF(L2024=0,0,I2024-H2024-K2024),4)</f>
        <v>0</v>
      </c>
      <c r="W2024" s="67">
        <f>ROUND(+(V2024*60%)*D2024,4)</f>
        <v>0</v>
      </c>
      <c r="X2024" s="148">
        <f>ROUND(+U2024+W2024,4)</f>
        <v>0</v>
      </c>
      <c r="Y2024" s="68"/>
      <c r="Z2024" s="148">
        <f>ROUND(IF(X2024&gt;I2024,X2024,I2024),4)</f>
        <v>0</v>
      </c>
      <c r="AD2024" s="78">
        <f t="shared" si="40"/>
        <v>0</v>
      </c>
      <c r="AE2024" s="78">
        <f t="shared" si="41"/>
        <v>0</v>
      </c>
    </row>
    <row r="2025" spans="1:31" x14ac:dyDescent="0.2">
      <c r="A2025" s="66"/>
      <c r="B2025" s="66"/>
      <c r="C2025" s="66"/>
      <c r="D2025" s="144"/>
      <c r="E2025" s="67"/>
      <c r="F2025" s="67"/>
      <c r="G2025" s="67"/>
      <c r="H2025" s="67">
        <f>ROUND(+E2025+G2025,4)</f>
        <v>0</v>
      </c>
      <c r="I2025" s="67"/>
      <c r="J2025" s="67">
        <f>ROUND(+I2025-H2025,4)</f>
        <v>0</v>
      </c>
      <c r="K2025" s="67">
        <f>ROUND(IF(F2025="alluminio",0,I2025*1.5%),4)</f>
        <v>0</v>
      </c>
      <c r="L2025" s="67">
        <f>ROUND(IF(K2025&lt;J2025,K2025,0),4)</f>
        <v>0</v>
      </c>
      <c r="M2025" s="67">
        <f>ROUND(IF(J2025&gt;K2025,0,J2025),4)</f>
        <v>0</v>
      </c>
      <c r="N2025" s="67">
        <f>ROUND(+L2025*D2025,4)</f>
        <v>0</v>
      </c>
      <c r="O2025" s="67">
        <f>ROUND(IF(F2025="rame",0,+I2025*3%),4)</f>
        <v>0</v>
      </c>
      <c r="P2025" s="67">
        <f>ROUND(IF(O2025&lt;J2025,O2025,0),4)</f>
        <v>0</v>
      </c>
      <c r="Q2025" s="67">
        <f>ROUND(IF(J2025&gt;O2025,0,J2025),4)</f>
        <v>0</v>
      </c>
      <c r="R2025" s="67">
        <f>ROUND(+P2025*D2025,4)</f>
        <v>0</v>
      </c>
      <c r="S2025" s="67">
        <f>ROUND(IF(K2025=0,0,M2025*D2025),4)</f>
        <v>0</v>
      </c>
      <c r="T2025" s="67">
        <f>ROUND(+IF(K2025=0,Q2025*D2025,0),4)</f>
        <v>0</v>
      </c>
      <c r="U2025" s="67">
        <f>ROUND(+N2025+R2025+S2025+T2025,4)</f>
        <v>0</v>
      </c>
      <c r="V2025" s="67">
        <f>ROUND(IF(P2025=0,0,I2025-H2025-O2025)+IF(L2025=0,0,I2025-H2025-K2025),4)</f>
        <v>0</v>
      </c>
      <c r="W2025" s="67">
        <f>ROUND(+(V2025*60%)*D2025,4)</f>
        <v>0</v>
      </c>
      <c r="X2025" s="148">
        <f>ROUND(+U2025+W2025,4)</f>
        <v>0</v>
      </c>
      <c r="Y2025" s="68"/>
      <c r="Z2025" s="148">
        <f>ROUND(IF(X2025&gt;I2025,X2025,I2025),4)</f>
        <v>0</v>
      </c>
      <c r="AD2025" s="78">
        <f t="shared" si="40"/>
        <v>0</v>
      </c>
      <c r="AE2025" s="78">
        <f t="shared" si="41"/>
        <v>0</v>
      </c>
    </row>
    <row r="2026" spans="1:31" x14ac:dyDescent="0.2">
      <c r="A2026" s="66"/>
      <c r="B2026" s="66"/>
      <c r="C2026" s="66"/>
      <c r="D2026" s="144"/>
      <c r="E2026" s="67"/>
      <c r="F2026" s="67"/>
      <c r="G2026" s="67"/>
      <c r="H2026" s="67">
        <f>ROUND(+E2026+G2026,4)</f>
        <v>0</v>
      </c>
      <c r="I2026" s="67"/>
      <c r="J2026" s="67">
        <f>ROUND(+I2026-H2026,4)</f>
        <v>0</v>
      </c>
      <c r="K2026" s="67">
        <f>ROUND(IF(F2026="alluminio",0,I2026*1.5%),4)</f>
        <v>0</v>
      </c>
      <c r="L2026" s="67">
        <f>ROUND(IF(K2026&lt;J2026,K2026,0),4)</f>
        <v>0</v>
      </c>
      <c r="M2026" s="67">
        <f>ROUND(IF(J2026&gt;K2026,0,J2026),4)</f>
        <v>0</v>
      </c>
      <c r="N2026" s="67">
        <f>ROUND(+L2026*D2026,4)</f>
        <v>0</v>
      </c>
      <c r="O2026" s="67">
        <f>ROUND(IF(F2026="rame",0,+I2026*3%),4)</f>
        <v>0</v>
      </c>
      <c r="P2026" s="67">
        <f>ROUND(IF(O2026&lt;J2026,O2026,0),4)</f>
        <v>0</v>
      </c>
      <c r="Q2026" s="67">
        <f>ROUND(IF(J2026&gt;O2026,0,J2026),4)</f>
        <v>0</v>
      </c>
      <c r="R2026" s="67">
        <f>ROUND(+P2026*D2026,4)</f>
        <v>0</v>
      </c>
      <c r="S2026" s="67">
        <f>ROUND(IF(K2026=0,0,M2026*D2026),4)</f>
        <v>0</v>
      </c>
      <c r="T2026" s="67">
        <f>ROUND(+IF(K2026=0,Q2026*D2026,0),4)</f>
        <v>0</v>
      </c>
      <c r="U2026" s="67">
        <f>ROUND(+N2026+R2026+S2026+T2026,4)</f>
        <v>0</v>
      </c>
      <c r="V2026" s="67">
        <f>ROUND(IF(P2026=0,0,I2026-H2026-O2026)+IF(L2026=0,0,I2026-H2026-K2026),4)</f>
        <v>0</v>
      </c>
      <c r="W2026" s="67">
        <f>ROUND(+(V2026*60%)*D2026,4)</f>
        <v>0</v>
      </c>
      <c r="X2026" s="148">
        <f>ROUND(+U2026+W2026,4)</f>
        <v>0</v>
      </c>
      <c r="Y2026" s="68"/>
      <c r="Z2026" s="148">
        <f>ROUND(IF(X2026&gt;I2026,X2026,I2026),4)</f>
        <v>0</v>
      </c>
      <c r="AD2026" s="78">
        <f t="shared" si="40"/>
        <v>0</v>
      </c>
      <c r="AE2026" s="78">
        <f t="shared" si="41"/>
        <v>0</v>
      </c>
    </row>
    <row r="2027" spans="1:31" x14ac:dyDescent="0.2">
      <c r="A2027" s="66"/>
      <c r="B2027" s="66"/>
      <c r="C2027" s="66"/>
      <c r="D2027" s="144"/>
      <c r="E2027" s="67"/>
      <c r="F2027" s="67"/>
      <c r="G2027" s="67"/>
      <c r="H2027" s="67">
        <f>ROUND(+E2027+G2027,4)</f>
        <v>0</v>
      </c>
      <c r="I2027" s="67"/>
      <c r="J2027" s="67">
        <f>ROUND(+I2027-H2027,4)</f>
        <v>0</v>
      </c>
      <c r="K2027" s="67">
        <f>ROUND(IF(F2027="alluminio",0,I2027*1.5%),4)</f>
        <v>0</v>
      </c>
      <c r="L2027" s="67">
        <f>ROUND(IF(K2027&lt;J2027,K2027,0),4)</f>
        <v>0</v>
      </c>
      <c r="M2027" s="67">
        <f>ROUND(IF(J2027&gt;K2027,0,J2027),4)</f>
        <v>0</v>
      </c>
      <c r="N2027" s="67">
        <f>ROUND(+L2027*D2027,4)</f>
        <v>0</v>
      </c>
      <c r="O2027" s="67">
        <f>ROUND(IF(F2027="rame",0,+I2027*3%),4)</f>
        <v>0</v>
      </c>
      <c r="P2027" s="67">
        <f>ROUND(IF(O2027&lt;J2027,O2027,0),4)</f>
        <v>0</v>
      </c>
      <c r="Q2027" s="67">
        <f>ROUND(IF(J2027&gt;O2027,0,J2027),4)</f>
        <v>0</v>
      </c>
      <c r="R2027" s="67">
        <f>ROUND(+P2027*D2027,4)</f>
        <v>0</v>
      </c>
      <c r="S2027" s="67">
        <f>ROUND(IF(K2027=0,0,M2027*D2027),4)</f>
        <v>0</v>
      </c>
      <c r="T2027" s="67">
        <f>ROUND(+IF(K2027=0,Q2027*D2027,0),4)</f>
        <v>0</v>
      </c>
      <c r="U2027" s="67">
        <f>ROUND(+N2027+R2027+S2027+T2027,4)</f>
        <v>0</v>
      </c>
      <c r="V2027" s="67">
        <f>ROUND(IF(P2027=0,0,I2027-H2027-O2027)+IF(L2027=0,0,I2027-H2027-K2027),4)</f>
        <v>0</v>
      </c>
      <c r="W2027" s="67">
        <f>ROUND(+(V2027*60%)*D2027,4)</f>
        <v>0</v>
      </c>
      <c r="X2027" s="148">
        <f>ROUND(+U2027+W2027,4)</f>
        <v>0</v>
      </c>
      <c r="Y2027" s="68"/>
      <c r="Z2027" s="148">
        <f>ROUND(IF(X2027&gt;I2027,X2027,I2027),4)</f>
        <v>0</v>
      </c>
      <c r="AD2027" s="78">
        <f t="shared" si="40"/>
        <v>0</v>
      </c>
      <c r="AE2027" s="78">
        <f t="shared" si="41"/>
        <v>0</v>
      </c>
    </row>
    <row r="2028" spans="1:31" x14ac:dyDescent="0.2">
      <c r="A2028" s="66"/>
      <c r="B2028" s="66"/>
      <c r="C2028" s="66"/>
      <c r="D2028" s="144"/>
      <c r="E2028" s="67"/>
      <c r="F2028" s="67"/>
      <c r="G2028" s="67"/>
      <c r="H2028" s="67">
        <f>ROUND(+E2028+G2028,4)</f>
        <v>0</v>
      </c>
      <c r="I2028" s="67"/>
      <c r="J2028" s="67">
        <f>ROUND(+I2028-H2028,4)</f>
        <v>0</v>
      </c>
      <c r="K2028" s="67">
        <f>ROUND(IF(F2028="alluminio",0,I2028*1.5%),4)</f>
        <v>0</v>
      </c>
      <c r="L2028" s="67">
        <f>ROUND(IF(K2028&lt;J2028,K2028,0),4)</f>
        <v>0</v>
      </c>
      <c r="M2028" s="67">
        <f>ROUND(IF(J2028&gt;K2028,0,J2028),4)</f>
        <v>0</v>
      </c>
      <c r="N2028" s="67">
        <f>ROUND(+L2028*D2028,4)</f>
        <v>0</v>
      </c>
      <c r="O2028" s="67">
        <f>ROUND(IF(F2028="rame",0,+I2028*3%),4)</f>
        <v>0</v>
      </c>
      <c r="P2028" s="67">
        <f>ROUND(IF(O2028&lt;J2028,O2028,0),4)</f>
        <v>0</v>
      </c>
      <c r="Q2028" s="67">
        <f>ROUND(IF(J2028&gt;O2028,0,J2028),4)</f>
        <v>0</v>
      </c>
      <c r="R2028" s="67">
        <f>ROUND(+P2028*D2028,4)</f>
        <v>0</v>
      </c>
      <c r="S2028" s="67">
        <f>ROUND(IF(K2028=0,0,M2028*D2028),4)</f>
        <v>0</v>
      </c>
      <c r="T2028" s="67">
        <f>ROUND(+IF(K2028=0,Q2028*D2028,0),4)</f>
        <v>0</v>
      </c>
      <c r="U2028" s="67">
        <f>ROUND(+N2028+R2028+S2028+T2028,4)</f>
        <v>0</v>
      </c>
      <c r="V2028" s="67">
        <f>ROUND(IF(P2028=0,0,I2028-H2028-O2028)+IF(L2028=0,0,I2028-H2028-K2028),4)</f>
        <v>0</v>
      </c>
      <c r="W2028" s="67">
        <f>ROUND(+(V2028*60%)*D2028,4)</f>
        <v>0</v>
      </c>
      <c r="X2028" s="148">
        <f>ROUND(+U2028+W2028,4)</f>
        <v>0</v>
      </c>
      <c r="Y2028" s="68"/>
      <c r="Z2028" s="148">
        <f>ROUND(IF(X2028&gt;I2028,X2028,I2028),4)</f>
        <v>0</v>
      </c>
      <c r="AD2028" s="78">
        <f t="shared" si="40"/>
        <v>0</v>
      </c>
      <c r="AE2028" s="78">
        <f t="shared" si="41"/>
        <v>0</v>
      </c>
    </row>
    <row r="2029" spans="1:31" x14ac:dyDescent="0.2">
      <c r="A2029" s="66"/>
      <c r="B2029" s="66"/>
      <c r="C2029" s="66"/>
      <c r="D2029" s="144"/>
      <c r="E2029" s="67"/>
      <c r="F2029" s="67"/>
      <c r="G2029" s="67"/>
      <c r="H2029" s="67">
        <f>ROUND(+E2029+G2029,4)</f>
        <v>0</v>
      </c>
      <c r="I2029" s="67"/>
      <c r="J2029" s="67">
        <f>ROUND(+I2029-H2029,4)</f>
        <v>0</v>
      </c>
      <c r="K2029" s="67">
        <f>ROUND(IF(F2029="alluminio",0,I2029*1.5%),4)</f>
        <v>0</v>
      </c>
      <c r="L2029" s="67">
        <f>ROUND(IF(K2029&lt;J2029,K2029,0),4)</f>
        <v>0</v>
      </c>
      <c r="M2029" s="67">
        <f>ROUND(IF(J2029&gt;K2029,0,J2029),4)</f>
        <v>0</v>
      </c>
      <c r="N2029" s="67">
        <f>ROUND(+L2029*D2029,4)</f>
        <v>0</v>
      </c>
      <c r="O2029" s="67">
        <f>ROUND(IF(F2029="rame",0,+I2029*3%),4)</f>
        <v>0</v>
      </c>
      <c r="P2029" s="67">
        <f>ROUND(IF(O2029&lt;J2029,O2029,0),4)</f>
        <v>0</v>
      </c>
      <c r="Q2029" s="67">
        <f>ROUND(IF(J2029&gt;O2029,0,J2029),4)</f>
        <v>0</v>
      </c>
      <c r="R2029" s="67">
        <f>ROUND(+P2029*D2029,4)</f>
        <v>0</v>
      </c>
      <c r="S2029" s="67">
        <f>ROUND(IF(K2029=0,0,M2029*D2029),4)</f>
        <v>0</v>
      </c>
      <c r="T2029" s="67">
        <f>ROUND(+IF(K2029=0,Q2029*D2029,0),4)</f>
        <v>0</v>
      </c>
      <c r="U2029" s="67">
        <f>ROUND(+N2029+R2029+S2029+T2029,4)</f>
        <v>0</v>
      </c>
      <c r="V2029" s="67">
        <f>ROUND(IF(P2029=0,0,I2029-H2029-O2029)+IF(L2029=0,0,I2029-H2029-K2029),4)</f>
        <v>0</v>
      </c>
      <c r="W2029" s="67">
        <f>ROUND(+(V2029*60%)*D2029,4)</f>
        <v>0</v>
      </c>
      <c r="X2029" s="148">
        <f>ROUND(+U2029+W2029,4)</f>
        <v>0</v>
      </c>
      <c r="Y2029" s="68"/>
      <c r="Z2029" s="148">
        <f>ROUND(IF(X2029&gt;I2029,X2029,I2029),4)</f>
        <v>0</v>
      </c>
      <c r="AD2029" s="78">
        <f t="shared" si="40"/>
        <v>0</v>
      </c>
      <c r="AE2029" s="78">
        <f t="shared" si="41"/>
        <v>0</v>
      </c>
    </row>
    <row r="2030" spans="1:31" x14ac:dyDescent="0.2">
      <c r="A2030" s="66"/>
      <c r="B2030" s="66"/>
      <c r="C2030" s="66"/>
      <c r="D2030" s="144"/>
      <c r="E2030" s="67"/>
      <c r="F2030" s="67"/>
      <c r="G2030" s="67"/>
      <c r="H2030" s="67">
        <f>ROUND(+E2030+G2030,4)</f>
        <v>0</v>
      </c>
      <c r="I2030" s="67"/>
      <c r="J2030" s="67">
        <f>ROUND(+I2030-H2030,4)</f>
        <v>0</v>
      </c>
      <c r="K2030" s="67">
        <f>ROUND(IF(F2030="alluminio",0,I2030*1.5%),4)</f>
        <v>0</v>
      </c>
      <c r="L2030" s="67">
        <f>ROUND(IF(K2030&lt;J2030,K2030,0),4)</f>
        <v>0</v>
      </c>
      <c r="M2030" s="67">
        <f>ROUND(IF(J2030&gt;K2030,0,J2030),4)</f>
        <v>0</v>
      </c>
      <c r="N2030" s="67">
        <f>ROUND(+L2030*D2030,4)</f>
        <v>0</v>
      </c>
      <c r="O2030" s="67">
        <f>ROUND(IF(F2030="rame",0,+I2030*3%),4)</f>
        <v>0</v>
      </c>
      <c r="P2030" s="67">
        <f>ROUND(IF(O2030&lt;J2030,O2030,0),4)</f>
        <v>0</v>
      </c>
      <c r="Q2030" s="67">
        <f>ROUND(IF(J2030&gt;O2030,0,J2030),4)</f>
        <v>0</v>
      </c>
      <c r="R2030" s="67">
        <f>ROUND(+P2030*D2030,4)</f>
        <v>0</v>
      </c>
      <c r="S2030" s="67">
        <f>ROUND(IF(K2030=0,0,M2030*D2030),4)</f>
        <v>0</v>
      </c>
      <c r="T2030" s="67">
        <f>ROUND(+IF(K2030=0,Q2030*D2030,0),4)</f>
        <v>0</v>
      </c>
      <c r="U2030" s="67">
        <f>ROUND(+N2030+R2030+S2030+T2030,4)</f>
        <v>0</v>
      </c>
      <c r="V2030" s="67">
        <f>ROUND(IF(P2030=0,0,I2030-H2030-O2030)+IF(L2030=0,0,I2030-H2030-K2030),4)</f>
        <v>0</v>
      </c>
      <c r="W2030" s="67">
        <f>ROUND(+(V2030*60%)*D2030,4)</f>
        <v>0</v>
      </c>
      <c r="X2030" s="148">
        <f>ROUND(+U2030+W2030,4)</f>
        <v>0</v>
      </c>
      <c r="Y2030" s="68"/>
      <c r="Z2030" s="148">
        <f>ROUND(IF(X2030&gt;I2030,X2030,I2030),4)</f>
        <v>0</v>
      </c>
      <c r="AD2030" s="78">
        <f t="shared" si="40"/>
        <v>0</v>
      </c>
      <c r="AE2030" s="78">
        <f t="shared" si="41"/>
        <v>0</v>
      </c>
    </row>
    <row r="2031" spans="1:31" x14ac:dyDescent="0.2">
      <c r="A2031" s="66"/>
      <c r="B2031" s="66"/>
      <c r="C2031" s="66"/>
      <c r="D2031" s="144"/>
      <c r="E2031" s="67"/>
      <c r="F2031" s="67"/>
      <c r="G2031" s="67"/>
      <c r="H2031" s="67">
        <f>ROUND(+E2031+G2031,4)</f>
        <v>0</v>
      </c>
      <c r="I2031" s="67"/>
      <c r="J2031" s="67">
        <f>ROUND(+I2031-H2031,4)</f>
        <v>0</v>
      </c>
      <c r="K2031" s="67">
        <f>ROUND(IF(F2031="alluminio",0,I2031*1.5%),4)</f>
        <v>0</v>
      </c>
      <c r="L2031" s="67">
        <f>ROUND(IF(K2031&lt;J2031,K2031,0),4)</f>
        <v>0</v>
      </c>
      <c r="M2031" s="67">
        <f>ROUND(IF(J2031&gt;K2031,0,J2031),4)</f>
        <v>0</v>
      </c>
      <c r="N2031" s="67">
        <f>ROUND(+L2031*D2031,4)</f>
        <v>0</v>
      </c>
      <c r="O2031" s="67">
        <f>ROUND(IF(F2031="rame",0,+I2031*3%),4)</f>
        <v>0</v>
      </c>
      <c r="P2031" s="67">
        <f>ROUND(IF(O2031&lt;J2031,O2031,0),4)</f>
        <v>0</v>
      </c>
      <c r="Q2031" s="67">
        <f>ROUND(IF(J2031&gt;O2031,0,J2031),4)</f>
        <v>0</v>
      </c>
      <c r="R2031" s="67">
        <f>ROUND(+P2031*D2031,4)</f>
        <v>0</v>
      </c>
      <c r="S2031" s="67">
        <f>ROUND(IF(K2031=0,0,M2031*D2031),4)</f>
        <v>0</v>
      </c>
      <c r="T2031" s="67">
        <f>ROUND(+IF(K2031=0,Q2031*D2031,0),4)</f>
        <v>0</v>
      </c>
      <c r="U2031" s="67">
        <f>ROUND(+N2031+R2031+S2031+T2031,4)</f>
        <v>0</v>
      </c>
      <c r="V2031" s="67">
        <f>ROUND(IF(P2031=0,0,I2031-H2031-O2031)+IF(L2031=0,0,I2031-H2031-K2031),4)</f>
        <v>0</v>
      </c>
      <c r="W2031" s="67">
        <f>ROUND(+(V2031*60%)*D2031,4)</f>
        <v>0</v>
      </c>
      <c r="X2031" s="148">
        <f>ROUND(+U2031+W2031,4)</f>
        <v>0</v>
      </c>
      <c r="Y2031" s="68"/>
      <c r="Z2031" s="148">
        <f>ROUND(IF(X2031&gt;I2031,X2031,I2031),4)</f>
        <v>0</v>
      </c>
      <c r="AD2031" s="78">
        <f t="shared" si="40"/>
        <v>0</v>
      </c>
      <c r="AE2031" s="78">
        <f t="shared" si="41"/>
        <v>0</v>
      </c>
    </row>
    <row r="2032" spans="1:31" x14ac:dyDescent="0.2">
      <c r="A2032" s="66"/>
      <c r="B2032" s="66"/>
      <c r="C2032" s="66"/>
      <c r="D2032" s="144"/>
      <c r="E2032" s="67"/>
      <c r="F2032" s="67"/>
      <c r="G2032" s="67"/>
      <c r="H2032" s="67">
        <f>ROUND(+E2032+G2032,4)</f>
        <v>0</v>
      </c>
      <c r="I2032" s="67"/>
      <c r="J2032" s="67">
        <f>ROUND(+I2032-H2032,4)</f>
        <v>0</v>
      </c>
      <c r="K2032" s="67">
        <f>ROUND(IF(F2032="alluminio",0,I2032*1.5%),4)</f>
        <v>0</v>
      </c>
      <c r="L2032" s="67">
        <f>ROUND(IF(K2032&lt;J2032,K2032,0),4)</f>
        <v>0</v>
      </c>
      <c r="M2032" s="67">
        <f>ROUND(IF(J2032&gt;K2032,0,J2032),4)</f>
        <v>0</v>
      </c>
      <c r="N2032" s="67">
        <f>ROUND(+L2032*D2032,4)</f>
        <v>0</v>
      </c>
      <c r="O2032" s="67">
        <f>ROUND(IF(F2032="rame",0,+I2032*3%),4)</f>
        <v>0</v>
      </c>
      <c r="P2032" s="67">
        <f>ROUND(IF(O2032&lt;J2032,O2032,0),4)</f>
        <v>0</v>
      </c>
      <c r="Q2032" s="67">
        <f>ROUND(IF(J2032&gt;O2032,0,J2032),4)</f>
        <v>0</v>
      </c>
      <c r="R2032" s="67">
        <f>ROUND(+P2032*D2032,4)</f>
        <v>0</v>
      </c>
      <c r="S2032" s="67">
        <f>ROUND(IF(K2032=0,0,M2032*D2032),4)</f>
        <v>0</v>
      </c>
      <c r="T2032" s="67">
        <f>ROUND(+IF(K2032=0,Q2032*D2032,0),4)</f>
        <v>0</v>
      </c>
      <c r="U2032" s="67">
        <f>ROUND(+N2032+R2032+S2032+T2032,4)</f>
        <v>0</v>
      </c>
      <c r="V2032" s="67">
        <f>ROUND(IF(P2032=0,0,I2032-H2032-O2032)+IF(L2032=0,0,I2032-H2032-K2032),4)</f>
        <v>0</v>
      </c>
      <c r="W2032" s="67">
        <f>ROUND(+(V2032*60%)*D2032,4)</f>
        <v>0</v>
      </c>
      <c r="X2032" s="148">
        <f>ROUND(+U2032+W2032,4)</f>
        <v>0</v>
      </c>
      <c r="Y2032" s="68"/>
      <c r="Z2032" s="148">
        <f>ROUND(IF(X2032&gt;I2032,X2032,I2032),4)</f>
        <v>0</v>
      </c>
      <c r="AD2032" s="78">
        <f t="shared" si="40"/>
        <v>0</v>
      </c>
      <c r="AE2032" s="78">
        <f t="shared" si="41"/>
        <v>0</v>
      </c>
    </row>
    <row r="2033" spans="1:31" x14ac:dyDescent="0.2">
      <c r="A2033" s="66"/>
      <c r="B2033" s="66"/>
      <c r="C2033" s="66"/>
      <c r="D2033" s="144"/>
      <c r="E2033" s="67"/>
      <c r="F2033" s="67"/>
      <c r="G2033" s="67"/>
      <c r="H2033" s="67">
        <f>ROUND(+E2033+G2033,4)</f>
        <v>0</v>
      </c>
      <c r="I2033" s="67"/>
      <c r="J2033" s="67">
        <f>ROUND(+I2033-H2033,4)</f>
        <v>0</v>
      </c>
      <c r="K2033" s="67">
        <f>ROUND(IF(F2033="alluminio",0,I2033*1.5%),4)</f>
        <v>0</v>
      </c>
      <c r="L2033" s="67">
        <f>ROUND(IF(K2033&lt;J2033,K2033,0),4)</f>
        <v>0</v>
      </c>
      <c r="M2033" s="67">
        <f>ROUND(IF(J2033&gt;K2033,0,J2033),4)</f>
        <v>0</v>
      </c>
      <c r="N2033" s="67">
        <f>ROUND(+L2033*D2033,4)</f>
        <v>0</v>
      </c>
      <c r="O2033" s="67">
        <f>ROUND(IF(F2033="rame",0,+I2033*3%),4)</f>
        <v>0</v>
      </c>
      <c r="P2033" s="67">
        <f>ROUND(IF(O2033&lt;J2033,O2033,0),4)</f>
        <v>0</v>
      </c>
      <c r="Q2033" s="67">
        <f>ROUND(IF(J2033&gt;O2033,0,J2033),4)</f>
        <v>0</v>
      </c>
      <c r="R2033" s="67">
        <f>ROUND(+P2033*D2033,4)</f>
        <v>0</v>
      </c>
      <c r="S2033" s="67">
        <f>ROUND(IF(K2033=0,0,M2033*D2033),4)</f>
        <v>0</v>
      </c>
      <c r="T2033" s="67">
        <f>ROUND(+IF(K2033=0,Q2033*D2033,0),4)</f>
        <v>0</v>
      </c>
      <c r="U2033" s="67">
        <f>ROUND(+N2033+R2033+S2033+T2033,4)</f>
        <v>0</v>
      </c>
      <c r="V2033" s="67">
        <f>ROUND(IF(P2033=0,0,I2033-H2033-O2033)+IF(L2033=0,0,I2033-H2033-K2033),4)</f>
        <v>0</v>
      </c>
      <c r="W2033" s="67">
        <f>ROUND(+(V2033*60%)*D2033,4)</f>
        <v>0</v>
      </c>
      <c r="X2033" s="148">
        <f>ROUND(+U2033+W2033,4)</f>
        <v>0</v>
      </c>
      <c r="Y2033" s="68"/>
      <c r="Z2033" s="148">
        <f>ROUND(IF(X2033&gt;I2033,X2033,I2033),4)</f>
        <v>0</v>
      </c>
      <c r="AD2033" s="78">
        <f t="shared" si="40"/>
        <v>0</v>
      </c>
      <c r="AE2033" s="78">
        <f t="shared" si="41"/>
        <v>0</v>
      </c>
    </row>
    <row r="2034" spans="1:31" x14ac:dyDescent="0.2">
      <c r="A2034" s="66"/>
      <c r="B2034" s="66"/>
      <c r="C2034" s="66"/>
      <c r="D2034" s="144"/>
      <c r="E2034" s="67"/>
      <c r="F2034" s="67"/>
      <c r="G2034" s="67"/>
      <c r="H2034" s="67">
        <f>ROUND(+E2034+G2034,4)</f>
        <v>0</v>
      </c>
      <c r="I2034" s="67"/>
      <c r="J2034" s="67">
        <f>ROUND(+I2034-H2034,4)</f>
        <v>0</v>
      </c>
      <c r="K2034" s="67">
        <f>ROUND(IF(F2034="alluminio",0,I2034*1.5%),4)</f>
        <v>0</v>
      </c>
      <c r="L2034" s="67">
        <f>ROUND(IF(K2034&lt;J2034,K2034,0),4)</f>
        <v>0</v>
      </c>
      <c r="M2034" s="67">
        <f>ROUND(IF(J2034&gt;K2034,0,J2034),4)</f>
        <v>0</v>
      </c>
      <c r="N2034" s="67">
        <f>ROUND(+L2034*D2034,4)</f>
        <v>0</v>
      </c>
      <c r="O2034" s="67">
        <f>ROUND(IF(F2034="rame",0,+I2034*3%),4)</f>
        <v>0</v>
      </c>
      <c r="P2034" s="67">
        <f>ROUND(IF(O2034&lt;J2034,O2034,0),4)</f>
        <v>0</v>
      </c>
      <c r="Q2034" s="67">
        <f>ROUND(IF(J2034&gt;O2034,0,J2034),4)</f>
        <v>0</v>
      </c>
      <c r="R2034" s="67">
        <f>ROUND(+P2034*D2034,4)</f>
        <v>0</v>
      </c>
      <c r="S2034" s="67">
        <f>ROUND(IF(K2034=0,0,M2034*D2034),4)</f>
        <v>0</v>
      </c>
      <c r="T2034" s="67">
        <f>ROUND(+IF(K2034=0,Q2034*D2034,0),4)</f>
        <v>0</v>
      </c>
      <c r="U2034" s="67">
        <f>ROUND(+N2034+R2034+S2034+T2034,4)</f>
        <v>0</v>
      </c>
      <c r="V2034" s="67">
        <f>ROUND(IF(P2034=0,0,I2034-H2034-O2034)+IF(L2034=0,0,I2034-H2034-K2034),4)</f>
        <v>0</v>
      </c>
      <c r="W2034" s="67">
        <f>ROUND(+(V2034*60%)*D2034,4)</f>
        <v>0</v>
      </c>
      <c r="X2034" s="148">
        <f>ROUND(+U2034+W2034,4)</f>
        <v>0</v>
      </c>
      <c r="Y2034" s="68"/>
      <c r="Z2034" s="148">
        <f>ROUND(IF(X2034&gt;I2034,X2034,I2034),4)</f>
        <v>0</v>
      </c>
      <c r="AD2034" s="78">
        <f t="shared" si="40"/>
        <v>0</v>
      </c>
      <c r="AE2034" s="78">
        <f t="shared" si="41"/>
        <v>0</v>
      </c>
    </row>
    <row r="2035" spans="1:31" x14ac:dyDescent="0.2">
      <c r="A2035" s="66"/>
      <c r="B2035" s="66"/>
      <c r="C2035" s="66"/>
      <c r="D2035" s="144"/>
      <c r="E2035" s="67"/>
      <c r="F2035" s="67"/>
      <c r="G2035" s="67"/>
      <c r="H2035" s="67">
        <f>ROUND(+E2035+G2035,4)</f>
        <v>0</v>
      </c>
      <c r="I2035" s="67"/>
      <c r="J2035" s="67">
        <f>ROUND(+I2035-H2035,4)</f>
        <v>0</v>
      </c>
      <c r="K2035" s="67">
        <f>ROUND(IF(F2035="alluminio",0,I2035*1.5%),4)</f>
        <v>0</v>
      </c>
      <c r="L2035" s="67">
        <f>ROUND(IF(K2035&lt;J2035,K2035,0),4)</f>
        <v>0</v>
      </c>
      <c r="M2035" s="67">
        <f>ROUND(IF(J2035&gt;K2035,0,J2035),4)</f>
        <v>0</v>
      </c>
      <c r="N2035" s="67">
        <f>ROUND(+L2035*D2035,4)</f>
        <v>0</v>
      </c>
      <c r="O2035" s="67">
        <f>ROUND(IF(F2035="rame",0,+I2035*3%),4)</f>
        <v>0</v>
      </c>
      <c r="P2035" s="67">
        <f>ROUND(IF(O2035&lt;J2035,O2035,0),4)</f>
        <v>0</v>
      </c>
      <c r="Q2035" s="67">
        <f>ROUND(IF(J2035&gt;O2035,0,J2035),4)</f>
        <v>0</v>
      </c>
      <c r="R2035" s="67">
        <f>ROUND(+P2035*D2035,4)</f>
        <v>0</v>
      </c>
      <c r="S2035" s="67">
        <f>ROUND(IF(K2035=0,0,M2035*D2035),4)</f>
        <v>0</v>
      </c>
      <c r="T2035" s="67">
        <f>ROUND(+IF(K2035=0,Q2035*D2035,0),4)</f>
        <v>0</v>
      </c>
      <c r="U2035" s="67">
        <f>ROUND(+N2035+R2035+S2035+T2035,4)</f>
        <v>0</v>
      </c>
      <c r="V2035" s="67">
        <f>ROUND(IF(P2035=0,0,I2035-H2035-O2035)+IF(L2035=0,0,I2035-H2035-K2035),4)</f>
        <v>0</v>
      </c>
      <c r="W2035" s="67">
        <f>ROUND(+(V2035*60%)*D2035,4)</f>
        <v>0</v>
      </c>
      <c r="X2035" s="148">
        <f>ROUND(+U2035+W2035,4)</f>
        <v>0</v>
      </c>
      <c r="Y2035" s="68"/>
      <c r="Z2035" s="148">
        <f>ROUND(IF(X2035&gt;I2035,X2035,I2035),4)</f>
        <v>0</v>
      </c>
      <c r="AD2035" s="78">
        <f t="shared" si="40"/>
        <v>0</v>
      </c>
      <c r="AE2035" s="78">
        <f t="shared" si="41"/>
        <v>0</v>
      </c>
    </row>
    <row r="2036" spans="1:31" x14ac:dyDescent="0.2">
      <c r="A2036" s="66"/>
      <c r="B2036" s="66"/>
      <c r="C2036" s="66"/>
      <c r="D2036" s="144"/>
      <c r="E2036" s="67"/>
      <c r="F2036" s="67"/>
      <c r="G2036" s="67"/>
      <c r="H2036" s="67">
        <f>ROUND(+E2036+G2036,4)</f>
        <v>0</v>
      </c>
      <c r="I2036" s="67"/>
      <c r="J2036" s="67">
        <f>ROUND(+I2036-H2036,4)</f>
        <v>0</v>
      </c>
      <c r="K2036" s="67">
        <f>ROUND(IF(F2036="alluminio",0,I2036*1.5%),4)</f>
        <v>0</v>
      </c>
      <c r="L2036" s="67">
        <f>ROUND(IF(K2036&lt;J2036,K2036,0),4)</f>
        <v>0</v>
      </c>
      <c r="M2036" s="67">
        <f>ROUND(IF(J2036&gt;K2036,0,J2036),4)</f>
        <v>0</v>
      </c>
      <c r="N2036" s="67">
        <f>ROUND(+L2036*D2036,4)</f>
        <v>0</v>
      </c>
      <c r="O2036" s="67">
        <f>ROUND(IF(F2036="rame",0,+I2036*3%),4)</f>
        <v>0</v>
      </c>
      <c r="P2036" s="67">
        <f>ROUND(IF(O2036&lt;J2036,O2036,0),4)</f>
        <v>0</v>
      </c>
      <c r="Q2036" s="67">
        <f>ROUND(IF(J2036&gt;O2036,0,J2036),4)</f>
        <v>0</v>
      </c>
      <c r="R2036" s="67">
        <f>ROUND(+P2036*D2036,4)</f>
        <v>0</v>
      </c>
      <c r="S2036" s="67">
        <f>ROUND(IF(K2036=0,0,M2036*D2036),4)</f>
        <v>0</v>
      </c>
      <c r="T2036" s="67">
        <f>ROUND(+IF(K2036=0,Q2036*D2036,0),4)</f>
        <v>0</v>
      </c>
      <c r="U2036" s="67">
        <f>ROUND(+N2036+R2036+S2036+T2036,4)</f>
        <v>0</v>
      </c>
      <c r="V2036" s="67">
        <f>ROUND(IF(P2036=0,0,I2036-H2036-O2036)+IF(L2036=0,0,I2036-H2036-K2036),4)</f>
        <v>0</v>
      </c>
      <c r="W2036" s="67">
        <f>ROUND(+(V2036*60%)*D2036,4)</f>
        <v>0</v>
      </c>
      <c r="X2036" s="148">
        <f>ROUND(+U2036+W2036,4)</f>
        <v>0</v>
      </c>
      <c r="Y2036" s="68"/>
      <c r="Z2036" s="148">
        <f>ROUND(IF(X2036&gt;I2036,X2036,I2036),4)</f>
        <v>0</v>
      </c>
      <c r="AD2036" s="78">
        <f t="shared" si="40"/>
        <v>0</v>
      </c>
      <c r="AE2036" s="78">
        <f t="shared" si="41"/>
        <v>0</v>
      </c>
    </row>
    <row r="2037" spans="1:31" x14ac:dyDescent="0.2">
      <c r="A2037" s="66"/>
      <c r="B2037" s="66"/>
      <c r="C2037" s="66"/>
      <c r="D2037" s="144"/>
      <c r="E2037" s="67"/>
      <c r="F2037" s="67"/>
      <c r="G2037" s="67"/>
      <c r="H2037" s="67">
        <f>ROUND(+E2037+G2037,4)</f>
        <v>0</v>
      </c>
      <c r="I2037" s="67"/>
      <c r="J2037" s="67">
        <f>ROUND(+I2037-H2037,4)</f>
        <v>0</v>
      </c>
      <c r="K2037" s="67">
        <f>ROUND(IF(F2037="alluminio",0,I2037*1.5%),4)</f>
        <v>0</v>
      </c>
      <c r="L2037" s="67">
        <f>ROUND(IF(K2037&lt;J2037,K2037,0),4)</f>
        <v>0</v>
      </c>
      <c r="M2037" s="67">
        <f>ROUND(IF(J2037&gt;K2037,0,J2037),4)</f>
        <v>0</v>
      </c>
      <c r="N2037" s="67">
        <f>ROUND(+L2037*D2037,4)</f>
        <v>0</v>
      </c>
      <c r="O2037" s="67">
        <f>ROUND(IF(F2037="rame",0,+I2037*3%),4)</f>
        <v>0</v>
      </c>
      <c r="P2037" s="67">
        <f>ROUND(IF(O2037&lt;J2037,O2037,0),4)</f>
        <v>0</v>
      </c>
      <c r="Q2037" s="67">
        <f>ROUND(IF(J2037&gt;O2037,0,J2037),4)</f>
        <v>0</v>
      </c>
      <c r="R2037" s="67">
        <f>ROUND(+P2037*D2037,4)</f>
        <v>0</v>
      </c>
      <c r="S2037" s="67">
        <f>ROUND(IF(K2037=0,0,M2037*D2037),4)</f>
        <v>0</v>
      </c>
      <c r="T2037" s="67">
        <f>ROUND(+IF(K2037=0,Q2037*D2037,0),4)</f>
        <v>0</v>
      </c>
      <c r="U2037" s="67">
        <f>ROUND(+N2037+R2037+S2037+T2037,4)</f>
        <v>0</v>
      </c>
      <c r="V2037" s="67">
        <f>ROUND(IF(P2037=0,0,I2037-H2037-O2037)+IF(L2037=0,0,I2037-H2037-K2037),4)</f>
        <v>0</v>
      </c>
      <c r="W2037" s="67">
        <f>ROUND(+(V2037*60%)*D2037,4)</f>
        <v>0</v>
      </c>
      <c r="X2037" s="148">
        <f>ROUND(+U2037+W2037,4)</f>
        <v>0</v>
      </c>
      <c r="Y2037" s="68"/>
      <c r="Z2037" s="148">
        <f>ROUND(IF(X2037&gt;I2037,X2037,I2037),4)</f>
        <v>0</v>
      </c>
      <c r="AD2037" s="78">
        <f t="shared" si="40"/>
        <v>0</v>
      </c>
      <c r="AE2037" s="78">
        <f t="shared" si="41"/>
        <v>0</v>
      </c>
    </row>
    <row r="2038" spans="1:31" x14ac:dyDescent="0.2">
      <c r="A2038" s="66"/>
      <c r="B2038" s="66"/>
      <c r="C2038" s="66"/>
      <c r="D2038" s="144"/>
      <c r="E2038" s="67"/>
      <c r="F2038" s="67"/>
      <c r="G2038" s="67"/>
      <c r="H2038" s="67">
        <f>ROUND(+E2038+G2038,4)</f>
        <v>0</v>
      </c>
      <c r="I2038" s="67"/>
      <c r="J2038" s="67">
        <f>ROUND(+I2038-H2038,4)</f>
        <v>0</v>
      </c>
      <c r="K2038" s="67">
        <f>ROUND(IF(F2038="alluminio",0,I2038*1.5%),4)</f>
        <v>0</v>
      </c>
      <c r="L2038" s="67">
        <f>ROUND(IF(K2038&lt;J2038,K2038,0),4)</f>
        <v>0</v>
      </c>
      <c r="M2038" s="67">
        <f>ROUND(IF(J2038&gt;K2038,0,J2038),4)</f>
        <v>0</v>
      </c>
      <c r="N2038" s="67">
        <f>ROUND(+L2038*D2038,4)</f>
        <v>0</v>
      </c>
      <c r="O2038" s="67">
        <f>ROUND(IF(F2038="rame",0,+I2038*3%),4)</f>
        <v>0</v>
      </c>
      <c r="P2038" s="67">
        <f>ROUND(IF(O2038&lt;J2038,O2038,0),4)</f>
        <v>0</v>
      </c>
      <c r="Q2038" s="67">
        <f>ROUND(IF(J2038&gt;O2038,0,J2038),4)</f>
        <v>0</v>
      </c>
      <c r="R2038" s="67">
        <f>ROUND(+P2038*D2038,4)</f>
        <v>0</v>
      </c>
      <c r="S2038" s="67">
        <f>ROUND(IF(K2038=0,0,M2038*D2038),4)</f>
        <v>0</v>
      </c>
      <c r="T2038" s="67">
        <f>ROUND(+IF(K2038=0,Q2038*D2038,0),4)</f>
        <v>0</v>
      </c>
      <c r="U2038" s="67">
        <f>ROUND(+N2038+R2038+S2038+T2038,4)</f>
        <v>0</v>
      </c>
      <c r="V2038" s="67">
        <f>ROUND(IF(P2038=0,0,I2038-H2038-O2038)+IF(L2038=0,0,I2038-H2038-K2038),4)</f>
        <v>0</v>
      </c>
      <c r="W2038" s="67">
        <f>ROUND(+(V2038*60%)*D2038,4)</f>
        <v>0</v>
      </c>
      <c r="X2038" s="148">
        <f>ROUND(+U2038+W2038,4)</f>
        <v>0</v>
      </c>
      <c r="Y2038" s="68"/>
      <c r="Z2038" s="148">
        <f>ROUND(IF(X2038&gt;I2038,X2038,I2038),4)</f>
        <v>0</v>
      </c>
      <c r="AD2038" s="78">
        <f t="shared" si="40"/>
        <v>0</v>
      </c>
      <c r="AE2038" s="78">
        <f t="shared" si="41"/>
        <v>0</v>
      </c>
    </row>
    <row r="2039" spans="1:31" x14ac:dyDescent="0.2">
      <c r="A2039" s="66"/>
      <c r="B2039" s="66"/>
      <c r="C2039" s="66"/>
      <c r="D2039" s="144"/>
      <c r="E2039" s="67"/>
      <c r="F2039" s="67"/>
      <c r="G2039" s="67"/>
      <c r="H2039" s="67">
        <f>ROUND(+E2039+G2039,4)</f>
        <v>0</v>
      </c>
      <c r="I2039" s="67"/>
      <c r="J2039" s="67">
        <f>ROUND(+I2039-H2039,4)</f>
        <v>0</v>
      </c>
      <c r="K2039" s="67">
        <f>ROUND(IF(F2039="alluminio",0,I2039*1.5%),4)</f>
        <v>0</v>
      </c>
      <c r="L2039" s="67">
        <f>ROUND(IF(K2039&lt;J2039,K2039,0),4)</f>
        <v>0</v>
      </c>
      <c r="M2039" s="67">
        <f>ROUND(IF(J2039&gt;K2039,0,J2039),4)</f>
        <v>0</v>
      </c>
      <c r="N2039" s="67">
        <f>ROUND(+L2039*D2039,4)</f>
        <v>0</v>
      </c>
      <c r="O2039" s="67">
        <f>ROUND(IF(F2039="rame",0,+I2039*3%),4)</f>
        <v>0</v>
      </c>
      <c r="P2039" s="67">
        <f>ROUND(IF(O2039&lt;J2039,O2039,0),4)</f>
        <v>0</v>
      </c>
      <c r="Q2039" s="67">
        <f>ROUND(IF(J2039&gt;O2039,0,J2039),4)</f>
        <v>0</v>
      </c>
      <c r="R2039" s="67">
        <f>ROUND(+P2039*D2039,4)</f>
        <v>0</v>
      </c>
      <c r="S2039" s="67">
        <f>ROUND(IF(K2039=0,0,M2039*D2039),4)</f>
        <v>0</v>
      </c>
      <c r="T2039" s="67">
        <f>ROUND(+IF(K2039=0,Q2039*D2039,0),4)</f>
        <v>0</v>
      </c>
      <c r="U2039" s="67">
        <f>ROUND(+N2039+R2039+S2039+T2039,4)</f>
        <v>0</v>
      </c>
      <c r="V2039" s="67">
        <f>ROUND(IF(P2039=0,0,I2039-H2039-O2039)+IF(L2039=0,0,I2039-H2039-K2039),4)</f>
        <v>0</v>
      </c>
      <c r="W2039" s="67">
        <f>ROUND(+(V2039*60%)*D2039,4)</f>
        <v>0</v>
      </c>
      <c r="X2039" s="148">
        <f>ROUND(+U2039+W2039,4)</f>
        <v>0</v>
      </c>
      <c r="Y2039" s="68"/>
      <c r="Z2039" s="148">
        <f>ROUND(IF(X2039&gt;I2039,X2039,I2039),4)</f>
        <v>0</v>
      </c>
      <c r="AD2039" s="78">
        <f t="shared" si="40"/>
        <v>0</v>
      </c>
      <c r="AE2039" s="78">
        <f t="shared" si="41"/>
        <v>0</v>
      </c>
    </row>
    <row r="2040" spans="1:31" x14ac:dyDescent="0.2">
      <c r="A2040" s="66"/>
      <c r="B2040" s="66"/>
      <c r="C2040" s="66"/>
      <c r="D2040" s="144"/>
      <c r="E2040" s="67"/>
      <c r="F2040" s="67"/>
      <c r="G2040" s="67"/>
      <c r="H2040" s="67">
        <f>ROUND(+E2040+G2040,4)</f>
        <v>0</v>
      </c>
      <c r="I2040" s="67"/>
      <c r="J2040" s="67">
        <f>ROUND(+I2040-H2040,4)</f>
        <v>0</v>
      </c>
      <c r="K2040" s="67">
        <f>ROUND(IF(F2040="alluminio",0,I2040*1.5%),4)</f>
        <v>0</v>
      </c>
      <c r="L2040" s="67">
        <f>ROUND(IF(K2040&lt;J2040,K2040,0),4)</f>
        <v>0</v>
      </c>
      <c r="M2040" s="67">
        <f>ROUND(IF(J2040&gt;K2040,0,J2040),4)</f>
        <v>0</v>
      </c>
      <c r="N2040" s="67">
        <f>ROUND(+L2040*D2040,4)</f>
        <v>0</v>
      </c>
      <c r="O2040" s="67">
        <f>ROUND(IF(F2040="rame",0,+I2040*3%),4)</f>
        <v>0</v>
      </c>
      <c r="P2040" s="67">
        <f>ROUND(IF(O2040&lt;J2040,O2040,0),4)</f>
        <v>0</v>
      </c>
      <c r="Q2040" s="67">
        <f>ROUND(IF(J2040&gt;O2040,0,J2040),4)</f>
        <v>0</v>
      </c>
      <c r="R2040" s="67">
        <f>ROUND(+P2040*D2040,4)</f>
        <v>0</v>
      </c>
      <c r="S2040" s="67">
        <f>ROUND(IF(K2040=0,0,M2040*D2040),4)</f>
        <v>0</v>
      </c>
      <c r="T2040" s="67">
        <f>ROUND(+IF(K2040=0,Q2040*D2040,0),4)</f>
        <v>0</v>
      </c>
      <c r="U2040" s="67">
        <f>ROUND(+N2040+R2040+S2040+T2040,4)</f>
        <v>0</v>
      </c>
      <c r="V2040" s="67">
        <f>ROUND(IF(P2040=0,0,I2040-H2040-O2040)+IF(L2040=0,0,I2040-H2040-K2040),4)</f>
        <v>0</v>
      </c>
      <c r="W2040" s="67">
        <f>ROUND(+(V2040*60%)*D2040,4)</f>
        <v>0</v>
      </c>
      <c r="X2040" s="148">
        <f>ROUND(+U2040+W2040,4)</f>
        <v>0</v>
      </c>
      <c r="Y2040" s="68"/>
      <c r="Z2040" s="148">
        <f>ROUND(IF(X2040&gt;I2040,X2040,I2040),4)</f>
        <v>0</v>
      </c>
      <c r="AD2040" s="78">
        <f t="shared" si="40"/>
        <v>0</v>
      </c>
      <c r="AE2040" s="78">
        <f t="shared" si="41"/>
        <v>0</v>
      </c>
    </row>
    <row r="2041" spans="1:31" x14ac:dyDescent="0.2">
      <c r="A2041" s="66"/>
      <c r="B2041" s="66"/>
      <c r="C2041" s="66"/>
      <c r="D2041" s="144"/>
      <c r="E2041" s="67"/>
      <c r="F2041" s="67"/>
      <c r="G2041" s="67"/>
      <c r="H2041" s="67">
        <f>ROUND(+E2041+G2041,4)</f>
        <v>0</v>
      </c>
      <c r="I2041" s="67"/>
      <c r="J2041" s="67">
        <f>ROUND(+I2041-H2041,4)</f>
        <v>0</v>
      </c>
      <c r="K2041" s="67">
        <f>ROUND(IF(F2041="alluminio",0,I2041*1.5%),4)</f>
        <v>0</v>
      </c>
      <c r="L2041" s="67">
        <f>ROUND(IF(K2041&lt;J2041,K2041,0),4)</f>
        <v>0</v>
      </c>
      <c r="M2041" s="67">
        <f>ROUND(IF(J2041&gt;K2041,0,J2041),4)</f>
        <v>0</v>
      </c>
      <c r="N2041" s="67">
        <f>ROUND(+L2041*D2041,4)</f>
        <v>0</v>
      </c>
      <c r="O2041" s="67">
        <f>ROUND(IF(F2041="rame",0,+I2041*3%),4)</f>
        <v>0</v>
      </c>
      <c r="P2041" s="67">
        <f>ROUND(IF(O2041&lt;J2041,O2041,0),4)</f>
        <v>0</v>
      </c>
      <c r="Q2041" s="67">
        <f>ROUND(IF(J2041&gt;O2041,0,J2041),4)</f>
        <v>0</v>
      </c>
      <c r="R2041" s="67">
        <f>ROUND(+P2041*D2041,4)</f>
        <v>0</v>
      </c>
      <c r="S2041" s="67">
        <f>ROUND(IF(K2041=0,0,M2041*D2041),4)</f>
        <v>0</v>
      </c>
      <c r="T2041" s="67">
        <f>ROUND(+IF(K2041=0,Q2041*D2041,0),4)</f>
        <v>0</v>
      </c>
      <c r="U2041" s="67">
        <f>ROUND(+N2041+R2041+S2041+T2041,4)</f>
        <v>0</v>
      </c>
      <c r="V2041" s="67">
        <f>ROUND(IF(P2041=0,0,I2041-H2041-O2041)+IF(L2041=0,0,I2041-H2041-K2041),4)</f>
        <v>0</v>
      </c>
      <c r="W2041" s="67">
        <f>ROUND(+(V2041*60%)*D2041,4)</f>
        <v>0</v>
      </c>
      <c r="X2041" s="148">
        <f>ROUND(+U2041+W2041,4)</f>
        <v>0</v>
      </c>
      <c r="Y2041" s="68"/>
      <c r="Z2041" s="148">
        <f>ROUND(IF(X2041&gt;I2041,X2041,I2041),4)</f>
        <v>0</v>
      </c>
      <c r="AD2041" s="78">
        <f t="shared" si="40"/>
        <v>0</v>
      </c>
      <c r="AE2041" s="78">
        <f t="shared" si="41"/>
        <v>0</v>
      </c>
    </row>
    <row r="2042" spans="1:31" x14ac:dyDescent="0.2">
      <c r="A2042" s="66"/>
      <c r="B2042" s="66"/>
      <c r="C2042" s="66"/>
      <c r="D2042" s="144"/>
      <c r="E2042" s="67"/>
      <c r="F2042" s="67"/>
      <c r="G2042" s="67"/>
      <c r="H2042" s="67">
        <f>ROUND(+E2042+G2042,4)</f>
        <v>0</v>
      </c>
      <c r="I2042" s="67"/>
      <c r="J2042" s="67">
        <f>ROUND(+I2042-H2042,4)</f>
        <v>0</v>
      </c>
      <c r="K2042" s="67">
        <f>ROUND(IF(F2042="alluminio",0,I2042*1.5%),4)</f>
        <v>0</v>
      </c>
      <c r="L2042" s="67">
        <f>ROUND(IF(K2042&lt;J2042,K2042,0),4)</f>
        <v>0</v>
      </c>
      <c r="M2042" s="67">
        <f>ROUND(IF(J2042&gt;K2042,0,J2042),4)</f>
        <v>0</v>
      </c>
      <c r="N2042" s="67">
        <f>ROUND(+L2042*D2042,4)</f>
        <v>0</v>
      </c>
      <c r="O2042" s="67">
        <f>ROUND(IF(F2042="rame",0,+I2042*3%),4)</f>
        <v>0</v>
      </c>
      <c r="P2042" s="67">
        <f>ROUND(IF(O2042&lt;J2042,O2042,0),4)</f>
        <v>0</v>
      </c>
      <c r="Q2042" s="67">
        <f>ROUND(IF(J2042&gt;O2042,0,J2042),4)</f>
        <v>0</v>
      </c>
      <c r="R2042" s="67">
        <f>ROUND(+P2042*D2042,4)</f>
        <v>0</v>
      </c>
      <c r="S2042" s="67">
        <f>ROUND(IF(K2042=0,0,M2042*D2042),4)</f>
        <v>0</v>
      </c>
      <c r="T2042" s="67">
        <f>ROUND(+IF(K2042=0,Q2042*D2042,0),4)</f>
        <v>0</v>
      </c>
      <c r="U2042" s="67">
        <f>ROUND(+N2042+R2042+S2042+T2042,4)</f>
        <v>0</v>
      </c>
      <c r="V2042" s="67">
        <f>ROUND(IF(P2042=0,0,I2042-H2042-O2042)+IF(L2042=0,0,I2042-H2042-K2042),4)</f>
        <v>0</v>
      </c>
      <c r="W2042" s="67">
        <f>ROUND(+(V2042*60%)*D2042,4)</f>
        <v>0</v>
      </c>
      <c r="X2042" s="148">
        <f>ROUND(+U2042+W2042,4)</f>
        <v>0</v>
      </c>
      <c r="Y2042" s="68"/>
      <c r="Z2042" s="148">
        <f>ROUND(IF(X2042&gt;I2042,X2042,I2042),4)</f>
        <v>0</v>
      </c>
      <c r="AD2042" s="78">
        <f t="shared" si="40"/>
        <v>0</v>
      </c>
      <c r="AE2042" s="78">
        <f t="shared" si="41"/>
        <v>0</v>
      </c>
    </row>
    <row r="2043" spans="1:31" x14ac:dyDescent="0.2">
      <c r="A2043" s="66"/>
      <c r="B2043" s="66"/>
      <c r="C2043" s="66"/>
      <c r="D2043" s="144"/>
      <c r="E2043" s="67"/>
      <c r="F2043" s="67"/>
      <c r="G2043" s="67"/>
      <c r="H2043" s="67">
        <f>ROUND(+E2043+G2043,4)</f>
        <v>0</v>
      </c>
      <c r="I2043" s="67"/>
      <c r="J2043" s="67">
        <f>ROUND(+I2043-H2043,4)</f>
        <v>0</v>
      </c>
      <c r="K2043" s="67">
        <f>ROUND(IF(F2043="alluminio",0,I2043*1.5%),4)</f>
        <v>0</v>
      </c>
      <c r="L2043" s="67">
        <f>ROUND(IF(K2043&lt;J2043,K2043,0),4)</f>
        <v>0</v>
      </c>
      <c r="M2043" s="67">
        <f>ROUND(IF(J2043&gt;K2043,0,J2043),4)</f>
        <v>0</v>
      </c>
      <c r="N2043" s="67">
        <f>ROUND(+L2043*D2043,4)</f>
        <v>0</v>
      </c>
      <c r="O2043" s="67">
        <f>ROUND(IF(F2043="rame",0,+I2043*3%),4)</f>
        <v>0</v>
      </c>
      <c r="P2043" s="67">
        <f>ROUND(IF(O2043&lt;J2043,O2043,0),4)</f>
        <v>0</v>
      </c>
      <c r="Q2043" s="67">
        <f>ROUND(IF(J2043&gt;O2043,0,J2043),4)</f>
        <v>0</v>
      </c>
      <c r="R2043" s="67">
        <f>ROUND(+P2043*D2043,4)</f>
        <v>0</v>
      </c>
      <c r="S2043" s="67">
        <f>ROUND(IF(K2043=0,0,M2043*D2043),4)</f>
        <v>0</v>
      </c>
      <c r="T2043" s="67">
        <f>ROUND(+IF(K2043=0,Q2043*D2043,0),4)</f>
        <v>0</v>
      </c>
      <c r="U2043" s="67">
        <f>ROUND(+N2043+R2043+S2043+T2043,4)</f>
        <v>0</v>
      </c>
      <c r="V2043" s="67">
        <f>ROUND(IF(P2043=0,0,I2043-H2043-O2043)+IF(L2043=0,0,I2043-H2043-K2043),4)</f>
        <v>0</v>
      </c>
      <c r="W2043" s="67">
        <f>ROUND(+(V2043*60%)*D2043,4)</f>
        <v>0</v>
      </c>
      <c r="X2043" s="148">
        <f>ROUND(+U2043+W2043,4)</f>
        <v>0</v>
      </c>
      <c r="Y2043" s="68"/>
      <c r="Z2043" s="148">
        <f>ROUND(IF(X2043&gt;I2043,X2043,I2043),4)</f>
        <v>0</v>
      </c>
      <c r="AD2043" s="78">
        <f t="shared" si="40"/>
        <v>0</v>
      </c>
      <c r="AE2043" s="78">
        <f t="shared" si="41"/>
        <v>0</v>
      </c>
    </row>
    <row r="2044" spans="1:31" x14ac:dyDescent="0.2">
      <c r="A2044" s="66"/>
      <c r="B2044" s="66"/>
      <c r="C2044" s="66"/>
      <c r="D2044" s="144"/>
      <c r="E2044" s="67"/>
      <c r="F2044" s="67"/>
      <c r="G2044" s="67"/>
      <c r="H2044" s="67">
        <f>ROUND(+E2044+G2044,4)</f>
        <v>0</v>
      </c>
      <c r="I2044" s="67"/>
      <c r="J2044" s="67">
        <f>ROUND(+I2044-H2044,4)</f>
        <v>0</v>
      </c>
      <c r="K2044" s="67">
        <f>ROUND(IF(F2044="alluminio",0,I2044*1.5%),4)</f>
        <v>0</v>
      </c>
      <c r="L2044" s="67">
        <f>ROUND(IF(K2044&lt;J2044,K2044,0),4)</f>
        <v>0</v>
      </c>
      <c r="M2044" s="67">
        <f>ROUND(IF(J2044&gt;K2044,0,J2044),4)</f>
        <v>0</v>
      </c>
      <c r="N2044" s="67">
        <f>ROUND(+L2044*D2044,4)</f>
        <v>0</v>
      </c>
      <c r="O2044" s="67">
        <f>ROUND(IF(F2044="rame",0,+I2044*3%),4)</f>
        <v>0</v>
      </c>
      <c r="P2044" s="67">
        <f>ROUND(IF(O2044&lt;J2044,O2044,0),4)</f>
        <v>0</v>
      </c>
      <c r="Q2044" s="67">
        <f>ROUND(IF(J2044&gt;O2044,0,J2044),4)</f>
        <v>0</v>
      </c>
      <c r="R2044" s="67">
        <f>ROUND(+P2044*D2044,4)</f>
        <v>0</v>
      </c>
      <c r="S2044" s="67">
        <f>ROUND(IF(K2044=0,0,M2044*D2044),4)</f>
        <v>0</v>
      </c>
      <c r="T2044" s="67">
        <f>ROUND(+IF(K2044=0,Q2044*D2044,0),4)</f>
        <v>0</v>
      </c>
      <c r="U2044" s="67">
        <f>ROUND(+N2044+R2044+S2044+T2044,4)</f>
        <v>0</v>
      </c>
      <c r="V2044" s="67">
        <f>ROUND(IF(P2044=0,0,I2044-H2044-O2044)+IF(L2044=0,0,I2044-H2044-K2044),4)</f>
        <v>0</v>
      </c>
      <c r="W2044" s="67">
        <f>ROUND(+(V2044*60%)*D2044,4)</f>
        <v>0</v>
      </c>
      <c r="X2044" s="148">
        <f>ROUND(+U2044+W2044,4)</f>
        <v>0</v>
      </c>
      <c r="Y2044" s="68"/>
      <c r="Z2044" s="148">
        <f>ROUND(IF(X2044&gt;I2044,X2044,I2044),4)</f>
        <v>0</v>
      </c>
      <c r="AD2044" s="78">
        <f t="shared" si="40"/>
        <v>0</v>
      </c>
      <c r="AE2044" s="78">
        <f t="shared" si="41"/>
        <v>0</v>
      </c>
    </row>
    <row r="2045" spans="1:31" x14ac:dyDescent="0.2">
      <c r="A2045" s="66"/>
      <c r="B2045" s="66"/>
      <c r="C2045" s="66"/>
      <c r="D2045" s="144"/>
      <c r="E2045" s="67"/>
      <c r="F2045" s="67"/>
      <c r="G2045" s="67"/>
      <c r="H2045" s="67">
        <f>ROUND(+E2045+G2045,4)</f>
        <v>0</v>
      </c>
      <c r="I2045" s="67"/>
      <c r="J2045" s="67">
        <f>ROUND(+I2045-H2045,4)</f>
        <v>0</v>
      </c>
      <c r="K2045" s="67">
        <f>ROUND(IF(F2045="alluminio",0,I2045*1.5%),4)</f>
        <v>0</v>
      </c>
      <c r="L2045" s="67">
        <f>ROUND(IF(K2045&lt;J2045,K2045,0),4)</f>
        <v>0</v>
      </c>
      <c r="M2045" s="67">
        <f>ROUND(IF(J2045&gt;K2045,0,J2045),4)</f>
        <v>0</v>
      </c>
      <c r="N2045" s="67">
        <f>ROUND(+L2045*D2045,4)</f>
        <v>0</v>
      </c>
      <c r="O2045" s="67">
        <f>ROUND(IF(F2045="rame",0,+I2045*3%),4)</f>
        <v>0</v>
      </c>
      <c r="P2045" s="67">
        <f>ROUND(IF(O2045&lt;J2045,O2045,0),4)</f>
        <v>0</v>
      </c>
      <c r="Q2045" s="67">
        <f>ROUND(IF(J2045&gt;O2045,0,J2045),4)</f>
        <v>0</v>
      </c>
      <c r="R2045" s="67">
        <f>ROUND(+P2045*D2045,4)</f>
        <v>0</v>
      </c>
      <c r="S2045" s="67">
        <f>ROUND(IF(K2045=0,0,M2045*D2045),4)</f>
        <v>0</v>
      </c>
      <c r="T2045" s="67">
        <f>ROUND(+IF(K2045=0,Q2045*D2045,0),4)</f>
        <v>0</v>
      </c>
      <c r="U2045" s="67">
        <f>ROUND(+N2045+R2045+S2045+T2045,4)</f>
        <v>0</v>
      </c>
      <c r="V2045" s="67">
        <f>ROUND(IF(P2045=0,0,I2045-H2045-O2045)+IF(L2045=0,0,I2045-H2045-K2045),4)</f>
        <v>0</v>
      </c>
      <c r="W2045" s="67">
        <f>ROUND(+(V2045*60%)*D2045,4)</f>
        <v>0</v>
      </c>
      <c r="X2045" s="148">
        <f>ROUND(+U2045+W2045,4)</f>
        <v>0</v>
      </c>
      <c r="Y2045" s="68"/>
      <c r="Z2045" s="148">
        <f>ROUND(IF(X2045&gt;I2045,X2045,I2045),4)</f>
        <v>0</v>
      </c>
      <c r="AD2045" s="78">
        <f t="shared" si="40"/>
        <v>0</v>
      </c>
      <c r="AE2045" s="78">
        <f t="shared" si="41"/>
        <v>0</v>
      </c>
    </row>
    <row r="2046" spans="1:31" x14ac:dyDescent="0.2">
      <c r="A2046" s="66"/>
      <c r="B2046" s="66"/>
      <c r="C2046" s="66"/>
      <c r="D2046" s="144"/>
      <c r="E2046" s="67"/>
      <c r="F2046" s="67"/>
      <c r="G2046" s="67"/>
      <c r="H2046" s="67">
        <f>ROUND(+E2046+G2046,4)</f>
        <v>0</v>
      </c>
      <c r="I2046" s="67"/>
      <c r="J2046" s="67">
        <f>ROUND(+I2046-H2046,4)</f>
        <v>0</v>
      </c>
      <c r="K2046" s="67">
        <f>ROUND(IF(F2046="alluminio",0,I2046*1.5%),4)</f>
        <v>0</v>
      </c>
      <c r="L2046" s="67">
        <f>ROUND(IF(K2046&lt;J2046,K2046,0),4)</f>
        <v>0</v>
      </c>
      <c r="M2046" s="67">
        <f>ROUND(IF(J2046&gt;K2046,0,J2046),4)</f>
        <v>0</v>
      </c>
      <c r="N2046" s="67">
        <f>ROUND(+L2046*D2046,4)</f>
        <v>0</v>
      </c>
      <c r="O2046" s="67">
        <f>ROUND(IF(F2046="rame",0,+I2046*3%),4)</f>
        <v>0</v>
      </c>
      <c r="P2046" s="67">
        <f>ROUND(IF(O2046&lt;J2046,O2046,0),4)</f>
        <v>0</v>
      </c>
      <c r="Q2046" s="67">
        <f>ROUND(IF(J2046&gt;O2046,0,J2046),4)</f>
        <v>0</v>
      </c>
      <c r="R2046" s="67">
        <f>ROUND(+P2046*D2046,4)</f>
        <v>0</v>
      </c>
      <c r="S2046" s="67">
        <f>ROUND(IF(K2046=0,0,M2046*D2046),4)</f>
        <v>0</v>
      </c>
      <c r="T2046" s="67">
        <f>ROUND(+IF(K2046=0,Q2046*D2046,0),4)</f>
        <v>0</v>
      </c>
      <c r="U2046" s="67">
        <f>ROUND(+N2046+R2046+S2046+T2046,4)</f>
        <v>0</v>
      </c>
      <c r="V2046" s="67">
        <f>ROUND(IF(P2046=0,0,I2046-H2046-O2046)+IF(L2046=0,0,I2046-H2046-K2046),4)</f>
        <v>0</v>
      </c>
      <c r="W2046" s="67">
        <f>ROUND(+(V2046*60%)*D2046,4)</f>
        <v>0</v>
      </c>
      <c r="X2046" s="148">
        <f>ROUND(+U2046+W2046,4)</f>
        <v>0</v>
      </c>
      <c r="Y2046" s="68"/>
      <c r="Z2046" s="148">
        <f>ROUND(IF(X2046&gt;I2046,X2046,I2046),4)</f>
        <v>0</v>
      </c>
      <c r="AD2046" s="78">
        <f t="shared" ref="AD2046:AD2109" si="42">IF(Y2046="",0,MONTH(Y2046))</f>
        <v>0</v>
      </c>
      <c r="AE2046" s="78">
        <f t="shared" ref="AE2046:AE2109" si="43">IF(Y2046="",0,YEAR(Y2046))</f>
        <v>0</v>
      </c>
    </row>
    <row r="2047" spans="1:31" x14ac:dyDescent="0.2">
      <c r="A2047" s="66"/>
      <c r="B2047" s="66"/>
      <c r="C2047" s="66"/>
      <c r="D2047" s="144"/>
      <c r="E2047" s="67"/>
      <c r="F2047" s="67"/>
      <c r="G2047" s="67"/>
      <c r="H2047" s="67">
        <f>ROUND(+E2047+G2047,4)</f>
        <v>0</v>
      </c>
      <c r="I2047" s="67"/>
      <c r="J2047" s="67">
        <f>ROUND(+I2047-H2047,4)</f>
        <v>0</v>
      </c>
      <c r="K2047" s="67">
        <f>ROUND(IF(F2047="alluminio",0,I2047*1.5%),4)</f>
        <v>0</v>
      </c>
      <c r="L2047" s="67">
        <f>ROUND(IF(K2047&lt;J2047,K2047,0),4)</f>
        <v>0</v>
      </c>
      <c r="M2047" s="67">
        <f>ROUND(IF(J2047&gt;K2047,0,J2047),4)</f>
        <v>0</v>
      </c>
      <c r="N2047" s="67">
        <f>ROUND(+L2047*D2047,4)</f>
        <v>0</v>
      </c>
      <c r="O2047" s="67">
        <f>ROUND(IF(F2047="rame",0,+I2047*3%),4)</f>
        <v>0</v>
      </c>
      <c r="P2047" s="67">
        <f>ROUND(IF(O2047&lt;J2047,O2047,0),4)</f>
        <v>0</v>
      </c>
      <c r="Q2047" s="67">
        <f>ROUND(IF(J2047&gt;O2047,0,J2047),4)</f>
        <v>0</v>
      </c>
      <c r="R2047" s="67">
        <f>ROUND(+P2047*D2047,4)</f>
        <v>0</v>
      </c>
      <c r="S2047" s="67">
        <f>ROUND(IF(K2047=0,0,M2047*D2047),4)</f>
        <v>0</v>
      </c>
      <c r="T2047" s="67">
        <f>ROUND(+IF(K2047=0,Q2047*D2047,0),4)</f>
        <v>0</v>
      </c>
      <c r="U2047" s="67">
        <f>ROUND(+N2047+R2047+S2047+T2047,4)</f>
        <v>0</v>
      </c>
      <c r="V2047" s="67">
        <f>ROUND(IF(P2047=0,0,I2047-H2047-O2047)+IF(L2047=0,0,I2047-H2047-K2047),4)</f>
        <v>0</v>
      </c>
      <c r="W2047" s="67">
        <f>ROUND(+(V2047*60%)*D2047,4)</f>
        <v>0</v>
      </c>
      <c r="X2047" s="148">
        <f>ROUND(+U2047+W2047,4)</f>
        <v>0</v>
      </c>
      <c r="Y2047" s="68"/>
      <c r="Z2047" s="148">
        <f>ROUND(IF(X2047&gt;I2047,X2047,I2047),4)</f>
        <v>0</v>
      </c>
      <c r="AD2047" s="78">
        <f t="shared" si="42"/>
        <v>0</v>
      </c>
      <c r="AE2047" s="78">
        <f t="shared" si="43"/>
        <v>0</v>
      </c>
    </row>
    <row r="2048" spans="1:31" x14ac:dyDescent="0.2">
      <c r="A2048" s="66"/>
      <c r="B2048" s="66"/>
      <c r="C2048" s="66"/>
      <c r="D2048" s="144"/>
      <c r="E2048" s="67"/>
      <c r="F2048" s="67"/>
      <c r="G2048" s="67"/>
      <c r="H2048" s="67">
        <f>ROUND(+E2048+G2048,4)</f>
        <v>0</v>
      </c>
      <c r="I2048" s="67"/>
      <c r="J2048" s="67">
        <f>ROUND(+I2048-H2048,4)</f>
        <v>0</v>
      </c>
      <c r="K2048" s="67">
        <f>ROUND(IF(F2048="alluminio",0,I2048*1.5%),4)</f>
        <v>0</v>
      </c>
      <c r="L2048" s="67">
        <f>ROUND(IF(K2048&lt;J2048,K2048,0),4)</f>
        <v>0</v>
      </c>
      <c r="M2048" s="67">
        <f>ROUND(IF(J2048&gt;K2048,0,J2048),4)</f>
        <v>0</v>
      </c>
      <c r="N2048" s="67">
        <f>ROUND(+L2048*D2048,4)</f>
        <v>0</v>
      </c>
      <c r="O2048" s="67">
        <f>ROUND(IF(F2048="rame",0,+I2048*3%),4)</f>
        <v>0</v>
      </c>
      <c r="P2048" s="67">
        <f>ROUND(IF(O2048&lt;J2048,O2048,0),4)</f>
        <v>0</v>
      </c>
      <c r="Q2048" s="67">
        <f>ROUND(IF(J2048&gt;O2048,0,J2048),4)</f>
        <v>0</v>
      </c>
      <c r="R2048" s="67">
        <f>ROUND(+P2048*D2048,4)</f>
        <v>0</v>
      </c>
      <c r="S2048" s="67">
        <f>ROUND(IF(K2048=0,0,M2048*D2048),4)</f>
        <v>0</v>
      </c>
      <c r="T2048" s="67">
        <f>ROUND(+IF(K2048=0,Q2048*D2048,0),4)</f>
        <v>0</v>
      </c>
      <c r="U2048" s="67">
        <f>ROUND(+N2048+R2048+S2048+T2048,4)</f>
        <v>0</v>
      </c>
      <c r="V2048" s="67">
        <f>ROUND(IF(P2048=0,0,I2048-H2048-O2048)+IF(L2048=0,0,I2048-H2048-K2048),4)</f>
        <v>0</v>
      </c>
      <c r="W2048" s="67">
        <f>ROUND(+(V2048*60%)*D2048,4)</f>
        <v>0</v>
      </c>
      <c r="X2048" s="148">
        <f>ROUND(+U2048+W2048,4)</f>
        <v>0</v>
      </c>
      <c r="Y2048" s="68"/>
      <c r="Z2048" s="148">
        <f>ROUND(IF(X2048&gt;I2048,X2048,I2048),4)</f>
        <v>0</v>
      </c>
      <c r="AD2048" s="78">
        <f t="shared" si="42"/>
        <v>0</v>
      </c>
      <c r="AE2048" s="78">
        <f t="shared" si="43"/>
        <v>0</v>
      </c>
    </row>
    <row r="2049" spans="1:31" x14ac:dyDescent="0.2">
      <c r="A2049" s="66"/>
      <c r="B2049" s="66"/>
      <c r="C2049" s="66"/>
      <c r="D2049" s="144"/>
      <c r="E2049" s="67"/>
      <c r="F2049" s="67"/>
      <c r="G2049" s="67"/>
      <c r="H2049" s="67">
        <f>ROUND(+E2049+G2049,4)</f>
        <v>0</v>
      </c>
      <c r="I2049" s="67"/>
      <c r="J2049" s="67">
        <f>ROUND(+I2049-H2049,4)</f>
        <v>0</v>
      </c>
      <c r="K2049" s="67">
        <f>ROUND(IF(F2049="alluminio",0,I2049*1.5%),4)</f>
        <v>0</v>
      </c>
      <c r="L2049" s="67">
        <f>ROUND(IF(K2049&lt;J2049,K2049,0),4)</f>
        <v>0</v>
      </c>
      <c r="M2049" s="67">
        <f>ROUND(IF(J2049&gt;K2049,0,J2049),4)</f>
        <v>0</v>
      </c>
      <c r="N2049" s="67">
        <f>ROUND(+L2049*D2049,4)</f>
        <v>0</v>
      </c>
      <c r="O2049" s="67">
        <f>ROUND(IF(F2049="rame",0,+I2049*3%),4)</f>
        <v>0</v>
      </c>
      <c r="P2049" s="67">
        <f>ROUND(IF(O2049&lt;J2049,O2049,0),4)</f>
        <v>0</v>
      </c>
      <c r="Q2049" s="67">
        <f>ROUND(IF(J2049&gt;O2049,0,J2049),4)</f>
        <v>0</v>
      </c>
      <c r="R2049" s="67">
        <f>ROUND(+P2049*D2049,4)</f>
        <v>0</v>
      </c>
      <c r="S2049" s="67">
        <f>ROUND(IF(K2049=0,0,M2049*D2049),4)</f>
        <v>0</v>
      </c>
      <c r="T2049" s="67">
        <f>ROUND(+IF(K2049=0,Q2049*D2049,0),4)</f>
        <v>0</v>
      </c>
      <c r="U2049" s="67">
        <f>ROUND(+N2049+R2049+S2049+T2049,4)</f>
        <v>0</v>
      </c>
      <c r="V2049" s="67">
        <f>ROUND(IF(P2049=0,0,I2049-H2049-O2049)+IF(L2049=0,0,I2049-H2049-K2049),4)</f>
        <v>0</v>
      </c>
      <c r="W2049" s="67">
        <f>ROUND(+(V2049*60%)*D2049,4)</f>
        <v>0</v>
      </c>
      <c r="X2049" s="148">
        <f>ROUND(+U2049+W2049,4)</f>
        <v>0</v>
      </c>
      <c r="Y2049" s="68"/>
      <c r="Z2049" s="148">
        <f>ROUND(IF(X2049&gt;I2049,X2049,I2049),4)</f>
        <v>0</v>
      </c>
      <c r="AD2049" s="78">
        <f t="shared" si="42"/>
        <v>0</v>
      </c>
      <c r="AE2049" s="78">
        <f t="shared" si="43"/>
        <v>0</v>
      </c>
    </row>
    <row r="2050" spans="1:31" x14ac:dyDescent="0.2">
      <c r="A2050" s="66"/>
      <c r="B2050" s="66"/>
      <c r="C2050" s="66"/>
      <c r="D2050" s="144"/>
      <c r="E2050" s="67"/>
      <c r="F2050" s="67"/>
      <c r="G2050" s="67"/>
      <c r="H2050" s="67">
        <f>ROUND(+E2050+G2050,4)</f>
        <v>0</v>
      </c>
      <c r="I2050" s="67"/>
      <c r="J2050" s="67">
        <f>ROUND(+I2050-H2050,4)</f>
        <v>0</v>
      </c>
      <c r="K2050" s="67">
        <f>ROUND(IF(F2050="alluminio",0,I2050*1.5%),4)</f>
        <v>0</v>
      </c>
      <c r="L2050" s="67">
        <f>ROUND(IF(K2050&lt;J2050,K2050,0),4)</f>
        <v>0</v>
      </c>
      <c r="M2050" s="67">
        <f>ROUND(IF(J2050&gt;K2050,0,J2050),4)</f>
        <v>0</v>
      </c>
      <c r="N2050" s="67">
        <f>ROUND(+L2050*D2050,4)</f>
        <v>0</v>
      </c>
      <c r="O2050" s="67">
        <f>ROUND(IF(F2050="rame",0,+I2050*3%),4)</f>
        <v>0</v>
      </c>
      <c r="P2050" s="67">
        <f>ROUND(IF(O2050&lt;J2050,O2050,0),4)</f>
        <v>0</v>
      </c>
      <c r="Q2050" s="67">
        <f>ROUND(IF(J2050&gt;O2050,0,J2050),4)</f>
        <v>0</v>
      </c>
      <c r="R2050" s="67">
        <f>ROUND(+P2050*D2050,4)</f>
        <v>0</v>
      </c>
      <c r="S2050" s="67">
        <f>ROUND(IF(K2050=0,0,M2050*D2050),4)</f>
        <v>0</v>
      </c>
      <c r="T2050" s="67">
        <f>ROUND(+IF(K2050=0,Q2050*D2050,0),4)</f>
        <v>0</v>
      </c>
      <c r="U2050" s="67">
        <f>ROUND(+N2050+R2050+S2050+T2050,4)</f>
        <v>0</v>
      </c>
      <c r="V2050" s="67">
        <f>ROUND(IF(P2050=0,0,I2050-H2050-O2050)+IF(L2050=0,0,I2050-H2050-K2050),4)</f>
        <v>0</v>
      </c>
      <c r="W2050" s="67">
        <f>ROUND(+(V2050*60%)*D2050,4)</f>
        <v>0</v>
      </c>
      <c r="X2050" s="148">
        <f>ROUND(+U2050+W2050,4)</f>
        <v>0</v>
      </c>
      <c r="Y2050" s="68"/>
      <c r="Z2050" s="148">
        <f>ROUND(IF(X2050&gt;I2050,X2050,I2050),4)</f>
        <v>0</v>
      </c>
      <c r="AD2050" s="78">
        <f t="shared" si="42"/>
        <v>0</v>
      </c>
      <c r="AE2050" s="78">
        <f t="shared" si="43"/>
        <v>0</v>
      </c>
    </row>
    <row r="2051" spans="1:31" x14ac:dyDescent="0.2">
      <c r="A2051" s="66"/>
      <c r="B2051" s="66"/>
      <c r="C2051" s="66"/>
      <c r="D2051" s="144"/>
      <c r="E2051" s="67"/>
      <c r="F2051" s="67"/>
      <c r="G2051" s="67"/>
      <c r="H2051" s="67">
        <f>ROUND(+E2051+G2051,4)</f>
        <v>0</v>
      </c>
      <c r="I2051" s="67"/>
      <c r="J2051" s="67">
        <f>ROUND(+I2051-H2051,4)</f>
        <v>0</v>
      </c>
      <c r="K2051" s="67">
        <f>ROUND(IF(F2051="alluminio",0,I2051*1.5%),4)</f>
        <v>0</v>
      </c>
      <c r="L2051" s="67">
        <f>ROUND(IF(K2051&lt;J2051,K2051,0),4)</f>
        <v>0</v>
      </c>
      <c r="M2051" s="67">
        <f>ROUND(IF(J2051&gt;K2051,0,J2051),4)</f>
        <v>0</v>
      </c>
      <c r="N2051" s="67">
        <f>ROUND(+L2051*D2051,4)</f>
        <v>0</v>
      </c>
      <c r="O2051" s="67">
        <f>ROUND(IF(F2051="rame",0,+I2051*3%),4)</f>
        <v>0</v>
      </c>
      <c r="P2051" s="67">
        <f>ROUND(IF(O2051&lt;J2051,O2051,0),4)</f>
        <v>0</v>
      </c>
      <c r="Q2051" s="67">
        <f>ROUND(IF(J2051&gt;O2051,0,J2051),4)</f>
        <v>0</v>
      </c>
      <c r="R2051" s="67">
        <f>ROUND(+P2051*D2051,4)</f>
        <v>0</v>
      </c>
      <c r="S2051" s="67">
        <f>ROUND(IF(K2051=0,0,M2051*D2051),4)</f>
        <v>0</v>
      </c>
      <c r="T2051" s="67">
        <f>ROUND(+IF(K2051=0,Q2051*D2051,0),4)</f>
        <v>0</v>
      </c>
      <c r="U2051" s="67">
        <f>ROUND(+N2051+R2051+S2051+T2051,4)</f>
        <v>0</v>
      </c>
      <c r="V2051" s="67">
        <f>ROUND(IF(P2051=0,0,I2051-H2051-O2051)+IF(L2051=0,0,I2051-H2051-K2051),4)</f>
        <v>0</v>
      </c>
      <c r="W2051" s="67">
        <f>ROUND(+(V2051*60%)*D2051,4)</f>
        <v>0</v>
      </c>
      <c r="X2051" s="148">
        <f>ROUND(+U2051+W2051,4)</f>
        <v>0</v>
      </c>
      <c r="Y2051" s="68"/>
      <c r="Z2051" s="148">
        <f>ROUND(IF(X2051&gt;I2051,X2051,I2051),4)</f>
        <v>0</v>
      </c>
      <c r="AD2051" s="78">
        <f t="shared" si="42"/>
        <v>0</v>
      </c>
      <c r="AE2051" s="78">
        <f t="shared" si="43"/>
        <v>0</v>
      </c>
    </row>
    <row r="2052" spans="1:31" x14ac:dyDescent="0.2">
      <c r="A2052" s="66"/>
      <c r="B2052" s="66"/>
      <c r="C2052" s="66"/>
      <c r="D2052" s="144"/>
      <c r="E2052" s="67"/>
      <c r="F2052" s="67"/>
      <c r="G2052" s="67"/>
      <c r="H2052" s="67">
        <f>ROUND(+E2052+G2052,4)</f>
        <v>0</v>
      </c>
      <c r="I2052" s="67"/>
      <c r="J2052" s="67">
        <f>ROUND(+I2052-H2052,4)</f>
        <v>0</v>
      </c>
      <c r="K2052" s="67">
        <f>ROUND(IF(F2052="alluminio",0,I2052*1.5%),4)</f>
        <v>0</v>
      </c>
      <c r="L2052" s="67">
        <f>ROUND(IF(K2052&lt;J2052,K2052,0),4)</f>
        <v>0</v>
      </c>
      <c r="M2052" s="67">
        <f>ROUND(IF(J2052&gt;K2052,0,J2052),4)</f>
        <v>0</v>
      </c>
      <c r="N2052" s="67">
        <f>ROUND(+L2052*D2052,4)</f>
        <v>0</v>
      </c>
      <c r="O2052" s="67">
        <f>ROUND(IF(F2052="rame",0,+I2052*3%),4)</f>
        <v>0</v>
      </c>
      <c r="P2052" s="67">
        <f>ROUND(IF(O2052&lt;J2052,O2052,0),4)</f>
        <v>0</v>
      </c>
      <c r="Q2052" s="67">
        <f>ROUND(IF(J2052&gt;O2052,0,J2052),4)</f>
        <v>0</v>
      </c>
      <c r="R2052" s="67">
        <f>ROUND(+P2052*D2052,4)</f>
        <v>0</v>
      </c>
      <c r="S2052" s="67">
        <f>ROUND(IF(K2052=0,0,M2052*D2052),4)</f>
        <v>0</v>
      </c>
      <c r="T2052" s="67">
        <f>ROUND(+IF(K2052=0,Q2052*D2052,0),4)</f>
        <v>0</v>
      </c>
      <c r="U2052" s="67">
        <f>ROUND(+N2052+R2052+S2052+T2052,4)</f>
        <v>0</v>
      </c>
      <c r="V2052" s="67">
        <f>ROUND(IF(P2052=0,0,I2052-H2052-O2052)+IF(L2052=0,0,I2052-H2052-K2052),4)</f>
        <v>0</v>
      </c>
      <c r="W2052" s="67">
        <f>ROUND(+(V2052*60%)*D2052,4)</f>
        <v>0</v>
      </c>
      <c r="X2052" s="148">
        <f>ROUND(+U2052+W2052,4)</f>
        <v>0</v>
      </c>
      <c r="Y2052" s="68"/>
      <c r="Z2052" s="148">
        <f>ROUND(IF(X2052&gt;I2052,X2052,I2052),4)</f>
        <v>0</v>
      </c>
      <c r="AD2052" s="78">
        <f t="shared" si="42"/>
        <v>0</v>
      </c>
      <c r="AE2052" s="78">
        <f t="shared" si="43"/>
        <v>0</v>
      </c>
    </row>
    <row r="2053" spans="1:31" x14ac:dyDescent="0.2">
      <c r="A2053" s="66"/>
      <c r="B2053" s="66"/>
      <c r="C2053" s="66"/>
      <c r="D2053" s="144"/>
      <c r="E2053" s="67"/>
      <c r="F2053" s="67"/>
      <c r="G2053" s="67"/>
      <c r="H2053" s="67">
        <f>ROUND(+E2053+G2053,4)</f>
        <v>0</v>
      </c>
      <c r="I2053" s="67"/>
      <c r="J2053" s="67">
        <f>ROUND(+I2053-H2053,4)</f>
        <v>0</v>
      </c>
      <c r="K2053" s="67">
        <f>ROUND(IF(F2053="alluminio",0,I2053*1.5%),4)</f>
        <v>0</v>
      </c>
      <c r="L2053" s="67">
        <f>ROUND(IF(K2053&lt;J2053,K2053,0),4)</f>
        <v>0</v>
      </c>
      <c r="M2053" s="67">
        <f>ROUND(IF(J2053&gt;K2053,0,J2053),4)</f>
        <v>0</v>
      </c>
      <c r="N2053" s="67">
        <f>ROUND(+L2053*D2053,4)</f>
        <v>0</v>
      </c>
      <c r="O2053" s="67">
        <f>ROUND(IF(F2053="rame",0,+I2053*3%),4)</f>
        <v>0</v>
      </c>
      <c r="P2053" s="67">
        <f>ROUND(IF(O2053&lt;J2053,O2053,0),4)</f>
        <v>0</v>
      </c>
      <c r="Q2053" s="67">
        <f>ROUND(IF(J2053&gt;O2053,0,J2053),4)</f>
        <v>0</v>
      </c>
      <c r="R2053" s="67">
        <f>ROUND(+P2053*D2053,4)</f>
        <v>0</v>
      </c>
      <c r="S2053" s="67">
        <f>ROUND(IF(K2053=0,0,M2053*D2053),4)</f>
        <v>0</v>
      </c>
      <c r="T2053" s="67">
        <f>ROUND(+IF(K2053=0,Q2053*D2053,0),4)</f>
        <v>0</v>
      </c>
      <c r="U2053" s="67">
        <f>ROUND(+N2053+R2053+S2053+T2053,4)</f>
        <v>0</v>
      </c>
      <c r="V2053" s="67">
        <f>ROUND(IF(P2053=0,0,I2053-H2053-O2053)+IF(L2053=0,0,I2053-H2053-K2053),4)</f>
        <v>0</v>
      </c>
      <c r="W2053" s="67">
        <f>ROUND(+(V2053*60%)*D2053,4)</f>
        <v>0</v>
      </c>
      <c r="X2053" s="148">
        <f>ROUND(+U2053+W2053,4)</f>
        <v>0</v>
      </c>
      <c r="Y2053" s="68"/>
      <c r="Z2053" s="148">
        <f>ROUND(IF(X2053&gt;I2053,X2053,I2053),4)</f>
        <v>0</v>
      </c>
      <c r="AD2053" s="78">
        <f t="shared" si="42"/>
        <v>0</v>
      </c>
      <c r="AE2053" s="78">
        <f t="shared" si="43"/>
        <v>0</v>
      </c>
    </row>
    <row r="2054" spans="1:31" x14ac:dyDescent="0.2">
      <c r="A2054" s="66"/>
      <c r="B2054" s="66"/>
      <c r="C2054" s="66"/>
      <c r="D2054" s="144"/>
      <c r="E2054" s="67"/>
      <c r="F2054" s="67"/>
      <c r="G2054" s="67"/>
      <c r="H2054" s="67">
        <f>ROUND(+E2054+G2054,4)</f>
        <v>0</v>
      </c>
      <c r="I2054" s="67"/>
      <c r="J2054" s="67">
        <f>ROUND(+I2054-H2054,4)</f>
        <v>0</v>
      </c>
      <c r="K2054" s="67">
        <f>ROUND(IF(F2054="alluminio",0,I2054*1.5%),4)</f>
        <v>0</v>
      </c>
      <c r="L2054" s="67">
        <f>ROUND(IF(K2054&lt;J2054,K2054,0),4)</f>
        <v>0</v>
      </c>
      <c r="M2054" s="67">
        <f>ROUND(IF(J2054&gt;K2054,0,J2054),4)</f>
        <v>0</v>
      </c>
      <c r="N2054" s="67">
        <f>ROUND(+L2054*D2054,4)</f>
        <v>0</v>
      </c>
      <c r="O2054" s="67">
        <f>ROUND(IF(F2054="rame",0,+I2054*3%),4)</f>
        <v>0</v>
      </c>
      <c r="P2054" s="67">
        <f>ROUND(IF(O2054&lt;J2054,O2054,0),4)</f>
        <v>0</v>
      </c>
      <c r="Q2054" s="67">
        <f>ROUND(IF(J2054&gt;O2054,0,J2054),4)</f>
        <v>0</v>
      </c>
      <c r="R2054" s="67">
        <f>ROUND(+P2054*D2054,4)</f>
        <v>0</v>
      </c>
      <c r="S2054" s="67">
        <f>ROUND(IF(K2054=0,0,M2054*D2054),4)</f>
        <v>0</v>
      </c>
      <c r="T2054" s="67">
        <f>ROUND(+IF(K2054=0,Q2054*D2054,0),4)</f>
        <v>0</v>
      </c>
      <c r="U2054" s="67">
        <f>ROUND(+N2054+R2054+S2054+T2054,4)</f>
        <v>0</v>
      </c>
      <c r="V2054" s="67">
        <f>ROUND(IF(P2054=0,0,I2054-H2054-O2054)+IF(L2054=0,0,I2054-H2054-K2054),4)</f>
        <v>0</v>
      </c>
      <c r="W2054" s="67">
        <f>ROUND(+(V2054*60%)*D2054,4)</f>
        <v>0</v>
      </c>
      <c r="X2054" s="148">
        <f>ROUND(+U2054+W2054,4)</f>
        <v>0</v>
      </c>
      <c r="Y2054" s="68"/>
      <c r="Z2054" s="148">
        <f>ROUND(IF(X2054&gt;I2054,X2054,I2054),4)</f>
        <v>0</v>
      </c>
      <c r="AD2054" s="78">
        <f t="shared" si="42"/>
        <v>0</v>
      </c>
      <c r="AE2054" s="78">
        <f t="shared" si="43"/>
        <v>0</v>
      </c>
    </row>
    <row r="2055" spans="1:31" x14ac:dyDescent="0.2">
      <c r="A2055" s="66"/>
      <c r="B2055" s="66"/>
      <c r="C2055" s="66"/>
      <c r="D2055" s="144"/>
      <c r="E2055" s="67"/>
      <c r="F2055" s="67"/>
      <c r="G2055" s="67"/>
      <c r="H2055" s="67">
        <f>ROUND(+E2055+G2055,4)</f>
        <v>0</v>
      </c>
      <c r="I2055" s="67"/>
      <c r="J2055" s="67">
        <f>ROUND(+I2055-H2055,4)</f>
        <v>0</v>
      </c>
      <c r="K2055" s="67">
        <f>ROUND(IF(F2055="alluminio",0,I2055*1.5%),4)</f>
        <v>0</v>
      </c>
      <c r="L2055" s="67">
        <f>ROUND(IF(K2055&lt;J2055,K2055,0),4)</f>
        <v>0</v>
      </c>
      <c r="M2055" s="67">
        <f>ROUND(IF(J2055&gt;K2055,0,J2055),4)</f>
        <v>0</v>
      </c>
      <c r="N2055" s="67">
        <f>ROUND(+L2055*D2055,4)</f>
        <v>0</v>
      </c>
      <c r="O2055" s="67">
        <f>ROUND(IF(F2055="rame",0,+I2055*3%),4)</f>
        <v>0</v>
      </c>
      <c r="P2055" s="67">
        <f>ROUND(IF(O2055&lt;J2055,O2055,0),4)</f>
        <v>0</v>
      </c>
      <c r="Q2055" s="67">
        <f>ROUND(IF(J2055&gt;O2055,0,J2055),4)</f>
        <v>0</v>
      </c>
      <c r="R2055" s="67">
        <f>ROUND(+P2055*D2055,4)</f>
        <v>0</v>
      </c>
      <c r="S2055" s="67">
        <f>ROUND(IF(K2055=0,0,M2055*D2055),4)</f>
        <v>0</v>
      </c>
      <c r="T2055" s="67">
        <f>ROUND(+IF(K2055=0,Q2055*D2055,0),4)</f>
        <v>0</v>
      </c>
      <c r="U2055" s="67">
        <f>ROUND(+N2055+R2055+S2055+T2055,4)</f>
        <v>0</v>
      </c>
      <c r="V2055" s="67">
        <f>ROUND(IF(P2055=0,0,I2055-H2055-O2055)+IF(L2055=0,0,I2055-H2055-K2055),4)</f>
        <v>0</v>
      </c>
      <c r="W2055" s="67">
        <f>ROUND(+(V2055*60%)*D2055,4)</f>
        <v>0</v>
      </c>
      <c r="X2055" s="148">
        <f>ROUND(+U2055+W2055,4)</f>
        <v>0</v>
      </c>
      <c r="Y2055" s="68"/>
      <c r="Z2055" s="148">
        <f>ROUND(IF(X2055&gt;I2055,X2055,I2055),4)</f>
        <v>0</v>
      </c>
      <c r="AD2055" s="78">
        <f t="shared" si="42"/>
        <v>0</v>
      </c>
      <c r="AE2055" s="78">
        <f t="shared" si="43"/>
        <v>0</v>
      </c>
    </row>
    <row r="2056" spans="1:31" x14ac:dyDescent="0.2">
      <c r="A2056" s="66"/>
      <c r="B2056" s="66"/>
      <c r="C2056" s="66"/>
      <c r="D2056" s="144"/>
      <c r="E2056" s="67"/>
      <c r="F2056" s="67"/>
      <c r="G2056" s="67"/>
      <c r="H2056" s="67">
        <f>ROUND(+E2056+G2056,4)</f>
        <v>0</v>
      </c>
      <c r="I2056" s="67"/>
      <c r="J2056" s="67">
        <f>ROUND(+I2056-H2056,4)</f>
        <v>0</v>
      </c>
      <c r="K2056" s="67">
        <f>ROUND(IF(F2056="alluminio",0,I2056*1.5%),4)</f>
        <v>0</v>
      </c>
      <c r="L2056" s="67">
        <f>ROUND(IF(K2056&lt;J2056,K2056,0),4)</f>
        <v>0</v>
      </c>
      <c r="M2056" s="67">
        <f>ROUND(IF(J2056&gt;K2056,0,J2056),4)</f>
        <v>0</v>
      </c>
      <c r="N2056" s="67">
        <f>ROUND(+L2056*D2056,4)</f>
        <v>0</v>
      </c>
      <c r="O2056" s="67">
        <f>ROUND(IF(F2056="rame",0,+I2056*3%),4)</f>
        <v>0</v>
      </c>
      <c r="P2056" s="67">
        <f>ROUND(IF(O2056&lt;J2056,O2056,0),4)</f>
        <v>0</v>
      </c>
      <c r="Q2056" s="67">
        <f>ROUND(IF(J2056&gt;O2056,0,J2056),4)</f>
        <v>0</v>
      </c>
      <c r="R2056" s="67">
        <f>ROUND(+P2056*D2056,4)</f>
        <v>0</v>
      </c>
      <c r="S2056" s="67">
        <f>ROUND(IF(K2056=0,0,M2056*D2056),4)</f>
        <v>0</v>
      </c>
      <c r="T2056" s="67">
        <f>ROUND(+IF(K2056=0,Q2056*D2056,0),4)</f>
        <v>0</v>
      </c>
      <c r="U2056" s="67">
        <f>ROUND(+N2056+R2056+S2056+T2056,4)</f>
        <v>0</v>
      </c>
      <c r="V2056" s="67">
        <f>ROUND(IF(P2056=0,0,I2056-H2056-O2056)+IF(L2056=0,0,I2056-H2056-K2056),4)</f>
        <v>0</v>
      </c>
      <c r="W2056" s="67">
        <f>ROUND(+(V2056*60%)*D2056,4)</f>
        <v>0</v>
      </c>
      <c r="X2056" s="148">
        <f>ROUND(+U2056+W2056,4)</f>
        <v>0</v>
      </c>
      <c r="Y2056" s="68"/>
      <c r="Z2056" s="148">
        <f>ROUND(IF(X2056&gt;I2056,X2056,I2056),4)</f>
        <v>0</v>
      </c>
      <c r="AD2056" s="78">
        <f t="shared" si="42"/>
        <v>0</v>
      </c>
      <c r="AE2056" s="78">
        <f t="shared" si="43"/>
        <v>0</v>
      </c>
    </row>
    <row r="2057" spans="1:31" x14ac:dyDescent="0.2">
      <c r="A2057" s="66"/>
      <c r="B2057" s="66"/>
      <c r="C2057" s="66"/>
      <c r="D2057" s="144"/>
      <c r="E2057" s="67"/>
      <c r="F2057" s="67"/>
      <c r="G2057" s="67"/>
      <c r="H2057" s="67">
        <f>ROUND(+E2057+G2057,4)</f>
        <v>0</v>
      </c>
      <c r="I2057" s="67"/>
      <c r="J2057" s="67">
        <f>ROUND(+I2057-H2057,4)</f>
        <v>0</v>
      </c>
      <c r="K2057" s="67">
        <f>ROUND(IF(F2057="alluminio",0,I2057*1.5%),4)</f>
        <v>0</v>
      </c>
      <c r="L2057" s="67">
        <f>ROUND(IF(K2057&lt;J2057,K2057,0),4)</f>
        <v>0</v>
      </c>
      <c r="M2057" s="67">
        <f>ROUND(IF(J2057&gt;K2057,0,J2057),4)</f>
        <v>0</v>
      </c>
      <c r="N2057" s="67">
        <f>ROUND(+L2057*D2057,4)</f>
        <v>0</v>
      </c>
      <c r="O2057" s="67">
        <f>ROUND(IF(F2057="rame",0,+I2057*3%),4)</f>
        <v>0</v>
      </c>
      <c r="P2057" s="67">
        <f>ROUND(IF(O2057&lt;J2057,O2057,0),4)</f>
        <v>0</v>
      </c>
      <c r="Q2057" s="67">
        <f>ROUND(IF(J2057&gt;O2057,0,J2057),4)</f>
        <v>0</v>
      </c>
      <c r="R2057" s="67">
        <f>ROUND(+P2057*D2057,4)</f>
        <v>0</v>
      </c>
      <c r="S2057" s="67">
        <f>ROUND(IF(K2057=0,0,M2057*D2057),4)</f>
        <v>0</v>
      </c>
      <c r="T2057" s="67">
        <f>ROUND(+IF(K2057=0,Q2057*D2057,0),4)</f>
        <v>0</v>
      </c>
      <c r="U2057" s="67">
        <f>ROUND(+N2057+R2057+S2057+T2057,4)</f>
        <v>0</v>
      </c>
      <c r="V2057" s="67">
        <f>ROUND(IF(P2057=0,0,I2057-H2057-O2057)+IF(L2057=0,0,I2057-H2057-K2057),4)</f>
        <v>0</v>
      </c>
      <c r="W2057" s="67">
        <f>ROUND(+(V2057*60%)*D2057,4)</f>
        <v>0</v>
      </c>
      <c r="X2057" s="148">
        <f>ROUND(+U2057+W2057,4)</f>
        <v>0</v>
      </c>
      <c r="Y2057" s="68"/>
      <c r="Z2057" s="148">
        <f>ROUND(IF(X2057&gt;I2057,X2057,I2057),4)</f>
        <v>0</v>
      </c>
      <c r="AD2057" s="78">
        <f t="shared" si="42"/>
        <v>0</v>
      </c>
      <c r="AE2057" s="78">
        <f t="shared" si="43"/>
        <v>0</v>
      </c>
    </row>
    <row r="2058" spans="1:31" x14ac:dyDescent="0.2">
      <c r="A2058" s="66"/>
      <c r="B2058" s="66"/>
      <c r="C2058" s="66"/>
      <c r="D2058" s="144"/>
      <c r="E2058" s="67"/>
      <c r="F2058" s="67"/>
      <c r="G2058" s="67"/>
      <c r="H2058" s="67">
        <f>ROUND(+E2058+G2058,4)</f>
        <v>0</v>
      </c>
      <c r="I2058" s="67"/>
      <c r="J2058" s="67">
        <f>ROUND(+I2058-H2058,4)</f>
        <v>0</v>
      </c>
      <c r="K2058" s="67">
        <f>ROUND(IF(F2058="alluminio",0,I2058*1.5%),4)</f>
        <v>0</v>
      </c>
      <c r="L2058" s="67">
        <f>ROUND(IF(K2058&lt;J2058,K2058,0),4)</f>
        <v>0</v>
      </c>
      <c r="M2058" s="67">
        <f>ROUND(IF(J2058&gt;K2058,0,J2058),4)</f>
        <v>0</v>
      </c>
      <c r="N2058" s="67">
        <f>ROUND(+L2058*D2058,4)</f>
        <v>0</v>
      </c>
      <c r="O2058" s="67">
        <f>ROUND(IF(F2058="rame",0,+I2058*3%),4)</f>
        <v>0</v>
      </c>
      <c r="P2058" s="67">
        <f>ROUND(IF(O2058&lt;J2058,O2058,0),4)</f>
        <v>0</v>
      </c>
      <c r="Q2058" s="67">
        <f>ROUND(IF(J2058&gt;O2058,0,J2058),4)</f>
        <v>0</v>
      </c>
      <c r="R2058" s="67">
        <f>ROUND(+P2058*D2058,4)</f>
        <v>0</v>
      </c>
      <c r="S2058" s="67">
        <f>ROUND(IF(K2058=0,0,M2058*D2058),4)</f>
        <v>0</v>
      </c>
      <c r="T2058" s="67">
        <f>ROUND(+IF(K2058=0,Q2058*D2058,0),4)</f>
        <v>0</v>
      </c>
      <c r="U2058" s="67">
        <f>ROUND(+N2058+R2058+S2058+T2058,4)</f>
        <v>0</v>
      </c>
      <c r="V2058" s="67">
        <f>ROUND(IF(P2058=0,0,I2058-H2058-O2058)+IF(L2058=0,0,I2058-H2058-K2058),4)</f>
        <v>0</v>
      </c>
      <c r="W2058" s="67">
        <f>ROUND(+(V2058*60%)*D2058,4)</f>
        <v>0</v>
      </c>
      <c r="X2058" s="148">
        <f>ROUND(+U2058+W2058,4)</f>
        <v>0</v>
      </c>
      <c r="Y2058" s="68"/>
      <c r="Z2058" s="148">
        <f>ROUND(IF(X2058&gt;I2058,X2058,I2058),4)</f>
        <v>0</v>
      </c>
      <c r="AD2058" s="78">
        <f t="shared" si="42"/>
        <v>0</v>
      </c>
      <c r="AE2058" s="78">
        <f t="shared" si="43"/>
        <v>0</v>
      </c>
    </row>
    <row r="2059" spans="1:31" x14ac:dyDescent="0.2">
      <c r="A2059" s="66"/>
      <c r="B2059" s="66"/>
      <c r="C2059" s="66"/>
      <c r="D2059" s="144"/>
      <c r="E2059" s="67"/>
      <c r="F2059" s="67"/>
      <c r="G2059" s="67"/>
      <c r="H2059" s="67">
        <f>ROUND(+E2059+G2059,4)</f>
        <v>0</v>
      </c>
      <c r="I2059" s="67"/>
      <c r="J2059" s="67">
        <f>ROUND(+I2059-H2059,4)</f>
        <v>0</v>
      </c>
      <c r="K2059" s="67">
        <f>ROUND(IF(F2059="alluminio",0,I2059*1.5%),4)</f>
        <v>0</v>
      </c>
      <c r="L2059" s="67">
        <f>ROUND(IF(K2059&lt;J2059,K2059,0),4)</f>
        <v>0</v>
      </c>
      <c r="M2059" s="67">
        <f>ROUND(IF(J2059&gt;K2059,0,J2059),4)</f>
        <v>0</v>
      </c>
      <c r="N2059" s="67">
        <f>ROUND(+L2059*D2059,4)</f>
        <v>0</v>
      </c>
      <c r="O2059" s="67">
        <f>ROUND(IF(F2059="rame",0,+I2059*3%),4)</f>
        <v>0</v>
      </c>
      <c r="P2059" s="67">
        <f>ROUND(IF(O2059&lt;J2059,O2059,0),4)</f>
        <v>0</v>
      </c>
      <c r="Q2059" s="67">
        <f>ROUND(IF(J2059&gt;O2059,0,J2059),4)</f>
        <v>0</v>
      </c>
      <c r="R2059" s="67">
        <f>ROUND(+P2059*D2059,4)</f>
        <v>0</v>
      </c>
      <c r="S2059" s="67">
        <f>ROUND(IF(K2059=0,0,M2059*D2059),4)</f>
        <v>0</v>
      </c>
      <c r="T2059" s="67">
        <f>ROUND(+IF(K2059=0,Q2059*D2059,0),4)</f>
        <v>0</v>
      </c>
      <c r="U2059" s="67">
        <f>ROUND(+N2059+R2059+S2059+T2059,4)</f>
        <v>0</v>
      </c>
      <c r="V2059" s="67">
        <f>ROUND(IF(P2059=0,0,I2059-H2059-O2059)+IF(L2059=0,0,I2059-H2059-K2059),4)</f>
        <v>0</v>
      </c>
      <c r="W2059" s="67">
        <f>ROUND(+(V2059*60%)*D2059,4)</f>
        <v>0</v>
      </c>
      <c r="X2059" s="148">
        <f>ROUND(+U2059+W2059,4)</f>
        <v>0</v>
      </c>
      <c r="Y2059" s="68"/>
      <c r="Z2059" s="148">
        <f>ROUND(IF(X2059&gt;I2059,X2059,I2059),4)</f>
        <v>0</v>
      </c>
      <c r="AD2059" s="78">
        <f t="shared" si="42"/>
        <v>0</v>
      </c>
      <c r="AE2059" s="78">
        <f t="shared" si="43"/>
        <v>0</v>
      </c>
    </row>
    <row r="2060" spans="1:31" x14ac:dyDescent="0.2">
      <c r="A2060" s="66"/>
      <c r="B2060" s="66"/>
      <c r="C2060" s="66"/>
      <c r="D2060" s="144"/>
      <c r="E2060" s="67"/>
      <c r="F2060" s="67"/>
      <c r="G2060" s="67"/>
      <c r="H2060" s="67">
        <f>ROUND(+E2060+G2060,4)</f>
        <v>0</v>
      </c>
      <c r="I2060" s="67"/>
      <c r="J2060" s="67">
        <f>ROUND(+I2060-H2060,4)</f>
        <v>0</v>
      </c>
      <c r="K2060" s="67">
        <f>ROUND(IF(F2060="alluminio",0,I2060*1.5%),4)</f>
        <v>0</v>
      </c>
      <c r="L2060" s="67">
        <f>ROUND(IF(K2060&lt;J2060,K2060,0),4)</f>
        <v>0</v>
      </c>
      <c r="M2060" s="67">
        <f>ROUND(IF(J2060&gt;K2060,0,J2060),4)</f>
        <v>0</v>
      </c>
      <c r="N2060" s="67">
        <f>ROUND(+L2060*D2060,4)</f>
        <v>0</v>
      </c>
      <c r="O2060" s="67">
        <f>ROUND(IF(F2060="rame",0,+I2060*3%),4)</f>
        <v>0</v>
      </c>
      <c r="P2060" s="67">
        <f>ROUND(IF(O2060&lt;J2060,O2060,0),4)</f>
        <v>0</v>
      </c>
      <c r="Q2060" s="67">
        <f>ROUND(IF(J2060&gt;O2060,0,J2060),4)</f>
        <v>0</v>
      </c>
      <c r="R2060" s="67">
        <f>ROUND(+P2060*D2060,4)</f>
        <v>0</v>
      </c>
      <c r="S2060" s="67">
        <f>ROUND(IF(K2060=0,0,M2060*D2060),4)</f>
        <v>0</v>
      </c>
      <c r="T2060" s="67">
        <f>ROUND(+IF(K2060=0,Q2060*D2060,0),4)</f>
        <v>0</v>
      </c>
      <c r="U2060" s="67">
        <f>ROUND(+N2060+R2060+S2060+T2060,4)</f>
        <v>0</v>
      </c>
      <c r="V2060" s="67">
        <f>ROUND(IF(P2060=0,0,I2060-H2060-O2060)+IF(L2060=0,0,I2060-H2060-K2060),4)</f>
        <v>0</v>
      </c>
      <c r="W2060" s="67">
        <f>ROUND(+(V2060*60%)*D2060,4)</f>
        <v>0</v>
      </c>
      <c r="X2060" s="148">
        <f>ROUND(+U2060+W2060,4)</f>
        <v>0</v>
      </c>
      <c r="Y2060" s="68"/>
      <c r="Z2060" s="148">
        <f>ROUND(IF(X2060&gt;I2060,X2060,I2060),4)</f>
        <v>0</v>
      </c>
      <c r="AD2060" s="78">
        <f t="shared" si="42"/>
        <v>0</v>
      </c>
      <c r="AE2060" s="78">
        <f t="shared" si="43"/>
        <v>0</v>
      </c>
    </row>
    <row r="2061" spans="1:31" x14ac:dyDescent="0.2">
      <c r="A2061" s="66"/>
      <c r="B2061" s="66"/>
      <c r="C2061" s="66"/>
      <c r="D2061" s="144"/>
      <c r="E2061" s="67"/>
      <c r="F2061" s="67"/>
      <c r="G2061" s="67"/>
      <c r="H2061" s="67">
        <f>ROUND(+E2061+G2061,4)</f>
        <v>0</v>
      </c>
      <c r="I2061" s="67"/>
      <c r="J2061" s="67">
        <f>ROUND(+I2061-H2061,4)</f>
        <v>0</v>
      </c>
      <c r="K2061" s="67">
        <f>ROUND(IF(F2061="alluminio",0,I2061*1.5%),4)</f>
        <v>0</v>
      </c>
      <c r="L2061" s="67">
        <f>ROUND(IF(K2061&lt;J2061,K2061,0),4)</f>
        <v>0</v>
      </c>
      <c r="M2061" s="67">
        <f>ROUND(IF(J2061&gt;K2061,0,J2061),4)</f>
        <v>0</v>
      </c>
      <c r="N2061" s="67">
        <f>ROUND(+L2061*D2061,4)</f>
        <v>0</v>
      </c>
      <c r="O2061" s="67">
        <f>ROUND(IF(F2061="rame",0,+I2061*3%),4)</f>
        <v>0</v>
      </c>
      <c r="P2061" s="67">
        <f>ROUND(IF(O2061&lt;J2061,O2061,0),4)</f>
        <v>0</v>
      </c>
      <c r="Q2061" s="67">
        <f>ROUND(IF(J2061&gt;O2061,0,J2061),4)</f>
        <v>0</v>
      </c>
      <c r="R2061" s="67">
        <f>ROUND(+P2061*D2061,4)</f>
        <v>0</v>
      </c>
      <c r="S2061" s="67">
        <f>ROUND(IF(K2061=0,0,M2061*D2061),4)</f>
        <v>0</v>
      </c>
      <c r="T2061" s="67">
        <f>ROUND(+IF(K2061=0,Q2061*D2061,0),4)</f>
        <v>0</v>
      </c>
      <c r="U2061" s="67">
        <f>ROUND(+N2061+R2061+S2061+T2061,4)</f>
        <v>0</v>
      </c>
      <c r="V2061" s="67">
        <f>ROUND(IF(P2061=0,0,I2061-H2061-O2061)+IF(L2061=0,0,I2061-H2061-K2061),4)</f>
        <v>0</v>
      </c>
      <c r="W2061" s="67">
        <f>ROUND(+(V2061*60%)*D2061,4)</f>
        <v>0</v>
      </c>
      <c r="X2061" s="148">
        <f>ROUND(+U2061+W2061,4)</f>
        <v>0</v>
      </c>
      <c r="Y2061" s="68"/>
      <c r="Z2061" s="148">
        <f>ROUND(IF(X2061&gt;I2061,X2061,I2061),4)</f>
        <v>0</v>
      </c>
      <c r="AD2061" s="78">
        <f t="shared" si="42"/>
        <v>0</v>
      </c>
      <c r="AE2061" s="78">
        <f t="shared" si="43"/>
        <v>0</v>
      </c>
    </row>
    <row r="2062" spans="1:31" x14ac:dyDescent="0.2">
      <c r="A2062" s="66"/>
      <c r="B2062" s="66"/>
      <c r="C2062" s="66"/>
      <c r="D2062" s="144"/>
      <c r="E2062" s="67"/>
      <c r="F2062" s="67"/>
      <c r="G2062" s="67"/>
      <c r="H2062" s="67">
        <f>ROUND(+E2062+G2062,4)</f>
        <v>0</v>
      </c>
      <c r="I2062" s="67"/>
      <c r="J2062" s="67">
        <f>ROUND(+I2062-H2062,4)</f>
        <v>0</v>
      </c>
      <c r="K2062" s="67">
        <f>ROUND(IF(F2062="alluminio",0,I2062*1.5%),4)</f>
        <v>0</v>
      </c>
      <c r="L2062" s="67">
        <f>ROUND(IF(K2062&lt;J2062,K2062,0),4)</f>
        <v>0</v>
      </c>
      <c r="M2062" s="67">
        <f>ROUND(IF(J2062&gt;K2062,0,J2062),4)</f>
        <v>0</v>
      </c>
      <c r="N2062" s="67">
        <f>ROUND(+L2062*D2062,4)</f>
        <v>0</v>
      </c>
      <c r="O2062" s="67">
        <f>ROUND(IF(F2062="rame",0,+I2062*3%),4)</f>
        <v>0</v>
      </c>
      <c r="P2062" s="67">
        <f>ROUND(IF(O2062&lt;J2062,O2062,0),4)</f>
        <v>0</v>
      </c>
      <c r="Q2062" s="67">
        <f>ROUND(IF(J2062&gt;O2062,0,J2062),4)</f>
        <v>0</v>
      </c>
      <c r="R2062" s="67">
        <f>ROUND(+P2062*D2062,4)</f>
        <v>0</v>
      </c>
      <c r="S2062" s="67">
        <f>ROUND(IF(K2062=0,0,M2062*D2062),4)</f>
        <v>0</v>
      </c>
      <c r="T2062" s="67">
        <f>ROUND(+IF(K2062=0,Q2062*D2062,0),4)</f>
        <v>0</v>
      </c>
      <c r="U2062" s="67">
        <f>ROUND(+N2062+R2062+S2062+T2062,4)</f>
        <v>0</v>
      </c>
      <c r="V2062" s="67">
        <f>ROUND(IF(P2062=0,0,I2062-H2062-O2062)+IF(L2062=0,0,I2062-H2062-K2062),4)</f>
        <v>0</v>
      </c>
      <c r="W2062" s="67">
        <f>ROUND(+(V2062*60%)*D2062,4)</f>
        <v>0</v>
      </c>
      <c r="X2062" s="148">
        <f>ROUND(+U2062+W2062,4)</f>
        <v>0</v>
      </c>
      <c r="Y2062" s="68"/>
      <c r="Z2062" s="148">
        <f>ROUND(IF(X2062&gt;I2062,X2062,I2062),4)</f>
        <v>0</v>
      </c>
      <c r="AD2062" s="78">
        <f t="shared" si="42"/>
        <v>0</v>
      </c>
      <c r="AE2062" s="78">
        <f t="shared" si="43"/>
        <v>0</v>
      </c>
    </row>
    <row r="2063" spans="1:31" x14ac:dyDescent="0.2">
      <c r="A2063" s="66"/>
      <c r="B2063" s="66"/>
      <c r="C2063" s="66"/>
      <c r="D2063" s="144"/>
      <c r="E2063" s="67"/>
      <c r="F2063" s="67"/>
      <c r="G2063" s="67"/>
      <c r="H2063" s="67">
        <f>ROUND(+E2063+G2063,4)</f>
        <v>0</v>
      </c>
      <c r="I2063" s="67"/>
      <c r="J2063" s="67">
        <f>ROUND(+I2063-H2063,4)</f>
        <v>0</v>
      </c>
      <c r="K2063" s="67">
        <f>ROUND(IF(F2063="alluminio",0,I2063*1.5%),4)</f>
        <v>0</v>
      </c>
      <c r="L2063" s="67">
        <f>ROUND(IF(K2063&lt;J2063,K2063,0),4)</f>
        <v>0</v>
      </c>
      <c r="M2063" s="67">
        <f>ROUND(IF(J2063&gt;K2063,0,J2063),4)</f>
        <v>0</v>
      </c>
      <c r="N2063" s="67">
        <f>ROUND(+L2063*D2063,4)</f>
        <v>0</v>
      </c>
      <c r="O2063" s="67">
        <f>ROUND(IF(F2063="rame",0,+I2063*3%),4)</f>
        <v>0</v>
      </c>
      <c r="P2063" s="67">
        <f>ROUND(IF(O2063&lt;J2063,O2063,0),4)</f>
        <v>0</v>
      </c>
      <c r="Q2063" s="67">
        <f>ROUND(IF(J2063&gt;O2063,0,J2063),4)</f>
        <v>0</v>
      </c>
      <c r="R2063" s="67">
        <f>ROUND(+P2063*D2063,4)</f>
        <v>0</v>
      </c>
      <c r="S2063" s="67">
        <f>ROUND(IF(K2063=0,0,M2063*D2063),4)</f>
        <v>0</v>
      </c>
      <c r="T2063" s="67">
        <f>ROUND(+IF(K2063=0,Q2063*D2063,0),4)</f>
        <v>0</v>
      </c>
      <c r="U2063" s="67">
        <f>ROUND(+N2063+R2063+S2063+T2063,4)</f>
        <v>0</v>
      </c>
      <c r="V2063" s="67">
        <f>ROUND(IF(P2063=0,0,I2063-H2063-O2063)+IF(L2063=0,0,I2063-H2063-K2063),4)</f>
        <v>0</v>
      </c>
      <c r="W2063" s="67">
        <f>ROUND(+(V2063*60%)*D2063,4)</f>
        <v>0</v>
      </c>
      <c r="X2063" s="148">
        <f>ROUND(+U2063+W2063,4)</f>
        <v>0</v>
      </c>
      <c r="Y2063" s="68"/>
      <c r="Z2063" s="148">
        <f>ROUND(IF(X2063&gt;I2063,X2063,I2063),4)</f>
        <v>0</v>
      </c>
      <c r="AD2063" s="78">
        <f t="shared" si="42"/>
        <v>0</v>
      </c>
      <c r="AE2063" s="78">
        <f t="shared" si="43"/>
        <v>0</v>
      </c>
    </row>
    <row r="2064" spans="1:31" x14ac:dyDescent="0.2">
      <c r="A2064" s="66"/>
      <c r="B2064" s="66"/>
      <c r="C2064" s="66"/>
      <c r="D2064" s="144"/>
      <c r="E2064" s="67"/>
      <c r="F2064" s="67"/>
      <c r="G2064" s="67"/>
      <c r="H2064" s="67">
        <f>ROUND(+E2064+G2064,4)</f>
        <v>0</v>
      </c>
      <c r="I2064" s="67"/>
      <c r="J2064" s="67">
        <f>ROUND(+I2064-H2064,4)</f>
        <v>0</v>
      </c>
      <c r="K2064" s="67">
        <f>ROUND(IF(F2064="alluminio",0,I2064*1.5%),4)</f>
        <v>0</v>
      </c>
      <c r="L2064" s="67">
        <f>ROUND(IF(K2064&lt;J2064,K2064,0),4)</f>
        <v>0</v>
      </c>
      <c r="M2064" s="67">
        <f>ROUND(IF(J2064&gt;K2064,0,J2064),4)</f>
        <v>0</v>
      </c>
      <c r="N2064" s="67">
        <f>ROUND(+L2064*D2064,4)</f>
        <v>0</v>
      </c>
      <c r="O2064" s="67">
        <f>ROUND(IF(F2064="rame",0,+I2064*3%),4)</f>
        <v>0</v>
      </c>
      <c r="P2064" s="67">
        <f>ROUND(IF(O2064&lt;J2064,O2064,0),4)</f>
        <v>0</v>
      </c>
      <c r="Q2064" s="67">
        <f>ROUND(IF(J2064&gt;O2064,0,J2064),4)</f>
        <v>0</v>
      </c>
      <c r="R2064" s="67">
        <f>ROUND(+P2064*D2064,4)</f>
        <v>0</v>
      </c>
      <c r="S2064" s="67">
        <f>ROUND(IF(K2064=0,0,M2064*D2064),4)</f>
        <v>0</v>
      </c>
      <c r="T2064" s="67">
        <f>ROUND(+IF(K2064=0,Q2064*D2064,0),4)</f>
        <v>0</v>
      </c>
      <c r="U2064" s="67">
        <f>ROUND(+N2064+R2064+S2064+T2064,4)</f>
        <v>0</v>
      </c>
      <c r="V2064" s="67">
        <f>ROUND(IF(P2064=0,0,I2064-H2064-O2064)+IF(L2064=0,0,I2064-H2064-K2064),4)</f>
        <v>0</v>
      </c>
      <c r="W2064" s="67">
        <f>ROUND(+(V2064*60%)*D2064,4)</f>
        <v>0</v>
      </c>
      <c r="X2064" s="148">
        <f>ROUND(+U2064+W2064,4)</f>
        <v>0</v>
      </c>
      <c r="Y2064" s="68"/>
      <c r="Z2064" s="148">
        <f>ROUND(IF(X2064&gt;I2064,X2064,I2064),4)</f>
        <v>0</v>
      </c>
      <c r="AD2064" s="78">
        <f t="shared" si="42"/>
        <v>0</v>
      </c>
      <c r="AE2064" s="78">
        <f t="shared" si="43"/>
        <v>0</v>
      </c>
    </row>
    <row r="2065" spans="1:31" x14ac:dyDescent="0.2">
      <c r="A2065" s="66"/>
      <c r="B2065" s="66"/>
      <c r="C2065" s="66"/>
      <c r="D2065" s="144"/>
      <c r="E2065" s="67"/>
      <c r="F2065" s="67"/>
      <c r="G2065" s="67"/>
      <c r="H2065" s="67">
        <f>ROUND(+E2065+G2065,4)</f>
        <v>0</v>
      </c>
      <c r="I2065" s="67"/>
      <c r="J2065" s="67">
        <f>ROUND(+I2065-H2065,4)</f>
        <v>0</v>
      </c>
      <c r="K2065" s="67">
        <f>ROUND(IF(F2065="alluminio",0,I2065*1.5%),4)</f>
        <v>0</v>
      </c>
      <c r="L2065" s="67">
        <f>ROUND(IF(K2065&lt;J2065,K2065,0),4)</f>
        <v>0</v>
      </c>
      <c r="M2065" s="67">
        <f>ROUND(IF(J2065&gt;K2065,0,J2065),4)</f>
        <v>0</v>
      </c>
      <c r="N2065" s="67">
        <f>ROUND(+L2065*D2065,4)</f>
        <v>0</v>
      </c>
      <c r="O2065" s="67">
        <f>ROUND(IF(F2065="rame",0,+I2065*3%),4)</f>
        <v>0</v>
      </c>
      <c r="P2065" s="67">
        <f>ROUND(IF(O2065&lt;J2065,O2065,0),4)</f>
        <v>0</v>
      </c>
      <c r="Q2065" s="67">
        <f>ROUND(IF(J2065&gt;O2065,0,J2065),4)</f>
        <v>0</v>
      </c>
      <c r="R2065" s="67">
        <f>ROUND(+P2065*D2065,4)</f>
        <v>0</v>
      </c>
      <c r="S2065" s="67">
        <f>ROUND(IF(K2065=0,0,M2065*D2065),4)</f>
        <v>0</v>
      </c>
      <c r="T2065" s="67">
        <f>ROUND(+IF(K2065=0,Q2065*D2065,0),4)</f>
        <v>0</v>
      </c>
      <c r="U2065" s="67">
        <f>ROUND(+N2065+R2065+S2065+T2065,4)</f>
        <v>0</v>
      </c>
      <c r="V2065" s="67">
        <f>ROUND(IF(P2065=0,0,I2065-H2065-O2065)+IF(L2065=0,0,I2065-H2065-K2065),4)</f>
        <v>0</v>
      </c>
      <c r="W2065" s="67">
        <f>ROUND(+(V2065*60%)*D2065,4)</f>
        <v>0</v>
      </c>
      <c r="X2065" s="148">
        <f>ROUND(+U2065+W2065,4)</f>
        <v>0</v>
      </c>
      <c r="Y2065" s="68"/>
      <c r="Z2065" s="148">
        <f>ROUND(IF(X2065&gt;I2065,X2065,I2065),4)</f>
        <v>0</v>
      </c>
      <c r="AD2065" s="78">
        <f t="shared" si="42"/>
        <v>0</v>
      </c>
      <c r="AE2065" s="78">
        <f t="shared" si="43"/>
        <v>0</v>
      </c>
    </row>
    <row r="2066" spans="1:31" x14ac:dyDescent="0.2">
      <c r="A2066" s="66"/>
      <c r="B2066" s="66"/>
      <c r="C2066" s="66"/>
      <c r="D2066" s="144"/>
      <c r="E2066" s="67"/>
      <c r="F2066" s="67"/>
      <c r="G2066" s="67"/>
      <c r="H2066" s="67">
        <f>ROUND(+E2066+G2066,4)</f>
        <v>0</v>
      </c>
      <c r="I2066" s="67"/>
      <c r="J2066" s="67">
        <f>ROUND(+I2066-H2066,4)</f>
        <v>0</v>
      </c>
      <c r="K2066" s="67">
        <f>ROUND(IF(F2066="alluminio",0,I2066*1.5%),4)</f>
        <v>0</v>
      </c>
      <c r="L2066" s="67">
        <f>ROUND(IF(K2066&lt;J2066,K2066,0),4)</f>
        <v>0</v>
      </c>
      <c r="M2066" s="67">
        <f>ROUND(IF(J2066&gt;K2066,0,J2066),4)</f>
        <v>0</v>
      </c>
      <c r="N2066" s="67">
        <f>ROUND(+L2066*D2066,4)</f>
        <v>0</v>
      </c>
      <c r="O2066" s="67">
        <f>ROUND(IF(F2066="rame",0,+I2066*3%),4)</f>
        <v>0</v>
      </c>
      <c r="P2066" s="67">
        <f>ROUND(IF(O2066&lt;J2066,O2066,0),4)</f>
        <v>0</v>
      </c>
      <c r="Q2066" s="67">
        <f>ROUND(IF(J2066&gt;O2066,0,J2066),4)</f>
        <v>0</v>
      </c>
      <c r="R2066" s="67">
        <f>ROUND(+P2066*D2066,4)</f>
        <v>0</v>
      </c>
      <c r="S2066" s="67">
        <f>ROUND(IF(K2066=0,0,M2066*D2066),4)</f>
        <v>0</v>
      </c>
      <c r="T2066" s="67">
        <f>ROUND(+IF(K2066=0,Q2066*D2066,0),4)</f>
        <v>0</v>
      </c>
      <c r="U2066" s="67">
        <f>ROUND(+N2066+R2066+S2066+T2066,4)</f>
        <v>0</v>
      </c>
      <c r="V2066" s="67">
        <f>ROUND(IF(P2066=0,0,I2066-H2066-O2066)+IF(L2066=0,0,I2066-H2066-K2066),4)</f>
        <v>0</v>
      </c>
      <c r="W2066" s="67">
        <f>ROUND(+(V2066*60%)*D2066,4)</f>
        <v>0</v>
      </c>
      <c r="X2066" s="148">
        <f>ROUND(+U2066+W2066,4)</f>
        <v>0</v>
      </c>
      <c r="Y2066" s="68"/>
      <c r="Z2066" s="148">
        <f>ROUND(IF(X2066&gt;I2066,X2066,I2066),4)</f>
        <v>0</v>
      </c>
      <c r="AD2066" s="78">
        <f t="shared" si="42"/>
        <v>0</v>
      </c>
      <c r="AE2066" s="78">
        <f t="shared" si="43"/>
        <v>0</v>
      </c>
    </row>
    <row r="2067" spans="1:31" x14ac:dyDescent="0.2">
      <c r="A2067" s="66"/>
      <c r="B2067" s="66"/>
      <c r="C2067" s="66"/>
      <c r="D2067" s="144"/>
      <c r="E2067" s="67"/>
      <c r="F2067" s="67"/>
      <c r="G2067" s="67"/>
      <c r="H2067" s="67">
        <f>ROUND(+E2067+G2067,4)</f>
        <v>0</v>
      </c>
      <c r="I2067" s="67"/>
      <c r="J2067" s="67">
        <f>ROUND(+I2067-H2067,4)</f>
        <v>0</v>
      </c>
      <c r="K2067" s="67">
        <f>ROUND(IF(F2067="alluminio",0,I2067*1.5%),4)</f>
        <v>0</v>
      </c>
      <c r="L2067" s="67">
        <f>ROUND(IF(K2067&lt;J2067,K2067,0),4)</f>
        <v>0</v>
      </c>
      <c r="M2067" s="67">
        <f>ROUND(IF(J2067&gt;K2067,0,J2067),4)</f>
        <v>0</v>
      </c>
      <c r="N2067" s="67">
        <f>ROUND(+L2067*D2067,4)</f>
        <v>0</v>
      </c>
      <c r="O2067" s="67">
        <f>ROUND(IF(F2067="rame",0,+I2067*3%),4)</f>
        <v>0</v>
      </c>
      <c r="P2067" s="67">
        <f>ROUND(IF(O2067&lt;J2067,O2067,0),4)</f>
        <v>0</v>
      </c>
      <c r="Q2067" s="67">
        <f>ROUND(IF(J2067&gt;O2067,0,J2067),4)</f>
        <v>0</v>
      </c>
      <c r="R2067" s="67">
        <f>ROUND(+P2067*D2067,4)</f>
        <v>0</v>
      </c>
      <c r="S2067" s="67">
        <f>ROUND(IF(K2067=0,0,M2067*D2067),4)</f>
        <v>0</v>
      </c>
      <c r="T2067" s="67">
        <f>ROUND(+IF(K2067=0,Q2067*D2067,0),4)</f>
        <v>0</v>
      </c>
      <c r="U2067" s="67">
        <f>ROUND(+N2067+R2067+S2067+T2067,4)</f>
        <v>0</v>
      </c>
      <c r="V2067" s="67">
        <f>ROUND(IF(P2067=0,0,I2067-H2067-O2067)+IF(L2067=0,0,I2067-H2067-K2067),4)</f>
        <v>0</v>
      </c>
      <c r="W2067" s="67">
        <f>ROUND(+(V2067*60%)*D2067,4)</f>
        <v>0</v>
      </c>
      <c r="X2067" s="148">
        <f>ROUND(+U2067+W2067,4)</f>
        <v>0</v>
      </c>
      <c r="Y2067" s="68"/>
      <c r="Z2067" s="148">
        <f>ROUND(IF(X2067&gt;I2067,X2067,I2067),4)</f>
        <v>0</v>
      </c>
      <c r="AD2067" s="78">
        <f t="shared" si="42"/>
        <v>0</v>
      </c>
      <c r="AE2067" s="78">
        <f t="shared" si="43"/>
        <v>0</v>
      </c>
    </row>
    <row r="2068" spans="1:31" x14ac:dyDescent="0.2">
      <c r="A2068" s="66"/>
      <c r="B2068" s="66"/>
      <c r="C2068" s="66"/>
      <c r="D2068" s="144"/>
      <c r="E2068" s="67"/>
      <c r="F2068" s="67"/>
      <c r="G2068" s="67"/>
      <c r="H2068" s="67">
        <f>ROUND(+E2068+G2068,4)</f>
        <v>0</v>
      </c>
      <c r="I2068" s="67"/>
      <c r="J2068" s="67">
        <f>ROUND(+I2068-H2068,4)</f>
        <v>0</v>
      </c>
      <c r="K2068" s="67">
        <f>ROUND(IF(F2068="alluminio",0,I2068*1.5%),4)</f>
        <v>0</v>
      </c>
      <c r="L2068" s="67">
        <f>ROUND(IF(K2068&lt;J2068,K2068,0),4)</f>
        <v>0</v>
      </c>
      <c r="M2068" s="67">
        <f>ROUND(IF(J2068&gt;K2068,0,J2068),4)</f>
        <v>0</v>
      </c>
      <c r="N2068" s="67">
        <f>ROUND(+L2068*D2068,4)</f>
        <v>0</v>
      </c>
      <c r="O2068" s="67">
        <f>ROUND(IF(F2068="rame",0,+I2068*3%),4)</f>
        <v>0</v>
      </c>
      <c r="P2068" s="67">
        <f>ROUND(IF(O2068&lt;J2068,O2068,0),4)</f>
        <v>0</v>
      </c>
      <c r="Q2068" s="67">
        <f>ROUND(IF(J2068&gt;O2068,0,J2068),4)</f>
        <v>0</v>
      </c>
      <c r="R2068" s="67">
        <f>ROUND(+P2068*D2068,4)</f>
        <v>0</v>
      </c>
      <c r="S2068" s="67">
        <f>ROUND(IF(K2068=0,0,M2068*D2068),4)</f>
        <v>0</v>
      </c>
      <c r="T2068" s="67">
        <f>ROUND(+IF(K2068=0,Q2068*D2068,0),4)</f>
        <v>0</v>
      </c>
      <c r="U2068" s="67">
        <f>ROUND(+N2068+R2068+S2068+T2068,4)</f>
        <v>0</v>
      </c>
      <c r="V2068" s="67">
        <f>ROUND(IF(P2068=0,0,I2068-H2068-O2068)+IF(L2068=0,0,I2068-H2068-K2068),4)</f>
        <v>0</v>
      </c>
      <c r="W2068" s="67">
        <f>ROUND(+(V2068*60%)*D2068,4)</f>
        <v>0</v>
      </c>
      <c r="X2068" s="148">
        <f>ROUND(+U2068+W2068,4)</f>
        <v>0</v>
      </c>
      <c r="Y2068" s="68"/>
      <c r="Z2068" s="148">
        <f>ROUND(IF(X2068&gt;I2068,X2068,I2068),4)</f>
        <v>0</v>
      </c>
      <c r="AD2068" s="78">
        <f t="shared" si="42"/>
        <v>0</v>
      </c>
      <c r="AE2068" s="78">
        <f t="shared" si="43"/>
        <v>0</v>
      </c>
    </row>
    <row r="2069" spans="1:31" x14ac:dyDescent="0.2">
      <c r="A2069" s="66"/>
      <c r="B2069" s="66"/>
      <c r="C2069" s="66"/>
      <c r="D2069" s="144"/>
      <c r="E2069" s="67"/>
      <c r="F2069" s="67"/>
      <c r="G2069" s="67"/>
      <c r="H2069" s="67">
        <f>ROUND(+E2069+G2069,4)</f>
        <v>0</v>
      </c>
      <c r="I2069" s="67"/>
      <c r="J2069" s="67">
        <f>ROUND(+I2069-H2069,4)</f>
        <v>0</v>
      </c>
      <c r="K2069" s="67">
        <f>ROUND(IF(F2069="alluminio",0,I2069*1.5%),4)</f>
        <v>0</v>
      </c>
      <c r="L2069" s="67">
        <f>ROUND(IF(K2069&lt;J2069,K2069,0),4)</f>
        <v>0</v>
      </c>
      <c r="M2069" s="67">
        <f>ROUND(IF(J2069&gt;K2069,0,J2069),4)</f>
        <v>0</v>
      </c>
      <c r="N2069" s="67">
        <f>ROUND(+L2069*D2069,4)</f>
        <v>0</v>
      </c>
      <c r="O2069" s="67">
        <f>ROUND(IF(F2069="rame",0,+I2069*3%),4)</f>
        <v>0</v>
      </c>
      <c r="P2069" s="67">
        <f>ROUND(IF(O2069&lt;J2069,O2069,0),4)</f>
        <v>0</v>
      </c>
      <c r="Q2069" s="67">
        <f>ROUND(IF(J2069&gt;O2069,0,J2069),4)</f>
        <v>0</v>
      </c>
      <c r="R2069" s="67">
        <f>ROUND(+P2069*D2069,4)</f>
        <v>0</v>
      </c>
      <c r="S2069" s="67">
        <f>ROUND(IF(K2069=0,0,M2069*D2069),4)</f>
        <v>0</v>
      </c>
      <c r="T2069" s="67">
        <f>ROUND(+IF(K2069=0,Q2069*D2069,0),4)</f>
        <v>0</v>
      </c>
      <c r="U2069" s="67">
        <f>ROUND(+N2069+R2069+S2069+T2069,4)</f>
        <v>0</v>
      </c>
      <c r="V2069" s="67">
        <f>ROUND(IF(P2069=0,0,I2069-H2069-O2069)+IF(L2069=0,0,I2069-H2069-K2069),4)</f>
        <v>0</v>
      </c>
      <c r="W2069" s="67">
        <f>ROUND(+(V2069*60%)*D2069,4)</f>
        <v>0</v>
      </c>
      <c r="X2069" s="148">
        <f>ROUND(+U2069+W2069,4)</f>
        <v>0</v>
      </c>
      <c r="Y2069" s="68"/>
      <c r="Z2069" s="148">
        <f>ROUND(IF(X2069&gt;I2069,X2069,I2069),4)</f>
        <v>0</v>
      </c>
      <c r="AD2069" s="78">
        <f t="shared" si="42"/>
        <v>0</v>
      </c>
      <c r="AE2069" s="78">
        <f t="shared" si="43"/>
        <v>0</v>
      </c>
    </row>
    <row r="2070" spans="1:31" x14ac:dyDescent="0.2">
      <c r="A2070" s="66"/>
      <c r="B2070" s="66"/>
      <c r="C2070" s="66"/>
      <c r="D2070" s="144"/>
      <c r="E2070" s="67"/>
      <c r="F2070" s="67"/>
      <c r="G2070" s="67"/>
      <c r="H2070" s="67">
        <f>ROUND(+E2070+G2070,4)</f>
        <v>0</v>
      </c>
      <c r="I2070" s="67"/>
      <c r="J2070" s="67">
        <f>ROUND(+I2070-H2070,4)</f>
        <v>0</v>
      </c>
      <c r="K2070" s="67">
        <f>ROUND(IF(F2070="alluminio",0,I2070*1.5%),4)</f>
        <v>0</v>
      </c>
      <c r="L2070" s="67">
        <f>ROUND(IF(K2070&lt;J2070,K2070,0),4)</f>
        <v>0</v>
      </c>
      <c r="M2070" s="67">
        <f>ROUND(IF(J2070&gt;K2070,0,J2070),4)</f>
        <v>0</v>
      </c>
      <c r="N2070" s="67">
        <f>ROUND(+L2070*D2070,4)</f>
        <v>0</v>
      </c>
      <c r="O2070" s="67">
        <f>ROUND(IF(F2070="rame",0,+I2070*3%),4)</f>
        <v>0</v>
      </c>
      <c r="P2070" s="67">
        <f>ROUND(IF(O2070&lt;J2070,O2070,0),4)</f>
        <v>0</v>
      </c>
      <c r="Q2070" s="67">
        <f>ROUND(IF(J2070&gt;O2070,0,J2070),4)</f>
        <v>0</v>
      </c>
      <c r="R2070" s="67">
        <f>ROUND(+P2070*D2070,4)</f>
        <v>0</v>
      </c>
      <c r="S2070" s="67">
        <f>ROUND(IF(K2070=0,0,M2070*D2070),4)</f>
        <v>0</v>
      </c>
      <c r="T2070" s="67">
        <f>ROUND(+IF(K2070=0,Q2070*D2070,0),4)</f>
        <v>0</v>
      </c>
      <c r="U2070" s="67">
        <f>ROUND(+N2070+R2070+S2070+T2070,4)</f>
        <v>0</v>
      </c>
      <c r="V2070" s="67">
        <f>ROUND(IF(P2070=0,0,I2070-H2070-O2070)+IF(L2070=0,0,I2070-H2070-K2070),4)</f>
        <v>0</v>
      </c>
      <c r="W2070" s="67">
        <f>ROUND(+(V2070*60%)*D2070,4)</f>
        <v>0</v>
      </c>
      <c r="X2070" s="148">
        <f>ROUND(+U2070+W2070,4)</f>
        <v>0</v>
      </c>
      <c r="Y2070" s="68"/>
      <c r="Z2070" s="148">
        <f>ROUND(IF(X2070&gt;I2070,X2070,I2070),4)</f>
        <v>0</v>
      </c>
      <c r="AD2070" s="78">
        <f t="shared" si="42"/>
        <v>0</v>
      </c>
      <c r="AE2070" s="78">
        <f t="shared" si="43"/>
        <v>0</v>
      </c>
    </row>
    <row r="2071" spans="1:31" x14ac:dyDescent="0.2">
      <c r="A2071" s="66"/>
      <c r="B2071" s="66"/>
      <c r="C2071" s="66"/>
      <c r="D2071" s="144"/>
      <c r="E2071" s="67"/>
      <c r="F2071" s="67"/>
      <c r="G2071" s="67"/>
      <c r="H2071" s="67">
        <f>ROUND(+E2071+G2071,4)</f>
        <v>0</v>
      </c>
      <c r="I2071" s="67"/>
      <c r="J2071" s="67">
        <f>ROUND(+I2071-H2071,4)</f>
        <v>0</v>
      </c>
      <c r="K2071" s="67">
        <f>ROUND(IF(F2071="alluminio",0,I2071*1.5%),4)</f>
        <v>0</v>
      </c>
      <c r="L2071" s="67">
        <f>ROUND(IF(K2071&lt;J2071,K2071,0),4)</f>
        <v>0</v>
      </c>
      <c r="M2071" s="67">
        <f>ROUND(IF(J2071&gt;K2071,0,J2071),4)</f>
        <v>0</v>
      </c>
      <c r="N2071" s="67">
        <f>ROUND(+L2071*D2071,4)</f>
        <v>0</v>
      </c>
      <c r="O2071" s="67">
        <f>ROUND(IF(F2071="rame",0,+I2071*3%),4)</f>
        <v>0</v>
      </c>
      <c r="P2071" s="67">
        <f>ROUND(IF(O2071&lt;J2071,O2071,0),4)</f>
        <v>0</v>
      </c>
      <c r="Q2071" s="67">
        <f>ROUND(IF(J2071&gt;O2071,0,J2071),4)</f>
        <v>0</v>
      </c>
      <c r="R2071" s="67">
        <f>ROUND(+P2071*D2071,4)</f>
        <v>0</v>
      </c>
      <c r="S2071" s="67">
        <f>ROUND(IF(K2071=0,0,M2071*D2071),4)</f>
        <v>0</v>
      </c>
      <c r="T2071" s="67">
        <f>ROUND(+IF(K2071=0,Q2071*D2071,0),4)</f>
        <v>0</v>
      </c>
      <c r="U2071" s="67">
        <f>ROUND(+N2071+R2071+S2071+T2071,4)</f>
        <v>0</v>
      </c>
      <c r="V2071" s="67">
        <f>ROUND(IF(P2071=0,0,I2071-H2071-O2071)+IF(L2071=0,0,I2071-H2071-K2071),4)</f>
        <v>0</v>
      </c>
      <c r="W2071" s="67">
        <f>ROUND(+(V2071*60%)*D2071,4)</f>
        <v>0</v>
      </c>
      <c r="X2071" s="148">
        <f>ROUND(+U2071+W2071,4)</f>
        <v>0</v>
      </c>
      <c r="Y2071" s="68"/>
      <c r="Z2071" s="148">
        <f>ROUND(IF(X2071&gt;I2071,X2071,I2071),4)</f>
        <v>0</v>
      </c>
      <c r="AD2071" s="78">
        <f t="shared" si="42"/>
        <v>0</v>
      </c>
      <c r="AE2071" s="78">
        <f t="shared" si="43"/>
        <v>0</v>
      </c>
    </row>
    <row r="2072" spans="1:31" x14ac:dyDescent="0.2">
      <c r="A2072" s="66"/>
      <c r="B2072" s="66"/>
      <c r="C2072" s="66"/>
      <c r="D2072" s="144"/>
      <c r="E2072" s="67"/>
      <c r="F2072" s="67"/>
      <c r="G2072" s="67"/>
      <c r="H2072" s="67">
        <f>ROUND(+E2072+G2072,4)</f>
        <v>0</v>
      </c>
      <c r="I2072" s="67"/>
      <c r="J2072" s="67">
        <f>ROUND(+I2072-H2072,4)</f>
        <v>0</v>
      </c>
      <c r="K2072" s="67">
        <f>ROUND(IF(F2072="alluminio",0,I2072*1.5%),4)</f>
        <v>0</v>
      </c>
      <c r="L2072" s="67">
        <f>ROUND(IF(K2072&lt;J2072,K2072,0),4)</f>
        <v>0</v>
      </c>
      <c r="M2072" s="67">
        <f>ROUND(IF(J2072&gt;K2072,0,J2072),4)</f>
        <v>0</v>
      </c>
      <c r="N2072" s="67">
        <f>ROUND(+L2072*D2072,4)</f>
        <v>0</v>
      </c>
      <c r="O2072" s="67">
        <f>ROUND(IF(F2072="rame",0,+I2072*3%),4)</f>
        <v>0</v>
      </c>
      <c r="P2072" s="67">
        <f>ROUND(IF(O2072&lt;J2072,O2072,0),4)</f>
        <v>0</v>
      </c>
      <c r="Q2072" s="67">
        <f>ROUND(IF(J2072&gt;O2072,0,J2072),4)</f>
        <v>0</v>
      </c>
      <c r="R2072" s="67">
        <f>ROUND(+P2072*D2072,4)</f>
        <v>0</v>
      </c>
      <c r="S2072" s="67">
        <f>ROUND(IF(K2072=0,0,M2072*D2072),4)</f>
        <v>0</v>
      </c>
      <c r="T2072" s="67">
        <f>ROUND(+IF(K2072=0,Q2072*D2072,0),4)</f>
        <v>0</v>
      </c>
      <c r="U2072" s="67">
        <f>ROUND(+N2072+R2072+S2072+T2072,4)</f>
        <v>0</v>
      </c>
      <c r="V2072" s="67">
        <f>ROUND(IF(P2072=0,0,I2072-H2072-O2072)+IF(L2072=0,0,I2072-H2072-K2072),4)</f>
        <v>0</v>
      </c>
      <c r="W2072" s="67">
        <f>ROUND(+(V2072*60%)*D2072,4)</f>
        <v>0</v>
      </c>
      <c r="X2072" s="148">
        <f>ROUND(+U2072+W2072,4)</f>
        <v>0</v>
      </c>
      <c r="Y2072" s="68"/>
      <c r="Z2072" s="148">
        <f>ROUND(IF(X2072&gt;I2072,X2072,I2072),4)</f>
        <v>0</v>
      </c>
      <c r="AD2072" s="78">
        <f t="shared" si="42"/>
        <v>0</v>
      </c>
      <c r="AE2072" s="78">
        <f t="shared" si="43"/>
        <v>0</v>
      </c>
    </row>
    <row r="2073" spans="1:31" x14ac:dyDescent="0.2">
      <c r="A2073" s="66"/>
      <c r="B2073" s="66"/>
      <c r="C2073" s="66"/>
      <c r="D2073" s="144"/>
      <c r="E2073" s="67"/>
      <c r="F2073" s="67"/>
      <c r="G2073" s="67"/>
      <c r="H2073" s="67">
        <f>ROUND(+E2073+G2073,4)</f>
        <v>0</v>
      </c>
      <c r="I2073" s="67"/>
      <c r="J2073" s="67">
        <f>ROUND(+I2073-H2073,4)</f>
        <v>0</v>
      </c>
      <c r="K2073" s="67">
        <f>ROUND(IF(F2073="alluminio",0,I2073*1.5%),4)</f>
        <v>0</v>
      </c>
      <c r="L2073" s="67">
        <f>ROUND(IF(K2073&lt;J2073,K2073,0),4)</f>
        <v>0</v>
      </c>
      <c r="M2073" s="67">
        <f>ROUND(IF(J2073&gt;K2073,0,J2073),4)</f>
        <v>0</v>
      </c>
      <c r="N2073" s="67">
        <f>ROUND(+L2073*D2073,4)</f>
        <v>0</v>
      </c>
      <c r="O2073" s="67">
        <f>ROUND(IF(F2073="rame",0,+I2073*3%),4)</f>
        <v>0</v>
      </c>
      <c r="P2073" s="67">
        <f>ROUND(IF(O2073&lt;J2073,O2073,0),4)</f>
        <v>0</v>
      </c>
      <c r="Q2073" s="67">
        <f>ROUND(IF(J2073&gt;O2073,0,J2073),4)</f>
        <v>0</v>
      </c>
      <c r="R2073" s="67">
        <f>ROUND(+P2073*D2073,4)</f>
        <v>0</v>
      </c>
      <c r="S2073" s="67">
        <f>ROUND(IF(K2073=0,0,M2073*D2073),4)</f>
        <v>0</v>
      </c>
      <c r="T2073" s="67">
        <f>ROUND(+IF(K2073=0,Q2073*D2073,0),4)</f>
        <v>0</v>
      </c>
      <c r="U2073" s="67">
        <f>ROUND(+N2073+R2073+S2073+T2073,4)</f>
        <v>0</v>
      </c>
      <c r="V2073" s="67">
        <f>ROUND(IF(P2073=0,0,I2073-H2073-O2073)+IF(L2073=0,0,I2073-H2073-K2073),4)</f>
        <v>0</v>
      </c>
      <c r="W2073" s="67">
        <f>ROUND(+(V2073*60%)*D2073,4)</f>
        <v>0</v>
      </c>
      <c r="X2073" s="148">
        <f>ROUND(+U2073+W2073,4)</f>
        <v>0</v>
      </c>
      <c r="Y2073" s="68"/>
      <c r="Z2073" s="148">
        <f>ROUND(IF(X2073&gt;I2073,X2073,I2073),4)</f>
        <v>0</v>
      </c>
      <c r="AD2073" s="78">
        <f t="shared" si="42"/>
        <v>0</v>
      </c>
      <c r="AE2073" s="78">
        <f t="shared" si="43"/>
        <v>0</v>
      </c>
    </row>
    <row r="2074" spans="1:31" x14ac:dyDescent="0.2">
      <c r="A2074" s="66"/>
      <c r="B2074" s="66"/>
      <c r="C2074" s="66"/>
      <c r="D2074" s="144"/>
      <c r="E2074" s="67"/>
      <c r="F2074" s="67"/>
      <c r="G2074" s="67"/>
      <c r="H2074" s="67">
        <f>ROUND(+E2074+G2074,4)</f>
        <v>0</v>
      </c>
      <c r="I2074" s="67"/>
      <c r="J2074" s="67">
        <f>ROUND(+I2074-H2074,4)</f>
        <v>0</v>
      </c>
      <c r="K2074" s="67">
        <f>ROUND(IF(F2074="alluminio",0,I2074*1.5%),4)</f>
        <v>0</v>
      </c>
      <c r="L2074" s="67">
        <f>ROUND(IF(K2074&lt;J2074,K2074,0),4)</f>
        <v>0</v>
      </c>
      <c r="M2074" s="67">
        <f>ROUND(IF(J2074&gt;K2074,0,J2074),4)</f>
        <v>0</v>
      </c>
      <c r="N2074" s="67">
        <f>ROUND(+L2074*D2074,4)</f>
        <v>0</v>
      </c>
      <c r="O2074" s="67">
        <f>ROUND(IF(F2074="rame",0,+I2074*3%),4)</f>
        <v>0</v>
      </c>
      <c r="P2074" s="67">
        <f>ROUND(IF(O2074&lt;J2074,O2074,0),4)</f>
        <v>0</v>
      </c>
      <c r="Q2074" s="67">
        <f>ROUND(IF(J2074&gt;O2074,0,J2074),4)</f>
        <v>0</v>
      </c>
      <c r="R2074" s="67">
        <f>ROUND(+P2074*D2074,4)</f>
        <v>0</v>
      </c>
      <c r="S2074" s="67">
        <f>ROUND(IF(K2074=0,0,M2074*D2074),4)</f>
        <v>0</v>
      </c>
      <c r="T2074" s="67">
        <f>ROUND(+IF(K2074=0,Q2074*D2074,0),4)</f>
        <v>0</v>
      </c>
      <c r="U2074" s="67">
        <f>ROUND(+N2074+R2074+S2074+T2074,4)</f>
        <v>0</v>
      </c>
      <c r="V2074" s="67">
        <f>ROUND(IF(P2074=0,0,I2074-H2074-O2074)+IF(L2074=0,0,I2074-H2074-K2074),4)</f>
        <v>0</v>
      </c>
      <c r="W2074" s="67">
        <f>ROUND(+(V2074*60%)*D2074,4)</f>
        <v>0</v>
      </c>
      <c r="X2074" s="148">
        <f>ROUND(+U2074+W2074,4)</f>
        <v>0</v>
      </c>
      <c r="Y2074" s="68"/>
      <c r="Z2074" s="148">
        <f>ROUND(IF(X2074&gt;I2074,X2074,I2074),4)</f>
        <v>0</v>
      </c>
      <c r="AD2074" s="78">
        <f t="shared" si="42"/>
        <v>0</v>
      </c>
      <c r="AE2074" s="78">
        <f t="shared" si="43"/>
        <v>0</v>
      </c>
    </row>
    <row r="2075" spans="1:31" x14ac:dyDescent="0.2">
      <c r="A2075" s="66"/>
      <c r="B2075" s="66"/>
      <c r="C2075" s="66"/>
      <c r="D2075" s="144"/>
      <c r="E2075" s="67"/>
      <c r="F2075" s="67"/>
      <c r="G2075" s="67"/>
      <c r="H2075" s="67">
        <f>ROUND(+E2075+G2075,4)</f>
        <v>0</v>
      </c>
      <c r="I2075" s="67"/>
      <c r="J2075" s="67">
        <f>ROUND(+I2075-H2075,4)</f>
        <v>0</v>
      </c>
      <c r="K2075" s="67">
        <f>ROUND(IF(F2075="alluminio",0,I2075*1.5%),4)</f>
        <v>0</v>
      </c>
      <c r="L2075" s="67">
        <f>ROUND(IF(K2075&lt;J2075,K2075,0),4)</f>
        <v>0</v>
      </c>
      <c r="M2075" s="67">
        <f>ROUND(IF(J2075&gt;K2075,0,J2075),4)</f>
        <v>0</v>
      </c>
      <c r="N2075" s="67">
        <f>ROUND(+L2075*D2075,4)</f>
        <v>0</v>
      </c>
      <c r="O2075" s="67">
        <f>ROUND(IF(F2075="rame",0,+I2075*3%),4)</f>
        <v>0</v>
      </c>
      <c r="P2075" s="67">
        <f>ROUND(IF(O2075&lt;J2075,O2075,0),4)</f>
        <v>0</v>
      </c>
      <c r="Q2075" s="67">
        <f>ROUND(IF(J2075&gt;O2075,0,J2075),4)</f>
        <v>0</v>
      </c>
      <c r="R2075" s="67">
        <f>ROUND(+P2075*D2075,4)</f>
        <v>0</v>
      </c>
      <c r="S2075" s="67">
        <f>ROUND(IF(K2075=0,0,M2075*D2075),4)</f>
        <v>0</v>
      </c>
      <c r="T2075" s="67">
        <f>ROUND(+IF(K2075=0,Q2075*D2075,0),4)</f>
        <v>0</v>
      </c>
      <c r="U2075" s="67">
        <f>ROUND(+N2075+R2075+S2075+T2075,4)</f>
        <v>0</v>
      </c>
      <c r="V2075" s="67">
        <f>ROUND(IF(P2075=0,0,I2075-H2075-O2075)+IF(L2075=0,0,I2075-H2075-K2075),4)</f>
        <v>0</v>
      </c>
      <c r="W2075" s="67">
        <f>ROUND(+(V2075*60%)*D2075,4)</f>
        <v>0</v>
      </c>
      <c r="X2075" s="148">
        <f>ROUND(+U2075+W2075,4)</f>
        <v>0</v>
      </c>
      <c r="Y2075" s="68"/>
      <c r="Z2075" s="148">
        <f>ROUND(IF(X2075&gt;I2075,X2075,I2075),4)</f>
        <v>0</v>
      </c>
      <c r="AD2075" s="78">
        <f t="shared" si="42"/>
        <v>0</v>
      </c>
      <c r="AE2075" s="78">
        <f t="shared" si="43"/>
        <v>0</v>
      </c>
    </row>
    <row r="2076" spans="1:31" x14ac:dyDescent="0.2">
      <c r="A2076" s="66"/>
      <c r="B2076" s="66"/>
      <c r="C2076" s="66"/>
      <c r="D2076" s="144"/>
      <c r="E2076" s="67"/>
      <c r="F2076" s="67"/>
      <c r="G2076" s="67"/>
      <c r="H2076" s="67">
        <f>ROUND(+E2076+G2076,4)</f>
        <v>0</v>
      </c>
      <c r="I2076" s="67"/>
      <c r="J2076" s="67">
        <f>ROUND(+I2076-H2076,4)</f>
        <v>0</v>
      </c>
      <c r="K2076" s="67">
        <f>ROUND(IF(F2076="alluminio",0,I2076*1.5%),4)</f>
        <v>0</v>
      </c>
      <c r="L2076" s="67">
        <f>ROUND(IF(K2076&lt;J2076,K2076,0),4)</f>
        <v>0</v>
      </c>
      <c r="M2076" s="67">
        <f>ROUND(IF(J2076&gt;K2076,0,J2076),4)</f>
        <v>0</v>
      </c>
      <c r="N2076" s="67">
        <f>ROUND(+L2076*D2076,4)</f>
        <v>0</v>
      </c>
      <c r="O2076" s="67">
        <f>ROUND(IF(F2076="rame",0,+I2076*3%),4)</f>
        <v>0</v>
      </c>
      <c r="P2076" s="67">
        <f>ROUND(IF(O2076&lt;J2076,O2076,0),4)</f>
        <v>0</v>
      </c>
      <c r="Q2076" s="67">
        <f>ROUND(IF(J2076&gt;O2076,0,J2076),4)</f>
        <v>0</v>
      </c>
      <c r="R2076" s="67">
        <f>ROUND(+P2076*D2076,4)</f>
        <v>0</v>
      </c>
      <c r="S2076" s="67">
        <f>ROUND(IF(K2076=0,0,M2076*D2076),4)</f>
        <v>0</v>
      </c>
      <c r="T2076" s="67">
        <f>ROUND(+IF(K2076=0,Q2076*D2076,0),4)</f>
        <v>0</v>
      </c>
      <c r="U2076" s="67">
        <f>ROUND(+N2076+R2076+S2076+T2076,4)</f>
        <v>0</v>
      </c>
      <c r="V2076" s="67">
        <f>ROUND(IF(P2076=0,0,I2076-H2076-O2076)+IF(L2076=0,0,I2076-H2076-K2076),4)</f>
        <v>0</v>
      </c>
      <c r="W2076" s="67">
        <f>ROUND(+(V2076*60%)*D2076,4)</f>
        <v>0</v>
      </c>
      <c r="X2076" s="148">
        <f>ROUND(+U2076+W2076,4)</f>
        <v>0</v>
      </c>
      <c r="Y2076" s="68"/>
      <c r="Z2076" s="148">
        <f>ROUND(IF(X2076&gt;I2076,X2076,I2076),4)</f>
        <v>0</v>
      </c>
      <c r="AD2076" s="78">
        <f t="shared" si="42"/>
        <v>0</v>
      </c>
      <c r="AE2076" s="78">
        <f t="shared" si="43"/>
        <v>0</v>
      </c>
    </row>
    <row r="2077" spans="1:31" x14ac:dyDescent="0.2">
      <c r="A2077" s="66"/>
      <c r="B2077" s="66"/>
      <c r="C2077" s="66"/>
      <c r="D2077" s="144"/>
      <c r="E2077" s="67"/>
      <c r="F2077" s="67"/>
      <c r="G2077" s="67"/>
      <c r="H2077" s="67">
        <f>ROUND(+E2077+G2077,4)</f>
        <v>0</v>
      </c>
      <c r="I2077" s="67"/>
      <c r="J2077" s="67">
        <f>ROUND(+I2077-H2077,4)</f>
        <v>0</v>
      </c>
      <c r="K2077" s="67">
        <f>ROUND(IF(F2077="alluminio",0,I2077*1.5%),4)</f>
        <v>0</v>
      </c>
      <c r="L2077" s="67">
        <f>ROUND(IF(K2077&lt;J2077,K2077,0),4)</f>
        <v>0</v>
      </c>
      <c r="M2077" s="67">
        <f>ROUND(IF(J2077&gt;K2077,0,J2077),4)</f>
        <v>0</v>
      </c>
      <c r="N2077" s="67">
        <f>ROUND(+L2077*D2077,4)</f>
        <v>0</v>
      </c>
      <c r="O2077" s="67">
        <f>ROUND(IF(F2077="rame",0,+I2077*3%),4)</f>
        <v>0</v>
      </c>
      <c r="P2077" s="67">
        <f>ROUND(IF(O2077&lt;J2077,O2077,0),4)</f>
        <v>0</v>
      </c>
      <c r="Q2077" s="67">
        <f>ROUND(IF(J2077&gt;O2077,0,J2077),4)</f>
        <v>0</v>
      </c>
      <c r="R2077" s="67">
        <f>ROUND(+P2077*D2077,4)</f>
        <v>0</v>
      </c>
      <c r="S2077" s="67">
        <f>ROUND(IF(K2077=0,0,M2077*D2077),4)</f>
        <v>0</v>
      </c>
      <c r="T2077" s="67">
        <f>ROUND(+IF(K2077=0,Q2077*D2077,0),4)</f>
        <v>0</v>
      </c>
      <c r="U2077" s="67">
        <f>ROUND(+N2077+R2077+S2077+T2077,4)</f>
        <v>0</v>
      </c>
      <c r="V2077" s="67">
        <f>ROUND(IF(P2077=0,0,I2077-H2077-O2077)+IF(L2077=0,0,I2077-H2077-K2077),4)</f>
        <v>0</v>
      </c>
      <c r="W2077" s="67">
        <f>ROUND(+(V2077*60%)*D2077,4)</f>
        <v>0</v>
      </c>
      <c r="X2077" s="148">
        <f>ROUND(+U2077+W2077,4)</f>
        <v>0</v>
      </c>
      <c r="Y2077" s="68"/>
      <c r="Z2077" s="148">
        <f>ROUND(IF(X2077&gt;I2077,X2077,I2077),4)</f>
        <v>0</v>
      </c>
      <c r="AD2077" s="78">
        <f t="shared" si="42"/>
        <v>0</v>
      </c>
      <c r="AE2077" s="78">
        <f t="shared" si="43"/>
        <v>0</v>
      </c>
    </row>
    <row r="2078" spans="1:31" x14ac:dyDescent="0.2">
      <c r="A2078" s="66"/>
      <c r="B2078" s="66"/>
      <c r="C2078" s="66"/>
      <c r="D2078" s="144"/>
      <c r="E2078" s="67"/>
      <c r="F2078" s="67"/>
      <c r="G2078" s="67"/>
      <c r="H2078" s="67">
        <f>ROUND(+E2078+G2078,4)</f>
        <v>0</v>
      </c>
      <c r="I2078" s="67"/>
      <c r="J2078" s="67">
        <f>ROUND(+I2078-H2078,4)</f>
        <v>0</v>
      </c>
      <c r="K2078" s="67">
        <f>ROUND(IF(F2078="alluminio",0,I2078*1.5%),4)</f>
        <v>0</v>
      </c>
      <c r="L2078" s="67">
        <f>ROUND(IF(K2078&lt;J2078,K2078,0),4)</f>
        <v>0</v>
      </c>
      <c r="M2078" s="67">
        <f>ROUND(IF(J2078&gt;K2078,0,J2078),4)</f>
        <v>0</v>
      </c>
      <c r="N2078" s="67">
        <f>ROUND(+L2078*D2078,4)</f>
        <v>0</v>
      </c>
      <c r="O2078" s="67">
        <f>ROUND(IF(F2078="rame",0,+I2078*3%),4)</f>
        <v>0</v>
      </c>
      <c r="P2078" s="67">
        <f>ROUND(IF(O2078&lt;J2078,O2078,0),4)</f>
        <v>0</v>
      </c>
      <c r="Q2078" s="67">
        <f>ROUND(IF(J2078&gt;O2078,0,J2078),4)</f>
        <v>0</v>
      </c>
      <c r="R2078" s="67">
        <f>ROUND(+P2078*D2078,4)</f>
        <v>0</v>
      </c>
      <c r="S2078" s="67">
        <f>ROUND(IF(K2078=0,0,M2078*D2078),4)</f>
        <v>0</v>
      </c>
      <c r="T2078" s="67">
        <f>ROUND(+IF(K2078=0,Q2078*D2078,0),4)</f>
        <v>0</v>
      </c>
      <c r="U2078" s="67">
        <f>ROUND(+N2078+R2078+S2078+T2078,4)</f>
        <v>0</v>
      </c>
      <c r="V2078" s="67">
        <f>ROUND(IF(P2078=0,0,I2078-H2078-O2078)+IF(L2078=0,0,I2078-H2078-K2078),4)</f>
        <v>0</v>
      </c>
      <c r="W2078" s="67">
        <f>ROUND(+(V2078*60%)*D2078,4)</f>
        <v>0</v>
      </c>
      <c r="X2078" s="148">
        <f>ROUND(+U2078+W2078,4)</f>
        <v>0</v>
      </c>
      <c r="Y2078" s="68"/>
      <c r="Z2078" s="148">
        <f>ROUND(IF(X2078&gt;I2078,X2078,I2078),4)</f>
        <v>0</v>
      </c>
      <c r="AD2078" s="78">
        <f t="shared" si="42"/>
        <v>0</v>
      </c>
      <c r="AE2078" s="78">
        <f t="shared" si="43"/>
        <v>0</v>
      </c>
    </row>
    <row r="2079" spans="1:31" x14ac:dyDescent="0.2">
      <c r="A2079" s="66"/>
      <c r="B2079" s="66"/>
      <c r="C2079" s="66"/>
      <c r="D2079" s="144"/>
      <c r="E2079" s="67"/>
      <c r="F2079" s="67"/>
      <c r="G2079" s="67"/>
      <c r="H2079" s="67">
        <f>ROUND(+E2079+G2079,4)</f>
        <v>0</v>
      </c>
      <c r="I2079" s="67"/>
      <c r="J2079" s="67">
        <f>ROUND(+I2079-H2079,4)</f>
        <v>0</v>
      </c>
      <c r="K2079" s="67">
        <f>ROUND(IF(F2079="alluminio",0,I2079*1.5%),4)</f>
        <v>0</v>
      </c>
      <c r="L2079" s="67">
        <f>ROUND(IF(K2079&lt;J2079,K2079,0),4)</f>
        <v>0</v>
      </c>
      <c r="M2079" s="67">
        <f>ROUND(IF(J2079&gt;K2079,0,J2079),4)</f>
        <v>0</v>
      </c>
      <c r="N2079" s="67">
        <f>ROUND(+L2079*D2079,4)</f>
        <v>0</v>
      </c>
      <c r="O2079" s="67">
        <f>ROUND(IF(F2079="rame",0,+I2079*3%),4)</f>
        <v>0</v>
      </c>
      <c r="P2079" s="67">
        <f>ROUND(IF(O2079&lt;J2079,O2079,0),4)</f>
        <v>0</v>
      </c>
      <c r="Q2079" s="67">
        <f>ROUND(IF(J2079&gt;O2079,0,J2079),4)</f>
        <v>0</v>
      </c>
      <c r="R2079" s="67">
        <f>ROUND(+P2079*D2079,4)</f>
        <v>0</v>
      </c>
      <c r="S2079" s="67">
        <f>ROUND(IF(K2079=0,0,M2079*D2079),4)</f>
        <v>0</v>
      </c>
      <c r="T2079" s="67">
        <f>ROUND(+IF(K2079=0,Q2079*D2079,0),4)</f>
        <v>0</v>
      </c>
      <c r="U2079" s="67">
        <f>ROUND(+N2079+R2079+S2079+T2079,4)</f>
        <v>0</v>
      </c>
      <c r="V2079" s="67">
        <f>ROUND(IF(P2079=0,0,I2079-H2079-O2079)+IF(L2079=0,0,I2079-H2079-K2079),4)</f>
        <v>0</v>
      </c>
      <c r="W2079" s="67">
        <f>ROUND(+(V2079*60%)*D2079,4)</f>
        <v>0</v>
      </c>
      <c r="X2079" s="148">
        <f>ROUND(+U2079+W2079,4)</f>
        <v>0</v>
      </c>
      <c r="Y2079" s="68"/>
      <c r="Z2079" s="148">
        <f>ROUND(IF(X2079&gt;I2079,X2079,I2079),4)</f>
        <v>0</v>
      </c>
      <c r="AD2079" s="78">
        <f t="shared" si="42"/>
        <v>0</v>
      </c>
      <c r="AE2079" s="78">
        <f t="shared" si="43"/>
        <v>0</v>
      </c>
    </row>
    <row r="2080" spans="1:31" x14ac:dyDescent="0.2">
      <c r="A2080" s="66"/>
      <c r="B2080" s="66"/>
      <c r="C2080" s="66"/>
      <c r="D2080" s="144"/>
      <c r="E2080" s="67"/>
      <c r="F2080" s="67"/>
      <c r="G2080" s="67"/>
      <c r="H2080" s="67">
        <f>ROUND(+E2080+G2080,4)</f>
        <v>0</v>
      </c>
      <c r="I2080" s="67"/>
      <c r="J2080" s="67">
        <f>ROUND(+I2080-H2080,4)</f>
        <v>0</v>
      </c>
      <c r="K2080" s="67">
        <f>ROUND(IF(F2080="alluminio",0,I2080*1.5%),4)</f>
        <v>0</v>
      </c>
      <c r="L2080" s="67">
        <f>ROUND(IF(K2080&lt;J2080,K2080,0),4)</f>
        <v>0</v>
      </c>
      <c r="M2080" s="67">
        <f>ROUND(IF(J2080&gt;K2080,0,J2080),4)</f>
        <v>0</v>
      </c>
      <c r="N2080" s="67">
        <f>ROUND(+L2080*D2080,4)</f>
        <v>0</v>
      </c>
      <c r="O2080" s="67">
        <f>ROUND(IF(F2080="rame",0,+I2080*3%),4)</f>
        <v>0</v>
      </c>
      <c r="P2080" s="67">
        <f>ROUND(IF(O2080&lt;J2080,O2080,0),4)</f>
        <v>0</v>
      </c>
      <c r="Q2080" s="67">
        <f>ROUND(IF(J2080&gt;O2080,0,J2080),4)</f>
        <v>0</v>
      </c>
      <c r="R2080" s="67">
        <f>ROUND(+P2080*D2080,4)</f>
        <v>0</v>
      </c>
      <c r="S2080" s="67">
        <f>ROUND(IF(K2080=0,0,M2080*D2080),4)</f>
        <v>0</v>
      </c>
      <c r="T2080" s="67">
        <f>ROUND(+IF(K2080=0,Q2080*D2080,0),4)</f>
        <v>0</v>
      </c>
      <c r="U2080" s="67">
        <f>ROUND(+N2080+R2080+S2080+T2080,4)</f>
        <v>0</v>
      </c>
      <c r="V2080" s="67">
        <f>ROUND(IF(P2080=0,0,I2080-H2080-O2080)+IF(L2080=0,0,I2080-H2080-K2080),4)</f>
        <v>0</v>
      </c>
      <c r="W2080" s="67">
        <f>ROUND(+(V2080*60%)*D2080,4)</f>
        <v>0</v>
      </c>
      <c r="X2080" s="148">
        <f>ROUND(+U2080+W2080,4)</f>
        <v>0</v>
      </c>
      <c r="Y2080" s="68"/>
      <c r="Z2080" s="148">
        <f>ROUND(IF(X2080&gt;I2080,X2080,I2080),4)</f>
        <v>0</v>
      </c>
      <c r="AD2080" s="78">
        <f t="shared" si="42"/>
        <v>0</v>
      </c>
      <c r="AE2080" s="78">
        <f t="shared" si="43"/>
        <v>0</v>
      </c>
    </row>
    <row r="2081" spans="1:31" x14ac:dyDescent="0.2">
      <c r="A2081" s="66"/>
      <c r="B2081" s="66"/>
      <c r="C2081" s="66"/>
      <c r="D2081" s="144"/>
      <c r="E2081" s="67"/>
      <c r="F2081" s="67"/>
      <c r="G2081" s="67"/>
      <c r="H2081" s="67">
        <f>ROUND(+E2081+G2081,4)</f>
        <v>0</v>
      </c>
      <c r="I2081" s="67"/>
      <c r="J2081" s="67">
        <f>ROUND(+I2081-H2081,4)</f>
        <v>0</v>
      </c>
      <c r="K2081" s="67">
        <f>ROUND(IF(F2081="alluminio",0,I2081*1.5%),4)</f>
        <v>0</v>
      </c>
      <c r="L2081" s="67">
        <f>ROUND(IF(K2081&lt;J2081,K2081,0),4)</f>
        <v>0</v>
      </c>
      <c r="M2081" s="67">
        <f>ROUND(IF(J2081&gt;K2081,0,J2081),4)</f>
        <v>0</v>
      </c>
      <c r="N2081" s="67">
        <f>ROUND(+L2081*D2081,4)</f>
        <v>0</v>
      </c>
      <c r="O2081" s="67">
        <f>ROUND(IF(F2081="rame",0,+I2081*3%),4)</f>
        <v>0</v>
      </c>
      <c r="P2081" s="67">
        <f>ROUND(IF(O2081&lt;J2081,O2081,0),4)</f>
        <v>0</v>
      </c>
      <c r="Q2081" s="67">
        <f>ROUND(IF(J2081&gt;O2081,0,J2081),4)</f>
        <v>0</v>
      </c>
      <c r="R2081" s="67">
        <f>ROUND(+P2081*D2081,4)</f>
        <v>0</v>
      </c>
      <c r="S2081" s="67">
        <f>ROUND(IF(K2081=0,0,M2081*D2081),4)</f>
        <v>0</v>
      </c>
      <c r="T2081" s="67">
        <f>ROUND(+IF(K2081=0,Q2081*D2081,0),4)</f>
        <v>0</v>
      </c>
      <c r="U2081" s="67">
        <f>ROUND(+N2081+R2081+S2081+T2081,4)</f>
        <v>0</v>
      </c>
      <c r="V2081" s="67">
        <f>ROUND(IF(P2081=0,0,I2081-H2081-O2081)+IF(L2081=0,0,I2081-H2081-K2081),4)</f>
        <v>0</v>
      </c>
      <c r="W2081" s="67">
        <f>ROUND(+(V2081*60%)*D2081,4)</f>
        <v>0</v>
      </c>
      <c r="X2081" s="148">
        <f>ROUND(+U2081+W2081,4)</f>
        <v>0</v>
      </c>
      <c r="Y2081" s="68"/>
      <c r="Z2081" s="148">
        <f>ROUND(IF(X2081&gt;I2081,X2081,I2081),4)</f>
        <v>0</v>
      </c>
      <c r="AD2081" s="78">
        <f t="shared" si="42"/>
        <v>0</v>
      </c>
      <c r="AE2081" s="78">
        <f t="shared" si="43"/>
        <v>0</v>
      </c>
    </row>
    <row r="2082" spans="1:31" x14ac:dyDescent="0.2">
      <c r="A2082" s="66"/>
      <c r="B2082" s="66"/>
      <c r="C2082" s="66"/>
      <c r="D2082" s="144"/>
      <c r="E2082" s="67"/>
      <c r="F2082" s="67"/>
      <c r="G2082" s="67"/>
      <c r="H2082" s="67">
        <f>ROUND(+E2082+G2082,4)</f>
        <v>0</v>
      </c>
      <c r="I2082" s="67"/>
      <c r="J2082" s="67">
        <f>ROUND(+I2082-H2082,4)</f>
        <v>0</v>
      </c>
      <c r="K2082" s="67">
        <f>ROUND(IF(F2082="alluminio",0,I2082*1.5%),4)</f>
        <v>0</v>
      </c>
      <c r="L2082" s="67">
        <f>ROUND(IF(K2082&lt;J2082,K2082,0),4)</f>
        <v>0</v>
      </c>
      <c r="M2082" s="67">
        <f>ROUND(IF(J2082&gt;K2082,0,J2082),4)</f>
        <v>0</v>
      </c>
      <c r="N2082" s="67">
        <f>ROUND(+L2082*D2082,4)</f>
        <v>0</v>
      </c>
      <c r="O2082" s="67">
        <f>ROUND(IF(F2082="rame",0,+I2082*3%),4)</f>
        <v>0</v>
      </c>
      <c r="P2082" s="67">
        <f>ROUND(IF(O2082&lt;J2082,O2082,0),4)</f>
        <v>0</v>
      </c>
      <c r="Q2082" s="67">
        <f>ROUND(IF(J2082&gt;O2082,0,J2082),4)</f>
        <v>0</v>
      </c>
      <c r="R2082" s="67">
        <f>ROUND(+P2082*D2082,4)</f>
        <v>0</v>
      </c>
      <c r="S2082" s="67">
        <f>ROUND(IF(K2082=0,0,M2082*D2082),4)</f>
        <v>0</v>
      </c>
      <c r="T2082" s="67">
        <f>ROUND(+IF(K2082=0,Q2082*D2082,0),4)</f>
        <v>0</v>
      </c>
      <c r="U2082" s="67">
        <f>ROUND(+N2082+R2082+S2082+T2082,4)</f>
        <v>0</v>
      </c>
      <c r="V2082" s="67">
        <f>ROUND(IF(P2082=0,0,I2082-H2082-O2082)+IF(L2082=0,0,I2082-H2082-K2082),4)</f>
        <v>0</v>
      </c>
      <c r="W2082" s="67">
        <f>ROUND(+(V2082*60%)*D2082,4)</f>
        <v>0</v>
      </c>
      <c r="X2082" s="148">
        <f>ROUND(+U2082+W2082,4)</f>
        <v>0</v>
      </c>
      <c r="Y2082" s="68"/>
      <c r="Z2082" s="148">
        <f>ROUND(IF(X2082&gt;I2082,X2082,I2082),4)</f>
        <v>0</v>
      </c>
      <c r="AD2082" s="78">
        <f t="shared" si="42"/>
        <v>0</v>
      </c>
      <c r="AE2082" s="78">
        <f t="shared" si="43"/>
        <v>0</v>
      </c>
    </row>
    <row r="2083" spans="1:31" x14ac:dyDescent="0.2">
      <c r="A2083" s="66"/>
      <c r="B2083" s="66"/>
      <c r="C2083" s="66"/>
      <c r="D2083" s="144"/>
      <c r="E2083" s="67"/>
      <c r="F2083" s="67"/>
      <c r="G2083" s="67"/>
      <c r="H2083" s="67">
        <f>ROUND(+E2083+G2083,4)</f>
        <v>0</v>
      </c>
      <c r="I2083" s="67"/>
      <c r="J2083" s="67">
        <f>ROUND(+I2083-H2083,4)</f>
        <v>0</v>
      </c>
      <c r="K2083" s="67">
        <f>ROUND(IF(F2083="alluminio",0,I2083*1.5%),4)</f>
        <v>0</v>
      </c>
      <c r="L2083" s="67">
        <f>ROUND(IF(K2083&lt;J2083,K2083,0),4)</f>
        <v>0</v>
      </c>
      <c r="M2083" s="67">
        <f>ROUND(IF(J2083&gt;K2083,0,J2083),4)</f>
        <v>0</v>
      </c>
      <c r="N2083" s="67">
        <f>ROUND(+L2083*D2083,4)</f>
        <v>0</v>
      </c>
      <c r="O2083" s="67">
        <f>ROUND(IF(F2083="rame",0,+I2083*3%),4)</f>
        <v>0</v>
      </c>
      <c r="P2083" s="67">
        <f>ROUND(IF(O2083&lt;J2083,O2083,0),4)</f>
        <v>0</v>
      </c>
      <c r="Q2083" s="67">
        <f>ROUND(IF(J2083&gt;O2083,0,J2083),4)</f>
        <v>0</v>
      </c>
      <c r="R2083" s="67">
        <f>ROUND(+P2083*D2083,4)</f>
        <v>0</v>
      </c>
      <c r="S2083" s="67">
        <f>ROUND(IF(K2083=0,0,M2083*D2083),4)</f>
        <v>0</v>
      </c>
      <c r="T2083" s="67">
        <f>ROUND(+IF(K2083=0,Q2083*D2083,0),4)</f>
        <v>0</v>
      </c>
      <c r="U2083" s="67">
        <f>ROUND(+N2083+R2083+S2083+T2083,4)</f>
        <v>0</v>
      </c>
      <c r="V2083" s="67">
        <f>ROUND(IF(P2083=0,0,I2083-H2083-O2083)+IF(L2083=0,0,I2083-H2083-K2083),4)</f>
        <v>0</v>
      </c>
      <c r="W2083" s="67">
        <f>ROUND(+(V2083*60%)*D2083,4)</f>
        <v>0</v>
      </c>
      <c r="X2083" s="148">
        <f>ROUND(+U2083+W2083,4)</f>
        <v>0</v>
      </c>
      <c r="Y2083" s="68"/>
      <c r="Z2083" s="148">
        <f>ROUND(IF(X2083&gt;I2083,X2083,I2083),4)</f>
        <v>0</v>
      </c>
      <c r="AD2083" s="78">
        <f t="shared" si="42"/>
        <v>0</v>
      </c>
      <c r="AE2083" s="78">
        <f t="shared" si="43"/>
        <v>0</v>
      </c>
    </row>
    <row r="2084" spans="1:31" x14ac:dyDescent="0.2">
      <c r="A2084" s="66"/>
      <c r="B2084" s="66"/>
      <c r="C2084" s="66"/>
      <c r="D2084" s="144"/>
      <c r="E2084" s="67"/>
      <c r="F2084" s="67"/>
      <c r="G2084" s="67"/>
      <c r="H2084" s="67">
        <f>ROUND(+E2084+G2084,4)</f>
        <v>0</v>
      </c>
      <c r="I2084" s="67"/>
      <c r="J2084" s="67">
        <f>ROUND(+I2084-H2084,4)</f>
        <v>0</v>
      </c>
      <c r="K2084" s="67">
        <f>ROUND(IF(F2084="alluminio",0,I2084*1.5%),4)</f>
        <v>0</v>
      </c>
      <c r="L2084" s="67">
        <f>ROUND(IF(K2084&lt;J2084,K2084,0),4)</f>
        <v>0</v>
      </c>
      <c r="M2084" s="67">
        <f>ROUND(IF(J2084&gt;K2084,0,J2084),4)</f>
        <v>0</v>
      </c>
      <c r="N2084" s="67">
        <f>ROUND(+L2084*D2084,4)</f>
        <v>0</v>
      </c>
      <c r="O2084" s="67">
        <f>ROUND(IF(F2084="rame",0,+I2084*3%),4)</f>
        <v>0</v>
      </c>
      <c r="P2084" s="67">
        <f>ROUND(IF(O2084&lt;J2084,O2084,0),4)</f>
        <v>0</v>
      </c>
      <c r="Q2084" s="67">
        <f>ROUND(IF(J2084&gt;O2084,0,J2084),4)</f>
        <v>0</v>
      </c>
      <c r="R2084" s="67">
        <f>ROUND(+P2084*D2084,4)</f>
        <v>0</v>
      </c>
      <c r="S2084" s="67">
        <f>ROUND(IF(K2084=0,0,M2084*D2084),4)</f>
        <v>0</v>
      </c>
      <c r="T2084" s="67">
        <f>ROUND(+IF(K2084=0,Q2084*D2084,0),4)</f>
        <v>0</v>
      </c>
      <c r="U2084" s="67">
        <f>ROUND(+N2084+R2084+S2084+T2084,4)</f>
        <v>0</v>
      </c>
      <c r="V2084" s="67">
        <f>ROUND(IF(P2084=0,0,I2084-H2084-O2084)+IF(L2084=0,0,I2084-H2084-K2084),4)</f>
        <v>0</v>
      </c>
      <c r="W2084" s="67">
        <f>ROUND(+(V2084*60%)*D2084,4)</f>
        <v>0</v>
      </c>
      <c r="X2084" s="148">
        <f>ROUND(+U2084+W2084,4)</f>
        <v>0</v>
      </c>
      <c r="Y2084" s="68"/>
      <c r="Z2084" s="148">
        <f>ROUND(IF(X2084&gt;I2084,X2084,I2084),4)</f>
        <v>0</v>
      </c>
      <c r="AD2084" s="78">
        <f t="shared" si="42"/>
        <v>0</v>
      </c>
      <c r="AE2084" s="78">
        <f t="shared" si="43"/>
        <v>0</v>
      </c>
    </row>
    <row r="2085" spans="1:31" x14ac:dyDescent="0.2">
      <c r="A2085" s="66"/>
      <c r="B2085" s="66"/>
      <c r="C2085" s="66"/>
      <c r="D2085" s="144"/>
      <c r="E2085" s="67"/>
      <c r="F2085" s="67"/>
      <c r="G2085" s="67"/>
      <c r="H2085" s="67">
        <f>ROUND(+E2085+G2085,4)</f>
        <v>0</v>
      </c>
      <c r="I2085" s="67"/>
      <c r="J2085" s="67">
        <f>ROUND(+I2085-H2085,4)</f>
        <v>0</v>
      </c>
      <c r="K2085" s="67">
        <f>ROUND(IF(F2085="alluminio",0,I2085*1.5%),4)</f>
        <v>0</v>
      </c>
      <c r="L2085" s="67">
        <f>ROUND(IF(K2085&lt;J2085,K2085,0),4)</f>
        <v>0</v>
      </c>
      <c r="M2085" s="67">
        <f>ROUND(IF(J2085&gt;K2085,0,J2085),4)</f>
        <v>0</v>
      </c>
      <c r="N2085" s="67">
        <f>ROUND(+L2085*D2085,4)</f>
        <v>0</v>
      </c>
      <c r="O2085" s="67">
        <f>ROUND(IF(F2085="rame",0,+I2085*3%),4)</f>
        <v>0</v>
      </c>
      <c r="P2085" s="67">
        <f>ROUND(IF(O2085&lt;J2085,O2085,0),4)</f>
        <v>0</v>
      </c>
      <c r="Q2085" s="67">
        <f>ROUND(IF(J2085&gt;O2085,0,J2085),4)</f>
        <v>0</v>
      </c>
      <c r="R2085" s="67">
        <f>ROUND(+P2085*D2085,4)</f>
        <v>0</v>
      </c>
      <c r="S2085" s="67">
        <f>ROUND(IF(K2085=0,0,M2085*D2085),4)</f>
        <v>0</v>
      </c>
      <c r="T2085" s="67">
        <f>ROUND(+IF(K2085=0,Q2085*D2085,0),4)</f>
        <v>0</v>
      </c>
      <c r="U2085" s="67">
        <f>ROUND(+N2085+R2085+S2085+T2085,4)</f>
        <v>0</v>
      </c>
      <c r="V2085" s="67">
        <f>ROUND(IF(P2085=0,0,I2085-H2085-O2085)+IF(L2085=0,0,I2085-H2085-K2085),4)</f>
        <v>0</v>
      </c>
      <c r="W2085" s="67">
        <f>ROUND(+(V2085*60%)*D2085,4)</f>
        <v>0</v>
      </c>
      <c r="X2085" s="148">
        <f>ROUND(+U2085+W2085,4)</f>
        <v>0</v>
      </c>
      <c r="Y2085" s="68"/>
      <c r="Z2085" s="148">
        <f>ROUND(IF(X2085&gt;I2085,X2085,I2085),4)</f>
        <v>0</v>
      </c>
      <c r="AD2085" s="78">
        <f t="shared" si="42"/>
        <v>0</v>
      </c>
      <c r="AE2085" s="78">
        <f t="shared" si="43"/>
        <v>0</v>
      </c>
    </row>
    <row r="2086" spans="1:31" x14ac:dyDescent="0.2">
      <c r="A2086" s="66"/>
      <c r="B2086" s="66"/>
      <c r="C2086" s="66"/>
      <c r="D2086" s="144"/>
      <c r="E2086" s="67"/>
      <c r="F2086" s="67"/>
      <c r="G2086" s="67"/>
      <c r="H2086" s="67">
        <f>ROUND(+E2086+G2086,4)</f>
        <v>0</v>
      </c>
      <c r="I2086" s="67"/>
      <c r="J2086" s="67">
        <f>ROUND(+I2086-H2086,4)</f>
        <v>0</v>
      </c>
      <c r="K2086" s="67">
        <f>ROUND(IF(F2086="alluminio",0,I2086*1.5%),4)</f>
        <v>0</v>
      </c>
      <c r="L2086" s="67">
        <f>ROUND(IF(K2086&lt;J2086,K2086,0),4)</f>
        <v>0</v>
      </c>
      <c r="M2086" s="67">
        <f>ROUND(IF(J2086&gt;K2086,0,J2086),4)</f>
        <v>0</v>
      </c>
      <c r="N2086" s="67">
        <f>ROUND(+L2086*D2086,4)</f>
        <v>0</v>
      </c>
      <c r="O2086" s="67">
        <f>ROUND(IF(F2086="rame",0,+I2086*3%),4)</f>
        <v>0</v>
      </c>
      <c r="P2086" s="67">
        <f>ROUND(IF(O2086&lt;J2086,O2086,0),4)</f>
        <v>0</v>
      </c>
      <c r="Q2086" s="67">
        <f>ROUND(IF(J2086&gt;O2086,0,J2086),4)</f>
        <v>0</v>
      </c>
      <c r="R2086" s="67">
        <f>ROUND(+P2086*D2086,4)</f>
        <v>0</v>
      </c>
      <c r="S2086" s="67">
        <f>ROUND(IF(K2086=0,0,M2086*D2086),4)</f>
        <v>0</v>
      </c>
      <c r="T2086" s="67">
        <f>ROUND(+IF(K2086=0,Q2086*D2086,0),4)</f>
        <v>0</v>
      </c>
      <c r="U2086" s="67">
        <f>ROUND(+N2086+R2086+S2086+T2086,4)</f>
        <v>0</v>
      </c>
      <c r="V2086" s="67">
        <f>ROUND(IF(P2086=0,0,I2086-H2086-O2086)+IF(L2086=0,0,I2086-H2086-K2086),4)</f>
        <v>0</v>
      </c>
      <c r="W2086" s="67">
        <f>ROUND(+(V2086*60%)*D2086,4)</f>
        <v>0</v>
      </c>
      <c r="X2086" s="148">
        <f>ROUND(+U2086+W2086,4)</f>
        <v>0</v>
      </c>
      <c r="Y2086" s="68"/>
      <c r="Z2086" s="148">
        <f>ROUND(IF(X2086&gt;I2086,X2086,I2086),4)</f>
        <v>0</v>
      </c>
      <c r="AD2086" s="78">
        <f t="shared" si="42"/>
        <v>0</v>
      </c>
      <c r="AE2086" s="78">
        <f t="shared" si="43"/>
        <v>0</v>
      </c>
    </row>
    <row r="2087" spans="1:31" x14ac:dyDescent="0.2">
      <c r="A2087" s="66"/>
      <c r="B2087" s="66"/>
      <c r="C2087" s="66"/>
      <c r="D2087" s="144"/>
      <c r="E2087" s="67"/>
      <c r="F2087" s="67"/>
      <c r="G2087" s="67"/>
      <c r="H2087" s="67">
        <f>ROUND(+E2087+G2087,4)</f>
        <v>0</v>
      </c>
      <c r="I2087" s="67"/>
      <c r="J2087" s="67">
        <f>ROUND(+I2087-H2087,4)</f>
        <v>0</v>
      </c>
      <c r="K2087" s="67">
        <f>ROUND(IF(F2087="alluminio",0,I2087*1.5%),4)</f>
        <v>0</v>
      </c>
      <c r="L2087" s="67">
        <f>ROUND(IF(K2087&lt;J2087,K2087,0),4)</f>
        <v>0</v>
      </c>
      <c r="M2087" s="67">
        <f>ROUND(IF(J2087&gt;K2087,0,J2087),4)</f>
        <v>0</v>
      </c>
      <c r="N2087" s="67">
        <f>ROUND(+L2087*D2087,4)</f>
        <v>0</v>
      </c>
      <c r="O2087" s="67">
        <f>ROUND(IF(F2087="rame",0,+I2087*3%),4)</f>
        <v>0</v>
      </c>
      <c r="P2087" s="67">
        <f>ROUND(IF(O2087&lt;J2087,O2087,0),4)</f>
        <v>0</v>
      </c>
      <c r="Q2087" s="67">
        <f>ROUND(IF(J2087&gt;O2087,0,J2087),4)</f>
        <v>0</v>
      </c>
      <c r="R2087" s="67">
        <f>ROUND(+P2087*D2087,4)</f>
        <v>0</v>
      </c>
      <c r="S2087" s="67">
        <f>ROUND(IF(K2087=0,0,M2087*D2087),4)</f>
        <v>0</v>
      </c>
      <c r="T2087" s="67">
        <f>ROUND(+IF(K2087=0,Q2087*D2087,0),4)</f>
        <v>0</v>
      </c>
      <c r="U2087" s="67">
        <f>ROUND(+N2087+R2087+S2087+T2087,4)</f>
        <v>0</v>
      </c>
      <c r="V2087" s="67">
        <f>ROUND(IF(P2087=0,0,I2087-H2087-O2087)+IF(L2087=0,0,I2087-H2087-K2087),4)</f>
        <v>0</v>
      </c>
      <c r="W2087" s="67">
        <f>ROUND(+(V2087*60%)*D2087,4)</f>
        <v>0</v>
      </c>
      <c r="X2087" s="148">
        <f>ROUND(+U2087+W2087,4)</f>
        <v>0</v>
      </c>
      <c r="Y2087" s="68"/>
      <c r="Z2087" s="148">
        <f>ROUND(IF(X2087&gt;I2087,X2087,I2087),4)</f>
        <v>0</v>
      </c>
      <c r="AD2087" s="78">
        <f t="shared" si="42"/>
        <v>0</v>
      </c>
      <c r="AE2087" s="78">
        <f t="shared" si="43"/>
        <v>0</v>
      </c>
    </row>
    <row r="2088" spans="1:31" x14ac:dyDescent="0.2">
      <c r="A2088" s="66"/>
      <c r="B2088" s="66"/>
      <c r="C2088" s="66"/>
      <c r="D2088" s="144"/>
      <c r="E2088" s="67"/>
      <c r="F2088" s="67"/>
      <c r="G2088" s="67"/>
      <c r="H2088" s="67">
        <f>ROUND(+E2088+G2088,4)</f>
        <v>0</v>
      </c>
      <c r="I2088" s="67"/>
      <c r="J2088" s="67">
        <f>ROUND(+I2088-H2088,4)</f>
        <v>0</v>
      </c>
      <c r="K2088" s="67">
        <f>ROUND(IF(F2088="alluminio",0,I2088*1.5%),4)</f>
        <v>0</v>
      </c>
      <c r="L2088" s="67">
        <f>ROUND(IF(K2088&lt;J2088,K2088,0),4)</f>
        <v>0</v>
      </c>
      <c r="M2088" s="67">
        <f>ROUND(IF(J2088&gt;K2088,0,J2088),4)</f>
        <v>0</v>
      </c>
      <c r="N2088" s="67">
        <f>ROUND(+L2088*D2088,4)</f>
        <v>0</v>
      </c>
      <c r="O2088" s="67">
        <f>ROUND(IF(F2088="rame",0,+I2088*3%),4)</f>
        <v>0</v>
      </c>
      <c r="P2088" s="67">
        <f>ROUND(IF(O2088&lt;J2088,O2088,0),4)</f>
        <v>0</v>
      </c>
      <c r="Q2088" s="67">
        <f>ROUND(IF(J2088&gt;O2088,0,J2088),4)</f>
        <v>0</v>
      </c>
      <c r="R2088" s="67">
        <f>ROUND(+P2088*D2088,4)</f>
        <v>0</v>
      </c>
      <c r="S2088" s="67">
        <f>ROUND(IF(K2088=0,0,M2088*D2088),4)</f>
        <v>0</v>
      </c>
      <c r="T2088" s="67">
        <f>ROUND(+IF(K2088=0,Q2088*D2088,0),4)</f>
        <v>0</v>
      </c>
      <c r="U2088" s="67">
        <f>ROUND(+N2088+R2088+S2088+T2088,4)</f>
        <v>0</v>
      </c>
      <c r="V2088" s="67">
        <f>ROUND(IF(P2088=0,0,I2088-H2088-O2088)+IF(L2088=0,0,I2088-H2088-K2088),4)</f>
        <v>0</v>
      </c>
      <c r="W2088" s="67">
        <f>ROUND(+(V2088*60%)*D2088,4)</f>
        <v>0</v>
      </c>
      <c r="X2088" s="148">
        <f>ROUND(+U2088+W2088,4)</f>
        <v>0</v>
      </c>
      <c r="Y2088" s="68"/>
      <c r="Z2088" s="148">
        <f>ROUND(IF(X2088&gt;I2088,X2088,I2088),4)</f>
        <v>0</v>
      </c>
      <c r="AD2088" s="78">
        <f t="shared" si="42"/>
        <v>0</v>
      </c>
      <c r="AE2088" s="78">
        <f t="shared" si="43"/>
        <v>0</v>
      </c>
    </row>
    <row r="2089" spans="1:31" x14ac:dyDescent="0.2">
      <c r="A2089" s="66"/>
      <c r="B2089" s="66"/>
      <c r="C2089" s="66"/>
      <c r="D2089" s="144"/>
      <c r="E2089" s="67"/>
      <c r="F2089" s="67"/>
      <c r="G2089" s="67"/>
      <c r="H2089" s="67">
        <f>ROUND(+E2089+G2089,4)</f>
        <v>0</v>
      </c>
      <c r="I2089" s="67"/>
      <c r="J2089" s="67">
        <f>ROUND(+I2089-H2089,4)</f>
        <v>0</v>
      </c>
      <c r="K2089" s="67">
        <f>ROUND(IF(F2089="alluminio",0,I2089*1.5%),4)</f>
        <v>0</v>
      </c>
      <c r="L2089" s="67">
        <f>ROUND(IF(K2089&lt;J2089,K2089,0),4)</f>
        <v>0</v>
      </c>
      <c r="M2089" s="67">
        <f>ROUND(IF(J2089&gt;K2089,0,J2089),4)</f>
        <v>0</v>
      </c>
      <c r="N2089" s="67">
        <f>ROUND(+L2089*D2089,4)</f>
        <v>0</v>
      </c>
      <c r="O2089" s="67">
        <f>ROUND(IF(F2089="rame",0,+I2089*3%),4)</f>
        <v>0</v>
      </c>
      <c r="P2089" s="67">
        <f>ROUND(IF(O2089&lt;J2089,O2089,0),4)</f>
        <v>0</v>
      </c>
      <c r="Q2089" s="67">
        <f>ROUND(IF(J2089&gt;O2089,0,J2089),4)</f>
        <v>0</v>
      </c>
      <c r="R2089" s="67">
        <f>ROUND(+P2089*D2089,4)</f>
        <v>0</v>
      </c>
      <c r="S2089" s="67">
        <f>ROUND(IF(K2089=0,0,M2089*D2089),4)</f>
        <v>0</v>
      </c>
      <c r="T2089" s="67">
        <f>ROUND(+IF(K2089=0,Q2089*D2089,0),4)</f>
        <v>0</v>
      </c>
      <c r="U2089" s="67">
        <f>ROUND(+N2089+R2089+S2089+T2089,4)</f>
        <v>0</v>
      </c>
      <c r="V2089" s="67">
        <f>ROUND(IF(P2089=0,0,I2089-H2089-O2089)+IF(L2089=0,0,I2089-H2089-K2089),4)</f>
        <v>0</v>
      </c>
      <c r="W2089" s="67">
        <f>ROUND(+(V2089*60%)*D2089,4)</f>
        <v>0</v>
      </c>
      <c r="X2089" s="148">
        <f>ROUND(+U2089+W2089,4)</f>
        <v>0</v>
      </c>
      <c r="Y2089" s="68"/>
      <c r="Z2089" s="148">
        <f>ROUND(IF(X2089&gt;I2089,X2089,I2089),4)</f>
        <v>0</v>
      </c>
      <c r="AD2089" s="78">
        <f t="shared" si="42"/>
        <v>0</v>
      </c>
      <c r="AE2089" s="78">
        <f t="shared" si="43"/>
        <v>0</v>
      </c>
    </row>
    <row r="2090" spans="1:31" x14ac:dyDescent="0.2">
      <c r="A2090" s="66"/>
      <c r="B2090" s="66"/>
      <c r="C2090" s="66"/>
      <c r="D2090" s="144"/>
      <c r="E2090" s="67"/>
      <c r="F2090" s="67"/>
      <c r="G2090" s="67"/>
      <c r="H2090" s="67">
        <f>ROUND(+E2090+G2090,4)</f>
        <v>0</v>
      </c>
      <c r="I2090" s="67"/>
      <c r="J2090" s="67">
        <f>ROUND(+I2090-H2090,4)</f>
        <v>0</v>
      </c>
      <c r="K2090" s="67">
        <f>ROUND(IF(F2090="alluminio",0,I2090*1.5%),4)</f>
        <v>0</v>
      </c>
      <c r="L2090" s="67">
        <f>ROUND(IF(K2090&lt;J2090,K2090,0),4)</f>
        <v>0</v>
      </c>
      <c r="M2090" s="67">
        <f>ROUND(IF(J2090&gt;K2090,0,J2090),4)</f>
        <v>0</v>
      </c>
      <c r="N2090" s="67">
        <f>ROUND(+L2090*D2090,4)</f>
        <v>0</v>
      </c>
      <c r="O2090" s="67">
        <f>ROUND(IF(F2090="rame",0,+I2090*3%),4)</f>
        <v>0</v>
      </c>
      <c r="P2090" s="67">
        <f>ROUND(IF(O2090&lt;J2090,O2090,0),4)</f>
        <v>0</v>
      </c>
      <c r="Q2090" s="67">
        <f>ROUND(IF(J2090&gt;O2090,0,J2090),4)</f>
        <v>0</v>
      </c>
      <c r="R2090" s="67">
        <f>ROUND(+P2090*D2090,4)</f>
        <v>0</v>
      </c>
      <c r="S2090" s="67">
        <f>ROUND(IF(K2090=0,0,M2090*D2090),4)</f>
        <v>0</v>
      </c>
      <c r="T2090" s="67">
        <f>ROUND(+IF(K2090=0,Q2090*D2090,0),4)</f>
        <v>0</v>
      </c>
      <c r="U2090" s="67">
        <f>ROUND(+N2090+R2090+S2090+T2090,4)</f>
        <v>0</v>
      </c>
      <c r="V2090" s="67">
        <f>ROUND(IF(P2090=0,0,I2090-H2090-O2090)+IF(L2090=0,0,I2090-H2090-K2090),4)</f>
        <v>0</v>
      </c>
      <c r="W2090" s="67">
        <f>ROUND(+(V2090*60%)*D2090,4)</f>
        <v>0</v>
      </c>
      <c r="X2090" s="148">
        <f>ROUND(+U2090+W2090,4)</f>
        <v>0</v>
      </c>
      <c r="Y2090" s="68"/>
      <c r="Z2090" s="148">
        <f>ROUND(IF(X2090&gt;I2090,X2090,I2090),4)</f>
        <v>0</v>
      </c>
      <c r="AD2090" s="78">
        <f t="shared" si="42"/>
        <v>0</v>
      </c>
      <c r="AE2090" s="78">
        <f t="shared" si="43"/>
        <v>0</v>
      </c>
    </row>
    <row r="2091" spans="1:31" x14ac:dyDescent="0.2">
      <c r="A2091" s="66"/>
      <c r="B2091" s="66"/>
      <c r="C2091" s="66"/>
      <c r="D2091" s="144"/>
      <c r="E2091" s="67"/>
      <c r="F2091" s="67"/>
      <c r="G2091" s="67"/>
      <c r="H2091" s="67">
        <f>ROUND(+E2091+G2091,4)</f>
        <v>0</v>
      </c>
      <c r="I2091" s="67"/>
      <c r="J2091" s="67">
        <f>ROUND(+I2091-H2091,4)</f>
        <v>0</v>
      </c>
      <c r="K2091" s="67">
        <f>ROUND(IF(F2091="alluminio",0,I2091*1.5%),4)</f>
        <v>0</v>
      </c>
      <c r="L2091" s="67">
        <f>ROUND(IF(K2091&lt;J2091,K2091,0),4)</f>
        <v>0</v>
      </c>
      <c r="M2091" s="67">
        <f>ROUND(IF(J2091&gt;K2091,0,J2091),4)</f>
        <v>0</v>
      </c>
      <c r="N2091" s="67">
        <f>ROUND(+L2091*D2091,4)</f>
        <v>0</v>
      </c>
      <c r="O2091" s="67">
        <f>ROUND(IF(F2091="rame",0,+I2091*3%),4)</f>
        <v>0</v>
      </c>
      <c r="P2091" s="67">
        <f>ROUND(IF(O2091&lt;J2091,O2091,0),4)</f>
        <v>0</v>
      </c>
      <c r="Q2091" s="67">
        <f>ROUND(IF(J2091&gt;O2091,0,J2091),4)</f>
        <v>0</v>
      </c>
      <c r="R2091" s="67">
        <f>ROUND(+P2091*D2091,4)</f>
        <v>0</v>
      </c>
      <c r="S2091" s="67">
        <f>ROUND(IF(K2091=0,0,M2091*D2091),4)</f>
        <v>0</v>
      </c>
      <c r="T2091" s="67">
        <f>ROUND(+IF(K2091=0,Q2091*D2091,0),4)</f>
        <v>0</v>
      </c>
      <c r="U2091" s="67">
        <f>ROUND(+N2091+R2091+S2091+T2091,4)</f>
        <v>0</v>
      </c>
      <c r="V2091" s="67">
        <f>ROUND(IF(P2091=0,0,I2091-H2091-O2091)+IF(L2091=0,0,I2091-H2091-K2091),4)</f>
        <v>0</v>
      </c>
      <c r="W2091" s="67">
        <f>ROUND(+(V2091*60%)*D2091,4)</f>
        <v>0</v>
      </c>
      <c r="X2091" s="148">
        <f>ROUND(+U2091+W2091,4)</f>
        <v>0</v>
      </c>
      <c r="Y2091" s="68"/>
      <c r="Z2091" s="148">
        <f>ROUND(IF(X2091&gt;I2091,X2091,I2091),4)</f>
        <v>0</v>
      </c>
      <c r="AD2091" s="78">
        <f t="shared" si="42"/>
        <v>0</v>
      </c>
      <c r="AE2091" s="78">
        <f t="shared" si="43"/>
        <v>0</v>
      </c>
    </row>
    <row r="2092" spans="1:31" x14ac:dyDescent="0.2">
      <c r="A2092" s="66"/>
      <c r="B2092" s="66"/>
      <c r="C2092" s="66"/>
      <c r="D2092" s="144"/>
      <c r="E2092" s="67"/>
      <c r="F2092" s="67"/>
      <c r="G2092" s="67"/>
      <c r="H2092" s="67">
        <f>ROUND(+E2092+G2092,4)</f>
        <v>0</v>
      </c>
      <c r="I2092" s="67"/>
      <c r="J2092" s="67">
        <f>ROUND(+I2092-H2092,4)</f>
        <v>0</v>
      </c>
      <c r="K2092" s="67">
        <f>ROUND(IF(F2092="alluminio",0,I2092*1.5%),4)</f>
        <v>0</v>
      </c>
      <c r="L2092" s="67">
        <f>ROUND(IF(K2092&lt;J2092,K2092,0),4)</f>
        <v>0</v>
      </c>
      <c r="M2092" s="67">
        <f>ROUND(IF(J2092&gt;K2092,0,J2092),4)</f>
        <v>0</v>
      </c>
      <c r="N2092" s="67">
        <f>ROUND(+L2092*D2092,4)</f>
        <v>0</v>
      </c>
      <c r="O2092" s="67">
        <f>ROUND(IF(F2092="rame",0,+I2092*3%),4)</f>
        <v>0</v>
      </c>
      <c r="P2092" s="67">
        <f>ROUND(IF(O2092&lt;J2092,O2092,0),4)</f>
        <v>0</v>
      </c>
      <c r="Q2092" s="67">
        <f>ROUND(IF(J2092&gt;O2092,0,J2092),4)</f>
        <v>0</v>
      </c>
      <c r="R2092" s="67">
        <f>ROUND(+P2092*D2092,4)</f>
        <v>0</v>
      </c>
      <c r="S2092" s="67">
        <f>ROUND(IF(K2092=0,0,M2092*D2092),4)</f>
        <v>0</v>
      </c>
      <c r="T2092" s="67">
        <f>ROUND(+IF(K2092=0,Q2092*D2092,0),4)</f>
        <v>0</v>
      </c>
      <c r="U2092" s="67">
        <f>ROUND(+N2092+R2092+S2092+T2092,4)</f>
        <v>0</v>
      </c>
      <c r="V2092" s="67">
        <f>ROUND(IF(P2092=0,0,I2092-H2092-O2092)+IF(L2092=0,0,I2092-H2092-K2092),4)</f>
        <v>0</v>
      </c>
      <c r="W2092" s="67">
        <f>ROUND(+(V2092*60%)*D2092,4)</f>
        <v>0</v>
      </c>
      <c r="X2092" s="148">
        <f>ROUND(+U2092+W2092,4)</f>
        <v>0</v>
      </c>
      <c r="Y2092" s="68"/>
      <c r="Z2092" s="148">
        <f>ROUND(IF(X2092&gt;I2092,X2092,I2092),4)</f>
        <v>0</v>
      </c>
      <c r="AD2092" s="78">
        <f t="shared" si="42"/>
        <v>0</v>
      </c>
      <c r="AE2092" s="78">
        <f t="shared" si="43"/>
        <v>0</v>
      </c>
    </row>
    <row r="2093" spans="1:31" x14ac:dyDescent="0.2">
      <c r="A2093" s="66"/>
      <c r="B2093" s="66"/>
      <c r="C2093" s="66"/>
      <c r="D2093" s="144"/>
      <c r="E2093" s="67"/>
      <c r="F2093" s="67"/>
      <c r="G2093" s="67"/>
      <c r="H2093" s="67">
        <f>ROUND(+E2093+G2093,4)</f>
        <v>0</v>
      </c>
      <c r="I2093" s="67"/>
      <c r="J2093" s="67">
        <f>ROUND(+I2093-H2093,4)</f>
        <v>0</v>
      </c>
      <c r="K2093" s="67">
        <f>ROUND(IF(F2093="alluminio",0,I2093*1.5%),4)</f>
        <v>0</v>
      </c>
      <c r="L2093" s="67">
        <f>ROUND(IF(K2093&lt;J2093,K2093,0),4)</f>
        <v>0</v>
      </c>
      <c r="M2093" s="67">
        <f>ROUND(IF(J2093&gt;K2093,0,J2093),4)</f>
        <v>0</v>
      </c>
      <c r="N2093" s="67">
        <f>ROUND(+L2093*D2093,4)</f>
        <v>0</v>
      </c>
      <c r="O2093" s="67">
        <f>ROUND(IF(F2093="rame",0,+I2093*3%),4)</f>
        <v>0</v>
      </c>
      <c r="P2093" s="67">
        <f>ROUND(IF(O2093&lt;J2093,O2093,0),4)</f>
        <v>0</v>
      </c>
      <c r="Q2093" s="67">
        <f>ROUND(IF(J2093&gt;O2093,0,J2093),4)</f>
        <v>0</v>
      </c>
      <c r="R2093" s="67">
        <f>ROUND(+P2093*D2093,4)</f>
        <v>0</v>
      </c>
      <c r="S2093" s="67">
        <f>ROUND(IF(K2093=0,0,M2093*D2093),4)</f>
        <v>0</v>
      </c>
      <c r="T2093" s="67">
        <f>ROUND(+IF(K2093=0,Q2093*D2093,0),4)</f>
        <v>0</v>
      </c>
      <c r="U2093" s="67">
        <f>ROUND(+N2093+R2093+S2093+T2093,4)</f>
        <v>0</v>
      </c>
      <c r="V2093" s="67">
        <f>ROUND(IF(P2093=0,0,I2093-H2093-O2093)+IF(L2093=0,0,I2093-H2093-K2093),4)</f>
        <v>0</v>
      </c>
      <c r="W2093" s="67">
        <f>ROUND(+(V2093*60%)*D2093,4)</f>
        <v>0</v>
      </c>
      <c r="X2093" s="148">
        <f>ROUND(+U2093+W2093,4)</f>
        <v>0</v>
      </c>
      <c r="Y2093" s="68"/>
      <c r="Z2093" s="148">
        <f>ROUND(IF(X2093&gt;I2093,X2093,I2093),4)</f>
        <v>0</v>
      </c>
      <c r="AD2093" s="78">
        <f t="shared" si="42"/>
        <v>0</v>
      </c>
      <c r="AE2093" s="78">
        <f t="shared" si="43"/>
        <v>0</v>
      </c>
    </row>
    <row r="2094" spans="1:31" x14ac:dyDescent="0.2">
      <c r="A2094" s="66"/>
      <c r="B2094" s="66"/>
      <c r="C2094" s="66"/>
      <c r="D2094" s="144"/>
      <c r="E2094" s="67"/>
      <c r="F2094" s="67"/>
      <c r="G2094" s="67"/>
      <c r="H2094" s="67">
        <f>ROUND(+E2094+G2094,4)</f>
        <v>0</v>
      </c>
      <c r="I2094" s="67"/>
      <c r="J2094" s="67">
        <f>ROUND(+I2094-H2094,4)</f>
        <v>0</v>
      </c>
      <c r="K2094" s="67">
        <f>ROUND(IF(F2094="alluminio",0,I2094*1.5%),4)</f>
        <v>0</v>
      </c>
      <c r="L2094" s="67">
        <f>ROUND(IF(K2094&lt;J2094,K2094,0),4)</f>
        <v>0</v>
      </c>
      <c r="M2094" s="67">
        <f>ROUND(IF(J2094&gt;K2094,0,J2094),4)</f>
        <v>0</v>
      </c>
      <c r="N2094" s="67">
        <f>ROUND(+L2094*D2094,4)</f>
        <v>0</v>
      </c>
      <c r="O2094" s="67">
        <f>ROUND(IF(F2094="rame",0,+I2094*3%),4)</f>
        <v>0</v>
      </c>
      <c r="P2094" s="67">
        <f>ROUND(IF(O2094&lt;J2094,O2094,0),4)</f>
        <v>0</v>
      </c>
      <c r="Q2094" s="67">
        <f>ROUND(IF(J2094&gt;O2094,0,J2094),4)</f>
        <v>0</v>
      </c>
      <c r="R2094" s="67">
        <f>ROUND(+P2094*D2094,4)</f>
        <v>0</v>
      </c>
      <c r="S2094" s="67">
        <f>ROUND(IF(K2094=0,0,M2094*D2094),4)</f>
        <v>0</v>
      </c>
      <c r="T2094" s="67">
        <f>ROUND(+IF(K2094=0,Q2094*D2094,0),4)</f>
        <v>0</v>
      </c>
      <c r="U2094" s="67">
        <f>ROUND(+N2094+R2094+S2094+T2094,4)</f>
        <v>0</v>
      </c>
      <c r="V2094" s="67">
        <f>ROUND(IF(P2094=0,0,I2094-H2094-O2094)+IF(L2094=0,0,I2094-H2094-K2094),4)</f>
        <v>0</v>
      </c>
      <c r="W2094" s="67">
        <f>ROUND(+(V2094*60%)*D2094,4)</f>
        <v>0</v>
      </c>
      <c r="X2094" s="148">
        <f>ROUND(+U2094+W2094,4)</f>
        <v>0</v>
      </c>
      <c r="Y2094" s="68"/>
      <c r="Z2094" s="148">
        <f>ROUND(IF(X2094&gt;I2094,X2094,I2094),4)</f>
        <v>0</v>
      </c>
      <c r="AD2094" s="78">
        <f t="shared" si="42"/>
        <v>0</v>
      </c>
      <c r="AE2094" s="78">
        <f t="shared" si="43"/>
        <v>0</v>
      </c>
    </row>
    <row r="2095" spans="1:31" x14ac:dyDescent="0.2">
      <c r="A2095" s="66"/>
      <c r="B2095" s="66"/>
      <c r="C2095" s="66"/>
      <c r="D2095" s="144"/>
      <c r="E2095" s="67"/>
      <c r="F2095" s="67"/>
      <c r="G2095" s="67"/>
      <c r="H2095" s="67">
        <f>ROUND(+E2095+G2095,4)</f>
        <v>0</v>
      </c>
      <c r="I2095" s="67"/>
      <c r="J2095" s="67">
        <f>ROUND(+I2095-H2095,4)</f>
        <v>0</v>
      </c>
      <c r="K2095" s="67">
        <f>ROUND(IF(F2095="alluminio",0,I2095*1.5%),4)</f>
        <v>0</v>
      </c>
      <c r="L2095" s="67">
        <f>ROUND(IF(K2095&lt;J2095,K2095,0),4)</f>
        <v>0</v>
      </c>
      <c r="M2095" s="67">
        <f>ROUND(IF(J2095&gt;K2095,0,J2095),4)</f>
        <v>0</v>
      </c>
      <c r="N2095" s="67">
        <f>ROUND(+L2095*D2095,4)</f>
        <v>0</v>
      </c>
      <c r="O2095" s="67">
        <f>ROUND(IF(F2095="rame",0,+I2095*3%),4)</f>
        <v>0</v>
      </c>
      <c r="P2095" s="67">
        <f>ROUND(IF(O2095&lt;J2095,O2095,0),4)</f>
        <v>0</v>
      </c>
      <c r="Q2095" s="67">
        <f>ROUND(IF(J2095&gt;O2095,0,J2095),4)</f>
        <v>0</v>
      </c>
      <c r="R2095" s="67">
        <f>ROUND(+P2095*D2095,4)</f>
        <v>0</v>
      </c>
      <c r="S2095" s="67">
        <f>ROUND(IF(K2095=0,0,M2095*D2095),4)</f>
        <v>0</v>
      </c>
      <c r="T2095" s="67">
        <f>ROUND(+IF(K2095=0,Q2095*D2095,0),4)</f>
        <v>0</v>
      </c>
      <c r="U2095" s="67">
        <f>ROUND(+N2095+R2095+S2095+T2095,4)</f>
        <v>0</v>
      </c>
      <c r="V2095" s="67">
        <f>ROUND(IF(P2095=0,0,I2095-H2095-O2095)+IF(L2095=0,0,I2095-H2095-K2095),4)</f>
        <v>0</v>
      </c>
      <c r="W2095" s="67">
        <f>ROUND(+(V2095*60%)*D2095,4)</f>
        <v>0</v>
      </c>
      <c r="X2095" s="148">
        <f>ROUND(+U2095+W2095,4)</f>
        <v>0</v>
      </c>
      <c r="Y2095" s="68"/>
      <c r="Z2095" s="148">
        <f>ROUND(IF(X2095&gt;I2095,X2095,I2095),4)</f>
        <v>0</v>
      </c>
      <c r="AD2095" s="78">
        <f t="shared" si="42"/>
        <v>0</v>
      </c>
      <c r="AE2095" s="78">
        <f t="shared" si="43"/>
        <v>0</v>
      </c>
    </row>
    <row r="2096" spans="1:31" x14ac:dyDescent="0.2">
      <c r="A2096" s="66"/>
      <c r="B2096" s="66"/>
      <c r="C2096" s="66"/>
      <c r="D2096" s="144"/>
      <c r="E2096" s="67"/>
      <c r="F2096" s="67"/>
      <c r="G2096" s="67"/>
      <c r="H2096" s="67">
        <f>ROUND(+E2096+G2096,4)</f>
        <v>0</v>
      </c>
      <c r="I2096" s="67"/>
      <c r="J2096" s="67">
        <f>ROUND(+I2096-H2096,4)</f>
        <v>0</v>
      </c>
      <c r="K2096" s="67">
        <f>ROUND(IF(F2096="alluminio",0,I2096*1.5%),4)</f>
        <v>0</v>
      </c>
      <c r="L2096" s="67">
        <f>ROUND(IF(K2096&lt;J2096,K2096,0),4)</f>
        <v>0</v>
      </c>
      <c r="M2096" s="67">
        <f>ROUND(IF(J2096&gt;K2096,0,J2096),4)</f>
        <v>0</v>
      </c>
      <c r="N2096" s="67">
        <f>ROUND(+L2096*D2096,4)</f>
        <v>0</v>
      </c>
      <c r="O2096" s="67">
        <f>ROUND(IF(F2096="rame",0,+I2096*3%),4)</f>
        <v>0</v>
      </c>
      <c r="P2096" s="67">
        <f>ROUND(IF(O2096&lt;J2096,O2096,0),4)</f>
        <v>0</v>
      </c>
      <c r="Q2096" s="67">
        <f>ROUND(IF(J2096&gt;O2096,0,J2096),4)</f>
        <v>0</v>
      </c>
      <c r="R2096" s="67">
        <f>ROUND(+P2096*D2096,4)</f>
        <v>0</v>
      </c>
      <c r="S2096" s="67">
        <f>ROUND(IF(K2096=0,0,M2096*D2096),4)</f>
        <v>0</v>
      </c>
      <c r="T2096" s="67">
        <f>ROUND(+IF(K2096=0,Q2096*D2096,0),4)</f>
        <v>0</v>
      </c>
      <c r="U2096" s="67">
        <f>ROUND(+N2096+R2096+S2096+T2096,4)</f>
        <v>0</v>
      </c>
      <c r="V2096" s="67">
        <f>ROUND(IF(P2096=0,0,I2096-H2096-O2096)+IF(L2096=0,0,I2096-H2096-K2096),4)</f>
        <v>0</v>
      </c>
      <c r="W2096" s="67">
        <f>ROUND(+(V2096*60%)*D2096,4)</f>
        <v>0</v>
      </c>
      <c r="X2096" s="148">
        <f>ROUND(+U2096+W2096,4)</f>
        <v>0</v>
      </c>
      <c r="Y2096" s="68"/>
      <c r="Z2096" s="148">
        <f>ROUND(IF(X2096&gt;I2096,X2096,I2096),4)</f>
        <v>0</v>
      </c>
      <c r="AD2096" s="78">
        <f t="shared" si="42"/>
        <v>0</v>
      </c>
      <c r="AE2096" s="78">
        <f t="shared" si="43"/>
        <v>0</v>
      </c>
    </row>
    <row r="2097" spans="1:31" x14ac:dyDescent="0.2">
      <c r="A2097" s="66"/>
      <c r="B2097" s="66"/>
      <c r="C2097" s="66"/>
      <c r="D2097" s="144"/>
      <c r="E2097" s="67"/>
      <c r="F2097" s="67"/>
      <c r="G2097" s="67"/>
      <c r="H2097" s="67">
        <f>ROUND(+E2097+G2097,4)</f>
        <v>0</v>
      </c>
      <c r="I2097" s="67"/>
      <c r="J2097" s="67">
        <f>ROUND(+I2097-H2097,4)</f>
        <v>0</v>
      </c>
      <c r="K2097" s="67">
        <f>ROUND(IF(F2097="alluminio",0,I2097*1.5%),4)</f>
        <v>0</v>
      </c>
      <c r="L2097" s="67">
        <f>ROUND(IF(K2097&lt;J2097,K2097,0),4)</f>
        <v>0</v>
      </c>
      <c r="M2097" s="67">
        <f>ROUND(IF(J2097&gt;K2097,0,J2097),4)</f>
        <v>0</v>
      </c>
      <c r="N2097" s="67">
        <f>ROUND(+L2097*D2097,4)</f>
        <v>0</v>
      </c>
      <c r="O2097" s="67">
        <f>ROUND(IF(F2097="rame",0,+I2097*3%),4)</f>
        <v>0</v>
      </c>
      <c r="P2097" s="67">
        <f>ROUND(IF(O2097&lt;J2097,O2097,0),4)</f>
        <v>0</v>
      </c>
      <c r="Q2097" s="67">
        <f>ROUND(IF(J2097&gt;O2097,0,J2097),4)</f>
        <v>0</v>
      </c>
      <c r="R2097" s="67">
        <f>ROUND(+P2097*D2097,4)</f>
        <v>0</v>
      </c>
      <c r="S2097" s="67">
        <f>ROUND(IF(K2097=0,0,M2097*D2097),4)</f>
        <v>0</v>
      </c>
      <c r="T2097" s="67">
        <f>ROUND(+IF(K2097=0,Q2097*D2097,0),4)</f>
        <v>0</v>
      </c>
      <c r="U2097" s="67">
        <f>ROUND(+N2097+R2097+S2097+T2097,4)</f>
        <v>0</v>
      </c>
      <c r="V2097" s="67">
        <f>ROUND(IF(P2097=0,0,I2097-H2097-O2097)+IF(L2097=0,0,I2097-H2097-K2097),4)</f>
        <v>0</v>
      </c>
      <c r="W2097" s="67">
        <f>ROUND(+(V2097*60%)*D2097,4)</f>
        <v>0</v>
      </c>
      <c r="X2097" s="148">
        <f>ROUND(+U2097+W2097,4)</f>
        <v>0</v>
      </c>
      <c r="Y2097" s="68"/>
      <c r="Z2097" s="148">
        <f>ROUND(IF(X2097&gt;I2097,X2097,I2097),4)</f>
        <v>0</v>
      </c>
      <c r="AD2097" s="78">
        <f t="shared" si="42"/>
        <v>0</v>
      </c>
      <c r="AE2097" s="78">
        <f t="shared" si="43"/>
        <v>0</v>
      </c>
    </row>
    <row r="2098" spans="1:31" x14ac:dyDescent="0.2">
      <c r="A2098" s="66"/>
      <c r="B2098" s="66"/>
      <c r="C2098" s="66"/>
      <c r="D2098" s="144"/>
      <c r="E2098" s="67"/>
      <c r="F2098" s="67"/>
      <c r="G2098" s="67"/>
      <c r="H2098" s="67">
        <f>ROUND(+E2098+G2098,4)</f>
        <v>0</v>
      </c>
      <c r="I2098" s="67"/>
      <c r="J2098" s="67">
        <f>ROUND(+I2098-H2098,4)</f>
        <v>0</v>
      </c>
      <c r="K2098" s="67">
        <f>ROUND(IF(F2098="alluminio",0,I2098*1.5%),4)</f>
        <v>0</v>
      </c>
      <c r="L2098" s="67">
        <f>ROUND(IF(K2098&lt;J2098,K2098,0),4)</f>
        <v>0</v>
      </c>
      <c r="M2098" s="67">
        <f>ROUND(IF(J2098&gt;K2098,0,J2098),4)</f>
        <v>0</v>
      </c>
      <c r="N2098" s="67">
        <f>ROUND(+L2098*D2098,4)</f>
        <v>0</v>
      </c>
      <c r="O2098" s="67">
        <f>ROUND(IF(F2098="rame",0,+I2098*3%),4)</f>
        <v>0</v>
      </c>
      <c r="P2098" s="67">
        <f>ROUND(IF(O2098&lt;J2098,O2098,0),4)</f>
        <v>0</v>
      </c>
      <c r="Q2098" s="67">
        <f>ROUND(IF(J2098&gt;O2098,0,J2098),4)</f>
        <v>0</v>
      </c>
      <c r="R2098" s="67">
        <f>ROUND(+P2098*D2098,4)</f>
        <v>0</v>
      </c>
      <c r="S2098" s="67">
        <f>ROUND(IF(K2098=0,0,M2098*D2098),4)</f>
        <v>0</v>
      </c>
      <c r="T2098" s="67">
        <f>ROUND(+IF(K2098=0,Q2098*D2098,0),4)</f>
        <v>0</v>
      </c>
      <c r="U2098" s="67">
        <f>ROUND(+N2098+R2098+S2098+T2098,4)</f>
        <v>0</v>
      </c>
      <c r="V2098" s="67">
        <f>ROUND(IF(P2098=0,0,I2098-H2098-O2098)+IF(L2098=0,0,I2098-H2098-K2098),4)</f>
        <v>0</v>
      </c>
      <c r="W2098" s="67">
        <f>ROUND(+(V2098*60%)*D2098,4)</f>
        <v>0</v>
      </c>
      <c r="X2098" s="148">
        <f>ROUND(+U2098+W2098,4)</f>
        <v>0</v>
      </c>
      <c r="Y2098" s="68"/>
      <c r="Z2098" s="148">
        <f>ROUND(IF(X2098&gt;I2098,X2098,I2098),4)</f>
        <v>0</v>
      </c>
      <c r="AD2098" s="78">
        <f t="shared" si="42"/>
        <v>0</v>
      </c>
      <c r="AE2098" s="78">
        <f t="shared" si="43"/>
        <v>0</v>
      </c>
    </row>
    <row r="2099" spans="1:31" x14ac:dyDescent="0.2">
      <c r="A2099" s="66"/>
      <c r="B2099" s="66"/>
      <c r="C2099" s="66"/>
      <c r="D2099" s="144"/>
      <c r="E2099" s="67"/>
      <c r="F2099" s="67"/>
      <c r="G2099" s="67"/>
      <c r="H2099" s="67">
        <f>ROUND(+E2099+G2099,4)</f>
        <v>0</v>
      </c>
      <c r="I2099" s="67"/>
      <c r="J2099" s="67">
        <f>ROUND(+I2099-H2099,4)</f>
        <v>0</v>
      </c>
      <c r="K2099" s="67">
        <f>ROUND(IF(F2099="alluminio",0,I2099*1.5%),4)</f>
        <v>0</v>
      </c>
      <c r="L2099" s="67">
        <f>ROUND(IF(K2099&lt;J2099,K2099,0),4)</f>
        <v>0</v>
      </c>
      <c r="M2099" s="67">
        <f>ROUND(IF(J2099&gt;K2099,0,J2099),4)</f>
        <v>0</v>
      </c>
      <c r="N2099" s="67">
        <f>ROUND(+L2099*D2099,4)</f>
        <v>0</v>
      </c>
      <c r="O2099" s="67">
        <f>ROUND(IF(F2099="rame",0,+I2099*3%),4)</f>
        <v>0</v>
      </c>
      <c r="P2099" s="67">
        <f>ROUND(IF(O2099&lt;J2099,O2099,0),4)</f>
        <v>0</v>
      </c>
      <c r="Q2099" s="67">
        <f>ROUND(IF(J2099&gt;O2099,0,J2099),4)</f>
        <v>0</v>
      </c>
      <c r="R2099" s="67">
        <f>ROUND(+P2099*D2099,4)</f>
        <v>0</v>
      </c>
      <c r="S2099" s="67">
        <f>ROUND(IF(K2099=0,0,M2099*D2099),4)</f>
        <v>0</v>
      </c>
      <c r="T2099" s="67">
        <f>ROUND(+IF(K2099=0,Q2099*D2099,0),4)</f>
        <v>0</v>
      </c>
      <c r="U2099" s="67">
        <f>ROUND(+N2099+R2099+S2099+T2099,4)</f>
        <v>0</v>
      </c>
      <c r="V2099" s="67">
        <f>ROUND(IF(P2099=0,0,I2099-H2099-O2099)+IF(L2099=0,0,I2099-H2099-K2099),4)</f>
        <v>0</v>
      </c>
      <c r="W2099" s="67">
        <f>ROUND(+(V2099*60%)*D2099,4)</f>
        <v>0</v>
      </c>
      <c r="X2099" s="148">
        <f>ROUND(+U2099+W2099,4)</f>
        <v>0</v>
      </c>
      <c r="Y2099" s="68"/>
      <c r="Z2099" s="148">
        <f>ROUND(IF(X2099&gt;I2099,X2099,I2099),4)</f>
        <v>0</v>
      </c>
      <c r="AD2099" s="78">
        <f t="shared" si="42"/>
        <v>0</v>
      </c>
      <c r="AE2099" s="78">
        <f t="shared" si="43"/>
        <v>0</v>
      </c>
    </row>
    <row r="2100" spans="1:31" x14ac:dyDescent="0.2">
      <c r="A2100" s="66"/>
      <c r="B2100" s="66"/>
      <c r="C2100" s="66"/>
      <c r="D2100" s="144"/>
      <c r="E2100" s="67"/>
      <c r="F2100" s="67"/>
      <c r="G2100" s="67"/>
      <c r="H2100" s="67">
        <f>ROUND(+E2100+G2100,4)</f>
        <v>0</v>
      </c>
      <c r="I2100" s="67"/>
      <c r="J2100" s="67">
        <f>ROUND(+I2100-H2100,4)</f>
        <v>0</v>
      </c>
      <c r="K2100" s="67">
        <f>ROUND(IF(F2100="alluminio",0,I2100*1.5%),4)</f>
        <v>0</v>
      </c>
      <c r="L2100" s="67">
        <f>ROUND(IF(K2100&lt;J2100,K2100,0),4)</f>
        <v>0</v>
      </c>
      <c r="M2100" s="67">
        <f>ROUND(IF(J2100&gt;K2100,0,J2100),4)</f>
        <v>0</v>
      </c>
      <c r="N2100" s="67">
        <f>ROUND(+L2100*D2100,4)</f>
        <v>0</v>
      </c>
      <c r="O2100" s="67">
        <f>ROUND(IF(F2100="rame",0,+I2100*3%),4)</f>
        <v>0</v>
      </c>
      <c r="P2100" s="67">
        <f>ROUND(IF(O2100&lt;J2100,O2100,0),4)</f>
        <v>0</v>
      </c>
      <c r="Q2100" s="67">
        <f>ROUND(IF(J2100&gt;O2100,0,J2100),4)</f>
        <v>0</v>
      </c>
      <c r="R2100" s="67">
        <f>ROUND(+P2100*D2100,4)</f>
        <v>0</v>
      </c>
      <c r="S2100" s="67">
        <f>ROUND(IF(K2100=0,0,M2100*D2100),4)</f>
        <v>0</v>
      </c>
      <c r="T2100" s="67">
        <f>ROUND(+IF(K2100=0,Q2100*D2100,0),4)</f>
        <v>0</v>
      </c>
      <c r="U2100" s="67">
        <f>ROUND(+N2100+R2100+S2100+T2100,4)</f>
        <v>0</v>
      </c>
      <c r="V2100" s="67">
        <f>ROUND(IF(P2100=0,0,I2100-H2100-O2100)+IF(L2100=0,0,I2100-H2100-K2100),4)</f>
        <v>0</v>
      </c>
      <c r="W2100" s="67">
        <f>ROUND(+(V2100*60%)*D2100,4)</f>
        <v>0</v>
      </c>
      <c r="X2100" s="148">
        <f>ROUND(+U2100+W2100,4)</f>
        <v>0</v>
      </c>
      <c r="Y2100" s="68"/>
      <c r="Z2100" s="148">
        <f>ROUND(IF(X2100&gt;I2100,X2100,I2100),4)</f>
        <v>0</v>
      </c>
      <c r="AD2100" s="78">
        <f t="shared" si="42"/>
        <v>0</v>
      </c>
      <c r="AE2100" s="78">
        <f t="shared" si="43"/>
        <v>0</v>
      </c>
    </row>
    <row r="2101" spans="1:31" x14ac:dyDescent="0.2">
      <c r="A2101" s="66"/>
      <c r="B2101" s="66"/>
      <c r="C2101" s="66"/>
      <c r="D2101" s="144"/>
      <c r="E2101" s="67"/>
      <c r="F2101" s="67"/>
      <c r="G2101" s="67"/>
      <c r="H2101" s="67">
        <f>ROUND(+E2101+G2101,4)</f>
        <v>0</v>
      </c>
      <c r="I2101" s="67"/>
      <c r="J2101" s="67">
        <f>ROUND(+I2101-H2101,4)</f>
        <v>0</v>
      </c>
      <c r="K2101" s="67">
        <f>ROUND(IF(F2101="alluminio",0,I2101*1.5%),4)</f>
        <v>0</v>
      </c>
      <c r="L2101" s="67">
        <f>ROUND(IF(K2101&lt;J2101,K2101,0),4)</f>
        <v>0</v>
      </c>
      <c r="M2101" s="67">
        <f>ROUND(IF(J2101&gt;K2101,0,J2101),4)</f>
        <v>0</v>
      </c>
      <c r="N2101" s="67">
        <f>ROUND(+L2101*D2101,4)</f>
        <v>0</v>
      </c>
      <c r="O2101" s="67">
        <f>ROUND(IF(F2101="rame",0,+I2101*3%),4)</f>
        <v>0</v>
      </c>
      <c r="P2101" s="67">
        <f>ROUND(IF(O2101&lt;J2101,O2101,0),4)</f>
        <v>0</v>
      </c>
      <c r="Q2101" s="67">
        <f>ROUND(IF(J2101&gt;O2101,0,J2101),4)</f>
        <v>0</v>
      </c>
      <c r="R2101" s="67">
        <f>ROUND(+P2101*D2101,4)</f>
        <v>0</v>
      </c>
      <c r="S2101" s="67">
        <f>ROUND(IF(K2101=0,0,M2101*D2101),4)</f>
        <v>0</v>
      </c>
      <c r="T2101" s="67">
        <f>ROUND(+IF(K2101=0,Q2101*D2101,0),4)</f>
        <v>0</v>
      </c>
      <c r="U2101" s="67">
        <f>ROUND(+N2101+R2101+S2101+T2101,4)</f>
        <v>0</v>
      </c>
      <c r="V2101" s="67">
        <f>ROUND(IF(P2101=0,0,I2101-H2101-O2101)+IF(L2101=0,0,I2101-H2101-K2101),4)</f>
        <v>0</v>
      </c>
      <c r="W2101" s="67">
        <f>ROUND(+(V2101*60%)*D2101,4)</f>
        <v>0</v>
      </c>
      <c r="X2101" s="148">
        <f>ROUND(+U2101+W2101,4)</f>
        <v>0</v>
      </c>
      <c r="Y2101" s="68"/>
      <c r="Z2101" s="148">
        <f>ROUND(IF(X2101&gt;I2101,X2101,I2101),4)</f>
        <v>0</v>
      </c>
      <c r="AD2101" s="78">
        <f t="shared" si="42"/>
        <v>0</v>
      </c>
      <c r="AE2101" s="78">
        <f t="shared" si="43"/>
        <v>0</v>
      </c>
    </row>
    <row r="2102" spans="1:31" x14ac:dyDescent="0.2">
      <c r="A2102" s="66"/>
      <c r="B2102" s="66"/>
      <c r="C2102" s="66"/>
      <c r="D2102" s="144"/>
      <c r="E2102" s="67"/>
      <c r="F2102" s="67"/>
      <c r="G2102" s="67"/>
      <c r="H2102" s="67">
        <f>ROUND(+E2102+G2102,4)</f>
        <v>0</v>
      </c>
      <c r="I2102" s="67"/>
      <c r="J2102" s="67">
        <f>ROUND(+I2102-H2102,4)</f>
        <v>0</v>
      </c>
      <c r="K2102" s="67">
        <f>ROUND(IF(F2102="alluminio",0,I2102*1.5%),4)</f>
        <v>0</v>
      </c>
      <c r="L2102" s="67">
        <f>ROUND(IF(K2102&lt;J2102,K2102,0),4)</f>
        <v>0</v>
      </c>
      <c r="M2102" s="67">
        <f>ROUND(IF(J2102&gt;K2102,0,J2102),4)</f>
        <v>0</v>
      </c>
      <c r="N2102" s="67">
        <f>ROUND(+L2102*D2102,4)</f>
        <v>0</v>
      </c>
      <c r="O2102" s="67">
        <f>ROUND(IF(F2102="rame",0,+I2102*3%),4)</f>
        <v>0</v>
      </c>
      <c r="P2102" s="67">
        <f>ROUND(IF(O2102&lt;J2102,O2102,0),4)</f>
        <v>0</v>
      </c>
      <c r="Q2102" s="67">
        <f>ROUND(IF(J2102&gt;O2102,0,J2102),4)</f>
        <v>0</v>
      </c>
      <c r="R2102" s="67">
        <f>ROUND(+P2102*D2102,4)</f>
        <v>0</v>
      </c>
      <c r="S2102" s="67">
        <f>ROUND(IF(K2102=0,0,M2102*D2102),4)</f>
        <v>0</v>
      </c>
      <c r="T2102" s="67">
        <f>ROUND(+IF(K2102=0,Q2102*D2102,0),4)</f>
        <v>0</v>
      </c>
      <c r="U2102" s="67">
        <f>ROUND(+N2102+R2102+S2102+T2102,4)</f>
        <v>0</v>
      </c>
      <c r="V2102" s="67">
        <f>ROUND(IF(P2102=0,0,I2102-H2102-O2102)+IF(L2102=0,0,I2102-H2102-K2102),4)</f>
        <v>0</v>
      </c>
      <c r="W2102" s="67">
        <f>ROUND(+(V2102*60%)*D2102,4)</f>
        <v>0</v>
      </c>
      <c r="X2102" s="148">
        <f>ROUND(+U2102+W2102,4)</f>
        <v>0</v>
      </c>
      <c r="Y2102" s="68"/>
      <c r="Z2102" s="148">
        <f>ROUND(IF(X2102&gt;I2102,X2102,I2102),4)</f>
        <v>0</v>
      </c>
      <c r="AD2102" s="78">
        <f t="shared" si="42"/>
        <v>0</v>
      </c>
      <c r="AE2102" s="78">
        <f t="shared" si="43"/>
        <v>0</v>
      </c>
    </row>
    <row r="2103" spans="1:31" x14ac:dyDescent="0.2">
      <c r="A2103" s="66"/>
      <c r="B2103" s="66"/>
      <c r="C2103" s="66"/>
      <c r="D2103" s="144"/>
      <c r="E2103" s="67"/>
      <c r="F2103" s="67"/>
      <c r="G2103" s="67"/>
      <c r="H2103" s="67">
        <f>ROUND(+E2103+G2103,4)</f>
        <v>0</v>
      </c>
      <c r="I2103" s="67"/>
      <c r="J2103" s="67">
        <f>ROUND(+I2103-H2103,4)</f>
        <v>0</v>
      </c>
      <c r="K2103" s="67">
        <f>ROUND(IF(F2103="alluminio",0,I2103*1.5%),4)</f>
        <v>0</v>
      </c>
      <c r="L2103" s="67">
        <f>ROUND(IF(K2103&lt;J2103,K2103,0),4)</f>
        <v>0</v>
      </c>
      <c r="M2103" s="67">
        <f>ROUND(IF(J2103&gt;K2103,0,J2103),4)</f>
        <v>0</v>
      </c>
      <c r="N2103" s="67">
        <f>ROUND(+L2103*D2103,4)</f>
        <v>0</v>
      </c>
      <c r="O2103" s="67">
        <f>ROUND(IF(F2103="rame",0,+I2103*3%),4)</f>
        <v>0</v>
      </c>
      <c r="P2103" s="67">
        <f>ROUND(IF(O2103&lt;J2103,O2103,0),4)</f>
        <v>0</v>
      </c>
      <c r="Q2103" s="67">
        <f>ROUND(IF(J2103&gt;O2103,0,J2103),4)</f>
        <v>0</v>
      </c>
      <c r="R2103" s="67">
        <f>ROUND(+P2103*D2103,4)</f>
        <v>0</v>
      </c>
      <c r="S2103" s="67">
        <f>ROUND(IF(K2103=0,0,M2103*D2103),4)</f>
        <v>0</v>
      </c>
      <c r="T2103" s="67">
        <f>ROUND(+IF(K2103=0,Q2103*D2103,0),4)</f>
        <v>0</v>
      </c>
      <c r="U2103" s="67">
        <f>ROUND(+N2103+R2103+S2103+T2103,4)</f>
        <v>0</v>
      </c>
      <c r="V2103" s="67">
        <f>ROUND(IF(P2103=0,0,I2103-H2103-O2103)+IF(L2103=0,0,I2103-H2103-K2103),4)</f>
        <v>0</v>
      </c>
      <c r="W2103" s="67">
        <f>ROUND(+(V2103*60%)*D2103,4)</f>
        <v>0</v>
      </c>
      <c r="X2103" s="148">
        <f>ROUND(+U2103+W2103,4)</f>
        <v>0</v>
      </c>
      <c r="Y2103" s="68"/>
      <c r="Z2103" s="148">
        <f>ROUND(IF(X2103&gt;I2103,X2103,I2103),4)</f>
        <v>0</v>
      </c>
      <c r="AD2103" s="78">
        <f t="shared" si="42"/>
        <v>0</v>
      </c>
      <c r="AE2103" s="78">
        <f t="shared" si="43"/>
        <v>0</v>
      </c>
    </row>
    <row r="2104" spans="1:31" x14ac:dyDescent="0.2">
      <c r="A2104" s="66"/>
      <c r="B2104" s="66"/>
      <c r="C2104" s="66"/>
      <c r="D2104" s="144"/>
      <c r="E2104" s="67"/>
      <c r="F2104" s="67"/>
      <c r="G2104" s="67"/>
      <c r="H2104" s="67">
        <f>ROUND(+E2104+G2104,4)</f>
        <v>0</v>
      </c>
      <c r="I2104" s="67"/>
      <c r="J2104" s="67">
        <f>ROUND(+I2104-H2104,4)</f>
        <v>0</v>
      </c>
      <c r="K2104" s="67">
        <f>ROUND(IF(F2104="alluminio",0,I2104*1.5%),4)</f>
        <v>0</v>
      </c>
      <c r="L2104" s="67">
        <f>ROUND(IF(K2104&lt;J2104,K2104,0),4)</f>
        <v>0</v>
      </c>
      <c r="M2104" s="67">
        <f>ROUND(IF(J2104&gt;K2104,0,J2104),4)</f>
        <v>0</v>
      </c>
      <c r="N2104" s="67">
        <f>ROUND(+L2104*D2104,4)</f>
        <v>0</v>
      </c>
      <c r="O2104" s="67">
        <f>ROUND(IF(F2104="rame",0,+I2104*3%),4)</f>
        <v>0</v>
      </c>
      <c r="P2104" s="67">
        <f>ROUND(IF(O2104&lt;J2104,O2104,0),4)</f>
        <v>0</v>
      </c>
      <c r="Q2104" s="67">
        <f>ROUND(IF(J2104&gt;O2104,0,J2104),4)</f>
        <v>0</v>
      </c>
      <c r="R2104" s="67">
        <f>ROUND(+P2104*D2104,4)</f>
        <v>0</v>
      </c>
      <c r="S2104" s="67">
        <f>ROUND(IF(K2104=0,0,M2104*D2104),4)</f>
        <v>0</v>
      </c>
      <c r="T2104" s="67">
        <f>ROUND(+IF(K2104=0,Q2104*D2104,0),4)</f>
        <v>0</v>
      </c>
      <c r="U2104" s="67">
        <f>ROUND(+N2104+R2104+S2104+T2104,4)</f>
        <v>0</v>
      </c>
      <c r="V2104" s="67">
        <f>ROUND(IF(P2104=0,0,I2104-H2104-O2104)+IF(L2104=0,0,I2104-H2104-K2104),4)</f>
        <v>0</v>
      </c>
      <c r="W2104" s="67">
        <f>ROUND(+(V2104*60%)*D2104,4)</f>
        <v>0</v>
      </c>
      <c r="X2104" s="148">
        <f>ROUND(+U2104+W2104,4)</f>
        <v>0</v>
      </c>
      <c r="Y2104" s="68"/>
      <c r="Z2104" s="148">
        <f>ROUND(IF(X2104&gt;I2104,X2104,I2104),4)</f>
        <v>0</v>
      </c>
      <c r="AD2104" s="78">
        <f t="shared" si="42"/>
        <v>0</v>
      </c>
      <c r="AE2104" s="78">
        <f t="shared" si="43"/>
        <v>0</v>
      </c>
    </row>
    <row r="2105" spans="1:31" x14ac:dyDescent="0.2">
      <c r="A2105" s="66"/>
      <c r="B2105" s="66"/>
      <c r="C2105" s="66"/>
      <c r="D2105" s="144"/>
      <c r="E2105" s="67"/>
      <c r="F2105" s="67"/>
      <c r="G2105" s="67"/>
      <c r="H2105" s="67">
        <f>ROUND(+E2105+G2105,4)</f>
        <v>0</v>
      </c>
      <c r="I2105" s="67"/>
      <c r="J2105" s="67">
        <f>ROUND(+I2105-H2105,4)</f>
        <v>0</v>
      </c>
      <c r="K2105" s="67">
        <f>ROUND(IF(F2105="alluminio",0,I2105*1.5%),4)</f>
        <v>0</v>
      </c>
      <c r="L2105" s="67">
        <f>ROUND(IF(K2105&lt;J2105,K2105,0),4)</f>
        <v>0</v>
      </c>
      <c r="M2105" s="67">
        <f>ROUND(IF(J2105&gt;K2105,0,J2105),4)</f>
        <v>0</v>
      </c>
      <c r="N2105" s="67">
        <f>ROUND(+L2105*D2105,4)</f>
        <v>0</v>
      </c>
      <c r="O2105" s="67">
        <f>ROUND(IF(F2105="rame",0,+I2105*3%),4)</f>
        <v>0</v>
      </c>
      <c r="P2105" s="67">
        <f>ROUND(IF(O2105&lt;J2105,O2105,0),4)</f>
        <v>0</v>
      </c>
      <c r="Q2105" s="67">
        <f>ROUND(IF(J2105&gt;O2105,0,J2105),4)</f>
        <v>0</v>
      </c>
      <c r="R2105" s="67">
        <f>ROUND(+P2105*D2105,4)</f>
        <v>0</v>
      </c>
      <c r="S2105" s="67">
        <f>ROUND(IF(K2105=0,0,M2105*D2105),4)</f>
        <v>0</v>
      </c>
      <c r="T2105" s="67">
        <f>ROUND(+IF(K2105=0,Q2105*D2105,0),4)</f>
        <v>0</v>
      </c>
      <c r="U2105" s="67">
        <f>ROUND(+N2105+R2105+S2105+T2105,4)</f>
        <v>0</v>
      </c>
      <c r="V2105" s="67">
        <f>ROUND(IF(P2105=0,0,I2105-H2105-O2105)+IF(L2105=0,0,I2105-H2105-K2105),4)</f>
        <v>0</v>
      </c>
      <c r="W2105" s="67">
        <f>ROUND(+(V2105*60%)*D2105,4)</f>
        <v>0</v>
      </c>
      <c r="X2105" s="148">
        <f>ROUND(+U2105+W2105,4)</f>
        <v>0</v>
      </c>
      <c r="Y2105" s="68"/>
      <c r="Z2105" s="148">
        <f>ROUND(IF(X2105&gt;I2105,X2105,I2105),4)</f>
        <v>0</v>
      </c>
      <c r="AD2105" s="78">
        <f t="shared" si="42"/>
        <v>0</v>
      </c>
      <c r="AE2105" s="78">
        <f t="shared" si="43"/>
        <v>0</v>
      </c>
    </row>
    <row r="2106" spans="1:31" x14ac:dyDescent="0.2">
      <c r="A2106" s="66"/>
      <c r="B2106" s="66"/>
      <c r="C2106" s="66"/>
      <c r="D2106" s="144"/>
      <c r="E2106" s="67"/>
      <c r="F2106" s="67"/>
      <c r="G2106" s="67"/>
      <c r="H2106" s="67">
        <f>ROUND(+E2106+G2106,4)</f>
        <v>0</v>
      </c>
      <c r="I2106" s="67"/>
      <c r="J2106" s="67">
        <f>ROUND(+I2106-H2106,4)</f>
        <v>0</v>
      </c>
      <c r="K2106" s="67">
        <f>ROUND(IF(F2106="alluminio",0,I2106*1.5%),4)</f>
        <v>0</v>
      </c>
      <c r="L2106" s="67">
        <f>ROUND(IF(K2106&lt;J2106,K2106,0),4)</f>
        <v>0</v>
      </c>
      <c r="M2106" s="67">
        <f>ROUND(IF(J2106&gt;K2106,0,J2106),4)</f>
        <v>0</v>
      </c>
      <c r="N2106" s="67">
        <f>ROUND(+L2106*D2106,4)</f>
        <v>0</v>
      </c>
      <c r="O2106" s="67">
        <f>ROUND(IF(F2106="rame",0,+I2106*3%),4)</f>
        <v>0</v>
      </c>
      <c r="P2106" s="67">
        <f>ROUND(IF(O2106&lt;J2106,O2106,0),4)</f>
        <v>0</v>
      </c>
      <c r="Q2106" s="67">
        <f>ROUND(IF(J2106&gt;O2106,0,J2106),4)</f>
        <v>0</v>
      </c>
      <c r="R2106" s="67">
        <f>ROUND(+P2106*D2106,4)</f>
        <v>0</v>
      </c>
      <c r="S2106" s="67">
        <f>ROUND(IF(K2106=0,0,M2106*D2106),4)</f>
        <v>0</v>
      </c>
      <c r="T2106" s="67">
        <f>ROUND(+IF(K2106=0,Q2106*D2106,0),4)</f>
        <v>0</v>
      </c>
      <c r="U2106" s="67">
        <f>ROUND(+N2106+R2106+S2106+T2106,4)</f>
        <v>0</v>
      </c>
      <c r="V2106" s="67">
        <f>ROUND(IF(P2106=0,0,I2106-H2106-O2106)+IF(L2106=0,0,I2106-H2106-K2106),4)</f>
        <v>0</v>
      </c>
      <c r="W2106" s="67">
        <f>ROUND(+(V2106*60%)*D2106,4)</f>
        <v>0</v>
      </c>
      <c r="X2106" s="148">
        <f>ROUND(+U2106+W2106,4)</f>
        <v>0</v>
      </c>
      <c r="Y2106" s="68"/>
      <c r="Z2106" s="148">
        <f>ROUND(IF(X2106&gt;I2106,X2106,I2106),4)</f>
        <v>0</v>
      </c>
      <c r="AD2106" s="78">
        <f t="shared" si="42"/>
        <v>0</v>
      </c>
      <c r="AE2106" s="78">
        <f t="shared" si="43"/>
        <v>0</v>
      </c>
    </row>
    <row r="2107" spans="1:31" x14ac:dyDescent="0.2">
      <c r="A2107" s="66"/>
      <c r="B2107" s="66"/>
      <c r="C2107" s="66"/>
      <c r="D2107" s="144"/>
      <c r="E2107" s="67"/>
      <c r="F2107" s="67"/>
      <c r="G2107" s="67"/>
      <c r="H2107" s="67">
        <f>ROUND(+E2107+G2107,4)</f>
        <v>0</v>
      </c>
      <c r="I2107" s="67"/>
      <c r="J2107" s="67">
        <f>ROUND(+I2107-H2107,4)</f>
        <v>0</v>
      </c>
      <c r="K2107" s="67">
        <f>ROUND(IF(F2107="alluminio",0,I2107*1.5%),4)</f>
        <v>0</v>
      </c>
      <c r="L2107" s="67">
        <f>ROUND(IF(K2107&lt;J2107,K2107,0),4)</f>
        <v>0</v>
      </c>
      <c r="M2107" s="67">
        <f>ROUND(IF(J2107&gt;K2107,0,J2107),4)</f>
        <v>0</v>
      </c>
      <c r="N2107" s="67">
        <f>ROUND(+L2107*D2107,4)</f>
        <v>0</v>
      </c>
      <c r="O2107" s="67">
        <f>ROUND(IF(F2107="rame",0,+I2107*3%),4)</f>
        <v>0</v>
      </c>
      <c r="P2107" s="67">
        <f>ROUND(IF(O2107&lt;J2107,O2107,0),4)</f>
        <v>0</v>
      </c>
      <c r="Q2107" s="67">
        <f>ROUND(IF(J2107&gt;O2107,0,J2107),4)</f>
        <v>0</v>
      </c>
      <c r="R2107" s="67">
        <f>ROUND(+P2107*D2107,4)</f>
        <v>0</v>
      </c>
      <c r="S2107" s="67">
        <f>ROUND(IF(K2107=0,0,M2107*D2107),4)</f>
        <v>0</v>
      </c>
      <c r="T2107" s="67">
        <f>ROUND(+IF(K2107=0,Q2107*D2107,0),4)</f>
        <v>0</v>
      </c>
      <c r="U2107" s="67">
        <f>ROUND(+N2107+R2107+S2107+T2107,4)</f>
        <v>0</v>
      </c>
      <c r="V2107" s="67">
        <f>ROUND(IF(P2107=0,0,I2107-H2107-O2107)+IF(L2107=0,0,I2107-H2107-K2107),4)</f>
        <v>0</v>
      </c>
      <c r="W2107" s="67">
        <f>ROUND(+(V2107*60%)*D2107,4)</f>
        <v>0</v>
      </c>
      <c r="X2107" s="148">
        <f>ROUND(+U2107+W2107,4)</f>
        <v>0</v>
      </c>
      <c r="Y2107" s="68"/>
      <c r="Z2107" s="148">
        <f>ROUND(IF(X2107&gt;I2107,X2107,I2107),4)</f>
        <v>0</v>
      </c>
      <c r="AD2107" s="78">
        <f t="shared" si="42"/>
        <v>0</v>
      </c>
      <c r="AE2107" s="78">
        <f t="shared" si="43"/>
        <v>0</v>
      </c>
    </row>
    <row r="2108" spans="1:31" x14ac:dyDescent="0.2">
      <c r="A2108" s="66"/>
      <c r="B2108" s="66"/>
      <c r="C2108" s="66"/>
      <c r="D2108" s="144"/>
      <c r="E2108" s="67"/>
      <c r="F2108" s="67"/>
      <c r="G2108" s="67"/>
      <c r="H2108" s="67">
        <f>ROUND(+E2108+G2108,4)</f>
        <v>0</v>
      </c>
      <c r="I2108" s="67"/>
      <c r="J2108" s="67">
        <f>ROUND(+I2108-H2108,4)</f>
        <v>0</v>
      </c>
      <c r="K2108" s="67">
        <f>ROUND(IF(F2108="alluminio",0,I2108*1.5%),4)</f>
        <v>0</v>
      </c>
      <c r="L2108" s="67">
        <f>ROUND(IF(K2108&lt;J2108,K2108,0),4)</f>
        <v>0</v>
      </c>
      <c r="M2108" s="67">
        <f>ROUND(IF(J2108&gt;K2108,0,J2108),4)</f>
        <v>0</v>
      </c>
      <c r="N2108" s="67">
        <f>ROUND(+L2108*D2108,4)</f>
        <v>0</v>
      </c>
      <c r="O2108" s="67">
        <f>ROUND(IF(F2108="rame",0,+I2108*3%),4)</f>
        <v>0</v>
      </c>
      <c r="P2108" s="67">
        <f>ROUND(IF(O2108&lt;J2108,O2108,0),4)</f>
        <v>0</v>
      </c>
      <c r="Q2108" s="67">
        <f>ROUND(IF(J2108&gt;O2108,0,J2108),4)</f>
        <v>0</v>
      </c>
      <c r="R2108" s="67">
        <f>ROUND(+P2108*D2108,4)</f>
        <v>0</v>
      </c>
      <c r="S2108" s="67">
        <f>ROUND(IF(K2108=0,0,M2108*D2108),4)</f>
        <v>0</v>
      </c>
      <c r="T2108" s="67">
        <f>ROUND(+IF(K2108=0,Q2108*D2108,0),4)</f>
        <v>0</v>
      </c>
      <c r="U2108" s="67">
        <f>ROUND(+N2108+R2108+S2108+T2108,4)</f>
        <v>0</v>
      </c>
      <c r="V2108" s="67">
        <f>ROUND(IF(P2108=0,0,I2108-H2108-O2108)+IF(L2108=0,0,I2108-H2108-K2108),4)</f>
        <v>0</v>
      </c>
      <c r="W2108" s="67">
        <f>ROUND(+(V2108*60%)*D2108,4)</f>
        <v>0</v>
      </c>
      <c r="X2108" s="148">
        <f>ROUND(+U2108+W2108,4)</f>
        <v>0</v>
      </c>
      <c r="Y2108" s="68"/>
      <c r="Z2108" s="148">
        <f>ROUND(IF(X2108&gt;I2108,X2108,I2108),4)</f>
        <v>0</v>
      </c>
      <c r="AD2108" s="78">
        <f t="shared" si="42"/>
        <v>0</v>
      </c>
      <c r="AE2108" s="78">
        <f t="shared" si="43"/>
        <v>0</v>
      </c>
    </row>
    <row r="2109" spans="1:31" x14ac:dyDescent="0.2">
      <c r="A2109" s="66"/>
      <c r="B2109" s="66"/>
      <c r="C2109" s="66"/>
      <c r="D2109" s="144"/>
      <c r="E2109" s="67"/>
      <c r="F2109" s="67"/>
      <c r="G2109" s="67"/>
      <c r="H2109" s="67">
        <f>ROUND(+E2109+G2109,4)</f>
        <v>0</v>
      </c>
      <c r="I2109" s="67"/>
      <c r="J2109" s="67">
        <f>ROUND(+I2109-H2109,4)</f>
        <v>0</v>
      </c>
      <c r="K2109" s="67">
        <f>ROUND(IF(F2109="alluminio",0,I2109*1.5%),4)</f>
        <v>0</v>
      </c>
      <c r="L2109" s="67">
        <f>ROUND(IF(K2109&lt;J2109,K2109,0),4)</f>
        <v>0</v>
      </c>
      <c r="M2109" s="67">
        <f>ROUND(IF(J2109&gt;K2109,0,J2109),4)</f>
        <v>0</v>
      </c>
      <c r="N2109" s="67">
        <f>ROUND(+L2109*D2109,4)</f>
        <v>0</v>
      </c>
      <c r="O2109" s="67">
        <f>ROUND(IF(F2109="rame",0,+I2109*3%),4)</f>
        <v>0</v>
      </c>
      <c r="P2109" s="67">
        <f>ROUND(IF(O2109&lt;J2109,O2109,0),4)</f>
        <v>0</v>
      </c>
      <c r="Q2109" s="67">
        <f>ROUND(IF(J2109&gt;O2109,0,J2109),4)</f>
        <v>0</v>
      </c>
      <c r="R2109" s="67">
        <f>ROUND(+P2109*D2109,4)</f>
        <v>0</v>
      </c>
      <c r="S2109" s="67">
        <f>ROUND(IF(K2109=0,0,M2109*D2109),4)</f>
        <v>0</v>
      </c>
      <c r="T2109" s="67">
        <f>ROUND(+IF(K2109=0,Q2109*D2109,0),4)</f>
        <v>0</v>
      </c>
      <c r="U2109" s="67">
        <f>ROUND(+N2109+R2109+S2109+T2109,4)</f>
        <v>0</v>
      </c>
      <c r="V2109" s="67">
        <f>ROUND(IF(P2109=0,0,I2109-H2109-O2109)+IF(L2109=0,0,I2109-H2109-K2109),4)</f>
        <v>0</v>
      </c>
      <c r="W2109" s="67">
        <f>ROUND(+(V2109*60%)*D2109,4)</f>
        <v>0</v>
      </c>
      <c r="X2109" s="148">
        <f>ROUND(+U2109+W2109,4)</f>
        <v>0</v>
      </c>
      <c r="Y2109" s="68"/>
      <c r="Z2109" s="148">
        <f>ROUND(IF(X2109&gt;I2109,X2109,I2109),4)</f>
        <v>0</v>
      </c>
      <c r="AD2109" s="78">
        <f t="shared" si="42"/>
        <v>0</v>
      </c>
      <c r="AE2109" s="78">
        <f t="shared" si="43"/>
        <v>0</v>
      </c>
    </row>
    <row r="2110" spans="1:31" x14ac:dyDescent="0.2">
      <c r="A2110" s="66"/>
      <c r="B2110" s="66"/>
      <c r="C2110" s="66"/>
      <c r="D2110" s="144"/>
      <c r="E2110" s="67"/>
      <c r="F2110" s="67"/>
      <c r="G2110" s="67"/>
      <c r="H2110" s="67">
        <f>ROUND(+E2110+G2110,4)</f>
        <v>0</v>
      </c>
      <c r="I2110" s="67"/>
      <c r="J2110" s="67">
        <f>ROUND(+I2110-H2110,4)</f>
        <v>0</v>
      </c>
      <c r="K2110" s="67">
        <f>ROUND(IF(F2110="alluminio",0,I2110*1.5%),4)</f>
        <v>0</v>
      </c>
      <c r="L2110" s="67">
        <f>ROUND(IF(K2110&lt;J2110,K2110,0),4)</f>
        <v>0</v>
      </c>
      <c r="M2110" s="67">
        <f>ROUND(IF(J2110&gt;K2110,0,J2110),4)</f>
        <v>0</v>
      </c>
      <c r="N2110" s="67">
        <f>ROUND(+L2110*D2110,4)</f>
        <v>0</v>
      </c>
      <c r="O2110" s="67">
        <f>ROUND(IF(F2110="rame",0,+I2110*3%),4)</f>
        <v>0</v>
      </c>
      <c r="P2110" s="67">
        <f>ROUND(IF(O2110&lt;J2110,O2110,0),4)</f>
        <v>0</v>
      </c>
      <c r="Q2110" s="67">
        <f>ROUND(IF(J2110&gt;O2110,0,J2110),4)</f>
        <v>0</v>
      </c>
      <c r="R2110" s="67">
        <f>ROUND(+P2110*D2110,4)</f>
        <v>0</v>
      </c>
      <c r="S2110" s="67">
        <f>ROUND(IF(K2110=0,0,M2110*D2110),4)</f>
        <v>0</v>
      </c>
      <c r="T2110" s="67">
        <f>ROUND(+IF(K2110=0,Q2110*D2110,0),4)</f>
        <v>0</v>
      </c>
      <c r="U2110" s="67">
        <f>ROUND(+N2110+R2110+S2110+T2110,4)</f>
        <v>0</v>
      </c>
      <c r="V2110" s="67">
        <f>ROUND(IF(P2110=0,0,I2110-H2110-O2110)+IF(L2110=0,0,I2110-H2110-K2110),4)</f>
        <v>0</v>
      </c>
      <c r="W2110" s="67">
        <f>ROUND(+(V2110*60%)*D2110,4)</f>
        <v>0</v>
      </c>
      <c r="X2110" s="148">
        <f>ROUND(+U2110+W2110,4)</f>
        <v>0</v>
      </c>
      <c r="Y2110" s="68"/>
      <c r="Z2110" s="148">
        <f>ROUND(IF(X2110&gt;I2110,X2110,I2110),4)</f>
        <v>0</v>
      </c>
      <c r="AD2110" s="78">
        <f t="shared" ref="AD2110:AD2173" si="44">IF(Y2110="",0,MONTH(Y2110))</f>
        <v>0</v>
      </c>
      <c r="AE2110" s="78">
        <f t="shared" ref="AE2110:AE2173" si="45">IF(Y2110="",0,YEAR(Y2110))</f>
        <v>0</v>
      </c>
    </row>
    <row r="2111" spans="1:31" x14ac:dyDescent="0.2">
      <c r="A2111" s="66"/>
      <c r="B2111" s="66"/>
      <c r="C2111" s="66"/>
      <c r="D2111" s="144"/>
      <c r="E2111" s="67"/>
      <c r="F2111" s="67"/>
      <c r="G2111" s="67"/>
      <c r="H2111" s="67">
        <f>ROUND(+E2111+G2111,4)</f>
        <v>0</v>
      </c>
      <c r="I2111" s="67"/>
      <c r="J2111" s="67">
        <f>ROUND(+I2111-H2111,4)</f>
        <v>0</v>
      </c>
      <c r="K2111" s="67">
        <f>ROUND(IF(F2111="alluminio",0,I2111*1.5%),4)</f>
        <v>0</v>
      </c>
      <c r="L2111" s="67">
        <f>ROUND(IF(K2111&lt;J2111,K2111,0),4)</f>
        <v>0</v>
      </c>
      <c r="M2111" s="67">
        <f>ROUND(IF(J2111&gt;K2111,0,J2111),4)</f>
        <v>0</v>
      </c>
      <c r="N2111" s="67">
        <f>ROUND(+L2111*D2111,4)</f>
        <v>0</v>
      </c>
      <c r="O2111" s="67">
        <f>ROUND(IF(F2111="rame",0,+I2111*3%),4)</f>
        <v>0</v>
      </c>
      <c r="P2111" s="67">
        <f>ROUND(IF(O2111&lt;J2111,O2111,0),4)</f>
        <v>0</v>
      </c>
      <c r="Q2111" s="67">
        <f>ROUND(IF(J2111&gt;O2111,0,J2111),4)</f>
        <v>0</v>
      </c>
      <c r="R2111" s="67">
        <f>ROUND(+P2111*D2111,4)</f>
        <v>0</v>
      </c>
      <c r="S2111" s="67">
        <f>ROUND(IF(K2111=0,0,M2111*D2111),4)</f>
        <v>0</v>
      </c>
      <c r="T2111" s="67">
        <f>ROUND(+IF(K2111=0,Q2111*D2111,0),4)</f>
        <v>0</v>
      </c>
      <c r="U2111" s="67">
        <f>ROUND(+N2111+R2111+S2111+T2111,4)</f>
        <v>0</v>
      </c>
      <c r="V2111" s="67">
        <f>ROUND(IF(P2111=0,0,I2111-H2111-O2111)+IF(L2111=0,0,I2111-H2111-K2111),4)</f>
        <v>0</v>
      </c>
      <c r="W2111" s="67">
        <f>ROUND(+(V2111*60%)*D2111,4)</f>
        <v>0</v>
      </c>
      <c r="X2111" s="148">
        <f>ROUND(+U2111+W2111,4)</f>
        <v>0</v>
      </c>
      <c r="Y2111" s="68"/>
      <c r="Z2111" s="148">
        <f>ROUND(IF(X2111&gt;I2111,X2111,I2111),4)</f>
        <v>0</v>
      </c>
      <c r="AD2111" s="78">
        <f t="shared" si="44"/>
        <v>0</v>
      </c>
      <c r="AE2111" s="78">
        <f t="shared" si="45"/>
        <v>0</v>
      </c>
    </row>
    <row r="2112" spans="1:31" x14ac:dyDescent="0.2">
      <c r="A2112" s="66"/>
      <c r="B2112" s="66"/>
      <c r="C2112" s="66"/>
      <c r="D2112" s="144"/>
      <c r="E2112" s="67"/>
      <c r="F2112" s="67"/>
      <c r="G2112" s="67"/>
      <c r="H2112" s="67">
        <f>ROUND(+E2112+G2112,4)</f>
        <v>0</v>
      </c>
      <c r="I2112" s="67"/>
      <c r="J2112" s="67">
        <f>ROUND(+I2112-H2112,4)</f>
        <v>0</v>
      </c>
      <c r="K2112" s="67">
        <f>ROUND(IF(F2112="alluminio",0,I2112*1.5%),4)</f>
        <v>0</v>
      </c>
      <c r="L2112" s="67">
        <f>ROUND(IF(K2112&lt;J2112,K2112,0),4)</f>
        <v>0</v>
      </c>
      <c r="M2112" s="67">
        <f>ROUND(IF(J2112&gt;K2112,0,J2112),4)</f>
        <v>0</v>
      </c>
      <c r="N2112" s="67">
        <f>ROUND(+L2112*D2112,4)</f>
        <v>0</v>
      </c>
      <c r="O2112" s="67">
        <f>ROUND(IF(F2112="rame",0,+I2112*3%),4)</f>
        <v>0</v>
      </c>
      <c r="P2112" s="67">
        <f>ROUND(IF(O2112&lt;J2112,O2112,0),4)</f>
        <v>0</v>
      </c>
      <c r="Q2112" s="67">
        <f>ROUND(IF(J2112&gt;O2112,0,J2112),4)</f>
        <v>0</v>
      </c>
      <c r="R2112" s="67">
        <f>ROUND(+P2112*D2112,4)</f>
        <v>0</v>
      </c>
      <c r="S2112" s="67">
        <f>ROUND(IF(K2112=0,0,M2112*D2112),4)</f>
        <v>0</v>
      </c>
      <c r="T2112" s="67">
        <f>ROUND(+IF(K2112=0,Q2112*D2112,0),4)</f>
        <v>0</v>
      </c>
      <c r="U2112" s="67">
        <f>ROUND(+N2112+R2112+S2112+T2112,4)</f>
        <v>0</v>
      </c>
      <c r="V2112" s="67">
        <f>ROUND(IF(P2112=0,0,I2112-H2112-O2112)+IF(L2112=0,0,I2112-H2112-K2112),4)</f>
        <v>0</v>
      </c>
      <c r="W2112" s="67">
        <f>ROUND(+(V2112*60%)*D2112,4)</f>
        <v>0</v>
      </c>
      <c r="X2112" s="148">
        <f>ROUND(+U2112+W2112,4)</f>
        <v>0</v>
      </c>
      <c r="Y2112" s="68"/>
      <c r="Z2112" s="148">
        <f>ROUND(IF(X2112&gt;I2112,X2112,I2112),4)</f>
        <v>0</v>
      </c>
      <c r="AD2112" s="78">
        <f t="shared" si="44"/>
        <v>0</v>
      </c>
      <c r="AE2112" s="78">
        <f t="shared" si="45"/>
        <v>0</v>
      </c>
    </row>
    <row r="2113" spans="1:31" x14ac:dyDescent="0.2">
      <c r="A2113" s="66"/>
      <c r="B2113" s="66"/>
      <c r="C2113" s="66"/>
      <c r="D2113" s="144"/>
      <c r="E2113" s="67"/>
      <c r="F2113" s="67"/>
      <c r="G2113" s="67"/>
      <c r="H2113" s="67">
        <f>ROUND(+E2113+G2113,4)</f>
        <v>0</v>
      </c>
      <c r="I2113" s="67"/>
      <c r="J2113" s="67">
        <f>ROUND(+I2113-H2113,4)</f>
        <v>0</v>
      </c>
      <c r="K2113" s="67">
        <f>ROUND(IF(F2113="alluminio",0,I2113*1.5%),4)</f>
        <v>0</v>
      </c>
      <c r="L2113" s="67">
        <f>ROUND(IF(K2113&lt;J2113,K2113,0),4)</f>
        <v>0</v>
      </c>
      <c r="M2113" s="67">
        <f>ROUND(IF(J2113&gt;K2113,0,J2113),4)</f>
        <v>0</v>
      </c>
      <c r="N2113" s="67">
        <f>ROUND(+L2113*D2113,4)</f>
        <v>0</v>
      </c>
      <c r="O2113" s="67">
        <f>ROUND(IF(F2113="rame",0,+I2113*3%),4)</f>
        <v>0</v>
      </c>
      <c r="P2113" s="67">
        <f>ROUND(IF(O2113&lt;J2113,O2113,0),4)</f>
        <v>0</v>
      </c>
      <c r="Q2113" s="67">
        <f>ROUND(IF(J2113&gt;O2113,0,J2113),4)</f>
        <v>0</v>
      </c>
      <c r="R2113" s="67">
        <f>ROUND(+P2113*D2113,4)</f>
        <v>0</v>
      </c>
      <c r="S2113" s="67">
        <f>ROUND(IF(K2113=0,0,M2113*D2113),4)</f>
        <v>0</v>
      </c>
      <c r="T2113" s="67">
        <f>ROUND(+IF(K2113=0,Q2113*D2113,0),4)</f>
        <v>0</v>
      </c>
      <c r="U2113" s="67">
        <f>ROUND(+N2113+R2113+S2113+T2113,4)</f>
        <v>0</v>
      </c>
      <c r="V2113" s="67">
        <f>ROUND(IF(P2113=0,0,I2113-H2113-O2113)+IF(L2113=0,0,I2113-H2113-K2113),4)</f>
        <v>0</v>
      </c>
      <c r="W2113" s="67">
        <f>ROUND(+(V2113*60%)*D2113,4)</f>
        <v>0</v>
      </c>
      <c r="X2113" s="148">
        <f>ROUND(+U2113+W2113,4)</f>
        <v>0</v>
      </c>
      <c r="Y2113" s="68"/>
      <c r="Z2113" s="148">
        <f>ROUND(IF(X2113&gt;I2113,X2113,I2113),4)</f>
        <v>0</v>
      </c>
      <c r="AD2113" s="78">
        <f t="shared" si="44"/>
        <v>0</v>
      </c>
      <c r="AE2113" s="78">
        <f t="shared" si="45"/>
        <v>0</v>
      </c>
    </row>
    <row r="2114" spans="1:31" x14ac:dyDescent="0.2">
      <c r="A2114" s="66"/>
      <c r="B2114" s="66"/>
      <c r="C2114" s="66"/>
      <c r="D2114" s="144"/>
      <c r="E2114" s="67"/>
      <c r="F2114" s="67"/>
      <c r="G2114" s="67"/>
      <c r="H2114" s="67">
        <f>ROUND(+E2114+G2114,4)</f>
        <v>0</v>
      </c>
      <c r="I2114" s="67"/>
      <c r="J2114" s="67">
        <f>ROUND(+I2114-H2114,4)</f>
        <v>0</v>
      </c>
      <c r="K2114" s="67">
        <f>ROUND(IF(F2114="alluminio",0,I2114*1.5%),4)</f>
        <v>0</v>
      </c>
      <c r="L2114" s="67">
        <f>ROUND(IF(K2114&lt;J2114,K2114,0),4)</f>
        <v>0</v>
      </c>
      <c r="M2114" s="67">
        <f>ROUND(IF(J2114&gt;K2114,0,J2114),4)</f>
        <v>0</v>
      </c>
      <c r="N2114" s="67">
        <f>ROUND(+L2114*D2114,4)</f>
        <v>0</v>
      </c>
      <c r="O2114" s="67">
        <f>ROUND(IF(F2114="rame",0,+I2114*3%),4)</f>
        <v>0</v>
      </c>
      <c r="P2114" s="67">
        <f>ROUND(IF(O2114&lt;J2114,O2114,0),4)</f>
        <v>0</v>
      </c>
      <c r="Q2114" s="67">
        <f>ROUND(IF(J2114&gt;O2114,0,J2114),4)</f>
        <v>0</v>
      </c>
      <c r="R2114" s="67">
        <f>ROUND(+P2114*D2114,4)</f>
        <v>0</v>
      </c>
      <c r="S2114" s="67">
        <f>ROUND(IF(K2114=0,0,M2114*D2114),4)</f>
        <v>0</v>
      </c>
      <c r="T2114" s="67">
        <f>ROUND(+IF(K2114=0,Q2114*D2114,0),4)</f>
        <v>0</v>
      </c>
      <c r="U2114" s="67">
        <f>ROUND(+N2114+R2114+S2114+T2114,4)</f>
        <v>0</v>
      </c>
      <c r="V2114" s="67">
        <f>ROUND(IF(P2114=0,0,I2114-H2114-O2114)+IF(L2114=0,0,I2114-H2114-K2114),4)</f>
        <v>0</v>
      </c>
      <c r="W2114" s="67">
        <f>ROUND(+(V2114*60%)*D2114,4)</f>
        <v>0</v>
      </c>
      <c r="X2114" s="148">
        <f>ROUND(+U2114+W2114,4)</f>
        <v>0</v>
      </c>
      <c r="Y2114" s="68"/>
      <c r="Z2114" s="148">
        <f>ROUND(IF(X2114&gt;I2114,X2114,I2114),4)</f>
        <v>0</v>
      </c>
      <c r="AD2114" s="78">
        <f t="shared" si="44"/>
        <v>0</v>
      </c>
      <c r="AE2114" s="78">
        <f t="shared" si="45"/>
        <v>0</v>
      </c>
    </row>
    <row r="2115" spans="1:31" x14ac:dyDescent="0.2">
      <c r="A2115" s="66"/>
      <c r="B2115" s="66"/>
      <c r="C2115" s="66"/>
      <c r="D2115" s="144"/>
      <c r="E2115" s="67"/>
      <c r="F2115" s="67"/>
      <c r="G2115" s="67"/>
      <c r="H2115" s="67">
        <f>ROUND(+E2115+G2115,4)</f>
        <v>0</v>
      </c>
      <c r="I2115" s="67"/>
      <c r="J2115" s="67">
        <f>ROUND(+I2115-H2115,4)</f>
        <v>0</v>
      </c>
      <c r="K2115" s="67">
        <f>ROUND(IF(F2115="alluminio",0,I2115*1.5%),4)</f>
        <v>0</v>
      </c>
      <c r="L2115" s="67">
        <f>ROUND(IF(K2115&lt;J2115,K2115,0),4)</f>
        <v>0</v>
      </c>
      <c r="M2115" s="67">
        <f>ROUND(IF(J2115&gt;K2115,0,J2115),4)</f>
        <v>0</v>
      </c>
      <c r="N2115" s="67">
        <f>ROUND(+L2115*D2115,4)</f>
        <v>0</v>
      </c>
      <c r="O2115" s="67">
        <f>ROUND(IF(F2115="rame",0,+I2115*3%),4)</f>
        <v>0</v>
      </c>
      <c r="P2115" s="67">
        <f>ROUND(IF(O2115&lt;J2115,O2115,0),4)</f>
        <v>0</v>
      </c>
      <c r="Q2115" s="67">
        <f>ROUND(IF(J2115&gt;O2115,0,J2115),4)</f>
        <v>0</v>
      </c>
      <c r="R2115" s="67">
        <f>ROUND(+P2115*D2115,4)</f>
        <v>0</v>
      </c>
      <c r="S2115" s="67">
        <f>ROUND(IF(K2115=0,0,M2115*D2115),4)</f>
        <v>0</v>
      </c>
      <c r="T2115" s="67">
        <f>ROUND(+IF(K2115=0,Q2115*D2115,0),4)</f>
        <v>0</v>
      </c>
      <c r="U2115" s="67">
        <f>ROUND(+N2115+R2115+S2115+T2115,4)</f>
        <v>0</v>
      </c>
      <c r="V2115" s="67">
        <f>ROUND(IF(P2115=0,0,I2115-H2115-O2115)+IF(L2115=0,0,I2115-H2115-K2115),4)</f>
        <v>0</v>
      </c>
      <c r="W2115" s="67">
        <f>ROUND(+(V2115*60%)*D2115,4)</f>
        <v>0</v>
      </c>
      <c r="X2115" s="148">
        <f>ROUND(+U2115+W2115,4)</f>
        <v>0</v>
      </c>
      <c r="Y2115" s="68"/>
      <c r="Z2115" s="148">
        <f>ROUND(IF(X2115&gt;I2115,X2115,I2115),4)</f>
        <v>0</v>
      </c>
      <c r="AD2115" s="78">
        <f t="shared" si="44"/>
        <v>0</v>
      </c>
      <c r="AE2115" s="78">
        <f t="shared" si="45"/>
        <v>0</v>
      </c>
    </row>
    <row r="2116" spans="1:31" x14ac:dyDescent="0.2">
      <c r="A2116" s="66"/>
      <c r="B2116" s="66"/>
      <c r="C2116" s="66"/>
      <c r="D2116" s="144"/>
      <c r="E2116" s="67"/>
      <c r="F2116" s="67"/>
      <c r="G2116" s="67"/>
      <c r="H2116" s="67">
        <f>ROUND(+E2116+G2116,4)</f>
        <v>0</v>
      </c>
      <c r="I2116" s="67"/>
      <c r="J2116" s="67">
        <f>ROUND(+I2116-H2116,4)</f>
        <v>0</v>
      </c>
      <c r="K2116" s="67">
        <f>ROUND(IF(F2116="alluminio",0,I2116*1.5%),4)</f>
        <v>0</v>
      </c>
      <c r="L2116" s="67">
        <f>ROUND(IF(K2116&lt;J2116,K2116,0),4)</f>
        <v>0</v>
      </c>
      <c r="M2116" s="67">
        <f>ROUND(IF(J2116&gt;K2116,0,J2116),4)</f>
        <v>0</v>
      </c>
      <c r="N2116" s="67">
        <f>ROUND(+L2116*D2116,4)</f>
        <v>0</v>
      </c>
      <c r="O2116" s="67">
        <f>ROUND(IF(F2116="rame",0,+I2116*3%),4)</f>
        <v>0</v>
      </c>
      <c r="P2116" s="67">
        <f>ROUND(IF(O2116&lt;J2116,O2116,0),4)</f>
        <v>0</v>
      </c>
      <c r="Q2116" s="67">
        <f>ROUND(IF(J2116&gt;O2116,0,J2116),4)</f>
        <v>0</v>
      </c>
      <c r="R2116" s="67">
        <f>ROUND(+P2116*D2116,4)</f>
        <v>0</v>
      </c>
      <c r="S2116" s="67">
        <f>ROUND(IF(K2116=0,0,M2116*D2116),4)</f>
        <v>0</v>
      </c>
      <c r="T2116" s="67">
        <f>ROUND(+IF(K2116=0,Q2116*D2116,0),4)</f>
        <v>0</v>
      </c>
      <c r="U2116" s="67">
        <f>ROUND(+N2116+R2116+S2116+T2116,4)</f>
        <v>0</v>
      </c>
      <c r="V2116" s="67">
        <f>ROUND(IF(P2116=0,0,I2116-H2116-O2116)+IF(L2116=0,0,I2116-H2116-K2116),4)</f>
        <v>0</v>
      </c>
      <c r="W2116" s="67">
        <f>ROUND(+(V2116*60%)*D2116,4)</f>
        <v>0</v>
      </c>
      <c r="X2116" s="148">
        <f>ROUND(+U2116+W2116,4)</f>
        <v>0</v>
      </c>
      <c r="Y2116" s="68"/>
      <c r="Z2116" s="148">
        <f>ROUND(IF(X2116&gt;I2116,X2116,I2116),4)</f>
        <v>0</v>
      </c>
      <c r="AD2116" s="78">
        <f t="shared" si="44"/>
        <v>0</v>
      </c>
      <c r="AE2116" s="78">
        <f t="shared" si="45"/>
        <v>0</v>
      </c>
    </row>
    <row r="2117" spans="1:31" x14ac:dyDescent="0.2">
      <c r="A2117" s="66"/>
      <c r="B2117" s="66"/>
      <c r="C2117" s="66"/>
      <c r="D2117" s="144"/>
      <c r="E2117" s="67"/>
      <c r="F2117" s="67"/>
      <c r="G2117" s="67"/>
      <c r="H2117" s="67">
        <f>ROUND(+E2117+G2117,4)</f>
        <v>0</v>
      </c>
      <c r="I2117" s="67"/>
      <c r="J2117" s="67">
        <f>ROUND(+I2117-H2117,4)</f>
        <v>0</v>
      </c>
      <c r="K2117" s="67">
        <f>ROUND(IF(F2117="alluminio",0,I2117*1.5%),4)</f>
        <v>0</v>
      </c>
      <c r="L2117" s="67">
        <f>ROUND(IF(K2117&lt;J2117,K2117,0),4)</f>
        <v>0</v>
      </c>
      <c r="M2117" s="67">
        <f>ROUND(IF(J2117&gt;K2117,0,J2117),4)</f>
        <v>0</v>
      </c>
      <c r="N2117" s="67">
        <f>ROUND(+L2117*D2117,4)</f>
        <v>0</v>
      </c>
      <c r="O2117" s="67">
        <f>ROUND(IF(F2117="rame",0,+I2117*3%),4)</f>
        <v>0</v>
      </c>
      <c r="P2117" s="67">
        <f>ROUND(IF(O2117&lt;J2117,O2117,0),4)</f>
        <v>0</v>
      </c>
      <c r="Q2117" s="67">
        <f>ROUND(IF(J2117&gt;O2117,0,J2117),4)</f>
        <v>0</v>
      </c>
      <c r="R2117" s="67">
        <f>ROUND(+P2117*D2117,4)</f>
        <v>0</v>
      </c>
      <c r="S2117" s="67">
        <f>ROUND(IF(K2117=0,0,M2117*D2117),4)</f>
        <v>0</v>
      </c>
      <c r="T2117" s="67">
        <f>ROUND(+IF(K2117=0,Q2117*D2117,0),4)</f>
        <v>0</v>
      </c>
      <c r="U2117" s="67">
        <f>ROUND(+N2117+R2117+S2117+T2117,4)</f>
        <v>0</v>
      </c>
      <c r="V2117" s="67">
        <f>ROUND(IF(P2117=0,0,I2117-H2117-O2117)+IF(L2117=0,0,I2117-H2117-K2117),4)</f>
        <v>0</v>
      </c>
      <c r="W2117" s="67">
        <f>ROUND(+(V2117*60%)*D2117,4)</f>
        <v>0</v>
      </c>
      <c r="X2117" s="148">
        <f>ROUND(+U2117+W2117,4)</f>
        <v>0</v>
      </c>
      <c r="Y2117" s="68"/>
      <c r="Z2117" s="148">
        <f>ROUND(IF(X2117&gt;I2117,X2117,I2117),4)</f>
        <v>0</v>
      </c>
      <c r="AD2117" s="78">
        <f t="shared" si="44"/>
        <v>0</v>
      </c>
      <c r="AE2117" s="78">
        <f t="shared" si="45"/>
        <v>0</v>
      </c>
    </row>
    <row r="2118" spans="1:31" x14ac:dyDescent="0.2">
      <c r="A2118" s="66"/>
      <c r="B2118" s="66"/>
      <c r="C2118" s="66"/>
      <c r="D2118" s="144"/>
      <c r="E2118" s="67"/>
      <c r="F2118" s="67"/>
      <c r="G2118" s="67"/>
      <c r="H2118" s="67">
        <f>ROUND(+E2118+G2118,4)</f>
        <v>0</v>
      </c>
      <c r="I2118" s="67"/>
      <c r="J2118" s="67">
        <f>ROUND(+I2118-H2118,4)</f>
        <v>0</v>
      </c>
      <c r="K2118" s="67">
        <f>ROUND(IF(F2118="alluminio",0,I2118*1.5%),4)</f>
        <v>0</v>
      </c>
      <c r="L2118" s="67">
        <f>ROUND(IF(K2118&lt;J2118,K2118,0),4)</f>
        <v>0</v>
      </c>
      <c r="M2118" s="67">
        <f>ROUND(IF(J2118&gt;K2118,0,J2118),4)</f>
        <v>0</v>
      </c>
      <c r="N2118" s="67">
        <f>ROUND(+L2118*D2118,4)</f>
        <v>0</v>
      </c>
      <c r="O2118" s="67">
        <f>ROUND(IF(F2118="rame",0,+I2118*3%),4)</f>
        <v>0</v>
      </c>
      <c r="P2118" s="67">
        <f>ROUND(IF(O2118&lt;J2118,O2118,0),4)</f>
        <v>0</v>
      </c>
      <c r="Q2118" s="67">
        <f>ROUND(IF(J2118&gt;O2118,0,J2118),4)</f>
        <v>0</v>
      </c>
      <c r="R2118" s="67">
        <f>ROUND(+P2118*D2118,4)</f>
        <v>0</v>
      </c>
      <c r="S2118" s="67">
        <f>ROUND(IF(K2118=0,0,M2118*D2118),4)</f>
        <v>0</v>
      </c>
      <c r="T2118" s="67">
        <f>ROUND(+IF(K2118=0,Q2118*D2118,0),4)</f>
        <v>0</v>
      </c>
      <c r="U2118" s="67">
        <f>ROUND(+N2118+R2118+S2118+T2118,4)</f>
        <v>0</v>
      </c>
      <c r="V2118" s="67">
        <f>ROUND(IF(P2118=0,0,I2118-H2118-O2118)+IF(L2118=0,0,I2118-H2118-K2118),4)</f>
        <v>0</v>
      </c>
      <c r="W2118" s="67">
        <f>ROUND(+(V2118*60%)*D2118,4)</f>
        <v>0</v>
      </c>
      <c r="X2118" s="148">
        <f>ROUND(+U2118+W2118,4)</f>
        <v>0</v>
      </c>
      <c r="Y2118" s="68"/>
      <c r="Z2118" s="148">
        <f>ROUND(IF(X2118&gt;I2118,X2118,I2118),4)</f>
        <v>0</v>
      </c>
      <c r="AD2118" s="78">
        <f t="shared" si="44"/>
        <v>0</v>
      </c>
      <c r="AE2118" s="78">
        <f t="shared" si="45"/>
        <v>0</v>
      </c>
    </row>
    <row r="2119" spans="1:31" x14ac:dyDescent="0.2">
      <c r="A2119" s="66"/>
      <c r="B2119" s="66"/>
      <c r="C2119" s="66"/>
      <c r="D2119" s="144"/>
      <c r="E2119" s="67"/>
      <c r="F2119" s="67"/>
      <c r="G2119" s="67"/>
      <c r="H2119" s="67">
        <f>ROUND(+E2119+G2119,4)</f>
        <v>0</v>
      </c>
      <c r="I2119" s="67"/>
      <c r="J2119" s="67">
        <f>ROUND(+I2119-H2119,4)</f>
        <v>0</v>
      </c>
      <c r="K2119" s="67">
        <f>ROUND(IF(F2119="alluminio",0,I2119*1.5%),4)</f>
        <v>0</v>
      </c>
      <c r="L2119" s="67">
        <f>ROUND(IF(K2119&lt;J2119,K2119,0),4)</f>
        <v>0</v>
      </c>
      <c r="M2119" s="67">
        <f>ROUND(IF(J2119&gt;K2119,0,J2119),4)</f>
        <v>0</v>
      </c>
      <c r="N2119" s="67">
        <f>ROUND(+L2119*D2119,4)</f>
        <v>0</v>
      </c>
      <c r="O2119" s="67">
        <f>ROUND(IF(F2119="rame",0,+I2119*3%),4)</f>
        <v>0</v>
      </c>
      <c r="P2119" s="67">
        <f>ROUND(IF(O2119&lt;J2119,O2119,0),4)</f>
        <v>0</v>
      </c>
      <c r="Q2119" s="67">
        <f>ROUND(IF(J2119&gt;O2119,0,J2119),4)</f>
        <v>0</v>
      </c>
      <c r="R2119" s="67">
        <f>ROUND(+P2119*D2119,4)</f>
        <v>0</v>
      </c>
      <c r="S2119" s="67">
        <f>ROUND(IF(K2119=0,0,M2119*D2119),4)</f>
        <v>0</v>
      </c>
      <c r="T2119" s="67">
        <f>ROUND(+IF(K2119=0,Q2119*D2119,0),4)</f>
        <v>0</v>
      </c>
      <c r="U2119" s="67">
        <f>ROUND(+N2119+R2119+S2119+T2119,4)</f>
        <v>0</v>
      </c>
      <c r="V2119" s="67">
        <f>ROUND(IF(P2119=0,0,I2119-H2119-O2119)+IF(L2119=0,0,I2119-H2119-K2119),4)</f>
        <v>0</v>
      </c>
      <c r="W2119" s="67">
        <f>ROUND(+(V2119*60%)*D2119,4)</f>
        <v>0</v>
      </c>
      <c r="X2119" s="148">
        <f>ROUND(+U2119+W2119,4)</f>
        <v>0</v>
      </c>
      <c r="Y2119" s="68"/>
      <c r="Z2119" s="148">
        <f>ROUND(IF(X2119&gt;I2119,X2119,I2119),4)</f>
        <v>0</v>
      </c>
      <c r="AD2119" s="78">
        <f t="shared" si="44"/>
        <v>0</v>
      </c>
      <c r="AE2119" s="78">
        <f t="shared" si="45"/>
        <v>0</v>
      </c>
    </row>
    <row r="2120" spans="1:31" x14ac:dyDescent="0.2">
      <c r="A2120" s="66"/>
      <c r="B2120" s="66"/>
      <c r="C2120" s="66"/>
      <c r="D2120" s="144"/>
      <c r="E2120" s="67"/>
      <c r="F2120" s="67"/>
      <c r="G2120" s="67"/>
      <c r="H2120" s="67">
        <f>ROUND(+E2120+G2120,4)</f>
        <v>0</v>
      </c>
      <c r="I2120" s="67"/>
      <c r="J2120" s="67">
        <f>ROUND(+I2120-H2120,4)</f>
        <v>0</v>
      </c>
      <c r="K2120" s="67">
        <f>ROUND(IF(F2120="alluminio",0,I2120*1.5%),4)</f>
        <v>0</v>
      </c>
      <c r="L2120" s="67">
        <f>ROUND(IF(K2120&lt;J2120,K2120,0),4)</f>
        <v>0</v>
      </c>
      <c r="M2120" s="67">
        <f>ROUND(IF(J2120&gt;K2120,0,J2120),4)</f>
        <v>0</v>
      </c>
      <c r="N2120" s="67">
        <f>ROUND(+L2120*D2120,4)</f>
        <v>0</v>
      </c>
      <c r="O2120" s="67">
        <f>ROUND(IF(F2120="rame",0,+I2120*3%),4)</f>
        <v>0</v>
      </c>
      <c r="P2120" s="67">
        <f>ROUND(IF(O2120&lt;J2120,O2120,0),4)</f>
        <v>0</v>
      </c>
      <c r="Q2120" s="67">
        <f>ROUND(IF(J2120&gt;O2120,0,J2120),4)</f>
        <v>0</v>
      </c>
      <c r="R2120" s="67">
        <f>ROUND(+P2120*D2120,4)</f>
        <v>0</v>
      </c>
      <c r="S2120" s="67">
        <f>ROUND(IF(K2120=0,0,M2120*D2120),4)</f>
        <v>0</v>
      </c>
      <c r="T2120" s="67">
        <f>ROUND(+IF(K2120=0,Q2120*D2120,0),4)</f>
        <v>0</v>
      </c>
      <c r="U2120" s="67">
        <f>ROUND(+N2120+R2120+S2120+T2120,4)</f>
        <v>0</v>
      </c>
      <c r="V2120" s="67">
        <f>ROUND(IF(P2120=0,0,I2120-H2120-O2120)+IF(L2120=0,0,I2120-H2120-K2120),4)</f>
        <v>0</v>
      </c>
      <c r="W2120" s="67">
        <f>ROUND(+(V2120*60%)*D2120,4)</f>
        <v>0</v>
      </c>
      <c r="X2120" s="148">
        <f>ROUND(+U2120+W2120,4)</f>
        <v>0</v>
      </c>
      <c r="Y2120" s="68"/>
      <c r="Z2120" s="148">
        <f>ROUND(IF(X2120&gt;I2120,X2120,I2120),4)</f>
        <v>0</v>
      </c>
      <c r="AD2120" s="78">
        <f t="shared" si="44"/>
        <v>0</v>
      </c>
      <c r="AE2120" s="78">
        <f t="shared" si="45"/>
        <v>0</v>
      </c>
    </row>
    <row r="2121" spans="1:31" x14ac:dyDescent="0.2">
      <c r="A2121" s="66"/>
      <c r="B2121" s="66"/>
      <c r="C2121" s="66"/>
      <c r="D2121" s="144"/>
      <c r="E2121" s="67"/>
      <c r="F2121" s="67"/>
      <c r="G2121" s="67"/>
      <c r="H2121" s="67">
        <f>ROUND(+E2121+G2121,4)</f>
        <v>0</v>
      </c>
      <c r="I2121" s="67"/>
      <c r="J2121" s="67">
        <f>ROUND(+I2121-H2121,4)</f>
        <v>0</v>
      </c>
      <c r="K2121" s="67">
        <f>ROUND(IF(F2121="alluminio",0,I2121*1.5%),4)</f>
        <v>0</v>
      </c>
      <c r="L2121" s="67">
        <f>ROUND(IF(K2121&lt;J2121,K2121,0),4)</f>
        <v>0</v>
      </c>
      <c r="M2121" s="67">
        <f>ROUND(IF(J2121&gt;K2121,0,J2121),4)</f>
        <v>0</v>
      </c>
      <c r="N2121" s="67">
        <f>ROUND(+L2121*D2121,4)</f>
        <v>0</v>
      </c>
      <c r="O2121" s="67">
        <f>ROUND(IF(F2121="rame",0,+I2121*3%),4)</f>
        <v>0</v>
      </c>
      <c r="P2121" s="67">
        <f>ROUND(IF(O2121&lt;J2121,O2121,0),4)</f>
        <v>0</v>
      </c>
      <c r="Q2121" s="67">
        <f>ROUND(IF(J2121&gt;O2121,0,J2121),4)</f>
        <v>0</v>
      </c>
      <c r="R2121" s="67">
        <f>ROUND(+P2121*D2121,4)</f>
        <v>0</v>
      </c>
      <c r="S2121" s="67">
        <f>ROUND(IF(K2121=0,0,M2121*D2121),4)</f>
        <v>0</v>
      </c>
      <c r="T2121" s="67">
        <f>ROUND(+IF(K2121=0,Q2121*D2121,0),4)</f>
        <v>0</v>
      </c>
      <c r="U2121" s="67">
        <f>ROUND(+N2121+R2121+S2121+T2121,4)</f>
        <v>0</v>
      </c>
      <c r="V2121" s="67">
        <f>ROUND(IF(P2121=0,0,I2121-H2121-O2121)+IF(L2121=0,0,I2121-H2121-K2121),4)</f>
        <v>0</v>
      </c>
      <c r="W2121" s="67">
        <f>ROUND(+(V2121*60%)*D2121,4)</f>
        <v>0</v>
      </c>
      <c r="X2121" s="148">
        <f>ROUND(+U2121+W2121,4)</f>
        <v>0</v>
      </c>
      <c r="Y2121" s="68"/>
      <c r="Z2121" s="148">
        <f>ROUND(IF(X2121&gt;I2121,X2121,I2121),4)</f>
        <v>0</v>
      </c>
      <c r="AD2121" s="78">
        <f t="shared" si="44"/>
        <v>0</v>
      </c>
      <c r="AE2121" s="78">
        <f t="shared" si="45"/>
        <v>0</v>
      </c>
    </row>
    <row r="2122" spans="1:31" x14ac:dyDescent="0.2">
      <c r="A2122" s="66"/>
      <c r="B2122" s="66"/>
      <c r="C2122" s="66"/>
      <c r="D2122" s="144"/>
      <c r="E2122" s="67"/>
      <c r="F2122" s="67"/>
      <c r="G2122" s="67"/>
      <c r="H2122" s="67">
        <f>ROUND(+E2122+G2122,4)</f>
        <v>0</v>
      </c>
      <c r="I2122" s="67"/>
      <c r="J2122" s="67">
        <f>ROUND(+I2122-H2122,4)</f>
        <v>0</v>
      </c>
      <c r="K2122" s="67">
        <f>ROUND(IF(F2122="alluminio",0,I2122*1.5%),4)</f>
        <v>0</v>
      </c>
      <c r="L2122" s="67">
        <f>ROUND(IF(K2122&lt;J2122,K2122,0),4)</f>
        <v>0</v>
      </c>
      <c r="M2122" s="67">
        <f>ROUND(IF(J2122&gt;K2122,0,J2122),4)</f>
        <v>0</v>
      </c>
      <c r="N2122" s="67">
        <f>ROUND(+L2122*D2122,4)</f>
        <v>0</v>
      </c>
      <c r="O2122" s="67">
        <f>ROUND(IF(F2122="rame",0,+I2122*3%),4)</f>
        <v>0</v>
      </c>
      <c r="P2122" s="67">
        <f>ROUND(IF(O2122&lt;J2122,O2122,0),4)</f>
        <v>0</v>
      </c>
      <c r="Q2122" s="67">
        <f>ROUND(IF(J2122&gt;O2122,0,J2122),4)</f>
        <v>0</v>
      </c>
      <c r="R2122" s="67">
        <f>ROUND(+P2122*D2122,4)</f>
        <v>0</v>
      </c>
      <c r="S2122" s="67">
        <f>ROUND(IF(K2122=0,0,M2122*D2122),4)</f>
        <v>0</v>
      </c>
      <c r="T2122" s="67">
        <f>ROUND(+IF(K2122=0,Q2122*D2122,0),4)</f>
        <v>0</v>
      </c>
      <c r="U2122" s="67">
        <f>ROUND(+N2122+R2122+S2122+T2122,4)</f>
        <v>0</v>
      </c>
      <c r="V2122" s="67">
        <f>ROUND(IF(P2122=0,0,I2122-H2122-O2122)+IF(L2122=0,0,I2122-H2122-K2122),4)</f>
        <v>0</v>
      </c>
      <c r="W2122" s="67">
        <f>ROUND(+(V2122*60%)*D2122,4)</f>
        <v>0</v>
      </c>
      <c r="X2122" s="148">
        <f>ROUND(+U2122+W2122,4)</f>
        <v>0</v>
      </c>
      <c r="Y2122" s="68"/>
      <c r="Z2122" s="148">
        <f>ROUND(IF(X2122&gt;I2122,X2122,I2122),4)</f>
        <v>0</v>
      </c>
      <c r="AD2122" s="78">
        <f t="shared" si="44"/>
        <v>0</v>
      </c>
      <c r="AE2122" s="78">
        <f t="shared" si="45"/>
        <v>0</v>
      </c>
    </row>
    <row r="2123" spans="1:31" x14ac:dyDescent="0.2">
      <c r="A2123" s="66"/>
      <c r="B2123" s="66"/>
      <c r="C2123" s="66"/>
      <c r="D2123" s="144"/>
      <c r="E2123" s="67"/>
      <c r="F2123" s="67"/>
      <c r="G2123" s="67"/>
      <c r="H2123" s="67">
        <f>ROUND(+E2123+G2123,4)</f>
        <v>0</v>
      </c>
      <c r="I2123" s="67"/>
      <c r="J2123" s="67">
        <f>ROUND(+I2123-H2123,4)</f>
        <v>0</v>
      </c>
      <c r="K2123" s="67">
        <f>ROUND(IF(F2123="alluminio",0,I2123*1.5%),4)</f>
        <v>0</v>
      </c>
      <c r="L2123" s="67">
        <f>ROUND(IF(K2123&lt;J2123,K2123,0),4)</f>
        <v>0</v>
      </c>
      <c r="M2123" s="67">
        <f>ROUND(IF(J2123&gt;K2123,0,J2123),4)</f>
        <v>0</v>
      </c>
      <c r="N2123" s="67">
        <f>ROUND(+L2123*D2123,4)</f>
        <v>0</v>
      </c>
      <c r="O2123" s="67">
        <f>ROUND(IF(F2123="rame",0,+I2123*3%),4)</f>
        <v>0</v>
      </c>
      <c r="P2123" s="67">
        <f>ROUND(IF(O2123&lt;J2123,O2123,0),4)</f>
        <v>0</v>
      </c>
      <c r="Q2123" s="67">
        <f>ROUND(IF(J2123&gt;O2123,0,J2123),4)</f>
        <v>0</v>
      </c>
      <c r="R2123" s="67">
        <f>ROUND(+P2123*D2123,4)</f>
        <v>0</v>
      </c>
      <c r="S2123" s="67">
        <f>ROUND(IF(K2123=0,0,M2123*D2123),4)</f>
        <v>0</v>
      </c>
      <c r="T2123" s="67">
        <f>ROUND(+IF(K2123=0,Q2123*D2123,0),4)</f>
        <v>0</v>
      </c>
      <c r="U2123" s="67">
        <f>ROUND(+N2123+R2123+S2123+T2123,4)</f>
        <v>0</v>
      </c>
      <c r="V2123" s="67">
        <f>ROUND(IF(P2123=0,0,I2123-H2123-O2123)+IF(L2123=0,0,I2123-H2123-K2123),4)</f>
        <v>0</v>
      </c>
      <c r="W2123" s="67">
        <f>ROUND(+(V2123*60%)*D2123,4)</f>
        <v>0</v>
      </c>
      <c r="X2123" s="148">
        <f>ROUND(+U2123+W2123,4)</f>
        <v>0</v>
      </c>
      <c r="Y2123" s="68"/>
      <c r="Z2123" s="148">
        <f>ROUND(IF(X2123&gt;I2123,X2123,I2123),4)</f>
        <v>0</v>
      </c>
      <c r="AD2123" s="78">
        <f t="shared" si="44"/>
        <v>0</v>
      </c>
      <c r="AE2123" s="78">
        <f t="shared" si="45"/>
        <v>0</v>
      </c>
    </row>
    <row r="2124" spans="1:31" x14ac:dyDescent="0.2">
      <c r="A2124" s="66"/>
      <c r="B2124" s="66"/>
      <c r="C2124" s="66"/>
      <c r="D2124" s="144"/>
      <c r="E2124" s="67"/>
      <c r="F2124" s="67"/>
      <c r="G2124" s="67"/>
      <c r="H2124" s="67">
        <f>ROUND(+E2124+G2124,4)</f>
        <v>0</v>
      </c>
      <c r="I2124" s="67"/>
      <c r="J2124" s="67">
        <f>ROUND(+I2124-H2124,4)</f>
        <v>0</v>
      </c>
      <c r="K2124" s="67">
        <f>ROUND(IF(F2124="alluminio",0,I2124*1.5%),4)</f>
        <v>0</v>
      </c>
      <c r="L2124" s="67">
        <f>ROUND(IF(K2124&lt;J2124,K2124,0),4)</f>
        <v>0</v>
      </c>
      <c r="M2124" s="67">
        <f>ROUND(IF(J2124&gt;K2124,0,J2124),4)</f>
        <v>0</v>
      </c>
      <c r="N2124" s="67">
        <f>ROUND(+L2124*D2124,4)</f>
        <v>0</v>
      </c>
      <c r="O2124" s="67">
        <f>ROUND(IF(F2124="rame",0,+I2124*3%),4)</f>
        <v>0</v>
      </c>
      <c r="P2124" s="67">
        <f>ROUND(IF(O2124&lt;J2124,O2124,0),4)</f>
        <v>0</v>
      </c>
      <c r="Q2124" s="67">
        <f>ROUND(IF(J2124&gt;O2124,0,J2124),4)</f>
        <v>0</v>
      </c>
      <c r="R2124" s="67">
        <f>ROUND(+P2124*D2124,4)</f>
        <v>0</v>
      </c>
      <c r="S2124" s="67">
        <f>ROUND(IF(K2124=0,0,M2124*D2124),4)</f>
        <v>0</v>
      </c>
      <c r="T2124" s="67">
        <f>ROUND(+IF(K2124=0,Q2124*D2124,0),4)</f>
        <v>0</v>
      </c>
      <c r="U2124" s="67">
        <f>ROUND(+N2124+R2124+S2124+T2124,4)</f>
        <v>0</v>
      </c>
      <c r="V2124" s="67">
        <f>ROUND(IF(P2124=0,0,I2124-H2124-O2124)+IF(L2124=0,0,I2124-H2124-K2124),4)</f>
        <v>0</v>
      </c>
      <c r="W2124" s="67">
        <f>ROUND(+(V2124*60%)*D2124,4)</f>
        <v>0</v>
      </c>
      <c r="X2124" s="148">
        <f>ROUND(+U2124+W2124,4)</f>
        <v>0</v>
      </c>
      <c r="Y2124" s="68"/>
      <c r="Z2124" s="148">
        <f>ROUND(IF(X2124&gt;I2124,X2124,I2124),4)</f>
        <v>0</v>
      </c>
      <c r="AD2124" s="78">
        <f t="shared" si="44"/>
        <v>0</v>
      </c>
      <c r="AE2124" s="78">
        <f t="shared" si="45"/>
        <v>0</v>
      </c>
    </row>
    <row r="2125" spans="1:31" x14ac:dyDescent="0.2">
      <c r="A2125" s="66"/>
      <c r="B2125" s="66"/>
      <c r="C2125" s="66"/>
      <c r="D2125" s="144"/>
      <c r="E2125" s="67"/>
      <c r="F2125" s="67"/>
      <c r="G2125" s="67"/>
      <c r="H2125" s="67">
        <f>ROUND(+E2125+G2125,4)</f>
        <v>0</v>
      </c>
      <c r="I2125" s="67"/>
      <c r="J2125" s="67">
        <f>ROUND(+I2125-H2125,4)</f>
        <v>0</v>
      </c>
      <c r="K2125" s="67">
        <f>ROUND(IF(F2125="alluminio",0,I2125*1.5%),4)</f>
        <v>0</v>
      </c>
      <c r="L2125" s="67">
        <f>ROUND(IF(K2125&lt;J2125,K2125,0),4)</f>
        <v>0</v>
      </c>
      <c r="M2125" s="67">
        <f>ROUND(IF(J2125&gt;K2125,0,J2125),4)</f>
        <v>0</v>
      </c>
      <c r="N2125" s="67">
        <f>ROUND(+L2125*D2125,4)</f>
        <v>0</v>
      </c>
      <c r="O2125" s="67">
        <f>ROUND(IF(F2125="rame",0,+I2125*3%),4)</f>
        <v>0</v>
      </c>
      <c r="P2125" s="67">
        <f>ROUND(IF(O2125&lt;J2125,O2125,0),4)</f>
        <v>0</v>
      </c>
      <c r="Q2125" s="67">
        <f>ROUND(IF(J2125&gt;O2125,0,J2125),4)</f>
        <v>0</v>
      </c>
      <c r="R2125" s="67">
        <f>ROUND(+P2125*D2125,4)</f>
        <v>0</v>
      </c>
      <c r="S2125" s="67">
        <f>ROUND(IF(K2125=0,0,M2125*D2125),4)</f>
        <v>0</v>
      </c>
      <c r="T2125" s="67">
        <f>ROUND(+IF(K2125=0,Q2125*D2125,0),4)</f>
        <v>0</v>
      </c>
      <c r="U2125" s="67">
        <f>ROUND(+N2125+R2125+S2125+T2125,4)</f>
        <v>0</v>
      </c>
      <c r="V2125" s="67">
        <f>ROUND(IF(P2125=0,0,I2125-H2125-O2125)+IF(L2125=0,0,I2125-H2125-K2125),4)</f>
        <v>0</v>
      </c>
      <c r="W2125" s="67">
        <f>ROUND(+(V2125*60%)*D2125,4)</f>
        <v>0</v>
      </c>
      <c r="X2125" s="148">
        <f>ROUND(+U2125+W2125,4)</f>
        <v>0</v>
      </c>
      <c r="Y2125" s="68"/>
      <c r="Z2125" s="148">
        <f>ROUND(IF(X2125&gt;I2125,X2125,I2125),4)</f>
        <v>0</v>
      </c>
      <c r="AD2125" s="78">
        <f t="shared" si="44"/>
        <v>0</v>
      </c>
      <c r="AE2125" s="78">
        <f t="shared" si="45"/>
        <v>0</v>
      </c>
    </row>
    <row r="2126" spans="1:31" x14ac:dyDescent="0.2">
      <c r="A2126" s="66"/>
      <c r="B2126" s="66"/>
      <c r="C2126" s="66"/>
      <c r="D2126" s="144"/>
      <c r="E2126" s="67"/>
      <c r="F2126" s="67"/>
      <c r="G2126" s="67"/>
      <c r="H2126" s="67">
        <f>ROUND(+E2126+G2126,4)</f>
        <v>0</v>
      </c>
      <c r="I2126" s="67"/>
      <c r="J2126" s="67">
        <f>ROUND(+I2126-H2126,4)</f>
        <v>0</v>
      </c>
      <c r="K2126" s="67">
        <f>ROUND(IF(F2126="alluminio",0,I2126*1.5%),4)</f>
        <v>0</v>
      </c>
      <c r="L2126" s="67">
        <f>ROUND(IF(K2126&lt;J2126,K2126,0),4)</f>
        <v>0</v>
      </c>
      <c r="M2126" s="67">
        <f>ROUND(IF(J2126&gt;K2126,0,J2126),4)</f>
        <v>0</v>
      </c>
      <c r="N2126" s="67">
        <f>ROUND(+L2126*D2126,4)</f>
        <v>0</v>
      </c>
      <c r="O2126" s="67">
        <f>ROUND(IF(F2126="rame",0,+I2126*3%),4)</f>
        <v>0</v>
      </c>
      <c r="P2126" s="67">
        <f>ROUND(IF(O2126&lt;J2126,O2126,0),4)</f>
        <v>0</v>
      </c>
      <c r="Q2126" s="67">
        <f>ROUND(IF(J2126&gt;O2126,0,J2126),4)</f>
        <v>0</v>
      </c>
      <c r="R2126" s="67">
        <f>ROUND(+P2126*D2126,4)</f>
        <v>0</v>
      </c>
      <c r="S2126" s="67">
        <f>ROUND(IF(K2126=0,0,M2126*D2126),4)</f>
        <v>0</v>
      </c>
      <c r="T2126" s="67">
        <f>ROUND(+IF(K2126=0,Q2126*D2126,0),4)</f>
        <v>0</v>
      </c>
      <c r="U2126" s="67">
        <f>ROUND(+N2126+R2126+S2126+T2126,4)</f>
        <v>0</v>
      </c>
      <c r="V2126" s="67">
        <f>ROUND(IF(P2126=0,0,I2126-H2126-O2126)+IF(L2126=0,0,I2126-H2126-K2126),4)</f>
        <v>0</v>
      </c>
      <c r="W2126" s="67">
        <f>ROUND(+(V2126*60%)*D2126,4)</f>
        <v>0</v>
      </c>
      <c r="X2126" s="148">
        <f>ROUND(+U2126+W2126,4)</f>
        <v>0</v>
      </c>
      <c r="Y2126" s="68"/>
      <c r="Z2126" s="148">
        <f>ROUND(IF(X2126&gt;I2126,X2126,I2126),4)</f>
        <v>0</v>
      </c>
      <c r="AD2126" s="78">
        <f t="shared" si="44"/>
        <v>0</v>
      </c>
      <c r="AE2126" s="78">
        <f t="shared" si="45"/>
        <v>0</v>
      </c>
    </row>
    <row r="2127" spans="1:31" x14ac:dyDescent="0.2">
      <c r="A2127" s="66"/>
      <c r="B2127" s="66"/>
      <c r="C2127" s="66"/>
      <c r="D2127" s="144"/>
      <c r="E2127" s="67"/>
      <c r="F2127" s="67"/>
      <c r="G2127" s="67"/>
      <c r="H2127" s="67">
        <f>ROUND(+E2127+G2127,4)</f>
        <v>0</v>
      </c>
      <c r="I2127" s="67"/>
      <c r="J2127" s="67">
        <f>ROUND(+I2127-H2127,4)</f>
        <v>0</v>
      </c>
      <c r="K2127" s="67">
        <f>ROUND(IF(F2127="alluminio",0,I2127*1.5%),4)</f>
        <v>0</v>
      </c>
      <c r="L2127" s="67">
        <f>ROUND(IF(K2127&lt;J2127,K2127,0),4)</f>
        <v>0</v>
      </c>
      <c r="M2127" s="67">
        <f>ROUND(IF(J2127&gt;K2127,0,J2127),4)</f>
        <v>0</v>
      </c>
      <c r="N2127" s="67">
        <f>ROUND(+L2127*D2127,4)</f>
        <v>0</v>
      </c>
      <c r="O2127" s="67">
        <f>ROUND(IF(F2127="rame",0,+I2127*3%),4)</f>
        <v>0</v>
      </c>
      <c r="P2127" s="67">
        <f>ROUND(IF(O2127&lt;J2127,O2127,0),4)</f>
        <v>0</v>
      </c>
      <c r="Q2127" s="67">
        <f>ROUND(IF(J2127&gt;O2127,0,J2127),4)</f>
        <v>0</v>
      </c>
      <c r="R2127" s="67">
        <f>ROUND(+P2127*D2127,4)</f>
        <v>0</v>
      </c>
      <c r="S2127" s="67">
        <f>ROUND(IF(K2127=0,0,M2127*D2127),4)</f>
        <v>0</v>
      </c>
      <c r="T2127" s="67">
        <f>ROUND(+IF(K2127=0,Q2127*D2127,0),4)</f>
        <v>0</v>
      </c>
      <c r="U2127" s="67">
        <f>ROUND(+N2127+R2127+S2127+T2127,4)</f>
        <v>0</v>
      </c>
      <c r="V2127" s="67">
        <f>ROUND(IF(P2127=0,0,I2127-H2127-O2127)+IF(L2127=0,0,I2127-H2127-K2127),4)</f>
        <v>0</v>
      </c>
      <c r="W2127" s="67">
        <f>ROUND(+(V2127*60%)*D2127,4)</f>
        <v>0</v>
      </c>
      <c r="X2127" s="148">
        <f>ROUND(+U2127+W2127,4)</f>
        <v>0</v>
      </c>
      <c r="Y2127" s="68"/>
      <c r="Z2127" s="148">
        <f>ROUND(IF(X2127&gt;I2127,X2127,I2127),4)</f>
        <v>0</v>
      </c>
      <c r="AD2127" s="78">
        <f t="shared" si="44"/>
        <v>0</v>
      </c>
      <c r="AE2127" s="78">
        <f t="shared" si="45"/>
        <v>0</v>
      </c>
    </row>
    <row r="2128" spans="1:31" x14ac:dyDescent="0.2">
      <c r="A2128" s="66"/>
      <c r="B2128" s="66"/>
      <c r="C2128" s="66"/>
      <c r="D2128" s="144"/>
      <c r="E2128" s="67"/>
      <c r="F2128" s="67"/>
      <c r="G2128" s="67"/>
      <c r="H2128" s="67">
        <f>ROUND(+E2128+G2128,4)</f>
        <v>0</v>
      </c>
      <c r="I2128" s="67"/>
      <c r="J2128" s="67">
        <f>ROUND(+I2128-H2128,4)</f>
        <v>0</v>
      </c>
      <c r="K2128" s="67">
        <f>ROUND(IF(F2128="alluminio",0,I2128*1.5%),4)</f>
        <v>0</v>
      </c>
      <c r="L2128" s="67">
        <f>ROUND(IF(K2128&lt;J2128,K2128,0),4)</f>
        <v>0</v>
      </c>
      <c r="M2128" s="67">
        <f>ROUND(IF(J2128&gt;K2128,0,J2128),4)</f>
        <v>0</v>
      </c>
      <c r="N2128" s="67">
        <f>ROUND(+L2128*D2128,4)</f>
        <v>0</v>
      </c>
      <c r="O2128" s="67">
        <f>ROUND(IF(F2128="rame",0,+I2128*3%),4)</f>
        <v>0</v>
      </c>
      <c r="P2128" s="67">
        <f>ROUND(IF(O2128&lt;J2128,O2128,0),4)</f>
        <v>0</v>
      </c>
      <c r="Q2128" s="67">
        <f>ROUND(IF(J2128&gt;O2128,0,J2128),4)</f>
        <v>0</v>
      </c>
      <c r="R2128" s="67">
        <f>ROUND(+P2128*D2128,4)</f>
        <v>0</v>
      </c>
      <c r="S2128" s="67">
        <f>ROUND(IF(K2128=0,0,M2128*D2128),4)</f>
        <v>0</v>
      </c>
      <c r="T2128" s="67">
        <f>ROUND(+IF(K2128=0,Q2128*D2128,0),4)</f>
        <v>0</v>
      </c>
      <c r="U2128" s="67">
        <f>ROUND(+N2128+R2128+S2128+T2128,4)</f>
        <v>0</v>
      </c>
      <c r="V2128" s="67">
        <f>ROUND(IF(P2128=0,0,I2128-H2128-O2128)+IF(L2128=0,0,I2128-H2128-K2128),4)</f>
        <v>0</v>
      </c>
      <c r="W2128" s="67">
        <f>ROUND(+(V2128*60%)*D2128,4)</f>
        <v>0</v>
      </c>
      <c r="X2128" s="148">
        <f>ROUND(+U2128+W2128,4)</f>
        <v>0</v>
      </c>
      <c r="Y2128" s="68"/>
      <c r="Z2128" s="148">
        <f>ROUND(IF(X2128&gt;I2128,X2128,I2128),4)</f>
        <v>0</v>
      </c>
      <c r="AD2128" s="78">
        <f t="shared" si="44"/>
        <v>0</v>
      </c>
      <c r="AE2128" s="78">
        <f t="shared" si="45"/>
        <v>0</v>
      </c>
    </row>
    <row r="2129" spans="1:31" x14ac:dyDescent="0.2">
      <c r="A2129" s="66"/>
      <c r="B2129" s="66"/>
      <c r="C2129" s="66"/>
      <c r="D2129" s="144"/>
      <c r="E2129" s="67"/>
      <c r="F2129" s="67"/>
      <c r="G2129" s="67"/>
      <c r="H2129" s="67">
        <f>ROUND(+E2129+G2129,4)</f>
        <v>0</v>
      </c>
      <c r="I2129" s="67"/>
      <c r="J2129" s="67">
        <f>ROUND(+I2129-H2129,4)</f>
        <v>0</v>
      </c>
      <c r="K2129" s="67">
        <f>ROUND(IF(F2129="alluminio",0,I2129*1.5%),4)</f>
        <v>0</v>
      </c>
      <c r="L2129" s="67">
        <f>ROUND(IF(K2129&lt;J2129,K2129,0),4)</f>
        <v>0</v>
      </c>
      <c r="M2129" s="67">
        <f>ROUND(IF(J2129&gt;K2129,0,J2129),4)</f>
        <v>0</v>
      </c>
      <c r="N2129" s="67">
        <f>ROUND(+L2129*D2129,4)</f>
        <v>0</v>
      </c>
      <c r="O2129" s="67">
        <f>ROUND(IF(F2129="rame",0,+I2129*3%),4)</f>
        <v>0</v>
      </c>
      <c r="P2129" s="67">
        <f>ROUND(IF(O2129&lt;J2129,O2129,0),4)</f>
        <v>0</v>
      </c>
      <c r="Q2129" s="67">
        <f>ROUND(IF(J2129&gt;O2129,0,J2129),4)</f>
        <v>0</v>
      </c>
      <c r="R2129" s="67">
        <f>ROUND(+P2129*D2129,4)</f>
        <v>0</v>
      </c>
      <c r="S2129" s="67">
        <f>ROUND(IF(K2129=0,0,M2129*D2129),4)</f>
        <v>0</v>
      </c>
      <c r="T2129" s="67">
        <f>ROUND(+IF(K2129=0,Q2129*D2129,0),4)</f>
        <v>0</v>
      </c>
      <c r="U2129" s="67">
        <f>ROUND(+N2129+R2129+S2129+T2129,4)</f>
        <v>0</v>
      </c>
      <c r="V2129" s="67">
        <f>ROUND(IF(P2129=0,0,I2129-H2129-O2129)+IF(L2129=0,0,I2129-H2129-K2129),4)</f>
        <v>0</v>
      </c>
      <c r="W2129" s="67">
        <f>ROUND(+(V2129*60%)*D2129,4)</f>
        <v>0</v>
      </c>
      <c r="X2129" s="148">
        <f>ROUND(+U2129+W2129,4)</f>
        <v>0</v>
      </c>
      <c r="Y2129" s="68"/>
      <c r="Z2129" s="148">
        <f>ROUND(IF(X2129&gt;I2129,X2129,I2129),4)</f>
        <v>0</v>
      </c>
      <c r="AD2129" s="78">
        <f t="shared" si="44"/>
        <v>0</v>
      </c>
      <c r="AE2129" s="78">
        <f t="shared" si="45"/>
        <v>0</v>
      </c>
    </row>
    <row r="2130" spans="1:31" x14ac:dyDescent="0.2">
      <c r="A2130" s="66"/>
      <c r="B2130" s="66"/>
      <c r="C2130" s="66"/>
      <c r="D2130" s="144"/>
      <c r="E2130" s="67"/>
      <c r="F2130" s="67"/>
      <c r="G2130" s="67"/>
      <c r="H2130" s="67">
        <f>ROUND(+E2130+G2130,4)</f>
        <v>0</v>
      </c>
      <c r="I2130" s="67"/>
      <c r="J2130" s="67">
        <f>ROUND(+I2130-H2130,4)</f>
        <v>0</v>
      </c>
      <c r="K2130" s="67">
        <f>ROUND(IF(F2130="alluminio",0,I2130*1.5%),4)</f>
        <v>0</v>
      </c>
      <c r="L2130" s="67">
        <f>ROUND(IF(K2130&lt;J2130,K2130,0),4)</f>
        <v>0</v>
      </c>
      <c r="M2130" s="67">
        <f>ROUND(IF(J2130&gt;K2130,0,J2130),4)</f>
        <v>0</v>
      </c>
      <c r="N2130" s="67">
        <f>ROUND(+L2130*D2130,4)</f>
        <v>0</v>
      </c>
      <c r="O2130" s="67">
        <f>ROUND(IF(F2130="rame",0,+I2130*3%),4)</f>
        <v>0</v>
      </c>
      <c r="P2130" s="67">
        <f>ROUND(IF(O2130&lt;J2130,O2130,0),4)</f>
        <v>0</v>
      </c>
      <c r="Q2130" s="67">
        <f>ROUND(IF(J2130&gt;O2130,0,J2130),4)</f>
        <v>0</v>
      </c>
      <c r="R2130" s="67">
        <f>ROUND(+P2130*D2130,4)</f>
        <v>0</v>
      </c>
      <c r="S2130" s="67">
        <f>ROUND(IF(K2130=0,0,M2130*D2130),4)</f>
        <v>0</v>
      </c>
      <c r="T2130" s="67">
        <f>ROUND(+IF(K2130=0,Q2130*D2130,0),4)</f>
        <v>0</v>
      </c>
      <c r="U2130" s="67">
        <f>ROUND(+N2130+R2130+S2130+T2130,4)</f>
        <v>0</v>
      </c>
      <c r="V2130" s="67">
        <f>ROUND(IF(P2130=0,0,I2130-H2130-O2130)+IF(L2130=0,0,I2130-H2130-K2130),4)</f>
        <v>0</v>
      </c>
      <c r="W2130" s="67">
        <f>ROUND(+(V2130*60%)*D2130,4)</f>
        <v>0</v>
      </c>
      <c r="X2130" s="148">
        <f>ROUND(+U2130+W2130,4)</f>
        <v>0</v>
      </c>
      <c r="Y2130" s="68"/>
      <c r="Z2130" s="148">
        <f>ROUND(IF(X2130&gt;I2130,X2130,I2130),4)</f>
        <v>0</v>
      </c>
      <c r="AD2130" s="78">
        <f t="shared" si="44"/>
        <v>0</v>
      </c>
      <c r="AE2130" s="78">
        <f t="shared" si="45"/>
        <v>0</v>
      </c>
    </row>
    <row r="2131" spans="1:31" x14ac:dyDescent="0.2">
      <c r="A2131" s="66"/>
      <c r="B2131" s="66"/>
      <c r="C2131" s="66"/>
      <c r="D2131" s="144"/>
      <c r="E2131" s="67"/>
      <c r="F2131" s="67"/>
      <c r="G2131" s="67"/>
      <c r="H2131" s="67">
        <f>ROUND(+E2131+G2131,4)</f>
        <v>0</v>
      </c>
      <c r="I2131" s="67"/>
      <c r="J2131" s="67">
        <f>ROUND(+I2131-H2131,4)</f>
        <v>0</v>
      </c>
      <c r="K2131" s="67">
        <f>ROUND(IF(F2131="alluminio",0,I2131*1.5%),4)</f>
        <v>0</v>
      </c>
      <c r="L2131" s="67">
        <f>ROUND(IF(K2131&lt;J2131,K2131,0),4)</f>
        <v>0</v>
      </c>
      <c r="M2131" s="67">
        <f>ROUND(IF(J2131&gt;K2131,0,J2131),4)</f>
        <v>0</v>
      </c>
      <c r="N2131" s="67">
        <f>ROUND(+L2131*D2131,4)</f>
        <v>0</v>
      </c>
      <c r="O2131" s="67">
        <f>ROUND(IF(F2131="rame",0,+I2131*3%),4)</f>
        <v>0</v>
      </c>
      <c r="P2131" s="67">
        <f>ROUND(IF(O2131&lt;J2131,O2131,0),4)</f>
        <v>0</v>
      </c>
      <c r="Q2131" s="67">
        <f>ROUND(IF(J2131&gt;O2131,0,J2131),4)</f>
        <v>0</v>
      </c>
      <c r="R2131" s="67">
        <f>ROUND(+P2131*D2131,4)</f>
        <v>0</v>
      </c>
      <c r="S2131" s="67">
        <f>ROUND(IF(K2131=0,0,M2131*D2131),4)</f>
        <v>0</v>
      </c>
      <c r="T2131" s="67">
        <f>ROUND(+IF(K2131=0,Q2131*D2131,0),4)</f>
        <v>0</v>
      </c>
      <c r="U2131" s="67">
        <f>ROUND(+N2131+R2131+S2131+T2131,4)</f>
        <v>0</v>
      </c>
      <c r="V2131" s="67">
        <f>ROUND(IF(P2131=0,0,I2131-H2131-O2131)+IF(L2131=0,0,I2131-H2131-K2131),4)</f>
        <v>0</v>
      </c>
      <c r="W2131" s="67">
        <f>ROUND(+(V2131*60%)*D2131,4)</f>
        <v>0</v>
      </c>
      <c r="X2131" s="148">
        <f>ROUND(+U2131+W2131,4)</f>
        <v>0</v>
      </c>
      <c r="Y2131" s="68"/>
      <c r="Z2131" s="148">
        <f>ROUND(IF(X2131&gt;I2131,X2131,I2131),4)</f>
        <v>0</v>
      </c>
      <c r="AD2131" s="78">
        <f t="shared" si="44"/>
        <v>0</v>
      </c>
      <c r="AE2131" s="78">
        <f t="shared" si="45"/>
        <v>0</v>
      </c>
    </row>
    <row r="2132" spans="1:31" x14ac:dyDescent="0.2">
      <c r="A2132" s="66"/>
      <c r="B2132" s="66"/>
      <c r="C2132" s="66"/>
      <c r="D2132" s="144"/>
      <c r="E2132" s="67"/>
      <c r="F2132" s="67"/>
      <c r="G2132" s="67"/>
      <c r="H2132" s="67">
        <f>ROUND(+E2132+G2132,4)</f>
        <v>0</v>
      </c>
      <c r="I2132" s="67"/>
      <c r="J2132" s="67">
        <f>ROUND(+I2132-H2132,4)</f>
        <v>0</v>
      </c>
      <c r="K2132" s="67">
        <f>ROUND(IF(F2132="alluminio",0,I2132*1.5%),4)</f>
        <v>0</v>
      </c>
      <c r="L2132" s="67">
        <f>ROUND(IF(K2132&lt;J2132,K2132,0),4)</f>
        <v>0</v>
      </c>
      <c r="M2132" s="67">
        <f>ROUND(IF(J2132&gt;K2132,0,J2132),4)</f>
        <v>0</v>
      </c>
      <c r="N2132" s="67">
        <f>ROUND(+L2132*D2132,4)</f>
        <v>0</v>
      </c>
      <c r="O2132" s="67">
        <f>ROUND(IF(F2132="rame",0,+I2132*3%),4)</f>
        <v>0</v>
      </c>
      <c r="P2132" s="67">
        <f>ROUND(IF(O2132&lt;J2132,O2132,0),4)</f>
        <v>0</v>
      </c>
      <c r="Q2132" s="67">
        <f>ROUND(IF(J2132&gt;O2132,0,J2132),4)</f>
        <v>0</v>
      </c>
      <c r="R2132" s="67">
        <f>ROUND(+P2132*D2132,4)</f>
        <v>0</v>
      </c>
      <c r="S2132" s="67">
        <f>ROUND(IF(K2132=0,0,M2132*D2132),4)</f>
        <v>0</v>
      </c>
      <c r="T2132" s="67">
        <f>ROUND(+IF(K2132=0,Q2132*D2132,0),4)</f>
        <v>0</v>
      </c>
      <c r="U2132" s="67">
        <f>ROUND(+N2132+R2132+S2132+T2132,4)</f>
        <v>0</v>
      </c>
      <c r="V2132" s="67">
        <f>ROUND(IF(P2132=0,0,I2132-H2132-O2132)+IF(L2132=0,0,I2132-H2132-K2132),4)</f>
        <v>0</v>
      </c>
      <c r="W2132" s="67">
        <f>ROUND(+(V2132*60%)*D2132,4)</f>
        <v>0</v>
      </c>
      <c r="X2132" s="148">
        <f>ROUND(+U2132+W2132,4)</f>
        <v>0</v>
      </c>
      <c r="Y2132" s="68"/>
      <c r="Z2132" s="148">
        <f>ROUND(IF(X2132&gt;I2132,X2132,I2132),4)</f>
        <v>0</v>
      </c>
      <c r="AD2132" s="78">
        <f t="shared" si="44"/>
        <v>0</v>
      </c>
      <c r="AE2132" s="78">
        <f t="shared" si="45"/>
        <v>0</v>
      </c>
    </row>
    <row r="2133" spans="1:31" x14ac:dyDescent="0.2">
      <c r="A2133" s="66"/>
      <c r="B2133" s="66"/>
      <c r="C2133" s="66"/>
      <c r="D2133" s="144"/>
      <c r="E2133" s="67"/>
      <c r="F2133" s="67"/>
      <c r="G2133" s="67"/>
      <c r="H2133" s="67">
        <f>ROUND(+E2133+G2133,4)</f>
        <v>0</v>
      </c>
      <c r="I2133" s="67"/>
      <c r="J2133" s="67">
        <f>ROUND(+I2133-H2133,4)</f>
        <v>0</v>
      </c>
      <c r="K2133" s="67">
        <f>ROUND(IF(F2133="alluminio",0,I2133*1.5%),4)</f>
        <v>0</v>
      </c>
      <c r="L2133" s="67">
        <f>ROUND(IF(K2133&lt;J2133,K2133,0),4)</f>
        <v>0</v>
      </c>
      <c r="M2133" s="67">
        <f>ROUND(IF(J2133&gt;K2133,0,J2133),4)</f>
        <v>0</v>
      </c>
      <c r="N2133" s="67">
        <f>ROUND(+L2133*D2133,4)</f>
        <v>0</v>
      </c>
      <c r="O2133" s="67">
        <f>ROUND(IF(F2133="rame",0,+I2133*3%),4)</f>
        <v>0</v>
      </c>
      <c r="P2133" s="67">
        <f>ROUND(IF(O2133&lt;J2133,O2133,0),4)</f>
        <v>0</v>
      </c>
      <c r="Q2133" s="67">
        <f>ROUND(IF(J2133&gt;O2133,0,J2133),4)</f>
        <v>0</v>
      </c>
      <c r="R2133" s="67">
        <f>ROUND(+P2133*D2133,4)</f>
        <v>0</v>
      </c>
      <c r="S2133" s="67">
        <f>ROUND(IF(K2133=0,0,M2133*D2133),4)</f>
        <v>0</v>
      </c>
      <c r="T2133" s="67">
        <f>ROUND(+IF(K2133=0,Q2133*D2133,0),4)</f>
        <v>0</v>
      </c>
      <c r="U2133" s="67">
        <f>ROUND(+N2133+R2133+S2133+T2133,4)</f>
        <v>0</v>
      </c>
      <c r="V2133" s="67">
        <f>ROUND(IF(P2133=0,0,I2133-H2133-O2133)+IF(L2133=0,0,I2133-H2133-K2133),4)</f>
        <v>0</v>
      </c>
      <c r="W2133" s="67">
        <f>ROUND(+(V2133*60%)*D2133,4)</f>
        <v>0</v>
      </c>
      <c r="X2133" s="148">
        <f>ROUND(+U2133+W2133,4)</f>
        <v>0</v>
      </c>
      <c r="Y2133" s="68"/>
      <c r="Z2133" s="148">
        <f>ROUND(IF(X2133&gt;I2133,X2133,I2133),4)</f>
        <v>0</v>
      </c>
      <c r="AD2133" s="78">
        <f t="shared" si="44"/>
        <v>0</v>
      </c>
      <c r="AE2133" s="78">
        <f t="shared" si="45"/>
        <v>0</v>
      </c>
    </row>
    <row r="2134" spans="1:31" x14ac:dyDescent="0.2">
      <c r="A2134" s="66"/>
      <c r="B2134" s="66"/>
      <c r="C2134" s="66"/>
      <c r="D2134" s="144"/>
      <c r="E2134" s="67"/>
      <c r="F2134" s="67"/>
      <c r="G2134" s="67"/>
      <c r="H2134" s="67">
        <f>ROUND(+E2134+G2134,4)</f>
        <v>0</v>
      </c>
      <c r="I2134" s="67"/>
      <c r="J2134" s="67">
        <f>ROUND(+I2134-H2134,4)</f>
        <v>0</v>
      </c>
      <c r="K2134" s="67">
        <f>ROUND(IF(F2134="alluminio",0,I2134*1.5%),4)</f>
        <v>0</v>
      </c>
      <c r="L2134" s="67">
        <f>ROUND(IF(K2134&lt;J2134,K2134,0),4)</f>
        <v>0</v>
      </c>
      <c r="M2134" s="67">
        <f>ROUND(IF(J2134&gt;K2134,0,J2134),4)</f>
        <v>0</v>
      </c>
      <c r="N2134" s="67">
        <f>ROUND(+L2134*D2134,4)</f>
        <v>0</v>
      </c>
      <c r="O2134" s="67">
        <f>ROUND(IF(F2134="rame",0,+I2134*3%),4)</f>
        <v>0</v>
      </c>
      <c r="P2134" s="67">
        <f>ROUND(IF(O2134&lt;J2134,O2134,0),4)</f>
        <v>0</v>
      </c>
      <c r="Q2134" s="67">
        <f>ROUND(IF(J2134&gt;O2134,0,J2134),4)</f>
        <v>0</v>
      </c>
      <c r="R2134" s="67">
        <f>ROUND(+P2134*D2134,4)</f>
        <v>0</v>
      </c>
      <c r="S2134" s="67">
        <f>ROUND(IF(K2134=0,0,M2134*D2134),4)</f>
        <v>0</v>
      </c>
      <c r="T2134" s="67">
        <f>ROUND(+IF(K2134=0,Q2134*D2134,0),4)</f>
        <v>0</v>
      </c>
      <c r="U2134" s="67">
        <f>ROUND(+N2134+R2134+S2134+T2134,4)</f>
        <v>0</v>
      </c>
      <c r="V2134" s="67">
        <f>ROUND(IF(P2134=0,0,I2134-H2134-O2134)+IF(L2134=0,0,I2134-H2134-K2134),4)</f>
        <v>0</v>
      </c>
      <c r="W2134" s="67">
        <f>ROUND(+(V2134*60%)*D2134,4)</f>
        <v>0</v>
      </c>
      <c r="X2134" s="148">
        <f>ROUND(+U2134+W2134,4)</f>
        <v>0</v>
      </c>
      <c r="Y2134" s="68"/>
      <c r="Z2134" s="148">
        <f>ROUND(IF(X2134&gt;I2134,X2134,I2134),4)</f>
        <v>0</v>
      </c>
      <c r="AD2134" s="78">
        <f t="shared" si="44"/>
        <v>0</v>
      </c>
      <c r="AE2134" s="78">
        <f t="shared" si="45"/>
        <v>0</v>
      </c>
    </row>
    <row r="2135" spans="1:31" x14ac:dyDescent="0.2">
      <c r="A2135" s="66"/>
      <c r="B2135" s="66"/>
      <c r="C2135" s="66"/>
      <c r="D2135" s="144"/>
      <c r="E2135" s="67"/>
      <c r="F2135" s="67"/>
      <c r="G2135" s="67"/>
      <c r="H2135" s="67">
        <f>ROUND(+E2135+G2135,4)</f>
        <v>0</v>
      </c>
      <c r="I2135" s="67"/>
      <c r="J2135" s="67">
        <f>ROUND(+I2135-H2135,4)</f>
        <v>0</v>
      </c>
      <c r="K2135" s="67">
        <f>ROUND(IF(F2135="alluminio",0,I2135*1.5%),4)</f>
        <v>0</v>
      </c>
      <c r="L2135" s="67">
        <f>ROUND(IF(K2135&lt;J2135,K2135,0),4)</f>
        <v>0</v>
      </c>
      <c r="M2135" s="67">
        <f>ROUND(IF(J2135&gt;K2135,0,J2135),4)</f>
        <v>0</v>
      </c>
      <c r="N2135" s="67">
        <f>ROUND(+L2135*D2135,4)</f>
        <v>0</v>
      </c>
      <c r="O2135" s="67">
        <f>ROUND(IF(F2135="rame",0,+I2135*3%),4)</f>
        <v>0</v>
      </c>
      <c r="P2135" s="67">
        <f>ROUND(IF(O2135&lt;J2135,O2135,0),4)</f>
        <v>0</v>
      </c>
      <c r="Q2135" s="67">
        <f>ROUND(IF(J2135&gt;O2135,0,J2135),4)</f>
        <v>0</v>
      </c>
      <c r="R2135" s="67">
        <f>ROUND(+P2135*D2135,4)</f>
        <v>0</v>
      </c>
      <c r="S2135" s="67">
        <f>ROUND(IF(K2135=0,0,M2135*D2135),4)</f>
        <v>0</v>
      </c>
      <c r="T2135" s="67">
        <f>ROUND(+IF(K2135=0,Q2135*D2135,0),4)</f>
        <v>0</v>
      </c>
      <c r="U2135" s="67">
        <f>ROUND(+N2135+R2135+S2135+T2135,4)</f>
        <v>0</v>
      </c>
      <c r="V2135" s="67">
        <f>ROUND(IF(P2135=0,0,I2135-H2135-O2135)+IF(L2135=0,0,I2135-H2135-K2135),4)</f>
        <v>0</v>
      </c>
      <c r="W2135" s="67">
        <f>ROUND(+(V2135*60%)*D2135,4)</f>
        <v>0</v>
      </c>
      <c r="X2135" s="148">
        <f>ROUND(+U2135+W2135,4)</f>
        <v>0</v>
      </c>
      <c r="Y2135" s="68"/>
      <c r="Z2135" s="148">
        <f>ROUND(IF(X2135&gt;I2135,X2135,I2135),4)</f>
        <v>0</v>
      </c>
      <c r="AD2135" s="78">
        <f t="shared" si="44"/>
        <v>0</v>
      </c>
      <c r="AE2135" s="78">
        <f t="shared" si="45"/>
        <v>0</v>
      </c>
    </row>
    <row r="2136" spans="1:31" x14ac:dyDescent="0.2">
      <c r="A2136" s="66"/>
      <c r="B2136" s="66"/>
      <c r="C2136" s="66"/>
      <c r="D2136" s="144"/>
      <c r="E2136" s="67"/>
      <c r="F2136" s="67"/>
      <c r="G2136" s="67"/>
      <c r="H2136" s="67">
        <f>ROUND(+E2136+G2136,4)</f>
        <v>0</v>
      </c>
      <c r="I2136" s="67"/>
      <c r="J2136" s="67">
        <f>ROUND(+I2136-H2136,4)</f>
        <v>0</v>
      </c>
      <c r="K2136" s="67">
        <f>ROUND(IF(F2136="alluminio",0,I2136*1.5%),4)</f>
        <v>0</v>
      </c>
      <c r="L2136" s="67">
        <f>ROUND(IF(K2136&lt;J2136,K2136,0),4)</f>
        <v>0</v>
      </c>
      <c r="M2136" s="67">
        <f>ROUND(IF(J2136&gt;K2136,0,J2136),4)</f>
        <v>0</v>
      </c>
      <c r="N2136" s="67">
        <f>ROUND(+L2136*D2136,4)</f>
        <v>0</v>
      </c>
      <c r="O2136" s="67">
        <f>ROUND(IF(F2136="rame",0,+I2136*3%),4)</f>
        <v>0</v>
      </c>
      <c r="P2136" s="67">
        <f>ROUND(IF(O2136&lt;J2136,O2136,0),4)</f>
        <v>0</v>
      </c>
      <c r="Q2136" s="67">
        <f>ROUND(IF(J2136&gt;O2136,0,J2136),4)</f>
        <v>0</v>
      </c>
      <c r="R2136" s="67">
        <f>ROUND(+P2136*D2136,4)</f>
        <v>0</v>
      </c>
      <c r="S2136" s="67">
        <f>ROUND(IF(K2136=0,0,M2136*D2136),4)</f>
        <v>0</v>
      </c>
      <c r="T2136" s="67">
        <f>ROUND(+IF(K2136=0,Q2136*D2136,0),4)</f>
        <v>0</v>
      </c>
      <c r="U2136" s="67">
        <f>ROUND(+N2136+R2136+S2136+T2136,4)</f>
        <v>0</v>
      </c>
      <c r="V2136" s="67">
        <f>ROUND(IF(P2136=0,0,I2136-H2136-O2136)+IF(L2136=0,0,I2136-H2136-K2136),4)</f>
        <v>0</v>
      </c>
      <c r="W2136" s="67">
        <f>ROUND(+(V2136*60%)*D2136,4)</f>
        <v>0</v>
      </c>
      <c r="X2136" s="148">
        <f>ROUND(+U2136+W2136,4)</f>
        <v>0</v>
      </c>
      <c r="Y2136" s="68"/>
      <c r="Z2136" s="148">
        <f>ROUND(IF(X2136&gt;I2136,X2136,I2136),4)</f>
        <v>0</v>
      </c>
      <c r="AD2136" s="78">
        <f t="shared" si="44"/>
        <v>0</v>
      </c>
      <c r="AE2136" s="78">
        <f t="shared" si="45"/>
        <v>0</v>
      </c>
    </row>
    <row r="2137" spans="1:31" x14ac:dyDescent="0.2">
      <c r="A2137" s="66"/>
      <c r="B2137" s="66"/>
      <c r="C2137" s="66"/>
      <c r="D2137" s="144"/>
      <c r="E2137" s="67"/>
      <c r="F2137" s="67"/>
      <c r="G2137" s="67"/>
      <c r="H2137" s="67">
        <f>ROUND(+E2137+G2137,4)</f>
        <v>0</v>
      </c>
      <c r="I2137" s="67"/>
      <c r="J2137" s="67">
        <f>ROUND(+I2137-H2137,4)</f>
        <v>0</v>
      </c>
      <c r="K2137" s="67">
        <f>ROUND(IF(F2137="alluminio",0,I2137*1.5%),4)</f>
        <v>0</v>
      </c>
      <c r="L2137" s="67">
        <f>ROUND(IF(K2137&lt;J2137,K2137,0),4)</f>
        <v>0</v>
      </c>
      <c r="M2137" s="67">
        <f>ROUND(IF(J2137&gt;K2137,0,J2137),4)</f>
        <v>0</v>
      </c>
      <c r="N2137" s="67">
        <f>ROUND(+L2137*D2137,4)</f>
        <v>0</v>
      </c>
      <c r="O2137" s="67">
        <f>ROUND(IF(F2137="rame",0,+I2137*3%),4)</f>
        <v>0</v>
      </c>
      <c r="P2137" s="67">
        <f>ROUND(IF(O2137&lt;J2137,O2137,0),4)</f>
        <v>0</v>
      </c>
      <c r="Q2137" s="67">
        <f>ROUND(IF(J2137&gt;O2137,0,J2137),4)</f>
        <v>0</v>
      </c>
      <c r="R2137" s="67">
        <f>ROUND(+P2137*D2137,4)</f>
        <v>0</v>
      </c>
      <c r="S2137" s="67">
        <f>ROUND(IF(K2137=0,0,M2137*D2137),4)</f>
        <v>0</v>
      </c>
      <c r="T2137" s="67">
        <f>ROUND(+IF(K2137=0,Q2137*D2137,0),4)</f>
        <v>0</v>
      </c>
      <c r="U2137" s="67">
        <f>ROUND(+N2137+R2137+S2137+T2137,4)</f>
        <v>0</v>
      </c>
      <c r="V2137" s="67">
        <f>ROUND(IF(P2137=0,0,I2137-H2137-O2137)+IF(L2137=0,0,I2137-H2137-K2137),4)</f>
        <v>0</v>
      </c>
      <c r="W2137" s="67">
        <f>ROUND(+(V2137*60%)*D2137,4)</f>
        <v>0</v>
      </c>
      <c r="X2137" s="148">
        <f>ROUND(+U2137+W2137,4)</f>
        <v>0</v>
      </c>
      <c r="Y2137" s="68"/>
      <c r="Z2137" s="148">
        <f>ROUND(IF(X2137&gt;I2137,X2137,I2137),4)</f>
        <v>0</v>
      </c>
      <c r="AD2137" s="78">
        <f t="shared" si="44"/>
        <v>0</v>
      </c>
      <c r="AE2137" s="78">
        <f t="shared" si="45"/>
        <v>0</v>
      </c>
    </row>
    <row r="2138" spans="1:31" x14ac:dyDescent="0.2">
      <c r="A2138" s="66"/>
      <c r="B2138" s="66"/>
      <c r="C2138" s="66"/>
      <c r="D2138" s="144"/>
      <c r="E2138" s="67"/>
      <c r="F2138" s="67"/>
      <c r="G2138" s="67"/>
      <c r="H2138" s="67">
        <f>ROUND(+E2138+G2138,4)</f>
        <v>0</v>
      </c>
      <c r="I2138" s="67"/>
      <c r="J2138" s="67">
        <f>ROUND(+I2138-H2138,4)</f>
        <v>0</v>
      </c>
      <c r="K2138" s="67">
        <f>ROUND(IF(F2138="alluminio",0,I2138*1.5%),4)</f>
        <v>0</v>
      </c>
      <c r="L2138" s="67">
        <f>ROUND(IF(K2138&lt;J2138,K2138,0),4)</f>
        <v>0</v>
      </c>
      <c r="M2138" s="67">
        <f>ROUND(IF(J2138&gt;K2138,0,J2138),4)</f>
        <v>0</v>
      </c>
      <c r="N2138" s="67">
        <f>ROUND(+L2138*D2138,4)</f>
        <v>0</v>
      </c>
      <c r="O2138" s="67">
        <f>ROUND(IF(F2138="rame",0,+I2138*3%),4)</f>
        <v>0</v>
      </c>
      <c r="P2138" s="67">
        <f>ROUND(IF(O2138&lt;J2138,O2138,0),4)</f>
        <v>0</v>
      </c>
      <c r="Q2138" s="67">
        <f>ROUND(IF(J2138&gt;O2138,0,J2138),4)</f>
        <v>0</v>
      </c>
      <c r="R2138" s="67">
        <f>ROUND(+P2138*D2138,4)</f>
        <v>0</v>
      </c>
      <c r="S2138" s="67">
        <f>ROUND(IF(K2138=0,0,M2138*D2138),4)</f>
        <v>0</v>
      </c>
      <c r="T2138" s="67">
        <f>ROUND(+IF(K2138=0,Q2138*D2138,0),4)</f>
        <v>0</v>
      </c>
      <c r="U2138" s="67">
        <f>ROUND(+N2138+R2138+S2138+T2138,4)</f>
        <v>0</v>
      </c>
      <c r="V2138" s="67">
        <f>ROUND(IF(P2138=0,0,I2138-H2138-O2138)+IF(L2138=0,0,I2138-H2138-K2138),4)</f>
        <v>0</v>
      </c>
      <c r="W2138" s="67">
        <f>ROUND(+(V2138*60%)*D2138,4)</f>
        <v>0</v>
      </c>
      <c r="X2138" s="148">
        <f>ROUND(+U2138+W2138,4)</f>
        <v>0</v>
      </c>
      <c r="Y2138" s="68"/>
      <c r="Z2138" s="148">
        <f>ROUND(IF(X2138&gt;I2138,X2138,I2138),4)</f>
        <v>0</v>
      </c>
      <c r="AD2138" s="78">
        <f t="shared" si="44"/>
        <v>0</v>
      </c>
      <c r="AE2138" s="78">
        <f t="shared" si="45"/>
        <v>0</v>
      </c>
    </row>
    <row r="2139" spans="1:31" x14ac:dyDescent="0.2">
      <c r="A2139" s="66"/>
      <c r="B2139" s="66"/>
      <c r="C2139" s="66"/>
      <c r="D2139" s="144"/>
      <c r="E2139" s="67"/>
      <c r="F2139" s="67"/>
      <c r="G2139" s="67"/>
      <c r="H2139" s="67">
        <f>ROUND(+E2139+G2139,4)</f>
        <v>0</v>
      </c>
      <c r="I2139" s="67"/>
      <c r="J2139" s="67">
        <f>ROUND(+I2139-H2139,4)</f>
        <v>0</v>
      </c>
      <c r="K2139" s="67">
        <f>ROUND(IF(F2139="alluminio",0,I2139*1.5%),4)</f>
        <v>0</v>
      </c>
      <c r="L2139" s="67">
        <f>ROUND(IF(K2139&lt;J2139,K2139,0),4)</f>
        <v>0</v>
      </c>
      <c r="M2139" s="67">
        <f>ROUND(IF(J2139&gt;K2139,0,J2139),4)</f>
        <v>0</v>
      </c>
      <c r="N2139" s="67">
        <f>ROUND(+L2139*D2139,4)</f>
        <v>0</v>
      </c>
      <c r="O2139" s="67">
        <f>ROUND(IF(F2139="rame",0,+I2139*3%),4)</f>
        <v>0</v>
      </c>
      <c r="P2139" s="67">
        <f>ROUND(IF(O2139&lt;J2139,O2139,0),4)</f>
        <v>0</v>
      </c>
      <c r="Q2139" s="67">
        <f>ROUND(IF(J2139&gt;O2139,0,J2139),4)</f>
        <v>0</v>
      </c>
      <c r="R2139" s="67">
        <f>ROUND(+P2139*D2139,4)</f>
        <v>0</v>
      </c>
      <c r="S2139" s="67">
        <f>ROUND(IF(K2139=0,0,M2139*D2139),4)</f>
        <v>0</v>
      </c>
      <c r="T2139" s="67">
        <f>ROUND(+IF(K2139=0,Q2139*D2139,0),4)</f>
        <v>0</v>
      </c>
      <c r="U2139" s="67">
        <f>ROUND(+N2139+R2139+S2139+T2139,4)</f>
        <v>0</v>
      </c>
      <c r="V2139" s="67">
        <f>ROUND(IF(P2139=0,0,I2139-H2139-O2139)+IF(L2139=0,0,I2139-H2139-K2139),4)</f>
        <v>0</v>
      </c>
      <c r="W2139" s="67">
        <f>ROUND(+(V2139*60%)*D2139,4)</f>
        <v>0</v>
      </c>
      <c r="X2139" s="148">
        <f>ROUND(+U2139+W2139,4)</f>
        <v>0</v>
      </c>
      <c r="Y2139" s="68"/>
      <c r="Z2139" s="148">
        <f>ROUND(IF(X2139&gt;I2139,X2139,I2139),4)</f>
        <v>0</v>
      </c>
      <c r="AD2139" s="78">
        <f t="shared" si="44"/>
        <v>0</v>
      </c>
      <c r="AE2139" s="78">
        <f t="shared" si="45"/>
        <v>0</v>
      </c>
    </row>
    <row r="2140" spans="1:31" x14ac:dyDescent="0.2">
      <c r="A2140" s="66"/>
      <c r="B2140" s="66"/>
      <c r="C2140" s="66"/>
      <c r="D2140" s="144"/>
      <c r="E2140" s="67"/>
      <c r="F2140" s="67"/>
      <c r="G2140" s="67"/>
      <c r="H2140" s="67">
        <f>ROUND(+E2140+G2140,4)</f>
        <v>0</v>
      </c>
      <c r="I2140" s="67"/>
      <c r="J2140" s="67">
        <f>ROUND(+I2140-H2140,4)</f>
        <v>0</v>
      </c>
      <c r="K2140" s="67">
        <f>ROUND(IF(F2140="alluminio",0,I2140*1.5%),4)</f>
        <v>0</v>
      </c>
      <c r="L2140" s="67">
        <f>ROUND(IF(K2140&lt;J2140,K2140,0),4)</f>
        <v>0</v>
      </c>
      <c r="M2140" s="67">
        <f>ROUND(IF(J2140&gt;K2140,0,J2140),4)</f>
        <v>0</v>
      </c>
      <c r="N2140" s="67">
        <f>ROUND(+L2140*D2140,4)</f>
        <v>0</v>
      </c>
      <c r="O2140" s="67">
        <f>ROUND(IF(F2140="rame",0,+I2140*3%),4)</f>
        <v>0</v>
      </c>
      <c r="P2140" s="67">
        <f>ROUND(IF(O2140&lt;J2140,O2140,0),4)</f>
        <v>0</v>
      </c>
      <c r="Q2140" s="67">
        <f>ROUND(IF(J2140&gt;O2140,0,J2140),4)</f>
        <v>0</v>
      </c>
      <c r="R2140" s="67">
        <f>ROUND(+P2140*D2140,4)</f>
        <v>0</v>
      </c>
      <c r="S2140" s="67">
        <f>ROUND(IF(K2140=0,0,M2140*D2140),4)</f>
        <v>0</v>
      </c>
      <c r="T2140" s="67">
        <f>ROUND(+IF(K2140=0,Q2140*D2140,0),4)</f>
        <v>0</v>
      </c>
      <c r="U2140" s="67">
        <f>ROUND(+N2140+R2140+S2140+T2140,4)</f>
        <v>0</v>
      </c>
      <c r="V2140" s="67">
        <f>ROUND(IF(P2140=0,0,I2140-H2140-O2140)+IF(L2140=0,0,I2140-H2140-K2140),4)</f>
        <v>0</v>
      </c>
      <c r="W2140" s="67">
        <f>ROUND(+(V2140*60%)*D2140,4)</f>
        <v>0</v>
      </c>
      <c r="X2140" s="148">
        <f>ROUND(+U2140+W2140,4)</f>
        <v>0</v>
      </c>
      <c r="Y2140" s="68"/>
      <c r="Z2140" s="148">
        <f>ROUND(IF(X2140&gt;I2140,X2140,I2140),4)</f>
        <v>0</v>
      </c>
      <c r="AD2140" s="78">
        <f t="shared" si="44"/>
        <v>0</v>
      </c>
      <c r="AE2140" s="78">
        <f t="shared" si="45"/>
        <v>0</v>
      </c>
    </row>
    <row r="2141" spans="1:31" x14ac:dyDescent="0.2">
      <c r="A2141" s="66"/>
      <c r="B2141" s="66"/>
      <c r="C2141" s="66"/>
      <c r="D2141" s="144"/>
      <c r="E2141" s="67"/>
      <c r="F2141" s="67"/>
      <c r="G2141" s="67"/>
      <c r="H2141" s="67">
        <f>ROUND(+E2141+G2141,4)</f>
        <v>0</v>
      </c>
      <c r="I2141" s="67"/>
      <c r="J2141" s="67">
        <f>ROUND(+I2141-H2141,4)</f>
        <v>0</v>
      </c>
      <c r="K2141" s="67">
        <f>ROUND(IF(F2141="alluminio",0,I2141*1.5%),4)</f>
        <v>0</v>
      </c>
      <c r="L2141" s="67">
        <f>ROUND(IF(K2141&lt;J2141,K2141,0),4)</f>
        <v>0</v>
      </c>
      <c r="M2141" s="67">
        <f>ROUND(IF(J2141&gt;K2141,0,J2141),4)</f>
        <v>0</v>
      </c>
      <c r="N2141" s="67">
        <f>ROUND(+L2141*D2141,4)</f>
        <v>0</v>
      </c>
      <c r="O2141" s="67">
        <f>ROUND(IF(F2141="rame",0,+I2141*3%),4)</f>
        <v>0</v>
      </c>
      <c r="P2141" s="67">
        <f>ROUND(IF(O2141&lt;J2141,O2141,0),4)</f>
        <v>0</v>
      </c>
      <c r="Q2141" s="67">
        <f>ROUND(IF(J2141&gt;O2141,0,J2141),4)</f>
        <v>0</v>
      </c>
      <c r="R2141" s="67">
        <f>ROUND(+P2141*D2141,4)</f>
        <v>0</v>
      </c>
      <c r="S2141" s="67">
        <f>ROUND(IF(K2141=0,0,M2141*D2141),4)</f>
        <v>0</v>
      </c>
      <c r="T2141" s="67">
        <f>ROUND(+IF(K2141=0,Q2141*D2141,0),4)</f>
        <v>0</v>
      </c>
      <c r="U2141" s="67">
        <f>ROUND(+N2141+R2141+S2141+T2141,4)</f>
        <v>0</v>
      </c>
      <c r="V2141" s="67">
        <f>ROUND(IF(P2141=0,0,I2141-H2141-O2141)+IF(L2141=0,0,I2141-H2141-K2141),4)</f>
        <v>0</v>
      </c>
      <c r="W2141" s="67">
        <f>ROUND(+(V2141*60%)*D2141,4)</f>
        <v>0</v>
      </c>
      <c r="X2141" s="148">
        <f>ROUND(+U2141+W2141,4)</f>
        <v>0</v>
      </c>
      <c r="Y2141" s="68"/>
      <c r="Z2141" s="148">
        <f>ROUND(IF(X2141&gt;I2141,X2141,I2141),4)</f>
        <v>0</v>
      </c>
      <c r="AD2141" s="78">
        <f t="shared" si="44"/>
        <v>0</v>
      </c>
      <c r="AE2141" s="78">
        <f t="shared" si="45"/>
        <v>0</v>
      </c>
    </row>
    <row r="2142" spans="1:31" x14ac:dyDescent="0.2">
      <c r="A2142" s="66"/>
      <c r="B2142" s="66"/>
      <c r="C2142" s="66"/>
      <c r="D2142" s="144"/>
      <c r="E2142" s="67"/>
      <c r="F2142" s="67"/>
      <c r="G2142" s="67"/>
      <c r="H2142" s="67">
        <f>ROUND(+E2142+G2142,4)</f>
        <v>0</v>
      </c>
      <c r="I2142" s="67"/>
      <c r="J2142" s="67">
        <f>ROUND(+I2142-H2142,4)</f>
        <v>0</v>
      </c>
      <c r="K2142" s="67">
        <f>ROUND(IF(F2142="alluminio",0,I2142*1.5%),4)</f>
        <v>0</v>
      </c>
      <c r="L2142" s="67">
        <f>ROUND(IF(K2142&lt;J2142,K2142,0),4)</f>
        <v>0</v>
      </c>
      <c r="M2142" s="67">
        <f>ROUND(IF(J2142&gt;K2142,0,J2142),4)</f>
        <v>0</v>
      </c>
      <c r="N2142" s="67">
        <f>ROUND(+L2142*D2142,4)</f>
        <v>0</v>
      </c>
      <c r="O2142" s="67">
        <f>ROUND(IF(F2142="rame",0,+I2142*3%),4)</f>
        <v>0</v>
      </c>
      <c r="P2142" s="67">
        <f>ROUND(IF(O2142&lt;J2142,O2142,0),4)</f>
        <v>0</v>
      </c>
      <c r="Q2142" s="67">
        <f>ROUND(IF(J2142&gt;O2142,0,J2142),4)</f>
        <v>0</v>
      </c>
      <c r="R2142" s="67">
        <f>ROUND(+P2142*D2142,4)</f>
        <v>0</v>
      </c>
      <c r="S2142" s="67">
        <f>ROUND(IF(K2142=0,0,M2142*D2142),4)</f>
        <v>0</v>
      </c>
      <c r="T2142" s="67">
        <f>ROUND(+IF(K2142=0,Q2142*D2142,0),4)</f>
        <v>0</v>
      </c>
      <c r="U2142" s="67">
        <f>ROUND(+N2142+R2142+S2142+T2142,4)</f>
        <v>0</v>
      </c>
      <c r="V2142" s="67">
        <f>ROUND(IF(P2142=0,0,I2142-H2142-O2142)+IF(L2142=0,0,I2142-H2142-K2142),4)</f>
        <v>0</v>
      </c>
      <c r="W2142" s="67">
        <f>ROUND(+(V2142*60%)*D2142,4)</f>
        <v>0</v>
      </c>
      <c r="X2142" s="148">
        <f>ROUND(+U2142+W2142,4)</f>
        <v>0</v>
      </c>
      <c r="Y2142" s="68"/>
      <c r="Z2142" s="148">
        <f>ROUND(IF(X2142&gt;I2142,X2142,I2142),4)</f>
        <v>0</v>
      </c>
      <c r="AD2142" s="78">
        <f t="shared" si="44"/>
        <v>0</v>
      </c>
      <c r="AE2142" s="78">
        <f t="shared" si="45"/>
        <v>0</v>
      </c>
    </row>
    <row r="2143" spans="1:31" x14ac:dyDescent="0.2">
      <c r="A2143" s="66"/>
      <c r="B2143" s="66"/>
      <c r="C2143" s="66"/>
      <c r="D2143" s="144"/>
      <c r="E2143" s="67"/>
      <c r="F2143" s="67"/>
      <c r="G2143" s="67"/>
      <c r="H2143" s="67">
        <f>ROUND(+E2143+G2143,4)</f>
        <v>0</v>
      </c>
      <c r="I2143" s="67"/>
      <c r="J2143" s="67">
        <f>ROUND(+I2143-H2143,4)</f>
        <v>0</v>
      </c>
      <c r="K2143" s="67">
        <f>ROUND(IF(F2143="alluminio",0,I2143*1.5%),4)</f>
        <v>0</v>
      </c>
      <c r="L2143" s="67">
        <f>ROUND(IF(K2143&lt;J2143,K2143,0),4)</f>
        <v>0</v>
      </c>
      <c r="M2143" s="67">
        <f>ROUND(IF(J2143&gt;K2143,0,J2143),4)</f>
        <v>0</v>
      </c>
      <c r="N2143" s="67">
        <f>ROUND(+L2143*D2143,4)</f>
        <v>0</v>
      </c>
      <c r="O2143" s="67">
        <f>ROUND(IF(F2143="rame",0,+I2143*3%),4)</f>
        <v>0</v>
      </c>
      <c r="P2143" s="67">
        <f>ROUND(IF(O2143&lt;J2143,O2143,0),4)</f>
        <v>0</v>
      </c>
      <c r="Q2143" s="67">
        <f>ROUND(IF(J2143&gt;O2143,0,J2143),4)</f>
        <v>0</v>
      </c>
      <c r="R2143" s="67">
        <f>ROUND(+P2143*D2143,4)</f>
        <v>0</v>
      </c>
      <c r="S2143" s="67">
        <f>ROUND(IF(K2143=0,0,M2143*D2143),4)</f>
        <v>0</v>
      </c>
      <c r="T2143" s="67">
        <f>ROUND(+IF(K2143=0,Q2143*D2143,0),4)</f>
        <v>0</v>
      </c>
      <c r="U2143" s="67">
        <f>ROUND(+N2143+R2143+S2143+T2143,4)</f>
        <v>0</v>
      </c>
      <c r="V2143" s="67">
        <f>ROUND(IF(P2143=0,0,I2143-H2143-O2143)+IF(L2143=0,0,I2143-H2143-K2143),4)</f>
        <v>0</v>
      </c>
      <c r="W2143" s="67">
        <f>ROUND(+(V2143*60%)*D2143,4)</f>
        <v>0</v>
      </c>
      <c r="X2143" s="148">
        <f>ROUND(+U2143+W2143,4)</f>
        <v>0</v>
      </c>
      <c r="Y2143" s="68"/>
      <c r="Z2143" s="148">
        <f>ROUND(IF(X2143&gt;I2143,X2143,I2143),4)</f>
        <v>0</v>
      </c>
      <c r="AD2143" s="78">
        <f t="shared" si="44"/>
        <v>0</v>
      </c>
      <c r="AE2143" s="78">
        <f t="shared" si="45"/>
        <v>0</v>
      </c>
    </row>
    <row r="2144" spans="1:31" x14ac:dyDescent="0.2">
      <c r="A2144" s="66"/>
      <c r="B2144" s="66"/>
      <c r="C2144" s="66"/>
      <c r="D2144" s="144"/>
      <c r="E2144" s="67"/>
      <c r="F2144" s="67"/>
      <c r="G2144" s="67"/>
      <c r="H2144" s="67">
        <f>ROUND(+E2144+G2144,4)</f>
        <v>0</v>
      </c>
      <c r="I2144" s="67"/>
      <c r="J2144" s="67">
        <f>ROUND(+I2144-H2144,4)</f>
        <v>0</v>
      </c>
      <c r="K2144" s="67">
        <f>ROUND(IF(F2144="alluminio",0,I2144*1.5%),4)</f>
        <v>0</v>
      </c>
      <c r="L2144" s="67">
        <f>ROUND(IF(K2144&lt;J2144,K2144,0),4)</f>
        <v>0</v>
      </c>
      <c r="M2144" s="67">
        <f>ROUND(IF(J2144&gt;K2144,0,J2144),4)</f>
        <v>0</v>
      </c>
      <c r="N2144" s="67">
        <f>ROUND(+L2144*D2144,4)</f>
        <v>0</v>
      </c>
      <c r="O2144" s="67">
        <f>ROUND(IF(F2144="rame",0,+I2144*3%),4)</f>
        <v>0</v>
      </c>
      <c r="P2144" s="67">
        <f>ROUND(IF(O2144&lt;J2144,O2144,0),4)</f>
        <v>0</v>
      </c>
      <c r="Q2144" s="67">
        <f>ROUND(IF(J2144&gt;O2144,0,J2144),4)</f>
        <v>0</v>
      </c>
      <c r="R2144" s="67">
        <f>ROUND(+P2144*D2144,4)</f>
        <v>0</v>
      </c>
      <c r="S2144" s="67">
        <f>ROUND(IF(K2144=0,0,M2144*D2144),4)</f>
        <v>0</v>
      </c>
      <c r="T2144" s="67">
        <f>ROUND(+IF(K2144=0,Q2144*D2144,0),4)</f>
        <v>0</v>
      </c>
      <c r="U2144" s="67">
        <f>ROUND(+N2144+R2144+S2144+T2144,4)</f>
        <v>0</v>
      </c>
      <c r="V2144" s="67">
        <f>ROUND(IF(P2144=0,0,I2144-H2144-O2144)+IF(L2144=0,0,I2144-H2144-K2144),4)</f>
        <v>0</v>
      </c>
      <c r="W2144" s="67">
        <f>ROUND(+(V2144*60%)*D2144,4)</f>
        <v>0</v>
      </c>
      <c r="X2144" s="148">
        <f>ROUND(+U2144+W2144,4)</f>
        <v>0</v>
      </c>
      <c r="Y2144" s="68"/>
      <c r="Z2144" s="148">
        <f>ROUND(IF(X2144&gt;I2144,X2144,I2144),4)</f>
        <v>0</v>
      </c>
      <c r="AD2144" s="78">
        <f t="shared" si="44"/>
        <v>0</v>
      </c>
      <c r="AE2144" s="78">
        <f t="shared" si="45"/>
        <v>0</v>
      </c>
    </row>
    <row r="2145" spans="1:31" x14ac:dyDescent="0.2">
      <c r="A2145" s="66"/>
      <c r="B2145" s="66"/>
      <c r="C2145" s="66"/>
      <c r="D2145" s="144"/>
      <c r="E2145" s="67"/>
      <c r="F2145" s="67"/>
      <c r="G2145" s="67"/>
      <c r="H2145" s="67">
        <f>ROUND(+E2145+G2145,4)</f>
        <v>0</v>
      </c>
      <c r="I2145" s="67"/>
      <c r="J2145" s="67">
        <f>ROUND(+I2145-H2145,4)</f>
        <v>0</v>
      </c>
      <c r="K2145" s="67">
        <f>ROUND(IF(F2145="alluminio",0,I2145*1.5%),4)</f>
        <v>0</v>
      </c>
      <c r="L2145" s="67">
        <f>ROUND(IF(K2145&lt;J2145,K2145,0),4)</f>
        <v>0</v>
      </c>
      <c r="M2145" s="67">
        <f>ROUND(IF(J2145&gt;K2145,0,J2145),4)</f>
        <v>0</v>
      </c>
      <c r="N2145" s="67">
        <f>ROUND(+L2145*D2145,4)</f>
        <v>0</v>
      </c>
      <c r="O2145" s="67">
        <f>ROUND(IF(F2145="rame",0,+I2145*3%),4)</f>
        <v>0</v>
      </c>
      <c r="P2145" s="67">
        <f>ROUND(IF(O2145&lt;J2145,O2145,0),4)</f>
        <v>0</v>
      </c>
      <c r="Q2145" s="67">
        <f>ROUND(IF(J2145&gt;O2145,0,J2145),4)</f>
        <v>0</v>
      </c>
      <c r="R2145" s="67">
        <f>ROUND(+P2145*D2145,4)</f>
        <v>0</v>
      </c>
      <c r="S2145" s="67">
        <f>ROUND(IF(K2145=0,0,M2145*D2145),4)</f>
        <v>0</v>
      </c>
      <c r="T2145" s="67">
        <f>ROUND(+IF(K2145=0,Q2145*D2145,0),4)</f>
        <v>0</v>
      </c>
      <c r="U2145" s="67">
        <f>ROUND(+N2145+R2145+S2145+T2145,4)</f>
        <v>0</v>
      </c>
      <c r="V2145" s="67">
        <f>ROUND(IF(P2145=0,0,I2145-H2145-O2145)+IF(L2145=0,0,I2145-H2145-K2145),4)</f>
        <v>0</v>
      </c>
      <c r="W2145" s="67">
        <f>ROUND(+(V2145*60%)*D2145,4)</f>
        <v>0</v>
      </c>
      <c r="X2145" s="148">
        <f>ROUND(+U2145+W2145,4)</f>
        <v>0</v>
      </c>
      <c r="Y2145" s="68"/>
      <c r="Z2145" s="148">
        <f>ROUND(IF(X2145&gt;I2145,X2145,I2145),4)</f>
        <v>0</v>
      </c>
      <c r="AD2145" s="78">
        <f t="shared" si="44"/>
        <v>0</v>
      </c>
      <c r="AE2145" s="78">
        <f t="shared" si="45"/>
        <v>0</v>
      </c>
    </row>
    <row r="2146" spans="1:31" x14ac:dyDescent="0.2">
      <c r="A2146" s="66"/>
      <c r="B2146" s="66"/>
      <c r="C2146" s="66"/>
      <c r="D2146" s="144"/>
      <c r="E2146" s="67"/>
      <c r="F2146" s="67"/>
      <c r="G2146" s="67"/>
      <c r="H2146" s="67">
        <f>ROUND(+E2146+G2146,4)</f>
        <v>0</v>
      </c>
      <c r="I2146" s="67"/>
      <c r="J2146" s="67">
        <f>ROUND(+I2146-H2146,4)</f>
        <v>0</v>
      </c>
      <c r="K2146" s="67">
        <f>ROUND(IF(F2146="alluminio",0,I2146*1.5%),4)</f>
        <v>0</v>
      </c>
      <c r="L2146" s="67">
        <f>ROUND(IF(K2146&lt;J2146,K2146,0),4)</f>
        <v>0</v>
      </c>
      <c r="M2146" s="67">
        <f>ROUND(IF(J2146&gt;K2146,0,J2146),4)</f>
        <v>0</v>
      </c>
      <c r="N2146" s="67">
        <f>ROUND(+L2146*D2146,4)</f>
        <v>0</v>
      </c>
      <c r="O2146" s="67">
        <f>ROUND(IF(F2146="rame",0,+I2146*3%),4)</f>
        <v>0</v>
      </c>
      <c r="P2146" s="67">
        <f>ROUND(IF(O2146&lt;J2146,O2146,0),4)</f>
        <v>0</v>
      </c>
      <c r="Q2146" s="67">
        <f>ROUND(IF(J2146&gt;O2146,0,J2146),4)</f>
        <v>0</v>
      </c>
      <c r="R2146" s="67">
        <f>ROUND(+P2146*D2146,4)</f>
        <v>0</v>
      </c>
      <c r="S2146" s="67">
        <f>ROUND(IF(K2146=0,0,M2146*D2146),4)</f>
        <v>0</v>
      </c>
      <c r="T2146" s="67">
        <f>ROUND(+IF(K2146=0,Q2146*D2146,0),4)</f>
        <v>0</v>
      </c>
      <c r="U2146" s="67">
        <f>ROUND(+N2146+R2146+S2146+T2146,4)</f>
        <v>0</v>
      </c>
      <c r="V2146" s="67">
        <f>ROUND(IF(P2146=0,0,I2146-H2146-O2146)+IF(L2146=0,0,I2146-H2146-K2146),4)</f>
        <v>0</v>
      </c>
      <c r="W2146" s="67">
        <f>ROUND(+(V2146*60%)*D2146,4)</f>
        <v>0</v>
      </c>
      <c r="X2146" s="148">
        <f>ROUND(+U2146+W2146,4)</f>
        <v>0</v>
      </c>
      <c r="Y2146" s="68"/>
      <c r="Z2146" s="148">
        <f>ROUND(IF(X2146&gt;I2146,X2146,I2146),4)</f>
        <v>0</v>
      </c>
      <c r="AD2146" s="78">
        <f t="shared" si="44"/>
        <v>0</v>
      </c>
      <c r="AE2146" s="78">
        <f t="shared" si="45"/>
        <v>0</v>
      </c>
    </row>
    <row r="2147" spans="1:31" x14ac:dyDescent="0.2">
      <c r="A2147" s="66"/>
      <c r="B2147" s="66"/>
      <c r="C2147" s="66"/>
      <c r="D2147" s="144"/>
      <c r="E2147" s="67"/>
      <c r="F2147" s="67"/>
      <c r="G2147" s="67"/>
      <c r="H2147" s="67">
        <f>ROUND(+E2147+G2147,4)</f>
        <v>0</v>
      </c>
      <c r="I2147" s="67"/>
      <c r="J2147" s="67">
        <f>ROUND(+I2147-H2147,4)</f>
        <v>0</v>
      </c>
      <c r="K2147" s="67">
        <f>ROUND(IF(F2147="alluminio",0,I2147*1.5%),4)</f>
        <v>0</v>
      </c>
      <c r="L2147" s="67">
        <f>ROUND(IF(K2147&lt;J2147,K2147,0),4)</f>
        <v>0</v>
      </c>
      <c r="M2147" s="67">
        <f>ROUND(IF(J2147&gt;K2147,0,J2147),4)</f>
        <v>0</v>
      </c>
      <c r="N2147" s="67">
        <f>ROUND(+L2147*D2147,4)</f>
        <v>0</v>
      </c>
      <c r="O2147" s="67">
        <f>ROUND(IF(F2147="rame",0,+I2147*3%),4)</f>
        <v>0</v>
      </c>
      <c r="P2147" s="67">
        <f>ROUND(IF(O2147&lt;J2147,O2147,0),4)</f>
        <v>0</v>
      </c>
      <c r="Q2147" s="67">
        <f>ROUND(IF(J2147&gt;O2147,0,J2147),4)</f>
        <v>0</v>
      </c>
      <c r="R2147" s="67">
        <f>ROUND(+P2147*D2147,4)</f>
        <v>0</v>
      </c>
      <c r="S2147" s="67">
        <f>ROUND(IF(K2147=0,0,M2147*D2147),4)</f>
        <v>0</v>
      </c>
      <c r="T2147" s="67">
        <f>ROUND(+IF(K2147=0,Q2147*D2147,0),4)</f>
        <v>0</v>
      </c>
      <c r="U2147" s="67">
        <f>ROUND(+N2147+R2147+S2147+T2147,4)</f>
        <v>0</v>
      </c>
      <c r="V2147" s="67">
        <f>ROUND(IF(P2147=0,0,I2147-H2147-O2147)+IF(L2147=0,0,I2147-H2147-K2147),4)</f>
        <v>0</v>
      </c>
      <c r="W2147" s="67">
        <f>ROUND(+(V2147*60%)*D2147,4)</f>
        <v>0</v>
      </c>
      <c r="X2147" s="148">
        <f>ROUND(+U2147+W2147,4)</f>
        <v>0</v>
      </c>
      <c r="Y2147" s="68"/>
      <c r="Z2147" s="148">
        <f>ROUND(IF(X2147&gt;I2147,X2147,I2147),4)</f>
        <v>0</v>
      </c>
      <c r="AD2147" s="78">
        <f t="shared" si="44"/>
        <v>0</v>
      </c>
      <c r="AE2147" s="78">
        <f t="shared" si="45"/>
        <v>0</v>
      </c>
    </row>
    <row r="2148" spans="1:31" x14ac:dyDescent="0.2">
      <c r="A2148" s="66"/>
      <c r="B2148" s="66"/>
      <c r="C2148" s="66"/>
      <c r="D2148" s="144"/>
      <c r="E2148" s="67"/>
      <c r="F2148" s="67"/>
      <c r="G2148" s="67"/>
      <c r="H2148" s="67">
        <f>ROUND(+E2148+G2148,4)</f>
        <v>0</v>
      </c>
      <c r="I2148" s="67"/>
      <c r="J2148" s="67">
        <f>ROUND(+I2148-H2148,4)</f>
        <v>0</v>
      </c>
      <c r="K2148" s="67">
        <f>ROUND(IF(F2148="alluminio",0,I2148*1.5%),4)</f>
        <v>0</v>
      </c>
      <c r="L2148" s="67">
        <f>ROUND(IF(K2148&lt;J2148,K2148,0),4)</f>
        <v>0</v>
      </c>
      <c r="M2148" s="67">
        <f>ROUND(IF(J2148&gt;K2148,0,J2148),4)</f>
        <v>0</v>
      </c>
      <c r="N2148" s="67">
        <f>ROUND(+L2148*D2148,4)</f>
        <v>0</v>
      </c>
      <c r="O2148" s="67">
        <f>ROUND(IF(F2148="rame",0,+I2148*3%),4)</f>
        <v>0</v>
      </c>
      <c r="P2148" s="67">
        <f>ROUND(IF(O2148&lt;J2148,O2148,0),4)</f>
        <v>0</v>
      </c>
      <c r="Q2148" s="67">
        <f>ROUND(IF(J2148&gt;O2148,0,J2148),4)</f>
        <v>0</v>
      </c>
      <c r="R2148" s="67">
        <f>ROUND(+P2148*D2148,4)</f>
        <v>0</v>
      </c>
      <c r="S2148" s="67">
        <f>ROUND(IF(K2148=0,0,M2148*D2148),4)</f>
        <v>0</v>
      </c>
      <c r="T2148" s="67">
        <f>ROUND(+IF(K2148=0,Q2148*D2148,0),4)</f>
        <v>0</v>
      </c>
      <c r="U2148" s="67">
        <f>ROUND(+N2148+R2148+S2148+T2148,4)</f>
        <v>0</v>
      </c>
      <c r="V2148" s="67">
        <f>ROUND(IF(P2148=0,0,I2148-H2148-O2148)+IF(L2148=0,0,I2148-H2148-K2148),4)</f>
        <v>0</v>
      </c>
      <c r="W2148" s="67">
        <f>ROUND(+(V2148*60%)*D2148,4)</f>
        <v>0</v>
      </c>
      <c r="X2148" s="148">
        <f>ROUND(+U2148+W2148,4)</f>
        <v>0</v>
      </c>
      <c r="Y2148" s="68"/>
      <c r="Z2148" s="148">
        <f>ROUND(IF(X2148&gt;I2148,X2148,I2148),4)</f>
        <v>0</v>
      </c>
      <c r="AD2148" s="78">
        <f t="shared" si="44"/>
        <v>0</v>
      </c>
      <c r="AE2148" s="78">
        <f t="shared" si="45"/>
        <v>0</v>
      </c>
    </row>
    <row r="2149" spans="1:31" x14ac:dyDescent="0.2">
      <c r="A2149" s="66"/>
      <c r="B2149" s="66"/>
      <c r="C2149" s="66"/>
      <c r="D2149" s="144"/>
      <c r="E2149" s="67"/>
      <c r="F2149" s="67"/>
      <c r="G2149" s="67"/>
      <c r="H2149" s="67">
        <f>ROUND(+E2149+G2149,4)</f>
        <v>0</v>
      </c>
      <c r="I2149" s="67"/>
      <c r="J2149" s="67">
        <f>ROUND(+I2149-H2149,4)</f>
        <v>0</v>
      </c>
      <c r="K2149" s="67">
        <f>ROUND(IF(F2149="alluminio",0,I2149*1.5%),4)</f>
        <v>0</v>
      </c>
      <c r="L2149" s="67">
        <f>ROUND(IF(K2149&lt;J2149,K2149,0),4)</f>
        <v>0</v>
      </c>
      <c r="M2149" s="67">
        <f>ROUND(IF(J2149&gt;K2149,0,J2149),4)</f>
        <v>0</v>
      </c>
      <c r="N2149" s="67">
        <f>ROUND(+L2149*D2149,4)</f>
        <v>0</v>
      </c>
      <c r="O2149" s="67">
        <f>ROUND(IF(F2149="rame",0,+I2149*3%),4)</f>
        <v>0</v>
      </c>
      <c r="P2149" s="67">
        <f>ROUND(IF(O2149&lt;J2149,O2149,0),4)</f>
        <v>0</v>
      </c>
      <c r="Q2149" s="67">
        <f>ROUND(IF(J2149&gt;O2149,0,J2149),4)</f>
        <v>0</v>
      </c>
      <c r="R2149" s="67">
        <f>ROUND(+P2149*D2149,4)</f>
        <v>0</v>
      </c>
      <c r="S2149" s="67">
        <f>ROUND(IF(K2149=0,0,M2149*D2149),4)</f>
        <v>0</v>
      </c>
      <c r="T2149" s="67">
        <f>ROUND(+IF(K2149=0,Q2149*D2149,0),4)</f>
        <v>0</v>
      </c>
      <c r="U2149" s="67">
        <f>ROUND(+N2149+R2149+S2149+T2149,4)</f>
        <v>0</v>
      </c>
      <c r="V2149" s="67">
        <f>ROUND(IF(P2149=0,0,I2149-H2149-O2149)+IF(L2149=0,0,I2149-H2149-K2149),4)</f>
        <v>0</v>
      </c>
      <c r="W2149" s="67">
        <f>ROUND(+(V2149*60%)*D2149,4)</f>
        <v>0</v>
      </c>
      <c r="X2149" s="148">
        <f>ROUND(+U2149+W2149,4)</f>
        <v>0</v>
      </c>
      <c r="Y2149" s="68"/>
      <c r="Z2149" s="148">
        <f>ROUND(IF(X2149&gt;I2149,X2149,I2149),4)</f>
        <v>0</v>
      </c>
      <c r="AD2149" s="78">
        <f t="shared" si="44"/>
        <v>0</v>
      </c>
      <c r="AE2149" s="78">
        <f t="shared" si="45"/>
        <v>0</v>
      </c>
    </row>
    <row r="2150" spans="1:31" x14ac:dyDescent="0.2">
      <c r="A2150" s="66"/>
      <c r="B2150" s="66"/>
      <c r="C2150" s="66"/>
      <c r="D2150" s="144"/>
      <c r="E2150" s="67"/>
      <c r="F2150" s="67"/>
      <c r="G2150" s="67"/>
      <c r="H2150" s="67">
        <f>ROUND(+E2150+G2150,4)</f>
        <v>0</v>
      </c>
      <c r="I2150" s="67"/>
      <c r="J2150" s="67">
        <f>ROUND(+I2150-H2150,4)</f>
        <v>0</v>
      </c>
      <c r="K2150" s="67">
        <f>ROUND(IF(F2150="alluminio",0,I2150*1.5%),4)</f>
        <v>0</v>
      </c>
      <c r="L2150" s="67">
        <f>ROUND(IF(K2150&lt;J2150,K2150,0),4)</f>
        <v>0</v>
      </c>
      <c r="M2150" s="67">
        <f>ROUND(IF(J2150&gt;K2150,0,J2150),4)</f>
        <v>0</v>
      </c>
      <c r="N2150" s="67">
        <f>ROUND(+L2150*D2150,4)</f>
        <v>0</v>
      </c>
      <c r="O2150" s="67">
        <f>ROUND(IF(F2150="rame",0,+I2150*3%),4)</f>
        <v>0</v>
      </c>
      <c r="P2150" s="67">
        <f>ROUND(IF(O2150&lt;J2150,O2150,0),4)</f>
        <v>0</v>
      </c>
      <c r="Q2150" s="67">
        <f>ROUND(IF(J2150&gt;O2150,0,J2150),4)</f>
        <v>0</v>
      </c>
      <c r="R2150" s="67">
        <f>ROUND(+P2150*D2150,4)</f>
        <v>0</v>
      </c>
      <c r="S2150" s="67">
        <f>ROUND(IF(K2150=0,0,M2150*D2150),4)</f>
        <v>0</v>
      </c>
      <c r="T2150" s="67">
        <f>ROUND(+IF(K2150=0,Q2150*D2150,0),4)</f>
        <v>0</v>
      </c>
      <c r="U2150" s="67">
        <f>ROUND(+N2150+R2150+S2150+T2150,4)</f>
        <v>0</v>
      </c>
      <c r="V2150" s="67">
        <f>ROUND(IF(P2150=0,0,I2150-H2150-O2150)+IF(L2150=0,0,I2150-H2150-K2150),4)</f>
        <v>0</v>
      </c>
      <c r="W2150" s="67">
        <f>ROUND(+(V2150*60%)*D2150,4)</f>
        <v>0</v>
      </c>
      <c r="X2150" s="148">
        <f>ROUND(+U2150+W2150,4)</f>
        <v>0</v>
      </c>
      <c r="Y2150" s="68"/>
      <c r="Z2150" s="148">
        <f>ROUND(IF(X2150&gt;I2150,X2150,I2150),4)</f>
        <v>0</v>
      </c>
      <c r="AD2150" s="78">
        <f t="shared" si="44"/>
        <v>0</v>
      </c>
      <c r="AE2150" s="78">
        <f t="shared" si="45"/>
        <v>0</v>
      </c>
    </row>
    <row r="2151" spans="1:31" x14ac:dyDescent="0.2">
      <c r="A2151" s="66"/>
      <c r="B2151" s="66"/>
      <c r="C2151" s="66"/>
      <c r="D2151" s="144"/>
      <c r="E2151" s="67"/>
      <c r="F2151" s="67"/>
      <c r="G2151" s="67"/>
      <c r="H2151" s="67">
        <f>ROUND(+E2151+G2151,4)</f>
        <v>0</v>
      </c>
      <c r="I2151" s="67"/>
      <c r="J2151" s="67">
        <f>ROUND(+I2151-H2151,4)</f>
        <v>0</v>
      </c>
      <c r="K2151" s="67">
        <f>ROUND(IF(F2151="alluminio",0,I2151*1.5%),4)</f>
        <v>0</v>
      </c>
      <c r="L2151" s="67">
        <f>ROUND(IF(K2151&lt;J2151,K2151,0),4)</f>
        <v>0</v>
      </c>
      <c r="M2151" s="67">
        <f>ROUND(IF(J2151&gt;K2151,0,J2151),4)</f>
        <v>0</v>
      </c>
      <c r="N2151" s="67">
        <f>ROUND(+L2151*D2151,4)</f>
        <v>0</v>
      </c>
      <c r="O2151" s="67">
        <f>ROUND(IF(F2151="rame",0,+I2151*3%),4)</f>
        <v>0</v>
      </c>
      <c r="P2151" s="67">
        <f>ROUND(IF(O2151&lt;J2151,O2151,0),4)</f>
        <v>0</v>
      </c>
      <c r="Q2151" s="67">
        <f>ROUND(IF(J2151&gt;O2151,0,J2151),4)</f>
        <v>0</v>
      </c>
      <c r="R2151" s="67">
        <f>ROUND(+P2151*D2151,4)</f>
        <v>0</v>
      </c>
      <c r="S2151" s="67">
        <f>ROUND(IF(K2151=0,0,M2151*D2151),4)</f>
        <v>0</v>
      </c>
      <c r="T2151" s="67">
        <f>ROUND(+IF(K2151=0,Q2151*D2151,0),4)</f>
        <v>0</v>
      </c>
      <c r="U2151" s="67">
        <f>ROUND(+N2151+R2151+S2151+T2151,4)</f>
        <v>0</v>
      </c>
      <c r="V2151" s="67">
        <f>ROUND(IF(P2151=0,0,I2151-H2151-O2151)+IF(L2151=0,0,I2151-H2151-K2151),4)</f>
        <v>0</v>
      </c>
      <c r="W2151" s="67">
        <f>ROUND(+(V2151*60%)*D2151,4)</f>
        <v>0</v>
      </c>
      <c r="X2151" s="148">
        <f>ROUND(+U2151+W2151,4)</f>
        <v>0</v>
      </c>
      <c r="Y2151" s="68"/>
      <c r="Z2151" s="148">
        <f>ROUND(IF(X2151&gt;I2151,X2151,I2151),4)</f>
        <v>0</v>
      </c>
      <c r="AD2151" s="78">
        <f t="shared" si="44"/>
        <v>0</v>
      </c>
      <c r="AE2151" s="78">
        <f t="shared" si="45"/>
        <v>0</v>
      </c>
    </row>
    <row r="2152" spans="1:31" x14ac:dyDescent="0.2">
      <c r="A2152" s="66"/>
      <c r="B2152" s="66"/>
      <c r="C2152" s="66"/>
      <c r="D2152" s="144"/>
      <c r="E2152" s="67"/>
      <c r="F2152" s="67"/>
      <c r="G2152" s="67"/>
      <c r="H2152" s="67">
        <f>ROUND(+E2152+G2152,4)</f>
        <v>0</v>
      </c>
      <c r="I2152" s="67"/>
      <c r="J2152" s="67">
        <f>ROUND(+I2152-H2152,4)</f>
        <v>0</v>
      </c>
      <c r="K2152" s="67">
        <f>ROUND(IF(F2152="alluminio",0,I2152*1.5%),4)</f>
        <v>0</v>
      </c>
      <c r="L2152" s="67">
        <f>ROUND(IF(K2152&lt;J2152,K2152,0),4)</f>
        <v>0</v>
      </c>
      <c r="M2152" s="67">
        <f>ROUND(IF(J2152&gt;K2152,0,J2152),4)</f>
        <v>0</v>
      </c>
      <c r="N2152" s="67">
        <f>ROUND(+L2152*D2152,4)</f>
        <v>0</v>
      </c>
      <c r="O2152" s="67">
        <f>ROUND(IF(F2152="rame",0,+I2152*3%),4)</f>
        <v>0</v>
      </c>
      <c r="P2152" s="67">
        <f>ROUND(IF(O2152&lt;J2152,O2152,0),4)</f>
        <v>0</v>
      </c>
      <c r="Q2152" s="67">
        <f>ROUND(IF(J2152&gt;O2152,0,J2152),4)</f>
        <v>0</v>
      </c>
      <c r="R2152" s="67">
        <f>ROUND(+P2152*D2152,4)</f>
        <v>0</v>
      </c>
      <c r="S2152" s="67">
        <f>ROUND(IF(K2152=0,0,M2152*D2152),4)</f>
        <v>0</v>
      </c>
      <c r="T2152" s="67">
        <f>ROUND(+IF(K2152=0,Q2152*D2152,0),4)</f>
        <v>0</v>
      </c>
      <c r="U2152" s="67">
        <f>ROUND(+N2152+R2152+S2152+T2152,4)</f>
        <v>0</v>
      </c>
      <c r="V2152" s="67">
        <f>ROUND(IF(P2152=0,0,I2152-H2152-O2152)+IF(L2152=0,0,I2152-H2152-K2152),4)</f>
        <v>0</v>
      </c>
      <c r="W2152" s="67">
        <f>ROUND(+(V2152*60%)*D2152,4)</f>
        <v>0</v>
      </c>
      <c r="X2152" s="148">
        <f>ROUND(+U2152+W2152,4)</f>
        <v>0</v>
      </c>
      <c r="Y2152" s="68"/>
      <c r="Z2152" s="148">
        <f>ROUND(IF(X2152&gt;I2152,X2152,I2152),4)</f>
        <v>0</v>
      </c>
      <c r="AD2152" s="78">
        <f t="shared" si="44"/>
        <v>0</v>
      </c>
      <c r="AE2152" s="78">
        <f t="shared" si="45"/>
        <v>0</v>
      </c>
    </row>
    <row r="2153" spans="1:31" x14ac:dyDescent="0.2">
      <c r="A2153" s="66"/>
      <c r="B2153" s="66"/>
      <c r="C2153" s="66"/>
      <c r="D2153" s="144"/>
      <c r="E2153" s="67"/>
      <c r="F2153" s="67"/>
      <c r="G2153" s="67"/>
      <c r="H2153" s="67">
        <f>ROUND(+E2153+G2153,4)</f>
        <v>0</v>
      </c>
      <c r="I2153" s="67"/>
      <c r="J2153" s="67">
        <f>ROUND(+I2153-H2153,4)</f>
        <v>0</v>
      </c>
      <c r="K2153" s="67">
        <f>ROUND(IF(F2153="alluminio",0,I2153*1.5%),4)</f>
        <v>0</v>
      </c>
      <c r="L2153" s="67">
        <f>ROUND(IF(K2153&lt;J2153,K2153,0),4)</f>
        <v>0</v>
      </c>
      <c r="M2153" s="67">
        <f>ROUND(IF(J2153&gt;K2153,0,J2153),4)</f>
        <v>0</v>
      </c>
      <c r="N2153" s="67">
        <f>ROUND(+L2153*D2153,4)</f>
        <v>0</v>
      </c>
      <c r="O2153" s="67">
        <f>ROUND(IF(F2153="rame",0,+I2153*3%),4)</f>
        <v>0</v>
      </c>
      <c r="P2153" s="67">
        <f>ROUND(IF(O2153&lt;J2153,O2153,0),4)</f>
        <v>0</v>
      </c>
      <c r="Q2153" s="67">
        <f>ROUND(IF(J2153&gt;O2153,0,J2153),4)</f>
        <v>0</v>
      </c>
      <c r="R2153" s="67">
        <f>ROUND(+P2153*D2153,4)</f>
        <v>0</v>
      </c>
      <c r="S2153" s="67">
        <f>ROUND(IF(K2153=0,0,M2153*D2153),4)</f>
        <v>0</v>
      </c>
      <c r="T2153" s="67">
        <f>ROUND(+IF(K2153=0,Q2153*D2153,0),4)</f>
        <v>0</v>
      </c>
      <c r="U2153" s="67">
        <f>ROUND(+N2153+R2153+S2153+T2153,4)</f>
        <v>0</v>
      </c>
      <c r="V2153" s="67">
        <f>ROUND(IF(P2153=0,0,I2153-H2153-O2153)+IF(L2153=0,0,I2153-H2153-K2153),4)</f>
        <v>0</v>
      </c>
      <c r="W2153" s="67">
        <f>ROUND(+(V2153*60%)*D2153,4)</f>
        <v>0</v>
      </c>
      <c r="X2153" s="148">
        <f>ROUND(+U2153+W2153,4)</f>
        <v>0</v>
      </c>
      <c r="Y2153" s="68"/>
      <c r="Z2153" s="148">
        <f>ROUND(IF(X2153&gt;I2153,X2153,I2153),4)</f>
        <v>0</v>
      </c>
      <c r="AD2153" s="78">
        <f t="shared" si="44"/>
        <v>0</v>
      </c>
      <c r="AE2153" s="78">
        <f t="shared" si="45"/>
        <v>0</v>
      </c>
    </row>
    <row r="2154" spans="1:31" x14ac:dyDescent="0.2">
      <c r="A2154" s="66"/>
      <c r="B2154" s="66"/>
      <c r="C2154" s="66"/>
      <c r="D2154" s="144"/>
      <c r="E2154" s="67"/>
      <c r="F2154" s="67"/>
      <c r="G2154" s="67"/>
      <c r="H2154" s="67">
        <f>ROUND(+E2154+G2154,4)</f>
        <v>0</v>
      </c>
      <c r="I2154" s="67"/>
      <c r="J2154" s="67">
        <f>ROUND(+I2154-H2154,4)</f>
        <v>0</v>
      </c>
      <c r="K2154" s="67">
        <f>ROUND(IF(F2154="alluminio",0,I2154*1.5%),4)</f>
        <v>0</v>
      </c>
      <c r="L2154" s="67">
        <f>ROUND(IF(K2154&lt;J2154,K2154,0),4)</f>
        <v>0</v>
      </c>
      <c r="M2154" s="67">
        <f>ROUND(IF(J2154&gt;K2154,0,J2154),4)</f>
        <v>0</v>
      </c>
      <c r="N2154" s="67">
        <f>ROUND(+L2154*D2154,4)</f>
        <v>0</v>
      </c>
      <c r="O2154" s="67">
        <f>ROUND(IF(F2154="rame",0,+I2154*3%),4)</f>
        <v>0</v>
      </c>
      <c r="P2154" s="67">
        <f>ROUND(IF(O2154&lt;J2154,O2154,0),4)</f>
        <v>0</v>
      </c>
      <c r="Q2154" s="67">
        <f>ROUND(IF(J2154&gt;O2154,0,J2154),4)</f>
        <v>0</v>
      </c>
      <c r="R2154" s="67">
        <f>ROUND(+P2154*D2154,4)</f>
        <v>0</v>
      </c>
      <c r="S2154" s="67">
        <f>ROUND(IF(K2154=0,0,M2154*D2154),4)</f>
        <v>0</v>
      </c>
      <c r="T2154" s="67">
        <f>ROUND(+IF(K2154=0,Q2154*D2154,0),4)</f>
        <v>0</v>
      </c>
      <c r="U2154" s="67">
        <f>ROUND(+N2154+R2154+S2154+T2154,4)</f>
        <v>0</v>
      </c>
      <c r="V2154" s="67">
        <f>ROUND(IF(P2154=0,0,I2154-H2154-O2154)+IF(L2154=0,0,I2154-H2154-K2154),4)</f>
        <v>0</v>
      </c>
      <c r="W2154" s="67">
        <f>ROUND(+(V2154*60%)*D2154,4)</f>
        <v>0</v>
      </c>
      <c r="X2154" s="148">
        <f>ROUND(+U2154+W2154,4)</f>
        <v>0</v>
      </c>
      <c r="Y2154" s="68"/>
      <c r="Z2154" s="148">
        <f>ROUND(IF(X2154&gt;I2154,X2154,I2154),4)</f>
        <v>0</v>
      </c>
      <c r="AD2154" s="78">
        <f t="shared" si="44"/>
        <v>0</v>
      </c>
      <c r="AE2154" s="78">
        <f t="shared" si="45"/>
        <v>0</v>
      </c>
    </row>
    <row r="2155" spans="1:31" x14ac:dyDescent="0.2">
      <c r="A2155" s="66"/>
      <c r="B2155" s="66"/>
      <c r="C2155" s="66"/>
      <c r="D2155" s="144"/>
      <c r="E2155" s="67"/>
      <c r="F2155" s="67"/>
      <c r="G2155" s="67"/>
      <c r="H2155" s="67">
        <f>ROUND(+E2155+G2155,4)</f>
        <v>0</v>
      </c>
      <c r="I2155" s="67"/>
      <c r="J2155" s="67">
        <f>ROUND(+I2155-H2155,4)</f>
        <v>0</v>
      </c>
      <c r="K2155" s="67">
        <f>ROUND(IF(F2155="alluminio",0,I2155*1.5%),4)</f>
        <v>0</v>
      </c>
      <c r="L2155" s="67">
        <f>ROUND(IF(K2155&lt;J2155,K2155,0),4)</f>
        <v>0</v>
      </c>
      <c r="M2155" s="67">
        <f>ROUND(IF(J2155&gt;K2155,0,J2155),4)</f>
        <v>0</v>
      </c>
      <c r="N2155" s="67">
        <f>ROUND(+L2155*D2155,4)</f>
        <v>0</v>
      </c>
      <c r="O2155" s="67">
        <f>ROUND(IF(F2155="rame",0,+I2155*3%),4)</f>
        <v>0</v>
      </c>
      <c r="P2155" s="67">
        <f>ROUND(IF(O2155&lt;J2155,O2155,0),4)</f>
        <v>0</v>
      </c>
      <c r="Q2155" s="67">
        <f>ROUND(IF(J2155&gt;O2155,0,J2155),4)</f>
        <v>0</v>
      </c>
      <c r="R2155" s="67">
        <f>ROUND(+P2155*D2155,4)</f>
        <v>0</v>
      </c>
      <c r="S2155" s="67">
        <f>ROUND(IF(K2155=0,0,M2155*D2155),4)</f>
        <v>0</v>
      </c>
      <c r="T2155" s="67">
        <f>ROUND(+IF(K2155=0,Q2155*D2155,0),4)</f>
        <v>0</v>
      </c>
      <c r="U2155" s="67">
        <f>ROUND(+N2155+R2155+S2155+T2155,4)</f>
        <v>0</v>
      </c>
      <c r="V2155" s="67">
        <f>ROUND(IF(P2155=0,0,I2155-H2155-O2155)+IF(L2155=0,0,I2155-H2155-K2155),4)</f>
        <v>0</v>
      </c>
      <c r="W2155" s="67">
        <f>ROUND(+(V2155*60%)*D2155,4)</f>
        <v>0</v>
      </c>
      <c r="X2155" s="148">
        <f>ROUND(+U2155+W2155,4)</f>
        <v>0</v>
      </c>
      <c r="Y2155" s="68"/>
      <c r="Z2155" s="148">
        <f>ROUND(IF(X2155&gt;I2155,X2155,I2155),4)</f>
        <v>0</v>
      </c>
      <c r="AD2155" s="78">
        <f t="shared" si="44"/>
        <v>0</v>
      </c>
      <c r="AE2155" s="78">
        <f t="shared" si="45"/>
        <v>0</v>
      </c>
    </row>
    <row r="2156" spans="1:31" x14ac:dyDescent="0.2">
      <c r="A2156" s="66"/>
      <c r="B2156" s="66"/>
      <c r="C2156" s="66"/>
      <c r="D2156" s="144"/>
      <c r="E2156" s="67"/>
      <c r="F2156" s="67"/>
      <c r="G2156" s="67"/>
      <c r="H2156" s="67">
        <f>ROUND(+E2156+G2156,4)</f>
        <v>0</v>
      </c>
      <c r="I2156" s="67"/>
      <c r="J2156" s="67">
        <f>ROUND(+I2156-H2156,4)</f>
        <v>0</v>
      </c>
      <c r="K2156" s="67">
        <f>ROUND(IF(F2156="alluminio",0,I2156*1.5%),4)</f>
        <v>0</v>
      </c>
      <c r="L2156" s="67">
        <f>ROUND(IF(K2156&lt;J2156,K2156,0),4)</f>
        <v>0</v>
      </c>
      <c r="M2156" s="67">
        <f>ROUND(IF(J2156&gt;K2156,0,J2156),4)</f>
        <v>0</v>
      </c>
      <c r="N2156" s="67">
        <f>ROUND(+L2156*D2156,4)</f>
        <v>0</v>
      </c>
      <c r="O2156" s="67">
        <f>ROUND(IF(F2156="rame",0,+I2156*3%),4)</f>
        <v>0</v>
      </c>
      <c r="P2156" s="67">
        <f>ROUND(IF(O2156&lt;J2156,O2156,0),4)</f>
        <v>0</v>
      </c>
      <c r="Q2156" s="67">
        <f>ROUND(IF(J2156&gt;O2156,0,J2156),4)</f>
        <v>0</v>
      </c>
      <c r="R2156" s="67">
        <f>ROUND(+P2156*D2156,4)</f>
        <v>0</v>
      </c>
      <c r="S2156" s="67">
        <f>ROUND(IF(K2156=0,0,M2156*D2156),4)</f>
        <v>0</v>
      </c>
      <c r="T2156" s="67">
        <f>ROUND(+IF(K2156=0,Q2156*D2156,0),4)</f>
        <v>0</v>
      </c>
      <c r="U2156" s="67">
        <f>ROUND(+N2156+R2156+S2156+T2156,4)</f>
        <v>0</v>
      </c>
      <c r="V2156" s="67">
        <f>ROUND(IF(P2156=0,0,I2156-H2156-O2156)+IF(L2156=0,0,I2156-H2156-K2156),4)</f>
        <v>0</v>
      </c>
      <c r="W2156" s="67">
        <f>ROUND(+(V2156*60%)*D2156,4)</f>
        <v>0</v>
      </c>
      <c r="X2156" s="148">
        <f>ROUND(+U2156+W2156,4)</f>
        <v>0</v>
      </c>
      <c r="Y2156" s="68"/>
      <c r="Z2156" s="148">
        <f>ROUND(IF(X2156&gt;I2156,X2156,I2156),4)</f>
        <v>0</v>
      </c>
      <c r="AD2156" s="78">
        <f t="shared" si="44"/>
        <v>0</v>
      </c>
      <c r="AE2156" s="78">
        <f t="shared" si="45"/>
        <v>0</v>
      </c>
    </row>
    <row r="2157" spans="1:31" x14ac:dyDescent="0.2">
      <c r="A2157" s="66"/>
      <c r="B2157" s="66"/>
      <c r="C2157" s="66"/>
      <c r="D2157" s="144"/>
      <c r="E2157" s="67"/>
      <c r="F2157" s="67"/>
      <c r="G2157" s="67"/>
      <c r="H2157" s="67">
        <f>ROUND(+E2157+G2157,4)</f>
        <v>0</v>
      </c>
      <c r="I2157" s="67"/>
      <c r="J2157" s="67">
        <f>ROUND(+I2157-H2157,4)</f>
        <v>0</v>
      </c>
      <c r="K2157" s="67">
        <f>ROUND(IF(F2157="alluminio",0,I2157*1.5%),4)</f>
        <v>0</v>
      </c>
      <c r="L2157" s="67">
        <f>ROUND(IF(K2157&lt;J2157,K2157,0),4)</f>
        <v>0</v>
      </c>
      <c r="M2157" s="67">
        <f>ROUND(IF(J2157&gt;K2157,0,J2157),4)</f>
        <v>0</v>
      </c>
      <c r="N2157" s="67">
        <f>ROUND(+L2157*D2157,4)</f>
        <v>0</v>
      </c>
      <c r="O2157" s="67">
        <f>ROUND(IF(F2157="rame",0,+I2157*3%),4)</f>
        <v>0</v>
      </c>
      <c r="P2157" s="67">
        <f>ROUND(IF(O2157&lt;J2157,O2157,0),4)</f>
        <v>0</v>
      </c>
      <c r="Q2157" s="67">
        <f>ROUND(IF(J2157&gt;O2157,0,J2157),4)</f>
        <v>0</v>
      </c>
      <c r="R2157" s="67">
        <f>ROUND(+P2157*D2157,4)</f>
        <v>0</v>
      </c>
      <c r="S2157" s="67">
        <f>ROUND(IF(K2157=0,0,M2157*D2157),4)</f>
        <v>0</v>
      </c>
      <c r="T2157" s="67">
        <f>ROUND(+IF(K2157=0,Q2157*D2157,0),4)</f>
        <v>0</v>
      </c>
      <c r="U2157" s="67">
        <f>ROUND(+N2157+R2157+S2157+T2157,4)</f>
        <v>0</v>
      </c>
      <c r="V2157" s="67">
        <f>ROUND(IF(P2157=0,0,I2157-H2157-O2157)+IF(L2157=0,0,I2157-H2157-K2157),4)</f>
        <v>0</v>
      </c>
      <c r="W2157" s="67">
        <f>ROUND(+(V2157*60%)*D2157,4)</f>
        <v>0</v>
      </c>
      <c r="X2157" s="148">
        <f>ROUND(+U2157+W2157,4)</f>
        <v>0</v>
      </c>
      <c r="Y2157" s="68"/>
      <c r="Z2157" s="148">
        <f>ROUND(IF(X2157&gt;I2157,X2157,I2157),4)</f>
        <v>0</v>
      </c>
      <c r="AD2157" s="78">
        <f t="shared" si="44"/>
        <v>0</v>
      </c>
      <c r="AE2157" s="78">
        <f t="shared" si="45"/>
        <v>0</v>
      </c>
    </row>
    <row r="2158" spans="1:31" x14ac:dyDescent="0.2">
      <c r="A2158" s="66"/>
      <c r="B2158" s="66"/>
      <c r="C2158" s="66"/>
      <c r="D2158" s="144"/>
      <c r="E2158" s="67"/>
      <c r="F2158" s="67"/>
      <c r="G2158" s="67"/>
      <c r="H2158" s="67">
        <f>ROUND(+E2158+G2158,4)</f>
        <v>0</v>
      </c>
      <c r="I2158" s="67"/>
      <c r="J2158" s="67">
        <f>ROUND(+I2158-H2158,4)</f>
        <v>0</v>
      </c>
      <c r="K2158" s="67">
        <f>ROUND(IF(F2158="alluminio",0,I2158*1.5%),4)</f>
        <v>0</v>
      </c>
      <c r="L2158" s="67">
        <f>ROUND(IF(K2158&lt;J2158,K2158,0),4)</f>
        <v>0</v>
      </c>
      <c r="M2158" s="67">
        <f>ROUND(IF(J2158&gt;K2158,0,J2158),4)</f>
        <v>0</v>
      </c>
      <c r="N2158" s="67">
        <f>ROUND(+L2158*D2158,4)</f>
        <v>0</v>
      </c>
      <c r="O2158" s="67">
        <f>ROUND(IF(F2158="rame",0,+I2158*3%),4)</f>
        <v>0</v>
      </c>
      <c r="P2158" s="67">
        <f>ROUND(IF(O2158&lt;J2158,O2158,0),4)</f>
        <v>0</v>
      </c>
      <c r="Q2158" s="67">
        <f>ROUND(IF(J2158&gt;O2158,0,J2158),4)</f>
        <v>0</v>
      </c>
      <c r="R2158" s="67">
        <f>ROUND(+P2158*D2158,4)</f>
        <v>0</v>
      </c>
      <c r="S2158" s="67">
        <f>ROUND(IF(K2158=0,0,M2158*D2158),4)</f>
        <v>0</v>
      </c>
      <c r="T2158" s="67">
        <f>ROUND(+IF(K2158=0,Q2158*D2158,0),4)</f>
        <v>0</v>
      </c>
      <c r="U2158" s="67">
        <f>ROUND(+N2158+R2158+S2158+T2158,4)</f>
        <v>0</v>
      </c>
      <c r="V2158" s="67">
        <f>ROUND(IF(P2158=0,0,I2158-H2158-O2158)+IF(L2158=0,0,I2158-H2158-K2158),4)</f>
        <v>0</v>
      </c>
      <c r="W2158" s="67">
        <f>ROUND(+(V2158*60%)*D2158,4)</f>
        <v>0</v>
      </c>
      <c r="X2158" s="148">
        <f>ROUND(+U2158+W2158,4)</f>
        <v>0</v>
      </c>
      <c r="Y2158" s="68"/>
      <c r="Z2158" s="148">
        <f>ROUND(IF(X2158&gt;I2158,X2158,I2158),4)</f>
        <v>0</v>
      </c>
      <c r="AD2158" s="78">
        <f t="shared" si="44"/>
        <v>0</v>
      </c>
      <c r="AE2158" s="78">
        <f t="shared" si="45"/>
        <v>0</v>
      </c>
    </row>
    <row r="2159" spans="1:31" x14ac:dyDescent="0.2">
      <c r="A2159" s="66"/>
      <c r="B2159" s="66"/>
      <c r="C2159" s="66"/>
      <c r="D2159" s="144"/>
      <c r="E2159" s="67"/>
      <c r="F2159" s="67"/>
      <c r="G2159" s="67"/>
      <c r="H2159" s="67">
        <f>ROUND(+E2159+G2159,4)</f>
        <v>0</v>
      </c>
      <c r="I2159" s="67"/>
      <c r="J2159" s="67">
        <f>ROUND(+I2159-H2159,4)</f>
        <v>0</v>
      </c>
      <c r="K2159" s="67">
        <f>ROUND(IF(F2159="alluminio",0,I2159*1.5%),4)</f>
        <v>0</v>
      </c>
      <c r="L2159" s="67">
        <f>ROUND(IF(K2159&lt;J2159,K2159,0),4)</f>
        <v>0</v>
      </c>
      <c r="M2159" s="67">
        <f>ROUND(IF(J2159&gt;K2159,0,J2159),4)</f>
        <v>0</v>
      </c>
      <c r="N2159" s="67">
        <f>ROUND(+L2159*D2159,4)</f>
        <v>0</v>
      </c>
      <c r="O2159" s="67">
        <f>ROUND(IF(F2159="rame",0,+I2159*3%),4)</f>
        <v>0</v>
      </c>
      <c r="P2159" s="67">
        <f>ROUND(IF(O2159&lt;J2159,O2159,0),4)</f>
        <v>0</v>
      </c>
      <c r="Q2159" s="67">
        <f>ROUND(IF(J2159&gt;O2159,0,J2159),4)</f>
        <v>0</v>
      </c>
      <c r="R2159" s="67">
        <f>ROUND(+P2159*D2159,4)</f>
        <v>0</v>
      </c>
      <c r="S2159" s="67">
        <f>ROUND(IF(K2159=0,0,M2159*D2159),4)</f>
        <v>0</v>
      </c>
      <c r="T2159" s="67">
        <f>ROUND(+IF(K2159=0,Q2159*D2159,0),4)</f>
        <v>0</v>
      </c>
      <c r="U2159" s="67">
        <f>ROUND(+N2159+R2159+S2159+T2159,4)</f>
        <v>0</v>
      </c>
      <c r="V2159" s="67">
        <f>ROUND(IF(P2159=0,0,I2159-H2159-O2159)+IF(L2159=0,0,I2159-H2159-K2159),4)</f>
        <v>0</v>
      </c>
      <c r="W2159" s="67">
        <f>ROUND(+(V2159*60%)*D2159,4)</f>
        <v>0</v>
      </c>
      <c r="X2159" s="148">
        <f>ROUND(+U2159+W2159,4)</f>
        <v>0</v>
      </c>
      <c r="Y2159" s="68"/>
      <c r="Z2159" s="148">
        <f>ROUND(IF(X2159&gt;I2159,X2159,I2159),4)</f>
        <v>0</v>
      </c>
      <c r="AD2159" s="78">
        <f t="shared" si="44"/>
        <v>0</v>
      </c>
      <c r="AE2159" s="78">
        <f t="shared" si="45"/>
        <v>0</v>
      </c>
    </row>
    <row r="2160" spans="1:31" x14ac:dyDescent="0.2">
      <c r="A2160" s="66"/>
      <c r="B2160" s="66"/>
      <c r="C2160" s="66"/>
      <c r="D2160" s="144"/>
      <c r="E2160" s="67"/>
      <c r="F2160" s="67"/>
      <c r="G2160" s="67"/>
      <c r="H2160" s="67">
        <f>ROUND(+E2160+G2160,4)</f>
        <v>0</v>
      </c>
      <c r="I2160" s="67"/>
      <c r="J2160" s="67">
        <f>ROUND(+I2160-H2160,4)</f>
        <v>0</v>
      </c>
      <c r="K2160" s="67">
        <f>ROUND(IF(F2160="alluminio",0,I2160*1.5%),4)</f>
        <v>0</v>
      </c>
      <c r="L2160" s="67">
        <f>ROUND(IF(K2160&lt;J2160,K2160,0),4)</f>
        <v>0</v>
      </c>
      <c r="M2160" s="67">
        <f>ROUND(IF(J2160&gt;K2160,0,J2160),4)</f>
        <v>0</v>
      </c>
      <c r="N2160" s="67">
        <f>ROUND(+L2160*D2160,4)</f>
        <v>0</v>
      </c>
      <c r="O2160" s="67">
        <f>ROUND(IF(F2160="rame",0,+I2160*3%),4)</f>
        <v>0</v>
      </c>
      <c r="P2160" s="67">
        <f>ROUND(IF(O2160&lt;J2160,O2160,0),4)</f>
        <v>0</v>
      </c>
      <c r="Q2160" s="67">
        <f>ROUND(IF(J2160&gt;O2160,0,J2160),4)</f>
        <v>0</v>
      </c>
      <c r="R2160" s="67">
        <f>ROUND(+P2160*D2160,4)</f>
        <v>0</v>
      </c>
      <c r="S2160" s="67">
        <f>ROUND(IF(K2160=0,0,M2160*D2160),4)</f>
        <v>0</v>
      </c>
      <c r="T2160" s="67">
        <f>ROUND(+IF(K2160=0,Q2160*D2160,0),4)</f>
        <v>0</v>
      </c>
      <c r="U2160" s="67">
        <f>ROUND(+N2160+R2160+S2160+T2160,4)</f>
        <v>0</v>
      </c>
      <c r="V2160" s="67">
        <f>ROUND(IF(P2160=0,0,I2160-H2160-O2160)+IF(L2160=0,0,I2160-H2160-K2160),4)</f>
        <v>0</v>
      </c>
      <c r="W2160" s="67">
        <f>ROUND(+(V2160*60%)*D2160,4)</f>
        <v>0</v>
      </c>
      <c r="X2160" s="148">
        <f>ROUND(+U2160+W2160,4)</f>
        <v>0</v>
      </c>
      <c r="Y2160" s="68"/>
      <c r="Z2160" s="148">
        <f>ROUND(IF(X2160&gt;I2160,X2160,I2160),4)</f>
        <v>0</v>
      </c>
      <c r="AD2160" s="78">
        <f t="shared" si="44"/>
        <v>0</v>
      </c>
      <c r="AE2160" s="78">
        <f t="shared" si="45"/>
        <v>0</v>
      </c>
    </row>
    <row r="2161" spans="1:31" x14ac:dyDescent="0.2">
      <c r="A2161" s="66"/>
      <c r="B2161" s="66"/>
      <c r="C2161" s="66"/>
      <c r="D2161" s="144"/>
      <c r="E2161" s="67"/>
      <c r="F2161" s="67"/>
      <c r="G2161" s="67"/>
      <c r="H2161" s="67">
        <f>ROUND(+E2161+G2161,4)</f>
        <v>0</v>
      </c>
      <c r="I2161" s="67"/>
      <c r="J2161" s="67">
        <f>ROUND(+I2161-H2161,4)</f>
        <v>0</v>
      </c>
      <c r="K2161" s="67">
        <f>ROUND(IF(F2161="alluminio",0,I2161*1.5%),4)</f>
        <v>0</v>
      </c>
      <c r="L2161" s="67">
        <f>ROUND(IF(K2161&lt;J2161,K2161,0),4)</f>
        <v>0</v>
      </c>
      <c r="M2161" s="67">
        <f>ROUND(IF(J2161&gt;K2161,0,J2161),4)</f>
        <v>0</v>
      </c>
      <c r="N2161" s="67">
        <f>ROUND(+L2161*D2161,4)</f>
        <v>0</v>
      </c>
      <c r="O2161" s="67">
        <f>ROUND(IF(F2161="rame",0,+I2161*3%),4)</f>
        <v>0</v>
      </c>
      <c r="P2161" s="67">
        <f>ROUND(IF(O2161&lt;J2161,O2161,0),4)</f>
        <v>0</v>
      </c>
      <c r="Q2161" s="67">
        <f>ROUND(IF(J2161&gt;O2161,0,J2161),4)</f>
        <v>0</v>
      </c>
      <c r="R2161" s="67">
        <f>ROUND(+P2161*D2161,4)</f>
        <v>0</v>
      </c>
      <c r="S2161" s="67">
        <f>ROUND(IF(K2161=0,0,M2161*D2161),4)</f>
        <v>0</v>
      </c>
      <c r="T2161" s="67">
        <f>ROUND(+IF(K2161=0,Q2161*D2161,0),4)</f>
        <v>0</v>
      </c>
      <c r="U2161" s="67">
        <f>ROUND(+N2161+R2161+S2161+T2161,4)</f>
        <v>0</v>
      </c>
      <c r="V2161" s="67">
        <f>ROUND(IF(P2161=0,0,I2161-H2161-O2161)+IF(L2161=0,0,I2161-H2161-K2161),4)</f>
        <v>0</v>
      </c>
      <c r="W2161" s="67">
        <f>ROUND(+(V2161*60%)*D2161,4)</f>
        <v>0</v>
      </c>
      <c r="X2161" s="148">
        <f>ROUND(+U2161+W2161,4)</f>
        <v>0</v>
      </c>
      <c r="Y2161" s="68"/>
      <c r="Z2161" s="148">
        <f>ROUND(IF(X2161&gt;I2161,X2161,I2161),4)</f>
        <v>0</v>
      </c>
      <c r="AD2161" s="78">
        <f t="shared" si="44"/>
        <v>0</v>
      </c>
      <c r="AE2161" s="78">
        <f t="shared" si="45"/>
        <v>0</v>
      </c>
    </row>
    <row r="2162" spans="1:31" x14ac:dyDescent="0.2">
      <c r="A2162" s="66"/>
      <c r="B2162" s="66"/>
      <c r="C2162" s="66"/>
      <c r="D2162" s="144"/>
      <c r="E2162" s="67"/>
      <c r="F2162" s="67"/>
      <c r="G2162" s="67"/>
      <c r="H2162" s="67">
        <f>ROUND(+E2162+G2162,4)</f>
        <v>0</v>
      </c>
      <c r="I2162" s="67"/>
      <c r="J2162" s="67">
        <f>ROUND(+I2162-H2162,4)</f>
        <v>0</v>
      </c>
      <c r="K2162" s="67">
        <f>ROUND(IF(F2162="alluminio",0,I2162*1.5%),4)</f>
        <v>0</v>
      </c>
      <c r="L2162" s="67">
        <f>ROUND(IF(K2162&lt;J2162,K2162,0),4)</f>
        <v>0</v>
      </c>
      <c r="M2162" s="67">
        <f>ROUND(IF(J2162&gt;K2162,0,J2162),4)</f>
        <v>0</v>
      </c>
      <c r="N2162" s="67">
        <f>ROUND(+L2162*D2162,4)</f>
        <v>0</v>
      </c>
      <c r="O2162" s="67">
        <f>ROUND(IF(F2162="rame",0,+I2162*3%),4)</f>
        <v>0</v>
      </c>
      <c r="P2162" s="67">
        <f>ROUND(IF(O2162&lt;J2162,O2162,0),4)</f>
        <v>0</v>
      </c>
      <c r="Q2162" s="67">
        <f>ROUND(IF(J2162&gt;O2162,0,J2162),4)</f>
        <v>0</v>
      </c>
      <c r="R2162" s="67">
        <f>ROUND(+P2162*D2162,4)</f>
        <v>0</v>
      </c>
      <c r="S2162" s="67">
        <f>ROUND(IF(K2162=0,0,M2162*D2162),4)</f>
        <v>0</v>
      </c>
      <c r="T2162" s="67">
        <f>ROUND(+IF(K2162=0,Q2162*D2162,0),4)</f>
        <v>0</v>
      </c>
      <c r="U2162" s="67">
        <f>ROUND(+N2162+R2162+S2162+T2162,4)</f>
        <v>0</v>
      </c>
      <c r="V2162" s="67">
        <f>ROUND(IF(P2162=0,0,I2162-H2162-O2162)+IF(L2162=0,0,I2162-H2162-K2162),4)</f>
        <v>0</v>
      </c>
      <c r="W2162" s="67">
        <f>ROUND(+(V2162*60%)*D2162,4)</f>
        <v>0</v>
      </c>
      <c r="X2162" s="148">
        <f>ROUND(+U2162+W2162,4)</f>
        <v>0</v>
      </c>
      <c r="Y2162" s="68"/>
      <c r="Z2162" s="148">
        <f>ROUND(IF(X2162&gt;I2162,X2162,I2162),4)</f>
        <v>0</v>
      </c>
      <c r="AD2162" s="78">
        <f t="shared" si="44"/>
        <v>0</v>
      </c>
      <c r="AE2162" s="78">
        <f t="shared" si="45"/>
        <v>0</v>
      </c>
    </row>
    <row r="2163" spans="1:31" x14ac:dyDescent="0.2">
      <c r="A2163" s="66"/>
      <c r="B2163" s="66"/>
      <c r="C2163" s="66"/>
      <c r="D2163" s="144"/>
      <c r="E2163" s="67"/>
      <c r="F2163" s="67"/>
      <c r="G2163" s="67"/>
      <c r="H2163" s="67">
        <f>ROUND(+E2163+G2163,4)</f>
        <v>0</v>
      </c>
      <c r="I2163" s="67"/>
      <c r="J2163" s="67">
        <f>ROUND(+I2163-H2163,4)</f>
        <v>0</v>
      </c>
      <c r="K2163" s="67">
        <f>ROUND(IF(F2163="alluminio",0,I2163*1.5%),4)</f>
        <v>0</v>
      </c>
      <c r="L2163" s="67">
        <f>ROUND(IF(K2163&lt;J2163,K2163,0),4)</f>
        <v>0</v>
      </c>
      <c r="M2163" s="67">
        <f>ROUND(IF(J2163&gt;K2163,0,J2163),4)</f>
        <v>0</v>
      </c>
      <c r="N2163" s="67">
        <f>ROUND(+L2163*D2163,4)</f>
        <v>0</v>
      </c>
      <c r="O2163" s="67">
        <f>ROUND(IF(F2163="rame",0,+I2163*3%),4)</f>
        <v>0</v>
      </c>
      <c r="P2163" s="67">
        <f>ROUND(IF(O2163&lt;J2163,O2163,0),4)</f>
        <v>0</v>
      </c>
      <c r="Q2163" s="67">
        <f>ROUND(IF(J2163&gt;O2163,0,J2163),4)</f>
        <v>0</v>
      </c>
      <c r="R2163" s="67">
        <f>ROUND(+P2163*D2163,4)</f>
        <v>0</v>
      </c>
      <c r="S2163" s="67">
        <f>ROUND(IF(K2163=0,0,M2163*D2163),4)</f>
        <v>0</v>
      </c>
      <c r="T2163" s="67">
        <f>ROUND(+IF(K2163=0,Q2163*D2163,0),4)</f>
        <v>0</v>
      </c>
      <c r="U2163" s="67">
        <f>ROUND(+N2163+R2163+S2163+T2163,4)</f>
        <v>0</v>
      </c>
      <c r="V2163" s="67">
        <f>ROUND(IF(P2163=0,0,I2163-H2163-O2163)+IF(L2163=0,0,I2163-H2163-K2163),4)</f>
        <v>0</v>
      </c>
      <c r="W2163" s="67">
        <f>ROUND(+(V2163*60%)*D2163,4)</f>
        <v>0</v>
      </c>
      <c r="X2163" s="148">
        <f>ROUND(+U2163+W2163,4)</f>
        <v>0</v>
      </c>
      <c r="Y2163" s="68"/>
      <c r="Z2163" s="148">
        <f>ROUND(IF(X2163&gt;I2163,X2163,I2163),4)</f>
        <v>0</v>
      </c>
      <c r="AD2163" s="78">
        <f t="shared" si="44"/>
        <v>0</v>
      </c>
      <c r="AE2163" s="78">
        <f t="shared" si="45"/>
        <v>0</v>
      </c>
    </row>
    <row r="2164" spans="1:31" x14ac:dyDescent="0.2">
      <c r="A2164" s="66"/>
      <c r="B2164" s="66"/>
      <c r="C2164" s="66"/>
      <c r="D2164" s="144"/>
      <c r="E2164" s="67"/>
      <c r="F2164" s="67"/>
      <c r="G2164" s="67"/>
      <c r="H2164" s="67">
        <f>ROUND(+E2164+G2164,4)</f>
        <v>0</v>
      </c>
      <c r="I2164" s="67"/>
      <c r="J2164" s="67">
        <f>ROUND(+I2164-H2164,4)</f>
        <v>0</v>
      </c>
      <c r="K2164" s="67">
        <f>ROUND(IF(F2164="alluminio",0,I2164*1.5%),4)</f>
        <v>0</v>
      </c>
      <c r="L2164" s="67">
        <f>ROUND(IF(K2164&lt;J2164,K2164,0),4)</f>
        <v>0</v>
      </c>
      <c r="M2164" s="67">
        <f>ROUND(IF(J2164&gt;K2164,0,J2164),4)</f>
        <v>0</v>
      </c>
      <c r="N2164" s="67">
        <f>ROUND(+L2164*D2164,4)</f>
        <v>0</v>
      </c>
      <c r="O2164" s="67">
        <f>ROUND(IF(F2164="rame",0,+I2164*3%),4)</f>
        <v>0</v>
      </c>
      <c r="P2164" s="67">
        <f>ROUND(IF(O2164&lt;J2164,O2164,0),4)</f>
        <v>0</v>
      </c>
      <c r="Q2164" s="67">
        <f>ROUND(IF(J2164&gt;O2164,0,J2164),4)</f>
        <v>0</v>
      </c>
      <c r="R2164" s="67">
        <f>ROUND(+P2164*D2164,4)</f>
        <v>0</v>
      </c>
      <c r="S2164" s="67">
        <f>ROUND(IF(K2164=0,0,M2164*D2164),4)</f>
        <v>0</v>
      </c>
      <c r="T2164" s="67">
        <f>ROUND(+IF(K2164=0,Q2164*D2164,0),4)</f>
        <v>0</v>
      </c>
      <c r="U2164" s="67">
        <f>ROUND(+N2164+R2164+S2164+T2164,4)</f>
        <v>0</v>
      </c>
      <c r="V2164" s="67">
        <f>ROUND(IF(P2164=0,0,I2164-H2164-O2164)+IF(L2164=0,0,I2164-H2164-K2164),4)</f>
        <v>0</v>
      </c>
      <c r="W2164" s="67">
        <f>ROUND(+(V2164*60%)*D2164,4)</f>
        <v>0</v>
      </c>
      <c r="X2164" s="148">
        <f>ROUND(+U2164+W2164,4)</f>
        <v>0</v>
      </c>
      <c r="Y2164" s="68"/>
      <c r="Z2164" s="148">
        <f>ROUND(IF(X2164&gt;I2164,X2164,I2164),4)</f>
        <v>0</v>
      </c>
      <c r="AD2164" s="78">
        <f t="shared" si="44"/>
        <v>0</v>
      </c>
      <c r="AE2164" s="78">
        <f t="shared" si="45"/>
        <v>0</v>
      </c>
    </row>
    <row r="2165" spans="1:31" x14ac:dyDescent="0.2">
      <c r="A2165" s="66"/>
      <c r="B2165" s="66"/>
      <c r="C2165" s="66"/>
      <c r="D2165" s="144"/>
      <c r="E2165" s="67"/>
      <c r="F2165" s="67"/>
      <c r="G2165" s="67"/>
      <c r="H2165" s="67">
        <f>ROUND(+E2165+G2165,4)</f>
        <v>0</v>
      </c>
      <c r="I2165" s="67"/>
      <c r="J2165" s="67">
        <f>ROUND(+I2165-H2165,4)</f>
        <v>0</v>
      </c>
      <c r="K2165" s="67">
        <f>ROUND(IF(F2165="alluminio",0,I2165*1.5%),4)</f>
        <v>0</v>
      </c>
      <c r="L2165" s="67">
        <f>ROUND(IF(K2165&lt;J2165,K2165,0),4)</f>
        <v>0</v>
      </c>
      <c r="M2165" s="67">
        <f>ROUND(IF(J2165&gt;K2165,0,J2165),4)</f>
        <v>0</v>
      </c>
      <c r="N2165" s="67">
        <f>ROUND(+L2165*D2165,4)</f>
        <v>0</v>
      </c>
      <c r="O2165" s="67">
        <f>ROUND(IF(F2165="rame",0,+I2165*3%),4)</f>
        <v>0</v>
      </c>
      <c r="P2165" s="67">
        <f>ROUND(IF(O2165&lt;J2165,O2165,0),4)</f>
        <v>0</v>
      </c>
      <c r="Q2165" s="67">
        <f>ROUND(IF(J2165&gt;O2165,0,J2165),4)</f>
        <v>0</v>
      </c>
      <c r="R2165" s="67">
        <f>ROUND(+P2165*D2165,4)</f>
        <v>0</v>
      </c>
      <c r="S2165" s="67">
        <f>ROUND(IF(K2165=0,0,M2165*D2165),4)</f>
        <v>0</v>
      </c>
      <c r="T2165" s="67">
        <f>ROUND(+IF(K2165=0,Q2165*D2165,0),4)</f>
        <v>0</v>
      </c>
      <c r="U2165" s="67">
        <f>ROUND(+N2165+R2165+S2165+T2165,4)</f>
        <v>0</v>
      </c>
      <c r="V2165" s="67">
        <f>ROUND(IF(P2165=0,0,I2165-H2165-O2165)+IF(L2165=0,0,I2165-H2165-K2165),4)</f>
        <v>0</v>
      </c>
      <c r="W2165" s="67">
        <f>ROUND(+(V2165*60%)*D2165,4)</f>
        <v>0</v>
      </c>
      <c r="X2165" s="148">
        <f>ROUND(+U2165+W2165,4)</f>
        <v>0</v>
      </c>
      <c r="Y2165" s="68"/>
      <c r="Z2165" s="148">
        <f>ROUND(IF(X2165&gt;I2165,X2165,I2165),4)</f>
        <v>0</v>
      </c>
      <c r="AD2165" s="78">
        <f t="shared" si="44"/>
        <v>0</v>
      </c>
      <c r="AE2165" s="78">
        <f t="shared" si="45"/>
        <v>0</v>
      </c>
    </row>
    <row r="2166" spans="1:31" x14ac:dyDescent="0.2">
      <c r="A2166" s="66"/>
      <c r="B2166" s="66"/>
      <c r="C2166" s="66"/>
      <c r="D2166" s="144"/>
      <c r="E2166" s="67"/>
      <c r="F2166" s="67"/>
      <c r="G2166" s="67"/>
      <c r="H2166" s="67">
        <f>ROUND(+E2166+G2166,4)</f>
        <v>0</v>
      </c>
      <c r="I2166" s="67"/>
      <c r="J2166" s="67">
        <f>ROUND(+I2166-H2166,4)</f>
        <v>0</v>
      </c>
      <c r="K2166" s="67">
        <f>ROUND(IF(F2166="alluminio",0,I2166*1.5%),4)</f>
        <v>0</v>
      </c>
      <c r="L2166" s="67">
        <f>ROUND(IF(K2166&lt;J2166,K2166,0),4)</f>
        <v>0</v>
      </c>
      <c r="M2166" s="67">
        <f>ROUND(IF(J2166&gt;K2166,0,J2166),4)</f>
        <v>0</v>
      </c>
      <c r="N2166" s="67">
        <f>ROUND(+L2166*D2166,4)</f>
        <v>0</v>
      </c>
      <c r="O2166" s="67">
        <f>ROUND(IF(F2166="rame",0,+I2166*3%),4)</f>
        <v>0</v>
      </c>
      <c r="P2166" s="67">
        <f>ROUND(IF(O2166&lt;J2166,O2166,0),4)</f>
        <v>0</v>
      </c>
      <c r="Q2166" s="67">
        <f>ROUND(IF(J2166&gt;O2166,0,J2166),4)</f>
        <v>0</v>
      </c>
      <c r="R2166" s="67">
        <f>ROUND(+P2166*D2166,4)</f>
        <v>0</v>
      </c>
      <c r="S2166" s="67">
        <f>ROUND(IF(K2166=0,0,M2166*D2166),4)</f>
        <v>0</v>
      </c>
      <c r="T2166" s="67">
        <f>ROUND(+IF(K2166=0,Q2166*D2166,0),4)</f>
        <v>0</v>
      </c>
      <c r="U2166" s="67">
        <f>ROUND(+N2166+R2166+S2166+T2166,4)</f>
        <v>0</v>
      </c>
      <c r="V2166" s="67">
        <f>ROUND(IF(P2166=0,0,I2166-H2166-O2166)+IF(L2166=0,0,I2166-H2166-K2166),4)</f>
        <v>0</v>
      </c>
      <c r="W2166" s="67">
        <f>ROUND(+(V2166*60%)*D2166,4)</f>
        <v>0</v>
      </c>
      <c r="X2166" s="148">
        <f>ROUND(+U2166+W2166,4)</f>
        <v>0</v>
      </c>
      <c r="Y2166" s="68"/>
      <c r="Z2166" s="148">
        <f>ROUND(IF(X2166&gt;I2166,X2166,I2166),4)</f>
        <v>0</v>
      </c>
      <c r="AD2166" s="78">
        <f t="shared" si="44"/>
        <v>0</v>
      </c>
      <c r="AE2166" s="78">
        <f t="shared" si="45"/>
        <v>0</v>
      </c>
    </row>
    <row r="2167" spans="1:31" x14ac:dyDescent="0.2">
      <c r="A2167" s="66"/>
      <c r="B2167" s="66"/>
      <c r="C2167" s="66"/>
      <c r="D2167" s="144"/>
      <c r="E2167" s="67"/>
      <c r="F2167" s="67"/>
      <c r="G2167" s="67"/>
      <c r="H2167" s="67">
        <f>ROUND(+E2167+G2167,4)</f>
        <v>0</v>
      </c>
      <c r="I2167" s="67"/>
      <c r="J2167" s="67">
        <f>ROUND(+I2167-H2167,4)</f>
        <v>0</v>
      </c>
      <c r="K2167" s="67">
        <f>ROUND(IF(F2167="alluminio",0,I2167*1.5%),4)</f>
        <v>0</v>
      </c>
      <c r="L2167" s="67">
        <f>ROUND(IF(K2167&lt;J2167,K2167,0),4)</f>
        <v>0</v>
      </c>
      <c r="M2167" s="67">
        <f>ROUND(IF(J2167&gt;K2167,0,J2167),4)</f>
        <v>0</v>
      </c>
      <c r="N2167" s="67">
        <f>ROUND(+L2167*D2167,4)</f>
        <v>0</v>
      </c>
      <c r="O2167" s="67">
        <f>ROUND(IF(F2167="rame",0,+I2167*3%),4)</f>
        <v>0</v>
      </c>
      <c r="P2167" s="67">
        <f>ROUND(IF(O2167&lt;J2167,O2167,0),4)</f>
        <v>0</v>
      </c>
      <c r="Q2167" s="67">
        <f>ROUND(IF(J2167&gt;O2167,0,J2167),4)</f>
        <v>0</v>
      </c>
      <c r="R2167" s="67">
        <f>ROUND(+P2167*D2167,4)</f>
        <v>0</v>
      </c>
      <c r="S2167" s="67">
        <f>ROUND(IF(K2167=0,0,M2167*D2167),4)</f>
        <v>0</v>
      </c>
      <c r="T2167" s="67">
        <f>ROUND(+IF(K2167=0,Q2167*D2167,0),4)</f>
        <v>0</v>
      </c>
      <c r="U2167" s="67">
        <f>ROUND(+N2167+R2167+S2167+T2167,4)</f>
        <v>0</v>
      </c>
      <c r="V2167" s="67">
        <f>ROUND(IF(P2167=0,0,I2167-H2167-O2167)+IF(L2167=0,0,I2167-H2167-K2167),4)</f>
        <v>0</v>
      </c>
      <c r="W2167" s="67">
        <f>ROUND(+(V2167*60%)*D2167,4)</f>
        <v>0</v>
      </c>
      <c r="X2167" s="148">
        <f>ROUND(+U2167+W2167,4)</f>
        <v>0</v>
      </c>
      <c r="Y2167" s="68"/>
      <c r="Z2167" s="148">
        <f>ROUND(IF(X2167&gt;I2167,X2167,I2167),4)</f>
        <v>0</v>
      </c>
      <c r="AD2167" s="78">
        <f t="shared" si="44"/>
        <v>0</v>
      </c>
      <c r="AE2167" s="78">
        <f t="shared" si="45"/>
        <v>0</v>
      </c>
    </row>
    <row r="2168" spans="1:31" x14ac:dyDescent="0.2">
      <c r="A2168" s="66"/>
      <c r="B2168" s="66"/>
      <c r="C2168" s="66"/>
      <c r="D2168" s="144"/>
      <c r="E2168" s="67"/>
      <c r="F2168" s="67"/>
      <c r="G2168" s="67"/>
      <c r="H2168" s="67">
        <f>ROUND(+E2168+G2168,4)</f>
        <v>0</v>
      </c>
      <c r="I2168" s="67"/>
      <c r="J2168" s="67">
        <f>ROUND(+I2168-H2168,4)</f>
        <v>0</v>
      </c>
      <c r="K2168" s="67">
        <f>ROUND(IF(F2168="alluminio",0,I2168*1.5%),4)</f>
        <v>0</v>
      </c>
      <c r="L2168" s="67">
        <f>ROUND(IF(K2168&lt;J2168,K2168,0),4)</f>
        <v>0</v>
      </c>
      <c r="M2168" s="67">
        <f>ROUND(IF(J2168&gt;K2168,0,J2168),4)</f>
        <v>0</v>
      </c>
      <c r="N2168" s="67">
        <f>ROUND(+L2168*D2168,4)</f>
        <v>0</v>
      </c>
      <c r="O2168" s="67">
        <f>ROUND(IF(F2168="rame",0,+I2168*3%),4)</f>
        <v>0</v>
      </c>
      <c r="P2168" s="67">
        <f>ROUND(IF(O2168&lt;J2168,O2168,0),4)</f>
        <v>0</v>
      </c>
      <c r="Q2168" s="67">
        <f>ROUND(IF(J2168&gt;O2168,0,J2168),4)</f>
        <v>0</v>
      </c>
      <c r="R2168" s="67">
        <f>ROUND(+P2168*D2168,4)</f>
        <v>0</v>
      </c>
      <c r="S2168" s="67">
        <f>ROUND(IF(K2168=0,0,M2168*D2168),4)</f>
        <v>0</v>
      </c>
      <c r="T2168" s="67">
        <f>ROUND(+IF(K2168=0,Q2168*D2168,0),4)</f>
        <v>0</v>
      </c>
      <c r="U2168" s="67">
        <f>ROUND(+N2168+R2168+S2168+T2168,4)</f>
        <v>0</v>
      </c>
      <c r="V2168" s="67">
        <f>ROUND(IF(P2168=0,0,I2168-H2168-O2168)+IF(L2168=0,0,I2168-H2168-K2168),4)</f>
        <v>0</v>
      </c>
      <c r="W2168" s="67">
        <f>ROUND(+(V2168*60%)*D2168,4)</f>
        <v>0</v>
      </c>
      <c r="X2168" s="148">
        <f>ROUND(+U2168+W2168,4)</f>
        <v>0</v>
      </c>
      <c r="Y2168" s="68"/>
      <c r="Z2168" s="148">
        <f>ROUND(IF(X2168&gt;I2168,X2168,I2168),4)</f>
        <v>0</v>
      </c>
      <c r="AD2168" s="78">
        <f t="shared" si="44"/>
        <v>0</v>
      </c>
      <c r="AE2168" s="78">
        <f t="shared" si="45"/>
        <v>0</v>
      </c>
    </row>
    <row r="2169" spans="1:31" x14ac:dyDescent="0.2">
      <c r="A2169" s="66"/>
      <c r="B2169" s="66"/>
      <c r="C2169" s="66"/>
      <c r="D2169" s="144"/>
      <c r="E2169" s="67"/>
      <c r="F2169" s="67"/>
      <c r="G2169" s="67"/>
      <c r="H2169" s="67">
        <f>ROUND(+E2169+G2169,4)</f>
        <v>0</v>
      </c>
      <c r="I2169" s="67"/>
      <c r="J2169" s="67">
        <f>ROUND(+I2169-H2169,4)</f>
        <v>0</v>
      </c>
      <c r="K2169" s="67">
        <f>ROUND(IF(F2169="alluminio",0,I2169*1.5%),4)</f>
        <v>0</v>
      </c>
      <c r="L2169" s="67">
        <f>ROUND(IF(K2169&lt;J2169,K2169,0),4)</f>
        <v>0</v>
      </c>
      <c r="M2169" s="67">
        <f>ROUND(IF(J2169&gt;K2169,0,J2169),4)</f>
        <v>0</v>
      </c>
      <c r="N2169" s="67">
        <f>ROUND(+L2169*D2169,4)</f>
        <v>0</v>
      </c>
      <c r="O2169" s="67">
        <f>ROUND(IF(F2169="rame",0,+I2169*3%),4)</f>
        <v>0</v>
      </c>
      <c r="P2169" s="67">
        <f>ROUND(IF(O2169&lt;J2169,O2169,0),4)</f>
        <v>0</v>
      </c>
      <c r="Q2169" s="67">
        <f>ROUND(IF(J2169&gt;O2169,0,J2169),4)</f>
        <v>0</v>
      </c>
      <c r="R2169" s="67">
        <f>ROUND(+P2169*D2169,4)</f>
        <v>0</v>
      </c>
      <c r="S2169" s="67">
        <f>ROUND(IF(K2169=0,0,M2169*D2169),4)</f>
        <v>0</v>
      </c>
      <c r="T2169" s="67">
        <f>ROUND(+IF(K2169=0,Q2169*D2169,0),4)</f>
        <v>0</v>
      </c>
      <c r="U2169" s="67">
        <f>ROUND(+N2169+R2169+S2169+T2169,4)</f>
        <v>0</v>
      </c>
      <c r="V2169" s="67">
        <f>ROUND(IF(P2169=0,0,I2169-H2169-O2169)+IF(L2169=0,0,I2169-H2169-K2169),4)</f>
        <v>0</v>
      </c>
      <c r="W2169" s="67">
        <f>ROUND(+(V2169*60%)*D2169,4)</f>
        <v>0</v>
      </c>
      <c r="X2169" s="148">
        <f>ROUND(+U2169+W2169,4)</f>
        <v>0</v>
      </c>
      <c r="Y2169" s="68"/>
      <c r="Z2169" s="148">
        <f>ROUND(IF(X2169&gt;I2169,X2169,I2169),4)</f>
        <v>0</v>
      </c>
      <c r="AD2169" s="78">
        <f t="shared" si="44"/>
        <v>0</v>
      </c>
      <c r="AE2169" s="78">
        <f t="shared" si="45"/>
        <v>0</v>
      </c>
    </row>
    <row r="2170" spans="1:31" x14ac:dyDescent="0.2">
      <c r="A2170" s="66"/>
      <c r="B2170" s="66"/>
      <c r="C2170" s="66"/>
      <c r="D2170" s="144"/>
      <c r="E2170" s="67"/>
      <c r="F2170" s="67"/>
      <c r="G2170" s="67"/>
      <c r="H2170" s="67">
        <f>ROUND(+E2170+G2170,4)</f>
        <v>0</v>
      </c>
      <c r="I2170" s="67"/>
      <c r="J2170" s="67">
        <f>ROUND(+I2170-H2170,4)</f>
        <v>0</v>
      </c>
      <c r="K2170" s="67">
        <f>ROUND(IF(F2170="alluminio",0,I2170*1.5%),4)</f>
        <v>0</v>
      </c>
      <c r="L2170" s="67">
        <f>ROUND(IF(K2170&lt;J2170,K2170,0),4)</f>
        <v>0</v>
      </c>
      <c r="M2170" s="67">
        <f>ROUND(IF(J2170&gt;K2170,0,J2170),4)</f>
        <v>0</v>
      </c>
      <c r="N2170" s="67">
        <f>ROUND(+L2170*D2170,4)</f>
        <v>0</v>
      </c>
      <c r="O2170" s="67">
        <f>ROUND(IF(F2170="rame",0,+I2170*3%),4)</f>
        <v>0</v>
      </c>
      <c r="P2170" s="67">
        <f>ROUND(IF(O2170&lt;J2170,O2170,0),4)</f>
        <v>0</v>
      </c>
      <c r="Q2170" s="67">
        <f>ROUND(IF(J2170&gt;O2170,0,J2170),4)</f>
        <v>0</v>
      </c>
      <c r="R2170" s="67">
        <f>ROUND(+P2170*D2170,4)</f>
        <v>0</v>
      </c>
      <c r="S2170" s="67">
        <f>ROUND(IF(K2170=0,0,M2170*D2170),4)</f>
        <v>0</v>
      </c>
      <c r="T2170" s="67">
        <f>ROUND(+IF(K2170=0,Q2170*D2170,0),4)</f>
        <v>0</v>
      </c>
      <c r="U2170" s="67">
        <f>ROUND(+N2170+R2170+S2170+T2170,4)</f>
        <v>0</v>
      </c>
      <c r="V2170" s="67">
        <f>ROUND(IF(P2170=0,0,I2170-H2170-O2170)+IF(L2170=0,0,I2170-H2170-K2170),4)</f>
        <v>0</v>
      </c>
      <c r="W2170" s="67">
        <f>ROUND(+(V2170*60%)*D2170,4)</f>
        <v>0</v>
      </c>
      <c r="X2170" s="148">
        <f>ROUND(+U2170+W2170,4)</f>
        <v>0</v>
      </c>
      <c r="Y2170" s="68"/>
      <c r="Z2170" s="148">
        <f>ROUND(IF(X2170&gt;I2170,X2170,I2170),4)</f>
        <v>0</v>
      </c>
      <c r="AD2170" s="78">
        <f t="shared" si="44"/>
        <v>0</v>
      </c>
      <c r="AE2170" s="78">
        <f t="shared" si="45"/>
        <v>0</v>
      </c>
    </row>
    <row r="2171" spans="1:31" x14ac:dyDescent="0.2">
      <c r="A2171" s="66"/>
      <c r="B2171" s="66"/>
      <c r="C2171" s="66"/>
      <c r="D2171" s="144"/>
      <c r="E2171" s="67"/>
      <c r="F2171" s="67"/>
      <c r="G2171" s="67"/>
      <c r="H2171" s="67">
        <f>ROUND(+E2171+G2171,4)</f>
        <v>0</v>
      </c>
      <c r="I2171" s="67"/>
      <c r="J2171" s="67">
        <f>ROUND(+I2171-H2171,4)</f>
        <v>0</v>
      </c>
      <c r="K2171" s="67">
        <f>ROUND(IF(F2171="alluminio",0,I2171*1.5%),4)</f>
        <v>0</v>
      </c>
      <c r="L2171" s="67">
        <f>ROUND(IF(K2171&lt;J2171,K2171,0),4)</f>
        <v>0</v>
      </c>
      <c r="M2171" s="67">
        <f>ROUND(IF(J2171&gt;K2171,0,J2171),4)</f>
        <v>0</v>
      </c>
      <c r="N2171" s="67">
        <f>ROUND(+L2171*D2171,4)</f>
        <v>0</v>
      </c>
      <c r="O2171" s="67">
        <f>ROUND(IF(F2171="rame",0,+I2171*3%),4)</f>
        <v>0</v>
      </c>
      <c r="P2171" s="67">
        <f>ROUND(IF(O2171&lt;J2171,O2171,0),4)</f>
        <v>0</v>
      </c>
      <c r="Q2171" s="67">
        <f>ROUND(IF(J2171&gt;O2171,0,J2171),4)</f>
        <v>0</v>
      </c>
      <c r="R2171" s="67">
        <f>ROUND(+P2171*D2171,4)</f>
        <v>0</v>
      </c>
      <c r="S2171" s="67">
        <f>ROUND(IF(K2171=0,0,M2171*D2171),4)</f>
        <v>0</v>
      </c>
      <c r="T2171" s="67">
        <f>ROUND(+IF(K2171=0,Q2171*D2171,0),4)</f>
        <v>0</v>
      </c>
      <c r="U2171" s="67">
        <f>ROUND(+N2171+R2171+S2171+T2171,4)</f>
        <v>0</v>
      </c>
      <c r="V2171" s="67">
        <f>ROUND(IF(P2171=0,0,I2171-H2171-O2171)+IF(L2171=0,0,I2171-H2171-K2171),4)</f>
        <v>0</v>
      </c>
      <c r="W2171" s="67">
        <f>ROUND(+(V2171*60%)*D2171,4)</f>
        <v>0</v>
      </c>
      <c r="X2171" s="148">
        <f>ROUND(+U2171+W2171,4)</f>
        <v>0</v>
      </c>
      <c r="Y2171" s="68"/>
      <c r="Z2171" s="148">
        <f>ROUND(IF(X2171&gt;I2171,X2171,I2171),4)</f>
        <v>0</v>
      </c>
      <c r="AD2171" s="78">
        <f t="shared" si="44"/>
        <v>0</v>
      </c>
      <c r="AE2171" s="78">
        <f t="shared" si="45"/>
        <v>0</v>
      </c>
    </row>
    <row r="2172" spans="1:31" x14ac:dyDescent="0.2">
      <c r="A2172" s="66"/>
      <c r="B2172" s="66"/>
      <c r="C2172" s="66"/>
      <c r="D2172" s="144"/>
      <c r="E2172" s="67"/>
      <c r="F2172" s="67"/>
      <c r="G2172" s="67"/>
      <c r="H2172" s="67">
        <f>ROUND(+E2172+G2172,4)</f>
        <v>0</v>
      </c>
      <c r="I2172" s="67"/>
      <c r="J2172" s="67">
        <f>ROUND(+I2172-H2172,4)</f>
        <v>0</v>
      </c>
      <c r="K2172" s="67">
        <f>ROUND(IF(F2172="alluminio",0,I2172*1.5%),4)</f>
        <v>0</v>
      </c>
      <c r="L2172" s="67">
        <f>ROUND(IF(K2172&lt;J2172,K2172,0),4)</f>
        <v>0</v>
      </c>
      <c r="M2172" s="67">
        <f>ROUND(IF(J2172&gt;K2172,0,J2172),4)</f>
        <v>0</v>
      </c>
      <c r="N2172" s="67">
        <f>ROUND(+L2172*D2172,4)</f>
        <v>0</v>
      </c>
      <c r="O2172" s="67">
        <f>ROUND(IF(F2172="rame",0,+I2172*3%),4)</f>
        <v>0</v>
      </c>
      <c r="P2172" s="67">
        <f>ROUND(IF(O2172&lt;J2172,O2172,0),4)</f>
        <v>0</v>
      </c>
      <c r="Q2172" s="67">
        <f>ROUND(IF(J2172&gt;O2172,0,J2172),4)</f>
        <v>0</v>
      </c>
      <c r="R2172" s="67">
        <f>ROUND(+P2172*D2172,4)</f>
        <v>0</v>
      </c>
      <c r="S2172" s="67">
        <f>ROUND(IF(K2172=0,0,M2172*D2172),4)</f>
        <v>0</v>
      </c>
      <c r="T2172" s="67">
        <f>ROUND(+IF(K2172=0,Q2172*D2172,0),4)</f>
        <v>0</v>
      </c>
      <c r="U2172" s="67">
        <f>ROUND(+N2172+R2172+S2172+T2172,4)</f>
        <v>0</v>
      </c>
      <c r="V2172" s="67">
        <f>ROUND(IF(P2172=0,0,I2172-H2172-O2172)+IF(L2172=0,0,I2172-H2172-K2172),4)</f>
        <v>0</v>
      </c>
      <c r="W2172" s="67">
        <f>ROUND(+(V2172*60%)*D2172,4)</f>
        <v>0</v>
      </c>
      <c r="X2172" s="148">
        <f>ROUND(+U2172+W2172,4)</f>
        <v>0</v>
      </c>
      <c r="Y2172" s="68"/>
      <c r="Z2172" s="148">
        <f>ROUND(IF(X2172&gt;I2172,X2172,I2172),4)</f>
        <v>0</v>
      </c>
      <c r="AD2172" s="78">
        <f t="shared" si="44"/>
        <v>0</v>
      </c>
      <c r="AE2172" s="78">
        <f t="shared" si="45"/>
        <v>0</v>
      </c>
    </row>
    <row r="2173" spans="1:31" x14ac:dyDescent="0.2">
      <c r="A2173" s="66"/>
      <c r="B2173" s="66"/>
      <c r="C2173" s="66"/>
      <c r="D2173" s="144"/>
      <c r="E2173" s="67"/>
      <c r="F2173" s="67"/>
      <c r="G2173" s="67"/>
      <c r="H2173" s="67">
        <f>ROUND(+E2173+G2173,4)</f>
        <v>0</v>
      </c>
      <c r="I2173" s="67"/>
      <c r="J2173" s="67">
        <f>ROUND(+I2173-H2173,4)</f>
        <v>0</v>
      </c>
      <c r="K2173" s="67">
        <f>ROUND(IF(F2173="alluminio",0,I2173*1.5%),4)</f>
        <v>0</v>
      </c>
      <c r="L2173" s="67">
        <f>ROUND(IF(K2173&lt;J2173,K2173,0),4)</f>
        <v>0</v>
      </c>
      <c r="M2173" s="67">
        <f>ROUND(IF(J2173&gt;K2173,0,J2173),4)</f>
        <v>0</v>
      </c>
      <c r="N2173" s="67">
        <f>ROUND(+L2173*D2173,4)</f>
        <v>0</v>
      </c>
      <c r="O2173" s="67">
        <f>ROUND(IF(F2173="rame",0,+I2173*3%),4)</f>
        <v>0</v>
      </c>
      <c r="P2173" s="67">
        <f>ROUND(IF(O2173&lt;J2173,O2173,0),4)</f>
        <v>0</v>
      </c>
      <c r="Q2173" s="67">
        <f>ROUND(IF(J2173&gt;O2173,0,J2173),4)</f>
        <v>0</v>
      </c>
      <c r="R2173" s="67">
        <f>ROUND(+P2173*D2173,4)</f>
        <v>0</v>
      </c>
      <c r="S2173" s="67">
        <f>ROUND(IF(K2173=0,0,M2173*D2173),4)</f>
        <v>0</v>
      </c>
      <c r="T2173" s="67">
        <f>ROUND(+IF(K2173=0,Q2173*D2173,0),4)</f>
        <v>0</v>
      </c>
      <c r="U2173" s="67">
        <f>ROUND(+N2173+R2173+S2173+T2173,4)</f>
        <v>0</v>
      </c>
      <c r="V2173" s="67">
        <f>ROUND(IF(P2173=0,0,I2173-H2173-O2173)+IF(L2173=0,0,I2173-H2173-K2173),4)</f>
        <v>0</v>
      </c>
      <c r="W2173" s="67">
        <f>ROUND(+(V2173*60%)*D2173,4)</f>
        <v>0</v>
      </c>
      <c r="X2173" s="148">
        <f>ROUND(+U2173+W2173,4)</f>
        <v>0</v>
      </c>
      <c r="Y2173" s="68"/>
      <c r="Z2173" s="148">
        <f>ROUND(IF(X2173&gt;I2173,X2173,I2173),4)</f>
        <v>0</v>
      </c>
      <c r="AD2173" s="78">
        <f t="shared" si="44"/>
        <v>0</v>
      </c>
      <c r="AE2173" s="78">
        <f t="shared" si="45"/>
        <v>0</v>
      </c>
    </row>
    <row r="2174" spans="1:31" x14ac:dyDescent="0.2">
      <c r="A2174" s="66"/>
      <c r="B2174" s="66"/>
      <c r="C2174" s="66"/>
      <c r="D2174" s="144"/>
      <c r="E2174" s="67"/>
      <c r="F2174" s="67"/>
      <c r="G2174" s="67"/>
      <c r="H2174" s="67">
        <f>ROUND(+E2174+G2174,4)</f>
        <v>0</v>
      </c>
      <c r="I2174" s="67"/>
      <c r="J2174" s="67">
        <f>ROUND(+I2174-H2174,4)</f>
        <v>0</v>
      </c>
      <c r="K2174" s="67">
        <f>ROUND(IF(F2174="alluminio",0,I2174*1.5%),4)</f>
        <v>0</v>
      </c>
      <c r="L2174" s="67">
        <f>ROUND(IF(K2174&lt;J2174,K2174,0),4)</f>
        <v>0</v>
      </c>
      <c r="M2174" s="67">
        <f>ROUND(IF(J2174&gt;K2174,0,J2174),4)</f>
        <v>0</v>
      </c>
      <c r="N2174" s="67">
        <f>ROUND(+L2174*D2174,4)</f>
        <v>0</v>
      </c>
      <c r="O2174" s="67">
        <f>ROUND(IF(F2174="rame",0,+I2174*3%),4)</f>
        <v>0</v>
      </c>
      <c r="P2174" s="67">
        <f>ROUND(IF(O2174&lt;J2174,O2174,0),4)</f>
        <v>0</v>
      </c>
      <c r="Q2174" s="67">
        <f>ROUND(IF(J2174&gt;O2174,0,J2174),4)</f>
        <v>0</v>
      </c>
      <c r="R2174" s="67">
        <f>ROUND(+P2174*D2174,4)</f>
        <v>0</v>
      </c>
      <c r="S2174" s="67">
        <f>ROUND(IF(K2174=0,0,M2174*D2174),4)</f>
        <v>0</v>
      </c>
      <c r="T2174" s="67">
        <f>ROUND(+IF(K2174=0,Q2174*D2174,0),4)</f>
        <v>0</v>
      </c>
      <c r="U2174" s="67">
        <f>ROUND(+N2174+R2174+S2174+T2174,4)</f>
        <v>0</v>
      </c>
      <c r="V2174" s="67">
        <f>ROUND(IF(P2174=0,0,I2174-H2174-O2174)+IF(L2174=0,0,I2174-H2174-K2174),4)</f>
        <v>0</v>
      </c>
      <c r="W2174" s="67">
        <f>ROUND(+(V2174*60%)*D2174,4)</f>
        <v>0</v>
      </c>
      <c r="X2174" s="148">
        <f>ROUND(+U2174+W2174,4)</f>
        <v>0</v>
      </c>
      <c r="Y2174" s="68"/>
      <c r="Z2174" s="148">
        <f>ROUND(IF(X2174&gt;I2174,X2174,I2174),4)</f>
        <v>0</v>
      </c>
      <c r="AD2174" s="78">
        <f t="shared" ref="AD2174:AD2237" si="46">IF(Y2174="",0,MONTH(Y2174))</f>
        <v>0</v>
      </c>
      <c r="AE2174" s="78">
        <f t="shared" ref="AE2174:AE2237" si="47">IF(Y2174="",0,YEAR(Y2174))</f>
        <v>0</v>
      </c>
    </row>
    <row r="2175" spans="1:31" x14ac:dyDescent="0.2">
      <c r="A2175" s="66"/>
      <c r="B2175" s="66"/>
      <c r="C2175" s="66"/>
      <c r="D2175" s="144"/>
      <c r="E2175" s="67"/>
      <c r="F2175" s="67"/>
      <c r="G2175" s="67"/>
      <c r="H2175" s="67">
        <f>ROUND(+E2175+G2175,4)</f>
        <v>0</v>
      </c>
      <c r="I2175" s="67"/>
      <c r="J2175" s="67">
        <f>ROUND(+I2175-H2175,4)</f>
        <v>0</v>
      </c>
      <c r="K2175" s="67">
        <f>ROUND(IF(F2175="alluminio",0,I2175*1.5%),4)</f>
        <v>0</v>
      </c>
      <c r="L2175" s="67">
        <f>ROUND(IF(K2175&lt;J2175,K2175,0),4)</f>
        <v>0</v>
      </c>
      <c r="M2175" s="67">
        <f>ROUND(IF(J2175&gt;K2175,0,J2175),4)</f>
        <v>0</v>
      </c>
      <c r="N2175" s="67">
        <f>ROUND(+L2175*D2175,4)</f>
        <v>0</v>
      </c>
      <c r="O2175" s="67">
        <f>ROUND(IF(F2175="rame",0,+I2175*3%),4)</f>
        <v>0</v>
      </c>
      <c r="P2175" s="67">
        <f>ROUND(IF(O2175&lt;J2175,O2175,0),4)</f>
        <v>0</v>
      </c>
      <c r="Q2175" s="67">
        <f>ROUND(IF(J2175&gt;O2175,0,J2175),4)</f>
        <v>0</v>
      </c>
      <c r="R2175" s="67">
        <f>ROUND(+P2175*D2175,4)</f>
        <v>0</v>
      </c>
      <c r="S2175" s="67">
        <f>ROUND(IF(K2175=0,0,M2175*D2175),4)</f>
        <v>0</v>
      </c>
      <c r="T2175" s="67">
        <f>ROUND(+IF(K2175=0,Q2175*D2175,0),4)</f>
        <v>0</v>
      </c>
      <c r="U2175" s="67">
        <f>ROUND(+N2175+R2175+S2175+T2175,4)</f>
        <v>0</v>
      </c>
      <c r="V2175" s="67">
        <f>ROUND(IF(P2175=0,0,I2175-H2175-O2175)+IF(L2175=0,0,I2175-H2175-K2175),4)</f>
        <v>0</v>
      </c>
      <c r="W2175" s="67">
        <f>ROUND(+(V2175*60%)*D2175,4)</f>
        <v>0</v>
      </c>
      <c r="X2175" s="148">
        <f>ROUND(+U2175+W2175,4)</f>
        <v>0</v>
      </c>
      <c r="Y2175" s="68"/>
      <c r="Z2175" s="148">
        <f>ROUND(IF(X2175&gt;I2175,X2175,I2175),4)</f>
        <v>0</v>
      </c>
      <c r="AD2175" s="78">
        <f t="shared" si="46"/>
        <v>0</v>
      </c>
      <c r="AE2175" s="78">
        <f t="shared" si="47"/>
        <v>0</v>
      </c>
    </row>
    <row r="2176" spans="1:31" x14ac:dyDescent="0.2">
      <c r="A2176" s="66"/>
      <c r="B2176" s="66"/>
      <c r="C2176" s="66"/>
      <c r="D2176" s="144"/>
      <c r="E2176" s="67"/>
      <c r="F2176" s="67"/>
      <c r="G2176" s="67"/>
      <c r="H2176" s="67">
        <f>ROUND(+E2176+G2176,4)</f>
        <v>0</v>
      </c>
      <c r="I2176" s="67"/>
      <c r="J2176" s="67">
        <f>ROUND(+I2176-H2176,4)</f>
        <v>0</v>
      </c>
      <c r="K2176" s="67">
        <f>ROUND(IF(F2176="alluminio",0,I2176*1.5%),4)</f>
        <v>0</v>
      </c>
      <c r="L2176" s="67">
        <f>ROUND(IF(K2176&lt;J2176,K2176,0),4)</f>
        <v>0</v>
      </c>
      <c r="M2176" s="67">
        <f>ROUND(IF(J2176&gt;K2176,0,J2176),4)</f>
        <v>0</v>
      </c>
      <c r="N2176" s="67">
        <f>ROUND(+L2176*D2176,4)</f>
        <v>0</v>
      </c>
      <c r="O2176" s="67">
        <f>ROUND(IF(F2176="rame",0,+I2176*3%),4)</f>
        <v>0</v>
      </c>
      <c r="P2176" s="67">
        <f>ROUND(IF(O2176&lt;J2176,O2176,0),4)</f>
        <v>0</v>
      </c>
      <c r="Q2176" s="67">
        <f>ROUND(IF(J2176&gt;O2176,0,J2176),4)</f>
        <v>0</v>
      </c>
      <c r="R2176" s="67">
        <f>ROUND(+P2176*D2176,4)</f>
        <v>0</v>
      </c>
      <c r="S2176" s="67">
        <f>ROUND(IF(K2176=0,0,M2176*D2176),4)</f>
        <v>0</v>
      </c>
      <c r="T2176" s="67">
        <f>ROUND(+IF(K2176=0,Q2176*D2176,0),4)</f>
        <v>0</v>
      </c>
      <c r="U2176" s="67">
        <f>ROUND(+N2176+R2176+S2176+T2176,4)</f>
        <v>0</v>
      </c>
      <c r="V2176" s="67">
        <f>ROUND(IF(P2176=0,0,I2176-H2176-O2176)+IF(L2176=0,0,I2176-H2176-K2176),4)</f>
        <v>0</v>
      </c>
      <c r="W2176" s="67">
        <f>ROUND(+(V2176*60%)*D2176,4)</f>
        <v>0</v>
      </c>
      <c r="X2176" s="148">
        <f>ROUND(+U2176+W2176,4)</f>
        <v>0</v>
      </c>
      <c r="Y2176" s="68"/>
      <c r="Z2176" s="148">
        <f>ROUND(IF(X2176&gt;I2176,X2176,I2176),4)</f>
        <v>0</v>
      </c>
      <c r="AD2176" s="78">
        <f t="shared" si="46"/>
        <v>0</v>
      </c>
      <c r="AE2176" s="78">
        <f t="shared" si="47"/>
        <v>0</v>
      </c>
    </row>
    <row r="2177" spans="1:31" x14ac:dyDescent="0.2">
      <c r="A2177" s="66"/>
      <c r="B2177" s="66"/>
      <c r="C2177" s="66"/>
      <c r="D2177" s="144"/>
      <c r="E2177" s="67"/>
      <c r="F2177" s="67"/>
      <c r="G2177" s="67"/>
      <c r="H2177" s="67">
        <f>ROUND(+E2177+G2177,4)</f>
        <v>0</v>
      </c>
      <c r="I2177" s="67"/>
      <c r="J2177" s="67">
        <f>ROUND(+I2177-H2177,4)</f>
        <v>0</v>
      </c>
      <c r="K2177" s="67">
        <f>ROUND(IF(F2177="alluminio",0,I2177*1.5%),4)</f>
        <v>0</v>
      </c>
      <c r="L2177" s="67">
        <f>ROUND(IF(K2177&lt;J2177,K2177,0),4)</f>
        <v>0</v>
      </c>
      <c r="M2177" s="67">
        <f>ROUND(IF(J2177&gt;K2177,0,J2177),4)</f>
        <v>0</v>
      </c>
      <c r="N2177" s="67">
        <f>ROUND(+L2177*D2177,4)</f>
        <v>0</v>
      </c>
      <c r="O2177" s="67">
        <f>ROUND(IF(F2177="rame",0,+I2177*3%),4)</f>
        <v>0</v>
      </c>
      <c r="P2177" s="67">
        <f>ROUND(IF(O2177&lt;J2177,O2177,0),4)</f>
        <v>0</v>
      </c>
      <c r="Q2177" s="67">
        <f>ROUND(IF(J2177&gt;O2177,0,J2177),4)</f>
        <v>0</v>
      </c>
      <c r="R2177" s="67">
        <f>ROUND(+P2177*D2177,4)</f>
        <v>0</v>
      </c>
      <c r="S2177" s="67">
        <f>ROUND(IF(K2177=0,0,M2177*D2177),4)</f>
        <v>0</v>
      </c>
      <c r="T2177" s="67">
        <f>ROUND(+IF(K2177=0,Q2177*D2177,0),4)</f>
        <v>0</v>
      </c>
      <c r="U2177" s="67">
        <f>ROUND(+N2177+R2177+S2177+T2177,4)</f>
        <v>0</v>
      </c>
      <c r="V2177" s="67">
        <f>ROUND(IF(P2177=0,0,I2177-H2177-O2177)+IF(L2177=0,0,I2177-H2177-K2177),4)</f>
        <v>0</v>
      </c>
      <c r="W2177" s="67">
        <f>ROUND(+(V2177*60%)*D2177,4)</f>
        <v>0</v>
      </c>
      <c r="X2177" s="148">
        <f>ROUND(+U2177+W2177,4)</f>
        <v>0</v>
      </c>
      <c r="Y2177" s="68"/>
      <c r="Z2177" s="148">
        <f>ROUND(IF(X2177&gt;I2177,X2177,I2177),4)</f>
        <v>0</v>
      </c>
      <c r="AD2177" s="78">
        <f t="shared" si="46"/>
        <v>0</v>
      </c>
      <c r="AE2177" s="78">
        <f t="shared" si="47"/>
        <v>0</v>
      </c>
    </row>
    <row r="2178" spans="1:31" x14ac:dyDescent="0.2">
      <c r="A2178" s="66"/>
      <c r="B2178" s="66"/>
      <c r="C2178" s="66"/>
      <c r="D2178" s="144"/>
      <c r="E2178" s="67"/>
      <c r="F2178" s="67"/>
      <c r="G2178" s="67"/>
      <c r="H2178" s="67">
        <f>ROUND(+E2178+G2178,4)</f>
        <v>0</v>
      </c>
      <c r="I2178" s="67"/>
      <c r="J2178" s="67">
        <f>ROUND(+I2178-H2178,4)</f>
        <v>0</v>
      </c>
      <c r="K2178" s="67">
        <f>ROUND(IF(F2178="alluminio",0,I2178*1.5%),4)</f>
        <v>0</v>
      </c>
      <c r="L2178" s="67">
        <f>ROUND(IF(K2178&lt;J2178,K2178,0),4)</f>
        <v>0</v>
      </c>
      <c r="M2178" s="67">
        <f>ROUND(IF(J2178&gt;K2178,0,J2178),4)</f>
        <v>0</v>
      </c>
      <c r="N2178" s="67">
        <f>ROUND(+L2178*D2178,4)</f>
        <v>0</v>
      </c>
      <c r="O2178" s="67">
        <f>ROUND(IF(F2178="rame",0,+I2178*3%),4)</f>
        <v>0</v>
      </c>
      <c r="P2178" s="67">
        <f>ROUND(IF(O2178&lt;J2178,O2178,0),4)</f>
        <v>0</v>
      </c>
      <c r="Q2178" s="67">
        <f>ROUND(IF(J2178&gt;O2178,0,J2178),4)</f>
        <v>0</v>
      </c>
      <c r="R2178" s="67">
        <f>ROUND(+P2178*D2178,4)</f>
        <v>0</v>
      </c>
      <c r="S2178" s="67">
        <f>ROUND(IF(K2178=0,0,M2178*D2178),4)</f>
        <v>0</v>
      </c>
      <c r="T2178" s="67">
        <f>ROUND(+IF(K2178=0,Q2178*D2178,0),4)</f>
        <v>0</v>
      </c>
      <c r="U2178" s="67">
        <f>ROUND(+N2178+R2178+S2178+T2178,4)</f>
        <v>0</v>
      </c>
      <c r="V2178" s="67">
        <f>ROUND(IF(P2178=0,0,I2178-H2178-O2178)+IF(L2178=0,0,I2178-H2178-K2178),4)</f>
        <v>0</v>
      </c>
      <c r="W2178" s="67">
        <f>ROUND(+(V2178*60%)*D2178,4)</f>
        <v>0</v>
      </c>
      <c r="X2178" s="148">
        <f>ROUND(+U2178+W2178,4)</f>
        <v>0</v>
      </c>
      <c r="Y2178" s="68"/>
      <c r="Z2178" s="148">
        <f>ROUND(IF(X2178&gt;I2178,X2178,I2178),4)</f>
        <v>0</v>
      </c>
      <c r="AD2178" s="78">
        <f t="shared" si="46"/>
        <v>0</v>
      </c>
      <c r="AE2178" s="78">
        <f t="shared" si="47"/>
        <v>0</v>
      </c>
    </row>
    <row r="2179" spans="1:31" x14ac:dyDescent="0.2">
      <c r="A2179" s="66"/>
      <c r="B2179" s="66"/>
      <c r="C2179" s="66"/>
      <c r="D2179" s="144"/>
      <c r="E2179" s="67"/>
      <c r="F2179" s="67"/>
      <c r="G2179" s="67"/>
      <c r="H2179" s="67">
        <f>ROUND(+E2179+G2179,4)</f>
        <v>0</v>
      </c>
      <c r="I2179" s="67"/>
      <c r="J2179" s="67">
        <f>ROUND(+I2179-H2179,4)</f>
        <v>0</v>
      </c>
      <c r="K2179" s="67">
        <f>ROUND(IF(F2179="alluminio",0,I2179*1.5%),4)</f>
        <v>0</v>
      </c>
      <c r="L2179" s="67">
        <f>ROUND(IF(K2179&lt;J2179,K2179,0),4)</f>
        <v>0</v>
      </c>
      <c r="M2179" s="67">
        <f>ROUND(IF(J2179&gt;K2179,0,J2179),4)</f>
        <v>0</v>
      </c>
      <c r="N2179" s="67">
        <f>ROUND(+L2179*D2179,4)</f>
        <v>0</v>
      </c>
      <c r="O2179" s="67">
        <f>ROUND(IF(F2179="rame",0,+I2179*3%),4)</f>
        <v>0</v>
      </c>
      <c r="P2179" s="67">
        <f>ROUND(IF(O2179&lt;J2179,O2179,0),4)</f>
        <v>0</v>
      </c>
      <c r="Q2179" s="67">
        <f>ROUND(IF(J2179&gt;O2179,0,J2179),4)</f>
        <v>0</v>
      </c>
      <c r="R2179" s="67">
        <f>ROUND(+P2179*D2179,4)</f>
        <v>0</v>
      </c>
      <c r="S2179" s="67">
        <f>ROUND(IF(K2179=0,0,M2179*D2179),4)</f>
        <v>0</v>
      </c>
      <c r="T2179" s="67">
        <f>ROUND(+IF(K2179=0,Q2179*D2179,0),4)</f>
        <v>0</v>
      </c>
      <c r="U2179" s="67">
        <f>ROUND(+N2179+R2179+S2179+T2179,4)</f>
        <v>0</v>
      </c>
      <c r="V2179" s="67">
        <f>ROUND(IF(P2179=0,0,I2179-H2179-O2179)+IF(L2179=0,0,I2179-H2179-K2179),4)</f>
        <v>0</v>
      </c>
      <c r="W2179" s="67">
        <f>ROUND(+(V2179*60%)*D2179,4)</f>
        <v>0</v>
      </c>
      <c r="X2179" s="148">
        <f>ROUND(+U2179+W2179,4)</f>
        <v>0</v>
      </c>
      <c r="Y2179" s="68"/>
      <c r="Z2179" s="148">
        <f>ROUND(IF(X2179&gt;I2179,X2179,I2179),4)</f>
        <v>0</v>
      </c>
      <c r="AD2179" s="78">
        <f t="shared" si="46"/>
        <v>0</v>
      </c>
      <c r="AE2179" s="78">
        <f t="shared" si="47"/>
        <v>0</v>
      </c>
    </row>
    <row r="2180" spans="1:31" x14ac:dyDescent="0.2">
      <c r="A2180" s="66"/>
      <c r="B2180" s="66"/>
      <c r="C2180" s="66"/>
      <c r="D2180" s="144"/>
      <c r="E2180" s="67"/>
      <c r="F2180" s="67"/>
      <c r="G2180" s="67"/>
      <c r="H2180" s="67">
        <f>ROUND(+E2180+G2180,4)</f>
        <v>0</v>
      </c>
      <c r="I2180" s="67"/>
      <c r="J2180" s="67">
        <f>ROUND(+I2180-H2180,4)</f>
        <v>0</v>
      </c>
      <c r="K2180" s="67">
        <f>ROUND(IF(F2180="alluminio",0,I2180*1.5%),4)</f>
        <v>0</v>
      </c>
      <c r="L2180" s="67">
        <f>ROUND(IF(K2180&lt;J2180,K2180,0),4)</f>
        <v>0</v>
      </c>
      <c r="M2180" s="67">
        <f>ROUND(IF(J2180&gt;K2180,0,J2180),4)</f>
        <v>0</v>
      </c>
      <c r="N2180" s="67">
        <f>ROUND(+L2180*D2180,4)</f>
        <v>0</v>
      </c>
      <c r="O2180" s="67">
        <f>ROUND(IF(F2180="rame",0,+I2180*3%),4)</f>
        <v>0</v>
      </c>
      <c r="P2180" s="67">
        <f>ROUND(IF(O2180&lt;J2180,O2180,0),4)</f>
        <v>0</v>
      </c>
      <c r="Q2180" s="67">
        <f>ROUND(IF(J2180&gt;O2180,0,J2180),4)</f>
        <v>0</v>
      </c>
      <c r="R2180" s="67">
        <f>ROUND(+P2180*D2180,4)</f>
        <v>0</v>
      </c>
      <c r="S2180" s="67">
        <f>ROUND(IF(K2180=0,0,M2180*D2180),4)</f>
        <v>0</v>
      </c>
      <c r="T2180" s="67">
        <f>ROUND(+IF(K2180=0,Q2180*D2180,0),4)</f>
        <v>0</v>
      </c>
      <c r="U2180" s="67">
        <f>ROUND(+N2180+R2180+S2180+T2180,4)</f>
        <v>0</v>
      </c>
      <c r="V2180" s="67">
        <f>ROUND(IF(P2180=0,0,I2180-H2180-O2180)+IF(L2180=0,0,I2180-H2180-K2180),4)</f>
        <v>0</v>
      </c>
      <c r="W2180" s="67">
        <f>ROUND(+(V2180*60%)*D2180,4)</f>
        <v>0</v>
      </c>
      <c r="X2180" s="148">
        <f>ROUND(+U2180+W2180,4)</f>
        <v>0</v>
      </c>
      <c r="Y2180" s="68"/>
      <c r="Z2180" s="148">
        <f>ROUND(IF(X2180&gt;I2180,X2180,I2180),4)</f>
        <v>0</v>
      </c>
      <c r="AD2180" s="78">
        <f t="shared" si="46"/>
        <v>0</v>
      </c>
      <c r="AE2180" s="78">
        <f t="shared" si="47"/>
        <v>0</v>
      </c>
    </row>
    <row r="2181" spans="1:31" x14ac:dyDescent="0.2">
      <c r="A2181" s="66"/>
      <c r="B2181" s="66"/>
      <c r="C2181" s="66"/>
      <c r="D2181" s="144"/>
      <c r="E2181" s="67"/>
      <c r="F2181" s="67"/>
      <c r="G2181" s="67"/>
      <c r="H2181" s="67">
        <f>ROUND(+E2181+G2181,4)</f>
        <v>0</v>
      </c>
      <c r="I2181" s="67"/>
      <c r="J2181" s="67">
        <f>ROUND(+I2181-H2181,4)</f>
        <v>0</v>
      </c>
      <c r="K2181" s="67">
        <f>ROUND(IF(F2181="alluminio",0,I2181*1.5%),4)</f>
        <v>0</v>
      </c>
      <c r="L2181" s="67">
        <f>ROUND(IF(K2181&lt;J2181,K2181,0),4)</f>
        <v>0</v>
      </c>
      <c r="M2181" s="67">
        <f>ROUND(IF(J2181&gt;K2181,0,J2181),4)</f>
        <v>0</v>
      </c>
      <c r="N2181" s="67">
        <f>ROUND(+L2181*D2181,4)</f>
        <v>0</v>
      </c>
      <c r="O2181" s="67">
        <f>ROUND(IF(F2181="rame",0,+I2181*3%),4)</f>
        <v>0</v>
      </c>
      <c r="P2181" s="67">
        <f>ROUND(IF(O2181&lt;J2181,O2181,0),4)</f>
        <v>0</v>
      </c>
      <c r="Q2181" s="67">
        <f>ROUND(IF(J2181&gt;O2181,0,J2181),4)</f>
        <v>0</v>
      </c>
      <c r="R2181" s="67">
        <f>ROUND(+P2181*D2181,4)</f>
        <v>0</v>
      </c>
      <c r="S2181" s="67">
        <f>ROUND(IF(K2181=0,0,M2181*D2181),4)</f>
        <v>0</v>
      </c>
      <c r="T2181" s="67">
        <f>ROUND(+IF(K2181=0,Q2181*D2181,0),4)</f>
        <v>0</v>
      </c>
      <c r="U2181" s="67">
        <f>ROUND(+N2181+R2181+S2181+T2181,4)</f>
        <v>0</v>
      </c>
      <c r="V2181" s="67">
        <f>ROUND(IF(P2181=0,0,I2181-H2181-O2181)+IF(L2181=0,0,I2181-H2181-K2181),4)</f>
        <v>0</v>
      </c>
      <c r="W2181" s="67">
        <f>ROUND(+(V2181*60%)*D2181,4)</f>
        <v>0</v>
      </c>
      <c r="X2181" s="148">
        <f>ROUND(+U2181+W2181,4)</f>
        <v>0</v>
      </c>
      <c r="Y2181" s="68"/>
      <c r="Z2181" s="148">
        <f>ROUND(IF(X2181&gt;I2181,X2181,I2181),4)</f>
        <v>0</v>
      </c>
      <c r="AD2181" s="78">
        <f t="shared" si="46"/>
        <v>0</v>
      </c>
      <c r="AE2181" s="78">
        <f t="shared" si="47"/>
        <v>0</v>
      </c>
    </row>
    <row r="2182" spans="1:31" x14ac:dyDescent="0.2">
      <c r="A2182" s="66"/>
      <c r="B2182" s="66"/>
      <c r="C2182" s="66"/>
      <c r="D2182" s="144"/>
      <c r="E2182" s="67"/>
      <c r="F2182" s="67"/>
      <c r="G2182" s="67"/>
      <c r="H2182" s="67">
        <f>ROUND(+E2182+G2182,4)</f>
        <v>0</v>
      </c>
      <c r="I2182" s="67"/>
      <c r="J2182" s="67">
        <f>ROUND(+I2182-H2182,4)</f>
        <v>0</v>
      </c>
      <c r="K2182" s="67">
        <f>ROUND(IF(F2182="alluminio",0,I2182*1.5%),4)</f>
        <v>0</v>
      </c>
      <c r="L2182" s="67">
        <f>ROUND(IF(K2182&lt;J2182,K2182,0),4)</f>
        <v>0</v>
      </c>
      <c r="M2182" s="67">
        <f>ROUND(IF(J2182&gt;K2182,0,J2182),4)</f>
        <v>0</v>
      </c>
      <c r="N2182" s="67">
        <f>ROUND(+L2182*D2182,4)</f>
        <v>0</v>
      </c>
      <c r="O2182" s="67">
        <f>ROUND(IF(F2182="rame",0,+I2182*3%),4)</f>
        <v>0</v>
      </c>
      <c r="P2182" s="67">
        <f>ROUND(IF(O2182&lt;J2182,O2182,0),4)</f>
        <v>0</v>
      </c>
      <c r="Q2182" s="67">
        <f>ROUND(IF(J2182&gt;O2182,0,J2182),4)</f>
        <v>0</v>
      </c>
      <c r="R2182" s="67">
        <f>ROUND(+P2182*D2182,4)</f>
        <v>0</v>
      </c>
      <c r="S2182" s="67">
        <f>ROUND(IF(K2182=0,0,M2182*D2182),4)</f>
        <v>0</v>
      </c>
      <c r="T2182" s="67">
        <f>ROUND(+IF(K2182=0,Q2182*D2182,0),4)</f>
        <v>0</v>
      </c>
      <c r="U2182" s="67">
        <f>ROUND(+N2182+R2182+S2182+T2182,4)</f>
        <v>0</v>
      </c>
      <c r="V2182" s="67">
        <f>ROUND(IF(P2182=0,0,I2182-H2182-O2182)+IF(L2182=0,0,I2182-H2182-K2182),4)</f>
        <v>0</v>
      </c>
      <c r="W2182" s="67">
        <f>ROUND(+(V2182*60%)*D2182,4)</f>
        <v>0</v>
      </c>
      <c r="X2182" s="148">
        <f>ROUND(+U2182+W2182,4)</f>
        <v>0</v>
      </c>
      <c r="Y2182" s="68"/>
      <c r="Z2182" s="148">
        <f>ROUND(IF(X2182&gt;I2182,X2182,I2182),4)</f>
        <v>0</v>
      </c>
      <c r="AD2182" s="78">
        <f t="shared" si="46"/>
        <v>0</v>
      </c>
      <c r="AE2182" s="78">
        <f t="shared" si="47"/>
        <v>0</v>
      </c>
    </row>
    <row r="2183" spans="1:31" x14ac:dyDescent="0.2">
      <c r="A2183" s="66"/>
      <c r="B2183" s="66"/>
      <c r="C2183" s="66"/>
      <c r="D2183" s="144"/>
      <c r="E2183" s="67"/>
      <c r="F2183" s="67"/>
      <c r="G2183" s="67"/>
      <c r="H2183" s="67">
        <f>ROUND(+E2183+G2183,4)</f>
        <v>0</v>
      </c>
      <c r="I2183" s="67"/>
      <c r="J2183" s="67">
        <f>ROUND(+I2183-H2183,4)</f>
        <v>0</v>
      </c>
      <c r="K2183" s="67">
        <f>ROUND(IF(F2183="alluminio",0,I2183*1.5%),4)</f>
        <v>0</v>
      </c>
      <c r="L2183" s="67">
        <f>ROUND(IF(K2183&lt;J2183,K2183,0),4)</f>
        <v>0</v>
      </c>
      <c r="M2183" s="67">
        <f>ROUND(IF(J2183&gt;K2183,0,J2183),4)</f>
        <v>0</v>
      </c>
      <c r="N2183" s="67">
        <f>ROUND(+L2183*D2183,4)</f>
        <v>0</v>
      </c>
      <c r="O2183" s="67">
        <f>ROUND(IF(F2183="rame",0,+I2183*3%),4)</f>
        <v>0</v>
      </c>
      <c r="P2183" s="67">
        <f>ROUND(IF(O2183&lt;J2183,O2183,0),4)</f>
        <v>0</v>
      </c>
      <c r="Q2183" s="67">
        <f>ROUND(IF(J2183&gt;O2183,0,J2183),4)</f>
        <v>0</v>
      </c>
      <c r="R2183" s="67">
        <f>ROUND(+P2183*D2183,4)</f>
        <v>0</v>
      </c>
      <c r="S2183" s="67">
        <f>ROUND(IF(K2183=0,0,M2183*D2183),4)</f>
        <v>0</v>
      </c>
      <c r="T2183" s="67">
        <f>ROUND(+IF(K2183=0,Q2183*D2183,0),4)</f>
        <v>0</v>
      </c>
      <c r="U2183" s="67">
        <f>ROUND(+N2183+R2183+S2183+T2183,4)</f>
        <v>0</v>
      </c>
      <c r="V2183" s="67">
        <f>ROUND(IF(P2183=0,0,I2183-H2183-O2183)+IF(L2183=0,0,I2183-H2183-K2183),4)</f>
        <v>0</v>
      </c>
      <c r="W2183" s="67">
        <f>ROUND(+(V2183*60%)*D2183,4)</f>
        <v>0</v>
      </c>
      <c r="X2183" s="148">
        <f>ROUND(+U2183+W2183,4)</f>
        <v>0</v>
      </c>
      <c r="Y2183" s="68"/>
      <c r="Z2183" s="148">
        <f>ROUND(IF(X2183&gt;I2183,X2183,I2183),4)</f>
        <v>0</v>
      </c>
      <c r="AD2183" s="78">
        <f t="shared" si="46"/>
        <v>0</v>
      </c>
      <c r="AE2183" s="78">
        <f t="shared" si="47"/>
        <v>0</v>
      </c>
    </row>
    <row r="2184" spans="1:31" x14ac:dyDescent="0.2">
      <c r="A2184" s="66"/>
      <c r="B2184" s="66"/>
      <c r="C2184" s="66"/>
      <c r="D2184" s="144"/>
      <c r="E2184" s="67"/>
      <c r="F2184" s="67"/>
      <c r="G2184" s="67"/>
      <c r="H2184" s="67">
        <f>ROUND(+E2184+G2184,4)</f>
        <v>0</v>
      </c>
      <c r="I2184" s="67"/>
      <c r="J2184" s="67">
        <f>ROUND(+I2184-H2184,4)</f>
        <v>0</v>
      </c>
      <c r="K2184" s="67">
        <f>ROUND(IF(F2184="alluminio",0,I2184*1.5%),4)</f>
        <v>0</v>
      </c>
      <c r="L2184" s="67">
        <f>ROUND(IF(K2184&lt;J2184,K2184,0),4)</f>
        <v>0</v>
      </c>
      <c r="M2184" s="67">
        <f>ROUND(IF(J2184&gt;K2184,0,J2184),4)</f>
        <v>0</v>
      </c>
      <c r="N2184" s="67">
        <f>ROUND(+L2184*D2184,4)</f>
        <v>0</v>
      </c>
      <c r="O2184" s="67">
        <f>ROUND(IF(F2184="rame",0,+I2184*3%),4)</f>
        <v>0</v>
      </c>
      <c r="P2184" s="67">
        <f>ROUND(IF(O2184&lt;J2184,O2184,0),4)</f>
        <v>0</v>
      </c>
      <c r="Q2184" s="67">
        <f>ROUND(IF(J2184&gt;O2184,0,J2184),4)</f>
        <v>0</v>
      </c>
      <c r="R2184" s="67">
        <f>ROUND(+P2184*D2184,4)</f>
        <v>0</v>
      </c>
      <c r="S2184" s="67">
        <f>ROUND(IF(K2184=0,0,M2184*D2184),4)</f>
        <v>0</v>
      </c>
      <c r="T2184" s="67">
        <f>ROUND(+IF(K2184=0,Q2184*D2184,0),4)</f>
        <v>0</v>
      </c>
      <c r="U2184" s="67">
        <f>ROUND(+N2184+R2184+S2184+T2184,4)</f>
        <v>0</v>
      </c>
      <c r="V2184" s="67">
        <f>ROUND(IF(P2184=0,0,I2184-H2184-O2184)+IF(L2184=0,0,I2184-H2184-K2184),4)</f>
        <v>0</v>
      </c>
      <c r="W2184" s="67">
        <f>ROUND(+(V2184*60%)*D2184,4)</f>
        <v>0</v>
      </c>
      <c r="X2184" s="148">
        <f>ROUND(+U2184+W2184,4)</f>
        <v>0</v>
      </c>
      <c r="Y2184" s="68"/>
      <c r="Z2184" s="148">
        <f>ROUND(IF(X2184&gt;I2184,X2184,I2184),4)</f>
        <v>0</v>
      </c>
      <c r="AD2184" s="78">
        <f t="shared" si="46"/>
        <v>0</v>
      </c>
      <c r="AE2184" s="78">
        <f t="shared" si="47"/>
        <v>0</v>
      </c>
    </row>
    <row r="2185" spans="1:31" x14ac:dyDescent="0.2">
      <c r="A2185" s="66"/>
      <c r="B2185" s="66"/>
      <c r="C2185" s="66"/>
      <c r="D2185" s="144"/>
      <c r="E2185" s="67"/>
      <c r="F2185" s="67"/>
      <c r="G2185" s="67"/>
      <c r="H2185" s="67">
        <f>ROUND(+E2185+G2185,4)</f>
        <v>0</v>
      </c>
      <c r="I2185" s="67"/>
      <c r="J2185" s="67">
        <f>ROUND(+I2185-H2185,4)</f>
        <v>0</v>
      </c>
      <c r="K2185" s="67">
        <f>ROUND(IF(F2185="alluminio",0,I2185*1.5%),4)</f>
        <v>0</v>
      </c>
      <c r="L2185" s="67">
        <f>ROUND(IF(K2185&lt;J2185,K2185,0),4)</f>
        <v>0</v>
      </c>
      <c r="M2185" s="67">
        <f>ROUND(IF(J2185&gt;K2185,0,J2185),4)</f>
        <v>0</v>
      </c>
      <c r="N2185" s="67">
        <f>ROUND(+L2185*D2185,4)</f>
        <v>0</v>
      </c>
      <c r="O2185" s="67">
        <f>ROUND(IF(F2185="rame",0,+I2185*3%),4)</f>
        <v>0</v>
      </c>
      <c r="P2185" s="67">
        <f>ROUND(IF(O2185&lt;J2185,O2185,0),4)</f>
        <v>0</v>
      </c>
      <c r="Q2185" s="67">
        <f>ROUND(IF(J2185&gt;O2185,0,J2185),4)</f>
        <v>0</v>
      </c>
      <c r="R2185" s="67">
        <f>ROUND(+P2185*D2185,4)</f>
        <v>0</v>
      </c>
      <c r="S2185" s="67">
        <f>ROUND(IF(K2185=0,0,M2185*D2185),4)</f>
        <v>0</v>
      </c>
      <c r="T2185" s="67">
        <f>ROUND(+IF(K2185=0,Q2185*D2185,0),4)</f>
        <v>0</v>
      </c>
      <c r="U2185" s="67">
        <f>ROUND(+N2185+R2185+S2185+T2185,4)</f>
        <v>0</v>
      </c>
      <c r="V2185" s="67">
        <f>ROUND(IF(P2185=0,0,I2185-H2185-O2185)+IF(L2185=0,0,I2185-H2185-K2185),4)</f>
        <v>0</v>
      </c>
      <c r="W2185" s="67">
        <f>ROUND(+(V2185*60%)*D2185,4)</f>
        <v>0</v>
      </c>
      <c r="X2185" s="148">
        <f>ROUND(+U2185+W2185,4)</f>
        <v>0</v>
      </c>
      <c r="Y2185" s="68"/>
      <c r="Z2185" s="148">
        <f>ROUND(IF(X2185&gt;I2185,X2185,I2185),4)</f>
        <v>0</v>
      </c>
      <c r="AD2185" s="78">
        <f t="shared" si="46"/>
        <v>0</v>
      </c>
      <c r="AE2185" s="78">
        <f t="shared" si="47"/>
        <v>0</v>
      </c>
    </row>
    <row r="2186" spans="1:31" x14ac:dyDescent="0.2">
      <c r="A2186" s="66"/>
      <c r="B2186" s="66"/>
      <c r="C2186" s="66"/>
      <c r="D2186" s="144"/>
      <c r="E2186" s="67"/>
      <c r="F2186" s="67"/>
      <c r="G2186" s="67"/>
      <c r="H2186" s="67">
        <f>ROUND(+E2186+G2186,4)</f>
        <v>0</v>
      </c>
      <c r="I2186" s="67"/>
      <c r="J2186" s="67">
        <f>ROUND(+I2186-H2186,4)</f>
        <v>0</v>
      </c>
      <c r="K2186" s="67">
        <f>ROUND(IF(F2186="alluminio",0,I2186*1.5%),4)</f>
        <v>0</v>
      </c>
      <c r="L2186" s="67">
        <f>ROUND(IF(K2186&lt;J2186,K2186,0),4)</f>
        <v>0</v>
      </c>
      <c r="M2186" s="67">
        <f>ROUND(IF(J2186&gt;K2186,0,J2186),4)</f>
        <v>0</v>
      </c>
      <c r="N2186" s="67">
        <f>ROUND(+L2186*D2186,4)</f>
        <v>0</v>
      </c>
      <c r="O2186" s="67">
        <f>ROUND(IF(F2186="rame",0,+I2186*3%),4)</f>
        <v>0</v>
      </c>
      <c r="P2186" s="67">
        <f>ROUND(IF(O2186&lt;J2186,O2186,0),4)</f>
        <v>0</v>
      </c>
      <c r="Q2186" s="67">
        <f>ROUND(IF(J2186&gt;O2186,0,J2186),4)</f>
        <v>0</v>
      </c>
      <c r="R2186" s="67">
        <f>ROUND(+P2186*D2186,4)</f>
        <v>0</v>
      </c>
      <c r="S2186" s="67">
        <f>ROUND(IF(K2186=0,0,M2186*D2186),4)</f>
        <v>0</v>
      </c>
      <c r="T2186" s="67">
        <f>ROUND(+IF(K2186=0,Q2186*D2186,0),4)</f>
        <v>0</v>
      </c>
      <c r="U2186" s="67">
        <f>ROUND(+N2186+R2186+S2186+T2186,4)</f>
        <v>0</v>
      </c>
      <c r="V2186" s="67">
        <f>ROUND(IF(P2186=0,0,I2186-H2186-O2186)+IF(L2186=0,0,I2186-H2186-K2186),4)</f>
        <v>0</v>
      </c>
      <c r="W2186" s="67">
        <f>ROUND(+(V2186*60%)*D2186,4)</f>
        <v>0</v>
      </c>
      <c r="X2186" s="148">
        <f>ROUND(+U2186+W2186,4)</f>
        <v>0</v>
      </c>
      <c r="Y2186" s="68"/>
      <c r="Z2186" s="148">
        <f>ROUND(IF(X2186&gt;I2186,X2186,I2186),4)</f>
        <v>0</v>
      </c>
      <c r="AD2186" s="78">
        <f t="shared" si="46"/>
        <v>0</v>
      </c>
      <c r="AE2186" s="78">
        <f t="shared" si="47"/>
        <v>0</v>
      </c>
    </row>
    <row r="2187" spans="1:31" x14ac:dyDescent="0.2">
      <c r="A2187" s="66"/>
      <c r="B2187" s="66"/>
      <c r="C2187" s="66"/>
      <c r="D2187" s="144"/>
      <c r="E2187" s="67"/>
      <c r="F2187" s="67"/>
      <c r="G2187" s="67"/>
      <c r="H2187" s="67">
        <f>ROUND(+E2187+G2187,4)</f>
        <v>0</v>
      </c>
      <c r="I2187" s="67"/>
      <c r="J2187" s="67">
        <f>ROUND(+I2187-H2187,4)</f>
        <v>0</v>
      </c>
      <c r="K2187" s="67">
        <f>ROUND(IF(F2187="alluminio",0,I2187*1.5%),4)</f>
        <v>0</v>
      </c>
      <c r="L2187" s="67">
        <f>ROUND(IF(K2187&lt;J2187,K2187,0),4)</f>
        <v>0</v>
      </c>
      <c r="M2187" s="67">
        <f>ROUND(IF(J2187&gt;K2187,0,J2187),4)</f>
        <v>0</v>
      </c>
      <c r="N2187" s="67">
        <f>ROUND(+L2187*D2187,4)</f>
        <v>0</v>
      </c>
      <c r="O2187" s="67">
        <f>ROUND(IF(F2187="rame",0,+I2187*3%),4)</f>
        <v>0</v>
      </c>
      <c r="P2187" s="67">
        <f>ROUND(IF(O2187&lt;J2187,O2187,0),4)</f>
        <v>0</v>
      </c>
      <c r="Q2187" s="67">
        <f>ROUND(IF(J2187&gt;O2187,0,J2187),4)</f>
        <v>0</v>
      </c>
      <c r="R2187" s="67">
        <f>ROUND(+P2187*D2187,4)</f>
        <v>0</v>
      </c>
      <c r="S2187" s="67">
        <f>ROUND(IF(K2187=0,0,M2187*D2187),4)</f>
        <v>0</v>
      </c>
      <c r="T2187" s="67">
        <f>ROUND(+IF(K2187=0,Q2187*D2187,0),4)</f>
        <v>0</v>
      </c>
      <c r="U2187" s="67">
        <f>ROUND(+N2187+R2187+S2187+T2187,4)</f>
        <v>0</v>
      </c>
      <c r="V2187" s="67">
        <f>ROUND(IF(P2187=0,0,I2187-H2187-O2187)+IF(L2187=0,0,I2187-H2187-K2187),4)</f>
        <v>0</v>
      </c>
      <c r="W2187" s="67">
        <f>ROUND(+(V2187*60%)*D2187,4)</f>
        <v>0</v>
      </c>
      <c r="X2187" s="148">
        <f>ROUND(+U2187+W2187,4)</f>
        <v>0</v>
      </c>
      <c r="Y2187" s="68"/>
      <c r="Z2187" s="148">
        <f>ROUND(IF(X2187&gt;I2187,X2187,I2187),4)</f>
        <v>0</v>
      </c>
      <c r="AD2187" s="78">
        <f t="shared" si="46"/>
        <v>0</v>
      </c>
      <c r="AE2187" s="78">
        <f t="shared" si="47"/>
        <v>0</v>
      </c>
    </row>
    <row r="2188" spans="1:31" x14ac:dyDescent="0.2">
      <c r="A2188" s="66"/>
      <c r="B2188" s="66"/>
      <c r="C2188" s="66"/>
      <c r="D2188" s="144"/>
      <c r="E2188" s="67"/>
      <c r="F2188" s="67"/>
      <c r="G2188" s="67"/>
      <c r="H2188" s="67">
        <f>ROUND(+E2188+G2188,4)</f>
        <v>0</v>
      </c>
      <c r="I2188" s="67"/>
      <c r="J2188" s="67">
        <f>ROUND(+I2188-H2188,4)</f>
        <v>0</v>
      </c>
      <c r="K2188" s="67">
        <f>ROUND(IF(F2188="alluminio",0,I2188*1.5%),4)</f>
        <v>0</v>
      </c>
      <c r="L2188" s="67">
        <f>ROUND(IF(K2188&lt;J2188,K2188,0),4)</f>
        <v>0</v>
      </c>
      <c r="M2188" s="67">
        <f>ROUND(IF(J2188&gt;K2188,0,J2188),4)</f>
        <v>0</v>
      </c>
      <c r="N2188" s="67">
        <f>ROUND(+L2188*D2188,4)</f>
        <v>0</v>
      </c>
      <c r="O2188" s="67">
        <f>ROUND(IF(F2188="rame",0,+I2188*3%),4)</f>
        <v>0</v>
      </c>
      <c r="P2188" s="67">
        <f>ROUND(IF(O2188&lt;J2188,O2188,0),4)</f>
        <v>0</v>
      </c>
      <c r="Q2188" s="67">
        <f>ROUND(IF(J2188&gt;O2188,0,J2188),4)</f>
        <v>0</v>
      </c>
      <c r="R2188" s="67">
        <f>ROUND(+P2188*D2188,4)</f>
        <v>0</v>
      </c>
      <c r="S2188" s="67">
        <f>ROUND(IF(K2188=0,0,M2188*D2188),4)</f>
        <v>0</v>
      </c>
      <c r="T2188" s="67">
        <f>ROUND(+IF(K2188=0,Q2188*D2188,0),4)</f>
        <v>0</v>
      </c>
      <c r="U2188" s="67">
        <f>ROUND(+N2188+R2188+S2188+T2188,4)</f>
        <v>0</v>
      </c>
      <c r="V2188" s="67">
        <f>ROUND(IF(P2188=0,0,I2188-H2188-O2188)+IF(L2188=0,0,I2188-H2188-K2188),4)</f>
        <v>0</v>
      </c>
      <c r="W2188" s="67">
        <f>ROUND(+(V2188*60%)*D2188,4)</f>
        <v>0</v>
      </c>
      <c r="X2188" s="148">
        <f>ROUND(+U2188+W2188,4)</f>
        <v>0</v>
      </c>
      <c r="Y2188" s="68"/>
      <c r="Z2188" s="148">
        <f>ROUND(IF(X2188&gt;I2188,X2188,I2188),4)</f>
        <v>0</v>
      </c>
      <c r="AD2188" s="78">
        <f t="shared" si="46"/>
        <v>0</v>
      </c>
      <c r="AE2188" s="78">
        <f t="shared" si="47"/>
        <v>0</v>
      </c>
    </row>
    <row r="2189" spans="1:31" x14ac:dyDescent="0.2">
      <c r="A2189" s="66"/>
      <c r="B2189" s="66"/>
      <c r="C2189" s="66"/>
      <c r="D2189" s="144"/>
      <c r="E2189" s="67"/>
      <c r="F2189" s="67"/>
      <c r="G2189" s="67"/>
      <c r="H2189" s="67">
        <f>ROUND(+E2189+G2189,4)</f>
        <v>0</v>
      </c>
      <c r="I2189" s="67"/>
      <c r="J2189" s="67">
        <f>ROUND(+I2189-H2189,4)</f>
        <v>0</v>
      </c>
      <c r="K2189" s="67">
        <f>ROUND(IF(F2189="alluminio",0,I2189*1.5%),4)</f>
        <v>0</v>
      </c>
      <c r="L2189" s="67">
        <f>ROUND(IF(K2189&lt;J2189,K2189,0),4)</f>
        <v>0</v>
      </c>
      <c r="M2189" s="67">
        <f>ROUND(IF(J2189&gt;K2189,0,J2189),4)</f>
        <v>0</v>
      </c>
      <c r="N2189" s="67">
        <f>ROUND(+L2189*D2189,4)</f>
        <v>0</v>
      </c>
      <c r="O2189" s="67">
        <f>ROUND(IF(F2189="rame",0,+I2189*3%),4)</f>
        <v>0</v>
      </c>
      <c r="P2189" s="67">
        <f>ROUND(IF(O2189&lt;J2189,O2189,0),4)</f>
        <v>0</v>
      </c>
      <c r="Q2189" s="67">
        <f>ROUND(IF(J2189&gt;O2189,0,J2189),4)</f>
        <v>0</v>
      </c>
      <c r="R2189" s="67">
        <f>ROUND(+P2189*D2189,4)</f>
        <v>0</v>
      </c>
      <c r="S2189" s="67">
        <f>ROUND(IF(K2189=0,0,M2189*D2189),4)</f>
        <v>0</v>
      </c>
      <c r="T2189" s="67">
        <f>ROUND(+IF(K2189=0,Q2189*D2189,0),4)</f>
        <v>0</v>
      </c>
      <c r="U2189" s="67">
        <f>ROUND(+N2189+R2189+S2189+T2189,4)</f>
        <v>0</v>
      </c>
      <c r="V2189" s="67">
        <f>ROUND(IF(P2189=0,0,I2189-H2189-O2189)+IF(L2189=0,0,I2189-H2189-K2189),4)</f>
        <v>0</v>
      </c>
      <c r="W2189" s="67">
        <f>ROUND(+(V2189*60%)*D2189,4)</f>
        <v>0</v>
      </c>
      <c r="X2189" s="148">
        <f>ROUND(+U2189+W2189,4)</f>
        <v>0</v>
      </c>
      <c r="Y2189" s="68"/>
      <c r="Z2189" s="148">
        <f>ROUND(IF(X2189&gt;I2189,X2189,I2189),4)</f>
        <v>0</v>
      </c>
      <c r="AD2189" s="78">
        <f t="shared" si="46"/>
        <v>0</v>
      </c>
      <c r="AE2189" s="78">
        <f t="shared" si="47"/>
        <v>0</v>
      </c>
    </row>
    <row r="2190" spans="1:31" x14ac:dyDescent="0.2">
      <c r="A2190" s="66"/>
      <c r="B2190" s="66"/>
      <c r="C2190" s="66"/>
      <c r="D2190" s="144"/>
      <c r="E2190" s="67"/>
      <c r="F2190" s="67"/>
      <c r="G2190" s="67"/>
      <c r="H2190" s="67">
        <f>ROUND(+E2190+G2190,4)</f>
        <v>0</v>
      </c>
      <c r="I2190" s="67"/>
      <c r="J2190" s="67">
        <f>ROUND(+I2190-H2190,4)</f>
        <v>0</v>
      </c>
      <c r="K2190" s="67">
        <f>ROUND(IF(F2190="alluminio",0,I2190*1.5%),4)</f>
        <v>0</v>
      </c>
      <c r="L2190" s="67">
        <f>ROUND(IF(K2190&lt;J2190,K2190,0),4)</f>
        <v>0</v>
      </c>
      <c r="M2190" s="67">
        <f>ROUND(IF(J2190&gt;K2190,0,J2190),4)</f>
        <v>0</v>
      </c>
      <c r="N2190" s="67">
        <f>ROUND(+L2190*D2190,4)</f>
        <v>0</v>
      </c>
      <c r="O2190" s="67">
        <f>ROUND(IF(F2190="rame",0,+I2190*3%),4)</f>
        <v>0</v>
      </c>
      <c r="P2190" s="67">
        <f>ROUND(IF(O2190&lt;J2190,O2190,0),4)</f>
        <v>0</v>
      </c>
      <c r="Q2190" s="67">
        <f>ROUND(IF(J2190&gt;O2190,0,J2190),4)</f>
        <v>0</v>
      </c>
      <c r="R2190" s="67">
        <f>ROUND(+P2190*D2190,4)</f>
        <v>0</v>
      </c>
      <c r="S2190" s="67">
        <f>ROUND(IF(K2190=0,0,M2190*D2190),4)</f>
        <v>0</v>
      </c>
      <c r="T2190" s="67">
        <f>ROUND(+IF(K2190=0,Q2190*D2190,0),4)</f>
        <v>0</v>
      </c>
      <c r="U2190" s="67">
        <f>ROUND(+N2190+R2190+S2190+T2190,4)</f>
        <v>0</v>
      </c>
      <c r="V2190" s="67">
        <f>ROUND(IF(P2190=0,0,I2190-H2190-O2190)+IF(L2190=0,0,I2190-H2190-K2190),4)</f>
        <v>0</v>
      </c>
      <c r="W2190" s="67">
        <f>ROUND(+(V2190*60%)*D2190,4)</f>
        <v>0</v>
      </c>
      <c r="X2190" s="148">
        <f>ROUND(+U2190+W2190,4)</f>
        <v>0</v>
      </c>
      <c r="Y2190" s="68"/>
      <c r="Z2190" s="148">
        <f>ROUND(IF(X2190&gt;I2190,X2190,I2190),4)</f>
        <v>0</v>
      </c>
      <c r="AD2190" s="78">
        <f t="shared" si="46"/>
        <v>0</v>
      </c>
      <c r="AE2190" s="78">
        <f t="shared" si="47"/>
        <v>0</v>
      </c>
    </row>
    <row r="2191" spans="1:31" x14ac:dyDescent="0.2">
      <c r="A2191" s="66"/>
      <c r="B2191" s="66"/>
      <c r="C2191" s="66"/>
      <c r="D2191" s="144"/>
      <c r="E2191" s="67"/>
      <c r="F2191" s="67"/>
      <c r="G2191" s="67"/>
      <c r="H2191" s="67">
        <f>ROUND(+E2191+G2191,4)</f>
        <v>0</v>
      </c>
      <c r="I2191" s="67"/>
      <c r="J2191" s="67">
        <f>ROUND(+I2191-H2191,4)</f>
        <v>0</v>
      </c>
      <c r="K2191" s="67">
        <f>ROUND(IF(F2191="alluminio",0,I2191*1.5%),4)</f>
        <v>0</v>
      </c>
      <c r="L2191" s="67">
        <f>ROUND(IF(K2191&lt;J2191,K2191,0),4)</f>
        <v>0</v>
      </c>
      <c r="M2191" s="67">
        <f>ROUND(IF(J2191&gt;K2191,0,J2191),4)</f>
        <v>0</v>
      </c>
      <c r="N2191" s="67">
        <f>ROUND(+L2191*D2191,4)</f>
        <v>0</v>
      </c>
      <c r="O2191" s="67">
        <f>ROUND(IF(F2191="rame",0,+I2191*3%),4)</f>
        <v>0</v>
      </c>
      <c r="P2191" s="67">
        <f>ROUND(IF(O2191&lt;J2191,O2191,0),4)</f>
        <v>0</v>
      </c>
      <c r="Q2191" s="67">
        <f>ROUND(IF(J2191&gt;O2191,0,J2191),4)</f>
        <v>0</v>
      </c>
      <c r="R2191" s="67">
        <f>ROUND(+P2191*D2191,4)</f>
        <v>0</v>
      </c>
      <c r="S2191" s="67">
        <f>ROUND(IF(K2191=0,0,M2191*D2191),4)</f>
        <v>0</v>
      </c>
      <c r="T2191" s="67">
        <f>ROUND(+IF(K2191=0,Q2191*D2191,0),4)</f>
        <v>0</v>
      </c>
      <c r="U2191" s="67">
        <f>ROUND(+N2191+R2191+S2191+T2191,4)</f>
        <v>0</v>
      </c>
      <c r="V2191" s="67">
        <f>ROUND(IF(P2191=0,0,I2191-H2191-O2191)+IF(L2191=0,0,I2191-H2191-K2191),4)</f>
        <v>0</v>
      </c>
      <c r="W2191" s="67">
        <f>ROUND(+(V2191*60%)*D2191,4)</f>
        <v>0</v>
      </c>
      <c r="X2191" s="148">
        <f>ROUND(+U2191+W2191,4)</f>
        <v>0</v>
      </c>
      <c r="Y2191" s="68"/>
      <c r="Z2191" s="148">
        <f>ROUND(IF(X2191&gt;I2191,X2191,I2191),4)</f>
        <v>0</v>
      </c>
      <c r="AD2191" s="78">
        <f t="shared" si="46"/>
        <v>0</v>
      </c>
      <c r="AE2191" s="78">
        <f t="shared" si="47"/>
        <v>0</v>
      </c>
    </row>
    <row r="2192" spans="1:31" x14ac:dyDescent="0.2">
      <c r="A2192" s="66"/>
      <c r="B2192" s="66"/>
      <c r="C2192" s="66"/>
      <c r="D2192" s="144"/>
      <c r="E2192" s="67"/>
      <c r="F2192" s="67"/>
      <c r="G2192" s="67"/>
      <c r="H2192" s="67">
        <f>ROUND(+E2192+G2192,4)</f>
        <v>0</v>
      </c>
      <c r="I2192" s="67"/>
      <c r="J2192" s="67">
        <f>ROUND(+I2192-H2192,4)</f>
        <v>0</v>
      </c>
      <c r="K2192" s="67">
        <f>ROUND(IF(F2192="alluminio",0,I2192*1.5%),4)</f>
        <v>0</v>
      </c>
      <c r="L2192" s="67">
        <f>ROUND(IF(K2192&lt;J2192,K2192,0),4)</f>
        <v>0</v>
      </c>
      <c r="M2192" s="67">
        <f>ROUND(IF(J2192&gt;K2192,0,J2192),4)</f>
        <v>0</v>
      </c>
      <c r="N2192" s="67">
        <f>ROUND(+L2192*D2192,4)</f>
        <v>0</v>
      </c>
      <c r="O2192" s="67">
        <f>ROUND(IF(F2192="rame",0,+I2192*3%),4)</f>
        <v>0</v>
      </c>
      <c r="P2192" s="67">
        <f>ROUND(IF(O2192&lt;J2192,O2192,0),4)</f>
        <v>0</v>
      </c>
      <c r="Q2192" s="67">
        <f>ROUND(IF(J2192&gt;O2192,0,J2192),4)</f>
        <v>0</v>
      </c>
      <c r="R2192" s="67">
        <f>ROUND(+P2192*D2192,4)</f>
        <v>0</v>
      </c>
      <c r="S2192" s="67">
        <f>ROUND(IF(K2192=0,0,M2192*D2192),4)</f>
        <v>0</v>
      </c>
      <c r="T2192" s="67">
        <f>ROUND(+IF(K2192=0,Q2192*D2192,0),4)</f>
        <v>0</v>
      </c>
      <c r="U2192" s="67">
        <f>ROUND(+N2192+R2192+S2192+T2192,4)</f>
        <v>0</v>
      </c>
      <c r="V2192" s="67">
        <f>ROUND(IF(P2192=0,0,I2192-H2192-O2192)+IF(L2192=0,0,I2192-H2192-K2192),4)</f>
        <v>0</v>
      </c>
      <c r="W2192" s="67">
        <f>ROUND(+(V2192*60%)*D2192,4)</f>
        <v>0</v>
      </c>
      <c r="X2192" s="148">
        <f>ROUND(+U2192+W2192,4)</f>
        <v>0</v>
      </c>
      <c r="Y2192" s="68"/>
      <c r="Z2192" s="148">
        <f>ROUND(IF(X2192&gt;I2192,X2192,I2192),4)</f>
        <v>0</v>
      </c>
      <c r="AD2192" s="78">
        <f t="shared" si="46"/>
        <v>0</v>
      </c>
      <c r="AE2192" s="78">
        <f t="shared" si="47"/>
        <v>0</v>
      </c>
    </row>
    <row r="2193" spans="1:31" x14ac:dyDescent="0.2">
      <c r="A2193" s="66"/>
      <c r="B2193" s="66"/>
      <c r="C2193" s="66"/>
      <c r="D2193" s="144"/>
      <c r="E2193" s="67"/>
      <c r="F2193" s="67"/>
      <c r="G2193" s="67"/>
      <c r="H2193" s="67">
        <f>ROUND(+E2193+G2193,4)</f>
        <v>0</v>
      </c>
      <c r="I2193" s="67"/>
      <c r="J2193" s="67">
        <f>ROUND(+I2193-H2193,4)</f>
        <v>0</v>
      </c>
      <c r="K2193" s="67">
        <f>ROUND(IF(F2193="alluminio",0,I2193*1.5%),4)</f>
        <v>0</v>
      </c>
      <c r="L2193" s="67">
        <f>ROUND(IF(K2193&lt;J2193,K2193,0),4)</f>
        <v>0</v>
      </c>
      <c r="M2193" s="67">
        <f>ROUND(IF(J2193&gt;K2193,0,J2193),4)</f>
        <v>0</v>
      </c>
      <c r="N2193" s="67">
        <f>ROUND(+L2193*D2193,4)</f>
        <v>0</v>
      </c>
      <c r="O2193" s="67">
        <f>ROUND(IF(F2193="rame",0,+I2193*3%),4)</f>
        <v>0</v>
      </c>
      <c r="P2193" s="67">
        <f>ROUND(IF(O2193&lt;J2193,O2193,0),4)</f>
        <v>0</v>
      </c>
      <c r="Q2193" s="67">
        <f>ROUND(IF(J2193&gt;O2193,0,J2193),4)</f>
        <v>0</v>
      </c>
      <c r="R2193" s="67">
        <f>ROUND(+P2193*D2193,4)</f>
        <v>0</v>
      </c>
      <c r="S2193" s="67">
        <f>ROUND(IF(K2193=0,0,M2193*D2193),4)</f>
        <v>0</v>
      </c>
      <c r="T2193" s="67">
        <f>ROUND(+IF(K2193=0,Q2193*D2193,0),4)</f>
        <v>0</v>
      </c>
      <c r="U2193" s="67">
        <f>ROUND(+N2193+R2193+S2193+T2193,4)</f>
        <v>0</v>
      </c>
      <c r="V2193" s="67">
        <f>ROUND(IF(P2193=0,0,I2193-H2193-O2193)+IF(L2193=0,0,I2193-H2193-K2193),4)</f>
        <v>0</v>
      </c>
      <c r="W2193" s="67">
        <f>ROUND(+(V2193*60%)*D2193,4)</f>
        <v>0</v>
      </c>
      <c r="X2193" s="148">
        <f>ROUND(+U2193+W2193,4)</f>
        <v>0</v>
      </c>
      <c r="Y2193" s="68"/>
      <c r="Z2193" s="148">
        <f>ROUND(IF(X2193&gt;I2193,X2193,I2193),4)</f>
        <v>0</v>
      </c>
      <c r="AD2193" s="78">
        <f t="shared" si="46"/>
        <v>0</v>
      </c>
      <c r="AE2193" s="78">
        <f t="shared" si="47"/>
        <v>0</v>
      </c>
    </row>
    <row r="2194" spans="1:31" x14ac:dyDescent="0.2">
      <c r="A2194" s="66"/>
      <c r="B2194" s="66"/>
      <c r="C2194" s="66"/>
      <c r="D2194" s="144"/>
      <c r="E2194" s="67"/>
      <c r="F2194" s="67"/>
      <c r="G2194" s="67"/>
      <c r="H2194" s="67">
        <f>ROUND(+E2194+G2194,4)</f>
        <v>0</v>
      </c>
      <c r="I2194" s="67"/>
      <c r="J2194" s="67">
        <f>ROUND(+I2194-H2194,4)</f>
        <v>0</v>
      </c>
      <c r="K2194" s="67">
        <f>ROUND(IF(F2194="alluminio",0,I2194*1.5%),4)</f>
        <v>0</v>
      </c>
      <c r="L2194" s="67">
        <f>ROUND(IF(K2194&lt;J2194,K2194,0),4)</f>
        <v>0</v>
      </c>
      <c r="M2194" s="67">
        <f>ROUND(IF(J2194&gt;K2194,0,J2194),4)</f>
        <v>0</v>
      </c>
      <c r="N2194" s="67">
        <f>ROUND(+L2194*D2194,4)</f>
        <v>0</v>
      </c>
      <c r="O2194" s="67">
        <f>ROUND(IF(F2194="rame",0,+I2194*3%),4)</f>
        <v>0</v>
      </c>
      <c r="P2194" s="67">
        <f>ROUND(IF(O2194&lt;J2194,O2194,0),4)</f>
        <v>0</v>
      </c>
      <c r="Q2194" s="67">
        <f>ROUND(IF(J2194&gt;O2194,0,J2194),4)</f>
        <v>0</v>
      </c>
      <c r="R2194" s="67">
        <f>ROUND(+P2194*D2194,4)</f>
        <v>0</v>
      </c>
      <c r="S2194" s="67">
        <f>ROUND(IF(K2194=0,0,M2194*D2194),4)</f>
        <v>0</v>
      </c>
      <c r="T2194" s="67">
        <f>ROUND(+IF(K2194=0,Q2194*D2194,0),4)</f>
        <v>0</v>
      </c>
      <c r="U2194" s="67">
        <f>ROUND(+N2194+R2194+S2194+T2194,4)</f>
        <v>0</v>
      </c>
      <c r="V2194" s="67">
        <f>ROUND(IF(P2194=0,0,I2194-H2194-O2194)+IF(L2194=0,0,I2194-H2194-K2194),4)</f>
        <v>0</v>
      </c>
      <c r="W2194" s="67">
        <f>ROUND(+(V2194*60%)*D2194,4)</f>
        <v>0</v>
      </c>
      <c r="X2194" s="148">
        <f>ROUND(+U2194+W2194,4)</f>
        <v>0</v>
      </c>
      <c r="Y2194" s="68"/>
      <c r="Z2194" s="148">
        <f>ROUND(IF(X2194&gt;I2194,X2194,I2194),4)</f>
        <v>0</v>
      </c>
      <c r="AD2194" s="78">
        <f t="shared" si="46"/>
        <v>0</v>
      </c>
      <c r="AE2194" s="78">
        <f t="shared" si="47"/>
        <v>0</v>
      </c>
    </row>
    <row r="2195" spans="1:31" x14ac:dyDescent="0.2">
      <c r="A2195" s="66"/>
      <c r="B2195" s="66"/>
      <c r="C2195" s="66"/>
      <c r="D2195" s="144"/>
      <c r="E2195" s="67"/>
      <c r="F2195" s="67"/>
      <c r="G2195" s="67"/>
      <c r="H2195" s="67">
        <f>ROUND(+E2195+G2195,4)</f>
        <v>0</v>
      </c>
      <c r="I2195" s="67"/>
      <c r="J2195" s="67">
        <f>ROUND(+I2195-H2195,4)</f>
        <v>0</v>
      </c>
      <c r="K2195" s="67">
        <f>ROUND(IF(F2195="alluminio",0,I2195*1.5%),4)</f>
        <v>0</v>
      </c>
      <c r="L2195" s="67">
        <f>ROUND(IF(K2195&lt;J2195,K2195,0),4)</f>
        <v>0</v>
      </c>
      <c r="M2195" s="67">
        <f>ROUND(IF(J2195&gt;K2195,0,J2195),4)</f>
        <v>0</v>
      </c>
      <c r="N2195" s="67">
        <f>ROUND(+L2195*D2195,4)</f>
        <v>0</v>
      </c>
      <c r="O2195" s="67">
        <f>ROUND(IF(F2195="rame",0,+I2195*3%),4)</f>
        <v>0</v>
      </c>
      <c r="P2195" s="67">
        <f>ROUND(IF(O2195&lt;J2195,O2195,0),4)</f>
        <v>0</v>
      </c>
      <c r="Q2195" s="67">
        <f>ROUND(IF(J2195&gt;O2195,0,J2195),4)</f>
        <v>0</v>
      </c>
      <c r="R2195" s="67">
        <f>ROUND(+P2195*D2195,4)</f>
        <v>0</v>
      </c>
      <c r="S2195" s="67">
        <f>ROUND(IF(K2195=0,0,M2195*D2195),4)</f>
        <v>0</v>
      </c>
      <c r="T2195" s="67">
        <f>ROUND(+IF(K2195=0,Q2195*D2195,0),4)</f>
        <v>0</v>
      </c>
      <c r="U2195" s="67">
        <f>ROUND(+N2195+R2195+S2195+T2195,4)</f>
        <v>0</v>
      </c>
      <c r="V2195" s="67">
        <f>ROUND(IF(P2195=0,0,I2195-H2195-O2195)+IF(L2195=0,0,I2195-H2195-K2195),4)</f>
        <v>0</v>
      </c>
      <c r="W2195" s="67">
        <f>ROUND(+(V2195*60%)*D2195,4)</f>
        <v>0</v>
      </c>
      <c r="X2195" s="148">
        <f>ROUND(+U2195+W2195,4)</f>
        <v>0</v>
      </c>
      <c r="Y2195" s="68"/>
      <c r="Z2195" s="148">
        <f>ROUND(IF(X2195&gt;I2195,X2195,I2195),4)</f>
        <v>0</v>
      </c>
      <c r="AD2195" s="78">
        <f t="shared" si="46"/>
        <v>0</v>
      </c>
      <c r="AE2195" s="78">
        <f t="shared" si="47"/>
        <v>0</v>
      </c>
    </row>
    <row r="2196" spans="1:31" x14ac:dyDescent="0.2">
      <c r="A2196" s="66"/>
      <c r="B2196" s="66"/>
      <c r="C2196" s="66"/>
      <c r="D2196" s="144"/>
      <c r="E2196" s="67"/>
      <c r="F2196" s="67"/>
      <c r="G2196" s="67"/>
      <c r="H2196" s="67">
        <f>ROUND(+E2196+G2196,4)</f>
        <v>0</v>
      </c>
      <c r="I2196" s="67"/>
      <c r="J2196" s="67">
        <f>ROUND(+I2196-H2196,4)</f>
        <v>0</v>
      </c>
      <c r="K2196" s="67">
        <f>ROUND(IF(F2196="alluminio",0,I2196*1.5%),4)</f>
        <v>0</v>
      </c>
      <c r="L2196" s="67">
        <f>ROUND(IF(K2196&lt;J2196,K2196,0),4)</f>
        <v>0</v>
      </c>
      <c r="M2196" s="67">
        <f>ROUND(IF(J2196&gt;K2196,0,J2196),4)</f>
        <v>0</v>
      </c>
      <c r="N2196" s="67">
        <f>ROUND(+L2196*D2196,4)</f>
        <v>0</v>
      </c>
      <c r="O2196" s="67">
        <f>ROUND(IF(F2196="rame",0,+I2196*3%),4)</f>
        <v>0</v>
      </c>
      <c r="P2196" s="67">
        <f>ROUND(IF(O2196&lt;J2196,O2196,0),4)</f>
        <v>0</v>
      </c>
      <c r="Q2196" s="67">
        <f>ROUND(IF(J2196&gt;O2196,0,J2196),4)</f>
        <v>0</v>
      </c>
      <c r="R2196" s="67">
        <f>ROUND(+P2196*D2196,4)</f>
        <v>0</v>
      </c>
      <c r="S2196" s="67">
        <f>ROUND(IF(K2196=0,0,M2196*D2196),4)</f>
        <v>0</v>
      </c>
      <c r="T2196" s="67">
        <f>ROUND(+IF(K2196=0,Q2196*D2196,0),4)</f>
        <v>0</v>
      </c>
      <c r="U2196" s="67">
        <f>ROUND(+N2196+R2196+S2196+T2196,4)</f>
        <v>0</v>
      </c>
      <c r="V2196" s="67">
        <f>ROUND(IF(P2196=0,0,I2196-H2196-O2196)+IF(L2196=0,0,I2196-H2196-K2196),4)</f>
        <v>0</v>
      </c>
      <c r="W2196" s="67">
        <f>ROUND(+(V2196*60%)*D2196,4)</f>
        <v>0</v>
      </c>
      <c r="X2196" s="148">
        <f>ROUND(+U2196+W2196,4)</f>
        <v>0</v>
      </c>
      <c r="Y2196" s="68"/>
      <c r="Z2196" s="148">
        <f>ROUND(IF(X2196&gt;I2196,X2196,I2196),4)</f>
        <v>0</v>
      </c>
      <c r="AD2196" s="78">
        <f t="shared" si="46"/>
        <v>0</v>
      </c>
      <c r="AE2196" s="78">
        <f t="shared" si="47"/>
        <v>0</v>
      </c>
    </row>
    <row r="2197" spans="1:31" x14ac:dyDescent="0.2">
      <c r="A2197" s="66"/>
      <c r="B2197" s="66"/>
      <c r="C2197" s="66"/>
      <c r="D2197" s="144"/>
      <c r="E2197" s="67"/>
      <c r="F2197" s="67"/>
      <c r="G2197" s="67"/>
      <c r="H2197" s="67">
        <f>ROUND(+E2197+G2197,4)</f>
        <v>0</v>
      </c>
      <c r="I2197" s="67"/>
      <c r="J2197" s="67">
        <f>ROUND(+I2197-H2197,4)</f>
        <v>0</v>
      </c>
      <c r="K2197" s="67">
        <f>ROUND(IF(F2197="alluminio",0,I2197*1.5%),4)</f>
        <v>0</v>
      </c>
      <c r="L2197" s="67">
        <f>ROUND(IF(K2197&lt;J2197,K2197,0),4)</f>
        <v>0</v>
      </c>
      <c r="M2197" s="67">
        <f>ROUND(IF(J2197&gt;K2197,0,J2197),4)</f>
        <v>0</v>
      </c>
      <c r="N2197" s="67">
        <f>ROUND(+L2197*D2197,4)</f>
        <v>0</v>
      </c>
      <c r="O2197" s="67">
        <f>ROUND(IF(F2197="rame",0,+I2197*3%),4)</f>
        <v>0</v>
      </c>
      <c r="P2197" s="67">
        <f>ROUND(IF(O2197&lt;J2197,O2197,0),4)</f>
        <v>0</v>
      </c>
      <c r="Q2197" s="67">
        <f>ROUND(IF(J2197&gt;O2197,0,J2197),4)</f>
        <v>0</v>
      </c>
      <c r="R2197" s="67">
        <f>ROUND(+P2197*D2197,4)</f>
        <v>0</v>
      </c>
      <c r="S2197" s="67">
        <f>ROUND(IF(K2197=0,0,M2197*D2197),4)</f>
        <v>0</v>
      </c>
      <c r="T2197" s="67">
        <f>ROUND(+IF(K2197=0,Q2197*D2197,0),4)</f>
        <v>0</v>
      </c>
      <c r="U2197" s="67">
        <f>ROUND(+N2197+R2197+S2197+T2197,4)</f>
        <v>0</v>
      </c>
      <c r="V2197" s="67">
        <f>ROUND(IF(P2197=0,0,I2197-H2197-O2197)+IF(L2197=0,0,I2197-H2197-K2197),4)</f>
        <v>0</v>
      </c>
      <c r="W2197" s="67">
        <f>ROUND(+(V2197*60%)*D2197,4)</f>
        <v>0</v>
      </c>
      <c r="X2197" s="148">
        <f>ROUND(+U2197+W2197,4)</f>
        <v>0</v>
      </c>
      <c r="Y2197" s="68"/>
      <c r="Z2197" s="148">
        <f>ROUND(IF(X2197&gt;I2197,X2197,I2197),4)</f>
        <v>0</v>
      </c>
      <c r="AD2197" s="78">
        <f t="shared" si="46"/>
        <v>0</v>
      </c>
      <c r="AE2197" s="78">
        <f t="shared" si="47"/>
        <v>0</v>
      </c>
    </row>
    <row r="2198" spans="1:31" x14ac:dyDescent="0.2">
      <c r="A2198" s="66"/>
      <c r="B2198" s="66"/>
      <c r="C2198" s="66"/>
      <c r="D2198" s="144"/>
      <c r="E2198" s="67"/>
      <c r="F2198" s="67"/>
      <c r="G2198" s="67"/>
      <c r="H2198" s="67">
        <f>ROUND(+E2198+G2198,4)</f>
        <v>0</v>
      </c>
      <c r="I2198" s="67"/>
      <c r="J2198" s="67">
        <f>ROUND(+I2198-H2198,4)</f>
        <v>0</v>
      </c>
      <c r="K2198" s="67">
        <f>ROUND(IF(F2198="alluminio",0,I2198*1.5%),4)</f>
        <v>0</v>
      </c>
      <c r="L2198" s="67">
        <f>ROUND(IF(K2198&lt;J2198,K2198,0),4)</f>
        <v>0</v>
      </c>
      <c r="M2198" s="67">
        <f>ROUND(IF(J2198&gt;K2198,0,J2198),4)</f>
        <v>0</v>
      </c>
      <c r="N2198" s="67">
        <f>ROUND(+L2198*D2198,4)</f>
        <v>0</v>
      </c>
      <c r="O2198" s="67">
        <f>ROUND(IF(F2198="rame",0,+I2198*3%),4)</f>
        <v>0</v>
      </c>
      <c r="P2198" s="67">
        <f>ROUND(IF(O2198&lt;J2198,O2198,0),4)</f>
        <v>0</v>
      </c>
      <c r="Q2198" s="67">
        <f>ROUND(IF(J2198&gt;O2198,0,J2198),4)</f>
        <v>0</v>
      </c>
      <c r="R2198" s="67">
        <f>ROUND(+P2198*D2198,4)</f>
        <v>0</v>
      </c>
      <c r="S2198" s="67">
        <f>ROUND(IF(K2198=0,0,M2198*D2198),4)</f>
        <v>0</v>
      </c>
      <c r="T2198" s="67">
        <f>ROUND(+IF(K2198=0,Q2198*D2198,0),4)</f>
        <v>0</v>
      </c>
      <c r="U2198" s="67">
        <f>ROUND(+N2198+R2198+S2198+T2198,4)</f>
        <v>0</v>
      </c>
      <c r="V2198" s="67">
        <f>ROUND(IF(P2198=0,0,I2198-H2198-O2198)+IF(L2198=0,0,I2198-H2198-K2198),4)</f>
        <v>0</v>
      </c>
      <c r="W2198" s="67">
        <f>ROUND(+(V2198*60%)*D2198,4)</f>
        <v>0</v>
      </c>
      <c r="X2198" s="148">
        <f>ROUND(+U2198+W2198,4)</f>
        <v>0</v>
      </c>
      <c r="Y2198" s="68"/>
      <c r="Z2198" s="148">
        <f>ROUND(IF(X2198&gt;I2198,X2198,I2198),4)</f>
        <v>0</v>
      </c>
      <c r="AD2198" s="78">
        <f t="shared" si="46"/>
        <v>0</v>
      </c>
      <c r="AE2198" s="78">
        <f t="shared" si="47"/>
        <v>0</v>
      </c>
    </row>
    <row r="2199" spans="1:31" x14ac:dyDescent="0.2">
      <c r="A2199" s="66"/>
      <c r="B2199" s="66"/>
      <c r="C2199" s="66"/>
      <c r="D2199" s="144"/>
      <c r="E2199" s="67"/>
      <c r="F2199" s="67"/>
      <c r="G2199" s="67"/>
      <c r="H2199" s="67">
        <f>ROUND(+E2199+G2199,4)</f>
        <v>0</v>
      </c>
      <c r="I2199" s="67"/>
      <c r="J2199" s="67">
        <f>ROUND(+I2199-H2199,4)</f>
        <v>0</v>
      </c>
      <c r="K2199" s="67">
        <f>ROUND(IF(F2199="alluminio",0,I2199*1.5%),4)</f>
        <v>0</v>
      </c>
      <c r="L2199" s="67">
        <f>ROUND(IF(K2199&lt;J2199,K2199,0),4)</f>
        <v>0</v>
      </c>
      <c r="M2199" s="67">
        <f>ROUND(IF(J2199&gt;K2199,0,J2199),4)</f>
        <v>0</v>
      </c>
      <c r="N2199" s="67">
        <f>ROUND(+L2199*D2199,4)</f>
        <v>0</v>
      </c>
      <c r="O2199" s="67">
        <f>ROUND(IF(F2199="rame",0,+I2199*3%),4)</f>
        <v>0</v>
      </c>
      <c r="P2199" s="67">
        <f>ROUND(IF(O2199&lt;J2199,O2199,0),4)</f>
        <v>0</v>
      </c>
      <c r="Q2199" s="67">
        <f>ROUND(IF(J2199&gt;O2199,0,J2199),4)</f>
        <v>0</v>
      </c>
      <c r="R2199" s="67">
        <f>ROUND(+P2199*D2199,4)</f>
        <v>0</v>
      </c>
      <c r="S2199" s="67">
        <f>ROUND(IF(K2199=0,0,M2199*D2199),4)</f>
        <v>0</v>
      </c>
      <c r="T2199" s="67">
        <f>ROUND(+IF(K2199=0,Q2199*D2199,0),4)</f>
        <v>0</v>
      </c>
      <c r="U2199" s="67">
        <f>ROUND(+N2199+R2199+S2199+T2199,4)</f>
        <v>0</v>
      </c>
      <c r="V2199" s="67">
        <f>ROUND(IF(P2199=0,0,I2199-H2199-O2199)+IF(L2199=0,0,I2199-H2199-K2199),4)</f>
        <v>0</v>
      </c>
      <c r="W2199" s="67">
        <f>ROUND(+(V2199*60%)*D2199,4)</f>
        <v>0</v>
      </c>
      <c r="X2199" s="148">
        <f>ROUND(+U2199+W2199,4)</f>
        <v>0</v>
      </c>
      <c r="Y2199" s="68"/>
      <c r="Z2199" s="148">
        <f>ROUND(IF(X2199&gt;I2199,X2199,I2199),4)</f>
        <v>0</v>
      </c>
      <c r="AD2199" s="78">
        <f t="shared" si="46"/>
        <v>0</v>
      </c>
      <c r="AE2199" s="78">
        <f t="shared" si="47"/>
        <v>0</v>
      </c>
    </row>
    <row r="2200" spans="1:31" x14ac:dyDescent="0.2">
      <c r="A2200" s="66"/>
      <c r="B2200" s="66"/>
      <c r="C2200" s="66"/>
      <c r="D2200" s="144"/>
      <c r="E2200" s="67"/>
      <c r="F2200" s="67"/>
      <c r="G2200" s="67"/>
      <c r="H2200" s="67">
        <f>ROUND(+E2200+G2200,4)</f>
        <v>0</v>
      </c>
      <c r="I2200" s="67"/>
      <c r="J2200" s="67">
        <f>ROUND(+I2200-H2200,4)</f>
        <v>0</v>
      </c>
      <c r="K2200" s="67">
        <f>ROUND(IF(F2200="alluminio",0,I2200*1.5%),4)</f>
        <v>0</v>
      </c>
      <c r="L2200" s="67">
        <f>ROUND(IF(K2200&lt;J2200,K2200,0),4)</f>
        <v>0</v>
      </c>
      <c r="M2200" s="67">
        <f>ROUND(IF(J2200&gt;K2200,0,J2200),4)</f>
        <v>0</v>
      </c>
      <c r="N2200" s="67">
        <f>ROUND(+L2200*D2200,4)</f>
        <v>0</v>
      </c>
      <c r="O2200" s="67">
        <f>ROUND(IF(F2200="rame",0,+I2200*3%),4)</f>
        <v>0</v>
      </c>
      <c r="P2200" s="67">
        <f>ROUND(IF(O2200&lt;J2200,O2200,0),4)</f>
        <v>0</v>
      </c>
      <c r="Q2200" s="67">
        <f>ROUND(IF(J2200&gt;O2200,0,J2200),4)</f>
        <v>0</v>
      </c>
      <c r="R2200" s="67">
        <f>ROUND(+P2200*D2200,4)</f>
        <v>0</v>
      </c>
      <c r="S2200" s="67">
        <f>ROUND(IF(K2200=0,0,M2200*D2200),4)</f>
        <v>0</v>
      </c>
      <c r="T2200" s="67">
        <f>ROUND(+IF(K2200=0,Q2200*D2200,0),4)</f>
        <v>0</v>
      </c>
      <c r="U2200" s="67">
        <f>ROUND(+N2200+R2200+S2200+T2200,4)</f>
        <v>0</v>
      </c>
      <c r="V2200" s="67">
        <f>ROUND(IF(P2200=0,0,I2200-H2200-O2200)+IF(L2200=0,0,I2200-H2200-K2200),4)</f>
        <v>0</v>
      </c>
      <c r="W2200" s="67">
        <f>ROUND(+(V2200*60%)*D2200,4)</f>
        <v>0</v>
      </c>
      <c r="X2200" s="148">
        <f>ROUND(+U2200+W2200,4)</f>
        <v>0</v>
      </c>
      <c r="Y2200" s="68"/>
      <c r="Z2200" s="148">
        <f>ROUND(IF(X2200&gt;I2200,X2200,I2200),4)</f>
        <v>0</v>
      </c>
      <c r="AD2200" s="78">
        <f t="shared" si="46"/>
        <v>0</v>
      </c>
      <c r="AE2200" s="78">
        <f t="shared" si="47"/>
        <v>0</v>
      </c>
    </row>
    <row r="2201" spans="1:31" x14ac:dyDescent="0.2">
      <c r="A2201" s="66"/>
      <c r="B2201" s="66"/>
      <c r="C2201" s="66"/>
      <c r="D2201" s="144"/>
      <c r="E2201" s="67"/>
      <c r="F2201" s="67"/>
      <c r="G2201" s="67"/>
      <c r="H2201" s="67">
        <f>ROUND(+E2201+G2201,4)</f>
        <v>0</v>
      </c>
      <c r="I2201" s="67"/>
      <c r="J2201" s="67">
        <f>ROUND(+I2201-H2201,4)</f>
        <v>0</v>
      </c>
      <c r="K2201" s="67">
        <f>ROUND(IF(F2201="alluminio",0,I2201*1.5%),4)</f>
        <v>0</v>
      </c>
      <c r="L2201" s="67">
        <f>ROUND(IF(K2201&lt;J2201,K2201,0),4)</f>
        <v>0</v>
      </c>
      <c r="M2201" s="67">
        <f>ROUND(IF(J2201&gt;K2201,0,J2201),4)</f>
        <v>0</v>
      </c>
      <c r="N2201" s="67">
        <f>ROUND(+L2201*D2201,4)</f>
        <v>0</v>
      </c>
      <c r="O2201" s="67">
        <f>ROUND(IF(F2201="rame",0,+I2201*3%),4)</f>
        <v>0</v>
      </c>
      <c r="P2201" s="67">
        <f>ROUND(IF(O2201&lt;J2201,O2201,0),4)</f>
        <v>0</v>
      </c>
      <c r="Q2201" s="67">
        <f>ROUND(IF(J2201&gt;O2201,0,J2201),4)</f>
        <v>0</v>
      </c>
      <c r="R2201" s="67">
        <f>ROUND(+P2201*D2201,4)</f>
        <v>0</v>
      </c>
      <c r="S2201" s="67">
        <f>ROUND(IF(K2201=0,0,M2201*D2201),4)</f>
        <v>0</v>
      </c>
      <c r="T2201" s="67">
        <f>ROUND(+IF(K2201=0,Q2201*D2201,0),4)</f>
        <v>0</v>
      </c>
      <c r="U2201" s="67">
        <f>ROUND(+N2201+R2201+S2201+T2201,4)</f>
        <v>0</v>
      </c>
      <c r="V2201" s="67">
        <f>ROUND(IF(P2201=0,0,I2201-H2201-O2201)+IF(L2201=0,0,I2201-H2201-K2201),4)</f>
        <v>0</v>
      </c>
      <c r="W2201" s="67">
        <f>ROUND(+(V2201*60%)*D2201,4)</f>
        <v>0</v>
      </c>
      <c r="X2201" s="148">
        <f>ROUND(+U2201+W2201,4)</f>
        <v>0</v>
      </c>
      <c r="Y2201" s="68"/>
      <c r="Z2201" s="148">
        <f>ROUND(IF(X2201&gt;I2201,X2201,I2201),4)</f>
        <v>0</v>
      </c>
      <c r="AD2201" s="78">
        <f t="shared" si="46"/>
        <v>0</v>
      </c>
      <c r="AE2201" s="78">
        <f t="shared" si="47"/>
        <v>0</v>
      </c>
    </row>
    <row r="2202" spans="1:31" x14ac:dyDescent="0.2">
      <c r="A2202" s="66"/>
      <c r="B2202" s="66"/>
      <c r="C2202" s="66"/>
      <c r="D2202" s="144"/>
      <c r="E2202" s="67"/>
      <c r="F2202" s="67"/>
      <c r="G2202" s="67"/>
      <c r="H2202" s="67">
        <f>ROUND(+E2202+G2202,4)</f>
        <v>0</v>
      </c>
      <c r="I2202" s="67"/>
      <c r="J2202" s="67">
        <f>ROUND(+I2202-H2202,4)</f>
        <v>0</v>
      </c>
      <c r="K2202" s="67">
        <f>ROUND(IF(F2202="alluminio",0,I2202*1.5%),4)</f>
        <v>0</v>
      </c>
      <c r="L2202" s="67">
        <f>ROUND(IF(K2202&lt;J2202,K2202,0),4)</f>
        <v>0</v>
      </c>
      <c r="M2202" s="67">
        <f>ROUND(IF(J2202&gt;K2202,0,J2202),4)</f>
        <v>0</v>
      </c>
      <c r="N2202" s="67">
        <f>ROUND(+L2202*D2202,4)</f>
        <v>0</v>
      </c>
      <c r="O2202" s="67">
        <f>ROUND(IF(F2202="rame",0,+I2202*3%),4)</f>
        <v>0</v>
      </c>
      <c r="P2202" s="67">
        <f>ROUND(IF(O2202&lt;J2202,O2202,0),4)</f>
        <v>0</v>
      </c>
      <c r="Q2202" s="67">
        <f>ROUND(IF(J2202&gt;O2202,0,J2202),4)</f>
        <v>0</v>
      </c>
      <c r="R2202" s="67">
        <f>ROUND(+P2202*D2202,4)</f>
        <v>0</v>
      </c>
      <c r="S2202" s="67">
        <f>ROUND(IF(K2202=0,0,M2202*D2202),4)</f>
        <v>0</v>
      </c>
      <c r="T2202" s="67">
        <f>ROUND(+IF(K2202=0,Q2202*D2202,0),4)</f>
        <v>0</v>
      </c>
      <c r="U2202" s="67">
        <f>ROUND(+N2202+R2202+S2202+T2202,4)</f>
        <v>0</v>
      </c>
      <c r="V2202" s="67">
        <f>ROUND(IF(P2202=0,0,I2202-H2202-O2202)+IF(L2202=0,0,I2202-H2202-K2202),4)</f>
        <v>0</v>
      </c>
      <c r="W2202" s="67">
        <f>ROUND(+(V2202*60%)*D2202,4)</f>
        <v>0</v>
      </c>
      <c r="X2202" s="148">
        <f>ROUND(+U2202+W2202,4)</f>
        <v>0</v>
      </c>
      <c r="Y2202" s="68"/>
      <c r="Z2202" s="148">
        <f>ROUND(IF(X2202&gt;I2202,X2202,I2202),4)</f>
        <v>0</v>
      </c>
      <c r="AD2202" s="78">
        <f t="shared" si="46"/>
        <v>0</v>
      </c>
      <c r="AE2202" s="78">
        <f t="shared" si="47"/>
        <v>0</v>
      </c>
    </row>
    <row r="2203" spans="1:31" x14ac:dyDescent="0.2">
      <c r="A2203" s="66"/>
      <c r="B2203" s="66"/>
      <c r="C2203" s="66"/>
      <c r="D2203" s="144"/>
      <c r="E2203" s="67"/>
      <c r="F2203" s="67"/>
      <c r="G2203" s="67"/>
      <c r="H2203" s="67">
        <f>ROUND(+E2203+G2203,4)</f>
        <v>0</v>
      </c>
      <c r="I2203" s="67"/>
      <c r="J2203" s="67">
        <f>ROUND(+I2203-H2203,4)</f>
        <v>0</v>
      </c>
      <c r="K2203" s="67">
        <f>ROUND(IF(F2203="alluminio",0,I2203*1.5%),4)</f>
        <v>0</v>
      </c>
      <c r="L2203" s="67">
        <f>ROUND(IF(K2203&lt;J2203,K2203,0),4)</f>
        <v>0</v>
      </c>
      <c r="M2203" s="67">
        <f>ROUND(IF(J2203&gt;K2203,0,J2203),4)</f>
        <v>0</v>
      </c>
      <c r="N2203" s="67">
        <f>ROUND(+L2203*D2203,4)</f>
        <v>0</v>
      </c>
      <c r="O2203" s="67">
        <f>ROUND(IF(F2203="rame",0,+I2203*3%),4)</f>
        <v>0</v>
      </c>
      <c r="P2203" s="67">
        <f>ROUND(IF(O2203&lt;J2203,O2203,0),4)</f>
        <v>0</v>
      </c>
      <c r="Q2203" s="67">
        <f>ROUND(IF(J2203&gt;O2203,0,J2203),4)</f>
        <v>0</v>
      </c>
      <c r="R2203" s="67">
        <f>ROUND(+P2203*D2203,4)</f>
        <v>0</v>
      </c>
      <c r="S2203" s="67">
        <f>ROUND(IF(K2203=0,0,M2203*D2203),4)</f>
        <v>0</v>
      </c>
      <c r="T2203" s="67">
        <f>ROUND(+IF(K2203=0,Q2203*D2203,0),4)</f>
        <v>0</v>
      </c>
      <c r="U2203" s="67">
        <f>ROUND(+N2203+R2203+S2203+T2203,4)</f>
        <v>0</v>
      </c>
      <c r="V2203" s="67">
        <f>ROUND(IF(P2203=0,0,I2203-H2203-O2203)+IF(L2203=0,0,I2203-H2203-K2203),4)</f>
        <v>0</v>
      </c>
      <c r="W2203" s="67">
        <f>ROUND(+(V2203*60%)*D2203,4)</f>
        <v>0</v>
      </c>
      <c r="X2203" s="148">
        <f>ROUND(+U2203+W2203,4)</f>
        <v>0</v>
      </c>
      <c r="Y2203" s="68"/>
      <c r="Z2203" s="148">
        <f>ROUND(IF(X2203&gt;I2203,X2203,I2203),4)</f>
        <v>0</v>
      </c>
      <c r="AD2203" s="78">
        <f t="shared" si="46"/>
        <v>0</v>
      </c>
      <c r="AE2203" s="78">
        <f t="shared" si="47"/>
        <v>0</v>
      </c>
    </row>
    <row r="2204" spans="1:31" x14ac:dyDescent="0.2">
      <c r="A2204" s="66"/>
      <c r="B2204" s="66"/>
      <c r="C2204" s="66"/>
      <c r="D2204" s="144"/>
      <c r="E2204" s="67"/>
      <c r="F2204" s="67"/>
      <c r="G2204" s="67"/>
      <c r="H2204" s="67">
        <f>ROUND(+E2204+G2204,4)</f>
        <v>0</v>
      </c>
      <c r="I2204" s="67"/>
      <c r="J2204" s="67">
        <f>ROUND(+I2204-H2204,4)</f>
        <v>0</v>
      </c>
      <c r="K2204" s="67">
        <f>ROUND(IF(F2204="alluminio",0,I2204*1.5%),4)</f>
        <v>0</v>
      </c>
      <c r="L2204" s="67">
        <f>ROUND(IF(K2204&lt;J2204,K2204,0),4)</f>
        <v>0</v>
      </c>
      <c r="M2204" s="67">
        <f>ROUND(IF(J2204&gt;K2204,0,J2204),4)</f>
        <v>0</v>
      </c>
      <c r="N2204" s="67">
        <f>ROUND(+L2204*D2204,4)</f>
        <v>0</v>
      </c>
      <c r="O2204" s="67">
        <f>ROUND(IF(F2204="rame",0,+I2204*3%),4)</f>
        <v>0</v>
      </c>
      <c r="P2204" s="67">
        <f>ROUND(IF(O2204&lt;J2204,O2204,0),4)</f>
        <v>0</v>
      </c>
      <c r="Q2204" s="67">
        <f>ROUND(IF(J2204&gt;O2204,0,J2204),4)</f>
        <v>0</v>
      </c>
      <c r="R2204" s="67">
        <f>ROUND(+P2204*D2204,4)</f>
        <v>0</v>
      </c>
      <c r="S2204" s="67">
        <f>ROUND(IF(K2204=0,0,M2204*D2204),4)</f>
        <v>0</v>
      </c>
      <c r="T2204" s="67">
        <f>ROUND(+IF(K2204=0,Q2204*D2204,0),4)</f>
        <v>0</v>
      </c>
      <c r="U2204" s="67">
        <f>ROUND(+N2204+R2204+S2204+T2204,4)</f>
        <v>0</v>
      </c>
      <c r="V2204" s="67">
        <f>ROUND(IF(P2204=0,0,I2204-H2204-O2204)+IF(L2204=0,0,I2204-H2204-K2204),4)</f>
        <v>0</v>
      </c>
      <c r="W2204" s="67">
        <f>ROUND(+(V2204*60%)*D2204,4)</f>
        <v>0</v>
      </c>
      <c r="X2204" s="148">
        <f>ROUND(+U2204+W2204,4)</f>
        <v>0</v>
      </c>
      <c r="Y2204" s="68"/>
      <c r="Z2204" s="148">
        <f>ROUND(IF(X2204&gt;I2204,X2204,I2204),4)</f>
        <v>0</v>
      </c>
      <c r="AD2204" s="78">
        <f t="shared" si="46"/>
        <v>0</v>
      </c>
      <c r="AE2204" s="78">
        <f t="shared" si="47"/>
        <v>0</v>
      </c>
    </row>
    <row r="2205" spans="1:31" x14ac:dyDescent="0.2">
      <c r="A2205" s="66"/>
      <c r="B2205" s="66"/>
      <c r="C2205" s="66"/>
      <c r="D2205" s="144"/>
      <c r="E2205" s="67"/>
      <c r="F2205" s="67"/>
      <c r="G2205" s="67"/>
      <c r="H2205" s="67">
        <f>ROUND(+E2205+G2205,4)</f>
        <v>0</v>
      </c>
      <c r="I2205" s="67"/>
      <c r="J2205" s="67">
        <f>ROUND(+I2205-H2205,4)</f>
        <v>0</v>
      </c>
      <c r="K2205" s="67">
        <f>ROUND(IF(F2205="alluminio",0,I2205*1.5%),4)</f>
        <v>0</v>
      </c>
      <c r="L2205" s="67">
        <f>ROUND(IF(K2205&lt;J2205,K2205,0),4)</f>
        <v>0</v>
      </c>
      <c r="M2205" s="67">
        <f>ROUND(IF(J2205&gt;K2205,0,J2205),4)</f>
        <v>0</v>
      </c>
      <c r="N2205" s="67">
        <f>ROUND(+L2205*D2205,4)</f>
        <v>0</v>
      </c>
      <c r="O2205" s="67">
        <f>ROUND(IF(F2205="rame",0,+I2205*3%),4)</f>
        <v>0</v>
      </c>
      <c r="P2205" s="67">
        <f>ROUND(IF(O2205&lt;J2205,O2205,0),4)</f>
        <v>0</v>
      </c>
      <c r="Q2205" s="67">
        <f>ROUND(IF(J2205&gt;O2205,0,J2205),4)</f>
        <v>0</v>
      </c>
      <c r="R2205" s="67">
        <f>ROUND(+P2205*D2205,4)</f>
        <v>0</v>
      </c>
      <c r="S2205" s="67">
        <f>ROUND(IF(K2205=0,0,M2205*D2205),4)</f>
        <v>0</v>
      </c>
      <c r="T2205" s="67">
        <f>ROUND(+IF(K2205=0,Q2205*D2205,0),4)</f>
        <v>0</v>
      </c>
      <c r="U2205" s="67">
        <f>ROUND(+N2205+R2205+S2205+T2205,4)</f>
        <v>0</v>
      </c>
      <c r="V2205" s="67">
        <f>ROUND(IF(P2205=0,0,I2205-H2205-O2205)+IF(L2205=0,0,I2205-H2205-K2205),4)</f>
        <v>0</v>
      </c>
      <c r="W2205" s="67">
        <f>ROUND(+(V2205*60%)*D2205,4)</f>
        <v>0</v>
      </c>
      <c r="X2205" s="148">
        <f>ROUND(+U2205+W2205,4)</f>
        <v>0</v>
      </c>
      <c r="Y2205" s="68"/>
      <c r="Z2205" s="148">
        <f>ROUND(IF(X2205&gt;I2205,X2205,I2205),4)</f>
        <v>0</v>
      </c>
      <c r="AD2205" s="78">
        <f t="shared" si="46"/>
        <v>0</v>
      </c>
      <c r="AE2205" s="78">
        <f t="shared" si="47"/>
        <v>0</v>
      </c>
    </row>
    <row r="2206" spans="1:31" x14ac:dyDescent="0.2">
      <c r="A2206" s="66"/>
      <c r="B2206" s="66"/>
      <c r="C2206" s="66"/>
      <c r="D2206" s="144"/>
      <c r="E2206" s="67"/>
      <c r="F2206" s="67"/>
      <c r="G2206" s="67"/>
      <c r="H2206" s="67">
        <f>ROUND(+E2206+G2206,4)</f>
        <v>0</v>
      </c>
      <c r="I2206" s="67"/>
      <c r="J2206" s="67">
        <f>ROUND(+I2206-H2206,4)</f>
        <v>0</v>
      </c>
      <c r="K2206" s="67">
        <f>ROUND(IF(F2206="alluminio",0,I2206*1.5%),4)</f>
        <v>0</v>
      </c>
      <c r="L2206" s="67">
        <f>ROUND(IF(K2206&lt;J2206,K2206,0),4)</f>
        <v>0</v>
      </c>
      <c r="M2206" s="67">
        <f>ROUND(IF(J2206&gt;K2206,0,J2206),4)</f>
        <v>0</v>
      </c>
      <c r="N2206" s="67">
        <f>ROUND(+L2206*D2206,4)</f>
        <v>0</v>
      </c>
      <c r="O2206" s="67">
        <f>ROUND(IF(F2206="rame",0,+I2206*3%),4)</f>
        <v>0</v>
      </c>
      <c r="P2206" s="67">
        <f>ROUND(IF(O2206&lt;J2206,O2206,0),4)</f>
        <v>0</v>
      </c>
      <c r="Q2206" s="67">
        <f>ROUND(IF(J2206&gt;O2206,0,J2206),4)</f>
        <v>0</v>
      </c>
      <c r="R2206" s="67">
        <f>ROUND(+P2206*D2206,4)</f>
        <v>0</v>
      </c>
      <c r="S2206" s="67">
        <f>ROUND(IF(K2206=0,0,M2206*D2206),4)</f>
        <v>0</v>
      </c>
      <c r="T2206" s="67">
        <f>ROUND(+IF(K2206=0,Q2206*D2206,0),4)</f>
        <v>0</v>
      </c>
      <c r="U2206" s="67">
        <f>ROUND(+N2206+R2206+S2206+T2206,4)</f>
        <v>0</v>
      </c>
      <c r="V2206" s="67">
        <f>ROUND(IF(P2206=0,0,I2206-H2206-O2206)+IF(L2206=0,0,I2206-H2206-K2206),4)</f>
        <v>0</v>
      </c>
      <c r="W2206" s="67">
        <f>ROUND(+(V2206*60%)*D2206,4)</f>
        <v>0</v>
      </c>
      <c r="X2206" s="148">
        <f>ROUND(+U2206+W2206,4)</f>
        <v>0</v>
      </c>
      <c r="Y2206" s="68"/>
      <c r="Z2206" s="148">
        <f>ROUND(IF(X2206&gt;I2206,X2206,I2206),4)</f>
        <v>0</v>
      </c>
      <c r="AD2206" s="78">
        <f t="shared" si="46"/>
        <v>0</v>
      </c>
      <c r="AE2206" s="78">
        <f t="shared" si="47"/>
        <v>0</v>
      </c>
    </row>
    <row r="2207" spans="1:31" x14ac:dyDescent="0.2">
      <c r="A2207" s="66"/>
      <c r="B2207" s="66"/>
      <c r="C2207" s="66"/>
      <c r="D2207" s="144"/>
      <c r="E2207" s="67"/>
      <c r="F2207" s="67"/>
      <c r="G2207" s="67"/>
      <c r="H2207" s="67">
        <f>ROUND(+E2207+G2207,4)</f>
        <v>0</v>
      </c>
      <c r="I2207" s="67"/>
      <c r="J2207" s="67">
        <f>ROUND(+I2207-H2207,4)</f>
        <v>0</v>
      </c>
      <c r="K2207" s="67">
        <f>ROUND(IF(F2207="alluminio",0,I2207*1.5%),4)</f>
        <v>0</v>
      </c>
      <c r="L2207" s="67">
        <f>ROUND(IF(K2207&lt;J2207,K2207,0),4)</f>
        <v>0</v>
      </c>
      <c r="M2207" s="67">
        <f>ROUND(IF(J2207&gt;K2207,0,J2207),4)</f>
        <v>0</v>
      </c>
      <c r="N2207" s="67">
        <f>ROUND(+L2207*D2207,4)</f>
        <v>0</v>
      </c>
      <c r="O2207" s="67">
        <f>ROUND(IF(F2207="rame",0,+I2207*3%),4)</f>
        <v>0</v>
      </c>
      <c r="P2207" s="67">
        <f>ROUND(IF(O2207&lt;J2207,O2207,0),4)</f>
        <v>0</v>
      </c>
      <c r="Q2207" s="67">
        <f>ROUND(IF(J2207&gt;O2207,0,J2207),4)</f>
        <v>0</v>
      </c>
      <c r="R2207" s="67">
        <f>ROUND(+P2207*D2207,4)</f>
        <v>0</v>
      </c>
      <c r="S2207" s="67">
        <f>ROUND(IF(K2207=0,0,M2207*D2207),4)</f>
        <v>0</v>
      </c>
      <c r="T2207" s="67">
        <f>ROUND(+IF(K2207=0,Q2207*D2207,0),4)</f>
        <v>0</v>
      </c>
      <c r="U2207" s="67">
        <f>ROUND(+N2207+R2207+S2207+T2207,4)</f>
        <v>0</v>
      </c>
      <c r="V2207" s="67">
        <f>ROUND(IF(P2207=0,0,I2207-H2207-O2207)+IF(L2207=0,0,I2207-H2207-K2207),4)</f>
        <v>0</v>
      </c>
      <c r="W2207" s="67">
        <f>ROUND(+(V2207*60%)*D2207,4)</f>
        <v>0</v>
      </c>
      <c r="X2207" s="148">
        <f>ROUND(+U2207+W2207,4)</f>
        <v>0</v>
      </c>
      <c r="Y2207" s="68"/>
      <c r="Z2207" s="148">
        <f>ROUND(IF(X2207&gt;I2207,X2207,I2207),4)</f>
        <v>0</v>
      </c>
      <c r="AD2207" s="78">
        <f t="shared" si="46"/>
        <v>0</v>
      </c>
      <c r="AE2207" s="78">
        <f t="shared" si="47"/>
        <v>0</v>
      </c>
    </row>
    <row r="2208" spans="1:31" x14ac:dyDescent="0.2">
      <c r="A2208" s="66"/>
      <c r="B2208" s="66"/>
      <c r="C2208" s="66"/>
      <c r="D2208" s="144"/>
      <c r="E2208" s="67"/>
      <c r="F2208" s="67"/>
      <c r="G2208" s="67"/>
      <c r="H2208" s="67">
        <f>ROUND(+E2208+G2208,4)</f>
        <v>0</v>
      </c>
      <c r="I2208" s="67"/>
      <c r="J2208" s="67">
        <f>ROUND(+I2208-H2208,4)</f>
        <v>0</v>
      </c>
      <c r="K2208" s="67">
        <f>ROUND(IF(F2208="alluminio",0,I2208*1.5%),4)</f>
        <v>0</v>
      </c>
      <c r="L2208" s="67">
        <f>ROUND(IF(K2208&lt;J2208,K2208,0),4)</f>
        <v>0</v>
      </c>
      <c r="M2208" s="67">
        <f>ROUND(IF(J2208&gt;K2208,0,J2208),4)</f>
        <v>0</v>
      </c>
      <c r="N2208" s="67">
        <f>ROUND(+L2208*D2208,4)</f>
        <v>0</v>
      </c>
      <c r="O2208" s="67">
        <f>ROUND(IF(F2208="rame",0,+I2208*3%),4)</f>
        <v>0</v>
      </c>
      <c r="P2208" s="67">
        <f>ROUND(IF(O2208&lt;J2208,O2208,0),4)</f>
        <v>0</v>
      </c>
      <c r="Q2208" s="67">
        <f>ROUND(IF(J2208&gt;O2208,0,J2208),4)</f>
        <v>0</v>
      </c>
      <c r="R2208" s="67">
        <f>ROUND(+P2208*D2208,4)</f>
        <v>0</v>
      </c>
      <c r="S2208" s="67">
        <f>ROUND(IF(K2208=0,0,M2208*D2208),4)</f>
        <v>0</v>
      </c>
      <c r="T2208" s="67">
        <f>ROUND(+IF(K2208=0,Q2208*D2208,0),4)</f>
        <v>0</v>
      </c>
      <c r="U2208" s="67">
        <f>ROUND(+N2208+R2208+S2208+T2208,4)</f>
        <v>0</v>
      </c>
      <c r="V2208" s="67">
        <f>ROUND(IF(P2208=0,0,I2208-H2208-O2208)+IF(L2208=0,0,I2208-H2208-K2208),4)</f>
        <v>0</v>
      </c>
      <c r="W2208" s="67">
        <f>ROUND(+(V2208*60%)*D2208,4)</f>
        <v>0</v>
      </c>
      <c r="X2208" s="148">
        <f>ROUND(+U2208+W2208,4)</f>
        <v>0</v>
      </c>
      <c r="Y2208" s="68"/>
      <c r="Z2208" s="148">
        <f>ROUND(IF(X2208&gt;I2208,X2208,I2208),4)</f>
        <v>0</v>
      </c>
      <c r="AD2208" s="78">
        <f t="shared" si="46"/>
        <v>0</v>
      </c>
      <c r="AE2208" s="78">
        <f t="shared" si="47"/>
        <v>0</v>
      </c>
    </row>
    <row r="2209" spans="1:31" x14ac:dyDescent="0.2">
      <c r="A2209" s="66"/>
      <c r="B2209" s="66"/>
      <c r="C2209" s="66"/>
      <c r="D2209" s="144"/>
      <c r="E2209" s="67"/>
      <c r="F2209" s="67"/>
      <c r="G2209" s="67"/>
      <c r="H2209" s="67">
        <f>ROUND(+E2209+G2209,4)</f>
        <v>0</v>
      </c>
      <c r="I2209" s="67"/>
      <c r="J2209" s="67">
        <f>ROUND(+I2209-H2209,4)</f>
        <v>0</v>
      </c>
      <c r="K2209" s="67">
        <f>ROUND(IF(F2209="alluminio",0,I2209*1.5%),4)</f>
        <v>0</v>
      </c>
      <c r="L2209" s="67">
        <f>ROUND(IF(K2209&lt;J2209,K2209,0),4)</f>
        <v>0</v>
      </c>
      <c r="M2209" s="67">
        <f>ROUND(IF(J2209&gt;K2209,0,J2209),4)</f>
        <v>0</v>
      </c>
      <c r="N2209" s="67">
        <f>ROUND(+L2209*D2209,4)</f>
        <v>0</v>
      </c>
      <c r="O2209" s="67">
        <f>ROUND(IF(F2209="rame",0,+I2209*3%),4)</f>
        <v>0</v>
      </c>
      <c r="P2209" s="67">
        <f>ROUND(IF(O2209&lt;J2209,O2209,0),4)</f>
        <v>0</v>
      </c>
      <c r="Q2209" s="67">
        <f>ROUND(IF(J2209&gt;O2209,0,J2209),4)</f>
        <v>0</v>
      </c>
      <c r="R2209" s="67">
        <f>ROUND(+P2209*D2209,4)</f>
        <v>0</v>
      </c>
      <c r="S2209" s="67">
        <f>ROUND(IF(K2209=0,0,M2209*D2209),4)</f>
        <v>0</v>
      </c>
      <c r="T2209" s="67">
        <f>ROUND(+IF(K2209=0,Q2209*D2209,0),4)</f>
        <v>0</v>
      </c>
      <c r="U2209" s="67">
        <f>ROUND(+N2209+R2209+S2209+T2209,4)</f>
        <v>0</v>
      </c>
      <c r="V2209" s="67">
        <f>ROUND(IF(P2209=0,0,I2209-H2209-O2209)+IF(L2209=0,0,I2209-H2209-K2209),4)</f>
        <v>0</v>
      </c>
      <c r="W2209" s="67">
        <f>ROUND(+(V2209*60%)*D2209,4)</f>
        <v>0</v>
      </c>
      <c r="X2209" s="148">
        <f>ROUND(+U2209+W2209,4)</f>
        <v>0</v>
      </c>
      <c r="Y2209" s="68"/>
      <c r="Z2209" s="148">
        <f>ROUND(IF(X2209&gt;I2209,X2209,I2209),4)</f>
        <v>0</v>
      </c>
      <c r="AD2209" s="78">
        <f t="shared" si="46"/>
        <v>0</v>
      </c>
      <c r="AE2209" s="78">
        <f t="shared" si="47"/>
        <v>0</v>
      </c>
    </row>
    <row r="2210" spans="1:31" x14ac:dyDescent="0.2">
      <c r="A2210" s="66"/>
      <c r="B2210" s="66"/>
      <c r="C2210" s="66"/>
      <c r="D2210" s="144"/>
      <c r="E2210" s="67"/>
      <c r="F2210" s="67"/>
      <c r="G2210" s="67"/>
      <c r="H2210" s="67">
        <f>ROUND(+E2210+G2210,4)</f>
        <v>0</v>
      </c>
      <c r="I2210" s="67"/>
      <c r="J2210" s="67">
        <f>ROUND(+I2210-H2210,4)</f>
        <v>0</v>
      </c>
      <c r="K2210" s="67">
        <f>ROUND(IF(F2210="alluminio",0,I2210*1.5%),4)</f>
        <v>0</v>
      </c>
      <c r="L2210" s="67">
        <f>ROUND(IF(K2210&lt;J2210,K2210,0),4)</f>
        <v>0</v>
      </c>
      <c r="M2210" s="67">
        <f>ROUND(IF(J2210&gt;K2210,0,J2210),4)</f>
        <v>0</v>
      </c>
      <c r="N2210" s="67">
        <f>ROUND(+L2210*D2210,4)</f>
        <v>0</v>
      </c>
      <c r="O2210" s="67">
        <f>ROUND(IF(F2210="rame",0,+I2210*3%),4)</f>
        <v>0</v>
      </c>
      <c r="P2210" s="67">
        <f>ROUND(IF(O2210&lt;J2210,O2210,0),4)</f>
        <v>0</v>
      </c>
      <c r="Q2210" s="67">
        <f>ROUND(IF(J2210&gt;O2210,0,J2210),4)</f>
        <v>0</v>
      </c>
      <c r="R2210" s="67">
        <f>ROUND(+P2210*D2210,4)</f>
        <v>0</v>
      </c>
      <c r="S2210" s="67">
        <f>ROUND(IF(K2210=0,0,M2210*D2210),4)</f>
        <v>0</v>
      </c>
      <c r="T2210" s="67">
        <f>ROUND(+IF(K2210=0,Q2210*D2210,0),4)</f>
        <v>0</v>
      </c>
      <c r="U2210" s="67">
        <f>ROUND(+N2210+R2210+S2210+T2210,4)</f>
        <v>0</v>
      </c>
      <c r="V2210" s="67">
        <f>ROUND(IF(P2210=0,0,I2210-H2210-O2210)+IF(L2210=0,0,I2210-H2210-K2210),4)</f>
        <v>0</v>
      </c>
      <c r="W2210" s="67">
        <f>ROUND(+(V2210*60%)*D2210,4)</f>
        <v>0</v>
      </c>
      <c r="X2210" s="148">
        <f>ROUND(+U2210+W2210,4)</f>
        <v>0</v>
      </c>
      <c r="Y2210" s="68"/>
      <c r="Z2210" s="148">
        <f>ROUND(IF(X2210&gt;I2210,X2210,I2210),4)</f>
        <v>0</v>
      </c>
      <c r="AD2210" s="78">
        <f t="shared" si="46"/>
        <v>0</v>
      </c>
      <c r="AE2210" s="78">
        <f t="shared" si="47"/>
        <v>0</v>
      </c>
    </row>
    <row r="2211" spans="1:31" x14ac:dyDescent="0.2">
      <c r="A2211" s="66"/>
      <c r="B2211" s="66"/>
      <c r="C2211" s="66"/>
      <c r="D2211" s="144"/>
      <c r="E2211" s="67"/>
      <c r="F2211" s="67"/>
      <c r="G2211" s="67"/>
      <c r="H2211" s="67">
        <f>ROUND(+E2211+G2211,4)</f>
        <v>0</v>
      </c>
      <c r="I2211" s="67"/>
      <c r="J2211" s="67">
        <f>ROUND(+I2211-H2211,4)</f>
        <v>0</v>
      </c>
      <c r="K2211" s="67">
        <f>ROUND(IF(F2211="alluminio",0,I2211*1.5%),4)</f>
        <v>0</v>
      </c>
      <c r="L2211" s="67">
        <f>ROUND(IF(K2211&lt;J2211,K2211,0),4)</f>
        <v>0</v>
      </c>
      <c r="M2211" s="67">
        <f>ROUND(IF(J2211&gt;K2211,0,J2211),4)</f>
        <v>0</v>
      </c>
      <c r="N2211" s="67">
        <f>ROUND(+L2211*D2211,4)</f>
        <v>0</v>
      </c>
      <c r="O2211" s="67">
        <f>ROUND(IF(F2211="rame",0,+I2211*3%),4)</f>
        <v>0</v>
      </c>
      <c r="P2211" s="67">
        <f>ROUND(IF(O2211&lt;J2211,O2211,0),4)</f>
        <v>0</v>
      </c>
      <c r="Q2211" s="67">
        <f>ROUND(IF(J2211&gt;O2211,0,J2211),4)</f>
        <v>0</v>
      </c>
      <c r="R2211" s="67">
        <f>ROUND(+P2211*D2211,4)</f>
        <v>0</v>
      </c>
      <c r="S2211" s="67">
        <f>ROUND(IF(K2211=0,0,M2211*D2211),4)</f>
        <v>0</v>
      </c>
      <c r="T2211" s="67">
        <f>ROUND(+IF(K2211=0,Q2211*D2211,0),4)</f>
        <v>0</v>
      </c>
      <c r="U2211" s="67">
        <f>ROUND(+N2211+R2211+S2211+T2211,4)</f>
        <v>0</v>
      </c>
      <c r="V2211" s="67">
        <f>ROUND(IF(P2211=0,0,I2211-H2211-O2211)+IF(L2211=0,0,I2211-H2211-K2211),4)</f>
        <v>0</v>
      </c>
      <c r="W2211" s="67">
        <f>ROUND(+(V2211*60%)*D2211,4)</f>
        <v>0</v>
      </c>
      <c r="X2211" s="148">
        <f>ROUND(+U2211+W2211,4)</f>
        <v>0</v>
      </c>
      <c r="Y2211" s="68"/>
      <c r="Z2211" s="148">
        <f>ROUND(IF(X2211&gt;I2211,X2211,I2211),4)</f>
        <v>0</v>
      </c>
      <c r="AD2211" s="78">
        <f t="shared" si="46"/>
        <v>0</v>
      </c>
      <c r="AE2211" s="78">
        <f t="shared" si="47"/>
        <v>0</v>
      </c>
    </row>
    <row r="2212" spans="1:31" x14ac:dyDescent="0.2">
      <c r="A2212" s="66"/>
      <c r="B2212" s="66"/>
      <c r="C2212" s="66"/>
      <c r="D2212" s="144"/>
      <c r="E2212" s="67"/>
      <c r="F2212" s="67"/>
      <c r="G2212" s="67"/>
      <c r="H2212" s="67">
        <f>ROUND(+E2212+G2212,4)</f>
        <v>0</v>
      </c>
      <c r="I2212" s="67"/>
      <c r="J2212" s="67">
        <f>ROUND(+I2212-H2212,4)</f>
        <v>0</v>
      </c>
      <c r="K2212" s="67">
        <f>ROUND(IF(F2212="alluminio",0,I2212*1.5%),4)</f>
        <v>0</v>
      </c>
      <c r="L2212" s="67">
        <f>ROUND(IF(K2212&lt;J2212,K2212,0),4)</f>
        <v>0</v>
      </c>
      <c r="M2212" s="67">
        <f>ROUND(IF(J2212&gt;K2212,0,J2212),4)</f>
        <v>0</v>
      </c>
      <c r="N2212" s="67">
        <f>ROUND(+L2212*D2212,4)</f>
        <v>0</v>
      </c>
      <c r="O2212" s="67">
        <f>ROUND(IF(F2212="rame",0,+I2212*3%),4)</f>
        <v>0</v>
      </c>
      <c r="P2212" s="67">
        <f>ROUND(IF(O2212&lt;J2212,O2212,0),4)</f>
        <v>0</v>
      </c>
      <c r="Q2212" s="67">
        <f>ROUND(IF(J2212&gt;O2212,0,J2212),4)</f>
        <v>0</v>
      </c>
      <c r="R2212" s="67">
        <f>ROUND(+P2212*D2212,4)</f>
        <v>0</v>
      </c>
      <c r="S2212" s="67">
        <f>ROUND(IF(K2212=0,0,M2212*D2212),4)</f>
        <v>0</v>
      </c>
      <c r="T2212" s="67">
        <f>ROUND(+IF(K2212=0,Q2212*D2212,0),4)</f>
        <v>0</v>
      </c>
      <c r="U2212" s="67">
        <f>ROUND(+N2212+R2212+S2212+T2212,4)</f>
        <v>0</v>
      </c>
      <c r="V2212" s="67">
        <f>ROUND(IF(P2212=0,0,I2212-H2212-O2212)+IF(L2212=0,0,I2212-H2212-K2212),4)</f>
        <v>0</v>
      </c>
      <c r="W2212" s="67">
        <f>ROUND(+(V2212*60%)*D2212,4)</f>
        <v>0</v>
      </c>
      <c r="X2212" s="148">
        <f>ROUND(+U2212+W2212,4)</f>
        <v>0</v>
      </c>
      <c r="Y2212" s="68"/>
      <c r="Z2212" s="148">
        <f>ROUND(IF(X2212&gt;I2212,X2212,I2212),4)</f>
        <v>0</v>
      </c>
      <c r="AD2212" s="78">
        <f t="shared" si="46"/>
        <v>0</v>
      </c>
      <c r="AE2212" s="78">
        <f t="shared" si="47"/>
        <v>0</v>
      </c>
    </row>
    <row r="2213" spans="1:31" x14ac:dyDescent="0.2">
      <c r="A2213" s="66"/>
      <c r="B2213" s="66"/>
      <c r="C2213" s="66"/>
      <c r="D2213" s="144"/>
      <c r="E2213" s="67"/>
      <c r="F2213" s="67"/>
      <c r="G2213" s="67"/>
      <c r="H2213" s="67">
        <f>ROUND(+E2213+G2213,4)</f>
        <v>0</v>
      </c>
      <c r="I2213" s="67"/>
      <c r="J2213" s="67">
        <f>ROUND(+I2213-H2213,4)</f>
        <v>0</v>
      </c>
      <c r="K2213" s="67">
        <f>ROUND(IF(F2213="alluminio",0,I2213*1.5%),4)</f>
        <v>0</v>
      </c>
      <c r="L2213" s="67">
        <f>ROUND(IF(K2213&lt;J2213,K2213,0),4)</f>
        <v>0</v>
      </c>
      <c r="M2213" s="67">
        <f>ROUND(IF(J2213&gt;K2213,0,J2213),4)</f>
        <v>0</v>
      </c>
      <c r="N2213" s="67">
        <f>ROUND(+L2213*D2213,4)</f>
        <v>0</v>
      </c>
      <c r="O2213" s="67">
        <f>ROUND(IF(F2213="rame",0,+I2213*3%),4)</f>
        <v>0</v>
      </c>
      <c r="P2213" s="67">
        <f>ROUND(IF(O2213&lt;J2213,O2213,0),4)</f>
        <v>0</v>
      </c>
      <c r="Q2213" s="67">
        <f>ROUND(IF(J2213&gt;O2213,0,J2213),4)</f>
        <v>0</v>
      </c>
      <c r="R2213" s="67">
        <f>ROUND(+P2213*D2213,4)</f>
        <v>0</v>
      </c>
      <c r="S2213" s="67">
        <f>ROUND(IF(K2213=0,0,M2213*D2213),4)</f>
        <v>0</v>
      </c>
      <c r="T2213" s="67">
        <f>ROUND(+IF(K2213=0,Q2213*D2213,0),4)</f>
        <v>0</v>
      </c>
      <c r="U2213" s="67">
        <f>ROUND(+N2213+R2213+S2213+T2213,4)</f>
        <v>0</v>
      </c>
      <c r="V2213" s="67">
        <f>ROUND(IF(P2213=0,0,I2213-H2213-O2213)+IF(L2213=0,0,I2213-H2213-K2213),4)</f>
        <v>0</v>
      </c>
      <c r="W2213" s="67">
        <f>ROUND(+(V2213*60%)*D2213,4)</f>
        <v>0</v>
      </c>
      <c r="X2213" s="148">
        <f>ROUND(+U2213+W2213,4)</f>
        <v>0</v>
      </c>
      <c r="Y2213" s="68"/>
      <c r="Z2213" s="148">
        <f>ROUND(IF(X2213&gt;I2213,X2213,I2213),4)</f>
        <v>0</v>
      </c>
      <c r="AD2213" s="78">
        <f t="shared" si="46"/>
        <v>0</v>
      </c>
      <c r="AE2213" s="78">
        <f t="shared" si="47"/>
        <v>0</v>
      </c>
    </row>
    <row r="2214" spans="1:31" x14ac:dyDescent="0.2">
      <c r="A2214" s="66"/>
      <c r="B2214" s="66"/>
      <c r="C2214" s="66"/>
      <c r="D2214" s="144"/>
      <c r="E2214" s="67"/>
      <c r="F2214" s="67"/>
      <c r="G2214" s="67"/>
      <c r="H2214" s="67">
        <f>ROUND(+E2214+G2214,4)</f>
        <v>0</v>
      </c>
      <c r="I2214" s="67"/>
      <c r="J2214" s="67">
        <f>ROUND(+I2214-H2214,4)</f>
        <v>0</v>
      </c>
      <c r="K2214" s="67">
        <f>ROUND(IF(F2214="alluminio",0,I2214*1.5%),4)</f>
        <v>0</v>
      </c>
      <c r="L2214" s="67">
        <f>ROUND(IF(K2214&lt;J2214,K2214,0),4)</f>
        <v>0</v>
      </c>
      <c r="M2214" s="67">
        <f>ROUND(IF(J2214&gt;K2214,0,J2214),4)</f>
        <v>0</v>
      </c>
      <c r="N2214" s="67">
        <f>ROUND(+L2214*D2214,4)</f>
        <v>0</v>
      </c>
      <c r="O2214" s="67">
        <f>ROUND(IF(F2214="rame",0,+I2214*3%),4)</f>
        <v>0</v>
      </c>
      <c r="P2214" s="67">
        <f>ROUND(IF(O2214&lt;J2214,O2214,0),4)</f>
        <v>0</v>
      </c>
      <c r="Q2214" s="67">
        <f>ROUND(IF(J2214&gt;O2214,0,J2214),4)</f>
        <v>0</v>
      </c>
      <c r="R2214" s="67">
        <f>ROUND(+P2214*D2214,4)</f>
        <v>0</v>
      </c>
      <c r="S2214" s="67">
        <f>ROUND(IF(K2214=0,0,M2214*D2214),4)</f>
        <v>0</v>
      </c>
      <c r="T2214" s="67">
        <f>ROUND(+IF(K2214=0,Q2214*D2214,0),4)</f>
        <v>0</v>
      </c>
      <c r="U2214" s="67">
        <f>ROUND(+N2214+R2214+S2214+T2214,4)</f>
        <v>0</v>
      </c>
      <c r="V2214" s="67">
        <f>ROUND(IF(P2214=0,0,I2214-H2214-O2214)+IF(L2214=0,0,I2214-H2214-K2214),4)</f>
        <v>0</v>
      </c>
      <c r="W2214" s="67">
        <f>ROUND(+(V2214*60%)*D2214,4)</f>
        <v>0</v>
      </c>
      <c r="X2214" s="148">
        <f>ROUND(+U2214+W2214,4)</f>
        <v>0</v>
      </c>
      <c r="Y2214" s="68"/>
      <c r="Z2214" s="148">
        <f>ROUND(IF(X2214&gt;I2214,X2214,I2214),4)</f>
        <v>0</v>
      </c>
      <c r="AD2214" s="78">
        <f t="shared" si="46"/>
        <v>0</v>
      </c>
      <c r="AE2214" s="78">
        <f t="shared" si="47"/>
        <v>0</v>
      </c>
    </row>
    <row r="2215" spans="1:31" x14ac:dyDescent="0.2">
      <c r="A2215" s="66"/>
      <c r="B2215" s="66"/>
      <c r="C2215" s="66"/>
      <c r="D2215" s="144"/>
      <c r="E2215" s="67"/>
      <c r="F2215" s="67"/>
      <c r="G2215" s="67"/>
      <c r="H2215" s="67">
        <f>ROUND(+E2215+G2215,4)</f>
        <v>0</v>
      </c>
      <c r="I2215" s="67"/>
      <c r="J2215" s="67">
        <f>ROUND(+I2215-H2215,4)</f>
        <v>0</v>
      </c>
      <c r="K2215" s="67">
        <f>ROUND(IF(F2215="alluminio",0,I2215*1.5%),4)</f>
        <v>0</v>
      </c>
      <c r="L2215" s="67">
        <f>ROUND(IF(K2215&lt;J2215,K2215,0),4)</f>
        <v>0</v>
      </c>
      <c r="M2215" s="67">
        <f>ROUND(IF(J2215&gt;K2215,0,J2215),4)</f>
        <v>0</v>
      </c>
      <c r="N2215" s="67">
        <f>ROUND(+L2215*D2215,4)</f>
        <v>0</v>
      </c>
      <c r="O2215" s="67">
        <f>ROUND(IF(F2215="rame",0,+I2215*3%),4)</f>
        <v>0</v>
      </c>
      <c r="P2215" s="67">
        <f>ROUND(IF(O2215&lt;J2215,O2215,0),4)</f>
        <v>0</v>
      </c>
      <c r="Q2215" s="67">
        <f>ROUND(IF(J2215&gt;O2215,0,J2215),4)</f>
        <v>0</v>
      </c>
      <c r="R2215" s="67">
        <f>ROUND(+P2215*D2215,4)</f>
        <v>0</v>
      </c>
      <c r="S2215" s="67">
        <f>ROUND(IF(K2215=0,0,M2215*D2215),4)</f>
        <v>0</v>
      </c>
      <c r="T2215" s="67">
        <f>ROUND(+IF(K2215=0,Q2215*D2215,0),4)</f>
        <v>0</v>
      </c>
      <c r="U2215" s="67">
        <f>ROUND(+N2215+R2215+S2215+T2215,4)</f>
        <v>0</v>
      </c>
      <c r="V2215" s="67">
        <f>ROUND(IF(P2215=0,0,I2215-H2215-O2215)+IF(L2215=0,0,I2215-H2215-K2215),4)</f>
        <v>0</v>
      </c>
      <c r="W2215" s="67">
        <f>ROUND(+(V2215*60%)*D2215,4)</f>
        <v>0</v>
      </c>
      <c r="X2215" s="148">
        <f>ROUND(+U2215+W2215,4)</f>
        <v>0</v>
      </c>
      <c r="Y2215" s="68"/>
      <c r="Z2215" s="148">
        <f>ROUND(IF(X2215&gt;I2215,X2215,I2215),4)</f>
        <v>0</v>
      </c>
      <c r="AD2215" s="78">
        <f t="shared" si="46"/>
        <v>0</v>
      </c>
      <c r="AE2215" s="78">
        <f t="shared" si="47"/>
        <v>0</v>
      </c>
    </row>
    <row r="2216" spans="1:31" x14ac:dyDescent="0.2">
      <c r="A2216" s="66"/>
      <c r="B2216" s="66"/>
      <c r="C2216" s="66"/>
      <c r="D2216" s="144"/>
      <c r="E2216" s="67"/>
      <c r="F2216" s="67"/>
      <c r="G2216" s="67"/>
      <c r="H2216" s="67">
        <f>ROUND(+E2216+G2216,4)</f>
        <v>0</v>
      </c>
      <c r="I2216" s="67"/>
      <c r="J2216" s="67">
        <f>ROUND(+I2216-H2216,4)</f>
        <v>0</v>
      </c>
      <c r="K2216" s="67">
        <f>ROUND(IF(F2216="alluminio",0,I2216*1.5%),4)</f>
        <v>0</v>
      </c>
      <c r="L2216" s="67">
        <f>ROUND(IF(K2216&lt;J2216,K2216,0),4)</f>
        <v>0</v>
      </c>
      <c r="M2216" s="67">
        <f>ROUND(IF(J2216&gt;K2216,0,J2216),4)</f>
        <v>0</v>
      </c>
      <c r="N2216" s="67">
        <f>ROUND(+L2216*D2216,4)</f>
        <v>0</v>
      </c>
      <c r="O2216" s="67">
        <f>ROUND(IF(F2216="rame",0,+I2216*3%),4)</f>
        <v>0</v>
      </c>
      <c r="P2216" s="67">
        <f>ROUND(IF(O2216&lt;J2216,O2216,0),4)</f>
        <v>0</v>
      </c>
      <c r="Q2216" s="67">
        <f>ROUND(IF(J2216&gt;O2216,0,J2216),4)</f>
        <v>0</v>
      </c>
      <c r="R2216" s="67">
        <f>ROUND(+P2216*D2216,4)</f>
        <v>0</v>
      </c>
      <c r="S2216" s="67">
        <f>ROUND(IF(K2216=0,0,M2216*D2216),4)</f>
        <v>0</v>
      </c>
      <c r="T2216" s="67">
        <f>ROUND(+IF(K2216=0,Q2216*D2216,0),4)</f>
        <v>0</v>
      </c>
      <c r="U2216" s="67">
        <f>ROUND(+N2216+R2216+S2216+T2216,4)</f>
        <v>0</v>
      </c>
      <c r="V2216" s="67">
        <f>ROUND(IF(P2216=0,0,I2216-H2216-O2216)+IF(L2216=0,0,I2216-H2216-K2216),4)</f>
        <v>0</v>
      </c>
      <c r="W2216" s="67">
        <f>ROUND(+(V2216*60%)*D2216,4)</f>
        <v>0</v>
      </c>
      <c r="X2216" s="148">
        <f>ROUND(+U2216+W2216,4)</f>
        <v>0</v>
      </c>
      <c r="Y2216" s="68"/>
      <c r="Z2216" s="148">
        <f>ROUND(IF(X2216&gt;I2216,X2216,I2216),4)</f>
        <v>0</v>
      </c>
      <c r="AD2216" s="78">
        <f t="shared" si="46"/>
        <v>0</v>
      </c>
      <c r="AE2216" s="78">
        <f t="shared" si="47"/>
        <v>0</v>
      </c>
    </row>
    <row r="2217" spans="1:31" x14ac:dyDescent="0.2">
      <c r="A2217" s="66"/>
      <c r="B2217" s="66"/>
      <c r="C2217" s="66"/>
      <c r="D2217" s="144"/>
      <c r="E2217" s="67"/>
      <c r="F2217" s="67"/>
      <c r="G2217" s="67"/>
      <c r="H2217" s="67">
        <f>ROUND(+E2217+G2217,4)</f>
        <v>0</v>
      </c>
      <c r="I2217" s="67"/>
      <c r="J2217" s="67">
        <f>ROUND(+I2217-H2217,4)</f>
        <v>0</v>
      </c>
      <c r="K2217" s="67">
        <f>ROUND(IF(F2217="alluminio",0,I2217*1.5%),4)</f>
        <v>0</v>
      </c>
      <c r="L2217" s="67">
        <f>ROUND(IF(K2217&lt;J2217,K2217,0),4)</f>
        <v>0</v>
      </c>
      <c r="M2217" s="67">
        <f>ROUND(IF(J2217&gt;K2217,0,J2217),4)</f>
        <v>0</v>
      </c>
      <c r="N2217" s="67">
        <f>ROUND(+L2217*D2217,4)</f>
        <v>0</v>
      </c>
      <c r="O2217" s="67">
        <f>ROUND(IF(F2217="rame",0,+I2217*3%),4)</f>
        <v>0</v>
      </c>
      <c r="P2217" s="67">
        <f>ROUND(IF(O2217&lt;J2217,O2217,0),4)</f>
        <v>0</v>
      </c>
      <c r="Q2217" s="67">
        <f>ROUND(IF(J2217&gt;O2217,0,J2217),4)</f>
        <v>0</v>
      </c>
      <c r="R2217" s="67">
        <f>ROUND(+P2217*D2217,4)</f>
        <v>0</v>
      </c>
      <c r="S2217" s="67">
        <f>ROUND(IF(K2217=0,0,M2217*D2217),4)</f>
        <v>0</v>
      </c>
      <c r="T2217" s="67">
        <f>ROUND(+IF(K2217=0,Q2217*D2217,0),4)</f>
        <v>0</v>
      </c>
      <c r="U2217" s="67">
        <f>ROUND(+N2217+R2217+S2217+T2217,4)</f>
        <v>0</v>
      </c>
      <c r="V2217" s="67">
        <f>ROUND(IF(P2217=0,0,I2217-H2217-O2217)+IF(L2217=0,0,I2217-H2217-K2217),4)</f>
        <v>0</v>
      </c>
      <c r="W2217" s="67">
        <f>ROUND(+(V2217*60%)*D2217,4)</f>
        <v>0</v>
      </c>
      <c r="X2217" s="148">
        <f>ROUND(+U2217+W2217,4)</f>
        <v>0</v>
      </c>
      <c r="Y2217" s="68"/>
      <c r="Z2217" s="148">
        <f>ROUND(IF(X2217&gt;I2217,X2217,I2217),4)</f>
        <v>0</v>
      </c>
      <c r="AD2217" s="78">
        <f t="shared" si="46"/>
        <v>0</v>
      </c>
      <c r="AE2217" s="78">
        <f t="shared" si="47"/>
        <v>0</v>
      </c>
    </row>
    <row r="2218" spans="1:31" x14ac:dyDescent="0.2">
      <c r="A2218" s="66"/>
      <c r="B2218" s="66"/>
      <c r="C2218" s="66"/>
      <c r="D2218" s="144"/>
      <c r="E2218" s="67"/>
      <c r="F2218" s="67"/>
      <c r="G2218" s="67"/>
      <c r="H2218" s="67">
        <f>ROUND(+E2218+G2218,4)</f>
        <v>0</v>
      </c>
      <c r="I2218" s="67"/>
      <c r="J2218" s="67">
        <f>ROUND(+I2218-H2218,4)</f>
        <v>0</v>
      </c>
      <c r="K2218" s="67">
        <f>ROUND(IF(F2218="alluminio",0,I2218*1.5%),4)</f>
        <v>0</v>
      </c>
      <c r="L2218" s="67">
        <f>ROUND(IF(K2218&lt;J2218,K2218,0),4)</f>
        <v>0</v>
      </c>
      <c r="M2218" s="67">
        <f>ROUND(IF(J2218&gt;K2218,0,J2218),4)</f>
        <v>0</v>
      </c>
      <c r="N2218" s="67">
        <f>ROUND(+L2218*D2218,4)</f>
        <v>0</v>
      </c>
      <c r="O2218" s="67">
        <f>ROUND(IF(F2218="rame",0,+I2218*3%),4)</f>
        <v>0</v>
      </c>
      <c r="P2218" s="67">
        <f>ROUND(IF(O2218&lt;J2218,O2218,0),4)</f>
        <v>0</v>
      </c>
      <c r="Q2218" s="67">
        <f>ROUND(IF(J2218&gt;O2218,0,J2218),4)</f>
        <v>0</v>
      </c>
      <c r="R2218" s="67">
        <f>ROUND(+P2218*D2218,4)</f>
        <v>0</v>
      </c>
      <c r="S2218" s="67">
        <f>ROUND(IF(K2218=0,0,M2218*D2218),4)</f>
        <v>0</v>
      </c>
      <c r="T2218" s="67">
        <f>ROUND(+IF(K2218=0,Q2218*D2218,0),4)</f>
        <v>0</v>
      </c>
      <c r="U2218" s="67">
        <f>ROUND(+N2218+R2218+S2218+T2218,4)</f>
        <v>0</v>
      </c>
      <c r="V2218" s="67">
        <f>ROUND(IF(P2218=0,0,I2218-H2218-O2218)+IF(L2218=0,0,I2218-H2218-K2218),4)</f>
        <v>0</v>
      </c>
      <c r="W2218" s="67">
        <f>ROUND(+(V2218*60%)*D2218,4)</f>
        <v>0</v>
      </c>
      <c r="X2218" s="148">
        <f>ROUND(+U2218+W2218,4)</f>
        <v>0</v>
      </c>
      <c r="Y2218" s="68"/>
      <c r="Z2218" s="148">
        <f>ROUND(IF(X2218&gt;I2218,X2218,I2218),4)</f>
        <v>0</v>
      </c>
      <c r="AD2218" s="78">
        <f t="shared" si="46"/>
        <v>0</v>
      </c>
      <c r="AE2218" s="78">
        <f t="shared" si="47"/>
        <v>0</v>
      </c>
    </row>
    <row r="2219" spans="1:31" x14ac:dyDescent="0.2">
      <c r="A2219" s="66"/>
      <c r="B2219" s="66"/>
      <c r="C2219" s="66"/>
      <c r="D2219" s="144"/>
      <c r="E2219" s="67"/>
      <c r="F2219" s="67"/>
      <c r="G2219" s="67"/>
      <c r="H2219" s="67">
        <f>ROUND(+E2219+G2219,4)</f>
        <v>0</v>
      </c>
      <c r="I2219" s="67"/>
      <c r="J2219" s="67">
        <f>ROUND(+I2219-H2219,4)</f>
        <v>0</v>
      </c>
      <c r="K2219" s="67">
        <f>ROUND(IF(F2219="alluminio",0,I2219*1.5%),4)</f>
        <v>0</v>
      </c>
      <c r="L2219" s="67">
        <f>ROUND(IF(K2219&lt;J2219,K2219,0),4)</f>
        <v>0</v>
      </c>
      <c r="M2219" s="67">
        <f>ROUND(IF(J2219&gt;K2219,0,J2219),4)</f>
        <v>0</v>
      </c>
      <c r="N2219" s="67">
        <f>ROUND(+L2219*D2219,4)</f>
        <v>0</v>
      </c>
      <c r="O2219" s="67">
        <f>ROUND(IF(F2219="rame",0,+I2219*3%),4)</f>
        <v>0</v>
      </c>
      <c r="P2219" s="67">
        <f>ROUND(IF(O2219&lt;J2219,O2219,0),4)</f>
        <v>0</v>
      </c>
      <c r="Q2219" s="67">
        <f>ROUND(IF(J2219&gt;O2219,0,J2219),4)</f>
        <v>0</v>
      </c>
      <c r="R2219" s="67">
        <f>ROUND(+P2219*D2219,4)</f>
        <v>0</v>
      </c>
      <c r="S2219" s="67">
        <f>ROUND(IF(K2219=0,0,M2219*D2219),4)</f>
        <v>0</v>
      </c>
      <c r="T2219" s="67">
        <f>ROUND(+IF(K2219=0,Q2219*D2219,0),4)</f>
        <v>0</v>
      </c>
      <c r="U2219" s="67">
        <f>ROUND(+N2219+R2219+S2219+T2219,4)</f>
        <v>0</v>
      </c>
      <c r="V2219" s="67">
        <f>ROUND(IF(P2219=0,0,I2219-H2219-O2219)+IF(L2219=0,0,I2219-H2219-K2219),4)</f>
        <v>0</v>
      </c>
      <c r="W2219" s="67">
        <f>ROUND(+(V2219*60%)*D2219,4)</f>
        <v>0</v>
      </c>
      <c r="X2219" s="148">
        <f>ROUND(+U2219+W2219,4)</f>
        <v>0</v>
      </c>
      <c r="Y2219" s="68"/>
      <c r="Z2219" s="148">
        <f>ROUND(IF(X2219&gt;I2219,X2219,I2219),4)</f>
        <v>0</v>
      </c>
      <c r="AD2219" s="78">
        <f t="shared" si="46"/>
        <v>0</v>
      </c>
      <c r="AE2219" s="78">
        <f t="shared" si="47"/>
        <v>0</v>
      </c>
    </row>
    <row r="2220" spans="1:31" x14ac:dyDescent="0.2">
      <c r="A2220" s="66"/>
      <c r="B2220" s="66"/>
      <c r="C2220" s="66"/>
      <c r="D2220" s="144"/>
      <c r="E2220" s="67"/>
      <c r="F2220" s="67"/>
      <c r="G2220" s="67"/>
      <c r="H2220" s="67">
        <f>ROUND(+E2220+G2220,4)</f>
        <v>0</v>
      </c>
      <c r="I2220" s="67"/>
      <c r="J2220" s="67">
        <f>ROUND(+I2220-H2220,4)</f>
        <v>0</v>
      </c>
      <c r="K2220" s="67">
        <f>ROUND(IF(F2220="alluminio",0,I2220*1.5%),4)</f>
        <v>0</v>
      </c>
      <c r="L2220" s="67">
        <f>ROUND(IF(K2220&lt;J2220,K2220,0),4)</f>
        <v>0</v>
      </c>
      <c r="M2220" s="67">
        <f>ROUND(IF(J2220&gt;K2220,0,J2220),4)</f>
        <v>0</v>
      </c>
      <c r="N2220" s="67">
        <f>ROUND(+L2220*D2220,4)</f>
        <v>0</v>
      </c>
      <c r="O2220" s="67">
        <f>ROUND(IF(F2220="rame",0,+I2220*3%),4)</f>
        <v>0</v>
      </c>
      <c r="P2220" s="67">
        <f>ROUND(IF(O2220&lt;J2220,O2220,0),4)</f>
        <v>0</v>
      </c>
      <c r="Q2220" s="67">
        <f>ROUND(IF(J2220&gt;O2220,0,J2220),4)</f>
        <v>0</v>
      </c>
      <c r="R2220" s="67">
        <f>ROUND(+P2220*D2220,4)</f>
        <v>0</v>
      </c>
      <c r="S2220" s="67">
        <f>ROUND(IF(K2220=0,0,M2220*D2220),4)</f>
        <v>0</v>
      </c>
      <c r="T2220" s="67">
        <f>ROUND(+IF(K2220=0,Q2220*D2220,0),4)</f>
        <v>0</v>
      </c>
      <c r="U2220" s="67">
        <f>ROUND(+N2220+R2220+S2220+T2220,4)</f>
        <v>0</v>
      </c>
      <c r="V2220" s="67">
        <f>ROUND(IF(P2220=0,0,I2220-H2220-O2220)+IF(L2220=0,0,I2220-H2220-K2220),4)</f>
        <v>0</v>
      </c>
      <c r="W2220" s="67">
        <f>ROUND(+(V2220*60%)*D2220,4)</f>
        <v>0</v>
      </c>
      <c r="X2220" s="148">
        <f>ROUND(+U2220+W2220,4)</f>
        <v>0</v>
      </c>
      <c r="Y2220" s="68"/>
      <c r="Z2220" s="148">
        <f>ROUND(IF(X2220&gt;I2220,X2220,I2220),4)</f>
        <v>0</v>
      </c>
      <c r="AD2220" s="78">
        <f t="shared" si="46"/>
        <v>0</v>
      </c>
      <c r="AE2220" s="78">
        <f t="shared" si="47"/>
        <v>0</v>
      </c>
    </row>
    <row r="2221" spans="1:31" x14ac:dyDescent="0.2">
      <c r="A2221" s="66"/>
      <c r="B2221" s="66"/>
      <c r="C2221" s="66"/>
      <c r="D2221" s="144"/>
      <c r="E2221" s="67"/>
      <c r="F2221" s="67"/>
      <c r="G2221" s="67"/>
      <c r="H2221" s="67">
        <f>ROUND(+E2221+G2221,4)</f>
        <v>0</v>
      </c>
      <c r="I2221" s="67"/>
      <c r="J2221" s="67">
        <f>ROUND(+I2221-H2221,4)</f>
        <v>0</v>
      </c>
      <c r="K2221" s="67">
        <f>ROUND(IF(F2221="alluminio",0,I2221*1.5%),4)</f>
        <v>0</v>
      </c>
      <c r="L2221" s="67">
        <f>ROUND(IF(K2221&lt;J2221,K2221,0),4)</f>
        <v>0</v>
      </c>
      <c r="M2221" s="67">
        <f>ROUND(IF(J2221&gt;K2221,0,J2221),4)</f>
        <v>0</v>
      </c>
      <c r="N2221" s="67">
        <f>ROUND(+L2221*D2221,4)</f>
        <v>0</v>
      </c>
      <c r="O2221" s="67">
        <f>ROUND(IF(F2221="rame",0,+I2221*3%),4)</f>
        <v>0</v>
      </c>
      <c r="P2221" s="67">
        <f>ROUND(IF(O2221&lt;J2221,O2221,0),4)</f>
        <v>0</v>
      </c>
      <c r="Q2221" s="67">
        <f>ROUND(IF(J2221&gt;O2221,0,J2221),4)</f>
        <v>0</v>
      </c>
      <c r="R2221" s="67">
        <f>ROUND(+P2221*D2221,4)</f>
        <v>0</v>
      </c>
      <c r="S2221" s="67">
        <f>ROUND(IF(K2221=0,0,M2221*D2221),4)</f>
        <v>0</v>
      </c>
      <c r="T2221" s="67">
        <f>ROUND(+IF(K2221=0,Q2221*D2221,0),4)</f>
        <v>0</v>
      </c>
      <c r="U2221" s="67">
        <f>ROUND(+N2221+R2221+S2221+T2221,4)</f>
        <v>0</v>
      </c>
      <c r="V2221" s="67">
        <f>ROUND(IF(P2221=0,0,I2221-H2221-O2221)+IF(L2221=0,0,I2221-H2221-K2221),4)</f>
        <v>0</v>
      </c>
      <c r="W2221" s="67">
        <f>ROUND(+(V2221*60%)*D2221,4)</f>
        <v>0</v>
      </c>
      <c r="X2221" s="148">
        <f>ROUND(+U2221+W2221,4)</f>
        <v>0</v>
      </c>
      <c r="Y2221" s="68"/>
      <c r="Z2221" s="148">
        <f>ROUND(IF(X2221&gt;I2221,X2221,I2221),4)</f>
        <v>0</v>
      </c>
      <c r="AD2221" s="78">
        <f t="shared" si="46"/>
        <v>0</v>
      </c>
      <c r="AE2221" s="78">
        <f t="shared" si="47"/>
        <v>0</v>
      </c>
    </row>
    <row r="2222" spans="1:31" x14ac:dyDescent="0.2">
      <c r="A2222" s="66"/>
      <c r="B2222" s="66"/>
      <c r="C2222" s="66"/>
      <c r="D2222" s="144"/>
      <c r="E2222" s="67"/>
      <c r="F2222" s="67"/>
      <c r="G2222" s="67"/>
      <c r="H2222" s="67">
        <f>ROUND(+E2222+G2222,4)</f>
        <v>0</v>
      </c>
      <c r="I2222" s="67"/>
      <c r="J2222" s="67">
        <f>ROUND(+I2222-H2222,4)</f>
        <v>0</v>
      </c>
      <c r="K2222" s="67">
        <f>ROUND(IF(F2222="alluminio",0,I2222*1.5%),4)</f>
        <v>0</v>
      </c>
      <c r="L2222" s="67">
        <f>ROUND(IF(K2222&lt;J2222,K2222,0),4)</f>
        <v>0</v>
      </c>
      <c r="M2222" s="67">
        <f>ROUND(IF(J2222&gt;K2222,0,J2222),4)</f>
        <v>0</v>
      </c>
      <c r="N2222" s="67">
        <f>ROUND(+L2222*D2222,4)</f>
        <v>0</v>
      </c>
      <c r="O2222" s="67">
        <f>ROUND(IF(F2222="rame",0,+I2222*3%),4)</f>
        <v>0</v>
      </c>
      <c r="P2222" s="67">
        <f>ROUND(IF(O2222&lt;J2222,O2222,0),4)</f>
        <v>0</v>
      </c>
      <c r="Q2222" s="67">
        <f>ROUND(IF(J2222&gt;O2222,0,J2222),4)</f>
        <v>0</v>
      </c>
      <c r="R2222" s="67">
        <f>ROUND(+P2222*D2222,4)</f>
        <v>0</v>
      </c>
      <c r="S2222" s="67">
        <f>ROUND(IF(K2222=0,0,M2222*D2222),4)</f>
        <v>0</v>
      </c>
      <c r="T2222" s="67">
        <f>ROUND(+IF(K2222=0,Q2222*D2222,0),4)</f>
        <v>0</v>
      </c>
      <c r="U2222" s="67">
        <f>ROUND(+N2222+R2222+S2222+T2222,4)</f>
        <v>0</v>
      </c>
      <c r="V2222" s="67">
        <f>ROUND(IF(P2222=0,0,I2222-H2222-O2222)+IF(L2222=0,0,I2222-H2222-K2222),4)</f>
        <v>0</v>
      </c>
      <c r="W2222" s="67">
        <f>ROUND(+(V2222*60%)*D2222,4)</f>
        <v>0</v>
      </c>
      <c r="X2222" s="148">
        <f>ROUND(+U2222+W2222,4)</f>
        <v>0</v>
      </c>
      <c r="Y2222" s="68"/>
      <c r="Z2222" s="148">
        <f>ROUND(IF(X2222&gt;I2222,X2222,I2222),4)</f>
        <v>0</v>
      </c>
      <c r="AD2222" s="78">
        <f t="shared" si="46"/>
        <v>0</v>
      </c>
      <c r="AE2222" s="78">
        <f t="shared" si="47"/>
        <v>0</v>
      </c>
    </row>
    <row r="2223" spans="1:31" x14ac:dyDescent="0.2">
      <c r="A2223" s="66"/>
      <c r="B2223" s="66"/>
      <c r="C2223" s="66"/>
      <c r="D2223" s="144"/>
      <c r="E2223" s="67"/>
      <c r="F2223" s="67"/>
      <c r="G2223" s="67"/>
      <c r="H2223" s="67">
        <f>ROUND(+E2223+G2223,4)</f>
        <v>0</v>
      </c>
      <c r="I2223" s="67"/>
      <c r="J2223" s="67">
        <f>ROUND(+I2223-H2223,4)</f>
        <v>0</v>
      </c>
      <c r="K2223" s="67">
        <f>ROUND(IF(F2223="alluminio",0,I2223*1.5%),4)</f>
        <v>0</v>
      </c>
      <c r="L2223" s="67">
        <f>ROUND(IF(K2223&lt;J2223,K2223,0),4)</f>
        <v>0</v>
      </c>
      <c r="M2223" s="67">
        <f>ROUND(IF(J2223&gt;K2223,0,J2223),4)</f>
        <v>0</v>
      </c>
      <c r="N2223" s="67">
        <f>ROUND(+L2223*D2223,4)</f>
        <v>0</v>
      </c>
      <c r="O2223" s="67">
        <f>ROUND(IF(F2223="rame",0,+I2223*3%),4)</f>
        <v>0</v>
      </c>
      <c r="P2223" s="67">
        <f>ROUND(IF(O2223&lt;J2223,O2223,0),4)</f>
        <v>0</v>
      </c>
      <c r="Q2223" s="67">
        <f>ROUND(IF(J2223&gt;O2223,0,J2223),4)</f>
        <v>0</v>
      </c>
      <c r="R2223" s="67">
        <f>ROUND(+P2223*D2223,4)</f>
        <v>0</v>
      </c>
      <c r="S2223" s="67">
        <f>ROUND(IF(K2223=0,0,M2223*D2223),4)</f>
        <v>0</v>
      </c>
      <c r="T2223" s="67">
        <f>ROUND(+IF(K2223=0,Q2223*D2223,0),4)</f>
        <v>0</v>
      </c>
      <c r="U2223" s="67">
        <f>ROUND(+N2223+R2223+S2223+T2223,4)</f>
        <v>0</v>
      </c>
      <c r="V2223" s="67">
        <f>ROUND(IF(P2223=0,0,I2223-H2223-O2223)+IF(L2223=0,0,I2223-H2223-K2223),4)</f>
        <v>0</v>
      </c>
      <c r="W2223" s="67">
        <f>ROUND(+(V2223*60%)*D2223,4)</f>
        <v>0</v>
      </c>
      <c r="X2223" s="148">
        <f>ROUND(+U2223+W2223,4)</f>
        <v>0</v>
      </c>
      <c r="Y2223" s="68"/>
      <c r="Z2223" s="148">
        <f>ROUND(IF(X2223&gt;I2223,X2223,I2223),4)</f>
        <v>0</v>
      </c>
      <c r="AD2223" s="78">
        <f t="shared" si="46"/>
        <v>0</v>
      </c>
      <c r="AE2223" s="78">
        <f t="shared" si="47"/>
        <v>0</v>
      </c>
    </row>
    <row r="2224" spans="1:31" x14ac:dyDescent="0.2">
      <c r="A2224" s="66"/>
      <c r="B2224" s="66"/>
      <c r="C2224" s="66"/>
      <c r="D2224" s="144"/>
      <c r="E2224" s="67"/>
      <c r="F2224" s="67"/>
      <c r="G2224" s="67"/>
      <c r="H2224" s="67">
        <f>ROUND(+E2224+G2224,4)</f>
        <v>0</v>
      </c>
      <c r="I2224" s="67"/>
      <c r="J2224" s="67">
        <f>ROUND(+I2224-H2224,4)</f>
        <v>0</v>
      </c>
      <c r="K2224" s="67">
        <f>ROUND(IF(F2224="alluminio",0,I2224*1.5%),4)</f>
        <v>0</v>
      </c>
      <c r="L2224" s="67">
        <f>ROUND(IF(K2224&lt;J2224,K2224,0),4)</f>
        <v>0</v>
      </c>
      <c r="M2224" s="67">
        <f>ROUND(IF(J2224&gt;K2224,0,J2224),4)</f>
        <v>0</v>
      </c>
      <c r="N2224" s="67">
        <f>ROUND(+L2224*D2224,4)</f>
        <v>0</v>
      </c>
      <c r="O2224" s="67">
        <f>ROUND(IF(F2224="rame",0,+I2224*3%),4)</f>
        <v>0</v>
      </c>
      <c r="P2224" s="67">
        <f>ROUND(IF(O2224&lt;J2224,O2224,0),4)</f>
        <v>0</v>
      </c>
      <c r="Q2224" s="67">
        <f>ROUND(IF(J2224&gt;O2224,0,J2224),4)</f>
        <v>0</v>
      </c>
      <c r="R2224" s="67">
        <f>ROUND(+P2224*D2224,4)</f>
        <v>0</v>
      </c>
      <c r="S2224" s="67">
        <f>ROUND(IF(K2224=0,0,M2224*D2224),4)</f>
        <v>0</v>
      </c>
      <c r="T2224" s="67">
        <f>ROUND(+IF(K2224=0,Q2224*D2224,0),4)</f>
        <v>0</v>
      </c>
      <c r="U2224" s="67">
        <f>ROUND(+N2224+R2224+S2224+T2224,4)</f>
        <v>0</v>
      </c>
      <c r="V2224" s="67">
        <f>ROUND(IF(P2224=0,0,I2224-H2224-O2224)+IF(L2224=0,0,I2224-H2224-K2224),4)</f>
        <v>0</v>
      </c>
      <c r="W2224" s="67">
        <f>ROUND(+(V2224*60%)*D2224,4)</f>
        <v>0</v>
      </c>
      <c r="X2224" s="148">
        <f>ROUND(+U2224+W2224,4)</f>
        <v>0</v>
      </c>
      <c r="Y2224" s="68"/>
      <c r="Z2224" s="148">
        <f>ROUND(IF(X2224&gt;I2224,X2224,I2224),4)</f>
        <v>0</v>
      </c>
      <c r="AD2224" s="78">
        <f t="shared" si="46"/>
        <v>0</v>
      </c>
      <c r="AE2224" s="78">
        <f t="shared" si="47"/>
        <v>0</v>
      </c>
    </row>
    <row r="2225" spans="1:31" x14ac:dyDescent="0.2">
      <c r="A2225" s="66"/>
      <c r="B2225" s="66"/>
      <c r="C2225" s="66"/>
      <c r="D2225" s="144"/>
      <c r="E2225" s="67"/>
      <c r="F2225" s="67"/>
      <c r="G2225" s="67"/>
      <c r="H2225" s="67">
        <f>ROUND(+E2225+G2225,4)</f>
        <v>0</v>
      </c>
      <c r="I2225" s="67"/>
      <c r="J2225" s="67">
        <f>ROUND(+I2225-H2225,4)</f>
        <v>0</v>
      </c>
      <c r="K2225" s="67">
        <f>ROUND(IF(F2225="alluminio",0,I2225*1.5%),4)</f>
        <v>0</v>
      </c>
      <c r="L2225" s="67">
        <f>ROUND(IF(K2225&lt;J2225,K2225,0),4)</f>
        <v>0</v>
      </c>
      <c r="M2225" s="67">
        <f>ROUND(IF(J2225&gt;K2225,0,J2225),4)</f>
        <v>0</v>
      </c>
      <c r="N2225" s="67">
        <f>ROUND(+L2225*D2225,4)</f>
        <v>0</v>
      </c>
      <c r="O2225" s="67">
        <f>ROUND(IF(F2225="rame",0,+I2225*3%),4)</f>
        <v>0</v>
      </c>
      <c r="P2225" s="67">
        <f>ROUND(IF(O2225&lt;J2225,O2225,0),4)</f>
        <v>0</v>
      </c>
      <c r="Q2225" s="67">
        <f>ROUND(IF(J2225&gt;O2225,0,J2225),4)</f>
        <v>0</v>
      </c>
      <c r="R2225" s="67">
        <f>ROUND(+P2225*D2225,4)</f>
        <v>0</v>
      </c>
      <c r="S2225" s="67">
        <f>ROUND(IF(K2225=0,0,M2225*D2225),4)</f>
        <v>0</v>
      </c>
      <c r="T2225" s="67">
        <f>ROUND(+IF(K2225=0,Q2225*D2225,0),4)</f>
        <v>0</v>
      </c>
      <c r="U2225" s="67">
        <f>ROUND(+N2225+R2225+S2225+T2225,4)</f>
        <v>0</v>
      </c>
      <c r="V2225" s="67">
        <f>ROUND(IF(P2225=0,0,I2225-H2225-O2225)+IF(L2225=0,0,I2225-H2225-K2225),4)</f>
        <v>0</v>
      </c>
      <c r="W2225" s="67">
        <f>ROUND(+(V2225*60%)*D2225,4)</f>
        <v>0</v>
      </c>
      <c r="X2225" s="148">
        <f>ROUND(+U2225+W2225,4)</f>
        <v>0</v>
      </c>
      <c r="Y2225" s="68"/>
      <c r="Z2225" s="148">
        <f>ROUND(IF(X2225&gt;I2225,X2225,I2225),4)</f>
        <v>0</v>
      </c>
      <c r="AD2225" s="78">
        <f t="shared" si="46"/>
        <v>0</v>
      </c>
      <c r="AE2225" s="78">
        <f t="shared" si="47"/>
        <v>0</v>
      </c>
    </row>
    <row r="2226" spans="1:31" x14ac:dyDescent="0.2">
      <c r="A2226" s="66"/>
      <c r="B2226" s="66"/>
      <c r="C2226" s="66"/>
      <c r="D2226" s="144"/>
      <c r="E2226" s="67"/>
      <c r="F2226" s="67"/>
      <c r="G2226" s="67"/>
      <c r="H2226" s="67">
        <f>ROUND(+E2226+G2226,4)</f>
        <v>0</v>
      </c>
      <c r="I2226" s="67"/>
      <c r="J2226" s="67">
        <f>ROUND(+I2226-H2226,4)</f>
        <v>0</v>
      </c>
      <c r="K2226" s="67">
        <f>ROUND(IF(F2226="alluminio",0,I2226*1.5%),4)</f>
        <v>0</v>
      </c>
      <c r="L2226" s="67">
        <f>ROUND(IF(K2226&lt;J2226,K2226,0),4)</f>
        <v>0</v>
      </c>
      <c r="M2226" s="67">
        <f>ROUND(IF(J2226&gt;K2226,0,J2226),4)</f>
        <v>0</v>
      </c>
      <c r="N2226" s="67">
        <f>ROUND(+L2226*D2226,4)</f>
        <v>0</v>
      </c>
      <c r="O2226" s="67">
        <f>ROUND(IF(F2226="rame",0,+I2226*3%),4)</f>
        <v>0</v>
      </c>
      <c r="P2226" s="67">
        <f>ROUND(IF(O2226&lt;J2226,O2226,0),4)</f>
        <v>0</v>
      </c>
      <c r="Q2226" s="67">
        <f>ROUND(IF(J2226&gt;O2226,0,J2226),4)</f>
        <v>0</v>
      </c>
      <c r="R2226" s="67">
        <f>ROUND(+P2226*D2226,4)</f>
        <v>0</v>
      </c>
      <c r="S2226" s="67">
        <f>ROUND(IF(K2226=0,0,M2226*D2226),4)</f>
        <v>0</v>
      </c>
      <c r="T2226" s="67">
        <f>ROUND(+IF(K2226=0,Q2226*D2226,0),4)</f>
        <v>0</v>
      </c>
      <c r="U2226" s="67">
        <f>ROUND(+N2226+R2226+S2226+T2226,4)</f>
        <v>0</v>
      </c>
      <c r="V2226" s="67">
        <f>ROUND(IF(P2226=0,0,I2226-H2226-O2226)+IF(L2226=0,0,I2226-H2226-K2226),4)</f>
        <v>0</v>
      </c>
      <c r="W2226" s="67">
        <f>ROUND(+(V2226*60%)*D2226,4)</f>
        <v>0</v>
      </c>
      <c r="X2226" s="148">
        <f>ROUND(+U2226+W2226,4)</f>
        <v>0</v>
      </c>
      <c r="Y2226" s="68"/>
      <c r="Z2226" s="148">
        <f>ROUND(IF(X2226&gt;I2226,X2226,I2226),4)</f>
        <v>0</v>
      </c>
      <c r="AD2226" s="78">
        <f t="shared" si="46"/>
        <v>0</v>
      </c>
      <c r="AE2226" s="78">
        <f t="shared" si="47"/>
        <v>0</v>
      </c>
    </row>
    <row r="2227" spans="1:31" x14ac:dyDescent="0.2">
      <c r="A2227" s="66"/>
      <c r="B2227" s="66"/>
      <c r="C2227" s="66"/>
      <c r="D2227" s="144"/>
      <c r="E2227" s="67"/>
      <c r="F2227" s="67"/>
      <c r="G2227" s="67"/>
      <c r="H2227" s="67">
        <f>ROUND(+E2227+G2227,4)</f>
        <v>0</v>
      </c>
      <c r="I2227" s="67"/>
      <c r="J2227" s="67">
        <f>ROUND(+I2227-H2227,4)</f>
        <v>0</v>
      </c>
      <c r="K2227" s="67">
        <f>ROUND(IF(F2227="alluminio",0,I2227*1.5%),4)</f>
        <v>0</v>
      </c>
      <c r="L2227" s="67">
        <f>ROUND(IF(K2227&lt;J2227,K2227,0),4)</f>
        <v>0</v>
      </c>
      <c r="M2227" s="67">
        <f>ROUND(IF(J2227&gt;K2227,0,J2227),4)</f>
        <v>0</v>
      </c>
      <c r="N2227" s="67">
        <f>ROUND(+L2227*D2227,4)</f>
        <v>0</v>
      </c>
      <c r="O2227" s="67">
        <f>ROUND(IF(F2227="rame",0,+I2227*3%),4)</f>
        <v>0</v>
      </c>
      <c r="P2227" s="67">
        <f>ROUND(IF(O2227&lt;J2227,O2227,0),4)</f>
        <v>0</v>
      </c>
      <c r="Q2227" s="67">
        <f>ROUND(IF(J2227&gt;O2227,0,J2227),4)</f>
        <v>0</v>
      </c>
      <c r="R2227" s="67">
        <f>ROUND(+P2227*D2227,4)</f>
        <v>0</v>
      </c>
      <c r="S2227" s="67">
        <f>ROUND(IF(K2227=0,0,M2227*D2227),4)</f>
        <v>0</v>
      </c>
      <c r="T2227" s="67">
        <f>ROUND(+IF(K2227=0,Q2227*D2227,0),4)</f>
        <v>0</v>
      </c>
      <c r="U2227" s="67">
        <f>ROUND(+N2227+R2227+S2227+T2227,4)</f>
        <v>0</v>
      </c>
      <c r="V2227" s="67">
        <f>ROUND(IF(P2227=0,0,I2227-H2227-O2227)+IF(L2227=0,0,I2227-H2227-K2227),4)</f>
        <v>0</v>
      </c>
      <c r="W2227" s="67">
        <f>ROUND(+(V2227*60%)*D2227,4)</f>
        <v>0</v>
      </c>
      <c r="X2227" s="148">
        <f>ROUND(+U2227+W2227,4)</f>
        <v>0</v>
      </c>
      <c r="Y2227" s="68"/>
      <c r="Z2227" s="148">
        <f>ROUND(IF(X2227&gt;I2227,X2227,I2227),4)</f>
        <v>0</v>
      </c>
      <c r="AD2227" s="78">
        <f t="shared" si="46"/>
        <v>0</v>
      </c>
      <c r="AE2227" s="78">
        <f t="shared" si="47"/>
        <v>0</v>
      </c>
    </row>
    <row r="2228" spans="1:31" x14ac:dyDescent="0.2">
      <c r="A2228" s="66"/>
      <c r="B2228" s="66"/>
      <c r="C2228" s="66"/>
      <c r="D2228" s="144"/>
      <c r="E2228" s="67"/>
      <c r="F2228" s="67"/>
      <c r="G2228" s="67"/>
      <c r="H2228" s="67">
        <f>ROUND(+E2228+G2228,4)</f>
        <v>0</v>
      </c>
      <c r="I2228" s="67"/>
      <c r="J2228" s="67">
        <f>ROUND(+I2228-H2228,4)</f>
        <v>0</v>
      </c>
      <c r="K2228" s="67">
        <f>ROUND(IF(F2228="alluminio",0,I2228*1.5%),4)</f>
        <v>0</v>
      </c>
      <c r="L2228" s="67">
        <f>ROUND(IF(K2228&lt;J2228,K2228,0),4)</f>
        <v>0</v>
      </c>
      <c r="M2228" s="67">
        <f>ROUND(IF(J2228&gt;K2228,0,J2228),4)</f>
        <v>0</v>
      </c>
      <c r="N2228" s="67">
        <f>ROUND(+L2228*D2228,4)</f>
        <v>0</v>
      </c>
      <c r="O2228" s="67">
        <f>ROUND(IF(F2228="rame",0,+I2228*3%),4)</f>
        <v>0</v>
      </c>
      <c r="P2228" s="67">
        <f>ROUND(IF(O2228&lt;J2228,O2228,0),4)</f>
        <v>0</v>
      </c>
      <c r="Q2228" s="67">
        <f>ROUND(IF(J2228&gt;O2228,0,J2228),4)</f>
        <v>0</v>
      </c>
      <c r="R2228" s="67">
        <f>ROUND(+P2228*D2228,4)</f>
        <v>0</v>
      </c>
      <c r="S2228" s="67">
        <f>ROUND(IF(K2228=0,0,M2228*D2228),4)</f>
        <v>0</v>
      </c>
      <c r="T2228" s="67">
        <f>ROUND(+IF(K2228=0,Q2228*D2228,0),4)</f>
        <v>0</v>
      </c>
      <c r="U2228" s="67">
        <f>ROUND(+N2228+R2228+S2228+T2228,4)</f>
        <v>0</v>
      </c>
      <c r="V2228" s="67">
        <f>ROUND(IF(P2228=0,0,I2228-H2228-O2228)+IF(L2228=0,0,I2228-H2228-K2228),4)</f>
        <v>0</v>
      </c>
      <c r="W2228" s="67">
        <f>ROUND(+(V2228*60%)*D2228,4)</f>
        <v>0</v>
      </c>
      <c r="X2228" s="148">
        <f>ROUND(+U2228+W2228,4)</f>
        <v>0</v>
      </c>
      <c r="Y2228" s="68"/>
      <c r="Z2228" s="148">
        <f>ROUND(IF(X2228&gt;I2228,X2228,I2228),4)</f>
        <v>0</v>
      </c>
      <c r="AD2228" s="78">
        <f t="shared" si="46"/>
        <v>0</v>
      </c>
      <c r="AE2228" s="78">
        <f t="shared" si="47"/>
        <v>0</v>
      </c>
    </row>
    <row r="2229" spans="1:31" x14ac:dyDescent="0.2">
      <c r="A2229" s="66"/>
      <c r="B2229" s="66"/>
      <c r="C2229" s="66"/>
      <c r="D2229" s="144"/>
      <c r="E2229" s="67"/>
      <c r="F2229" s="67"/>
      <c r="G2229" s="67"/>
      <c r="H2229" s="67">
        <f>ROUND(+E2229+G2229,4)</f>
        <v>0</v>
      </c>
      <c r="I2229" s="67"/>
      <c r="J2229" s="67">
        <f>ROUND(+I2229-H2229,4)</f>
        <v>0</v>
      </c>
      <c r="K2229" s="67">
        <f>ROUND(IF(F2229="alluminio",0,I2229*1.5%),4)</f>
        <v>0</v>
      </c>
      <c r="L2229" s="67">
        <f>ROUND(IF(K2229&lt;J2229,K2229,0),4)</f>
        <v>0</v>
      </c>
      <c r="M2229" s="67">
        <f>ROUND(IF(J2229&gt;K2229,0,J2229),4)</f>
        <v>0</v>
      </c>
      <c r="N2229" s="67">
        <f>ROUND(+L2229*D2229,4)</f>
        <v>0</v>
      </c>
      <c r="O2229" s="67">
        <f>ROUND(IF(F2229="rame",0,+I2229*3%),4)</f>
        <v>0</v>
      </c>
      <c r="P2229" s="67">
        <f>ROUND(IF(O2229&lt;J2229,O2229,0),4)</f>
        <v>0</v>
      </c>
      <c r="Q2229" s="67">
        <f>ROUND(IF(J2229&gt;O2229,0,J2229),4)</f>
        <v>0</v>
      </c>
      <c r="R2229" s="67">
        <f>ROUND(+P2229*D2229,4)</f>
        <v>0</v>
      </c>
      <c r="S2229" s="67">
        <f>ROUND(IF(K2229=0,0,M2229*D2229),4)</f>
        <v>0</v>
      </c>
      <c r="T2229" s="67">
        <f>ROUND(+IF(K2229=0,Q2229*D2229,0),4)</f>
        <v>0</v>
      </c>
      <c r="U2229" s="67">
        <f>ROUND(+N2229+R2229+S2229+T2229,4)</f>
        <v>0</v>
      </c>
      <c r="V2229" s="67">
        <f>ROUND(IF(P2229=0,0,I2229-H2229-O2229)+IF(L2229=0,0,I2229-H2229-K2229),4)</f>
        <v>0</v>
      </c>
      <c r="W2229" s="67">
        <f>ROUND(+(V2229*60%)*D2229,4)</f>
        <v>0</v>
      </c>
      <c r="X2229" s="148">
        <f>ROUND(+U2229+W2229,4)</f>
        <v>0</v>
      </c>
      <c r="Y2229" s="68"/>
      <c r="Z2229" s="148">
        <f>ROUND(IF(X2229&gt;I2229,X2229,I2229),4)</f>
        <v>0</v>
      </c>
      <c r="AD2229" s="78">
        <f t="shared" si="46"/>
        <v>0</v>
      </c>
      <c r="AE2229" s="78">
        <f t="shared" si="47"/>
        <v>0</v>
      </c>
    </row>
    <row r="2230" spans="1:31" x14ac:dyDescent="0.2">
      <c r="A2230" s="66"/>
      <c r="B2230" s="66"/>
      <c r="C2230" s="66"/>
      <c r="D2230" s="144"/>
      <c r="E2230" s="67"/>
      <c r="F2230" s="67"/>
      <c r="G2230" s="67"/>
      <c r="H2230" s="67">
        <f>ROUND(+E2230+G2230,4)</f>
        <v>0</v>
      </c>
      <c r="I2230" s="67"/>
      <c r="J2230" s="67">
        <f>ROUND(+I2230-H2230,4)</f>
        <v>0</v>
      </c>
      <c r="K2230" s="67">
        <f>ROUND(IF(F2230="alluminio",0,I2230*1.5%),4)</f>
        <v>0</v>
      </c>
      <c r="L2230" s="67">
        <f>ROUND(IF(K2230&lt;J2230,K2230,0),4)</f>
        <v>0</v>
      </c>
      <c r="M2230" s="67">
        <f>ROUND(IF(J2230&gt;K2230,0,J2230),4)</f>
        <v>0</v>
      </c>
      <c r="N2230" s="67">
        <f>ROUND(+L2230*D2230,4)</f>
        <v>0</v>
      </c>
      <c r="O2230" s="67">
        <f>ROUND(IF(F2230="rame",0,+I2230*3%),4)</f>
        <v>0</v>
      </c>
      <c r="P2230" s="67">
        <f>ROUND(IF(O2230&lt;J2230,O2230,0),4)</f>
        <v>0</v>
      </c>
      <c r="Q2230" s="67">
        <f>ROUND(IF(J2230&gt;O2230,0,J2230),4)</f>
        <v>0</v>
      </c>
      <c r="R2230" s="67">
        <f>ROUND(+P2230*D2230,4)</f>
        <v>0</v>
      </c>
      <c r="S2230" s="67">
        <f>ROUND(IF(K2230=0,0,M2230*D2230),4)</f>
        <v>0</v>
      </c>
      <c r="T2230" s="67">
        <f>ROUND(+IF(K2230=0,Q2230*D2230,0),4)</f>
        <v>0</v>
      </c>
      <c r="U2230" s="67">
        <f>ROUND(+N2230+R2230+S2230+T2230,4)</f>
        <v>0</v>
      </c>
      <c r="V2230" s="67">
        <f>ROUND(IF(P2230=0,0,I2230-H2230-O2230)+IF(L2230=0,0,I2230-H2230-K2230),4)</f>
        <v>0</v>
      </c>
      <c r="W2230" s="67">
        <f>ROUND(+(V2230*60%)*D2230,4)</f>
        <v>0</v>
      </c>
      <c r="X2230" s="148">
        <f>ROUND(+U2230+W2230,4)</f>
        <v>0</v>
      </c>
      <c r="Y2230" s="68"/>
      <c r="Z2230" s="148">
        <f>ROUND(IF(X2230&gt;I2230,X2230,I2230),4)</f>
        <v>0</v>
      </c>
      <c r="AD2230" s="78">
        <f t="shared" si="46"/>
        <v>0</v>
      </c>
      <c r="AE2230" s="78">
        <f t="shared" si="47"/>
        <v>0</v>
      </c>
    </row>
    <row r="2231" spans="1:31" x14ac:dyDescent="0.2">
      <c r="A2231" s="66"/>
      <c r="B2231" s="66"/>
      <c r="C2231" s="66"/>
      <c r="D2231" s="144"/>
      <c r="E2231" s="67"/>
      <c r="F2231" s="67"/>
      <c r="G2231" s="67"/>
      <c r="H2231" s="67">
        <f>ROUND(+E2231+G2231,4)</f>
        <v>0</v>
      </c>
      <c r="I2231" s="67"/>
      <c r="J2231" s="67">
        <f>ROUND(+I2231-H2231,4)</f>
        <v>0</v>
      </c>
      <c r="K2231" s="67">
        <f>ROUND(IF(F2231="alluminio",0,I2231*1.5%),4)</f>
        <v>0</v>
      </c>
      <c r="L2231" s="67">
        <f>ROUND(IF(K2231&lt;J2231,K2231,0),4)</f>
        <v>0</v>
      </c>
      <c r="M2231" s="67">
        <f>ROUND(IF(J2231&gt;K2231,0,J2231),4)</f>
        <v>0</v>
      </c>
      <c r="N2231" s="67">
        <f>ROUND(+L2231*D2231,4)</f>
        <v>0</v>
      </c>
      <c r="O2231" s="67">
        <f>ROUND(IF(F2231="rame",0,+I2231*3%),4)</f>
        <v>0</v>
      </c>
      <c r="P2231" s="67">
        <f>ROUND(IF(O2231&lt;J2231,O2231,0),4)</f>
        <v>0</v>
      </c>
      <c r="Q2231" s="67">
        <f>ROUND(IF(J2231&gt;O2231,0,J2231),4)</f>
        <v>0</v>
      </c>
      <c r="R2231" s="67">
        <f>ROUND(+P2231*D2231,4)</f>
        <v>0</v>
      </c>
      <c r="S2231" s="67">
        <f>ROUND(IF(K2231=0,0,M2231*D2231),4)</f>
        <v>0</v>
      </c>
      <c r="T2231" s="67">
        <f>ROUND(+IF(K2231=0,Q2231*D2231,0),4)</f>
        <v>0</v>
      </c>
      <c r="U2231" s="67">
        <f>ROUND(+N2231+R2231+S2231+T2231,4)</f>
        <v>0</v>
      </c>
      <c r="V2231" s="67">
        <f>ROUND(IF(P2231=0,0,I2231-H2231-O2231)+IF(L2231=0,0,I2231-H2231-K2231),4)</f>
        <v>0</v>
      </c>
      <c r="W2231" s="67">
        <f>ROUND(+(V2231*60%)*D2231,4)</f>
        <v>0</v>
      </c>
      <c r="X2231" s="148">
        <f>ROUND(+U2231+W2231,4)</f>
        <v>0</v>
      </c>
      <c r="Y2231" s="68"/>
      <c r="Z2231" s="148">
        <f>ROUND(IF(X2231&gt;I2231,X2231,I2231),4)</f>
        <v>0</v>
      </c>
      <c r="AD2231" s="78">
        <f t="shared" si="46"/>
        <v>0</v>
      </c>
      <c r="AE2231" s="78">
        <f t="shared" si="47"/>
        <v>0</v>
      </c>
    </row>
    <row r="2232" spans="1:31" x14ac:dyDescent="0.2">
      <c r="A2232" s="66"/>
      <c r="B2232" s="66"/>
      <c r="C2232" s="66"/>
      <c r="D2232" s="144"/>
      <c r="E2232" s="67"/>
      <c r="F2232" s="67"/>
      <c r="G2232" s="67"/>
      <c r="H2232" s="67">
        <f>ROUND(+E2232+G2232,4)</f>
        <v>0</v>
      </c>
      <c r="I2232" s="67"/>
      <c r="J2232" s="67">
        <f>ROUND(+I2232-H2232,4)</f>
        <v>0</v>
      </c>
      <c r="K2232" s="67">
        <f>ROUND(IF(F2232="alluminio",0,I2232*1.5%),4)</f>
        <v>0</v>
      </c>
      <c r="L2232" s="67">
        <f>ROUND(IF(K2232&lt;J2232,K2232,0),4)</f>
        <v>0</v>
      </c>
      <c r="M2232" s="67">
        <f>ROUND(IF(J2232&gt;K2232,0,J2232),4)</f>
        <v>0</v>
      </c>
      <c r="N2232" s="67">
        <f>ROUND(+L2232*D2232,4)</f>
        <v>0</v>
      </c>
      <c r="O2232" s="67">
        <f>ROUND(IF(F2232="rame",0,+I2232*3%),4)</f>
        <v>0</v>
      </c>
      <c r="P2232" s="67">
        <f>ROUND(IF(O2232&lt;J2232,O2232,0),4)</f>
        <v>0</v>
      </c>
      <c r="Q2232" s="67">
        <f>ROUND(IF(J2232&gt;O2232,0,J2232),4)</f>
        <v>0</v>
      </c>
      <c r="R2232" s="67">
        <f>ROUND(+P2232*D2232,4)</f>
        <v>0</v>
      </c>
      <c r="S2232" s="67">
        <f>ROUND(IF(K2232=0,0,M2232*D2232),4)</f>
        <v>0</v>
      </c>
      <c r="T2232" s="67">
        <f>ROUND(+IF(K2232=0,Q2232*D2232,0),4)</f>
        <v>0</v>
      </c>
      <c r="U2232" s="67">
        <f>ROUND(+N2232+R2232+S2232+T2232,4)</f>
        <v>0</v>
      </c>
      <c r="V2232" s="67">
        <f>ROUND(IF(P2232=0,0,I2232-H2232-O2232)+IF(L2232=0,0,I2232-H2232-K2232),4)</f>
        <v>0</v>
      </c>
      <c r="W2232" s="67">
        <f>ROUND(+(V2232*60%)*D2232,4)</f>
        <v>0</v>
      </c>
      <c r="X2232" s="148">
        <f>ROUND(+U2232+W2232,4)</f>
        <v>0</v>
      </c>
      <c r="Y2232" s="68"/>
      <c r="Z2232" s="148">
        <f>ROUND(IF(X2232&gt;I2232,X2232,I2232),4)</f>
        <v>0</v>
      </c>
      <c r="AD2232" s="78">
        <f t="shared" si="46"/>
        <v>0</v>
      </c>
      <c r="AE2232" s="78">
        <f t="shared" si="47"/>
        <v>0</v>
      </c>
    </row>
    <row r="2233" spans="1:31" x14ac:dyDescent="0.2">
      <c r="A2233" s="66"/>
      <c r="B2233" s="66"/>
      <c r="C2233" s="66"/>
      <c r="D2233" s="144"/>
      <c r="E2233" s="67"/>
      <c r="F2233" s="67"/>
      <c r="G2233" s="67"/>
      <c r="H2233" s="67">
        <f>ROUND(+E2233+G2233,4)</f>
        <v>0</v>
      </c>
      <c r="I2233" s="67"/>
      <c r="J2233" s="67">
        <f>ROUND(+I2233-H2233,4)</f>
        <v>0</v>
      </c>
      <c r="K2233" s="67">
        <f>ROUND(IF(F2233="alluminio",0,I2233*1.5%),4)</f>
        <v>0</v>
      </c>
      <c r="L2233" s="67">
        <f>ROUND(IF(K2233&lt;J2233,K2233,0),4)</f>
        <v>0</v>
      </c>
      <c r="M2233" s="67">
        <f>ROUND(IF(J2233&gt;K2233,0,J2233),4)</f>
        <v>0</v>
      </c>
      <c r="N2233" s="67">
        <f>ROUND(+L2233*D2233,4)</f>
        <v>0</v>
      </c>
      <c r="O2233" s="67">
        <f>ROUND(IF(F2233="rame",0,+I2233*3%),4)</f>
        <v>0</v>
      </c>
      <c r="P2233" s="67">
        <f>ROUND(IF(O2233&lt;J2233,O2233,0),4)</f>
        <v>0</v>
      </c>
      <c r="Q2233" s="67">
        <f>ROUND(IF(J2233&gt;O2233,0,J2233),4)</f>
        <v>0</v>
      </c>
      <c r="R2233" s="67">
        <f>ROUND(+P2233*D2233,4)</f>
        <v>0</v>
      </c>
      <c r="S2233" s="67">
        <f>ROUND(IF(K2233=0,0,M2233*D2233),4)</f>
        <v>0</v>
      </c>
      <c r="T2233" s="67">
        <f>ROUND(+IF(K2233=0,Q2233*D2233,0),4)</f>
        <v>0</v>
      </c>
      <c r="U2233" s="67">
        <f>ROUND(+N2233+R2233+S2233+T2233,4)</f>
        <v>0</v>
      </c>
      <c r="V2233" s="67">
        <f>ROUND(IF(P2233=0,0,I2233-H2233-O2233)+IF(L2233=0,0,I2233-H2233-K2233),4)</f>
        <v>0</v>
      </c>
      <c r="W2233" s="67">
        <f>ROUND(+(V2233*60%)*D2233,4)</f>
        <v>0</v>
      </c>
      <c r="X2233" s="148">
        <f>ROUND(+U2233+W2233,4)</f>
        <v>0</v>
      </c>
      <c r="Y2233" s="68"/>
      <c r="Z2233" s="148">
        <f>ROUND(IF(X2233&gt;I2233,X2233,I2233),4)</f>
        <v>0</v>
      </c>
      <c r="AD2233" s="78">
        <f t="shared" si="46"/>
        <v>0</v>
      </c>
      <c r="AE2233" s="78">
        <f t="shared" si="47"/>
        <v>0</v>
      </c>
    </row>
    <row r="2234" spans="1:31" x14ac:dyDescent="0.2">
      <c r="A2234" s="66"/>
      <c r="B2234" s="66"/>
      <c r="C2234" s="66"/>
      <c r="D2234" s="144"/>
      <c r="E2234" s="67"/>
      <c r="F2234" s="67"/>
      <c r="G2234" s="67"/>
      <c r="H2234" s="67">
        <f>ROUND(+E2234+G2234,4)</f>
        <v>0</v>
      </c>
      <c r="I2234" s="67"/>
      <c r="J2234" s="67">
        <f>ROUND(+I2234-H2234,4)</f>
        <v>0</v>
      </c>
      <c r="K2234" s="67">
        <f>ROUND(IF(F2234="alluminio",0,I2234*1.5%),4)</f>
        <v>0</v>
      </c>
      <c r="L2234" s="67">
        <f>ROUND(IF(K2234&lt;J2234,K2234,0),4)</f>
        <v>0</v>
      </c>
      <c r="M2234" s="67">
        <f>ROUND(IF(J2234&gt;K2234,0,J2234),4)</f>
        <v>0</v>
      </c>
      <c r="N2234" s="67">
        <f>ROUND(+L2234*D2234,4)</f>
        <v>0</v>
      </c>
      <c r="O2234" s="67">
        <f>ROUND(IF(F2234="rame",0,+I2234*3%),4)</f>
        <v>0</v>
      </c>
      <c r="P2234" s="67">
        <f>ROUND(IF(O2234&lt;J2234,O2234,0),4)</f>
        <v>0</v>
      </c>
      <c r="Q2234" s="67">
        <f>ROUND(IF(J2234&gt;O2234,0,J2234),4)</f>
        <v>0</v>
      </c>
      <c r="R2234" s="67">
        <f>ROUND(+P2234*D2234,4)</f>
        <v>0</v>
      </c>
      <c r="S2234" s="67">
        <f>ROUND(IF(K2234=0,0,M2234*D2234),4)</f>
        <v>0</v>
      </c>
      <c r="T2234" s="67">
        <f>ROUND(+IF(K2234=0,Q2234*D2234,0),4)</f>
        <v>0</v>
      </c>
      <c r="U2234" s="67">
        <f>ROUND(+N2234+R2234+S2234+T2234,4)</f>
        <v>0</v>
      </c>
      <c r="V2234" s="67">
        <f>ROUND(IF(P2234=0,0,I2234-H2234-O2234)+IF(L2234=0,0,I2234-H2234-K2234),4)</f>
        <v>0</v>
      </c>
      <c r="W2234" s="67">
        <f>ROUND(+(V2234*60%)*D2234,4)</f>
        <v>0</v>
      </c>
      <c r="X2234" s="148">
        <f>ROUND(+U2234+W2234,4)</f>
        <v>0</v>
      </c>
      <c r="Y2234" s="68"/>
      <c r="Z2234" s="148">
        <f>ROUND(IF(X2234&gt;I2234,X2234,I2234),4)</f>
        <v>0</v>
      </c>
      <c r="AD2234" s="78">
        <f t="shared" si="46"/>
        <v>0</v>
      </c>
      <c r="AE2234" s="78">
        <f t="shared" si="47"/>
        <v>0</v>
      </c>
    </row>
    <row r="2235" spans="1:31" x14ac:dyDescent="0.2">
      <c r="A2235" s="66"/>
      <c r="B2235" s="66"/>
      <c r="C2235" s="66"/>
      <c r="D2235" s="144"/>
      <c r="E2235" s="67"/>
      <c r="F2235" s="67"/>
      <c r="G2235" s="67"/>
      <c r="H2235" s="67">
        <f>ROUND(+E2235+G2235,4)</f>
        <v>0</v>
      </c>
      <c r="I2235" s="67"/>
      <c r="J2235" s="67">
        <f>ROUND(+I2235-H2235,4)</f>
        <v>0</v>
      </c>
      <c r="K2235" s="67">
        <f>ROUND(IF(F2235="alluminio",0,I2235*1.5%),4)</f>
        <v>0</v>
      </c>
      <c r="L2235" s="67">
        <f>ROUND(IF(K2235&lt;J2235,K2235,0),4)</f>
        <v>0</v>
      </c>
      <c r="M2235" s="67">
        <f>ROUND(IF(J2235&gt;K2235,0,J2235),4)</f>
        <v>0</v>
      </c>
      <c r="N2235" s="67">
        <f>ROUND(+L2235*D2235,4)</f>
        <v>0</v>
      </c>
      <c r="O2235" s="67">
        <f>ROUND(IF(F2235="rame",0,+I2235*3%),4)</f>
        <v>0</v>
      </c>
      <c r="P2235" s="67">
        <f>ROUND(IF(O2235&lt;J2235,O2235,0),4)</f>
        <v>0</v>
      </c>
      <c r="Q2235" s="67">
        <f>ROUND(IF(J2235&gt;O2235,0,J2235),4)</f>
        <v>0</v>
      </c>
      <c r="R2235" s="67">
        <f>ROUND(+P2235*D2235,4)</f>
        <v>0</v>
      </c>
      <c r="S2235" s="67">
        <f>ROUND(IF(K2235=0,0,M2235*D2235),4)</f>
        <v>0</v>
      </c>
      <c r="T2235" s="67">
        <f>ROUND(+IF(K2235=0,Q2235*D2235,0),4)</f>
        <v>0</v>
      </c>
      <c r="U2235" s="67">
        <f>ROUND(+N2235+R2235+S2235+T2235,4)</f>
        <v>0</v>
      </c>
      <c r="V2235" s="67">
        <f>ROUND(IF(P2235=0,0,I2235-H2235-O2235)+IF(L2235=0,0,I2235-H2235-K2235),4)</f>
        <v>0</v>
      </c>
      <c r="W2235" s="67">
        <f>ROUND(+(V2235*60%)*D2235,4)</f>
        <v>0</v>
      </c>
      <c r="X2235" s="148">
        <f>ROUND(+U2235+W2235,4)</f>
        <v>0</v>
      </c>
      <c r="Y2235" s="68"/>
      <c r="Z2235" s="148">
        <f>ROUND(IF(X2235&gt;I2235,X2235,I2235),4)</f>
        <v>0</v>
      </c>
      <c r="AD2235" s="78">
        <f t="shared" si="46"/>
        <v>0</v>
      </c>
      <c r="AE2235" s="78">
        <f t="shared" si="47"/>
        <v>0</v>
      </c>
    </row>
    <row r="2236" spans="1:31" x14ac:dyDescent="0.2">
      <c r="A2236" s="66"/>
      <c r="B2236" s="66"/>
      <c r="C2236" s="66"/>
      <c r="D2236" s="144"/>
      <c r="E2236" s="67"/>
      <c r="F2236" s="67"/>
      <c r="G2236" s="67"/>
      <c r="H2236" s="67">
        <f>ROUND(+E2236+G2236,4)</f>
        <v>0</v>
      </c>
      <c r="I2236" s="67"/>
      <c r="J2236" s="67">
        <f>ROUND(+I2236-H2236,4)</f>
        <v>0</v>
      </c>
      <c r="K2236" s="67">
        <f>ROUND(IF(F2236="alluminio",0,I2236*1.5%),4)</f>
        <v>0</v>
      </c>
      <c r="L2236" s="67">
        <f>ROUND(IF(K2236&lt;J2236,K2236,0),4)</f>
        <v>0</v>
      </c>
      <c r="M2236" s="67">
        <f>ROUND(IF(J2236&gt;K2236,0,J2236),4)</f>
        <v>0</v>
      </c>
      <c r="N2236" s="67">
        <f>ROUND(+L2236*D2236,4)</f>
        <v>0</v>
      </c>
      <c r="O2236" s="67">
        <f>ROUND(IF(F2236="rame",0,+I2236*3%),4)</f>
        <v>0</v>
      </c>
      <c r="P2236" s="67">
        <f>ROUND(IF(O2236&lt;J2236,O2236,0),4)</f>
        <v>0</v>
      </c>
      <c r="Q2236" s="67">
        <f>ROUND(IF(J2236&gt;O2236,0,J2236),4)</f>
        <v>0</v>
      </c>
      <c r="R2236" s="67">
        <f>ROUND(+P2236*D2236,4)</f>
        <v>0</v>
      </c>
      <c r="S2236" s="67">
        <f>ROUND(IF(K2236=0,0,M2236*D2236),4)</f>
        <v>0</v>
      </c>
      <c r="T2236" s="67">
        <f>ROUND(+IF(K2236=0,Q2236*D2236,0),4)</f>
        <v>0</v>
      </c>
      <c r="U2236" s="67">
        <f>ROUND(+N2236+R2236+S2236+T2236,4)</f>
        <v>0</v>
      </c>
      <c r="V2236" s="67">
        <f>ROUND(IF(P2236=0,0,I2236-H2236-O2236)+IF(L2236=0,0,I2236-H2236-K2236),4)</f>
        <v>0</v>
      </c>
      <c r="W2236" s="67">
        <f>ROUND(+(V2236*60%)*D2236,4)</f>
        <v>0</v>
      </c>
      <c r="X2236" s="148">
        <f>ROUND(+U2236+W2236,4)</f>
        <v>0</v>
      </c>
      <c r="Y2236" s="68"/>
      <c r="Z2236" s="148">
        <f>ROUND(IF(X2236&gt;I2236,X2236,I2236),4)</f>
        <v>0</v>
      </c>
      <c r="AD2236" s="78">
        <f t="shared" si="46"/>
        <v>0</v>
      </c>
      <c r="AE2236" s="78">
        <f t="shared" si="47"/>
        <v>0</v>
      </c>
    </row>
    <row r="2237" spans="1:31" x14ac:dyDescent="0.2">
      <c r="A2237" s="66"/>
      <c r="B2237" s="66"/>
      <c r="C2237" s="66"/>
      <c r="D2237" s="144"/>
      <c r="E2237" s="67"/>
      <c r="F2237" s="67"/>
      <c r="G2237" s="67"/>
      <c r="H2237" s="67">
        <f>ROUND(+E2237+G2237,4)</f>
        <v>0</v>
      </c>
      <c r="I2237" s="67"/>
      <c r="J2237" s="67">
        <f>ROUND(+I2237-H2237,4)</f>
        <v>0</v>
      </c>
      <c r="K2237" s="67">
        <f>ROUND(IF(F2237="alluminio",0,I2237*1.5%),4)</f>
        <v>0</v>
      </c>
      <c r="L2237" s="67">
        <f>ROUND(IF(K2237&lt;J2237,K2237,0),4)</f>
        <v>0</v>
      </c>
      <c r="M2237" s="67">
        <f>ROUND(IF(J2237&gt;K2237,0,J2237),4)</f>
        <v>0</v>
      </c>
      <c r="N2237" s="67">
        <f>ROUND(+L2237*D2237,4)</f>
        <v>0</v>
      </c>
      <c r="O2237" s="67">
        <f>ROUND(IF(F2237="rame",0,+I2237*3%),4)</f>
        <v>0</v>
      </c>
      <c r="P2237" s="67">
        <f>ROUND(IF(O2237&lt;J2237,O2237,0),4)</f>
        <v>0</v>
      </c>
      <c r="Q2237" s="67">
        <f>ROUND(IF(J2237&gt;O2237,0,J2237),4)</f>
        <v>0</v>
      </c>
      <c r="R2237" s="67">
        <f>ROUND(+P2237*D2237,4)</f>
        <v>0</v>
      </c>
      <c r="S2237" s="67">
        <f>ROUND(IF(K2237=0,0,M2237*D2237),4)</f>
        <v>0</v>
      </c>
      <c r="T2237" s="67">
        <f>ROUND(+IF(K2237=0,Q2237*D2237,0),4)</f>
        <v>0</v>
      </c>
      <c r="U2237" s="67">
        <f>ROUND(+N2237+R2237+S2237+T2237,4)</f>
        <v>0</v>
      </c>
      <c r="V2237" s="67">
        <f>ROUND(IF(P2237=0,0,I2237-H2237-O2237)+IF(L2237=0,0,I2237-H2237-K2237),4)</f>
        <v>0</v>
      </c>
      <c r="W2237" s="67">
        <f>ROUND(+(V2237*60%)*D2237,4)</f>
        <v>0</v>
      </c>
      <c r="X2237" s="148">
        <f>ROUND(+U2237+W2237,4)</f>
        <v>0</v>
      </c>
      <c r="Y2237" s="68"/>
      <c r="Z2237" s="148">
        <f>ROUND(IF(X2237&gt;I2237,X2237,I2237),4)</f>
        <v>0</v>
      </c>
      <c r="AD2237" s="78">
        <f t="shared" si="46"/>
        <v>0</v>
      </c>
      <c r="AE2237" s="78">
        <f t="shared" si="47"/>
        <v>0</v>
      </c>
    </row>
    <row r="2238" spans="1:31" x14ac:dyDescent="0.2">
      <c r="A2238" s="66"/>
      <c r="B2238" s="66"/>
      <c r="C2238" s="66"/>
      <c r="D2238" s="144"/>
      <c r="E2238" s="67"/>
      <c r="F2238" s="67"/>
      <c r="G2238" s="67"/>
      <c r="H2238" s="67">
        <f>ROUND(+E2238+G2238,4)</f>
        <v>0</v>
      </c>
      <c r="I2238" s="67"/>
      <c r="J2238" s="67">
        <f>ROUND(+I2238-H2238,4)</f>
        <v>0</v>
      </c>
      <c r="K2238" s="67">
        <f>ROUND(IF(F2238="alluminio",0,I2238*1.5%),4)</f>
        <v>0</v>
      </c>
      <c r="L2238" s="67">
        <f>ROUND(IF(K2238&lt;J2238,K2238,0),4)</f>
        <v>0</v>
      </c>
      <c r="M2238" s="67">
        <f>ROUND(IF(J2238&gt;K2238,0,J2238),4)</f>
        <v>0</v>
      </c>
      <c r="N2238" s="67">
        <f>ROUND(+L2238*D2238,4)</f>
        <v>0</v>
      </c>
      <c r="O2238" s="67">
        <f>ROUND(IF(F2238="rame",0,+I2238*3%),4)</f>
        <v>0</v>
      </c>
      <c r="P2238" s="67">
        <f>ROUND(IF(O2238&lt;J2238,O2238,0),4)</f>
        <v>0</v>
      </c>
      <c r="Q2238" s="67">
        <f>ROUND(IF(J2238&gt;O2238,0,J2238),4)</f>
        <v>0</v>
      </c>
      <c r="R2238" s="67">
        <f>ROUND(+P2238*D2238,4)</f>
        <v>0</v>
      </c>
      <c r="S2238" s="67">
        <f>ROUND(IF(K2238=0,0,M2238*D2238),4)</f>
        <v>0</v>
      </c>
      <c r="T2238" s="67">
        <f>ROUND(+IF(K2238=0,Q2238*D2238,0),4)</f>
        <v>0</v>
      </c>
      <c r="U2238" s="67">
        <f>ROUND(+N2238+R2238+S2238+T2238,4)</f>
        <v>0</v>
      </c>
      <c r="V2238" s="67">
        <f>ROUND(IF(P2238=0,0,I2238-H2238-O2238)+IF(L2238=0,0,I2238-H2238-K2238),4)</f>
        <v>0</v>
      </c>
      <c r="W2238" s="67">
        <f>ROUND(+(V2238*60%)*D2238,4)</f>
        <v>0</v>
      </c>
      <c r="X2238" s="148">
        <f>ROUND(+U2238+W2238,4)</f>
        <v>0</v>
      </c>
      <c r="Y2238" s="68"/>
      <c r="Z2238" s="148">
        <f>ROUND(IF(X2238&gt;I2238,X2238,I2238),4)</f>
        <v>0</v>
      </c>
      <c r="AD2238" s="78">
        <f t="shared" ref="AD2238:AD2301" si="48">IF(Y2238="",0,MONTH(Y2238))</f>
        <v>0</v>
      </c>
      <c r="AE2238" s="78">
        <f t="shared" ref="AE2238:AE2301" si="49">IF(Y2238="",0,YEAR(Y2238))</f>
        <v>0</v>
      </c>
    </row>
    <row r="2239" spans="1:31" x14ac:dyDescent="0.2">
      <c r="A2239" s="66"/>
      <c r="B2239" s="66"/>
      <c r="C2239" s="66"/>
      <c r="D2239" s="144"/>
      <c r="E2239" s="67"/>
      <c r="F2239" s="67"/>
      <c r="G2239" s="67"/>
      <c r="H2239" s="67">
        <f>ROUND(+E2239+G2239,4)</f>
        <v>0</v>
      </c>
      <c r="I2239" s="67"/>
      <c r="J2239" s="67">
        <f>ROUND(+I2239-H2239,4)</f>
        <v>0</v>
      </c>
      <c r="K2239" s="67">
        <f>ROUND(IF(F2239="alluminio",0,I2239*1.5%),4)</f>
        <v>0</v>
      </c>
      <c r="L2239" s="67">
        <f>ROUND(IF(K2239&lt;J2239,K2239,0),4)</f>
        <v>0</v>
      </c>
      <c r="M2239" s="67">
        <f>ROUND(IF(J2239&gt;K2239,0,J2239),4)</f>
        <v>0</v>
      </c>
      <c r="N2239" s="67">
        <f>ROUND(+L2239*D2239,4)</f>
        <v>0</v>
      </c>
      <c r="O2239" s="67">
        <f>ROUND(IF(F2239="rame",0,+I2239*3%),4)</f>
        <v>0</v>
      </c>
      <c r="P2239" s="67">
        <f>ROUND(IF(O2239&lt;J2239,O2239,0),4)</f>
        <v>0</v>
      </c>
      <c r="Q2239" s="67">
        <f>ROUND(IF(J2239&gt;O2239,0,J2239),4)</f>
        <v>0</v>
      </c>
      <c r="R2239" s="67">
        <f>ROUND(+P2239*D2239,4)</f>
        <v>0</v>
      </c>
      <c r="S2239" s="67">
        <f>ROUND(IF(K2239=0,0,M2239*D2239),4)</f>
        <v>0</v>
      </c>
      <c r="T2239" s="67">
        <f>ROUND(+IF(K2239=0,Q2239*D2239,0),4)</f>
        <v>0</v>
      </c>
      <c r="U2239" s="67">
        <f>ROUND(+N2239+R2239+S2239+T2239,4)</f>
        <v>0</v>
      </c>
      <c r="V2239" s="67">
        <f>ROUND(IF(P2239=0,0,I2239-H2239-O2239)+IF(L2239=0,0,I2239-H2239-K2239),4)</f>
        <v>0</v>
      </c>
      <c r="W2239" s="67">
        <f>ROUND(+(V2239*60%)*D2239,4)</f>
        <v>0</v>
      </c>
      <c r="X2239" s="148">
        <f>ROUND(+U2239+W2239,4)</f>
        <v>0</v>
      </c>
      <c r="Y2239" s="68"/>
      <c r="Z2239" s="148">
        <f>ROUND(IF(X2239&gt;I2239,X2239,I2239),4)</f>
        <v>0</v>
      </c>
      <c r="AD2239" s="78">
        <f t="shared" si="48"/>
        <v>0</v>
      </c>
      <c r="AE2239" s="78">
        <f t="shared" si="49"/>
        <v>0</v>
      </c>
    </row>
    <row r="2240" spans="1:31" x14ac:dyDescent="0.2">
      <c r="A2240" s="66"/>
      <c r="B2240" s="66"/>
      <c r="C2240" s="66"/>
      <c r="D2240" s="144"/>
      <c r="E2240" s="67"/>
      <c r="F2240" s="67"/>
      <c r="G2240" s="67"/>
      <c r="H2240" s="67">
        <f>ROUND(+E2240+G2240,4)</f>
        <v>0</v>
      </c>
      <c r="I2240" s="67"/>
      <c r="J2240" s="67">
        <f>ROUND(+I2240-H2240,4)</f>
        <v>0</v>
      </c>
      <c r="K2240" s="67">
        <f>ROUND(IF(F2240="alluminio",0,I2240*1.5%),4)</f>
        <v>0</v>
      </c>
      <c r="L2240" s="67">
        <f>ROUND(IF(K2240&lt;J2240,K2240,0),4)</f>
        <v>0</v>
      </c>
      <c r="M2240" s="67">
        <f>ROUND(IF(J2240&gt;K2240,0,J2240),4)</f>
        <v>0</v>
      </c>
      <c r="N2240" s="67">
        <f>ROUND(+L2240*D2240,4)</f>
        <v>0</v>
      </c>
      <c r="O2240" s="67">
        <f>ROUND(IF(F2240="rame",0,+I2240*3%),4)</f>
        <v>0</v>
      </c>
      <c r="P2240" s="67">
        <f>ROUND(IF(O2240&lt;J2240,O2240,0),4)</f>
        <v>0</v>
      </c>
      <c r="Q2240" s="67">
        <f>ROUND(IF(J2240&gt;O2240,0,J2240),4)</f>
        <v>0</v>
      </c>
      <c r="R2240" s="67">
        <f>ROUND(+P2240*D2240,4)</f>
        <v>0</v>
      </c>
      <c r="S2240" s="67">
        <f>ROUND(IF(K2240=0,0,M2240*D2240),4)</f>
        <v>0</v>
      </c>
      <c r="T2240" s="67">
        <f>ROUND(+IF(K2240=0,Q2240*D2240,0),4)</f>
        <v>0</v>
      </c>
      <c r="U2240" s="67">
        <f>ROUND(+N2240+R2240+S2240+T2240,4)</f>
        <v>0</v>
      </c>
      <c r="V2240" s="67">
        <f>ROUND(IF(P2240=0,0,I2240-H2240-O2240)+IF(L2240=0,0,I2240-H2240-K2240),4)</f>
        <v>0</v>
      </c>
      <c r="W2240" s="67">
        <f>ROUND(+(V2240*60%)*D2240,4)</f>
        <v>0</v>
      </c>
      <c r="X2240" s="148">
        <f>ROUND(+U2240+W2240,4)</f>
        <v>0</v>
      </c>
      <c r="Y2240" s="68"/>
      <c r="Z2240" s="148">
        <f>ROUND(IF(X2240&gt;I2240,X2240,I2240),4)</f>
        <v>0</v>
      </c>
      <c r="AD2240" s="78">
        <f t="shared" si="48"/>
        <v>0</v>
      </c>
      <c r="AE2240" s="78">
        <f t="shared" si="49"/>
        <v>0</v>
      </c>
    </row>
    <row r="2241" spans="1:31" x14ac:dyDescent="0.2">
      <c r="A2241" s="66"/>
      <c r="B2241" s="66"/>
      <c r="C2241" s="66"/>
      <c r="D2241" s="144"/>
      <c r="E2241" s="67"/>
      <c r="F2241" s="67"/>
      <c r="G2241" s="67"/>
      <c r="H2241" s="67">
        <f>ROUND(+E2241+G2241,4)</f>
        <v>0</v>
      </c>
      <c r="I2241" s="67"/>
      <c r="J2241" s="67">
        <f>ROUND(+I2241-H2241,4)</f>
        <v>0</v>
      </c>
      <c r="K2241" s="67">
        <f>ROUND(IF(F2241="alluminio",0,I2241*1.5%),4)</f>
        <v>0</v>
      </c>
      <c r="L2241" s="67">
        <f>ROUND(IF(K2241&lt;J2241,K2241,0),4)</f>
        <v>0</v>
      </c>
      <c r="M2241" s="67">
        <f>ROUND(IF(J2241&gt;K2241,0,J2241),4)</f>
        <v>0</v>
      </c>
      <c r="N2241" s="67">
        <f>ROUND(+L2241*D2241,4)</f>
        <v>0</v>
      </c>
      <c r="O2241" s="67">
        <f>ROUND(IF(F2241="rame",0,+I2241*3%),4)</f>
        <v>0</v>
      </c>
      <c r="P2241" s="67">
        <f>ROUND(IF(O2241&lt;J2241,O2241,0),4)</f>
        <v>0</v>
      </c>
      <c r="Q2241" s="67">
        <f>ROUND(IF(J2241&gt;O2241,0,J2241),4)</f>
        <v>0</v>
      </c>
      <c r="R2241" s="67">
        <f>ROUND(+P2241*D2241,4)</f>
        <v>0</v>
      </c>
      <c r="S2241" s="67">
        <f>ROUND(IF(K2241=0,0,M2241*D2241),4)</f>
        <v>0</v>
      </c>
      <c r="T2241" s="67">
        <f>ROUND(+IF(K2241=0,Q2241*D2241,0),4)</f>
        <v>0</v>
      </c>
      <c r="U2241" s="67">
        <f>ROUND(+N2241+R2241+S2241+T2241,4)</f>
        <v>0</v>
      </c>
      <c r="V2241" s="67">
        <f>ROUND(IF(P2241=0,0,I2241-H2241-O2241)+IF(L2241=0,0,I2241-H2241-K2241),4)</f>
        <v>0</v>
      </c>
      <c r="W2241" s="67">
        <f>ROUND(+(V2241*60%)*D2241,4)</f>
        <v>0</v>
      </c>
      <c r="X2241" s="148">
        <f>ROUND(+U2241+W2241,4)</f>
        <v>0</v>
      </c>
      <c r="Y2241" s="68"/>
      <c r="Z2241" s="148">
        <f>ROUND(IF(X2241&gt;I2241,X2241,I2241),4)</f>
        <v>0</v>
      </c>
      <c r="AD2241" s="78">
        <f t="shared" si="48"/>
        <v>0</v>
      </c>
      <c r="AE2241" s="78">
        <f t="shared" si="49"/>
        <v>0</v>
      </c>
    </row>
    <row r="2242" spans="1:31" x14ac:dyDescent="0.2">
      <c r="A2242" s="66"/>
      <c r="B2242" s="66"/>
      <c r="C2242" s="66"/>
      <c r="D2242" s="144"/>
      <c r="E2242" s="67"/>
      <c r="F2242" s="67"/>
      <c r="G2242" s="67"/>
      <c r="H2242" s="67">
        <f>ROUND(+E2242+G2242,4)</f>
        <v>0</v>
      </c>
      <c r="I2242" s="67"/>
      <c r="J2242" s="67">
        <f>ROUND(+I2242-H2242,4)</f>
        <v>0</v>
      </c>
      <c r="K2242" s="67">
        <f>ROUND(IF(F2242="alluminio",0,I2242*1.5%),4)</f>
        <v>0</v>
      </c>
      <c r="L2242" s="67">
        <f>ROUND(IF(K2242&lt;J2242,K2242,0),4)</f>
        <v>0</v>
      </c>
      <c r="M2242" s="67">
        <f>ROUND(IF(J2242&gt;K2242,0,J2242),4)</f>
        <v>0</v>
      </c>
      <c r="N2242" s="67">
        <f>ROUND(+L2242*D2242,4)</f>
        <v>0</v>
      </c>
      <c r="O2242" s="67">
        <f>ROUND(IF(F2242="rame",0,+I2242*3%),4)</f>
        <v>0</v>
      </c>
      <c r="P2242" s="67">
        <f>ROUND(IF(O2242&lt;J2242,O2242,0),4)</f>
        <v>0</v>
      </c>
      <c r="Q2242" s="67">
        <f>ROUND(IF(J2242&gt;O2242,0,J2242),4)</f>
        <v>0</v>
      </c>
      <c r="R2242" s="67">
        <f>ROUND(+P2242*D2242,4)</f>
        <v>0</v>
      </c>
      <c r="S2242" s="67">
        <f>ROUND(IF(K2242=0,0,M2242*D2242),4)</f>
        <v>0</v>
      </c>
      <c r="T2242" s="67">
        <f>ROUND(+IF(K2242=0,Q2242*D2242,0),4)</f>
        <v>0</v>
      </c>
      <c r="U2242" s="67">
        <f>ROUND(+N2242+R2242+S2242+T2242,4)</f>
        <v>0</v>
      </c>
      <c r="V2242" s="67">
        <f>ROUND(IF(P2242=0,0,I2242-H2242-O2242)+IF(L2242=0,0,I2242-H2242-K2242),4)</f>
        <v>0</v>
      </c>
      <c r="W2242" s="67">
        <f>ROUND(+(V2242*60%)*D2242,4)</f>
        <v>0</v>
      </c>
      <c r="X2242" s="148">
        <f>ROUND(+U2242+W2242,4)</f>
        <v>0</v>
      </c>
      <c r="Y2242" s="68"/>
      <c r="Z2242" s="148">
        <f>ROUND(IF(X2242&gt;I2242,X2242,I2242),4)</f>
        <v>0</v>
      </c>
      <c r="AD2242" s="78">
        <f t="shared" si="48"/>
        <v>0</v>
      </c>
      <c r="AE2242" s="78">
        <f t="shared" si="49"/>
        <v>0</v>
      </c>
    </row>
    <row r="2243" spans="1:31" x14ac:dyDescent="0.2">
      <c r="A2243" s="66"/>
      <c r="B2243" s="66"/>
      <c r="C2243" s="66"/>
      <c r="D2243" s="144"/>
      <c r="E2243" s="67"/>
      <c r="F2243" s="67"/>
      <c r="G2243" s="67"/>
      <c r="H2243" s="67">
        <f>ROUND(+E2243+G2243,4)</f>
        <v>0</v>
      </c>
      <c r="I2243" s="67"/>
      <c r="J2243" s="67">
        <f>ROUND(+I2243-H2243,4)</f>
        <v>0</v>
      </c>
      <c r="K2243" s="67">
        <f>ROUND(IF(F2243="alluminio",0,I2243*1.5%),4)</f>
        <v>0</v>
      </c>
      <c r="L2243" s="67">
        <f>ROUND(IF(K2243&lt;J2243,K2243,0),4)</f>
        <v>0</v>
      </c>
      <c r="M2243" s="67">
        <f>ROUND(IF(J2243&gt;K2243,0,J2243),4)</f>
        <v>0</v>
      </c>
      <c r="N2243" s="67">
        <f>ROUND(+L2243*D2243,4)</f>
        <v>0</v>
      </c>
      <c r="O2243" s="67">
        <f>ROUND(IF(F2243="rame",0,+I2243*3%),4)</f>
        <v>0</v>
      </c>
      <c r="P2243" s="67">
        <f>ROUND(IF(O2243&lt;J2243,O2243,0),4)</f>
        <v>0</v>
      </c>
      <c r="Q2243" s="67">
        <f>ROUND(IF(J2243&gt;O2243,0,J2243),4)</f>
        <v>0</v>
      </c>
      <c r="R2243" s="67">
        <f>ROUND(+P2243*D2243,4)</f>
        <v>0</v>
      </c>
      <c r="S2243" s="67">
        <f>ROUND(IF(K2243=0,0,M2243*D2243),4)</f>
        <v>0</v>
      </c>
      <c r="T2243" s="67">
        <f>ROUND(+IF(K2243=0,Q2243*D2243,0),4)</f>
        <v>0</v>
      </c>
      <c r="U2243" s="67">
        <f>ROUND(+N2243+R2243+S2243+T2243,4)</f>
        <v>0</v>
      </c>
      <c r="V2243" s="67">
        <f>ROUND(IF(P2243=0,0,I2243-H2243-O2243)+IF(L2243=0,0,I2243-H2243-K2243),4)</f>
        <v>0</v>
      </c>
      <c r="W2243" s="67">
        <f>ROUND(+(V2243*60%)*D2243,4)</f>
        <v>0</v>
      </c>
      <c r="X2243" s="148">
        <f>ROUND(+U2243+W2243,4)</f>
        <v>0</v>
      </c>
      <c r="Y2243" s="68"/>
      <c r="Z2243" s="148">
        <f>ROUND(IF(X2243&gt;I2243,X2243,I2243),4)</f>
        <v>0</v>
      </c>
      <c r="AD2243" s="78">
        <f t="shared" si="48"/>
        <v>0</v>
      </c>
      <c r="AE2243" s="78">
        <f t="shared" si="49"/>
        <v>0</v>
      </c>
    </row>
    <row r="2244" spans="1:31" x14ac:dyDescent="0.2">
      <c r="A2244" s="66"/>
      <c r="B2244" s="66"/>
      <c r="C2244" s="66"/>
      <c r="D2244" s="144"/>
      <c r="E2244" s="67"/>
      <c r="F2244" s="67"/>
      <c r="G2244" s="67"/>
      <c r="H2244" s="67">
        <f>ROUND(+E2244+G2244,4)</f>
        <v>0</v>
      </c>
      <c r="I2244" s="67"/>
      <c r="J2244" s="67">
        <f>ROUND(+I2244-H2244,4)</f>
        <v>0</v>
      </c>
      <c r="K2244" s="67">
        <f>ROUND(IF(F2244="alluminio",0,I2244*1.5%),4)</f>
        <v>0</v>
      </c>
      <c r="L2244" s="67">
        <f>ROUND(IF(K2244&lt;J2244,K2244,0),4)</f>
        <v>0</v>
      </c>
      <c r="M2244" s="67">
        <f>ROUND(IF(J2244&gt;K2244,0,J2244),4)</f>
        <v>0</v>
      </c>
      <c r="N2244" s="67">
        <f>ROUND(+L2244*D2244,4)</f>
        <v>0</v>
      </c>
      <c r="O2244" s="67">
        <f>ROUND(IF(F2244="rame",0,+I2244*3%),4)</f>
        <v>0</v>
      </c>
      <c r="P2244" s="67">
        <f>ROUND(IF(O2244&lt;J2244,O2244,0),4)</f>
        <v>0</v>
      </c>
      <c r="Q2244" s="67">
        <f>ROUND(IF(J2244&gt;O2244,0,J2244),4)</f>
        <v>0</v>
      </c>
      <c r="R2244" s="67">
        <f>ROUND(+P2244*D2244,4)</f>
        <v>0</v>
      </c>
      <c r="S2244" s="67">
        <f>ROUND(IF(K2244=0,0,M2244*D2244),4)</f>
        <v>0</v>
      </c>
      <c r="T2244" s="67">
        <f>ROUND(+IF(K2244=0,Q2244*D2244,0),4)</f>
        <v>0</v>
      </c>
      <c r="U2244" s="67">
        <f>ROUND(+N2244+R2244+S2244+T2244,4)</f>
        <v>0</v>
      </c>
      <c r="V2244" s="67">
        <f>ROUND(IF(P2244=0,0,I2244-H2244-O2244)+IF(L2244=0,0,I2244-H2244-K2244),4)</f>
        <v>0</v>
      </c>
      <c r="W2244" s="67">
        <f>ROUND(+(V2244*60%)*D2244,4)</f>
        <v>0</v>
      </c>
      <c r="X2244" s="148">
        <f>ROUND(+U2244+W2244,4)</f>
        <v>0</v>
      </c>
      <c r="Y2244" s="68"/>
      <c r="Z2244" s="148">
        <f>ROUND(IF(X2244&gt;I2244,X2244,I2244),4)</f>
        <v>0</v>
      </c>
      <c r="AD2244" s="78">
        <f t="shared" si="48"/>
        <v>0</v>
      </c>
      <c r="AE2244" s="78">
        <f t="shared" si="49"/>
        <v>0</v>
      </c>
    </row>
    <row r="2245" spans="1:31" x14ac:dyDescent="0.2">
      <c r="A2245" s="66"/>
      <c r="B2245" s="66"/>
      <c r="C2245" s="66"/>
      <c r="D2245" s="144"/>
      <c r="E2245" s="67"/>
      <c r="F2245" s="67"/>
      <c r="G2245" s="67"/>
      <c r="H2245" s="67">
        <f>ROUND(+E2245+G2245,4)</f>
        <v>0</v>
      </c>
      <c r="I2245" s="67"/>
      <c r="J2245" s="67">
        <f>ROUND(+I2245-H2245,4)</f>
        <v>0</v>
      </c>
      <c r="K2245" s="67">
        <f>ROUND(IF(F2245="alluminio",0,I2245*1.5%),4)</f>
        <v>0</v>
      </c>
      <c r="L2245" s="67">
        <f>ROUND(IF(K2245&lt;J2245,K2245,0),4)</f>
        <v>0</v>
      </c>
      <c r="M2245" s="67">
        <f>ROUND(IF(J2245&gt;K2245,0,J2245),4)</f>
        <v>0</v>
      </c>
      <c r="N2245" s="67">
        <f>ROUND(+L2245*D2245,4)</f>
        <v>0</v>
      </c>
      <c r="O2245" s="67">
        <f>ROUND(IF(F2245="rame",0,+I2245*3%),4)</f>
        <v>0</v>
      </c>
      <c r="P2245" s="67">
        <f>ROUND(IF(O2245&lt;J2245,O2245,0),4)</f>
        <v>0</v>
      </c>
      <c r="Q2245" s="67">
        <f>ROUND(IF(J2245&gt;O2245,0,J2245),4)</f>
        <v>0</v>
      </c>
      <c r="R2245" s="67">
        <f>ROUND(+P2245*D2245,4)</f>
        <v>0</v>
      </c>
      <c r="S2245" s="67">
        <f>ROUND(IF(K2245=0,0,M2245*D2245),4)</f>
        <v>0</v>
      </c>
      <c r="T2245" s="67">
        <f>ROUND(+IF(K2245=0,Q2245*D2245,0),4)</f>
        <v>0</v>
      </c>
      <c r="U2245" s="67">
        <f>ROUND(+N2245+R2245+S2245+T2245,4)</f>
        <v>0</v>
      </c>
      <c r="V2245" s="67">
        <f>ROUND(IF(P2245=0,0,I2245-H2245-O2245)+IF(L2245=0,0,I2245-H2245-K2245),4)</f>
        <v>0</v>
      </c>
      <c r="W2245" s="67">
        <f>ROUND(+(V2245*60%)*D2245,4)</f>
        <v>0</v>
      </c>
      <c r="X2245" s="148">
        <f>ROUND(+U2245+W2245,4)</f>
        <v>0</v>
      </c>
      <c r="Y2245" s="68"/>
      <c r="Z2245" s="148">
        <f>ROUND(IF(X2245&gt;I2245,X2245,I2245),4)</f>
        <v>0</v>
      </c>
      <c r="AD2245" s="78">
        <f t="shared" si="48"/>
        <v>0</v>
      </c>
      <c r="AE2245" s="78">
        <f t="shared" si="49"/>
        <v>0</v>
      </c>
    </row>
    <row r="2246" spans="1:31" x14ac:dyDescent="0.2">
      <c r="A2246" s="66"/>
      <c r="B2246" s="66"/>
      <c r="C2246" s="66"/>
      <c r="D2246" s="144"/>
      <c r="E2246" s="67"/>
      <c r="F2246" s="67"/>
      <c r="G2246" s="67"/>
      <c r="H2246" s="67">
        <f>ROUND(+E2246+G2246,4)</f>
        <v>0</v>
      </c>
      <c r="I2246" s="67"/>
      <c r="J2246" s="67">
        <f>ROUND(+I2246-H2246,4)</f>
        <v>0</v>
      </c>
      <c r="K2246" s="67">
        <f>ROUND(IF(F2246="alluminio",0,I2246*1.5%),4)</f>
        <v>0</v>
      </c>
      <c r="L2246" s="67">
        <f>ROUND(IF(K2246&lt;J2246,K2246,0),4)</f>
        <v>0</v>
      </c>
      <c r="M2246" s="67">
        <f>ROUND(IF(J2246&gt;K2246,0,J2246),4)</f>
        <v>0</v>
      </c>
      <c r="N2246" s="67">
        <f>ROUND(+L2246*D2246,4)</f>
        <v>0</v>
      </c>
      <c r="O2246" s="67">
        <f>ROUND(IF(F2246="rame",0,+I2246*3%),4)</f>
        <v>0</v>
      </c>
      <c r="P2246" s="67">
        <f>ROUND(IF(O2246&lt;J2246,O2246,0),4)</f>
        <v>0</v>
      </c>
      <c r="Q2246" s="67">
        <f>ROUND(IF(J2246&gt;O2246,0,J2246),4)</f>
        <v>0</v>
      </c>
      <c r="R2246" s="67">
        <f>ROUND(+P2246*D2246,4)</f>
        <v>0</v>
      </c>
      <c r="S2246" s="67">
        <f>ROUND(IF(K2246=0,0,M2246*D2246),4)</f>
        <v>0</v>
      </c>
      <c r="T2246" s="67">
        <f>ROUND(+IF(K2246=0,Q2246*D2246,0),4)</f>
        <v>0</v>
      </c>
      <c r="U2246" s="67">
        <f>ROUND(+N2246+R2246+S2246+T2246,4)</f>
        <v>0</v>
      </c>
      <c r="V2246" s="67">
        <f>ROUND(IF(P2246=0,0,I2246-H2246-O2246)+IF(L2246=0,0,I2246-H2246-K2246),4)</f>
        <v>0</v>
      </c>
      <c r="W2246" s="67">
        <f>ROUND(+(V2246*60%)*D2246,4)</f>
        <v>0</v>
      </c>
      <c r="X2246" s="148">
        <f>ROUND(+U2246+W2246,4)</f>
        <v>0</v>
      </c>
      <c r="Y2246" s="68"/>
      <c r="Z2246" s="148">
        <f>ROUND(IF(X2246&gt;I2246,X2246,I2246),4)</f>
        <v>0</v>
      </c>
      <c r="AD2246" s="78">
        <f t="shared" si="48"/>
        <v>0</v>
      </c>
      <c r="AE2246" s="78">
        <f t="shared" si="49"/>
        <v>0</v>
      </c>
    </row>
    <row r="2247" spans="1:31" x14ac:dyDescent="0.2">
      <c r="A2247" s="66"/>
      <c r="B2247" s="66"/>
      <c r="C2247" s="66"/>
      <c r="D2247" s="144"/>
      <c r="E2247" s="67"/>
      <c r="F2247" s="67"/>
      <c r="G2247" s="67"/>
      <c r="H2247" s="67">
        <f>ROUND(+E2247+G2247,4)</f>
        <v>0</v>
      </c>
      <c r="I2247" s="67"/>
      <c r="J2247" s="67">
        <f>ROUND(+I2247-H2247,4)</f>
        <v>0</v>
      </c>
      <c r="K2247" s="67">
        <f>ROUND(IF(F2247="alluminio",0,I2247*1.5%),4)</f>
        <v>0</v>
      </c>
      <c r="L2247" s="67">
        <f>ROUND(IF(K2247&lt;J2247,K2247,0),4)</f>
        <v>0</v>
      </c>
      <c r="M2247" s="67">
        <f>ROUND(IF(J2247&gt;K2247,0,J2247),4)</f>
        <v>0</v>
      </c>
      <c r="N2247" s="67">
        <f>ROUND(+L2247*D2247,4)</f>
        <v>0</v>
      </c>
      <c r="O2247" s="67">
        <f>ROUND(IF(F2247="rame",0,+I2247*3%),4)</f>
        <v>0</v>
      </c>
      <c r="P2247" s="67">
        <f>ROUND(IF(O2247&lt;J2247,O2247,0),4)</f>
        <v>0</v>
      </c>
      <c r="Q2247" s="67">
        <f>ROUND(IF(J2247&gt;O2247,0,J2247),4)</f>
        <v>0</v>
      </c>
      <c r="R2247" s="67">
        <f>ROUND(+P2247*D2247,4)</f>
        <v>0</v>
      </c>
      <c r="S2247" s="67">
        <f>ROUND(IF(K2247=0,0,M2247*D2247),4)</f>
        <v>0</v>
      </c>
      <c r="T2247" s="67">
        <f>ROUND(+IF(K2247=0,Q2247*D2247,0),4)</f>
        <v>0</v>
      </c>
      <c r="U2247" s="67">
        <f>ROUND(+N2247+R2247+S2247+T2247,4)</f>
        <v>0</v>
      </c>
      <c r="V2247" s="67">
        <f>ROUND(IF(P2247=0,0,I2247-H2247-O2247)+IF(L2247=0,0,I2247-H2247-K2247),4)</f>
        <v>0</v>
      </c>
      <c r="W2247" s="67">
        <f>ROUND(+(V2247*60%)*D2247,4)</f>
        <v>0</v>
      </c>
      <c r="X2247" s="148">
        <f>ROUND(+U2247+W2247,4)</f>
        <v>0</v>
      </c>
      <c r="Y2247" s="68"/>
      <c r="Z2247" s="148">
        <f>ROUND(IF(X2247&gt;I2247,X2247,I2247),4)</f>
        <v>0</v>
      </c>
      <c r="AD2247" s="78">
        <f t="shared" si="48"/>
        <v>0</v>
      </c>
      <c r="AE2247" s="78">
        <f t="shared" si="49"/>
        <v>0</v>
      </c>
    </row>
    <row r="2248" spans="1:31" x14ac:dyDescent="0.2">
      <c r="A2248" s="66"/>
      <c r="B2248" s="66"/>
      <c r="C2248" s="66"/>
      <c r="D2248" s="144"/>
      <c r="E2248" s="67"/>
      <c r="F2248" s="67"/>
      <c r="G2248" s="67"/>
      <c r="H2248" s="67">
        <f>ROUND(+E2248+G2248,4)</f>
        <v>0</v>
      </c>
      <c r="I2248" s="67"/>
      <c r="J2248" s="67">
        <f>ROUND(+I2248-H2248,4)</f>
        <v>0</v>
      </c>
      <c r="K2248" s="67">
        <f>ROUND(IF(F2248="alluminio",0,I2248*1.5%),4)</f>
        <v>0</v>
      </c>
      <c r="L2248" s="67">
        <f>ROUND(IF(K2248&lt;J2248,K2248,0),4)</f>
        <v>0</v>
      </c>
      <c r="M2248" s="67">
        <f>ROUND(IF(J2248&gt;K2248,0,J2248),4)</f>
        <v>0</v>
      </c>
      <c r="N2248" s="67">
        <f>ROUND(+L2248*D2248,4)</f>
        <v>0</v>
      </c>
      <c r="O2248" s="67">
        <f>ROUND(IF(F2248="rame",0,+I2248*3%),4)</f>
        <v>0</v>
      </c>
      <c r="P2248" s="67">
        <f>ROUND(IF(O2248&lt;J2248,O2248,0),4)</f>
        <v>0</v>
      </c>
      <c r="Q2248" s="67">
        <f>ROUND(IF(J2248&gt;O2248,0,J2248),4)</f>
        <v>0</v>
      </c>
      <c r="R2248" s="67">
        <f>ROUND(+P2248*D2248,4)</f>
        <v>0</v>
      </c>
      <c r="S2248" s="67">
        <f>ROUND(IF(K2248=0,0,M2248*D2248),4)</f>
        <v>0</v>
      </c>
      <c r="T2248" s="67">
        <f>ROUND(+IF(K2248=0,Q2248*D2248,0),4)</f>
        <v>0</v>
      </c>
      <c r="U2248" s="67">
        <f>ROUND(+N2248+R2248+S2248+T2248,4)</f>
        <v>0</v>
      </c>
      <c r="V2248" s="67">
        <f>ROUND(IF(P2248=0,0,I2248-H2248-O2248)+IF(L2248=0,0,I2248-H2248-K2248),4)</f>
        <v>0</v>
      </c>
      <c r="W2248" s="67">
        <f>ROUND(+(V2248*60%)*D2248,4)</f>
        <v>0</v>
      </c>
      <c r="X2248" s="148">
        <f>ROUND(+U2248+W2248,4)</f>
        <v>0</v>
      </c>
      <c r="Y2248" s="68"/>
      <c r="Z2248" s="148">
        <f>ROUND(IF(X2248&gt;I2248,X2248,I2248),4)</f>
        <v>0</v>
      </c>
      <c r="AD2248" s="78">
        <f t="shared" si="48"/>
        <v>0</v>
      </c>
      <c r="AE2248" s="78">
        <f t="shared" si="49"/>
        <v>0</v>
      </c>
    </row>
    <row r="2249" spans="1:31" x14ac:dyDescent="0.2">
      <c r="A2249" s="66"/>
      <c r="B2249" s="66"/>
      <c r="C2249" s="66"/>
      <c r="D2249" s="144"/>
      <c r="E2249" s="67"/>
      <c r="F2249" s="67"/>
      <c r="G2249" s="67"/>
      <c r="H2249" s="67">
        <f>ROUND(+E2249+G2249,4)</f>
        <v>0</v>
      </c>
      <c r="I2249" s="67"/>
      <c r="J2249" s="67">
        <f>ROUND(+I2249-H2249,4)</f>
        <v>0</v>
      </c>
      <c r="K2249" s="67">
        <f>ROUND(IF(F2249="alluminio",0,I2249*1.5%),4)</f>
        <v>0</v>
      </c>
      <c r="L2249" s="67">
        <f>ROUND(IF(K2249&lt;J2249,K2249,0),4)</f>
        <v>0</v>
      </c>
      <c r="M2249" s="67">
        <f>ROUND(IF(J2249&gt;K2249,0,J2249),4)</f>
        <v>0</v>
      </c>
      <c r="N2249" s="67">
        <f>ROUND(+L2249*D2249,4)</f>
        <v>0</v>
      </c>
      <c r="O2249" s="67">
        <f>ROUND(IF(F2249="rame",0,+I2249*3%),4)</f>
        <v>0</v>
      </c>
      <c r="P2249" s="67">
        <f>ROUND(IF(O2249&lt;J2249,O2249,0),4)</f>
        <v>0</v>
      </c>
      <c r="Q2249" s="67">
        <f>ROUND(IF(J2249&gt;O2249,0,J2249),4)</f>
        <v>0</v>
      </c>
      <c r="R2249" s="67">
        <f>ROUND(+P2249*D2249,4)</f>
        <v>0</v>
      </c>
      <c r="S2249" s="67">
        <f>ROUND(IF(K2249=0,0,M2249*D2249),4)</f>
        <v>0</v>
      </c>
      <c r="T2249" s="67">
        <f>ROUND(+IF(K2249=0,Q2249*D2249,0),4)</f>
        <v>0</v>
      </c>
      <c r="U2249" s="67">
        <f>ROUND(+N2249+R2249+S2249+T2249,4)</f>
        <v>0</v>
      </c>
      <c r="V2249" s="67">
        <f>ROUND(IF(P2249=0,0,I2249-H2249-O2249)+IF(L2249=0,0,I2249-H2249-K2249),4)</f>
        <v>0</v>
      </c>
      <c r="W2249" s="67">
        <f>ROUND(+(V2249*60%)*D2249,4)</f>
        <v>0</v>
      </c>
      <c r="X2249" s="148">
        <f>ROUND(+U2249+W2249,4)</f>
        <v>0</v>
      </c>
      <c r="Y2249" s="68"/>
      <c r="Z2249" s="148">
        <f>ROUND(IF(X2249&gt;I2249,X2249,I2249),4)</f>
        <v>0</v>
      </c>
      <c r="AD2249" s="78">
        <f t="shared" si="48"/>
        <v>0</v>
      </c>
      <c r="AE2249" s="78">
        <f t="shared" si="49"/>
        <v>0</v>
      </c>
    </row>
    <row r="2250" spans="1:31" x14ac:dyDescent="0.2">
      <c r="A2250" s="66"/>
      <c r="B2250" s="66"/>
      <c r="C2250" s="66"/>
      <c r="D2250" s="144"/>
      <c r="E2250" s="67"/>
      <c r="F2250" s="67"/>
      <c r="G2250" s="67"/>
      <c r="H2250" s="67">
        <f>ROUND(+E2250+G2250,4)</f>
        <v>0</v>
      </c>
      <c r="I2250" s="67"/>
      <c r="J2250" s="67">
        <f>ROUND(+I2250-H2250,4)</f>
        <v>0</v>
      </c>
      <c r="K2250" s="67">
        <f>ROUND(IF(F2250="alluminio",0,I2250*1.5%),4)</f>
        <v>0</v>
      </c>
      <c r="L2250" s="67">
        <f>ROUND(IF(K2250&lt;J2250,K2250,0),4)</f>
        <v>0</v>
      </c>
      <c r="M2250" s="67">
        <f>ROUND(IF(J2250&gt;K2250,0,J2250),4)</f>
        <v>0</v>
      </c>
      <c r="N2250" s="67">
        <f>ROUND(+L2250*D2250,4)</f>
        <v>0</v>
      </c>
      <c r="O2250" s="67">
        <f>ROUND(IF(F2250="rame",0,+I2250*3%),4)</f>
        <v>0</v>
      </c>
      <c r="P2250" s="67">
        <f>ROUND(IF(O2250&lt;J2250,O2250,0),4)</f>
        <v>0</v>
      </c>
      <c r="Q2250" s="67">
        <f>ROUND(IF(J2250&gt;O2250,0,J2250),4)</f>
        <v>0</v>
      </c>
      <c r="R2250" s="67">
        <f>ROUND(+P2250*D2250,4)</f>
        <v>0</v>
      </c>
      <c r="S2250" s="67">
        <f>ROUND(IF(K2250=0,0,M2250*D2250),4)</f>
        <v>0</v>
      </c>
      <c r="T2250" s="67">
        <f>ROUND(+IF(K2250=0,Q2250*D2250,0),4)</f>
        <v>0</v>
      </c>
      <c r="U2250" s="67">
        <f>ROUND(+N2250+R2250+S2250+T2250,4)</f>
        <v>0</v>
      </c>
      <c r="V2250" s="67">
        <f>ROUND(IF(P2250=0,0,I2250-H2250-O2250)+IF(L2250=0,0,I2250-H2250-K2250),4)</f>
        <v>0</v>
      </c>
      <c r="W2250" s="67">
        <f>ROUND(+(V2250*60%)*D2250,4)</f>
        <v>0</v>
      </c>
      <c r="X2250" s="148">
        <f>ROUND(+U2250+W2250,4)</f>
        <v>0</v>
      </c>
      <c r="Y2250" s="68"/>
      <c r="Z2250" s="148">
        <f>ROUND(IF(X2250&gt;I2250,X2250,I2250),4)</f>
        <v>0</v>
      </c>
      <c r="AD2250" s="78">
        <f t="shared" si="48"/>
        <v>0</v>
      </c>
      <c r="AE2250" s="78">
        <f t="shared" si="49"/>
        <v>0</v>
      </c>
    </row>
    <row r="2251" spans="1:31" x14ac:dyDescent="0.2">
      <c r="A2251" s="66"/>
      <c r="B2251" s="66"/>
      <c r="C2251" s="66"/>
      <c r="D2251" s="144"/>
      <c r="E2251" s="67"/>
      <c r="F2251" s="67"/>
      <c r="G2251" s="67"/>
      <c r="H2251" s="67">
        <f>ROUND(+E2251+G2251,4)</f>
        <v>0</v>
      </c>
      <c r="I2251" s="67"/>
      <c r="J2251" s="67">
        <f>ROUND(+I2251-H2251,4)</f>
        <v>0</v>
      </c>
      <c r="K2251" s="67">
        <f>ROUND(IF(F2251="alluminio",0,I2251*1.5%),4)</f>
        <v>0</v>
      </c>
      <c r="L2251" s="67">
        <f>ROUND(IF(K2251&lt;J2251,K2251,0),4)</f>
        <v>0</v>
      </c>
      <c r="M2251" s="67">
        <f>ROUND(IF(J2251&gt;K2251,0,J2251),4)</f>
        <v>0</v>
      </c>
      <c r="N2251" s="67">
        <f>ROUND(+L2251*D2251,4)</f>
        <v>0</v>
      </c>
      <c r="O2251" s="67">
        <f>ROUND(IF(F2251="rame",0,+I2251*3%),4)</f>
        <v>0</v>
      </c>
      <c r="P2251" s="67">
        <f>ROUND(IF(O2251&lt;J2251,O2251,0),4)</f>
        <v>0</v>
      </c>
      <c r="Q2251" s="67">
        <f>ROUND(IF(J2251&gt;O2251,0,J2251),4)</f>
        <v>0</v>
      </c>
      <c r="R2251" s="67">
        <f>ROUND(+P2251*D2251,4)</f>
        <v>0</v>
      </c>
      <c r="S2251" s="67">
        <f>ROUND(IF(K2251=0,0,M2251*D2251),4)</f>
        <v>0</v>
      </c>
      <c r="T2251" s="67">
        <f>ROUND(+IF(K2251=0,Q2251*D2251,0),4)</f>
        <v>0</v>
      </c>
      <c r="U2251" s="67">
        <f>ROUND(+N2251+R2251+S2251+T2251,4)</f>
        <v>0</v>
      </c>
      <c r="V2251" s="67">
        <f>ROUND(IF(P2251=0,0,I2251-H2251-O2251)+IF(L2251=0,0,I2251-H2251-K2251),4)</f>
        <v>0</v>
      </c>
      <c r="W2251" s="67">
        <f>ROUND(+(V2251*60%)*D2251,4)</f>
        <v>0</v>
      </c>
      <c r="X2251" s="148">
        <f>ROUND(+U2251+W2251,4)</f>
        <v>0</v>
      </c>
      <c r="Y2251" s="68"/>
      <c r="Z2251" s="148">
        <f>ROUND(IF(X2251&gt;I2251,X2251,I2251),4)</f>
        <v>0</v>
      </c>
      <c r="AD2251" s="78">
        <f t="shared" si="48"/>
        <v>0</v>
      </c>
      <c r="AE2251" s="78">
        <f t="shared" si="49"/>
        <v>0</v>
      </c>
    </row>
    <row r="2252" spans="1:31" x14ac:dyDescent="0.2">
      <c r="A2252" s="66"/>
      <c r="B2252" s="66"/>
      <c r="C2252" s="66"/>
      <c r="D2252" s="144"/>
      <c r="E2252" s="67"/>
      <c r="F2252" s="67"/>
      <c r="G2252" s="67"/>
      <c r="H2252" s="67">
        <f>ROUND(+E2252+G2252,4)</f>
        <v>0</v>
      </c>
      <c r="I2252" s="67"/>
      <c r="J2252" s="67">
        <f>ROUND(+I2252-H2252,4)</f>
        <v>0</v>
      </c>
      <c r="K2252" s="67">
        <f>ROUND(IF(F2252="alluminio",0,I2252*1.5%),4)</f>
        <v>0</v>
      </c>
      <c r="L2252" s="67">
        <f>ROUND(IF(K2252&lt;J2252,K2252,0),4)</f>
        <v>0</v>
      </c>
      <c r="M2252" s="67">
        <f>ROUND(IF(J2252&gt;K2252,0,J2252),4)</f>
        <v>0</v>
      </c>
      <c r="N2252" s="67">
        <f>ROUND(+L2252*D2252,4)</f>
        <v>0</v>
      </c>
      <c r="O2252" s="67">
        <f>ROUND(IF(F2252="rame",0,+I2252*3%),4)</f>
        <v>0</v>
      </c>
      <c r="P2252" s="67">
        <f>ROUND(IF(O2252&lt;J2252,O2252,0),4)</f>
        <v>0</v>
      </c>
      <c r="Q2252" s="67">
        <f>ROUND(IF(J2252&gt;O2252,0,J2252),4)</f>
        <v>0</v>
      </c>
      <c r="R2252" s="67">
        <f>ROUND(+P2252*D2252,4)</f>
        <v>0</v>
      </c>
      <c r="S2252" s="67">
        <f>ROUND(IF(K2252=0,0,M2252*D2252),4)</f>
        <v>0</v>
      </c>
      <c r="T2252" s="67">
        <f>ROUND(+IF(K2252=0,Q2252*D2252,0),4)</f>
        <v>0</v>
      </c>
      <c r="U2252" s="67">
        <f>ROUND(+N2252+R2252+S2252+T2252,4)</f>
        <v>0</v>
      </c>
      <c r="V2252" s="67">
        <f>ROUND(IF(P2252=0,0,I2252-H2252-O2252)+IF(L2252=0,0,I2252-H2252-K2252),4)</f>
        <v>0</v>
      </c>
      <c r="W2252" s="67">
        <f>ROUND(+(V2252*60%)*D2252,4)</f>
        <v>0</v>
      </c>
      <c r="X2252" s="148">
        <f>ROUND(+U2252+W2252,4)</f>
        <v>0</v>
      </c>
      <c r="Y2252" s="68"/>
      <c r="Z2252" s="148">
        <f>ROUND(IF(X2252&gt;I2252,X2252,I2252),4)</f>
        <v>0</v>
      </c>
      <c r="AD2252" s="78">
        <f t="shared" si="48"/>
        <v>0</v>
      </c>
      <c r="AE2252" s="78">
        <f t="shared" si="49"/>
        <v>0</v>
      </c>
    </row>
    <row r="2253" spans="1:31" x14ac:dyDescent="0.2">
      <c r="A2253" s="66"/>
      <c r="B2253" s="66"/>
      <c r="C2253" s="66"/>
      <c r="D2253" s="144"/>
      <c r="E2253" s="67"/>
      <c r="F2253" s="67"/>
      <c r="G2253" s="67"/>
      <c r="H2253" s="67">
        <f>ROUND(+E2253+G2253,4)</f>
        <v>0</v>
      </c>
      <c r="I2253" s="67"/>
      <c r="J2253" s="67">
        <f>ROUND(+I2253-H2253,4)</f>
        <v>0</v>
      </c>
      <c r="K2253" s="67">
        <f>ROUND(IF(F2253="alluminio",0,I2253*1.5%),4)</f>
        <v>0</v>
      </c>
      <c r="L2253" s="67">
        <f>ROUND(IF(K2253&lt;J2253,K2253,0),4)</f>
        <v>0</v>
      </c>
      <c r="M2253" s="67">
        <f>ROUND(IF(J2253&gt;K2253,0,J2253),4)</f>
        <v>0</v>
      </c>
      <c r="N2253" s="67">
        <f>ROUND(+L2253*D2253,4)</f>
        <v>0</v>
      </c>
      <c r="O2253" s="67">
        <f>ROUND(IF(F2253="rame",0,+I2253*3%),4)</f>
        <v>0</v>
      </c>
      <c r="P2253" s="67">
        <f>ROUND(IF(O2253&lt;J2253,O2253,0),4)</f>
        <v>0</v>
      </c>
      <c r="Q2253" s="67">
        <f>ROUND(IF(J2253&gt;O2253,0,J2253),4)</f>
        <v>0</v>
      </c>
      <c r="R2253" s="67">
        <f>ROUND(+P2253*D2253,4)</f>
        <v>0</v>
      </c>
      <c r="S2253" s="67">
        <f>ROUND(IF(K2253=0,0,M2253*D2253),4)</f>
        <v>0</v>
      </c>
      <c r="T2253" s="67">
        <f>ROUND(+IF(K2253=0,Q2253*D2253,0),4)</f>
        <v>0</v>
      </c>
      <c r="U2253" s="67">
        <f>ROUND(+N2253+R2253+S2253+T2253,4)</f>
        <v>0</v>
      </c>
      <c r="V2253" s="67">
        <f>ROUND(IF(P2253=0,0,I2253-H2253-O2253)+IF(L2253=0,0,I2253-H2253-K2253),4)</f>
        <v>0</v>
      </c>
      <c r="W2253" s="67">
        <f>ROUND(+(V2253*60%)*D2253,4)</f>
        <v>0</v>
      </c>
      <c r="X2253" s="148">
        <f>ROUND(+U2253+W2253,4)</f>
        <v>0</v>
      </c>
      <c r="Y2253" s="68"/>
      <c r="Z2253" s="148">
        <f>ROUND(IF(X2253&gt;I2253,X2253,I2253),4)</f>
        <v>0</v>
      </c>
      <c r="AD2253" s="78">
        <f t="shared" si="48"/>
        <v>0</v>
      </c>
      <c r="AE2253" s="78">
        <f t="shared" si="49"/>
        <v>0</v>
      </c>
    </row>
    <row r="2254" spans="1:31" x14ac:dyDescent="0.2">
      <c r="A2254" s="66"/>
      <c r="B2254" s="66"/>
      <c r="C2254" s="66"/>
      <c r="D2254" s="144"/>
      <c r="E2254" s="67"/>
      <c r="F2254" s="67"/>
      <c r="G2254" s="67"/>
      <c r="H2254" s="67">
        <f>ROUND(+E2254+G2254,4)</f>
        <v>0</v>
      </c>
      <c r="I2254" s="67"/>
      <c r="J2254" s="67">
        <f>ROUND(+I2254-H2254,4)</f>
        <v>0</v>
      </c>
      <c r="K2254" s="67">
        <f>ROUND(IF(F2254="alluminio",0,I2254*1.5%),4)</f>
        <v>0</v>
      </c>
      <c r="L2254" s="67">
        <f>ROUND(IF(K2254&lt;J2254,K2254,0),4)</f>
        <v>0</v>
      </c>
      <c r="M2254" s="67">
        <f>ROUND(IF(J2254&gt;K2254,0,J2254),4)</f>
        <v>0</v>
      </c>
      <c r="N2254" s="67">
        <f>ROUND(+L2254*D2254,4)</f>
        <v>0</v>
      </c>
      <c r="O2254" s="67">
        <f>ROUND(IF(F2254="rame",0,+I2254*3%),4)</f>
        <v>0</v>
      </c>
      <c r="P2254" s="67">
        <f>ROUND(IF(O2254&lt;J2254,O2254,0),4)</f>
        <v>0</v>
      </c>
      <c r="Q2254" s="67">
        <f>ROUND(IF(J2254&gt;O2254,0,J2254),4)</f>
        <v>0</v>
      </c>
      <c r="R2254" s="67">
        <f>ROUND(+P2254*D2254,4)</f>
        <v>0</v>
      </c>
      <c r="S2254" s="67">
        <f>ROUND(IF(K2254=0,0,M2254*D2254),4)</f>
        <v>0</v>
      </c>
      <c r="T2254" s="67">
        <f>ROUND(+IF(K2254=0,Q2254*D2254,0),4)</f>
        <v>0</v>
      </c>
      <c r="U2254" s="67">
        <f>ROUND(+N2254+R2254+S2254+T2254,4)</f>
        <v>0</v>
      </c>
      <c r="V2254" s="67">
        <f>ROUND(IF(P2254=0,0,I2254-H2254-O2254)+IF(L2254=0,0,I2254-H2254-K2254),4)</f>
        <v>0</v>
      </c>
      <c r="W2254" s="67">
        <f>ROUND(+(V2254*60%)*D2254,4)</f>
        <v>0</v>
      </c>
      <c r="X2254" s="148">
        <f>ROUND(+U2254+W2254,4)</f>
        <v>0</v>
      </c>
      <c r="Y2254" s="68"/>
      <c r="Z2254" s="148">
        <f>ROUND(IF(X2254&gt;I2254,X2254,I2254),4)</f>
        <v>0</v>
      </c>
      <c r="AD2254" s="78">
        <f t="shared" si="48"/>
        <v>0</v>
      </c>
      <c r="AE2254" s="78">
        <f t="shared" si="49"/>
        <v>0</v>
      </c>
    </row>
    <row r="2255" spans="1:31" x14ac:dyDescent="0.2">
      <c r="A2255" s="66"/>
      <c r="B2255" s="66"/>
      <c r="C2255" s="66"/>
      <c r="D2255" s="144"/>
      <c r="E2255" s="67"/>
      <c r="F2255" s="67"/>
      <c r="G2255" s="67"/>
      <c r="H2255" s="67">
        <f>ROUND(+E2255+G2255,4)</f>
        <v>0</v>
      </c>
      <c r="I2255" s="67"/>
      <c r="J2255" s="67">
        <f>ROUND(+I2255-H2255,4)</f>
        <v>0</v>
      </c>
      <c r="K2255" s="67">
        <f>ROUND(IF(F2255="alluminio",0,I2255*1.5%),4)</f>
        <v>0</v>
      </c>
      <c r="L2255" s="67">
        <f>ROUND(IF(K2255&lt;J2255,K2255,0),4)</f>
        <v>0</v>
      </c>
      <c r="M2255" s="67">
        <f>ROUND(IF(J2255&gt;K2255,0,J2255),4)</f>
        <v>0</v>
      </c>
      <c r="N2255" s="67">
        <f>ROUND(+L2255*D2255,4)</f>
        <v>0</v>
      </c>
      <c r="O2255" s="67">
        <f>ROUND(IF(F2255="rame",0,+I2255*3%),4)</f>
        <v>0</v>
      </c>
      <c r="P2255" s="67">
        <f>ROUND(IF(O2255&lt;J2255,O2255,0),4)</f>
        <v>0</v>
      </c>
      <c r="Q2255" s="67">
        <f>ROUND(IF(J2255&gt;O2255,0,J2255),4)</f>
        <v>0</v>
      </c>
      <c r="R2255" s="67">
        <f>ROUND(+P2255*D2255,4)</f>
        <v>0</v>
      </c>
      <c r="S2255" s="67">
        <f>ROUND(IF(K2255=0,0,M2255*D2255),4)</f>
        <v>0</v>
      </c>
      <c r="T2255" s="67">
        <f>ROUND(+IF(K2255=0,Q2255*D2255,0),4)</f>
        <v>0</v>
      </c>
      <c r="U2255" s="67">
        <f>ROUND(+N2255+R2255+S2255+T2255,4)</f>
        <v>0</v>
      </c>
      <c r="V2255" s="67">
        <f>ROUND(IF(P2255=0,0,I2255-H2255-O2255)+IF(L2255=0,0,I2255-H2255-K2255),4)</f>
        <v>0</v>
      </c>
      <c r="W2255" s="67">
        <f>ROUND(+(V2255*60%)*D2255,4)</f>
        <v>0</v>
      </c>
      <c r="X2255" s="148">
        <f>ROUND(+U2255+W2255,4)</f>
        <v>0</v>
      </c>
      <c r="Y2255" s="68"/>
      <c r="Z2255" s="148">
        <f>ROUND(IF(X2255&gt;I2255,X2255,I2255),4)</f>
        <v>0</v>
      </c>
      <c r="AD2255" s="78">
        <f t="shared" si="48"/>
        <v>0</v>
      </c>
      <c r="AE2255" s="78">
        <f t="shared" si="49"/>
        <v>0</v>
      </c>
    </row>
    <row r="2256" spans="1:31" x14ac:dyDescent="0.2">
      <c r="A2256" s="66"/>
      <c r="B2256" s="66"/>
      <c r="C2256" s="66"/>
      <c r="D2256" s="144"/>
      <c r="E2256" s="67"/>
      <c r="F2256" s="67"/>
      <c r="G2256" s="67"/>
      <c r="H2256" s="67">
        <f>ROUND(+E2256+G2256,4)</f>
        <v>0</v>
      </c>
      <c r="I2256" s="67"/>
      <c r="J2256" s="67">
        <f>ROUND(+I2256-H2256,4)</f>
        <v>0</v>
      </c>
      <c r="K2256" s="67">
        <f>ROUND(IF(F2256="alluminio",0,I2256*1.5%),4)</f>
        <v>0</v>
      </c>
      <c r="L2256" s="67">
        <f>ROUND(IF(K2256&lt;J2256,K2256,0),4)</f>
        <v>0</v>
      </c>
      <c r="M2256" s="67">
        <f>ROUND(IF(J2256&gt;K2256,0,J2256),4)</f>
        <v>0</v>
      </c>
      <c r="N2256" s="67">
        <f>ROUND(+L2256*D2256,4)</f>
        <v>0</v>
      </c>
      <c r="O2256" s="67">
        <f>ROUND(IF(F2256="rame",0,+I2256*3%),4)</f>
        <v>0</v>
      </c>
      <c r="P2256" s="67">
        <f>ROUND(IF(O2256&lt;J2256,O2256,0),4)</f>
        <v>0</v>
      </c>
      <c r="Q2256" s="67">
        <f>ROUND(IF(J2256&gt;O2256,0,J2256),4)</f>
        <v>0</v>
      </c>
      <c r="R2256" s="67">
        <f>ROUND(+P2256*D2256,4)</f>
        <v>0</v>
      </c>
      <c r="S2256" s="67">
        <f>ROUND(IF(K2256=0,0,M2256*D2256),4)</f>
        <v>0</v>
      </c>
      <c r="T2256" s="67">
        <f>ROUND(+IF(K2256=0,Q2256*D2256,0),4)</f>
        <v>0</v>
      </c>
      <c r="U2256" s="67">
        <f>ROUND(+N2256+R2256+S2256+T2256,4)</f>
        <v>0</v>
      </c>
      <c r="V2256" s="67">
        <f>ROUND(IF(P2256=0,0,I2256-H2256-O2256)+IF(L2256=0,0,I2256-H2256-K2256),4)</f>
        <v>0</v>
      </c>
      <c r="W2256" s="67">
        <f>ROUND(+(V2256*60%)*D2256,4)</f>
        <v>0</v>
      </c>
      <c r="X2256" s="148">
        <f>ROUND(+U2256+W2256,4)</f>
        <v>0</v>
      </c>
      <c r="Y2256" s="68"/>
      <c r="Z2256" s="148">
        <f>ROUND(IF(X2256&gt;I2256,X2256,I2256),4)</f>
        <v>0</v>
      </c>
      <c r="AD2256" s="78">
        <f t="shared" si="48"/>
        <v>0</v>
      </c>
      <c r="AE2256" s="78">
        <f t="shared" si="49"/>
        <v>0</v>
      </c>
    </row>
    <row r="2257" spans="1:31" x14ac:dyDescent="0.2">
      <c r="A2257" s="66"/>
      <c r="B2257" s="66"/>
      <c r="C2257" s="66"/>
      <c r="D2257" s="144"/>
      <c r="E2257" s="67"/>
      <c r="F2257" s="67"/>
      <c r="G2257" s="67"/>
      <c r="H2257" s="67">
        <f>ROUND(+E2257+G2257,4)</f>
        <v>0</v>
      </c>
      <c r="I2257" s="67"/>
      <c r="J2257" s="67">
        <f>ROUND(+I2257-H2257,4)</f>
        <v>0</v>
      </c>
      <c r="K2257" s="67">
        <f>ROUND(IF(F2257="alluminio",0,I2257*1.5%),4)</f>
        <v>0</v>
      </c>
      <c r="L2257" s="67">
        <f>ROUND(IF(K2257&lt;J2257,K2257,0),4)</f>
        <v>0</v>
      </c>
      <c r="M2257" s="67">
        <f>ROUND(IF(J2257&gt;K2257,0,J2257),4)</f>
        <v>0</v>
      </c>
      <c r="N2257" s="67">
        <f>ROUND(+L2257*D2257,4)</f>
        <v>0</v>
      </c>
      <c r="O2257" s="67">
        <f>ROUND(IF(F2257="rame",0,+I2257*3%),4)</f>
        <v>0</v>
      </c>
      <c r="P2257" s="67">
        <f>ROUND(IF(O2257&lt;J2257,O2257,0),4)</f>
        <v>0</v>
      </c>
      <c r="Q2257" s="67">
        <f>ROUND(IF(J2257&gt;O2257,0,J2257),4)</f>
        <v>0</v>
      </c>
      <c r="R2257" s="67">
        <f>ROUND(+P2257*D2257,4)</f>
        <v>0</v>
      </c>
      <c r="S2257" s="67">
        <f>ROUND(IF(K2257=0,0,M2257*D2257),4)</f>
        <v>0</v>
      </c>
      <c r="T2257" s="67">
        <f>ROUND(+IF(K2257=0,Q2257*D2257,0),4)</f>
        <v>0</v>
      </c>
      <c r="U2257" s="67">
        <f>ROUND(+N2257+R2257+S2257+T2257,4)</f>
        <v>0</v>
      </c>
      <c r="V2257" s="67">
        <f>ROUND(IF(P2257=0,0,I2257-H2257-O2257)+IF(L2257=0,0,I2257-H2257-K2257),4)</f>
        <v>0</v>
      </c>
      <c r="W2257" s="67">
        <f>ROUND(+(V2257*60%)*D2257,4)</f>
        <v>0</v>
      </c>
      <c r="X2257" s="148">
        <f>ROUND(+U2257+W2257,4)</f>
        <v>0</v>
      </c>
      <c r="Y2257" s="68"/>
      <c r="Z2257" s="148">
        <f>ROUND(IF(X2257&gt;I2257,X2257,I2257),4)</f>
        <v>0</v>
      </c>
      <c r="AD2257" s="78">
        <f t="shared" si="48"/>
        <v>0</v>
      </c>
      <c r="AE2257" s="78">
        <f t="shared" si="49"/>
        <v>0</v>
      </c>
    </row>
    <row r="2258" spans="1:31" x14ac:dyDescent="0.2">
      <c r="A2258" s="66"/>
      <c r="B2258" s="66"/>
      <c r="C2258" s="66"/>
      <c r="D2258" s="144"/>
      <c r="E2258" s="67"/>
      <c r="F2258" s="67"/>
      <c r="G2258" s="67"/>
      <c r="H2258" s="67">
        <f>ROUND(+E2258+G2258,4)</f>
        <v>0</v>
      </c>
      <c r="I2258" s="67"/>
      <c r="J2258" s="67">
        <f>ROUND(+I2258-H2258,4)</f>
        <v>0</v>
      </c>
      <c r="K2258" s="67">
        <f>ROUND(IF(F2258="alluminio",0,I2258*1.5%),4)</f>
        <v>0</v>
      </c>
      <c r="L2258" s="67">
        <f>ROUND(IF(K2258&lt;J2258,K2258,0),4)</f>
        <v>0</v>
      </c>
      <c r="M2258" s="67">
        <f>ROUND(IF(J2258&gt;K2258,0,J2258),4)</f>
        <v>0</v>
      </c>
      <c r="N2258" s="67">
        <f>ROUND(+L2258*D2258,4)</f>
        <v>0</v>
      </c>
      <c r="O2258" s="67">
        <f>ROUND(IF(F2258="rame",0,+I2258*3%),4)</f>
        <v>0</v>
      </c>
      <c r="P2258" s="67">
        <f>ROUND(IF(O2258&lt;J2258,O2258,0),4)</f>
        <v>0</v>
      </c>
      <c r="Q2258" s="67">
        <f>ROUND(IF(J2258&gt;O2258,0,J2258),4)</f>
        <v>0</v>
      </c>
      <c r="R2258" s="67">
        <f>ROUND(+P2258*D2258,4)</f>
        <v>0</v>
      </c>
      <c r="S2258" s="67">
        <f>ROUND(IF(K2258=0,0,M2258*D2258),4)</f>
        <v>0</v>
      </c>
      <c r="T2258" s="67">
        <f>ROUND(+IF(K2258=0,Q2258*D2258,0),4)</f>
        <v>0</v>
      </c>
      <c r="U2258" s="67">
        <f>ROUND(+N2258+R2258+S2258+T2258,4)</f>
        <v>0</v>
      </c>
      <c r="V2258" s="67">
        <f>ROUND(IF(P2258=0,0,I2258-H2258-O2258)+IF(L2258=0,0,I2258-H2258-K2258),4)</f>
        <v>0</v>
      </c>
      <c r="W2258" s="67">
        <f>ROUND(+(V2258*60%)*D2258,4)</f>
        <v>0</v>
      </c>
      <c r="X2258" s="148">
        <f>ROUND(+U2258+W2258,4)</f>
        <v>0</v>
      </c>
      <c r="Y2258" s="68"/>
      <c r="Z2258" s="148">
        <f>ROUND(IF(X2258&gt;I2258,X2258,I2258),4)</f>
        <v>0</v>
      </c>
      <c r="AD2258" s="78">
        <f t="shared" si="48"/>
        <v>0</v>
      </c>
      <c r="AE2258" s="78">
        <f t="shared" si="49"/>
        <v>0</v>
      </c>
    </row>
    <row r="2259" spans="1:31" x14ac:dyDescent="0.2">
      <c r="A2259" s="66"/>
      <c r="B2259" s="66"/>
      <c r="C2259" s="66"/>
      <c r="D2259" s="144"/>
      <c r="E2259" s="67"/>
      <c r="F2259" s="67"/>
      <c r="G2259" s="67"/>
      <c r="H2259" s="67">
        <f>ROUND(+E2259+G2259,4)</f>
        <v>0</v>
      </c>
      <c r="I2259" s="67"/>
      <c r="J2259" s="67">
        <f>ROUND(+I2259-H2259,4)</f>
        <v>0</v>
      </c>
      <c r="K2259" s="67">
        <f>ROUND(IF(F2259="alluminio",0,I2259*1.5%),4)</f>
        <v>0</v>
      </c>
      <c r="L2259" s="67">
        <f>ROUND(IF(K2259&lt;J2259,K2259,0),4)</f>
        <v>0</v>
      </c>
      <c r="M2259" s="67">
        <f>ROUND(IF(J2259&gt;K2259,0,J2259),4)</f>
        <v>0</v>
      </c>
      <c r="N2259" s="67">
        <f>ROUND(+L2259*D2259,4)</f>
        <v>0</v>
      </c>
      <c r="O2259" s="67">
        <f>ROUND(IF(F2259="rame",0,+I2259*3%),4)</f>
        <v>0</v>
      </c>
      <c r="P2259" s="67">
        <f>ROUND(IF(O2259&lt;J2259,O2259,0),4)</f>
        <v>0</v>
      </c>
      <c r="Q2259" s="67">
        <f>ROUND(IF(J2259&gt;O2259,0,J2259),4)</f>
        <v>0</v>
      </c>
      <c r="R2259" s="67">
        <f>ROUND(+P2259*D2259,4)</f>
        <v>0</v>
      </c>
      <c r="S2259" s="67">
        <f>ROUND(IF(K2259=0,0,M2259*D2259),4)</f>
        <v>0</v>
      </c>
      <c r="T2259" s="67">
        <f>ROUND(+IF(K2259=0,Q2259*D2259,0),4)</f>
        <v>0</v>
      </c>
      <c r="U2259" s="67">
        <f>ROUND(+N2259+R2259+S2259+T2259,4)</f>
        <v>0</v>
      </c>
      <c r="V2259" s="67">
        <f>ROUND(IF(P2259=0,0,I2259-H2259-O2259)+IF(L2259=0,0,I2259-H2259-K2259),4)</f>
        <v>0</v>
      </c>
      <c r="W2259" s="67">
        <f>ROUND(+(V2259*60%)*D2259,4)</f>
        <v>0</v>
      </c>
      <c r="X2259" s="148">
        <f>ROUND(+U2259+W2259,4)</f>
        <v>0</v>
      </c>
      <c r="Y2259" s="68"/>
      <c r="Z2259" s="148">
        <f>ROUND(IF(X2259&gt;I2259,X2259,I2259),4)</f>
        <v>0</v>
      </c>
      <c r="AD2259" s="78">
        <f t="shared" si="48"/>
        <v>0</v>
      </c>
      <c r="AE2259" s="78">
        <f t="shared" si="49"/>
        <v>0</v>
      </c>
    </row>
    <row r="2260" spans="1:31" x14ac:dyDescent="0.2">
      <c r="A2260" s="66"/>
      <c r="B2260" s="66"/>
      <c r="C2260" s="66"/>
      <c r="D2260" s="144"/>
      <c r="E2260" s="67"/>
      <c r="F2260" s="67"/>
      <c r="G2260" s="67"/>
      <c r="H2260" s="67">
        <f>ROUND(+E2260+G2260,4)</f>
        <v>0</v>
      </c>
      <c r="I2260" s="67"/>
      <c r="J2260" s="67">
        <f>ROUND(+I2260-H2260,4)</f>
        <v>0</v>
      </c>
      <c r="K2260" s="67">
        <f>ROUND(IF(F2260="alluminio",0,I2260*1.5%),4)</f>
        <v>0</v>
      </c>
      <c r="L2260" s="67">
        <f>ROUND(IF(K2260&lt;J2260,K2260,0),4)</f>
        <v>0</v>
      </c>
      <c r="M2260" s="67">
        <f>ROUND(IF(J2260&gt;K2260,0,J2260),4)</f>
        <v>0</v>
      </c>
      <c r="N2260" s="67">
        <f>ROUND(+L2260*D2260,4)</f>
        <v>0</v>
      </c>
      <c r="O2260" s="67">
        <f>ROUND(IF(F2260="rame",0,+I2260*3%),4)</f>
        <v>0</v>
      </c>
      <c r="P2260" s="67">
        <f>ROUND(IF(O2260&lt;J2260,O2260,0),4)</f>
        <v>0</v>
      </c>
      <c r="Q2260" s="67">
        <f>ROUND(IF(J2260&gt;O2260,0,J2260),4)</f>
        <v>0</v>
      </c>
      <c r="R2260" s="67">
        <f>ROUND(+P2260*D2260,4)</f>
        <v>0</v>
      </c>
      <c r="S2260" s="67">
        <f>ROUND(IF(K2260=0,0,M2260*D2260),4)</f>
        <v>0</v>
      </c>
      <c r="T2260" s="67">
        <f>ROUND(+IF(K2260=0,Q2260*D2260,0),4)</f>
        <v>0</v>
      </c>
      <c r="U2260" s="67">
        <f>ROUND(+N2260+R2260+S2260+T2260,4)</f>
        <v>0</v>
      </c>
      <c r="V2260" s="67">
        <f>ROUND(IF(P2260=0,0,I2260-H2260-O2260)+IF(L2260=0,0,I2260-H2260-K2260),4)</f>
        <v>0</v>
      </c>
      <c r="W2260" s="67">
        <f>ROUND(+(V2260*60%)*D2260,4)</f>
        <v>0</v>
      </c>
      <c r="X2260" s="148">
        <f>ROUND(+U2260+W2260,4)</f>
        <v>0</v>
      </c>
      <c r="Y2260" s="68"/>
      <c r="Z2260" s="148">
        <f>ROUND(IF(X2260&gt;I2260,X2260,I2260),4)</f>
        <v>0</v>
      </c>
      <c r="AD2260" s="78">
        <f t="shared" si="48"/>
        <v>0</v>
      </c>
      <c r="AE2260" s="78">
        <f t="shared" si="49"/>
        <v>0</v>
      </c>
    </row>
    <row r="2261" spans="1:31" x14ac:dyDescent="0.2">
      <c r="A2261" s="66"/>
      <c r="B2261" s="66"/>
      <c r="C2261" s="66"/>
      <c r="D2261" s="144"/>
      <c r="E2261" s="67"/>
      <c r="F2261" s="67"/>
      <c r="G2261" s="67"/>
      <c r="H2261" s="67">
        <f>ROUND(+E2261+G2261,4)</f>
        <v>0</v>
      </c>
      <c r="I2261" s="67"/>
      <c r="J2261" s="67">
        <f>ROUND(+I2261-H2261,4)</f>
        <v>0</v>
      </c>
      <c r="K2261" s="67">
        <f>ROUND(IF(F2261="alluminio",0,I2261*1.5%),4)</f>
        <v>0</v>
      </c>
      <c r="L2261" s="67">
        <f>ROUND(IF(K2261&lt;J2261,K2261,0),4)</f>
        <v>0</v>
      </c>
      <c r="M2261" s="67">
        <f>ROUND(IF(J2261&gt;K2261,0,J2261),4)</f>
        <v>0</v>
      </c>
      <c r="N2261" s="67">
        <f>ROUND(+L2261*D2261,4)</f>
        <v>0</v>
      </c>
      <c r="O2261" s="67">
        <f>ROUND(IF(F2261="rame",0,+I2261*3%),4)</f>
        <v>0</v>
      </c>
      <c r="P2261" s="67">
        <f>ROUND(IF(O2261&lt;J2261,O2261,0),4)</f>
        <v>0</v>
      </c>
      <c r="Q2261" s="67">
        <f>ROUND(IF(J2261&gt;O2261,0,J2261),4)</f>
        <v>0</v>
      </c>
      <c r="R2261" s="67">
        <f>ROUND(+P2261*D2261,4)</f>
        <v>0</v>
      </c>
      <c r="S2261" s="67">
        <f>ROUND(IF(K2261=0,0,M2261*D2261),4)</f>
        <v>0</v>
      </c>
      <c r="T2261" s="67">
        <f>ROUND(+IF(K2261=0,Q2261*D2261,0),4)</f>
        <v>0</v>
      </c>
      <c r="U2261" s="67">
        <f>ROUND(+N2261+R2261+S2261+T2261,4)</f>
        <v>0</v>
      </c>
      <c r="V2261" s="67">
        <f>ROUND(IF(P2261=0,0,I2261-H2261-O2261)+IF(L2261=0,0,I2261-H2261-K2261),4)</f>
        <v>0</v>
      </c>
      <c r="W2261" s="67">
        <f>ROUND(+(V2261*60%)*D2261,4)</f>
        <v>0</v>
      </c>
      <c r="X2261" s="148">
        <f>ROUND(+U2261+W2261,4)</f>
        <v>0</v>
      </c>
      <c r="Y2261" s="68"/>
      <c r="Z2261" s="148">
        <f>ROUND(IF(X2261&gt;I2261,X2261,I2261),4)</f>
        <v>0</v>
      </c>
      <c r="AD2261" s="78">
        <f t="shared" si="48"/>
        <v>0</v>
      </c>
      <c r="AE2261" s="78">
        <f t="shared" si="49"/>
        <v>0</v>
      </c>
    </row>
    <row r="2262" spans="1:31" x14ac:dyDescent="0.2">
      <c r="A2262" s="66"/>
      <c r="B2262" s="66"/>
      <c r="C2262" s="66"/>
      <c r="D2262" s="144"/>
      <c r="E2262" s="67"/>
      <c r="F2262" s="67"/>
      <c r="G2262" s="67"/>
      <c r="H2262" s="67">
        <f>ROUND(+E2262+G2262,4)</f>
        <v>0</v>
      </c>
      <c r="I2262" s="67"/>
      <c r="J2262" s="67">
        <f>ROUND(+I2262-H2262,4)</f>
        <v>0</v>
      </c>
      <c r="K2262" s="67">
        <f>ROUND(IF(F2262="alluminio",0,I2262*1.5%),4)</f>
        <v>0</v>
      </c>
      <c r="L2262" s="67">
        <f>ROUND(IF(K2262&lt;J2262,K2262,0),4)</f>
        <v>0</v>
      </c>
      <c r="M2262" s="67">
        <f>ROUND(IF(J2262&gt;K2262,0,J2262),4)</f>
        <v>0</v>
      </c>
      <c r="N2262" s="67">
        <f>ROUND(+L2262*D2262,4)</f>
        <v>0</v>
      </c>
      <c r="O2262" s="67">
        <f>ROUND(IF(F2262="rame",0,+I2262*3%),4)</f>
        <v>0</v>
      </c>
      <c r="P2262" s="67">
        <f>ROUND(IF(O2262&lt;J2262,O2262,0),4)</f>
        <v>0</v>
      </c>
      <c r="Q2262" s="67">
        <f>ROUND(IF(J2262&gt;O2262,0,J2262),4)</f>
        <v>0</v>
      </c>
      <c r="R2262" s="67">
        <f>ROUND(+P2262*D2262,4)</f>
        <v>0</v>
      </c>
      <c r="S2262" s="67">
        <f>ROUND(IF(K2262=0,0,M2262*D2262),4)</f>
        <v>0</v>
      </c>
      <c r="T2262" s="67">
        <f>ROUND(+IF(K2262=0,Q2262*D2262,0),4)</f>
        <v>0</v>
      </c>
      <c r="U2262" s="67">
        <f>ROUND(+N2262+R2262+S2262+T2262,4)</f>
        <v>0</v>
      </c>
      <c r="V2262" s="67">
        <f>ROUND(IF(P2262=0,0,I2262-H2262-O2262)+IF(L2262=0,0,I2262-H2262-K2262),4)</f>
        <v>0</v>
      </c>
      <c r="W2262" s="67">
        <f>ROUND(+(V2262*60%)*D2262,4)</f>
        <v>0</v>
      </c>
      <c r="X2262" s="148">
        <f>ROUND(+U2262+W2262,4)</f>
        <v>0</v>
      </c>
      <c r="Y2262" s="68"/>
      <c r="Z2262" s="148">
        <f>ROUND(IF(X2262&gt;I2262,X2262,I2262),4)</f>
        <v>0</v>
      </c>
      <c r="AD2262" s="78">
        <f t="shared" si="48"/>
        <v>0</v>
      </c>
      <c r="AE2262" s="78">
        <f t="shared" si="49"/>
        <v>0</v>
      </c>
    </row>
    <row r="2263" spans="1:31" x14ac:dyDescent="0.2">
      <c r="A2263" s="66"/>
      <c r="B2263" s="66"/>
      <c r="C2263" s="66"/>
      <c r="D2263" s="144"/>
      <c r="E2263" s="67"/>
      <c r="F2263" s="67"/>
      <c r="G2263" s="67"/>
      <c r="H2263" s="67">
        <f>ROUND(+E2263+G2263,4)</f>
        <v>0</v>
      </c>
      <c r="I2263" s="67"/>
      <c r="J2263" s="67">
        <f>ROUND(+I2263-H2263,4)</f>
        <v>0</v>
      </c>
      <c r="K2263" s="67">
        <f>ROUND(IF(F2263="alluminio",0,I2263*1.5%),4)</f>
        <v>0</v>
      </c>
      <c r="L2263" s="67">
        <f>ROUND(IF(K2263&lt;J2263,K2263,0),4)</f>
        <v>0</v>
      </c>
      <c r="M2263" s="67">
        <f>ROUND(IF(J2263&gt;K2263,0,J2263),4)</f>
        <v>0</v>
      </c>
      <c r="N2263" s="67">
        <f>ROUND(+L2263*D2263,4)</f>
        <v>0</v>
      </c>
      <c r="O2263" s="67">
        <f>ROUND(IF(F2263="rame",0,+I2263*3%),4)</f>
        <v>0</v>
      </c>
      <c r="P2263" s="67">
        <f>ROUND(IF(O2263&lt;J2263,O2263,0),4)</f>
        <v>0</v>
      </c>
      <c r="Q2263" s="67">
        <f>ROUND(IF(J2263&gt;O2263,0,J2263),4)</f>
        <v>0</v>
      </c>
      <c r="R2263" s="67">
        <f>ROUND(+P2263*D2263,4)</f>
        <v>0</v>
      </c>
      <c r="S2263" s="67">
        <f>ROUND(IF(K2263=0,0,M2263*D2263),4)</f>
        <v>0</v>
      </c>
      <c r="T2263" s="67">
        <f>ROUND(+IF(K2263=0,Q2263*D2263,0),4)</f>
        <v>0</v>
      </c>
      <c r="U2263" s="67">
        <f>ROUND(+N2263+R2263+S2263+T2263,4)</f>
        <v>0</v>
      </c>
      <c r="V2263" s="67">
        <f>ROUND(IF(P2263=0,0,I2263-H2263-O2263)+IF(L2263=0,0,I2263-H2263-K2263),4)</f>
        <v>0</v>
      </c>
      <c r="W2263" s="67">
        <f>ROUND(+(V2263*60%)*D2263,4)</f>
        <v>0</v>
      </c>
      <c r="X2263" s="148">
        <f>ROUND(+U2263+W2263,4)</f>
        <v>0</v>
      </c>
      <c r="Y2263" s="68"/>
      <c r="Z2263" s="148">
        <f>ROUND(IF(X2263&gt;I2263,X2263,I2263),4)</f>
        <v>0</v>
      </c>
      <c r="AD2263" s="78">
        <f t="shared" si="48"/>
        <v>0</v>
      </c>
      <c r="AE2263" s="78">
        <f t="shared" si="49"/>
        <v>0</v>
      </c>
    </row>
    <row r="2264" spans="1:31" x14ac:dyDescent="0.2">
      <c r="A2264" s="66"/>
      <c r="B2264" s="66"/>
      <c r="C2264" s="66"/>
      <c r="D2264" s="144"/>
      <c r="E2264" s="67"/>
      <c r="F2264" s="67"/>
      <c r="G2264" s="67"/>
      <c r="H2264" s="67">
        <f>ROUND(+E2264+G2264,4)</f>
        <v>0</v>
      </c>
      <c r="I2264" s="67"/>
      <c r="J2264" s="67">
        <f>ROUND(+I2264-H2264,4)</f>
        <v>0</v>
      </c>
      <c r="K2264" s="67">
        <f>ROUND(IF(F2264="alluminio",0,I2264*1.5%),4)</f>
        <v>0</v>
      </c>
      <c r="L2264" s="67">
        <f>ROUND(IF(K2264&lt;J2264,K2264,0),4)</f>
        <v>0</v>
      </c>
      <c r="M2264" s="67">
        <f>ROUND(IF(J2264&gt;K2264,0,J2264),4)</f>
        <v>0</v>
      </c>
      <c r="N2264" s="67">
        <f>ROUND(+L2264*D2264,4)</f>
        <v>0</v>
      </c>
      <c r="O2264" s="67">
        <f>ROUND(IF(F2264="rame",0,+I2264*3%),4)</f>
        <v>0</v>
      </c>
      <c r="P2264" s="67">
        <f>ROUND(IF(O2264&lt;J2264,O2264,0),4)</f>
        <v>0</v>
      </c>
      <c r="Q2264" s="67">
        <f>ROUND(IF(J2264&gt;O2264,0,J2264),4)</f>
        <v>0</v>
      </c>
      <c r="R2264" s="67">
        <f>ROUND(+P2264*D2264,4)</f>
        <v>0</v>
      </c>
      <c r="S2264" s="67">
        <f>ROUND(IF(K2264=0,0,M2264*D2264),4)</f>
        <v>0</v>
      </c>
      <c r="T2264" s="67">
        <f>ROUND(+IF(K2264=0,Q2264*D2264,0),4)</f>
        <v>0</v>
      </c>
      <c r="U2264" s="67">
        <f>ROUND(+N2264+R2264+S2264+T2264,4)</f>
        <v>0</v>
      </c>
      <c r="V2264" s="67">
        <f>ROUND(IF(P2264=0,0,I2264-H2264-O2264)+IF(L2264=0,0,I2264-H2264-K2264),4)</f>
        <v>0</v>
      </c>
      <c r="W2264" s="67">
        <f>ROUND(+(V2264*60%)*D2264,4)</f>
        <v>0</v>
      </c>
      <c r="X2264" s="148">
        <f>ROUND(+U2264+W2264,4)</f>
        <v>0</v>
      </c>
      <c r="Y2264" s="68"/>
      <c r="Z2264" s="148">
        <f>ROUND(IF(X2264&gt;I2264,X2264,I2264),4)</f>
        <v>0</v>
      </c>
      <c r="AD2264" s="78">
        <f t="shared" si="48"/>
        <v>0</v>
      </c>
      <c r="AE2264" s="78">
        <f t="shared" si="49"/>
        <v>0</v>
      </c>
    </row>
    <row r="2265" spans="1:31" x14ac:dyDescent="0.2">
      <c r="A2265" s="66"/>
      <c r="B2265" s="66"/>
      <c r="C2265" s="66"/>
      <c r="D2265" s="144"/>
      <c r="E2265" s="67"/>
      <c r="F2265" s="67"/>
      <c r="G2265" s="67"/>
      <c r="H2265" s="67">
        <f>ROUND(+E2265+G2265,4)</f>
        <v>0</v>
      </c>
      <c r="I2265" s="67"/>
      <c r="J2265" s="67">
        <f>ROUND(+I2265-H2265,4)</f>
        <v>0</v>
      </c>
      <c r="K2265" s="67">
        <f>ROUND(IF(F2265="alluminio",0,I2265*1.5%),4)</f>
        <v>0</v>
      </c>
      <c r="L2265" s="67">
        <f>ROUND(IF(K2265&lt;J2265,K2265,0),4)</f>
        <v>0</v>
      </c>
      <c r="M2265" s="67">
        <f>ROUND(IF(J2265&gt;K2265,0,J2265),4)</f>
        <v>0</v>
      </c>
      <c r="N2265" s="67">
        <f>ROUND(+L2265*D2265,4)</f>
        <v>0</v>
      </c>
      <c r="O2265" s="67">
        <f>ROUND(IF(F2265="rame",0,+I2265*3%),4)</f>
        <v>0</v>
      </c>
      <c r="P2265" s="67">
        <f>ROUND(IF(O2265&lt;J2265,O2265,0),4)</f>
        <v>0</v>
      </c>
      <c r="Q2265" s="67">
        <f>ROUND(IF(J2265&gt;O2265,0,J2265),4)</f>
        <v>0</v>
      </c>
      <c r="R2265" s="67">
        <f>ROUND(+P2265*D2265,4)</f>
        <v>0</v>
      </c>
      <c r="S2265" s="67">
        <f>ROUND(IF(K2265=0,0,M2265*D2265),4)</f>
        <v>0</v>
      </c>
      <c r="T2265" s="67">
        <f>ROUND(+IF(K2265=0,Q2265*D2265,0),4)</f>
        <v>0</v>
      </c>
      <c r="U2265" s="67">
        <f>ROUND(+N2265+R2265+S2265+T2265,4)</f>
        <v>0</v>
      </c>
      <c r="V2265" s="67">
        <f>ROUND(IF(P2265=0,0,I2265-H2265-O2265)+IF(L2265=0,0,I2265-H2265-K2265),4)</f>
        <v>0</v>
      </c>
      <c r="W2265" s="67">
        <f>ROUND(+(V2265*60%)*D2265,4)</f>
        <v>0</v>
      </c>
      <c r="X2265" s="148">
        <f>ROUND(+U2265+W2265,4)</f>
        <v>0</v>
      </c>
      <c r="Y2265" s="68"/>
      <c r="Z2265" s="148">
        <f>ROUND(IF(X2265&gt;I2265,X2265,I2265),4)</f>
        <v>0</v>
      </c>
      <c r="AD2265" s="78">
        <f t="shared" si="48"/>
        <v>0</v>
      </c>
      <c r="AE2265" s="78">
        <f t="shared" si="49"/>
        <v>0</v>
      </c>
    </row>
    <row r="2266" spans="1:31" x14ac:dyDescent="0.2">
      <c r="A2266" s="66"/>
      <c r="B2266" s="66"/>
      <c r="C2266" s="66"/>
      <c r="D2266" s="144"/>
      <c r="E2266" s="67"/>
      <c r="F2266" s="67"/>
      <c r="G2266" s="67"/>
      <c r="H2266" s="67">
        <f>ROUND(+E2266+G2266,4)</f>
        <v>0</v>
      </c>
      <c r="I2266" s="67"/>
      <c r="J2266" s="67">
        <f>ROUND(+I2266-H2266,4)</f>
        <v>0</v>
      </c>
      <c r="K2266" s="67">
        <f>ROUND(IF(F2266="alluminio",0,I2266*1.5%),4)</f>
        <v>0</v>
      </c>
      <c r="L2266" s="67">
        <f>ROUND(IF(K2266&lt;J2266,K2266,0),4)</f>
        <v>0</v>
      </c>
      <c r="M2266" s="67">
        <f>ROUND(IF(J2266&gt;K2266,0,J2266),4)</f>
        <v>0</v>
      </c>
      <c r="N2266" s="67">
        <f>ROUND(+L2266*D2266,4)</f>
        <v>0</v>
      </c>
      <c r="O2266" s="67">
        <f>ROUND(IF(F2266="rame",0,+I2266*3%),4)</f>
        <v>0</v>
      </c>
      <c r="P2266" s="67">
        <f>ROUND(IF(O2266&lt;J2266,O2266,0),4)</f>
        <v>0</v>
      </c>
      <c r="Q2266" s="67">
        <f>ROUND(IF(J2266&gt;O2266,0,J2266),4)</f>
        <v>0</v>
      </c>
      <c r="R2266" s="67">
        <f>ROUND(+P2266*D2266,4)</f>
        <v>0</v>
      </c>
      <c r="S2266" s="67">
        <f>ROUND(IF(K2266=0,0,M2266*D2266),4)</f>
        <v>0</v>
      </c>
      <c r="T2266" s="67">
        <f>ROUND(+IF(K2266=0,Q2266*D2266,0),4)</f>
        <v>0</v>
      </c>
      <c r="U2266" s="67">
        <f>ROUND(+N2266+R2266+S2266+T2266,4)</f>
        <v>0</v>
      </c>
      <c r="V2266" s="67">
        <f>ROUND(IF(P2266=0,0,I2266-H2266-O2266)+IF(L2266=0,0,I2266-H2266-K2266),4)</f>
        <v>0</v>
      </c>
      <c r="W2266" s="67">
        <f>ROUND(+(V2266*60%)*D2266,4)</f>
        <v>0</v>
      </c>
      <c r="X2266" s="148">
        <f>ROUND(+U2266+W2266,4)</f>
        <v>0</v>
      </c>
      <c r="Y2266" s="68"/>
      <c r="Z2266" s="148">
        <f>ROUND(IF(X2266&gt;I2266,X2266,I2266),4)</f>
        <v>0</v>
      </c>
      <c r="AD2266" s="78">
        <f t="shared" si="48"/>
        <v>0</v>
      </c>
      <c r="AE2266" s="78">
        <f t="shared" si="49"/>
        <v>0</v>
      </c>
    </row>
    <row r="2267" spans="1:31" x14ac:dyDescent="0.2">
      <c r="A2267" s="66"/>
      <c r="B2267" s="66"/>
      <c r="C2267" s="66"/>
      <c r="D2267" s="144"/>
      <c r="E2267" s="67"/>
      <c r="F2267" s="67"/>
      <c r="G2267" s="67"/>
      <c r="H2267" s="67">
        <f>ROUND(+E2267+G2267,4)</f>
        <v>0</v>
      </c>
      <c r="I2267" s="67"/>
      <c r="J2267" s="67">
        <f>ROUND(+I2267-H2267,4)</f>
        <v>0</v>
      </c>
      <c r="K2267" s="67">
        <f>ROUND(IF(F2267="alluminio",0,I2267*1.5%),4)</f>
        <v>0</v>
      </c>
      <c r="L2267" s="67">
        <f>ROUND(IF(K2267&lt;J2267,K2267,0),4)</f>
        <v>0</v>
      </c>
      <c r="M2267" s="67">
        <f>ROUND(IF(J2267&gt;K2267,0,J2267),4)</f>
        <v>0</v>
      </c>
      <c r="N2267" s="67">
        <f>ROUND(+L2267*D2267,4)</f>
        <v>0</v>
      </c>
      <c r="O2267" s="67">
        <f>ROUND(IF(F2267="rame",0,+I2267*3%),4)</f>
        <v>0</v>
      </c>
      <c r="P2267" s="67">
        <f>ROUND(IF(O2267&lt;J2267,O2267,0),4)</f>
        <v>0</v>
      </c>
      <c r="Q2267" s="67">
        <f>ROUND(IF(J2267&gt;O2267,0,J2267),4)</f>
        <v>0</v>
      </c>
      <c r="R2267" s="67">
        <f>ROUND(+P2267*D2267,4)</f>
        <v>0</v>
      </c>
      <c r="S2267" s="67">
        <f>ROUND(IF(K2267=0,0,M2267*D2267),4)</f>
        <v>0</v>
      </c>
      <c r="T2267" s="67">
        <f>ROUND(+IF(K2267=0,Q2267*D2267,0),4)</f>
        <v>0</v>
      </c>
      <c r="U2267" s="67">
        <f>ROUND(+N2267+R2267+S2267+T2267,4)</f>
        <v>0</v>
      </c>
      <c r="V2267" s="67">
        <f>ROUND(IF(P2267=0,0,I2267-H2267-O2267)+IF(L2267=0,0,I2267-H2267-K2267),4)</f>
        <v>0</v>
      </c>
      <c r="W2267" s="67">
        <f>ROUND(+(V2267*60%)*D2267,4)</f>
        <v>0</v>
      </c>
      <c r="X2267" s="148">
        <f>ROUND(+U2267+W2267,4)</f>
        <v>0</v>
      </c>
      <c r="Y2267" s="68"/>
      <c r="Z2267" s="148">
        <f>ROUND(IF(X2267&gt;I2267,X2267,I2267),4)</f>
        <v>0</v>
      </c>
      <c r="AD2267" s="78">
        <f t="shared" si="48"/>
        <v>0</v>
      </c>
      <c r="AE2267" s="78">
        <f t="shared" si="49"/>
        <v>0</v>
      </c>
    </row>
    <row r="2268" spans="1:31" x14ac:dyDescent="0.2">
      <c r="A2268" s="66"/>
      <c r="B2268" s="66"/>
      <c r="C2268" s="66"/>
      <c r="D2268" s="144"/>
      <c r="E2268" s="67"/>
      <c r="F2268" s="67"/>
      <c r="G2268" s="67"/>
      <c r="H2268" s="67">
        <f>ROUND(+E2268+G2268,4)</f>
        <v>0</v>
      </c>
      <c r="I2268" s="67"/>
      <c r="J2268" s="67">
        <f>ROUND(+I2268-H2268,4)</f>
        <v>0</v>
      </c>
      <c r="K2268" s="67">
        <f>ROUND(IF(F2268="alluminio",0,I2268*1.5%),4)</f>
        <v>0</v>
      </c>
      <c r="L2268" s="67">
        <f>ROUND(IF(K2268&lt;J2268,K2268,0),4)</f>
        <v>0</v>
      </c>
      <c r="M2268" s="67">
        <f>ROUND(IF(J2268&gt;K2268,0,J2268),4)</f>
        <v>0</v>
      </c>
      <c r="N2268" s="67">
        <f>ROUND(+L2268*D2268,4)</f>
        <v>0</v>
      </c>
      <c r="O2268" s="67">
        <f>ROUND(IF(F2268="rame",0,+I2268*3%),4)</f>
        <v>0</v>
      </c>
      <c r="P2268" s="67">
        <f>ROUND(IF(O2268&lt;J2268,O2268,0),4)</f>
        <v>0</v>
      </c>
      <c r="Q2268" s="67">
        <f>ROUND(IF(J2268&gt;O2268,0,J2268),4)</f>
        <v>0</v>
      </c>
      <c r="R2268" s="67">
        <f>ROUND(+P2268*D2268,4)</f>
        <v>0</v>
      </c>
      <c r="S2268" s="67">
        <f>ROUND(IF(K2268=0,0,M2268*D2268),4)</f>
        <v>0</v>
      </c>
      <c r="T2268" s="67">
        <f>ROUND(+IF(K2268=0,Q2268*D2268,0),4)</f>
        <v>0</v>
      </c>
      <c r="U2268" s="67">
        <f>ROUND(+N2268+R2268+S2268+T2268,4)</f>
        <v>0</v>
      </c>
      <c r="V2268" s="67">
        <f>ROUND(IF(P2268=0,0,I2268-H2268-O2268)+IF(L2268=0,0,I2268-H2268-K2268),4)</f>
        <v>0</v>
      </c>
      <c r="W2268" s="67">
        <f>ROUND(+(V2268*60%)*D2268,4)</f>
        <v>0</v>
      </c>
      <c r="X2268" s="148">
        <f>ROUND(+U2268+W2268,4)</f>
        <v>0</v>
      </c>
      <c r="Y2268" s="68"/>
      <c r="Z2268" s="148">
        <f>ROUND(IF(X2268&gt;I2268,X2268,I2268),4)</f>
        <v>0</v>
      </c>
      <c r="AD2268" s="78">
        <f t="shared" si="48"/>
        <v>0</v>
      </c>
      <c r="AE2268" s="78">
        <f t="shared" si="49"/>
        <v>0</v>
      </c>
    </row>
    <row r="2269" spans="1:31" x14ac:dyDescent="0.2">
      <c r="A2269" s="66"/>
      <c r="B2269" s="66"/>
      <c r="C2269" s="66"/>
      <c r="D2269" s="144"/>
      <c r="E2269" s="67"/>
      <c r="F2269" s="67"/>
      <c r="G2269" s="67"/>
      <c r="H2269" s="67">
        <f>ROUND(+E2269+G2269,4)</f>
        <v>0</v>
      </c>
      <c r="I2269" s="67"/>
      <c r="J2269" s="67">
        <f>ROUND(+I2269-H2269,4)</f>
        <v>0</v>
      </c>
      <c r="K2269" s="67">
        <f>ROUND(IF(F2269="alluminio",0,I2269*1.5%),4)</f>
        <v>0</v>
      </c>
      <c r="L2269" s="67">
        <f>ROUND(IF(K2269&lt;J2269,K2269,0),4)</f>
        <v>0</v>
      </c>
      <c r="M2269" s="67">
        <f>ROUND(IF(J2269&gt;K2269,0,J2269),4)</f>
        <v>0</v>
      </c>
      <c r="N2269" s="67">
        <f>ROUND(+L2269*D2269,4)</f>
        <v>0</v>
      </c>
      <c r="O2269" s="67">
        <f>ROUND(IF(F2269="rame",0,+I2269*3%),4)</f>
        <v>0</v>
      </c>
      <c r="P2269" s="67">
        <f>ROUND(IF(O2269&lt;J2269,O2269,0),4)</f>
        <v>0</v>
      </c>
      <c r="Q2269" s="67">
        <f>ROUND(IF(J2269&gt;O2269,0,J2269),4)</f>
        <v>0</v>
      </c>
      <c r="R2269" s="67">
        <f>ROUND(+P2269*D2269,4)</f>
        <v>0</v>
      </c>
      <c r="S2269" s="67">
        <f>ROUND(IF(K2269=0,0,M2269*D2269),4)</f>
        <v>0</v>
      </c>
      <c r="T2269" s="67">
        <f>ROUND(+IF(K2269=0,Q2269*D2269,0),4)</f>
        <v>0</v>
      </c>
      <c r="U2269" s="67">
        <f>ROUND(+N2269+R2269+S2269+T2269,4)</f>
        <v>0</v>
      </c>
      <c r="V2269" s="67">
        <f>ROUND(IF(P2269=0,0,I2269-H2269-O2269)+IF(L2269=0,0,I2269-H2269-K2269),4)</f>
        <v>0</v>
      </c>
      <c r="W2269" s="67">
        <f>ROUND(+(V2269*60%)*D2269,4)</f>
        <v>0</v>
      </c>
      <c r="X2269" s="148">
        <f>ROUND(+U2269+W2269,4)</f>
        <v>0</v>
      </c>
      <c r="Y2269" s="68"/>
      <c r="Z2269" s="148">
        <f>ROUND(IF(X2269&gt;I2269,X2269,I2269),4)</f>
        <v>0</v>
      </c>
      <c r="AD2269" s="78">
        <f t="shared" si="48"/>
        <v>0</v>
      </c>
      <c r="AE2269" s="78">
        <f t="shared" si="49"/>
        <v>0</v>
      </c>
    </row>
    <row r="2270" spans="1:31" x14ac:dyDescent="0.2">
      <c r="A2270" s="66"/>
      <c r="B2270" s="66"/>
      <c r="C2270" s="66"/>
      <c r="D2270" s="144"/>
      <c r="E2270" s="67"/>
      <c r="F2270" s="67"/>
      <c r="G2270" s="67"/>
      <c r="H2270" s="67">
        <f>ROUND(+E2270+G2270,4)</f>
        <v>0</v>
      </c>
      <c r="I2270" s="67"/>
      <c r="J2270" s="67">
        <f>ROUND(+I2270-H2270,4)</f>
        <v>0</v>
      </c>
      <c r="K2270" s="67">
        <f>ROUND(IF(F2270="alluminio",0,I2270*1.5%),4)</f>
        <v>0</v>
      </c>
      <c r="L2270" s="67">
        <f>ROUND(IF(K2270&lt;J2270,K2270,0),4)</f>
        <v>0</v>
      </c>
      <c r="M2270" s="67">
        <f>ROUND(IF(J2270&gt;K2270,0,J2270),4)</f>
        <v>0</v>
      </c>
      <c r="N2270" s="67">
        <f>ROUND(+L2270*D2270,4)</f>
        <v>0</v>
      </c>
      <c r="O2270" s="67">
        <f>ROUND(IF(F2270="rame",0,+I2270*3%),4)</f>
        <v>0</v>
      </c>
      <c r="P2270" s="67">
        <f>ROUND(IF(O2270&lt;J2270,O2270,0),4)</f>
        <v>0</v>
      </c>
      <c r="Q2270" s="67">
        <f>ROUND(IF(J2270&gt;O2270,0,J2270),4)</f>
        <v>0</v>
      </c>
      <c r="R2270" s="67">
        <f>ROUND(+P2270*D2270,4)</f>
        <v>0</v>
      </c>
      <c r="S2270" s="67">
        <f>ROUND(IF(K2270=0,0,M2270*D2270),4)</f>
        <v>0</v>
      </c>
      <c r="T2270" s="67">
        <f>ROUND(+IF(K2270=0,Q2270*D2270,0),4)</f>
        <v>0</v>
      </c>
      <c r="U2270" s="67">
        <f>ROUND(+N2270+R2270+S2270+T2270,4)</f>
        <v>0</v>
      </c>
      <c r="V2270" s="67">
        <f>ROUND(IF(P2270=0,0,I2270-H2270-O2270)+IF(L2270=0,0,I2270-H2270-K2270),4)</f>
        <v>0</v>
      </c>
      <c r="W2270" s="67">
        <f>ROUND(+(V2270*60%)*D2270,4)</f>
        <v>0</v>
      </c>
      <c r="X2270" s="148">
        <f>ROUND(+U2270+W2270,4)</f>
        <v>0</v>
      </c>
      <c r="Y2270" s="68"/>
      <c r="Z2270" s="148">
        <f>ROUND(IF(X2270&gt;I2270,X2270,I2270),4)</f>
        <v>0</v>
      </c>
      <c r="AD2270" s="78">
        <f t="shared" si="48"/>
        <v>0</v>
      </c>
      <c r="AE2270" s="78">
        <f t="shared" si="49"/>
        <v>0</v>
      </c>
    </row>
    <row r="2271" spans="1:31" x14ac:dyDescent="0.2">
      <c r="A2271" s="66"/>
      <c r="B2271" s="66"/>
      <c r="C2271" s="66"/>
      <c r="D2271" s="144"/>
      <c r="E2271" s="67"/>
      <c r="F2271" s="67"/>
      <c r="G2271" s="67"/>
      <c r="H2271" s="67">
        <f>ROUND(+E2271+G2271,4)</f>
        <v>0</v>
      </c>
      <c r="I2271" s="67"/>
      <c r="J2271" s="67">
        <f>ROUND(+I2271-H2271,4)</f>
        <v>0</v>
      </c>
      <c r="K2271" s="67">
        <f>ROUND(IF(F2271="alluminio",0,I2271*1.5%),4)</f>
        <v>0</v>
      </c>
      <c r="L2271" s="67">
        <f>ROUND(IF(K2271&lt;J2271,K2271,0),4)</f>
        <v>0</v>
      </c>
      <c r="M2271" s="67">
        <f>ROUND(IF(J2271&gt;K2271,0,J2271),4)</f>
        <v>0</v>
      </c>
      <c r="N2271" s="67">
        <f>ROUND(+L2271*D2271,4)</f>
        <v>0</v>
      </c>
      <c r="O2271" s="67">
        <f>ROUND(IF(F2271="rame",0,+I2271*3%),4)</f>
        <v>0</v>
      </c>
      <c r="P2271" s="67">
        <f>ROUND(IF(O2271&lt;J2271,O2271,0),4)</f>
        <v>0</v>
      </c>
      <c r="Q2271" s="67">
        <f>ROUND(IF(J2271&gt;O2271,0,J2271),4)</f>
        <v>0</v>
      </c>
      <c r="R2271" s="67">
        <f>ROUND(+P2271*D2271,4)</f>
        <v>0</v>
      </c>
      <c r="S2271" s="67">
        <f>ROUND(IF(K2271=0,0,M2271*D2271),4)</f>
        <v>0</v>
      </c>
      <c r="T2271" s="67">
        <f>ROUND(+IF(K2271=0,Q2271*D2271,0),4)</f>
        <v>0</v>
      </c>
      <c r="U2271" s="67">
        <f>ROUND(+N2271+R2271+S2271+T2271,4)</f>
        <v>0</v>
      </c>
      <c r="V2271" s="67">
        <f>ROUND(IF(P2271=0,0,I2271-H2271-O2271)+IF(L2271=0,0,I2271-H2271-K2271),4)</f>
        <v>0</v>
      </c>
      <c r="W2271" s="67">
        <f>ROUND(+(V2271*60%)*D2271,4)</f>
        <v>0</v>
      </c>
      <c r="X2271" s="148">
        <f>ROUND(+U2271+W2271,4)</f>
        <v>0</v>
      </c>
      <c r="Y2271" s="68"/>
      <c r="Z2271" s="148">
        <f>ROUND(IF(X2271&gt;I2271,X2271,I2271),4)</f>
        <v>0</v>
      </c>
      <c r="AD2271" s="78">
        <f t="shared" si="48"/>
        <v>0</v>
      </c>
      <c r="AE2271" s="78">
        <f t="shared" si="49"/>
        <v>0</v>
      </c>
    </row>
    <row r="2272" spans="1:31" x14ac:dyDescent="0.2">
      <c r="A2272" s="66"/>
      <c r="B2272" s="66"/>
      <c r="C2272" s="66"/>
      <c r="D2272" s="144"/>
      <c r="E2272" s="67"/>
      <c r="F2272" s="67"/>
      <c r="G2272" s="67"/>
      <c r="H2272" s="67">
        <f>ROUND(+E2272+G2272,4)</f>
        <v>0</v>
      </c>
      <c r="I2272" s="67"/>
      <c r="J2272" s="67">
        <f>ROUND(+I2272-H2272,4)</f>
        <v>0</v>
      </c>
      <c r="K2272" s="67">
        <f>ROUND(IF(F2272="alluminio",0,I2272*1.5%),4)</f>
        <v>0</v>
      </c>
      <c r="L2272" s="67">
        <f>ROUND(IF(K2272&lt;J2272,K2272,0),4)</f>
        <v>0</v>
      </c>
      <c r="M2272" s="67">
        <f>ROUND(IF(J2272&gt;K2272,0,J2272),4)</f>
        <v>0</v>
      </c>
      <c r="N2272" s="67">
        <f>ROUND(+L2272*D2272,4)</f>
        <v>0</v>
      </c>
      <c r="O2272" s="67">
        <f>ROUND(IF(F2272="rame",0,+I2272*3%),4)</f>
        <v>0</v>
      </c>
      <c r="P2272" s="67">
        <f>ROUND(IF(O2272&lt;J2272,O2272,0),4)</f>
        <v>0</v>
      </c>
      <c r="Q2272" s="67">
        <f>ROUND(IF(J2272&gt;O2272,0,J2272),4)</f>
        <v>0</v>
      </c>
      <c r="R2272" s="67">
        <f>ROUND(+P2272*D2272,4)</f>
        <v>0</v>
      </c>
      <c r="S2272" s="67">
        <f>ROUND(IF(K2272=0,0,M2272*D2272),4)</f>
        <v>0</v>
      </c>
      <c r="T2272" s="67">
        <f>ROUND(+IF(K2272=0,Q2272*D2272,0),4)</f>
        <v>0</v>
      </c>
      <c r="U2272" s="67">
        <f>ROUND(+N2272+R2272+S2272+T2272,4)</f>
        <v>0</v>
      </c>
      <c r="V2272" s="67">
        <f>ROUND(IF(P2272=0,0,I2272-H2272-O2272)+IF(L2272=0,0,I2272-H2272-K2272),4)</f>
        <v>0</v>
      </c>
      <c r="W2272" s="67">
        <f>ROUND(+(V2272*60%)*D2272,4)</f>
        <v>0</v>
      </c>
      <c r="X2272" s="148">
        <f>ROUND(+U2272+W2272,4)</f>
        <v>0</v>
      </c>
      <c r="Y2272" s="68"/>
      <c r="Z2272" s="148">
        <f>ROUND(IF(X2272&gt;I2272,X2272,I2272),4)</f>
        <v>0</v>
      </c>
      <c r="AD2272" s="78">
        <f t="shared" si="48"/>
        <v>0</v>
      </c>
      <c r="AE2272" s="78">
        <f t="shared" si="49"/>
        <v>0</v>
      </c>
    </row>
    <row r="2273" spans="1:31" x14ac:dyDescent="0.2">
      <c r="A2273" s="66"/>
      <c r="B2273" s="66"/>
      <c r="C2273" s="66"/>
      <c r="D2273" s="144"/>
      <c r="E2273" s="67"/>
      <c r="F2273" s="67"/>
      <c r="G2273" s="67"/>
      <c r="H2273" s="67">
        <f>ROUND(+E2273+G2273,4)</f>
        <v>0</v>
      </c>
      <c r="I2273" s="67"/>
      <c r="J2273" s="67">
        <f>ROUND(+I2273-H2273,4)</f>
        <v>0</v>
      </c>
      <c r="K2273" s="67">
        <f>ROUND(IF(F2273="alluminio",0,I2273*1.5%),4)</f>
        <v>0</v>
      </c>
      <c r="L2273" s="67">
        <f>ROUND(IF(K2273&lt;J2273,K2273,0),4)</f>
        <v>0</v>
      </c>
      <c r="M2273" s="67">
        <f>ROUND(IF(J2273&gt;K2273,0,J2273),4)</f>
        <v>0</v>
      </c>
      <c r="N2273" s="67">
        <f>ROUND(+L2273*D2273,4)</f>
        <v>0</v>
      </c>
      <c r="O2273" s="67">
        <f>ROUND(IF(F2273="rame",0,+I2273*3%),4)</f>
        <v>0</v>
      </c>
      <c r="P2273" s="67">
        <f>ROUND(IF(O2273&lt;J2273,O2273,0),4)</f>
        <v>0</v>
      </c>
      <c r="Q2273" s="67">
        <f>ROUND(IF(J2273&gt;O2273,0,J2273),4)</f>
        <v>0</v>
      </c>
      <c r="R2273" s="67">
        <f>ROUND(+P2273*D2273,4)</f>
        <v>0</v>
      </c>
      <c r="S2273" s="67">
        <f>ROUND(IF(K2273=0,0,M2273*D2273),4)</f>
        <v>0</v>
      </c>
      <c r="T2273" s="67">
        <f>ROUND(+IF(K2273=0,Q2273*D2273,0),4)</f>
        <v>0</v>
      </c>
      <c r="U2273" s="67">
        <f>ROUND(+N2273+R2273+S2273+T2273,4)</f>
        <v>0</v>
      </c>
      <c r="V2273" s="67">
        <f>ROUND(IF(P2273=0,0,I2273-H2273-O2273)+IF(L2273=0,0,I2273-H2273-K2273),4)</f>
        <v>0</v>
      </c>
      <c r="W2273" s="67">
        <f>ROUND(+(V2273*60%)*D2273,4)</f>
        <v>0</v>
      </c>
      <c r="X2273" s="148">
        <f>ROUND(+U2273+W2273,4)</f>
        <v>0</v>
      </c>
      <c r="Y2273" s="68"/>
      <c r="Z2273" s="148">
        <f>ROUND(IF(X2273&gt;I2273,X2273,I2273),4)</f>
        <v>0</v>
      </c>
      <c r="AD2273" s="78">
        <f t="shared" si="48"/>
        <v>0</v>
      </c>
      <c r="AE2273" s="78">
        <f t="shared" si="49"/>
        <v>0</v>
      </c>
    </row>
    <row r="2274" spans="1:31" x14ac:dyDescent="0.2">
      <c r="A2274" s="66"/>
      <c r="B2274" s="66"/>
      <c r="C2274" s="66"/>
      <c r="D2274" s="144"/>
      <c r="E2274" s="67"/>
      <c r="F2274" s="67"/>
      <c r="G2274" s="67"/>
      <c r="H2274" s="67">
        <f>ROUND(+E2274+G2274,4)</f>
        <v>0</v>
      </c>
      <c r="I2274" s="67"/>
      <c r="J2274" s="67">
        <f>ROUND(+I2274-H2274,4)</f>
        <v>0</v>
      </c>
      <c r="K2274" s="67">
        <f>ROUND(IF(F2274="alluminio",0,I2274*1.5%),4)</f>
        <v>0</v>
      </c>
      <c r="L2274" s="67">
        <f>ROUND(IF(K2274&lt;J2274,K2274,0),4)</f>
        <v>0</v>
      </c>
      <c r="M2274" s="67">
        <f>ROUND(IF(J2274&gt;K2274,0,J2274),4)</f>
        <v>0</v>
      </c>
      <c r="N2274" s="67">
        <f>ROUND(+L2274*D2274,4)</f>
        <v>0</v>
      </c>
      <c r="O2274" s="67">
        <f>ROUND(IF(F2274="rame",0,+I2274*3%),4)</f>
        <v>0</v>
      </c>
      <c r="P2274" s="67">
        <f>ROUND(IF(O2274&lt;J2274,O2274,0),4)</f>
        <v>0</v>
      </c>
      <c r="Q2274" s="67">
        <f>ROUND(IF(J2274&gt;O2274,0,J2274),4)</f>
        <v>0</v>
      </c>
      <c r="R2274" s="67">
        <f>ROUND(+P2274*D2274,4)</f>
        <v>0</v>
      </c>
      <c r="S2274" s="67">
        <f>ROUND(IF(K2274=0,0,M2274*D2274),4)</f>
        <v>0</v>
      </c>
      <c r="T2274" s="67">
        <f>ROUND(+IF(K2274=0,Q2274*D2274,0),4)</f>
        <v>0</v>
      </c>
      <c r="U2274" s="67">
        <f>ROUND(+N2274+R2274+S2274+T2274,4)</f>
        <v>0</v>
      </c>
      <c r="V2274" s="67">
        <f>ROUND(IF(P2274=0,0,I2274-H2274-O2274)+IF(L2274=0,0,I2274-H2274-K2274),4)</f>
        <v>0</v>
      </c>
      <c r="W2274" s="67">
        <f>ROUND(+(V2274*60%)*D2274,4)</f>
        <v>0</v>
      </c>
      <c r="X2274" s="148">
        <f>ROUND(+U2274+W2274,4)</f>
        <v>0</v>
      </c>
      <c r="Y2274" s="68"/>
      <c r="Z2274" s="148">
        <f>ROUND(IF(X2274&gt;I2274,X2274,I2274),4)</f>
        <v>0</v>
      </c>
      <c r="AD2274" s="78">
        <f t="shared" si="48"/>
        <v>0</v>
      </c>
      <c r="AE2274" s="78">
        <f t="shared" si="49"/>
        <v>0</v>
      </c>
    </row>
    <row r="2275" spans="1:31" x14ac:dyDescent="0.2">
      <c r="A2275" s="66"/>
      <c r="B2275" s="66"/>
      <c r="C2275" s="66"/>
      <c r="D2275" s="144"/>
      <c r="E2275" s="67"/>
      <c r="F2275" s="67"/>
      <c r="G2275" s="67"/>
      <c r="H2275" s="67">
        <f>ROUND(+E2275+G2275,4)</f>
        <v>0</v>
      </c>
      <c r="I2275" s="67"/>
      <c r="J2275" s="67">
        <f>ROUND(+I2275-H2275,4)</f>
        <v>0</v>
      </c>
      <c r="K2275" s="67">
        <f>ROUND(IF(F2275="alluminio",0,I2275*1.5%),4)</f>
        <v>0</v>
      </c>
      <c r="L2275" s="67">
        <f>ROUND(IF(K2275&lt;J2275,K2275,0),4)</f>
        <v>0</v>
      </c>
      <c r="M2275" s="67">
        <f>ROUND(IF(J2275&gt;K2275,0,J2275),4)</f>
        <v>0</v>
      </c>
      <c r="N2275" s="67">
        <f>ROUND(+L2275*D2275,4)</f>
        <v>0</v>
      </c>
      <c r="O2275" s="67">
        <f>ROUND(IF(F2275="rame",0,+I2275*3%),4)</f>
        <v>0</v>
      </c>
      <c r="P2275" s="67">
        <f>ROUND(IF(O2275&lt;J2275,O2275,0),4)</f>
        <v>0</v>
      </c>
      <c r="Q2275" s="67">
        <f>ROUND(IF(J2275&gt;O2275,0,J2275),4)</f>
        <v>0</v>
      </c>
      <c r="R2275" s="67">
        <f>ROUND(+P2275*D2275,4)</f>
        <v>0</v>
      </c>
      <c r="S2275" s="67">
        <f>ROUND(IF(K2275=0,0,M2275*D2275),4)</f>
        <v>0</v>
      </c>
      <c r="T2275" s="67">
        <f>ROUND(+IF(K2275=0,Q2275*D2275,0),4)</f>
        <v>0</v>
      </c>
      <c r="U2275" s="67">
        <f>ROUND(+N2275+R2275+S2275+T2275,4)</f>
        <v>0</v>
      </c>
      <c r="V2275" s="67">
        <f>ROUND(IF(P2275=0,0,I2275-H2275-O2275)+IF(L2275=0,0,I2275-H2275-K2275),4)</f>
        <v>0</v>
      </c>
      <c r="W2275" s="67">
        <f>ROUND(+(V2275*60%)*D2275,4)</f>
        <v>0</v>
      </c>
      <c r="X2275" s="148">
        <f>ROUND(+U2275+W2275,4)</f>
        <v>0</v>
      </c>
      <c r="Y2275" s="68"/>
      <c r="Z2275" s="148">
        <f>ROUND(IF(X2275&gt;I2275,X2275,I2275),4)</f>
        <v>0</v>
      </c>
      <c r="AD2275" s="78">
        <f t="shared" si="48"/>
        <v>0</v>
      </c>
      <c r="AE2275" s="78">
        <f t="shared" si="49"/>
        <v>0</v>
      </c>
    </row>
    <row r="2276" spans="1:31" x14ac:dyDescent="0.2">
      <c r="A2276" s="66"/>
      <c r="B2276" s="66"/>
      <c r="C2276" s="66"/>
      <c r="D2276" s="144"/>
      <c r="E2276" s="67"/>
      <c r="F2276" s="67"/>
      <c r="G2276" s="67"/>
      <c r="H2276" s="67">
        <f>ROUND(+E2276+G2276,4)</f>
        <v>0</v>
      </c>
      <c r="I2276" s="67"/>
      <c r="J2276" s="67">
        <f>ROUND(+I2276-H2276,4)</f>
        <v>0</v>
      </c>
      <c r="K2276" s="67">
        <f>ROUND(IF(F2276="alluminio",0,I2276*1.5%),4)</f>
        <v>0</v>
      </c>
      <c r="L2276" s="67">
        <f>ROUND(IF(K2276&lt;J2276,K2276,0),4)</f>
        <v>0</v>
      </c>
      <c r="M2276" s="67">
        <f>ROUND(IF(J2276&gt;K2276,0,J2276),4)</f>
        <v>0</v>
      </c>
      <c r="N2276" s="67">
        <f>ROUND(+L2276*D2276,4)</f>
        <v>0</v>
      </c>
      <c r="O2276" s="67">
        <f>ROUND(IF(F2276="rame",0,+I2276*3%),4)</f>
        <v>0</v>
      </c>
      <c r="P2276" s="67">
        <f>ROUND(IF(O2276&lt;J2276,O2276,0),4)</f>
        <v>0</v>
      </c>
      <c r="Q2276" s="67">
        <f>ROUND(IF(J2276&gt;O2276,0,J2276),4)</f>
        <v>0</v>
      </c>
      <c r="R2276" s="67">
        <f>ROUND(+P2276*D2276,4)</f>
        <v>0</v>
      </c>
      <c r="S2276" s="67">
        <f>ROUND(IF(K2276=0,0,M2276*D2276),4)</f>
        <v>0</v>
      </c>
      <c r="T2276" s="67">
        <f>ROUND(+IF(K2276=0,Q2276*D2276,0),4)</f>
        <v>0</v>
      </c>
      <c r="U2276" s="67">
        <f>ROUND(+N2276+R2276+S2276+T2276,4)</f>
        <v>0</v>
      </c>
      <c r="V2276" s="67">
        <f>ROUND(IF(P2276=0,0,I2276-H2276-O2276)+IF(L2276=0,0,I2276-H2276-K2276),4)</f>
        <v>0</v>
      </c>
      <c r="W2276" s="67">
        <f>ROUND(+(V2276*60%)*D2276,4)</f>
        <v>0</v>
      </c>
      <c r="X2276" s="148">
        <f>ROUND(+U2276+W2276,4)</f>
        <v>0</v>
      </c>
      <c r="Y2276" s="68"/>
      <c r="Z2276" s="148">
        <f>ROUND(IF(X2276&gt;I2276,X2276,I2276),4)</f>
        <v>0</v>
      </c>
      <c r="AD2276" s="78">
        <f t="shared" si="48"/>
        <v>0</v>
      </c>
      <c r="AE2276" s="78">
        <f t="shared" si="49"/>
        <v>0</v>
      </c>
    </row>
    <row r="2277" spans="1:31" x14ac:dyDescent="0.2">
      <c r="A2277" s="66"/>
      <c r="B2277" s="66"/>
      <c r="C2277" s="66"/>
      <c r="D2277" s="144"/>
      <c r="E2277" s="67"/>
      <c r="F2277" s="67"/>
      <c r="G2277" s="67"/>
      <c r="H2277" s="67">
        <f>ROUND(+E2277+G2277,4)</f>
        <v>0</v>
      </c>
      <c r="I2277" s="67"/>
      <c r="J2277" s="67">
        <f>ROUND(+I2277-H2277,4)</f>
        <v>0</v>
      </c>
      <c r="K2277" s="67">
        <f>ROUND(IF(F2277="alluminio",0,I2277*1.5%),4)</f>
        <v>0</v>
      </c>
      <c r="L2277" s="67">
        <f>ROUND(IF(K2277&lt;J2277,K2277,0),4)</f>
        <v>0</v>
      </c>
      <c r="M2277" s="67">
        <f>ROUND(IF(J2277&gt;K2277,0,J2277),4)</f>
        <v>0</v>
      </c>
      <c r="N2277" s="67">
        <f>ROUND(+L2277*D2277,4)</f>
        <v>0</v>
      </c>
      <c r="O2277" s="67">
        <f>ROUND(IF(F2277="rame",0,+I2277*3%),4)</f>
        <v>0</v>
      </c>
      <c r="P2277" s="67">
        <f>ROUND(IF(O2277&lt;J2277,O2277,0),4)</f>
        <v>0</v>
      </c>
      <c r="Q2277" s="67">
        <f>ROUND(IF(J2277&gt;O2277,0,J2277),4)</f>
        <v>0</v>
      </c>
      <c r="R2277" s="67">
        <f>ROUND(+P2277*D2277,4)</f>
        <v>0</v>
      </c>
      <c r="S2277" s="67">
        <f>ROUND(IF(K2277=0,0,M2277*D2277),4)</f>
        <v>0</v>
      </c>
      <c r="T2277" s="67">
        <f>ROUND(+IF(K2277=0,Q2277*D2277,0),4)</f>
        <v>0</v>
      </c>
      <c r="U2277" s="67">
        <f>ROUND(+N2277+R2277+S2277+T2277,4)</f>
        <v>0</v>
      </c>
      <c r="V2277" s="67">
        <f>ROUND(IF(P2277=0,0,I2277-H2277-O2277)+IF(L2277=0,0,I2277-H2277-K2277),4)</f>
        <v>0</v>
      </c>
      <c r="W2277" s="67">
        <f>ROUND(+(V2277*60%)*D2277,4)</f>
        <v>0</v>
      </c>
      <c r="X2277" s="148">
        <f>ROUND(+U2277+W2277,4)</f>
        <v>0</v>
      </c>
      <c r="Y2277" s="68"/>
      <c r="Z2277" s="148">
        <f>ROUND(IF(X2277&gt;I2277,X2277,I2277),4)</f>
        <v>0</v>
      </c>
      <c r="AD2277" s="78">
        <f t="shared" si="48"/>
        <v>0</v>
      </c>
      <c r="AE2277" s="78">
        <f t="shared" si="49"/>
        <v>0</v>
      </c>
    </row>
    <row r="2278" spans="1:31" x14ac:dyDescent="0.2">
      <c r="A2278" s="66"/>
      <c r="B2278" s="66"/>
      <c r="C2278" s="66"/>
      <c r="D2278" s="144"/>
      <c r="E2278" s="67"/>
      <c r="F2278" s="67"/>
      <c r="G2278" s="67"/>
      <c r="H2278" s="67">
        <f>ROUND(+E2278+G2278,4)</f>
        <v>0</v>
      </c>
      <c r="I2278" s="67"/>
      <c r="J2278" s="67">
        <f>ROUND(+I2278-H2278,4)</f>
        <v>0</v>
      </c>
      <c r="K2278" s="67">
        <f>ROUND(IF(F2278="alluminio",0,I2278*1.5%),4)</f>
        <v>0</v>
      </c>
      <c r="L2278" s="67">
        <f>ROUND(IF(K2278&lt;J2278,K2278,0),4)</f>
        <v>0</v>
      </c>
      <c r="M2278" s="67">
        <f>ROUND(IF(J2278&gt;K2278,0,J2278),4)</f>
        <v>0</v>
      </c>
      <c r="N2278" s="67">
        <f>ROUND(+L2278*D2278,4)</f>
        <v>0</v>
      </c>
      <c r="O2278" s="67">
        <f>ROUND(IF(F2278="rame",0,+I2278*3%),4)</f>
        <v>0</v>
      </c>
      <c r="P2278" s="67">
        <f>ROUND(IF(O2278&lt;J2278,O2278,0),4)</f>
        <v>0</v>
      </c>
      <c r="Q2278" s="67">
        <f>ROUND(IF(J2278&gt;O2278,0,J2278),4)</f>
        <v>0</v>
      </c>
      <c r="R2278" s="67">
        <f>ROUND(+P2278*D2278,4)</f>
        <v>0</v>
      </c>
      <c r="S2278" s="67">
        <f>ROUND(IF(K2278=0,0,M2278*D2278),4)</f>
        <v>0</v>
      </c>
      <c r="T2278" s="67">
        <f>ROUND(+IF(K2278=0,Q2278*D2278,0),4)</f>
        <v>0</v>
      </c>
      <c r="U2278" s="67">
        <f>ROUND(+N2278+R2278+S2278+T2278,4)</f>
        <v>0</v>
      </c>
      <c r="V2278" s="67">
        <f>ROUND(IF(P2278=0,0,I2278-H2278-O2278)+IF(L2278=0,0,I2278-H2278-K2278),4)</f>
        <v>0</v>
      </c>
      <c r="W2278" s="67">
        <f>ROUND(+(V2278*60%)*D2278,4)</f>
        <v>0</v>
      </c>
      <c r="X2278" s="148">
        <f>ROUND(+U2278+W2278,4)</f>
        <v>0</v>
      </c>
      <c r="Y2278" s="68"/>
      <c r="Z2278" s="148">
        <f>ROUND(IF(X2278&gt;I2278,X2278,I2278),4)</f>
        <v>0</v>
      </c>
      <c r="AD2278" s="78">
        <f t="shared" si="48"/>
        <v>0</v>
      </c>
      <c r="AE2278" s="78">
        <f t="shared" si="49"/>
        <v>0</v>
      </c>
    </row>
    <row r="2279" spans="1:31" x14ac:dyDescent="0.2">
      <c r="A2279" s="66"/>
      <c r="B2279" s="66"/>
      <c r="C2279" s="66"/>
      <c r="D2279" s="144"/>
      <c r="E2279" s="67"/>
      <c r="F2279" s="67"/>
      <c r="G2279" s="67"/>
      <c r="H2279" s="67">
        <f>ROUND(+E2279+G2279,4)</f>
        <v>0</v>
      </c>
      <c r="I2279" s="67"/>
      <c r="J2279" s="67">
        <f>ROUND(+I2279-H2279,4)</f>
        <v>0</v>
      </c>
      <c r="K2279" s="67">
        <f>ROUND(IF(F2279="alluminio",0,I2279*1.5%),4)</f>
        <v>0</v>
      </c>
      <c r="L2279" s="67">
        <f>ROUND(IF(K2279&lt;J2279,K2279,0),4)</f>
        <v>0</v>
      </c>
      <c r="M2279" s="67">
        <f>ROUND(IF(J2279&gt;K2279,0,J2279),4)</f>
        <v>0</v>
      </c>
      <c r="N2279" s="67">
        <f>ROUND(+L2279*D2279,4)</f>
        <v>0</v>
      </c>
      <c r="O2279" s="67">
        <f>ROUND(IF(F2279="rame",0,+I2279*3%),4)</f>
        <v>0</v>
      </c>
      <c r="P2279" s="67">
        <f>ROUND(IF(O2279&lt;J2279,O2279,0),4)</f>
        <v>0</v>
      </c>
      <c r="Q2279" s="67">
        <f>ROUND(IF(J2279&gt;O2279,0,J2279),4)</f>
        <v>0</v>
      </c>
      <c r="R2279" s="67">
        <f>ROUND(+P2279*D2279,4)</f>
        <v>0</v>
      </c>
      <c r="S2279" s="67">
        <f>ROUND(IF(K2279=0,0,M2279*D2279),4)</f>
        <v>0</v>
      </c>
      <c r="T2279" s="67">
        <f>ROUND(+IF(K2279=0,Q2279*D2279,0),4)</f>
        <v>0</v>
      </c>
      <c r="U2279" s="67">
        <f>ROUND(+N2279+R2279+S2279+T2279,4)</f>
        <v>0</v>
      </c>
      <c r="V2279" s="67">
        <f>ROUND(IF(P2279=0,0,I2279-H2279-O2279)+IF(L2279=0,0,I2279-H2279-K2279),4)</f>
        <v>0</v>
      </c>
      <c r="W2279" s="67">
        <f>ROUND(+(V2279*60%)*D2279,4)</f>
        <v>0</v>
      </c>
      <c r="X2279" s="148">
        <f>ROUND(+U2279+W2279,4)</f>
        <v>0</v>
      </c>
      <c r="Y2279" s="68"/>
      <c r="Z2279" s="148">
        <f>ROUND(IF(X2279&gt;I2279,X2279,I2279),4)</f>
        <v>0</v>
      </c>
      <c r="AD2279" s="78">
        <f t="shared" si="48"/>
        <v>0</v>
      </c>
      <c r="AE2279" s="78">
        <f t="shared" si="49"/>
        <v>0</v>
      </c>
    </row>
    <row r="2280" spans="1:31" x14ac:dyDescent="0.2">
      <c r="A2280" s="66"/>
      <c r="B2280" s="66"/>
      <c r="C2280" s="66"/>
      <c r="D2280" s="144"/>
      <c r="E2280" s="67"/>
      <c r="F2280" s="67"/>
      <c r="G2280" s="67"/>
      <c r="H2280" s="67">
        <f>ROUND(+E2280+G2280,4)</f>
        <v>0</v>
      </c>
      <c r="I2280" s="67"/>
      <c r="J2280" s="67">
        <f>ROUND(+I2280-H2280,4)</f>
        <v>0</v>
      </c>
      <c r="K2280" s="67">
        <f>ROUND(IF(F2280="alluminio",0,I2280*1.5%),4)</f>
        <v>0</v>
      </c>
      <c r="L2280" s="67">
        <f>ROUND(IF(K2280&lt;J2280,K2280,0),4)</f>
        <v>0</v>
      </c>
      <c r="M2280" s="67">
        <f>ROUND(IF(J2280&gt;K2280,0,J2280),4)</f>
        <v>0</v>
      </c>
      <c r="N2280" s="67">
        <f>ROUND(+L2280*D2280,4)</f>
        <v>0</v>
      </c>
      <c r="O2280" s="67">
        <f>ROUND(IF(F2280="rame",0,+I2280*3%),4)</f>
        <v>0</v>
      </c>
      <c r="P2280" s="67">
        <f>ROUND(IF(O2280&lt;J2280,O2280,0),4)</f>
        <v>0</v>
      </c>
      <c r="Q2280" s="67">
        <f>ROUND(IF(J2280&gt;O2280,0,J2280),4)</f>
        <v>0</v>
      </c>
      <c r="R2280" s="67">
        <f>ROUND(+P2280*D2280,4)</f>
        <v>0</v>
      </c>
      <c r="S2280" s="67">
        <f>ROUND(IF(K2280=0,0,M2280*D2280),4)</f>
        <v>0</v>
      </c>
      <c r="T2280" s="67">
        <f>ROUND(+IF(K2280=0,Q2280*D2280,0),4)</f>
        <v>0</v>
      </c>
      <c r="U2280" s="67">
        <f>ROUND(+N2280+R2280+S2280+T2280,4)</f>
        <v>0</v>
      </c>
      <c r="V2280" s="67">
        <f>ROUND(IF(P2280=0,0,I2280-H2280-O2280)+IF(L2280=0,0,I2280-H2280-K2280),4)</f>
        <v>0</v>
      </c>
      <c r="W2280" s="67">
        <f>ROUND(+(V2280*60%)*D2280,4)</f>
        <v>0</v>
      </c>
      <c r="X2280" s="148">
        <f>ROUND(+U2280+W2280,4)</f>
        <v>0</v>
      </c>
      <c r="Y2280" s="68"/>
      <c r="Z2280" s="148">
        <f>ROUND(IF(X2280&gt;I2280,X2280,I2280),4)</f>
        <v>0</v>
      </c>
      <c r="AD2280" s="78">
        <f t="shared" si="48"/>
        <v>0</v>
      </c>
      <c r="AE2280" s="78">
        <f t="shared" si="49"/>
        <v>0</v>
      </c>
    </row>
    <row r="2281" spans="1:31" x14ac:dyDescent="0.2">
      <c r="A2281" s="66"/>
      <c r="B2281" s="66"/>
      <c r="C2281" s="66"/>
      <c r="D2281" s="144"/>
      <c r="E2281" s="67"/>
      <c r="F2281" s="67"/>
      <c r="G2281" s="67"/>
      <c r="H2281" s="67">
        <f>ROUND(+E2281+G2281,4)</f>
        <v>0</v>
      </c>
      <c r="I2281" s="67"/>
      <c r="J2281" s="67">
        <f>ROUND(+I2281-H2281,4)</f>
        <v>0</v>
      </c>
      <c r="K2281" s="67">
        <f>ROUND(IF(F2281="alluminio",0,I2281*1.5%),4)</f>
        <v>0</v>
      </c>
      <c r="L2281" s="67">
        <f>ROUND(IF(K2281&lt;J2281,K2281,0),4)</f>
        <v>0</v>
      </c>
      <c r="M2281" s="67">
        <f>ROUND(IF(J2281&gt;K2281,0,J2281),4)</f>
        <v>0</v>
      </c>
      <c r="N2281" s="67">
        <f>ROUND(+L2281*D2281,4)</f>
        <v>0</v>
      </c>
      <c r="O2281" s="67">
        <f>ROUND(IF(F2281="rame",0,+I2281*3%),4)</f>
        <v>0</v>
      </c>
      <c r="P2281" s="67">
        <f>ROUND(IF(O2281&lt;J2281,O2281,0),4)</f>
        <v>0</v>
      </c>
      <c r="Q2281" s="67">
        <f>ROUND(IF(J2281&gt;O2281,0,J2281),4)</f>
        <v>0</v>
      </c>
      <c r="R2281" s="67">
        <f>ROUND(+P2281*D2281,4)</f>
        <v>0</v>
      </c>
      <c r="S2281" s="67">
        <f>ROUND(IF(K2281=0,0,M2281*D2281),4)</f>
        <v>0</v>
      </c>
      <c r="T2281" s="67">
        <f>ROUND(+IF(K2281=0,Q2281*D2281,0),4)</f>
        <v>0</v>
      </c>
      <c r="U2281" s="67">
        <f>ROUND(+N2281+R2281+S2281+T2281,4)</f>
        <v>0</v>
      </c>
      <c r="V2281" s="67">
        <f>ROUND(IF(P2281=0,0,I2281-H2281-O2281)+IF(L2281=0,0,I2281-H2281-K2281),4)</f>
        <v>0</v>
      </c>
      <c r="W2281" s="67">
        <f>ROUND(+(V2281*60%)*D2281,4)</f>
        <v>0</v>
      </c>
      <c r="X2281" s="148">
        <f>ROUND(+U2281+W2281,4)</f>
        <v>0</v>
      </c>
      <c r="Y2281" s="68"/>
      <c r="Z2281" s="148">
        <f>ROUND(IF(X2281&gt;I2281,X2281,I2281),4)</f>
        <v>0</v>
      </c>
      <c r="AD2281" s="78">
        <f t="shared" si="48"/>
        <v>0</v>
      </c>
      <c r="AE2281" s="78">
        <f t="shared" si="49"/>
        <v>0</v>
      </c>
    </row>
    <row r="2282" spans="1:31" x14ac:dyDescent="0.2">
      <c r="A2282" s="66"/>
      <c r="B2282" s="66"/>
      <c r="C2282" s="66"/>
      <c r="D2282" s="144"/>
      <c r="E2282" s="67"/>
      <c r="F2282" s="67"/>
      <c r="G2282" s="67"/>
      <c r="H2282" s="67">
        <f>ROUND(+E2282+G2282,4)</f>
        <v>0</v>
      </c>
      <c r="I2282" s="67"/>
      <c r="J2282" s="67">
        <f>ROUND(+I2282-H2282,4)</f>
        <v>0</v>
      </c>
      <c r="K2282" s="67">
        <f>ROUND(IF(F2282="alluminio",0,I2282*1.5%),4)</f>
        <v>0</v>
      </c>
      <c r="L2282" s="67">
        <f>ROUND(IF(K2282&lt;J2282,K2282,0),4)</f>
        <v>0</v>
      </c>
      <c r="M2282" s="67">
        <f>ROUND(IF(J2282&gt;K2282,0,J2282),4)</f>
        <v>0</v>
      </c>
      <c r="N2282" s="67">
        <f>ROUND(+L2282*D2282,4)</f>
        <v>0</v>
      </c>
      <c r="O2282" s="67">
        <f>ROUND(IF(F2282="rame",0,+I2282*3%),4)</f>
        <v>0</v>
      </c>
      <c r="P2282" s="67">
        <f>ROUND(IF(O2282&lt;J2282,O2282,0),4)</f>
        <v>0</v>
      </c>
      <c r="Q2282" s="67">
        <f>ROUND(IF(J2282&gt;O2282,0,J2282),4)</f>
        <v>0</v>
      </c>
      <c r="R2282" s="67">
        <f>ROUND(+P2282*D2282,4)</f>
        <v>0</v>
      </c>
      <c r="S2282" s="67">
        <f>ROUND(IF(K2282=0,0,M2282*D2282),4)</f>
        <v>0</v>
      </c>
      <c r="T2282" s="67">
        <f>ROUND(+IF(K2282=0,Q2282*D2282,0),4)</f>
        <v>0</v>
      </c>
      <c r="U2282" s="67">
        <f>ROUND(+N2282+R2282+S2282+T2282,4)</f>
        <v>0</v>
      </c>
      <c r="V2282" s="67">
        <f>ROUND(IF(P2282=0,0,I2282-H2282-O2282)+IF(L2282=0,0,I2282-H2282-K2282),4)</f>
        <v>0</v>
      </c>
      <c r="W2282" s="67">
        <f>ROUND(+(V2282*60%)*D2282,4)</f>
        <v>0</v>
      </c>
      <c r="X2282" s="148">
        <f>ROUND(+U2282+W2282,4)</f>
        <v>0</v>
      </c>
      <c r="Y2282" s="68"/>
      <c r="Z2282" s="148">
        <f>ROUND(IF(X2282&gt;I2282,X2282,I2282),4)</f>
        <v>0</v>
      </c>
      <c r="AD2282" s="78">
        <f t="shared" si="48"/>
        <v>0</v>
      </c>
      <c r="AE2282" s="78">
        <f t="shared" si="49"/>
        <v>0</v>
      </c>
    </row>
    <row r="2283" spans="1:31" x14ac:dyDescent="0.2">
      <c r="A2283" s="66"/>
      <c r="B2283" s="66"/>
      <c r="C2283" s="66"/>
      <c r="D2283" s="144"/>
      <c r="E2283" s="67"/>
      <c r="F2283" s="67"/>
      <c r="G2283" s="67"/>
      <c r="H2283" s="67">
        <f>ROUND(+E2283+G2283,4)</f>
        <v>0</v>
      </c>
      <c r="I2283" s="67"/>
      <c r="J2283" s="67">
        <f>ROUND(+I2283-H2283,4)</f>
        <v>0</v>
      </c>
      <c r="K2283" s="67">
        <f>ROUND(IF(F2283="alluminio",0,I2283*1.5%),4)</f>
        <v>0</v>
      </c>
      <c r="L2283" s="67">
        <f>ROUND(IF(K2283&lt;J2283,K2283,0),4)</f>
        <v>0</v>
      </c>
      <c r="M2283" s="67">
        <f>ROUND(IF(J2283&gt;K2283,0,J2283),4)</f>
        <v>0</v>
      </c>
      <c r="N2283" s="67">
        <f>ROUND(+L2283*D2283,4)</f>
        <v>0</v>
      </c>
      <c r="O2283" s="67">
        <f>ROUND(IF(F2283="rame",0,+I2283*3%),4)</f>
        <v>0</v>
      </c>
      <c r="P2283" s="67">
        <f>ROUND(IF(O2283&lt;J2283,O2283,0),4)</f>
        <v>0</v>
      </c>
      <c r="Q2283" s="67">
        <f>ROUND(IF(J2283&gt;O2283,0,J2283),4)</f>
        <v>0</v>
      </c>
      <c r="R2283" s="67">
        <f>ROUND(+P2283*D2283,4)</f>
        <v>0</v>
      </c>
      <c r="S2283" s="67">
        <f>ROUND(IF(K2283=0,0,M2283*D2283),4)</f>
        <v>0</v>
      </c>
      <c r="T2283" s="67">
        <f>ROUND(+IF(K2283=0,Q2283*D2283,0),4)</f>
        <v>0</v>
      </c>
      <c r="U2283" s="67">
        <f>ROUND(+N2283+R2283+S2283+T2283,4)</f>
        <v>0</v>
      </c>
      <c r="V2283" s="67">
        <f>ROUND(IF(P2283=0,0,I2283-H2283-O2283)+IF(L2283=0,0,I2283-H2283-K2283),4)</f>
        <v>0</v>
      </c>
      <c r="W2283" s="67">
        <f>ROUND(+(V2283*60%)*D2283,4)</f>
        <v>0</v>
      </c>
      <c r="X2283" s="148">
        <f>ROUND(+U2283+W2283,4)</f>
        <v>0</v>
      </c>
      <c r="Y2283" s="68"/>
      <c r="Z2283" s="148">
        <f>ROUND(IF(X2283&gt;I2283,X2283,I2283),4)</f>
        <v>0</v>
      </c>
      <c r="AD2283" s="78">
        <f t="shared" si="48"/>
        <v>0</v>
      </c>
      <c r="AE2283" s="78">
        <f t="shared" si="49"/>
        <v>0</v>
      </c>
    </row>
    <row r="2284" spans="1:31" x14ac:dyDescent="0.2">
      <c r="A2284" s="66"/>
      <c r="B2284" s="66"/>
      <c r="C2284" s="66"/>
      <c r="D2284" s="144"/>
      <c r="E2284" s="67"/>
      <c r="F2284" s="67"/>
      <c r="G2284" s="67"/>
      <c r="H2284" s="67">
        <f>ROUND(+E2284+G2284,4)</f>
        <v>0</v>
      </c>
      <c r="I2284" s="67"/>
      <c r="J2284" s="67">
        <f>ROUND(+I2284-H2284,4)</f>
        <v>0</v>
      </c>
      <c r="K2284" s="67">
        <f>ROUND(IF(F2284="alluminio",0,I2284*1.5%),4)</f>
        <v>0</v>
      </c>
      <c r="L2284" s="67">
        <f>ROUND(IF(K2284&lt;J2284,K2284,0),4)</f>
        <v>0</v>
      </c>
      <c r="M2284" s="67">
        <f>ROUND(IF(J2284&gt;K2284,0,J2284),4)</f>
        <v>0</v>
      </c>
      <c r="N2284" s="67">
        <f>ROUND(+L2284*D2284,4)</f>
        <v>0</v>
      </c>
      <c r="O2284" s="67">
        <f>ROUND(IF(F2284="rame",0,+I2284*3%),4)</f>
        <v>0</v>
      </c>
      <c r="P2284" s="67">
        <f>ROUND(IF(O2284&lt;J2284,O2284,0),4)</f>
        <v>0</v>
      </c>
      <c r="Q2284" s="67">
        <f>ROUND(IF(J2284&gt;O2284,0,J2284),4)</f>
        <v>0</v>
      </c>
      <c r="R2284" s="67">
        <f>ROUND(+P2284*D2284,4)</f>
        <v>0</v>
      </c>
      <c r="S2284" s="67">
        <f>ROUND(IF(K2284=0,0,M2284*D2284),4)</f>
        <v>0</v>
      </c>
      <c r="T2284" s="67">
        <f>ROUND(+IF(K2284=0,Q2284*D2284,0),4)</f>
        <v>0</v>
      </c>
      <c r="U2284" s="67">
        <f>ROUND(+N2284+R2284+S2284+T2284,4)</f>
        <v>0</v>
      </c>
      <c r="V2284" s="67">
        <f>ROUND(IF(P2284=0,0,I2284-H2284-O2284)+IF(L2284=0,0,I2284-H2284-K2284),4)</f>
        <v>0</v>
      </c>
      <c r="W2284" s="67">
        <f>ROUND(+(V2284*60%)*D2284,4)</f>
        <v>0</v>
      </c>
      <c r="X2284" s="148">
        <f>ROUND(+U2284+W2284,4)</f>
        <v>0</v>
      </c>
      <c r="Y2284" s="68"/>
      <c r="Z2284" s="148">
        <f>ROUND(IF(X2284&gt;I2284,X2284,I2284),4)</f>
        <v>0</v>
      </c>
      <c r="AD2284" s="78">
        <f t="shared" si="48"/>
        <v>0</v>
      </c>
      <c r="AE2284" s="78">
        <f t="shared" si="49"/>
        <v>0</v>
      </c>
    </row>
    <row r="2285" spans="1:31" x14ac:dyDescent="0.2">
      <c r="A2285" s="66"/>
      <c r="B2285" s="66"/>
      <c r="C2285" s="66"/>
      <c r="D2285" s="144"/>
      <c r="E2285" s="67"/>
      <c r="F2285" s="67"/>
      <c r="G2285" s="67"/>
      <c r="H2285" s="67">
        <f>ROUND(+E2285+G2285,4)</f>
        <v>0</v>
      </c>
      <c r="I2285" s="67"/>
      <c r="J2285" s="67">
        <f>ROUND(+I2285-H2285,4)</f>
        <v>0</v>
      </c>
      <c r="K2285" s="67">
        <f>ROUND(IF(F2285="alluminio",0,I2285*1.5%),4)</f>
        <v>0</v>
      </c>
      <c r="L2285" s="67">
        <f>ROUND(IF(K2285&lt;J2285,K2285,0),4)</f>
        <v>0</v>
      </c>
      <c r="M2285" s="67">
        <f>ROUND(IF(J2285&gt;K2285,0,J2285),4)</f>
        <v>0</v>
      </c>
      <c r="N2285" s="67">
        <f>ROUND(+L2285*D2285,4)</f>
        <v>0</v>
      </c>
      <c r="O2285" s="67">
        <f>ROUND(IF(F2285="rame",0,+I2285*3%),4)</f>
        <v>0</v>
      </c>
      <c r="P2285" s="67">
        <f>ROUND(IF(O2285&lt;J2285,O2285,0),4)</f>
        <v>0</v>
      </c>
      <c r="Q2285" s="67">
        <f>ROUND(IF(J2285&gt;O2285,0,J2285),4)</f>
        <v>0</v>
      </c>
      <c r="R2285" s="67">
        <f>ROUND(+P2285*D2285,4)</f>
        <v>0</v>
      </c>
      <c r="S2285" s="67">
        <f>ROUND(IF(K2285=0,0,M2285*D2285),4)</f>
        <v>0</v>
      </c>
      <c r="T2285" s="67">
        <f>ROUND(+IF(K2285=0,Q2285*D2285,0),4)</f>
        <v>0</v>
      </c>
      <c r="U2285" s="67">
        <f>ROUND(+N2285+R2285+S2285+T2285,4)</f>
        <v>0</v>
      </c>
      <c r="V2285" s="67">
        <f>ROUND(IF(P2285=0,0,I2285-H2285-O2285)+IF(L2285=0,0,I2285-H2285-K2285),4)</f>
        <v>0</v>
      </c>
      <c r="W2285" s="67">
        <f>ROUND(+(V2285*60%)*D2285,4)</f>
        <v>0</v>
      </c>
      <c r="X2285" s="148">
        <f>ROUND(+U2285+W2285,4)</f>
        <v>0</v>
      </c>
      <c r="Y2285" s="68"/>
      <c r="Z2285" s="148">
        <f>ROUND(IF(X2285&gt;I2285,X2285,I2285),4)</f>
        <v>0</v>
      </c>
      <c r="AD2285" s="78">
        <f t="shared" si="48"/>
        <v>0</v>
      </c>
      <c r="AE2285" s="78">
        <f t="shared" si="49"/>
        <v>0</v>
      </c>
    </row>
    <row r="2286" spans="1:31" x14ac:dyDescent="0.2">
      <c r="A2286" s="66"/>
      <c r="B2286" s="66"/>
      <c r="C2286" s="66"/>
      <c r="D2286" s="144"/>
      <c r="E2286" s="67"/>
      <c r="F2286" s="67"/>
      <c r="G2286" s="67"/>
      <c r="H2286" s="67">
        <f>ROUND(+E2286+G2286,4)</f>
        <v>0</v>
      </c>
      <c r="I2286" s="67"/>
      <c r="J2286" s="67">
        <f>ROUND(+I2286-H2286,4)</f>
        <v>0</v>
      </c>
      <c r="K2286" s="67">
        <f>ROUND(IF(F2286="alluminio",0,I2286*1.5%),4)</f>
        <v>0</v>
      </c>
      <c r="L2286" s="67">
        <f>ROUND(IF(K2286&lt;J2286,K2286,0),4)</f>
        <v>0</v>
      </c>
      <c r="M2286" s="67">
        <f>ROUND(IF(J2286&gt;K2286,0,J2286),4)</f>
        <v>0</v>
      </c>
      <c r="N2286" s="67">
        <f>ROUND(+L2286*D2286,4)</f>
        <v>0</v>
      </c>
      <c r="O2286" s="67">
        <f>ROUND(IF(F2286="rame",0,+I2286*3%),4)</f>
        <v>0</v>
      </c>
      <c r="P2286" s="67">
        <f>ROUND(IF(O2286&lt;J2286,O2286,0),4)</f>
        <v>0</v>
      </c>
      <c r="Q2286" s="67">
        <f>ROUND(IF(J2286&gt;O2286,0,J2286),4)</f>
        <v>0</v>
      </c>
      <c r="R2286" s="67">
        <f>ROUND(+P2286*D2286,4)</f>
        <v>0</v>
      </c>
      <c r="S2286" s="67">
        <f>ROUND(IF(K2286=0,0,M2286*D2286),4)</f>
        <v>0</v>
      </c>
      <c r="T2286" s="67">
        <f>ROUND(+IF(K2286=0,Q2286*D2286,0),4)</f>
        <v>0</v>
      </c>
      <c r="U2286" s="67">
        <f>ROUND(+N2286+R2286+S2286+T2286,4)</f>
        <v>0</v>
      </c>
      <c r="V2286" s="67">
        <f>ROUND(IF(P2286=0,0,I2286-H2286-O2286)+IF(L2286=0,0,I2286-H2286-K2286),4)</f>
        <v>0</v>
      </c>
      <c r="W2286" s="67">
        <f>ROUND(+(V2286*60%)*D2286,4)</f>
        <v>0</v>
      </c>
      <c r="X2286" s="148">
        <f>ROUND(+U2286+W2286,4)</f>
        <v>0</v>
      </c>
      <c r="Y2286" s="68"/>
      <c r="Z2286" s="148">
        <f>ROUND(IF(X2286&gt;I2286,X2286,I2286),4)</f>
        <v>0</v>
      </c>
      <c r="AD2286" s="78">
        <f t="shared" si="48"/>
        <v>0</v>
      </c>
      <c r="AE2286" s="78">
        <f t="shared" si="49"/>
        <v>0</v>
      </c>
    </row>
    <row r="2287" spans="1:31" x14ac:dyDescent="0.2">
      <c r="A2287" s="66"/>
      <c r="B2287" s="66"/>
      <c r="C2287" s="66"/>
      <c r="D2287" s="144"/>
      <c r="E2287" s="67"/>
      <c r="F2287" s="67"/>
      <c r="G2287" s="67"/>
      <c r="H2287" s="67">
        <f>ROUND(+E2287+G2287,4)</f>
        <v>0</v>
      </c>
      <c r="I2287" s="67"/>
      <c r="J2287" s="67">
        <f>ROUND(+I2287-H2287,4)</f>
        <v>0</v>
      </c>
      <c r="K2287" s="67">
        <f>ROUND(IF(F2287="alluminio",0,I2287*1.5%),4)</f>
        <v>0</v>
      </c>
      <c r="L2287" s="67">
        <f>ROUND(IF(K2287&lt;J2287,K2287,0),4)</f>
        <v>0</v>
      </c>
      <c r="M2287" s="67">
        <f>ROUND(IF(J2287&gt;K2287,0,J2287),4)</f>
        <v>0</v>
      </c>
      <c r="N2287" s="67">
        <f>ROUND(+L2287*D2287,4)</f>
        <v>0</v>
      </c>
      <c r="O2287" s="67">
        <f>ROUND(IF(F2287="rame",0,+I2287*3%),4)</f>
        <v>0</v>
      </c>
      <c r="P2287" s="67">
        <f>ROUND(IF(O2287&lt;J2287,O2287,0),4)</f>
        <v>0</v>
      </c>
      <c r="Q2287" s="67">
        <f>ROUND(IF(J2287&gt;O2287,0,J2287),4)</f>
        <v>0</v>
      </c>
      <c r="R2287" s="67">
        <f>ROUND(+P2287*D2287,4)</f>
        <v>0</v>
      </c>
      <c r="S2287" s="67">
        <f>ROUND(IF(K2287=0,0,M2287*D2287),4)</f>
        <v>0</v>
      </c>
      <c r="T2287" s="67">
        <f>ROUND(+IF(K2287=0,Q2287*D2287,0),4)</f>
        <v>0</v>
      </c>
      <c r="U2287" s="67">
        <f>ROUND(+N2287+R2287+S2287+T2287,4)</f>
        <v>0</v>
      </c>
      <c r="V2287" s="67">
        <f>ROUND(IF(P2287=0,0,I2287-H2287-O2287)+IF(L2287=0,0,I2287-H2287-K2287),4)</f>
        <v>0</v>
      </c>
      <c r="W2287" s="67">
        <f>ROUND(+(V2287*60%)*D2287,4)</f>
        <v>0</v>
      </c>
      <c r="X2287" s="148">
        <f>ROUND(+U2287+W2287,4)</f>
        <v>0</v>
      </c>
      <c r="Y2287" s="68"/>
      <c r="Z2287" s="148">
        <f>ROUND(IF(X2287&gt;I2287,X2287,I2287),4)</f>
        <v>0</v>
      </c>
      <c r="AD2287" s="78">
        <f t="shared" si="48"/>
        <v>0</v>
      </c>
      <c r="AE2287" s="78">
        <f t="shared" si="49"/>
        <v>0</v>
      </c>
    </row>
    <row r="2288" spans="1:31" x14ac:dyDescent="0.2">
      <c r="A2288" s="66"/>
      <c r="B2288" s="66"/>
      <c r="C2288" s="66"/>
      <c r="D2288" s="144"/>
      <c r="E2288" s="67"/>
      <c r="F2288" s="67"/>
      <c r="G2288" s="67"/>
      <c r="H2288" s="67">
        <f>ROUND(+E2288+G2288,4)</f>
        <v>0</v>
      </c>
      <c r="I2288" s="67"/>
      <c r="J2288" s="67">
        <f>ROUND(+I2288-H2288,4)</f>
        <v>0</v>
      </c>
      <c r="K2288" s="67">
        <f>ROUND(IF(F2288="alluminio",0,I2288*1.5%),4)</f>
        <v>0</v>
      </c>
      <c r="L2288" s="67">
        <f>ROUND(IF(K2288&lt;J2288,K2288,0),4)</f>
        <v>0</v>
      </c>
      <c r="M2288" s="67">
        <f>ROUND(IF(J2288&gt;K2288,0,J2288),4)</f>
        <v>0</v>
      </c>
      <c r="N2288" s="67">
        <f>ROUND(+L2288*D2288,4)</f>
        <v>0</v>
      </c>
      <c r="O2288" s="67">
        <f>ROUND(IF(F2288="rame",0,+I2288*3%),4)</f>
        <v>0</v>
      </c>
      <c r="P2288" s="67">
        <f>ROUND(IF(O2288&lt;J2288,O2288,0),4)</f>
        <v>0</v>
      </c>
      <c r="Q2288" s="67">
        <f>ROUND(IF(J2288&gt;O2288,0,J2288),4)</f>
        <v>0</v>
      </c>
      <c r="R2288" s="67">
        <f>ROUND(+P2288*D2288,4)</f>
        <v>0</v>
      </c>
      <c r="S2288" s="67">
        <f>ROUND(IF(K2288=0,0,M2288*D2288),4)</f>
        <v>0</v>
      </c>
      <c r="T2288" s="67">
        <f>ROUND(+IF(K2288=0,Q2288*D2288,0),4)</f>
        <v>0</v>
      </c>
      <c r="U2288" s="67">
        <f>ROUND(+N2288+R2288+S2288+T2288,4)</f>
        <v>0</v>
      </c>
      <c r="V2288" s="67">
        <f>ROUND(IF(P2288=0,0,I2288-H2288-O2288)+IF(L2288=0,0,I2288-H2288-K2288),4)</f>
        <v>0</v>
      </c>
      <c r="W2288" s="67">
        <f>ROUND(+(V2288*60%)*D2288,4)</f>
        <v>0</v>
      </c>
      <c r="X2288" s="148">
        <f>ROUND(+U2288+W2288,4)</f>
        <v>0</v>
      </c>
      <c r="Y2288" s="68"/>
      <c r="Z2288" s="148">
        <f>ROUND(IF(X2288&gt;I2288,X2288,I2288),4)</f>
        <v>0</v>
      </c>
      <c r="AD2288" s="78">
        <f t="shared" si="48"/>
        <v>0</v>
      </c>
      <c r="AE2288" s="78">
        <f t="shared" si="49"/>
        <v>0</v>
      </c>
    </row>
    <row r="2289" spans="1:31" x14ac:dyDescent="0.2">
      <c r="A2289" s="66"/>
      <c r="B2289" s="66"/>
      <c r="C2289" s="66"/>
      <c r="D2289" s="144"/>
      <c r="E2289" s="67"/>
      <c r="F2289" s="67"/>
      <c r="G2289" s="67"/>
      <c r="H2289" s="67">
        <f>ROUND(+E2289+G2289,4)</f>
        <v>0</v>
      </c>
      <c r="I2289" s="67"/>
      <c r="J2289" s="67">
        <f>ROUND(+I2289-H2289,4)</f>
        <v>0</v>
      </c>
      <c r="K2289" s="67">
        <f>ROUND(IF(F2289="alluminio",0,I2289*1.5%),4)</f>
        <v>0</v>
      </c>
      <c r="L2289" s="67">
        <f>ROUND(IF(K2289&lt;J2289,K2289,0),4)</f>
        <v>0</v>
      </c>
      <c r="M2289" s="67">
        <f>ROUND(IF(J2289&gt;K2289,0,J2289),4)</f>
        <v>0</v>
      </c>
      <c r="N2289" s="67">
        <f>ROUND(+L2289*D2289,4)</f>
        <v>0</v>
      </c>
      <c r="O2289" s="67">
        <f>ROUND(IF(F2289="rame",0,+I2289*3%),4)</f>
        <v>0</v>
      </c>
      <c r="P2289" s="67">
        <f>ROUND(IF(O2289&lt;J2289,O2289,0),4)</f>
        <v>0</v>
      </c>
      <c r="Q2289" s="67">
        <f>ROUND(IF(J2289&gt;O2289,0,J2289),4)</f>
        <v>0</v>
      </c>
      <c r="R2289" s="67">
        <f>ROUND(+P2289*D2289,4)</f>
        <v>0</v>
      </c>
      <c r="S2289" s="67">
        <f>ROUND(IF(K2289=0,0,M2289*D2289),4)</f>
        <v>0</v>
      </c>
      <c r="T2289" s="67">
        <f>ROUND(+IF(K2289=0,Q2289*D2289,0),4)</f>
        <v>0</v>
      </c>
      <c r="U2289" s="67">
        <f>ROUND(+N2289+R2289+S2289+T2289,4)</f>
        <v>0</v>
      </c>
      <c r="V2289" s="67">
        <f>ROUND(IF(P2289=0,0,I2289-H2289-O2289)+IF(L2289=0,0,I2289-H2289-K2289),4)</f>
        <v>0</v>
      </c>
      <c r="W2289" s="67">
        <f>ROUND(+(V2289*60%)*D2289,4)</f>
        <v>0</v>
      </c>
      <c r="X2289" s="148">
        <f>ROUND(+U2289+W2289,4)</f>
        <v>0</v>
      </c>
      <c r="Y2289" s="68"/>
      <c r="Z2289" s="148">
        <f>ROUND(IF(X2289&gt;I2289,X2289,I2289),4)</f>
        <v>0</v>
      </c>
      <c r="AD2289" s="78">
        <f t="shared" si="48"/>
        <v>0</v>
      </c>
      <c r="AE2289" s="78">
        <f t="shared" si="49"/>
        <v>0</v>
      </c>
    </row>
    <row r="2290" spans="1:31" x14ac:dyDescent="0.2">
      <c r="A2290" s="66"/>
      <c r="B2290" s="66"/>
      <c r="C2290" s="66"/>
      <c r="D2290" s="144"/>
      <c r="E2290" s="67"/>
      <c r="F2290" s="67"/>
      <c r="G2290" s="67"/>
      <c r="H2290" s="67">
        <f>ROUND(+E2290+G2290,4)</f>
        <v>0</v>
      </c>
      <c r="I2290" s="67"/>
      <c r="J2290" s="67">
        <f>ROUND(+I2290-H2290,4)</f>
        <v>0</v>
      </c>
      <c r="K2290" s="67">
        <f>ROUND(IF(F2290="alluminio",0,I2290*1.5%),4)</f>
        <v>0</v>
      </c>
      <c r="L2290" s="67">
        <f>ROUND(IF(K2290&lt;J2290,K2290,0),4)</f>
        <v>0</v>
      </c>
      <c r="M2290" s="67">
        <f>ROUND(IF(J2290&gt;K2290,0,J2290),4)</f>
        <v>0</v>
      </c>
      <c r="N2290" s="67">
        <f>ROUND(+L2290*D2290,4)</f>
        <v>0</v>
      </c>
      <c r="O2290" s="67">
        <f>ROUND(IF(F2290="rame",0,+I2290*3%),4)</f>
        <v>0</v>
      </c>
      <c r="P2290" s="67">
        <f>ROUND(IF(O2290&lt;J2290,O2290,0),4)</f>
        <v>0</v>
      </c>
      <c r="Q2290" s="67">
        <f>ROUND(IF(J2290&gt;O2290,0,J2290),4)</f>
        <v>0</v>
      </c>
      <c r="R2290" s="67">
        <f>ROUND(+P2290*D2290,4)</f>
        <v>0</v>
      </c>
      <c r="S2290" s="67">
        <f>ROUND(IF(K2290=0,0,M2290*D2290),4)</f>
        <v>0</v>
      </c>
      <c r="T2290" s="67">
        <f>ROUND(+IF(K2290=0,Q2290*D2290,0),4)</f>
        <v>0</v>
      </c>
      <c r="U2290" s="67">
        <f>ROUND(+N2290+R2290+S2290+T2290,4)</f>
        <v>0</v>
      </c>
      <c r="V2290" s="67">
        <f>ROUND(IF(P2290=0,0,I2290-H2290-O2290)+IF(L2290=0,0,I2290-H2290-K2290),4)</f>
        <v>0</v>
      </c>
      <c r="W2290" s="67">
        <f>ROUND(+(V2290*60%)*D2290,4)</f>
        <v>0</v>
      </c>
      <c r="X2290" s="148">
        <f>ROUND(+U2290+W2290,4)</f>
        <v>0</v>
      </c>
      <c r="Y2290" s="68"/>
      <c r="Z2290" s="148">
        <f>ROUND(IF(X2290&gt;I2290,X2290,I2290),4)</f>
        <v>0</v>
      </c>
      <c r="AD2290" s="78">
        <f t="shared" si="48"/>
        <v>0</v>
      </c>
      <c r="AE2290" s="78">
        <f t="shared" si="49"/>
        <v>0</v>
      </c>
    </row>
    <row r="2291" spans="1:31" x14ac:dyDescent="0.2">
      <c r="A2291" s="66"/>
      <c r="B2291" s="66"/>
      <c r="C2291" s="66"/>
      <c r="D2291" s="144"/>
      <c r="E2291" s="67"/>
      <c r="F2291" s="67"/>
      <c r="G2291" s="67"/>
      <c r="H2291" s="67">
        <f>ROUND(+E2291+G2291,4)</f>
        <v>0</v>
      </c>
      <c r="I2291" s="67"/>
      <c r="J2291" s="67">
        <f>ROUND(+I2291-H2291,4)</f>
        <v>0</v>
      </c>
      <c r="K2291" s="67">
        <f>ROUND(IF(F2291="alluminio",0,I2291*1.5%),4)</f>
        <v>0</v>
      </c>
      <c r="L2291" s="67">
        <f>ROUND(IF(K2291&lt;J2291,K2291,0),4)</f>
        <v>0</v>
      </c>
      <c r="M2291" s="67">
        <f>ROUND(IF(J2291&gt;K2291,0,J2291),4)</f>
        <v>0</v>
      </c>
      <c r="N2291" s="67">
        <f>ROUND(+L2291*D2291,4)</f>
        <v>0</v>
      </c>
      <c r="O2291" s="67">
        <f>ROUND(IF(F2291="rame",0,+I2291*3%),4)</f>
        <v>0</v>
      </c>
      <c r="P2291" s="67">
        <f>ROUND(IF(O2291&lt;J2291,O2291,0),4)</f>
        <v>0</v>
      </c>
      <c r="Q2291" s="67">
        <f>ROUND(IF(J2291&gt;O2291,0,J2291),4)</f>
        <v>0</v>
      </c>
      <c r="R2291" s="67">
        <f>ROUND(+P2291*D2291,4)</f>
        <v>0</v>
      </c>
      <c r="S2291" s="67">
        <f>ROUND(IF(K2291=0,0,M2291*D2291),4)</f>
        <v>0</v>
      </c>
      <c r="T2291" s="67">
        <f>ROUND(+IF(K2291=0,Q2291*D2291,0),4)</f>
        <v>0</v>
      </c>
      <c r="U2291" s="67">
        <f>ROUND(+N2291+R2291+S2291+T2291,4)</f>
        <v>0</v>
      </c>
      <c r="V2291" s="67">
        <f>ROUND(IF(P2291=0,0,I2291-H2291-O2291)+IF(L2291=0,0,I2291-H2291-K2291),4)</f>
        <v>0</v>
      </c>
      <c r="W2291" s="67">
        <f>ROUND(+(V2291*60%)*D2291,4)</f>
        <v>0</v>
      </c>
      <c r="X2291" s="148">
        <f>ROUND(+U2291+W2291,4)</f>
        <v>0</v>
      </c>
      <c r="Y2291" s="68"/>
      <c r="Z2291" s="148">
        <f>ROUND(IF(X2291&gt;I2291,X2291,I2291),4)</f>
        <v>0</v>
      </c>
      <c r="AD2291" s="78">
        <f t="shared" si="48"/>
        <v>0</v>
      </c>
      <c r="AE2291" s="78">
        <f t="shared" si="49"/>
        <v>0</v>
      </c>
    </row>
    <row r="2292" spans="1:31" x14ac:dyDescent="0.2">
      <c r="A2292" s="66"/>
      <c r="B2292" s="66"/>
      <c r="C2292" s="66"/>
      <c r="D2292" s="144"/>
      <c r="E2292" s="67"/>
      <c r="F2292" s="67"/>
      <c r="G2292" s="67"/>
      <c r="H2292" s="67">
        <f>ROUND(+E2292+G2292,4)</f>
        <v>0</v>
      </c>
      <c r="I2292" s="67"/>
      <c r="J2292" s="67">
        <f>ROUND(+I2292-H2292,4)</f>
        <v>0</v>
      </c>
      <c r="K2292" s="67">
        <f>ROUND(IF(F2292="alluminio",0,I2292*1.5%),4)</f>
        <v>0</v>
      </c>
      <c r="L2292" s="67">
        <f>ROUND(IF(K2292&lt;J2292,K2292,0),4)</f>
        <v>0</v>
      </c>
      <c r="M2292" s="67">
        <f>ROUND(IF(J2292&gt;K2292,0,J2292),4)</f>
        <v>0</v>
      </c>
      <c r="N2292" s="67">
        <f>ROUND(+L2292*D2292,4)</f>
        <v>0</v>
      </c>
      <c r="O2292" s="67">
        <f>ROUND(IF(F2292="rame",0,+I2292*3%),4)</f>
        <v>0</v>
      </c>
      <c r="P2292" s="67">
        <f>ROUND(IF(O2292&lt;J2292,O2292,0),4)</f>
        <v>0</v>
      </c>
      <c r="Q2292" s="67">
        <f>ROUND(IF(J2292&gt;O2292,0,J2292),4)</f>
        <v>0</v>
      </c>
      <c r="R2292" s="67">
        <f>ROUND(+P2292*D2292,4)</f>
        <v>0</v>
      </c>
      <c r="S2292" s="67">
        <f>ROUND(IF(K2292=0,0,M2292*D2292),4)</f>
        <v>0</v>
      </c>
      <c r="T2292" s="67">
        <f>ROUND(+IF(K2292=0,Q2292*D2292,0),4)</f>
        <v>0</v>
      </c>
      <c r="U2292" s="67">
        <f>ROUND(+N2292+R2292+S2292+T2292,4)</f>
        <v>0</v>
      </c>
      <c r="V2292" s="67">
        <f>ROUND(IF(P2292=0,0,I2292-H2292-O2292)+IF(L2292=0,0,I2292-H2292-K2292),4)</f>
        <v>0</v>
      </c>
      <c r="W2292" s="67">
        <f>ROUND(+(V2292*60%)*D2292,4)</f>
        <v>0</v>
      </c>
      <c r="X2292" s="148">
        <f>ROUND(+U2292+W2292,4)</f>
        <v>0</v>
      </c>
      <c r="Y2292" s="68"/>
      <c r="Z2292" s="148">
        <f>ROUND(IF(X2292&gt;I2292,X2292,I2292),4)</f>
        <v>0</v>
      </c>
      <c r="AD2292" s="78">
        <f t="shared" si="48"/>
        <v>0</v>
      </c>
      <c r="AE2292" s="78">
        <f t="shared" si="49"/>
        <v>0</v>
      </c>
    </row>
    <row r="2293" spans="1:31" x14ac:dyDescent="0.2">
      <c r="A2293" s="66"/>
      <c r="B2293" s="66"/>
      <c r="C2293" s="66"/>
      <c r="D2293" s="144"/>
      <c r="E2293" s="67"/>
      <c r="F2293" s="67"/>
      <c r="G2293" s="67"/>
      <c r="H2293" s="67">
        <f>ROUND(+E2293+G2293,4)</f>
        <v>0</v>
      </c>
      <c r="I2293" s="67"/>
      <c r="J2293" s="67">
        <f>ROUND(+I2293-H2293,4)</f>
        <v>0</v>
      </c>
      <c r="K2293" s="67">
        <f>ROUND(IF(F2293="alluminio",0,I2293*1.5%),4)</f>
        <v>0</v>
      </c>
      <c r="L2293" s="67">
        <f>ROUND(IF(K2293&lt;J2293,K2293,0),4)</f>
        <v>0</v>
      </c>
      <c r="M2293" s="67">
        <f>ROUND(IF(J2293&gt;K2293,0,J2293),4)</f>
        <v>0</v>
      </c>
      <c r="N2293" s="67">
        <f>ROUND(+L2293*D2293,4)</f>
        <v>0</v>
      </c>
      <c r="O2293" s="67">
        <f>ROUND(IF(F2293="rame",0,+I2293*3%),4)</f>
        <v>0</v>
      </c>
      <c r="P2293" s="67">
        <f>ROUND(IF(O2293&lt;J2293,O2293,0),4)</f>
        <v>0</v>
      </c>
      <c r="Q2293" s="67">
        <f>ROUND(IF(J2293&gt;O2293,0,J2293),4)</f>
        <v>0</v>
      </c>
      <c r="R2293" s="67">
        <f>ROUND(+P2293*D2293,4)</f>
        <v>0</v>
      </c>
      <c r="S2293" s="67">
        <f>ROUND(IF(K2293=0,0,M2293*D2293),4)</f>
        <v>0</v>
      </c>
      <c r="T2293" s="67">
        <f>ROUND(+IF(K2293=0,Q2293*D2293,0),4)</f>
        <v>0</v>
      </c>
      <c r="U2293" s="67">
        <f>ROUND(+N2293+R2293+S2293+T2293,4)</f>
        <v>0</v>
      </c>
      <c r="V2293" s="67">
        <f>ROUND(IF(P2293=0,0,I2293-H2293-O2293)+IF(L2293=0,0,I2293-H2293-K2293),4)</f>
        <v>0</v>
      </c>
      <c r="W2293" s="67">
        <f>ROUND(+(V2293*60%)*D2293,4)</f>
        <v>0</v>
      </c>
      <c r="X2293" s="148">
        <f>ROUND(+U2293+W2293,4)</f>
        <v>0</v>
      </c>
      <c r="Y2293" s="68"/>
      <c r="Z2293" s="148">
        <f>ROUND(IF(X2293&gt;I2293,X2293,I2293),4)</f>
        <v>0</v>
      </c>
      <c r="AD2293" s="78">
        <f t="shared" si="48"/>
        <v>0</v>
      </c>
      <c r="AE2293" s="78">
        <f t="shared" si="49"/>
        <v>0</v>
      </c>
    </row>
    <row r="2294" spans="1:31" x14ac:dyDescent="0.2">
      <c r="A2294" s="66"/>
      <c r="B2294" s="66"/>
      <c r="C2294" s="66"/>
      <c r="D2294" s="144"/>
      <c r="E2294" s="67"/>
      <c r="F2294" s="67"/>
      <c r="G2294" s="67"/>
      <c r="H2294" s="67">
        <f>ROUND(+E2294+G2294,4)</f>
        <v>0</v>
      </c>
      <c r="I2294" s="67"/>
      <c r="J2294" s="67">
        <f>ROUND(+I2294-H2294,4)</f>
        <v>0</v>
      </c>
      <c r="K2294" s="67">
        <f>ROUND(IF(F2294="alluminio",0,I2294*1.5%),4)</f>
        <v>0</v>
      </c>
      <c r="L2294" s="67">
        <f>ROUND(IF(K2294&lt;J2294,K2294,0),4)</f>
        <v>0</v>
      </c>
      <c r="M2294" s="67">
        <f>ROUND(IF(J2294&gt;K2294,0,J2294),4)</f>
        <v>0</v>
      </c>
      <c r="N2294" s="67">
        <f>ROUND(+L2294*D2294,4)</f>
        <v>0</v>
      </c>
      <c r="O2294" s="67">
        <f>ROUND(IF(F2294="rame",0,+I2294*3%),4)</f>
        <v>0</v>
      </c>
      <c r="P2294" s="67">
        <f>ROUND(IF(O2294&lt;J2294,O2294,0),4)</f>
        <v>0</v>
      </c>
      <c r="Q2294" s="67">
        <f>ROUND(IF(J2294&gt;O2294,0,J2294),4)</f>
        <v>0</v>
      </c>
      <c r="R2294" s="67">
        <f>ROUND(+P2294*D2294,4)</f>
        <v>0</v>
      </c>
      <c r="S2294" s="67">
        <f>ROUND(IF(K2294=0,0,M2294*D2294),4)</f>
        <v>0</v>
      </c>
      <c r="T2294" s="67">
        <f>ROUND(+IF(K2294=0,Q2294*D2294,0),4)</f>
        <v>0</v>
      </c>
      <c r="U2294" s="67">
        <f>ROUND(+N2294+R2294+S2294+T2294,4)</f>
        <v>0</v>
      </c>
      <c r="V2294" s="67">
        <f>ROUND(IF(P2294=0,0,I2294-H2294-O2294)+IF(L2294=0,0,I2294-H2294-K2294),4)</f>
        <v>0</v>
      </c>
      <c r="W2294" s="67">
        <f>ROUND(+(V2294*60%)*D2294,4)</f>
        <v>0</v>
      </c>
      <c r="X2294" s="148">
        <f>ROUND(+U2294+W2294,4)</f>
        <v>0</v>
      </c>
      <c r="Y2294" s="68"/>
      <c r="Z2294" s="148">
        <f>ROUND(IF(X2294&gt;I2294,X2294,I2294),4)</f>
        <v>0</v>
      </c>
      <c r="AD2294" s="78">
        <f t="shared" si="48"/>
        <v>0</v>
      </c>
      <c r="AE2294" s="78">
        <f t="shared" si="49"/>
        <v>0</v>
      </c>
    </row>
    <row r="2295" spans="1:31" x14ac:dyDescent="0.2">
      <c r="A2295" s="66"/>
      <c r="B2295" s="66"/>
      <c r="C2295" s="66"/>
      <c r="D2295" s="144"/>
      <c r="E2295" s="67"/>
      <c r="F2295" s="67"/>
      <c r="G2295" s="67"/>
      <c r="H2295" s="67">
        <f>ROUND(+E2295+G2295,4)</f>
        <v>0</v>
      </c>
      <c r="I2295" s="67"/>
      <c r="J2295" s="67">
        <f>ROUND(+I2295-H2295,4)</f>
        <v>0</v>
      </c>
      <c r="K2295" s="67">
        <f>ROUND(IF(F2295="alluminio",0,I2295*1.5%),4)</f>
        <v>0</v>
      </c>
      <c r="L2295" s="67">
        <f>ROUND(IF(K2295&lt;J2295,K2295,0),4)</f>
        <v>0</v>
      </c>
      <c r="M2295" s="67">
        <f>ROUND(IF(J2295&gt;K2295,0,J2295),4)</f>
        <v>0</v>
      </c>
      <c r="N2295" s="67">
        <f>ROUND(+L2295*D2295,4)</f>
        <v>0</v>
      </c>
      <c r="O2295" s="67">
        <f>ROUND(IF(F2295="rame",0,+I2295*3%),4)</f>
        <v>0</v>
      </c>
      <c r="P2295" s="67">
        <f>ROUND(IF(O2295&lt;J2295,O2295,0),4)</f>
        <v>0</v>
      </c>
      <c r="Q2295" s="67">
        <f>ROUND(IF(J2295&gt;O2295,0,J2295),4)</f>
        <v>0</v>
      </c>
      <c r="R2295" s="67">
        <f>ROUND(+P2295*D2295,4)</f>
        <v>0</v>
      </c>
      <c r="S2295" s="67">
        <f>ROUND(IF(K2295=0,0,M2295*D2295),4)</f>
        <v>0</v>
      </c>
      <c r="T2295" s="67">
        <f>ROUND(+IF(K2295=0,Q2295*D2295,0),4)</f>
        <v>0</v>
      </c>
      <c r="U2295" s="67">
        <f>ROUND(+N2295+R2295+S2295+T2295,4)</f>
        <v>0</v>
      </c>
      <c r="V2295" s="67">
        <f>ROUND(IF(P2295=0,0,I2295-H2295-O2295)+IF(L2295=0,0,I2295-H2295-K2295),4)</f>
        <v>0</v>
      </c>
      <c r="W2295" s="67">
        <f>ROUND(+(V2295*60%)*D2295,4)</f>
        <v>0</v>
      </c>
      <c r="X2295" s="148">
        <f>ROUND(+U2295+W2295,4)</f>
        <v>0</v>
      </c>
      <c r="Y2295" s="68"/>
      <c r="Z2295" s="148">
        <f>ROUND(IF(X2295&gt;I2295,X2295,I2295),4)</f>
        <v>0</v>
      </c>
      <c r="AD2295" s="78">
        <f t="shared" si="48"/>
        <v>0</v>
      </c>
      <c r="AE2295" s="78">
        <f t="shared" si="49"/>
        <v>0</v>
      </c>
    </row>
    <row r="2296" spans="1:31" x14ac:dyDescent="0.2">
      <c r="A2296" s="66"/>
      <c r="B2296" s="66"/>
      <c r="C2296" s="66"/>
      <c r="D2296" s="144"/>
      <c r="E2296" s="67"/>
      <c r="F2296" s="67"/>
      <c r="G2296" s="67"/>
      <c r="H2296" s="67">
        <f>ROUND(+E2296+G2296,4)</f>
        <v>0</v>
      </c>
      <c r="I2296" s="67"/>
      <c r="J2296" s="67">
        <f>ROUND(+I2296-H2296,4)</f>
        <v>0</v>
      </c>
      <c r="K2296" s="67">
        <f>ROUND(IF(F2296="alluminio",0,I2296*1.5%),4)</f>
        <v>0</v>
      </c>
      <c r="L2296" s="67">
        <f>ROUND(IF(K2296&lt;J2296,K2296,0),4)</f>
        <v>0</v>
      </c>
      <c r="M2296" s="67">
        <f>ROUND(IF(J2296&gt;K2296,0,J2296),4)</f>
        <v>0</v>
      </c>
      <c r="N2296" s="67">
        <f>ROUND(+L2296*D2296,4)</f>
        <v>0</v>
      </c>
      <c r="O2296" s="67">
        <f>ROUND(IF(F2296="rame",0,+I2296*3%),4)</f>
        <v>0</v>
      </c>
      <c r="P2296" s="67">
        <f>ROUND(IF(O2296&lt;J2296,O2296,0),4)</f>
        <v>0</v>
      </c>
      <c r="Q2296" s="67">
        <f>ROUND(IF(J2296&gt;O2296,0,J2296),4)</f>
        <v>0</v>
      </c>
      <c r="R2296" s="67">
        <f>ROUND(+P2296*D2296,4)</f>
        <v>0</v>
      </c>
      <c r="S2296" s="67">
        <f>ROUND(IF(K2296=0,0,M2296*D2296),4)</f>
        <v>0</v>
      </c>
      <c r="T2296" s="67">
        <f>ROUND(+IF(K2296=0,Q2296*D2296,0),4)</f>
        <v>0</v>
      </c>
      <c r="U2296" s="67">
        <f>ROUND(+N2296+R2296+S2296+T2296,4)</f>
        <v>0</v>
      </c>
      <c r="V2296" s="67">
        <f>ROUND(IF(P2296=0,0,I2296-H2296-O2296)+IF(L2296=0,0,I2296-H2296-K2296),4)</f>
        <v>0</v>
      </c>
      <c r="W2296" s="67">
        <f>ROUND(+(V2296*60%)*D2296,4)</f>
        <v>0</v>
      </c>
      <c r="X2296" s="148">
        <f>ROUND(+U2296+W2296,4)</f>
        <v>0</v>
      </c>
      <c r="Y2296" s="68"/>
      <c r="Z2296" s="148">
        <f>ROUND(IF(X2296&gt;I2296,X2296,I2296),4)</f>
        <v>0</v>
      </c>
      <c r="AD2296" s="78">
        <f t="shared" si="48"/>
        <v>0</v>
      </c>
      <c r="AE2296" s="78">
        <f t="shared" si="49"/>
        <v>0</v>
      </c>
    </row>
    <row r="2297" spans="1:31" x14ac:dyDescent="0.2">
      <c r="A2297" s="66"/>
      <c r="B2297" s="66"/>
      <c r="C2297" s="66"/>
      <c r="D2297" s="144"/>
      <c r="E2297" s="67"/>
      <c r="F2297" s="67"/>
      <c r="G2297" s="67"/>
      <c r="H2297" s="67">
        <f>ROUND(+E2297+G2297,4)</f>
        <v>0</v>
      </c>
      <c r="I2297" s="67"/>
      <c r="J2297" s="67">
        <f>ROUND(+I2297-H2297,4)</f>
        <v>0</v>
      </c>
      <c r="K2297" s="67">
        <f>ROUND(IF(F2297="alluminio",0,I2297*1.5%),4)</f>
        <v>0</v>
      </c>
      <c r="L2297" s="67">
        <f>ROUND(IF(K2297&lt;J2297,K2297,0),4)</f>
        <v>0</v>
      </c>
      <c r="M2297" s="67">
        <f>ROUND(IF(J2297&gt;K2297,0,J2297),4)</f>
        <v>0</v>
      </c>
      <c r="N2297" s="67">
        <f>ROUND(+L2297*D2297,4)</f>
        <v>0</v>
      </c>
      <c r="O2297" s="67">
        <f>ROUND(IF(F2297="rame",0,+I2297*3%),4)</f>
        <v>0</v>
      </c>
      <c r="P2297" s="67">
        <f>ROUND(IF(O2297&lt;J2297,O2297,0),4)</f>
        <v>0</v>
      </c>
      <c r="Q2297" s="67">
        <f>ROUND(IF(J2297&gt;O2297,0,J2297),4)</f>
        <v>0</v>
      </c>
      <c r="R2297" s="67">
        <f>ROUND(+P2297*D2297,4)</f>
        <v>0</v>
      </c>
      <c r="S2297" s="67">
        <f>ROUND(IF(K2297=0,0,M2297*D2297),4)</f>
        <v>0</v>
      </c>
      <c r="T2297" s="67">
        <f>ROUND(+IF(K2297=0,Q2297*D2297,0),4)</f>
        <v>0</v>
      </c>
      <c r="U2297" s="67">
        <f>ROUND(+N2297+R2297+S2297+T2297,4)</f>
        <v>0</v>
      </c>
      <c r="V2297" s="67">
        <f>ROUND(IF(P2297=0,0,I2297-H2297-O2297)+IF(L2297=0,0,I2297-H2297-K2297),4)</f>
        <v>0</v>
      </c>
      <c r="W2297" s="67">
        <f>ROUND(+(V2297*60%)*D2297,4)</f>
        <v>0</v>
      </c>
      <c r="X2297" s="148">
        <f>ROUND(+U2297+W2297,4)</f>
        <v>0</v>
      </c>
      <c r="Y2297" s="68"/>
      <c r="Z2297" s="148">
        <f>ROUND(IF(X2297&gt;I2297,X2297,I2297),4)</f>
        <v>0</v>
      </c>
      <c r="AD2297" s="78">
        <f t="shared" si="48"/>
        <v>0</v>
      </c>
      <c r="AE2297" s="78">
        <f t="shared" si="49"/>
        <v>0</v>
      </c>
    </row>
    <row r="2298" spans="1:31" x14ac:dyDescent="0.2">
      <c r="A2298" s="66"/>
      <c r="B2298" s="66"/>
      <c r="C2298" s="66"/>
      <c r="D2298" s="144"/>
      <c r="E2298" s="67"/>
      <c r="F2298" s="67"/>
      <c r="G2298" s="67"/>
      <c r="H2298" s="67">
        <f>ROUND(+E2298+G2298,4)</f>
        <v>0</v>
      </c>
      <c r="I2298" s="67"/>
      <c r="J2298" s="67">
        <f>ROUND(+I2298-H2298,4)</f>
        <v>0</v>
      </c>
      <c r="K2298" s="67">
        <f>ROUND(IF(F2298="alluminio",0,I2298*1.5%),4)</f>
        <v>0</v>
      </c>
      <c r="L2298" s="67">
        <f>ROUND(IF(K2298&lt;J2298,K2298,0),4)</f>
        <v>0</v>
      </c>
      <c r="M2298" s="67">
        <f>ROUND(IF(J2298&gt;K2298,0,J2298),4)</f>
        <v>0</v>
      </c>
      <c r="N2298" s="67">
        <f>ROUND(+L2298*D2298,4)</f>
        <v>0</v>
      </c>
      <c r="O2298" s="67">
        <f>ROUND(IF(F2298="rame",0,+I2298*3%),4)</f>
        <v>0</v>
      </c>
      <c r="P2298" s="67">
        <f>ROUND(IF(O2298&lt;J2298,O2298,0),4)</f>
        <v>0</v>
      </c>
      <c r="Q2298" s="67">
        <f>ROUND(IF(J2298&gt;O2298,0,J2298),4)</f>
        <v>0</v>
      </c>
      <c r="R2298" s="67">
        <f>ROUND(+P2298*D2298,4)</f>
        <v>0</v>
      </c>
      <c r="S2298" s="67">
        <f>ROUND(IF(K2298=0,0,M2298*D2298),4)</f>
        <v>0</v>
      </c>
      <c r="T2298" s="67">
        <f>ROUND(+IF(K2298=0,Q2298*D2298,0),4)</f>
        <v>0</v>
      </c>
      <c r="U2298" s="67">
        <f>ROUND(+N2298+R2298+S2298+T2298,4)</f>
        <v>0</v>
      </c>
      <c r="V2298" s="67">
        <f>ROUND(IF(P2298=0,0,I2298-H2298-O2298)+IF(L2298=0,0,I2298-H2298-K2298),4)</f>
        <v>0</v>
      </c>
      <c r="W2298" s="67">
        <f>ROUND(+(V2298*60%)*D2298,4)</f>
        <v>0</v>
      </c>
      <c r="X2298" s="148">
        <f>ROUND(+U2298+W2298,4)</f>
        <v>0</v>
      </c>
      <c r="Y2298" s="68"/>
      <c r="Z2298" s="148">
        <f>ROUND(IF(X2298&gt;I2298,X2298,I2298),4)</f>
        <v>0</v>
      </c>
      <c r="AD2298" s="78">
        <f t="shared" si="48"/>
        <v>0</v>
      </c>
      <c r="AE2298" s="78">
        <f t="shared" si="49"/>
        <v>0</v>
      </c>
    </row>
    <row r="2299" spans="1:31" x14ac:dyDescent="0.2">
      <c r="A2299" s="66"/>
      <c r="B2299" s="66"/>
      <c r="C2299" s="66"/>
      <c r="D2299" s="144"/>
      <c r="E2299" s="67"/>
      <c r="F2299" s="67"/>
      <c r="G2299" s="67"/>
      <c r="H2299" s="67">
        <f>ROUND(+E2299+G2299,4)</f>
        <v>0</v>
      </c>
      <c r="I2299" s="67"/>
      <c r="J2299" s="67">
        <f>ROUND(+I2299-H2299,4)</f>
        <v>0</v>
      </c>
      <c r="K2299" s="67">
        <f>ROUND(IF(F2299="alluminio",0,I2299*1.5%),4)</f>
        <v>0</v>
      </c>
      <c r="L2299" s="67">
        <f>ROUND(IF(K2299&lt;J2299,K2299,0),4)</f>
        <v>0</v>
      </c>
      <c r="M2299" s="67">
        <f>ROUND(IF(J2299&gt;K2299,0,J2299),4)</f>
        <v>0</v>
      </c>
      <c r="N2299" s="67">
        <f>ROUND(+L2299*D2299,4)</f>
        <v>0</v>
      </c>
      <c r="O2299" s="67">
        <f>ROUND(IF(F2299="rame",0,+I2299*3%),4)</f>
        <v>0</v>
      </c>
      <c r="P2299" s="67">
        <f>ROUND(IF(O2299&lt;J2299,O2299,0),4)</f>
        <v>0</v>
      </c>
      <c r="Q2299" s="67">
        <f>ROUND(IF(J2299&gt;O2299,0,J2299),4)</f>
        <v>0</v>
      </c>
      <c r="R2299" s="67">
        <f>ROUND(+P2299*D2299,4)</f>
        <v>0</v>
      </c>
      <c r="S2299" s="67">
        <f>ROUND(IF(K2299=0,0,M2299*D2299),4)</f>
        <v>0</v>
      </c>
      <c r="T2299" s="67">
        <f>ROUND(+IF(K2299=0,Q2299*D2299,0),4)</f>
        <v>0</v>
      </c>
      <c r="U2299" s="67">
        <f>ROUND(+N2299+R2299+S2299+T2299,4)</f>
        <v>0</v>
      </c>
      <c r="V2299" s="67">
        <f>ROUND(IF(P2299=0,0,I2299-H2299-O2299)+IF(L2299=0,0,I2299-H2299-K2299),4)</f>
        <v>0</v>
      </c>
      <c r="W2299" s="67">
        <f>ROUND(+(V2299*60%)*D2299,4)</f>
        <v>0</v>
      </c>
      <c r="X2299" s="148">
        <f>ROUND(+U2299+W2299,4)</f>
        <v>0</v>
      </c>
      <c r="Y2299" s="68"/>
      <c r="Z2299" s="148">
        <f>ROUND(IF(X2299&gt;I2299,X2299,I2299),4)</f>
        <v>0</v>
      </c>
      <c r="AD2299" s="78">
        <f t="shared" si="48"/>
        <v>0</v>
      </c>
      <c r="AE2299" s="78">
        <f t="shared" si="49"/>
        <v>0</v>
      </c>
    </row>
    <row r="2300" spans="1:31" x14ac:dyDescent="0.2">
      <c r="A2300" s="66"/>
      <c r="B2300" s="66"/>
      <c r="C2300" s="66"/>
      <c r="D2300" s="144"/>
      <c r="E2300" s="67"/>
      <c r="F2300" s="67"/>
      <c r="G2300" s="67"/>
      <c r="H2300" s="67">
        <f>ROUND(+E2300+G2300,4)</f>
        <v>0</v>
      </c>
      <c r="I2300" s="67"/>
      <c r="J2300" s="67">
        <f>ROUND(+I2300-H2300,4)</f>
        <v>0</v>
      </c>
      <c r="K2300" s="67">
        <f>ROUND(IF(F2300="alluminio",0,I2300*1.5%),4)</f>
        <v>0</v>
      </c>
      <c r="L2300" s="67">
        <f>ROUND(IF(K2300&lt;J2300,K2300,0),4)</f>
        <v>0</v>
      </c>
      <c r="M2300" s="67">
        <f>ROUND(IF(J2300&gt;K2300,0,J2300),4)</f>
        <v>0</v>
      </c>
      <c r="N2300" s="67">
        <f>ROUND(+L2300*D2300,4)</f>
        <v>0</v>
      </c>
      <c r="O2300" s="67">
        <f>ROUND(IF(F2300="rame",0,+I2300*3%),4)</f>
        <v>0</v>
      </c>
      <c r="P2300" s="67">
        <f>ROUND(IF(O2300&lt;J2300,O2300,0),4)</f>
        <v>0</v>
      </c>
      <c r="Q2300" s="67">
        <f>ROUND(IF(J2300&gt;O2300,0,J2300),4)</f>
        <v>0</v>
      </c>
      <c r="R2300" s="67">
        <f>ROUND(+P2300*D2300,4)</f>
        <v>0</v>
      </c>
      <c r="S2300" s="67">
        <f>ROUND(IF(K2300=0,0,M2300*D2300),4)</f>
        <v>0</v>
      </c>
      <c r="T2300" s="67">
        <f>ROUND(+IF(K2300=0,Q2300*D2300,0),4)</f>
        <v>0</v>
      </c>
      <c r="U2300" s="67">
        <f>ROUND(+N2300+R2300+S2300+T2300,4)</f>
        <v>0</v>
      </c>
      <c r="V2300" s="67">
        <f>ROUND(IF(P2300=0,0,I2300-H2300-O2300)+IF(L2300=0,0,I2300-H2300-K2300),4)</f>
        <v>0</v>
      </c>
      <c r="W2300" s="67">
        <f>ROUND(+(V2300*60%)*D2300,4)</f>
        <v>0</v>
      </c>
      <c r="X2300" s="148">
        <f>ROUND(+U2300+W2300,4)</f>
        <v>0</v>
      </c>
      <c r="Y2300" s="68"/>
      <c r="Z2300" s="148">
        <f>ROUND(IF(X2300&gt;I2300,X2300,I2300),4)</f>
        <v>0</v>
      </c>
      <c r="AD2300" s="78">
        <f t="shared" si="48"/>
        <v>0</v>
      </c>
      <c r="AE2300" s="78">
        <f t="shared" si="49"/>
        <v>0</v>
      </c>
    </row>
    <row r="2301" spans="1:31" x14ac:dyDescent="0.2">
      <c r="A2301" s="66"/>
      <c r="B2301" s="66"/>
      <c r="C2301" s="66"/>
      <c r="D2301" s="144"/>
      <c r="E2301" s="67"/>
      <c r="F2301" s="67"/>
      <c r="G2301" s="67"/>
      <c r="H2301" s="67">
        <f>ROUND(+E2301+G2301,4)</f>
        <v>0</v>
      </c>
      <c r="I2301" s="67"/>
      <c r="J2301" s="67">
        <f>ROUND(+I2301-H2301,4)</f>
        <v>0</v>
      </c>
      <c r="K2301" s="67">
        <f>ROUND(IF(F2301="alluminio",0,I2301*1.5%),4)</f>
        <v>0</v>
      </c>
      <c r="L2301" s="67">
        <f>ROUND(IF(K2301&lt;J2301,K2301,0),4)</f>
        <v>0</v>
      </c>
      <c r="M2301" s="67">
        <f>ROUND(IF(J2301&gt;K2301,0,J2301),4)</f>
        <v>0</v>
      </c>
      <c r="N2301" s="67">
        <f>ROUND(+L2301*D2301,4)</f>
        <v>0</v>
      </c>
      <c r="O2301" s="67">
        <f>ROUND(IF(F2301="rame",0,+I2301*3%),4)</f>
        <v>0</v>
      </c>
      <c r="P2301" s="67">
        <f>ROUND(IF(O2301&lt;J2301,O2301,0),4)</f>
        <v>0</v>
      </c>
      <c r="Q2301" s="67">
        <f>ROUND(IF(J2301&gt;O2301,0,J2301),4)</f>
        <v>0</v>
      </c>
      <c r="R2301" s="67">
        <f>ROUND(+P2301*D2301,4)</f>
        <v>0</v>
      </c>
      <c r="S2301" s="67">
        <f>ROUND(IF(K2301=0,0,M2301*D2301),4)</f>
        <v>0</v>
      </c>
      <c r="T2301" s="67">
        <f>ROUND(+IF(K2301=0,Q2301*D2301,0),4)</f>
        <v>0</v>
      </c>
      <c r="U2301" s="67">
        <f>ROUND(+N2301+R2301+S2301+T2301,4)</f>
        <v>0</v>
      </c>
      <c r="V2301" s="67">
        <f>ROUND(IF(P2301=0,0,I2301-H2301-O2301)+IF(L2301=0,0,I2301-H2301-K2301),4)</f>
        <v>0</v>
      </c>
      <c r="W2301" s="67">
        <f>ROUND(+(V2301*60%)*D2301,4)</f>
        <v>0</v>
      </c>
      <c r="X2301" s="148">
        <f>ROUND(+U2301+W2301,4)</f>
        <v>0</v>
      </c>
      <c r="Y2301" s="68"/>
      <c r="Z2301" s="148">
        <f>ROUND(IF(X2301&gt;I2301,X2301,I2301),4)</f>
        <v>0</v>
      </c>
      <c r="AD2301" s="78">
        <f t="shared" si="48"/>
        <v>0</v>
      </c>
      <c r="AE2301" s="78">
        <f t="shared" si="49"/>
        <v>0</v>
      </c>
    </row>
    <row r="2302" spans="1:31" x14ac:dyDescent="0.2">
      <c r="A2302" s="66"/>
      <c r="B2302" s="66"/>
      <c r="C2302" s="66"/>
      <c r="D2302" s="144"/>
      <c r="E2302" s="67"/>
      <c r="F2302" s="67"/>
      <c r="G2302" s="67"/>
      <c r="H2302" s="67">
        <f>ROUND(+E2302+G2302,4)</f>
        <v>0</v>
      </c>
      <c r="I2302" s="67"/>
      <c r="J2302" s="67">
        <f>ROUND(+I2302-H2302,4)</f>
        <v>0</v>
      </c>
      <c r="K2302" s="67">
        <f>ROUND(IF(F2302="alluminio",0,I2302*1.5%),4)</f>
        <v>0</v>
      </c>
      <c r="L2302" s="67">
        <f>ROUND(IF(K2302&lt;J2302,K2302,0),4)</f>
        <v>0</v>
      </c>
      <c r="M2302" s="67">
        <f>ROUND(IF(J2302&gt;K2302,0,J2302),4)</f>
        <v>0</v>
      </c>
      <c r="N2302" s="67">
        <f>ROUND(+L2302*D2302,4)</f>
        <v>0</v>
      </c>
      <c r="O2302" s="67">
        <f>ROUND(IF(F2302="rame",0,+I2302*3%),4)</f>
        <v>0</v>
      </c>
      <c r="P2302" s="67">
        <f>ROUND(IF(O2302&lt;J2302,O2302,0),4)</f>
        <v>0</v>
      </c>
      <c r="Q2302" s="67">
        <f>ROUND(IF(J2302&gt;O2302,0,J2302),4)</f>
        <v>0</v>
      </c>
      <c r="R2302" s="67">
        <f>ROUND(+P2302*D2302,4)</f>
        <v>0</v>
      </c>
      <c r="S2302" s="67">
        <f>ROUND(IF(K2302=0,0,M2302*D2302),4)</f>
        <v>0</v>
      </c>
      <c r="T2302" s="67">
        <f>ROUND(+IF(K2302=0,Q2302*D2302,0),4)</f>
        <v>0</v>
      </c>
      <c r="U2302" s="67">
        <f>ROUND(+N2302+R2302+S2302+T2302,4)</f>
        <v>0</v>
      </c>
      <c r="V2302" s="67">
        <f>ROUND(IF(P2302=0,0,I2302-H2302-O2302)+IF(L2302=0,0,I2302-H2302-K2302),4)</f>
        <v>0</v>
      </c>
      <c r="W2302" s="67">
        <f>ROUND(+(V2302*60%)*D2302,4)</f>
        <v>0</v>
      </c>
      <c r="X2302" s="148">
        <f>ROUND(+U2302+W2302,4)</f>
        <v>0</v>
      </c>
      <c r="Y2302" s="68"/>
      <c r="Z2302" s="148">
        <f>ROUND(IF(X2302&gt;I2302,X2302,I2302),4)</f>
        <v>0</v>
      </c>
      <c r="AD2302" s="78">
        <f t="shared" ref="AD2302:AD2365" si="50">IF(Y2302="",0,MONTH(Y2302))</f>
        <v>0</v>
      </c>
      <c r="AE2302" s="78">
        <f t="shared" ref="AE2302:AE2365" si="51">IF(Y2302="",0,YEAR(Y2302))</f>
        <v>0</v>
      </c>
    </row>
    <row r="2303" spans="1:31" x14ac:dyDescent="0.2">
      <c r="A2303" s="66"/>
      <c r="B2303" s="66"/>
      <c r="C2303" s="66"/>
      <c r="D2303" s="144"/>
      <c r="E2303" s="67"/>
      <c r="F2303" s="67"/>
      <c r="G2303" s="67"/>
      <c r="H2303" s="67">
        <f>ROUND(+E2303+G2303,4)</f>
        <v>0</v>
      </c>
      <c r="I2303" s="67"/>
      <c r="J2303" s="67">
        <f>ROUND(+I2303-H2303,4)</f>
        <v>0</v>
      </c>
      <c r="K2303" s="67">
        <f>ROUND(IF(F2303="alluminio",0,I2303*1.5%),4)</f>
        <v>0</v>
      </c>
      <c r="L2303" s="67">
        <f>ROUND(IF(K2303&lt;J2303,K2303,0),4)</f>
        <v>0</v>
      </c>
      <c r="M2303" s="67">
        <f>ROUND(IF(J2303&gt;K2303,0,J2303),4)</f>
        <v>0</v>
      </c>
      <c r="N2303" s="67">
        <f>ROUND(+L2303*D2303,4)</f>
        <v>0</v>
      </c>
      <c r="O2303" s="67">
        <f>ROUND(IF(F2303="rame",0,+I2303*3%),4)</f>
        <v>0</v>
      </c>
      <c r="P2303" s="67">
        <f>ROUND(IF(O2303&lt;J2303,O2303,0),4)</f>
        <v>0</v>
      </c>
      <c r="Q2303" s="67">
        <f>ROUND(IF(J2303&gt;O2303,0,J2303),4)</f>
        <v>0</v>
      </c>
      <c r="R2303" s="67">
        <f>ROUND(+P2303*D2303,4)</f>
        <v>0</v>
      </c>
      <c r="S2303" s="67">
        <f>ROUND(IF(K2303=0,0,M2303*D2303),4)</f>
        <v>0</v>
      </c>
      <c r="T2303" s="67">
        <f>ROUND(+IF(K2303=0,Q2303*D2303,0),4)</f>
        <v>0</v>
      </c>
      <c r="U2303" s="67">
        <f>ROUND(+N2303+R2303+S2303+T2303,4)</f>
        <v>0</v>
      </c>
      <c r="V2303" s="67">
        <f>ROUND(IF(P2303=0,0,I2303-H2303-O2303)+IF(L2303=0,0,I2303-H2303-K2303),4)</f>
        <v>0</v>
      </c>
      <c r="W2303" s="67">
        <f>ROUND(+(V2303*60%)*D2303,4)</f>
        <v>0</v>
      </c>
      <c r="X2303" s="148">
        <f>ROUND(+U2303+W2303,4)</f>
        <v>0</v>
      </c>
      <c r="Y2303" s="68"/>
      <c r="Z2303" s="148">
        <f>ROUND(IF(X2303&gt;I2303,X2303,I2303),4)</f>
        <v>0</v>
      </c>
      <c r="AD2303" s="78">
        <f t="shared" si="50"/>
        <v>0</v>
      </c>
      <c r="AE2303" s="78">
        <f t="shared" si="51"/>
        <v>0</v>
      </c>
    </row>
    <row r="2304" spans="1:31" x14ac:dyDescent="0.2">
      <c r="A2304" s="66"/>
      <c r="B2304" s="66"/>
      <c r="C2304" s="66"/>
      <c r="D2304" s="144"/>
      <c r="E2304" s="67"/>
      <c r="F2304" s="67"/>
      <c r="G2304" s="67"/>
      <c r="H2304" s="67">
        <f>ROUND(+E2304+G2304,4)</f>
        <v>0</v>
      </c>
      <c r="I2304" s="67"/>
      <c r="J2304" s="67">
        <f>ROUND(+I2304-H2304,4)</f>
        <v>0</v>
      </c>
      <c r="K2304" s="67">
        <f>ROUND(IF(F2304="alluminio",0,I2304*1.5%),4)</f>
        <v>0</v>
      </c>
      <c r="L2304" s="67">
        <f>ROUND(IF(K2304&lt;J2304,K2304,0),4)</f>
        <v>0</v>
      </c>
      <c r="M2304" s="67">
        <f>ROUND(IF(J2304&gt;K2304,0,J2304),4)</f>
        <v>0</v>
      </c>
      <c r="N2304" s="67">
        <f>ROUND(+L2304*D2304,4)</f>
        <v>0</v>
      </c>
      <c r="O2304" s="67">
        <f>ROUND(IF(F2304="rame",0,+I2304*3%),4)</f>
        <v>0</v>
      </c>
      <c r="P2304" s="67">
        <f>ROUND(IF(O2304&lt;J2304,O2304,0),4)</f>
        <v>0</v>
      </c>
      <c r="Q2304" s="67">
        <f>ROUND(IF(J2304&gt;O2304,0,J2304),4)</f>
        <v>0</v>
      </c>
      <c r="R2304" s="67">
        <f>ROUND(+P2304*D2304,4)</f>
        <v>0</v>
      </c>
      <c r="S2304" s="67">
        <f>ROUND(IF(K2304=0,0,M2304*D2304),4)</f>
        <v>0</v>
      </c>
      <c r="T2304" s="67">
        <f>ROUND(+IF(K2304=0,Q2304*D2304,0),4)</f>
        <v>0</v>
      </c>
      <c r="U2304" s="67">
        <f>ROUND(+N2304+R2304+S2304+T2304,4)</f>
        <v>0</v>
      </c>
      <c r="V2304" s="67">
        <f>ROUND(IF(P2304=0,0,I2304-H2304-O2304)+IF(L2304=0,0,I2304-H2304-K2304),4)</f>
        <v>0</v>
      </c>
      <c r="W2304" s="67">
        <f>ROUND(+(V2304*60%)*D2304,4)</f>
        <v>0</v>
      </c>
      <c r="X2304" s="148">
        <f>ROUND(+U2304+W2304,4)</f>
        <v>0</v>
      </c>
      <c r="Y2304" s="68"/>
      <c r="Z2304" s="148">
        <f>ROUND(IF(X2304&gt;I2304,X2304,I2304),4)</f>
        <v>0</v>
      </c>
      <c r="AD2304" s="78">
        <f t="shared" si="50"/>
        <v>0</v>
      </c>
      <c r="AE2304" s="78">
        <f t="shared" si="51"/>
        <v>0</v>
      </c>
    </row>
    <row r="2305" spans="1:31" x14ac:dyDescent="0.2">
      <c r="A2305" s="66"/>
      <c r="B2305" s="66"/>
      <c r="C2305" s="66"/>
      <c r="D2305" s="144"/>
      <c r="E2305" s="67"/>
      <c r="F2305" s="67"/>
      <c r="G2305" s="67"/>
      <c r="H2305" s="67">
        <f>ROUND(+E2305+G2305,4)</f>
        <v>0</v>
      </c>
      <c r="I2305" s="67"/>
      <c r="J2305" s="67">
        <f>ROUND(+I2305-H2305,4)</f>
        <v>0</v>
      </c>
      <c r="K2305" s="67">
        <f>ROUND(IF(F2305="alluminio",0,I2305*1.5%),4)</f>
        <v>0</v>
      </c>
      <c r="L2305" s="67">
        <f>ROUND(IF(K2305&lt;J2305,K2305,0),4)</f>
        <v>0</v>
      </c>
      <c r="M2305" s="67">
        <f>ROUND(IF(J2305&gt;K2305,0,J2305),4)</f>
        <v>0</v>
      </c>
      <c r="N2305" s="67">
        <f>ROUND(+L2305*D2305,4)</f>
        <v>0</v>
      </c>
      <c r="O2305" s="67">
        <f>ROUND(IF(F2305="rame",0,+I2305*3%),4)</f>
        <v>0</v>
      </c>
      <c r="P2305" s="67">
        <f>ROUND(IF(O2305&lt;J2305,O2305,0),4)</f>
        <v>0</v>
      </c>
      <c r="Q2305" s="67">
        <f>ROUND(IF(J2305&gt;O2305,0,J2305),4)</f>
        <v>0</v>
      </c>
      <c r="R2305" s="67">
        <f>ROUND(+P2305*D2305,4)</f>
        <v>0</v>
      </c>
      <c r="S2305" s="67">
        <f>ROUND(IF(K2305=0,0,M2305*D2305),4)</f>
        <v>0</v>
      </c>
      <c r="T2305" s="67">
        <f>ROUND(+IF(K2305=0,Q2305*D2305,0),4)</f>
        <v>0</v>
      </c>
      <c r="U2305" s="67">
        <f>ROUND(+N2305+R2305+S2305+T2305,4)</f>
        <v>0</v>
      </c>
      <c r="V2305" s="67">
        <f>ROUND(IF(P2305=0,0,I2305-H2305-O2305)+IF(L2305=0,0,I2305-H2305-K2305),4)</f>
        <v>0</v>
      </c>
      <c r="W2305" s="67">
        <f>ROUND(+(V2305*60%)*D2305,4)</f>
        <v>0</v>
      </c>
      <c r="X2305" s="148">
        <f>ROUND(+U2305+W2305,4)</f>
        <v>0</v>
      </c>
      <c r="Y2305" s="68"/>
      <c r="Z2305" s="148">
        <f>ROUND(IF(X2305&gt;I2305,X2305,I2305),4)</f>
        <v>0</v>
      </c>
      <c r="AD2305" s="78">
        <f t="shared" si="50"/>
        <v>0</v>
      </c>
      <c r="AE2305" s="78">
        <f t="shared" si="51"/>
        <v>0</v>
      </c>
    </row>
    <row r="2306" spans="1:31" x14ac:dyDescent="0.2">
      <c r="A2306" s="66"/>
      <c r="B2306" s="66"/>
      <c r="C2306" s="66"/>
      <c r="D2306" s="144"/>
      <c r="E2306" s="67"/>
      <c r="F2306" s="67"/>
      <c r="G2306" s="67"/>
      <c r="H2306" s="67">
        <f>ROUND(+E2306+G2306,4)</f>
        <v>0</v>
      </c>
      <c r="I2306" s="67"/>
      <c r="J2306" s="67">
        <f>ROUND(+I2306-H2306,4)</f>
        <v>0</v>
      </c>
      <c r="K2306" s="67">
        <f>ROUND(IF(F2306="alluminio",0,I2306*1.5%),4)</f>
        <v>0</v>
      </c>
      <c r="L2306" s="67">
        <f>ROUND(IF(K2306&lt;J2306,K2306,0),4)</f>
        <v>0</v>
      </c>
      <c r="M2306" s="67">
        <f>ROUND(IF(J2306&gt;K2306,0,J2306),4)</f>
        <v>0</v>
      </c>
      <c r="N2306" s="67">
        <f>ROUND(+L2306*D2306,4)</f>
        <v>0</v>
      </c>
      <c r="O2306" s="67">
        <f>ROUND(IF(F2306="rame",0,+I2306*3%),4)</f>
        <v>0</v>
      </c>
      <c r="P2306" s="67">
        <f>ROUND(IF(O2306&lt;J2306,O2306,0),4)</f>
        <v>0</v>
      </c>
      <c r="Q2306" s="67">
        <f>ROUND(IF(J2306&gt;O2306,0,J2306),4)</f>
        <v>0</v>
      </c>
      <c r="R2306" s="67">
        <f>ROUND(+P2306*D2306,4)</f>
        <v>0</v>
      </c>
      <c r="S2306" s="67">
        <f>ROUND(IF(K2306=0,0,M2306*D2306),4)</f>
        <v>0</v>
      </c>
      <c r="T2306" s="67">
        <f>ROUND(+IF(K2306=0,Q2306*D2306,0),4)</f>
        <v>0</v>
      </c>
      <c r="U2306" s="67">
        <f>ROUND(+N2306+R2306+S2306+T2306,4)</f>
        <v>0</v>
      </c>
      <c r="V2306" s="67">
        <f>ROUND(IF(P2306=0,0,I2306-H2306-O2306)+IF(L2306=0,0,I2306-H2306-K2306),4)</f>
        <v>0</v>
      </c>
      <c r="W2306" s="67">
        <f>ROUND(+(V2306*60%)*D2306,4)</f>
        <v>0</v>
      </c>
      <c r="X2306" s="148">
        <f>ROUND(+U2306+W2306,4)</f>
        <v>0</v>
      </c>
      <c r="Y2306" s="68"/>
      <c r="Z2306" s="148">
        <f>ROUND(IF(X2306&gt;I2306,X2306,I2306),4)</f>
        <v>0</v>
      </c>
      <c r="AD2306" s="78">
        <f t="shared" si="50"/>
        <v>0</v>
      </c>
      <c r="AE2306" s="78">
        <f t="shared" si="51"/>
        <v>0</v>
      </c>
    </row>
    <row r="2307" spans="1:31" x14ac:dyDescent="0.2">
      <c r="A2307" s="66"/>
      <c r="B2307" s="66"/>
      <c r="C2307" s="66"/>
      <c r="D2307" s="144"/>
      <c r="E2307" s="67"/>
      <c r="F2307" s="67"/>
      <c r="G2307" s="67"/>
      <c r="H2307" s="67">
        <f>ROUND(+E2307+G2307,4)</f>
        <v>0</v>
      </c>
      <c r="I2307" s="67"/>
      <c r="J2307" s="67">
        <f>ROUND(+I2307-H2307,4)</f>
        <v>0</v>
      </c>
      <c r="K2307" s="67">
        <f>ROUND(IF(F2307="alluminio",0,I2307*1.5%),4)</f>
        <v>0</v>
      </c>
      <c r="L2307" s="67">
        <f>ROUND(IF(K2307&lt;J2307,K2307,0),4)</f>
        <v>0</v>
      </c>
      <c r="M2307" s="67">
        <f>ROUND(IF(J2307&gt;K2307,0,J2307),4)</f>
        <v>0</v>
      </c>
      <c r="N2307" s="67">
        <f>ROUND(+L2307*D2307,4)</f>
        <v>0</v>
      </c>
      <c r="O2307" s="67">
        <f>ROUND(IF(F2307="rame",0,+I2307*3%),4)</f>
        <v>0</v>
      </c>
      <c r="P2307" s="67">
        <f>ROUND(IF(O2307&lt;J2307,O2307,0),4)</f>
        <v>0</v>
      </c>
      <c r="Q2307" s="67">
        <f>ROUND(IF(J2307&gt;O2307,0,J2307),4)</f>
        <v>0</v>
      </c>
      <c r="R2307" s="67">
        <f>ROUND(+P2307*D2307,4)</f>
        <v>0</v>
      </c>
      <c r="S2307" s="67">
        <f>ROUND(IF(K2307=0,0,M2307*D2307),4)</f>
        <v>0</v>
      </c>
      <c r="T2307" s="67">
        <f>ROUND(+IF(K2307=0,Q2307*D2307,0),4)</f>
        <v>0</v>
      </c>
      <c r="U2307" s="67">
        <f>ROUND(+N2307+R2307+S2307+T2307,4)</f>
        <v>0</v>
      </c>
      <c r="V2307" s="67">
        <f>ROUND(IF(P2307=0,0,I2307-H2307-O2307)+IF(L2307=0,0,I2307-H2307-K2307),4)</f>
        <v>0</v>
      </c>
      <c r="W2307" s="67">
        <f>ROUND(+(V2307*60%)*D2307,4)</f>
        <v>0</v>
      </c>
      <c r="X2307" s="148">
        <f>ROUND(+U2307+W2307,4)</f>
        <v>0</v>
      </c>
      <c r="Y2307" s="68"/>
      <c r="Z2307" s="148">
        <f>ROUND(IF(X2307&gt;I2307,X2307,I2307),4)</f>
        <v>0</v>
      </c>
      <c r="AD2307" s="78">
        <f t="shared" si="50"/>
        <v>0</v>
      </c>
      <c r="AE2307" s="78">
        <f t="shared" si="51"/>
        <v>0</v>
      </c>
    </row>
    <row r="2308" spans="1:31" x14ac:dyDescent="0.2">
      <c r="A2308" s="66"/>
      <c r="B2308" s="66"/>
      <c r="C2308" s="66"/>
      <c r="D2308" s="144"/>
      <c r="E2308" s="67"/>
      <c r="F2308" s="67"/>
      <c r="G2308" s="67"/>
      <c r="H2308" s="67">
        <f>ROUND(+E2308+G2308,4)</f>
        <v>0</v>
      </c>
      <c r="I2308" s="67"/>
      <c r="J2308" s="67">
        <f>ROUND(+I2308-H2308,4)</f>
        <v>0</v>
      </c>
      <c r="K2308" s="67">
        <f>ROUND(IF(F2308="alluminio",0,I2308*1.5%),4)</f>
        <v>0</v>
      </c>
      <c r="L2308" s="67">
        <f>ROUND(IF(K2308&lt;J2308,K2308,0),4)</f>
        <v>0</v>
      </c>
      <c r="M2308" s="67">
        <f>ROUND(IF(J2308&gt;K2308,0,J2308),4)</f>
        <v>0</v>
      </c>
      <c r="N2308" s="67">
        <f>ROUND(+L2308*D2308,4)</f>
        <v>0</v>
      </c>
      <c r="O2308" s="67">
        <f>ROUND(IF(F2308="rame",0,+I2308*3%),4)</f>
        <v>0</v>
      </c>
      <c r="P2308" s="67">
        <f>ROUND(IF(O2308&lt;J2308,O2308,0),4)</f>
        <v>0</v>
      </c>
      <c r="Q2308" s="67">
        <f>ROUND(IF(J2308&gt;O2308,0,J2308),4)</f>
        <v>0</v>
      </c>
      <c r="R2308" s="67">
        <f>ROUND(+P2308*D2308,4)</f>
        <v>0</v>
      </c>
      <c r="S2308" s="67">
        <f>ROUND(IF(K2308=0,0,M2308*D2308),4)</f>
        <v>0</v>
      </c>
      <c r="T2308" s="67">
        <f>ROUND(+IF(K2308=0,Q2308*D2308,0),4)</f>
        <v>0</v>
      </c>
      <c r="U2308" s="67">
        <f>ROUND(+N2308+R2308+S2308+T2308,4)</f>
        <v>0</v>
      </c>
      <c r="V2308" s="67">
        <f>ROUND(IF(P2308=0,0,I2308-H2308-O2308)+IF(L2308=0,0,I2308-H2308-K2308),4)</f>
        <v>0</v>
      </c>
      <c r="W2308" s="67">
        <f>ROUND(+(V2308*60%)*D2308,4)</f>
        <v>0</v>
      </c>
      <c r="X2308" s="148">
        <f>ROUND(+U2308+W2308,4)</f>
        <v>0</v>
      </c>
      <c r="Y2308" s="68"/>
      <c r="Z2308" s="148">
        <f>ROUND(IF(X2308&gt;I2308,X2308,I2308),4)</f>
        <v>0</v>
      </c>
      <c r="AD2308" s="78">
        <f t="shared" si="50"/>
        <v>0</v>
      </c>
      <c r="AE2308" s="78">
        <f t="shared" si="51"/>
        <v>0</v>
      </c>
    </row>
    <row r="2309" spans="1:31" x14ac:dyDescent="0.2">
      <c r="A2309" s="66"/>
      <c r="B2309" s="66"/>
      <c r="C2309" s="66"/>
      <c r="D2309" s="144"/>
      <c r="E2309" s="67"/>
      <c r="F2309" s="67"/>
      <c r="G2309" s="67"/>
      <c r="H2309" s="67">
        <f>ROUND(+E2309+G2309,4)</f>
        <v>0</v>
      </c>
      <c r="I2309" s="67"/>
      <c r="J2309" s="67">
        <f>ROUND(+I2309-H2309,4)</f>
        <v>0</v>
      </c>
      <c r="K2309" s="67">
        <f>ROUND(IF(F2309="alluminio",0,I2309*1.5%),4)</f>
        <v>0</v>
      </c>
      <c r="L2309" s="67">
        <f>ROUND(IF(K2309&lt;J2309,K2309,0),4)</f>
        <v>0</v>
      </c>
      <c r="M2309" s="67">
        <f>ROUND(IF(J2309&gt;K2309,0,J2309),4)</f>
        <v>0</v>
      </c>
      <c r="N2309" s="67">
        <f>ROUND(+L2309*D2309,4)</f>
        <v>0</v>
      </c>
      <c r="O2309" s="67">
        <f>ROUND(IF(F2309="rame",0,+I2309*3%),4)</f>
        <v>0</v>
      </c>
      <c r="P2309" s="67">
        <f>ROUND(IF(O2309&lt;J2309,O2309,0),4)</f>
        <v>0</v>
      </c>
      <c r="Q2309" s="67">
        <f>ROUND(IF(J2309&gt;O2309,0,J2309),4)</f>
        <v>0</v>
      </c>
      <c r="R2309" s="67">
        <f>ROUND(+P2309*D2309,4)</f>
        <v>0</v>
      </c>
      <c r="S2309" s="67">
        <f>ROUND(IF(K2309=0,0,M2309*D2309),4)</f>
        <v>0</v>
      </c>
      <c r="T2309" s="67">
        <f>ROUND(+IF(K2309=0,Q2309*D2309,0),4)</f>
        <v>0</v>
      </c>
      <c r="U2309" s="67">
        <f>ROUND(+N2309+R2309+S2309+T2309,4)</f>
        <v>0</v>
      </c>
      <c r="V2309" s="67">
        <f>ROUND(IF(P2309=0,0,I2309-H2309-O2309)+IF(L2309=0,0,I2309-H2309-K2309),4)</f>
        <v>0</v>
      </c>
      <c r="W2309" s="67">
        <f>ROUND(+(V2309*60%)*D2309,4)</f>
        <v>0</v>
      </c>
      <c r="X2309" s="148">
        <f>ROUND(+U2309+W2309,4)</f>
        <v>0</v>
      </c>
      <c r="Y2309" s="68"/>
      <c r="Z2309" s="148">
        <f>ROUND(IF(X2309&gt;I2309,X2309,I2309),4)</f>
        <v>0</v>
      </c>
      <c r="AD2309" s="78">
        <f t="shared" si="50"/>
        <v>0</v>
      </c>
      <c r="AE2309" s="78">
        <f t="shared" si="51"/>
        <v>0</v>
      </c>
    </row>
    <row r="2310" spans="1:31" x14ac:dyDescent="0.2">
      <c r="A2310" s="66"/>
      <c r="B2310" s="66"/>
      <c r="C2310" s="66"/>
      <c r="D2310" s="144"/>
      <c r="E2310" s="67"/>
      <c r="F2310" s="67"/>
      <c r="G2310" s="67"/>
      <c r="H2310" s="67">
        <f>ROUND(+E2310+G2310,4)</f>
        <v>0</v>
      </c>
      <c r="I2310" s="67"/>
      <c r="J2310" s="67">
        <f>ROUND(+I2310-H2310,4)</f>
        <v>0</v>
      </c>
      <c r="K2310" s="67">
        <f>ROUND(IF(F2310="alluminio",0,I2310*1.5%),4)</f>
        <v>0</v>
      </c>
      <c r="L2310" s="67">
        <f>ROUND(IF(K2310&lt;J2310,K2310,0),4)</f>
        <v>0</v>
      </c>
      <c r="M2310" s="67">
        <f>ROUND(IF(J2310&gt;K2310,0,J2310),4)</f>
        <v>0</v>
      </c>
      <c r="N2310" s="67">
        <f>ROUND(+L2310*D2310,4)</f>
        <v>0</v>
      </c>
      <c r="O2310" s="67">
        <f>ROUND(IF(F2310="rame",0,+I2310*3%),4)</f>
        <v>0</v>
      </c>
      <c r="P2310" s="67">
        <f>ROUND(IF(O2310&lt;J2310,O2310,0),4)</f>
        <v>0</v>
      </c>
      <c r="Q2310" s="67">
        <f>ROUND(IF(J2310&gt;O2310,0,J2310),4)</f>
        <v>0</v>
      </c>
      <c r="R2310" s="67">
        <f>ROUND(+P2310*D2310,4)</f>
        <v>0</v>
      </c>
      <c r="S2310" s="67">
        <f>ROUND(IF(K2310=0,0,M2310*D2310),4)</f>
        <v>0</v>
      </c>
      <c r="T2310" s="67">
        <f>ROUND(+IF(K2310=0,Q2310*D2310,0),4)</f>
        <v>0</v>
      </c>
      <c r="U2310" s="67">
        <f>ROUND(+N2310+R2310+S2310+T2310,4)</f>
        <v>0</v>
      </c>
      <c r="V2310" s="67">
        <f>ROUND(IF(P2310=0,0,I2310-H2310-O2310)+IF(L2310=0,0,I2310-H2310-K2310),4)</f>
        <v>0</v>
      </c>
      <c r="W2310" s="67">
        <f>ROUND(+(V2310*60%)*D2310,4)</f>
        <v>0</v>
      </c>
      <c r="X2310" s="148">
        <f>ROUND(+U2310+W2310,4)</f>
        <v>0</v>
      </c>
      <c r="Y2310" s="68"/>
      <c r="Z2310" s="148">
        <f>ROUND(IF(X2310&gt;I2310,X2310,I2310),4)</f>
        <v>0</v>
      </c>
      <c r="AD2310" s="78">
        <f t="shared" si="50"/>
        <v>0</v>
      </c>
      <c r="AE2310" s="78">
        <f t="shared" si="51"/>
        <v>0</v>
      </c>
    </row>
    <row r="2311" spans="1:31" x14ac:dyDescent="0.2">
      <c r="A2311" s="66"/>
      <c r="B2311" s="66"/>
      <c r="C2311" s="66"/>
      <c r="D2311" s="144"/>
      <c r="E2311" s="67"/>
      <c r="F2311" s="67"/>
      <c r="G2311" s="67"/>
      <c r="H2311" s="67">
        <f>ROUND(+E2311+G2311,4)</f>
        <v>0</v>
      </c>
      <c r="I2311" s="67"/>
      <c r="J2311" s="67">
        <f>ROUND(+I2311-H2311,4)</f>
        <v>0</v>
      </c>
      <c r="K2311" s="67">
        <f>ROUND(IF(F2311="alluminio",0,I2311*1.5%),4)</f>
        <v>0</v>
      </c>
      <c r="L2311" s="67">
        <f>ROUND(IF(K2311&lt;J2311,K2311,0),4)</f>
        <v>0</v>
      </c>
      <c r="M2311" s="67">
        <f>ROUND(IF(J2311&gt;K2311,0,J2311),4)</f>
        <v>0</v>
      </c>
      <c r="N2311" s="67">
        <f>ROUND(+L2311*D2311,4)</f>
        <v>0</v>
      </c>
      <c r="O2311" s="67">
        <f>ROUND(IF(F2311="rame",0,+I2311*3%),4)</f>
        <v>0</v>
      </c>
      <c r="P2311" s="67">
        <f>ROUND(IF(O2311&lt;J2311,O2311,0),4)</f>
        <v>0</v>
      </c>
      <c r="Q2311" s="67">
        <f>ROUND(IF(J2311&gt;O2311,0,J2311),4)</f>
        <v>0</v>
      </c>
      <c r="R2311" s="67">
        <f>ROUND(+P2311*D2311,4)</f>
        <v>0</v>
      </c>
      <c r="S2311" s="67">
        <f>ROUND(IF(K2311=0,0,M2311*D2311),4)</f>
        <v>0</v>
      </c>
      <c r="T2311" s="67">
        <f>ROUND(+IF(K2311=0,Q2311*D2311,0),4)</f>
        <v>0</v>
      </c>
      <c r="U2311" s="67">
        <f>ROUND(+N2311+R2311+S2311+T2311,4)</f>
        <v>0</v>
      </c>
      <c r="V2311" s="67">
        <f>ROUND(IF(P2311=0,0,I2311-H2311-O2311)+IF(L2311=0,0,I2311-H2311-K2311),4)</f>
        <v>0</v>
      </c>
      <c r="W2311" s="67">
        <f>ROUND(+(V2311*60%)*D2311,4)</f>
        <v>0</v>
      </c>
      <c r="X2311" s="148">
        <f>ROUND(+U2311+W2311,4)</f>
        <v>0</v>
      </c>
      <c r="Y2311" s="68"/>
      <c r="Z2311" s="148">
        <f>ROUND(IF(X2311&gt;I2311,X2311,I2311),4)</f>
        <v>0</v>
      </c>
      <c r="AD2311" s="78">
        <f t="shared" si="50"/>
        <v>0</v>
      </c>
      <c r="AE2311" s="78">
        <f t="shared" si="51"/>
        <v>0</v>
      </c>
    </row>
    <row r="2312" spans="1:31" x14ac:dyDescent="0.2">
      <c r="A2312" s="66"/>
      <c r="B2312" s="66"/>
      <c r="C2312" s="66"/>
      <c r="D2312" s="144"/>
      <c r="E2312" s="67"/>
      <c r="F2312" s="67"/>
      <c r="G2312" s="67"/>
      <c r="H2312" s="67">
        <f>ROUND(+E2312+G2312,4)</f>
        <v>0</v>
      </c>
      <c r="I2312" s="67"/>
      <c r="J2312" s="67">
        <f>ROUND(+I2312-H2312,4)</f>
        <v>0</v>
      </c>
      <c r="K2312" s="67">
        <f>ROUND(IF(F2312="alluminio",0,I2312*1.5%),4)</f>
        <v>0</v>
      </c>
      <c r="L2312" s="67">
        <f>ROUND(IF(K2312&lt;J2312,K2312,0),4)</f>
        <v>0</v>
      </c>
      <c r="M2312" s="67">
        <f>ROUND(IF(J2312&gt;K2312,0,J2312),4)</f>
        <v>0</v>
      </c>
      <c r="N2312" s="67">
        <f>ROUND(+L2312*D2312,4)</f>
        <v>0</v>
      </c>
      <c r="O2312" s="67">
        <f>ROUND(IF(F2312="rame",0,+I2312*3%),4)</f>
        <v>0</v>
      </c>
      <c r="P2312" s="67">
        <f>ROUND(IF(O2312&lt;J2312,O2312,0),4)</f>
        <v>0</v>
      </c>
      <c r="Q2312" s="67">
        <f>ROUND(IF(J2312&gt;O2312,0,J2312),4)</f>
        <v>0</v>
      </c>
      <c r="R2312" s="67">
        <f>ROUND(+P2312*D2312,4)</f>
        <v>0</v>
      </c>
      <c r="S2312" s="67">
        <f>ROUND(IF(K2312=0,0,M2312*D2312),4)</f>
        <v>0</v>
      </c>
      <c r="T2312" s="67">
        <f>ROUND(+IF(K2312=0,Q2312*D2312,0),4)</f>
        <v>0</v>
      </c>
      <c r="U2312" s="67">
        <f>ROUND(+N2312+R2312+S2312+T2312,4)</f>
        <v>0</v>
      </c>
      <c r="V2312" s="67">
        <f>ROUND(IF(P2312=0,0,I2312-H2312-O2312)+IF(L2312=0,0,I2312-H2312-K2312),4)</f>
        <v>0</v>
      </c>
      <c r="W2312" s="67">
        <f>ROUND(+(V2312*60%)*D2312,4)</f>
        <v>0</v>
      </c>
      <c r="X2312" s="148">
        <f>ROUND(+U2312+W2312,4)</f>
        <v>0</v>
      </c>
      <c r="Y2312" s="68"/>
      <c r="Z2312" s="148">
        <f>ROUND(IF(X2312&gt;I2312,X2312,I2312),4)</f>
        <v>0</v>
      </c>
      <c r="AD2312" s="78">
        <f t="shared" si="50"/>
        <v>0</v>
      </c>
      <c r="AE2312" s="78">
        <f t="shared" si="51"/>
        <v>0</v>
      </c>
    </row>
    <row r="2313" spans="1:31" x14ac:dyDescent="0.2">
      <c r="A2313" s="66"/>
      <c r="B2313" s="66"/>
      <c r="C2313" s="66"/>
      <c r="D2313" s="144"/>
      <c r="E2313" s="67"/>
      <c r="F2313" s="67"/>
      <c r="G2313" s="67"/>
      <c r="H2313" s="67">
        <f>ROUND(+E2313+G2313,4)</f>
        <v>0</v>
      </c>
      <c r="I2313" s="67"/>
      <c r="J2313" s="67">
        <f>ROUND(+I2313-H2313,4)</f>
        <v>0</v>
      </c>
      <c r="K2313" s="67">
        <f>ROUND(IF(F2313="alluminio",0,I2313*1.5%),4)</f>
        <v>0</v>
      </c>
      <c r="L2313" s="67">
        <f>ROUND(IF(K2313&lt;J2313,K2313,0),4)</f>
        <v>0</v>
      </c>
      <c r="M2313" s="67">
        <f>ROUND(IF(J2313&gt;K2313,0,J2313),4)</f>
        <v>0</v>
      </c>
      <c r="N2313" s="67">
        <f>ROUND(+L2313*D2313,4)</f>
        <v>0</v>
      </c>
      <c r="O2313" s="67">
        <f>ROUND(IF(F2313="rame",0,+I2313*3%),4)</f>
        <v>0</v>
      </c>
      <c r="P2313" s="67">
        <f>ROUND(IF(O2313&lt;J2313,O2313,0),4)</f>
        <v>0</v>
      </c>
      <c r="Q2313" s="67">
        <f>ROUND(IF(J2313&gt;O2313,0,J2313),4)</f>
        <v>0</v>
      </c>
      <c r="R2313" s="67">
        <f>ROUND(+P2313*D2313,4)</f>
        <v>0</v>
      </c>
      <c r="S2313" s="67">
        <f>ROUND(IF(K2313=0,0,M2313*D2313),4)</f>
        <v>0</v>
      </c>
      <c r="T2313" s="67">
        <f>ROUND(+IF(K2313=0,Q2313*D2313,0),4)</f>
        <v>0</v>
      </c>
      <c r="U2313" s="67">
        <f>ROUND(+N2313+R2313+S2313+T2313,4)</f>
        <v>0</v>
      </c>
      <c r="V2313" s="67">
        <f>ROUND(IF(P2313=0,0,I2313-H2313-O2313)+IF(L2313=0,0,I2313-H2313-K2313),4)</f>
        <v>0</v>
      </c>
      <c r="W2313" s="67">
        <f>ROUND(+(V2313*60%)*D2313,4)</f>
        <v>0</v>
      </c>
      <c r="X2313" s="148">
        <f>ROUND(+U2313+W2313,4)</f>
        <v>0</v>
      </c>
      <c r="Y2313" s="68"/>
      <c r="Z2313" s="148">
        <f>ROUND(IF(X2313&gt;I2313,X2313,I2313),4)</f>
        <v>0</v>
      </c>
      <c r="AD2313" s="78">
        <f t="shared" si="50"/>
        <v>0</v>
      </c>
      <c r="AE2313" s="78">
        <f t="shared" si="51"/>
        <v>0</v>
      </c>
    </row>
    <row r="2314" spans="1:31" x14ac:dyDescent="0.2">
      <c r="A2314" s="66"/>
      <c r="B2314" s="66"/>
      <c r="C2314" s="66"/>
      <c r="D2314" s="144"/>
      <c r="E2314" s="67"/>
      <c r="F2314" s="67"/>
      <c r="G2314" s="67"/>
      <c r="H2314" s="67">
        <f>ROUND(+E2314+G2314,4)</f>
        <v>0</v>
      </c>
      <c r="I2314" s="67"/>
      <c r="J2314" s="67">
        <f>ROUND(+I2314-H2314,4)</f>
        <v>0</v>
      </c>
      <c r="K2314" s="67">
        <f>ROUND(IF(F2314="alluminio",0,I2314*1.5%),4)</f>
        <v>0</v>
      </c>
      <c r="L2314" s="67">
        <f>ROUND(IF(K2314&lt;J2314,K2314,0),4)</f>
        <v>0</v>
      </c>
      <c r="M2314" s="67">
        <f>ROUND(IF(J2314&gt;K2314,0,J2314),4)</f>
        <v>0</v>
      </c>
      <c r="N2314" s="67">
        <f>ROUND(+L2314*D2314,4)</f>
        <v>0</v>
      </c>
      <c r="O2314" s="67">
        <f>ROUND(IF(F2314="rame",0,+I2314*3%),4)</f>
        <v>0</v>
      </c>
      <c r="P2314" s="67">
        <f>ROUND(IF(O2314&lt;J2314,O2314,0),4)</f>
        <v>0</v>
      </c>
      <c r="Q2314" s="67">
        <f>ROUND(IF(J2314&gt;O2314,0,J2314),4)</f>
        <v>0</v>
      </c>
      <c r="R2314" s="67">
        <f>ROUND(+P2314*D2314,4)</f>
        <v>0</v>
      </c>
      <c r="S2314" s="67">
        <f>ROUND(IF(K2314=0,0,M2314*D2314),4)</f>
        <v>0</v>
      </c>
      <c r="T2314" s="67">
        <f>ROUND(+IF(K2314=0,Q2314*D2314,0),4)</f>
        <v>0</v>
      </c>
      <c r="U2314" s="67">
        <f>ROUND(+N2314+R2314+S2314+T2314,4)</f>
        <v>0</v>
      </c>
      <c r="V2314" s="67">
        <f>ROUND(IF(P2314=0,0,I2314-H2314-O2314)+IF(L2314=0,0,I2314-H2314-K2314),4)</f>
        <v>0</v>
      </c>
      <c r="W2314" s="67">
        <f>ROUND(+(V2314*60%)*D2314,4)</f>
        <v>0</v>
      </c>
      <c r="X2314" s="148">
        <f>ROUND(+U2314+W2314,4)</f>
        <v>0</v>
      </c>
      <c r="Y2314" s="68"/>
      <c r="Z2314" s="148">
        <f>ROUND(IF(X2314&gt;I2314,X2314,I2314),4)</f>
        <v>0</v>
      </c>
      <c r="AD2314" s="78">
        <f t="shared" si="50"/>
        <v>0</v>
      </c>
      <c r="AE2314" s="78">
        <f t="shared" si="51"/>
        <v>0</v>
      </c>
    </row>
    <row r="2315" spans="1:31" x14ac:dyDescent="0.2">
      <c r="A2315" s="66"/>
      <c r="B2315" s="66"/>
      <c r="C2315" s="66"/>
      <c r="D2315" s="144"/>
      <c r="E2315" s="67"/>
      <c r="F2315" s="67"/>
      <c r="G2315" s="67"/>
      <c r="H2315" s="67">
        <f>ROUND(+E2315+G2315,4)</f>
        <v>0</v>
      </c>
      <c r="I2315" s="67"/>
      <c r="J2315" s="67">
        <f>ROUND(+I2315-H2315,4)</f>
        <v>0</v>
      </c>
      <c r="K2315" s="67">
        <f>ROUND(IF(F2315="alluminio",0,I2315*1.5%),4)</f>
        <v>0</v>
      </c>
      <c r="L2315" s="67">
        <f>ROUND(IF(K2315&lt;J2315,K2315,0),4)</f>
        <v>0</v>
      </c>
      <c r="M2315" s="67">
        <f>ROUND(IF(J2315&gt;K2315,0,J2315),4)</f>
        <v>0</v>
      </c>
      <c r="N2315" s="67">
        <f>ROUND(+L2315*D2315,4)</f>
        <v>0</v>
      </c>
      <c r="O2315" s="67">
        <f>ROUND(IF(F2315="rame",0,+I2315*3%),4)</f>
        <v>0</v>
      </c>
      <c r="P2315" s="67">
        <f>ROUND(IF(O2315&lt;J2315,O2315,0),4)</f>
        <v>0</v>
      </c>
      <c r="Q2315" s="67">
        <f>ROUND(IF(J2315&gt;O2315,0,J2315),4)</f>
        <v>0</v>
      </c>
      <c r="R2315" s="67">
        <f>ROUND(+P2315*D2315,4)</f>
        <v>0</v>
      </c>
      <c r="S2315" s="67">
        <f>ROUND(IF(K2315=0,0,M2315*D2315),4)</f>
        <v>0</v>
      </c>
      <c r="T2315" s="67">
        <f>ROUND(+IF(K2315=0,Q2315*D2315,0),4)</f>
        <v>0</v>
      </c>
      <c r="U2315" s="67">
        <f>ROUND(+N2315+R2315+S2315+T2315,4)</f>
        <v>0</v>
      </c>
      <c r="V2315" s="67">
        <f>ROUND(IF(P2315=0,0,I2315-H2315-O2315)+IF(L2315=0,0,I2315-H2315-K2315),4)</f>
        <v>0</v>
      </c>
      <c r="W2315" s="67">
        <f>ROUND(+(V2315*60%)*D2315,4)</f>
        <v>0</v>
      </c>
      <c r="X2315" s="148">
        <f>ROUND(+U2315+W2315,4)</f>
        <v>0</v>
      </c>
      <c r="Y2315" s="68"/>
      <c r="Z2315" s="148">
        <f>ROUND(IF(X2315&gt;I2315,X2315,I2315),4)</f>
        <v>0</v>
      </c>
      <c r="AD2315" s="78">
        <f t="shared" si="50"/>
        <v>0</v>
      </c>
      <c r="AE2315" s="78">
        <f t="shared" si="51"/>
        <v>0</v>
      </c>
    </row>
    <row r="2316" spans="1:31" x14ac:dyDescent="0.2">
      <c r="A2316" s="66"/>
      <c r="B2316" s="66"/>
      <c r="C2316" s="66"/>
      <c r="D2316" s="144"/>
      <c r="E2316" s="67"/>
      <c r="F2316" s="67"/>
      <c r="G2316" s="67"/>
      <c r="H2316" s="67">
        <f>ROUND(+E2316+G2316,4)</f>
        <v>0</v>
      </c>
      <c r="I2316" s="67"/>
      <c r="J2316" s="67">
        <f>ROUND(+I2316-H2316,4)</f>
        <v>0</v>
      </c>
      <c r="K2316" s="67">
        <f>ROUND(IF(F2316="alluminio",0,I2316*1.5%),4)</f>
        <v>0</v>
      </c>
      <c r="L2316" s="67">
        <f>ROUND(IF(K2316&lt;J2316,K2316,0),4)</f>
        <v>0</v>
      </c>
      <c r="M2316" s="67">
        <f>ROUND(IF(J2316&gt;K2316,0,J2316),4)</f>
        <v>0</v>
      </c>
      <c r="N2316" s="67">
        <f>ROUND(+L2316*D2316,4)</f>
        <v>0</v>
      </c>
      <c r="O2316" s="67">
        <f>ROUND(IF(F2316="rame",0,+I2316*3%),4)</f>
        <v>0</v>
      </c>
      <c r="P2316" s="67">
        <f>ROUND(IF(O2316&lt;J2316,O2316,0),4)</f>
        <v>0</v>
      </c>
      <c r="Q2316" s="67">
        <f>ROUND(IF(J2316&gt;O2316,0,J2316),4)</f>
        <v>0</v>
      </c>
      <c r="R2316" s="67">
        <f>ROUND(+P2316*D2316,4)</f>
        <v>0</v>
      </c>
      <c r="S2316" s="67">
        <f>ROUND(IF(K2316=0,0,M2316*D2316),4)</f>
        <v>0</v>
      </c>
      <c r="T2316" s="67">
        <f>ROUND(+IF(K2316=0,Q2316*D2316,0),4)</f>
        <v>0</v>
      </c>
      <c r="U2316" s="67">
        <f>ROUND(+N2316+R2316+S2316+T2316,4)</f>
        <v>0</v>
      </c>
      <c r="V2316" s="67">
        <f>ROUND(IF(P2316=0,0,I2316-H2316-O2316)+IF(L2316=0,0,I2316-H2316-K2316),4)</f>
        <v>0</v>
      </c>
      <c r="W2316" s="67">
        <f>ROUND(+(V2316*60%)*D2316,4)</f>
        <v>0</v>
      </c>
      <c r="X2316" s="148">
        <f>ROUND(+U2316+W2316,4)</f>
        <v>0</v>
      </c>
      <c r="Y2316" s="68"/>
      <c r="Z2316" s="148">
        <f>ROUND(IF(X2316&gt;I2316,X2316,I2316),4)</f>
        <v>0</v>
      </c>
      <c r="AD2316" s="78">
        <f t="shared" si="50"/>
        <v>0</v>
      </c>
      <c r="AE2316" s="78">
        <f t="shared" si="51"/>
        <v>0</v>
      </c>
    </row>
    <row r="2317" spans="1:31" x14ac:dyDescent="0.2">
      <c r="A2317" s="66"/>
      <c r="B2317" s="66"/>
      <c r="C2317" s="66"/>
      <c r="D2317" s="144"/>
      <c r="E2317" s="67"/>
      <c r="F2317" s="67"/>
      <c r="G2317" s="67"/>
      <c r="H2317" s="67">
        <f>ROUND(+E2317+G2317,4)</f>
        <v>0</v>
      </c>
      <c r="I2317" s="67"/>
      <c r="J2317" s="67">
        <f>ROUND(+I2317-H2317,4)</f>
        <v>0</v>
      </c>
      <c r="K2317" s="67">
        <f>ROUND(IF(F2317="alluminio",0,I2317*1.5%),4)</f>
        <v>0</v>
      </c>
      <c r="L2317" s="67">
        <f>ROUND(IF(K2317&lt;J2317,K2317,0),4)</f>
        <v>0</v>
      </c>
      <c r="M2317" s="67">
        <f>ROUND(IF(J2317&gt;K2317,0,J2317),4)</f>
        <v>0</v>
      </c>
      <c r="N2317" s="67">
        <f>ROUND(+L2317*D2317,4)</f>
        <v>0</v>
      </c>
      <c r="O2317" s="67">
        <f>ROUND(IF(F2317="rame",0,+I2317*3%),4)</f>
        <v>0</v>
      </c>
      <c r="P2317" s="67">
        <f>ROUND(IF(O2317&lt;J2317,O2317,0),4)</f>
        <v>0</v>
      </c>
      <c r="Q2317" s="67">
        <f>ROUND(IF(J2317&gt;O2317,0,J2317),4)</f>
        <v>0</v>
      </c>
      <c r="R2317" s="67">
        <f>ROUND(+P2317*D2317,4)</f>
        <v>0</v>
      </c>
      <c r="S2317" s="67">
        <f>ROUND(IF(K2317=0,0,M2317*D2317),4)</f>
        <v>0</v>
      </c>
      <c r="T2317" s="67">
        <f>ROUND(+IF(K2317=0,Q2317*D2317,0),4)</f>
        <v>0</v>
      </c>
      <c r="U2317" s="67">
        <f>ROUND(+N2317+R2317+S2317+T2317,4)</f>
        <v>0</v>
      </c>
      <c r="V2317" s="67">
        <f>ROUND(IF(P2317=0,0,I2317-H2317-O2317)+IF(L2317=0,0,I2317-H2317-K2317),4)</f>
        <v>0</v>
      </c>
      <c r="W2317" s="67">
        <f>ROUND(+(V2317*60%)*D2317,4)</f>
        <v>0</v>
      </c>
      <c r="X2317" s="148">
        <f>ROUND(+U2317+W2317,4)</f>
        <v>0</v>
      </c>
      <c r="Y2317" s="68"/>
      <c r="Z2317" s="148">
        <f>ROUND(IF(X2317&gt;I2317,X2317,I2317),4)</f>
        <v>0</v>
      </c>
      <c r="AD2317" s="78">
        <f t="shared" si="50"/>
        <v>0</v>
      </c>
      <c r="AE2317" s="78">
        <f t="shared" si="51"/>
        <v>0</v>
      </c>
    </row>
    <row r="2318" spans="1:31" x14ac:dyDescent="0.2">
      <c r="A2318" s="66"/>
      <c r="B2318" s="66"/>
      <c r="C2318" s="66"/>
      <c r="D2318" s="144"/>
      <c r="E2318" s="67"/>
      <c r="F2318" s="67"/>
      <c r="G2318" s="67"/>
      <c r="H2318" s="67">
        <f>ROUND(+E2318+G2318,4)</f>
        <v>0</v>
      </c>
      <c r="I2318" s="67"/>
      <c r="J2318" s="67">
        <f>ROUND(+I2318-H2318,4)</f>
        <v>0</v>
      </c>
      <c r="K2318" s="67">
        <f>ROUND(IF(F2318="alluminio",0,I2318*1.5%),4)</f>
        <v>0</v>
      </c>
      <c r="L2318" s="67">
        <f>ROUND(IF(K2318&lt;J2318,K2318,0),4)</f>
        <v>0</v>
      </c>
      <c r="M2318" s="67">
        <f>ROUND(IF(J2318&gt;K2318,0,J2318),4)</f>
        <v>0</v>
      </c>
      <c r="N2318" s="67">
        <f>ROUND(+L2318*D2318,4)</f>
        <v>0</v>
      </c>
      <c r="O2318" s="67">
        <f>ROUND(IF(F2318="rame",0,+I2318*3%),4)</f>
        <v>0</v>
      </c>
      <c r="P2318" s="67">
        <f>ROUND(IF(O2318&lt;J2318,O2318,0),4)</f>
        <v>0</v>
      </c>
      <c r="Q2318" s="67">
        <f>ROUND(IF(J2318&gt;O2318,0,J2318),4)</f>
        <v>0</v>
      </c>
      <c r="R2318" s="67">
        <f>ROUND(+P2318*D2318,4)</f>
        <v>0</v>
      </c>
      <c r="S2318" s="67">
        <f>ROUND(IF(K2318=0,0,M2318*D2318),4)</f>
        <v>0</v>
      </c>
      <c r="T2318" s="67">
        <f>ROUND(+IF(K2318=0,Q2318*D2318,0),4)</f>
        <v>0</v>
      </c>
      <c r="U2318" s="67">
        <f>ROUND(+N2318+R2318+S2318+T2318,4)</f>
        <v>0</v>
      </c>
      <c r="V2318" s="67">
        <f>ROUND(IF(P2318=0,0,I2318-H2318-O2318)+IF(L2318=0,0,I2318-H2318-K2318),4)</f>
        <v>0</v>
      </c>
      <c r="W2318" s="67">
        <f>ROUND(+(V2318*60%)*D2318,4)</f>
        <v>0</v>
      </c>
      <c r="X2318" s="148">
        <f>ROUND(+U2318+W2318,4)</f>
        <v>0</v>
      </c>
      <c r="Y2318" s="68"/>
      <c r="Z2318" s="148">
        <f>ROUND(IF(X2318&gt;I2318,X2318,I2318),4)</f>
        <v>0</v>
      </c>
      <c r="AD2318" s="78">
        <f t="shared" si="50"/>
        <v>0</v>
      </c>
      <c r="AE2318" s="78">
        <f t="shared" si="51"/>
        <v>0</v>
      </c>
    </row>
    <row r="2319" spans="1:31" x14ac:dyDescent="0.2">
      <c r="A2319" s="66"/>
      <c r="B2319" s="66"/>
      <c r="C2319" s="66"/>
      <c r="D2319" s="144"/>
      <c r="E2319" s="67"/>
      <c r="F2319" s="67"/>
      <c r="G2319" s="67"/>
      <c r="H2319" s="67">
        <f>ROUND(+E2319+G2319,4)</f>
        <v>0</v>
      </c>
      <c r="I2319" s="67"/>
      <c r="J2319" s="67">
        <f>ROUND(+I2319-H2319,4)</f>
        <v>0</v>
      </c>
      <c r="K2319" s="67">
        <f>ROUND(IF(F2319="alluminio",0,I2319*1.5%),4)</f>
        <v>0</v>
      </c>
      <c r="L2319" s="67">
        <f>ROUND(IF(K2319&lt;J2319,K2319,0),4)</f>
        <v>0</v>
      </c>
      <c r="M2319" s="67">
        <f>ROUND(IF(J2319&gt;K2319,0,J2319),4)</f>
        <v>0</v>
      </c>
      <c r="N2319" s="67">
        <f>ROUND(+L2319*D2319,4)</f>
        <v>0</v>
      </c>
      <c r="O2319" s="67">
        <f>ROUND(IF(F2319="rame",0,+I2319*3%),4)</f>
        <v>0</v>
      </c>
      <c r="P2319" s="67">
        <f>ROUND(IF(O2319&lt;J2319,O2319,0),4)</f>
        <v>0</v>
      </c>
      <c r="Q2319" s="67">
        <f>ROUND(IF(J2319&gt;O2319,0,J2319),4)</f>
        <v>0</v>
      </c>
      <c r="R2319" s="67">
        <f>ROUND(+P2319*D2319,4)</f>
        <v>0</v>
      </c>
      <c r="S2319" s="67">
        <f>ROUND(IF(K2319=0,0,M2319*D2319),4)</f>
        <v>0</v>
      </c>
      <c r="T2319" s="67">
        <f>ROUND(+IF(K2319=0,Q2319*D2319,0),4)</f>
        <v>0</v>
      </c>
      <c r="U2319" s="67">
        <f>ROUND(+N2319+R2319+S2319+T2319,4)</f>
        <v>0</v>
      </c>
      <c r="V2319" s="67">
        <f>ROUND(IF(P2319=0,0,I2319-H2319-O2319)+IF(L2319=0,0,I2319-H2319-K2319),4)</f>
        <v>0</v>
      </c>
      <c r="W2319" s="67">
        <f>ROUND(+(V2319*60%)*D2319,4)</f>
        <v>0</v>
      </c>
      <c r="X2319" s="148">
        <f>ROUND(+U2319+W2319,4)</f>
        <v>0</v>
      </c>
      <c r="Y2319" s="68"/>
      <c r="Z2319" s="148">
        <f>ROUND(IF(X2319&gt;I2319,X2319,I2319),4)</f>
        <v>0</v>
      </c>
      <c r="AD2319" s="78">
        <f t="shared" si="50"/>
        <v>0</v>
      </c>
      <c r="AE2319" s="78">
        <f t="shared" si="51"/>
        <v>0</v>
      </c>
    </row>
    <row r="2320" spans="1:31" x14ac:dyDescent="0.2">
      <c r="A2320" s="66"/>
      <c r="B2320" s="66"/>
      <c r="C2320" s="66"/>
      <c r="D2320" s="144"/>
      <c r="E2320" s="67"/>
      <c r="F2320" s="67"/>
      <c r="G2320" s="67"/>
      <c r="H2320" s="67">
        <f>ROUND(+E2320+G2320,4)</f>
        <v>0</v>
      </c>
      <c r="I2320" s="67"/>
      <c r="J2320" s="67">
        <f>ROUND(+I2320-H2320,4)</f>
        <v>0</v>
      </c>
      <c r="K2320" s="67">
        <f>ROUND(IF(F2320="alluminio",0,I2320*1.5%),4)</f>
        <v>0</v>
      </c>
      <c r="L2320" s="67">
        <f>ROUND(IF(K2320&lt;J2320,K2320,0),4)</f>
        <v>0</v>
      </c>
      <c r="M2320" s="67">
        <f>ROUND(IF(J2320&gt;K2320,0,J2320),4)</f>
        <v>0</v>
      </c>
      <c r="N2320" s="67">
        <f>ROUND(+L2320*D2320,4)</f>
        <v>0</v>
      </c>
      <c r="O2320" s="67">
        <f>ROUND(IF(F2320="rame",0,+I2320*3%),4)</f>
        <v>0</v>
      </c>
      <c r="P2320" s="67">
        <f>ROUND(IF(O2320&lt;J2320,O2320,0),4)</f>
        <v>0</v>
      </c>
      <c r="Q2320" s="67">
        <f>ROUND(IF(J2320&gt;O2320,0,J2320),4)</f>
        <v>0</v>
      </c>
      <c r="R2320" s="67">
        <f>ROUND(+P2320*D2320,4)</f>
        <v>0</v>
      </c>
      <c r="S2320" s="67">
        <f>ROUND(IF(K2320=0,0,M2320*D2320),4)</f>
        <v>0</v>
      </c>
      <c r="T2320" s="67">
        <f>ROUND(+IF(K2320=0,Q2320*D2320,0),4)</f>
        <v>0</v>
      </c>
      <c r="U2320" s="67">
        <f>ROUND(+N2320+R2320+S2320+T2320,4)</f>
        <v>0</v>
      </c>
      <c r="V2320" s="67">
        <f>ROUND(IF(P2320=0,0,I2320-H2320-O2320)+IF(L2320=0,0,I2320-H2320-K2320),4)</f>
        <v>0</v>
      </c>
      <c r="W2320" s="67">
        <f>ROUND(+(V2320*60%)*D2320,4)</f>
        <v>0</v>
      </c>
      <c r="X2320" s="148">
        <f>ROUND(+U2320+W2320,4)</f>
        <v>0</v>
      </c>
      <c r="Y2320" s="68"/>
      <c r="Z2320" s="148">
        <f>ROUND(IF(X2320&gt;I2320,X2320,I2320),4)</f>
        <v>0</v>
      </c>
      <c r="AD2320" s="78">
        <f t="shared" si="50"/>
        <v>0</v>
      </c>
      <c r="AE2320" s="78">
        <f t="shared" si="51"/>
        <v>0</v>
      </c>
    </row>
    <row r="2321" spans="1:31" x14ac:dyDescent="0.2">
      <c r="A2321" s="66"/>
      <c r="B2321" s="66"/>
      <c r="C2321" s="66"/>
      <c r="D2321" s="144"/>
      <c r="E2321" s="67"/>
      <c r="F2321" s="67"/>
      <c r="G2321" s="67"/>
      <c r="H2321" s="67">
        <f>ROUND(+E2321+G2321,4)</f>
        <v>0</v>
      </c>
      <c r="I2321" s="67"/>
      <c r="J2321" s="67">
        <f>ROUND(+I2321-H2321,4)</f>
        <v>0</v>
      </c>
      <c r="K2321" s="67">
        <f>ROUND(IF(F2321="alluminio",0,I2321*1.5%),4)</f>
        <v>0</v>
      </c>
      <c r="L2321" s="67">
        <f>ROUND(IF(K2321&lt;J2321,K2321,0),4)</f>
        <v>0</v>
      </c>
      <c r="M2321" s="67">
        <f>ROUND(IF(J2321&gt;K2321,0,J2321),4)</f>
        <v>0</v>
      </c>
      <c r="N2321" s="67">
        <f>ROUND(+L2321*D2321,4)</f>
        <v>0</v>
      </c>
      <c r="O2321" s="67">
        <f>ROUND(IF(F2321="rame",0,+I2321*3%),4)</f>
        <v>0</v>
      </c>
      <c r="P2321" s="67">
        <f>ROUND(IF(O2321&lt;J2321,O2321,0),4)</f>
        <v>0</v>
      </c>
      <c r="Q2321" s="67">
        <f>ROUND(IF(J2321&gt;O2321,0,J2321),4)</f>
        <v>0</v>
      </c>
      <c r="R2321" s="67">
        <f>ROUND(+P2321*D2321,4)</f>
        <v>0</v>
      </c>
      <c r="S2321" s="67">
        <f>ROUND(IF(K2321=0,0,M2321*D2321),4)</f>
        <v>0</v>
      </c>
      <c r="T2321" s="67">
        <f>ROUND(+IF(K2321=0,Q2321*D2321,0),4)</f>
        <v>0</v>
      </c>
      <c r="U2321" s="67">
        <f>ROUND(+N2321+R2321+S2321+T2321,4)</f>
        <v>0</v>
      </c>
      <c r="V2321" s="67">
        <f>ROUND(IF(P2321=0,0,I2321-H2321-O2321)+IF(L2321=0,0,I2321-H2321-K2321),4)</f>
        <v>0</v>
      </c>
      <c r="W2321" s="67">
        <f>ROUND(+(V2321*60%)*D2321,4)</f>
        <v>0</v>
      </c>
      <c r="X2321" s="148">
        <f>ROUND(+U2321+W2321,4)</f>
        <v>0</v>
      </c>
      <c r="Y2321" s="68"/>
      <c r="Z2321" s="148">
        <f>ROUND(IF(X2321&gt;I2321,X2321,I2321),4)</f>
        <v>0</v>
      </c>
      <c r="AD2321" s="78">
        <f t="shared" si="50"/>
        <v>0</v>
      </c>
      <c r="AE2321" s="78">
        <f t="shared" si="51"/>
        <v>0</v>
      </c>
    </row>
    <row r="2322" spans="1:31" x14ac:dyDescent="0.2">
      <c r="A2322" s="66"/>
      <c r="B2322" s="66"/>
      <c r="C2322" s="66"/>
      <c r="D2322" s="144"/>
      <c r="E2322" s="67"/>
      <c r="F2322" s="67"/>
      <c r="G2322" s="67"/>
      <c r="H2322" s="67">
        <f>ROUND(+E2322+G2322,4)</f>
        <v>0</v>
      </c>
      <c r="I2322" s="67"/>
      <c r="J2322" s="67">
        <f>ROUND(+I2322-H2322,4)</f>
        <v>0</v>
      </c>
      <c r="K2322" s="67">
        <f>ROUND(IF(F2322="alluminio",0,I2322*1.5%),4)</f>
        <v>0</v>
      </c>
      <c r="L2322" s="67">
        <f>ROUND(IF(K2322&lt;J2322,K2322,0),4)</f>
        <v>0</v>
      </c>
      <c r="M2322" s="67">
        <f>ROUND(IF(J2322&gt;K2322,0,J2322),4)</f>
        <v>0</v>
      </c>
      <c r="N2322" s="67">
        <f>ROUND(+L2322*D2322,4)</f>
        <v>0</v>
      </c>
      <c r="O2322" s="67">
        <f>ROUND(IF(F2322="rame",0,+I2322*3%),4)</f>
        <v>0</v>
      </c>
      <c r="P2322" s="67">
        <f>ROUND(IF(O2322&lt;J2322,O2322,0),4)</f>
        <v>0</v>
      </c>
      <c r="Q2322" s="67">
        <f>ROUND(IF(J2322&gt;O2322,0,J2322),4)</f>
        <v>0</v>
      </c>
      <c r="R2322" s="67">
        <f>ROUND(+P2322*D2322,4)</f>
        <v>0</v>
      </c>
      <c r="S2322" s="67">
        <f>ROUND(IF(K2322=0,0,M2322*D2322),4)</f>
        <v>0</v>
      </c>
      <c r="T2322" s="67">
        <f>ROUND(+IF(K2322=0,Q2322*D2322,0),4)</f>
        <v>0</v>
      </c>
      <c r="U2322" s="67">
        <f>ROUND(+N2322+R2322+S2322+T2322,4)</f>
        <v>0</v>
      </c>
      <c r="V2322" s="67">
        <f>ROUND(IF(P2322=0,0,I2322-H2322-O2322)+IF(L2322=0,0,I2322-H2322-K2322),4)</f>
        <v>0</v>
      </c>
      <c r="W2322" s="67">
        <f>ROUND(+(V2322*60%)*D2322,4)</f>
        <v>0</v>
      </c>
      <c r="X2322" s="148">
        <f>ROUND(+U2322+W2322,4)</f>
        <v>0</v>
      </c>
      <c r="Y2322" s="68"/>
      <c r="Z2322" s="148">
        <f>ROUND(IF(X2322&gt;I2322,X2322,I2322),4)</f>
        <v>0</v>
      </c>
      <c r="AD2322" s="78">
        <f t="shared" si="50"/>
        <v>0</v>
      </c>
      <c r="AE2322" s="78">
        <f t="shared" si="51"/>
        <v>0</v>
      </c>
    </row>
    <row r="2323" spans="1:31" x14ac:dyDescent="0.2">
      <c r="A2323" s="66"/>
      <c r="B2323" s="66"/>
      <c r="C2323" s="66"/>
      <c r="D2323" s="144"/>
      <c r="E2323" s="67"/>
      <c r="F2323" s="67"/>
      <c r="G2323" s="67"/>
      <c r="H2323" s="67">
        <f>ROUND(+E2323+G2323,4)</f>
        <v>0</v>
      </c>
      <c r="I2323" s="67"/>
      <c r="J2323" s="67">
        <f>ROUND(+I2323-H2323,4)</f>
        <v>0</v>
      </c>
      <c r="K2323" s="67">
        <f>ROUND(IF(F2323="alluminio",0,I2323*1.5%),4)</f>
        <v>0</v>
      </c>
      <c r="L2323" s="67">
        <f>ROUND(IF(K2323&lt;J2323,K2323,0),4)</f>
        <v>0</v>
      </c>
      <c r="M2323" s="67">
        <f>ROUND(IF(J2323&gt;K2323,0,J2323),4)</f>
        <v>0</v>
      </c>
      <c r="N2323" s="67">
        <f>ROUND(+L2323*D2323,4)</f>
        <v>0</v>
      </c>
      <c r="O2323" s="67">
        <f>ROUND(IF(F2323="rame",0,+I2323*3%),4)</f>
        <v>0</v>
      </c>
      <c r="P2323" s="67">
        <f>ROUND(IF(O2323&lt;J2323,O2323,0),4)</f>
        <v>0</v>
      </c>
      <c r="Q2323" s="67">
        <f>ROUND(IF(J2323&gt;O2323,0,J2323),4)</f>
        <v>0</v>
      </c>
      <c r="R2323" s="67">
        <f>ROUND(+P2323*D2323,4)</f>
        <v>0</v>
      </c>
      <c r="S2323" s="67">
        <f>ROUND(IF(K2323=0,0,M2323*D2323),4)</f>
        <v>0</v>
      </c>
      <c r="T2323" s="67">
        <f>ROUND(+IF(K2323=0,Q2323*D2323,0),4)</f>
        <v>0</v>
      </c>
      <c r="U2323" s="67">
        <f>ROUND(+N2323+R2323+S2323+T2323,4)</f>
        <v>0</v>
      </c>
      <c r="V2323" s="67">
        <f>ROUND(IF(P2323=0,0,I2323-H2323-O2323)+IF(L2323=0,0,I2323-H2323-K2323),4)</f>
        <v>0</v>
      </c>
      <c r="W2323" s="67">
        <f>ROUND(+(V2323*60%)*D2323,4)</f>
        <v>0</v>
      </c>
      <c r="X2323" s="148">
        <f>ROUND(+U2323+W2323,4)</f>
        <v>0</v>
      </c>
      <c r="Y2323" s="68"/>
      <c r="Z2323" s="148">
        <f>ROUND(IF(X2323&gt;I2323,X2323,I2323),4)</f>
        <v>0</v>
      </c>
      <c r="AD2323" s="78">
        <f t="shared" si="50"/>
        <v>0</v>
      </c>
      <c r="AE2323" s="78">
        <f t="shared" si="51"/>
        <v>0</v>
      </c>
    </row>
    <row r="2324" spans="1:31" x14ac:dyDescent="0.2">
      <c r="A2324" s="66"/>
      <c r="B2324" s="66"/>
      <c r="C2324" s="66"/>
      <c r="D2324" s="144"/>
      <c r="E2324" s="67"/>
      <c r="F2324" s="67"/>
      <c r="G2324" s="67"/>
      <c r="H2324" s="67">
        <f>ROUND(+E2324+G2324,4)</f>
        <v>0</v>
      </c>
      <c r="I2324" s="67"/>
      <c r="J2324" s="67">
        <f>ROUND(+I2324-H2324,4)</f>
        <v>0</v>
      </c>
      <c r="K2324" s="67">
        <f>ROUND(IF(F2324="alluminio",0,I2324*1.5%),4)</f>
        <v>0</v>
      </c>
      <c r="L2324" s="67">
        <f>ROUND(IF(K2324&lt;J2324,K2324,0),4)</f>
        <v>0</v>
      </c>
      <c r="M2324" s="67">
        <f>ROUND(IF(J2324&gt;K2324,0,J2324),4)</f>
        <v>0</v>
      </c>
      <c r="N2324" s="67">
        <f>ROUND(+L2324*D2324,4)</f>
        <v>0</v>
      </c>
      <c r="O2324" s="67">
        <f>ROUND(IF(F2324="rame",0,+I2324*3%),4)</f>
        <v>0</v>
      </c>
      <c r="P2324" s="67">
        <f>ROUND(IF(O2324&lt;J2324,O2324,0),4)</f>
        <v>0</v>
      </c>
      <c r="Q2324" s="67">
        <f>ROUND(IF(J2324&gt;O2324,0,J2324),4)</f>
        <v>0</v>
      </c>
      <c r="R2324" s="67">
        <f>ROUND(+P2324*D2324,4)</f>
        <v>0</v>
      </c>
      <c r="S2324" s="67">
        <f>ROUND(IF(K2324=0,0,M2324*D2324),4)</f>
        <v>0</v>
      </c>
      <c r="T2324" s="67">
        <f>ROUND(+IF(K2324=0,Q2324*D2324,0),4)</f>
        <v>0</v>
      </c>
      <c r="U2324" s="67">
        <f>ROUND(+N2324+R2324+S2324+T2324,4)</f>
        <v>0</v>
      </c>
      <c r="V2324" s="67">
        <f>ROUND(IF(P2324=0,0,I2324-H2324-O2324)+IF(L2324=0,0,I2324-H2324-K2324),4)</f>
        <v>0</v>
      </c>
      <c r="W2324" s="67">
        <f>ROUND(+(V2324*60%)*D2324,4)</f>
        <v>0</v>
      </c>
      <c r="X2324" s="148">
        <f>ROUND(+U2324+W2324,4)</f>
        <v>0</v>
      </c>
      <c r="Y2324" s="68"/>
      <c r="Z2324" s="148">
        <f>ROUND(IF(X2324&gt;I2324,X2324,I2324),4)</f>
        <v>0</v>
      </c>
      <c r="AD2324" s="78">
        <f t="shared" si="50"/>
        <v>0</v>
      </c>
      <c r="AE2324" s="78">
        <f t="shared" si="51"/>
        <v>0</v>
      </c>
    </row>
    <row r="2325" spans="1:31" x14ac:dyDescent="0.2">
      <c r="A2325" s="66"/>
      <c r="B2325" s="66"/>
      <c r="C2325" s="66"/>
      <c r="D2325" s="144"/>
      <c r="E2325" s="67"/>
      <c r="F2325" s="67"/>
      <c r="G2325" s="67"/>
      <c r="H2325" s="67">
        <f>ROUND(+E2325+G2325,4)</f>
        <v>0</v>
      </c>
      <c r="I2325" s="67"/>
      <c r="J2325" s="67">
        <f>ROUND(+I2325-H2325,4)</f>
        <v>0</v>
      </c>
      <c r="K2325" s="67">
        <f>ROUND(IF(F2325="alluminio",0,I2325*1.5%),4)</f>
        <v>0</v>
      </c>
      <c r="L2325" s="67">
        <f>ROUND(IF(K2325&lt;J2325,K2325,0),4)</f>
        <v>0</v>
      </c>
      <c r="M2325" s="67">
        <f>ROUND(IF(J2325&gt;K2325,0,J2325),4)</f>
        <v>0</v>
      </c>
      <c r="N2325" s="67">
        <f>ROUND(+L2325*D2325,4)</f>
        <v>0</v>
      </c>
      <c r="O2325" s="67">
        <f>ROUND(IF(F2325="rame",0,+I2325*3%),4)</f>
        <v>0</v>
      </c>
      <c r="P2325" s="67">
        <f>ROUND(IF(O2325&lt;J2325,O2325,0),4)</f>
        <v>0</v>
      </c>
      <c r="Q2325" s="67">
        <f>ROUND(IF(J2325&gt;O2325,0,J2325),4)</f>
        <v>0</v>
      </c>
      <c r="R2325" s="67">
        <f>ROUND(+P2325*D2325,4)</f>
        <v>0</v>
      </c>
      <c r="S2325" s="67">
        <f>ROUND(IF(K2325=0,0,M2325*D2325),4)</f>
        <v>0</v>
      </c>
      <c r="T2325" s="67">
        <f>ROUND(+IF(K2325=0,Q2325*D2325,0),4)</f>
        <v>0</v>
      </c>
      <c r="U2325" s="67">
        <f>ROUND(+N2325+R2325+S2325+T2325,4)</f>
        <v>0</v>
      </c>
      <c r="V2325" s="67">
        <f>ROUND(IF(P2325=0,0,I2325-H2325-O2325)+IF(L2325=0,0,I2325-H2325-K2325),4)</f>
        <v>0</v>
      </c>
      <c r="W2325" s="67">
        <f>ROUND(+(V2325*60%)*D2325,4)</f>
        <v>0</v>
      </c>
      <c r="X2325" s="148">
        <f>ROUND(+U2325+W2325,4)</f>
        <v>0</v>
      </c>
      <c r="Y2325" s="68"/>
      <c r="Z2325" s="148">
        <f>ROUND(IF(X2325&gt;I2325,X2325,I2325),4)</f>
        <v>0</v>
      </c>
      <c r="AD2325" s="78">
        <f t="shared" si="50"/>
        <v>0</v>
      </c>
      <c r="AE2325" s="78">
        <f t="shared" si="51"/>
        <v>0</v>
      </c>
    </row>
    <row r="2326" spans="1:31" x14ac:dyDescent="0.2">
      <c r="A2326" s="66"/>
      <c r="B2326" s="66"/>
      <c r="C2326" s="66"/>
      <c r="D2326" s="144"/>
      <c r="E2326" s="67"/>
      <c r="F2326" s="67"/>
      <c r="G2326" s="67"/>
      <c r="H2326" s="67">
        <f>ROUND(+E2326+G2326,4)</f>
        <v>0</v>
      </c>
      <c r="I2326" s="67"/>
      <c r="J2326" s="67">
        <f>ROUND(+I2326-H2326,4)</f>
        <v>0</v>
      </c>
      <c r="K2326" s="67">
        <f>ROUND(IF(F2326="alluminio",0,I2326*1.5%),4)</f>
        <v>0</v>
      </c>
      <c r="L2326" s="67">
        <f>ROUND(IF(K2326&lt;J2326,K2326,0),4)</f>
        <v>0</v>
      </c>
      <c r="M2326" s="67">
        <f>ROUND(IF(J2326&gt;K2326,0,J2326),4)</f>
        <v>0</v>
      </c>
      <c r="N2326" s="67">
        <f>ROUND(+L2326*D2326,4)</f>
        <v>0</v>
      </c>
      <c r="O2326" s="67">
        <f>ROUND(IF(F2326="rame",0,+I2326*3%),4)</f>
        <v>0</v>
      </c>
      <c r="P2326" s="67">
        <f>ROUND(IF(O2326&lt;J2326,O2326,0),4)</f>
        <v>0</v>
      </c>
      <c r="Q2326" s="67">
        <f>ROUND(IF(J2326&gt;O2326,0,J2326),4)</f>
        <v>0</v>
      </c>
      <c r="R2326" s="67">
        <f>ROUND(+P2326*D2326,4)</f>
        <v>0</v>
      </c>
      <c r="S2326" s="67">
        <f>ROUND(IF(K2326=0,0,M2326*D2326),4)</f>
        <v>0</v>
      </c>
      <c r="T2326" s="67">
        <f>ROUND(+IF(K2326=0,Q2326*D2326,0),4)</f>
        <v>0</v>
      </c>
      <c r="U2326" s="67">
        <f>ROUND(+N2326+R2326+S2326+T2326,4)</f>
        <v>0</v>
      </c>
      <c r="V2326" s="67">
        <f>ROUND(IF(P2326=0,0,I2326-H2326-O2326)+IF(L2326=0,0,I2326-H2326-K2326),4)</f>
        <v>0</v>
      </c>
      <c r="W2326" s="67">
        <f>ROUND(+(V2326*60%)*D2326,4)</f>
        <v>0</v>
      </c>
      <c r="X2326" s="148">
        <f>ROUND(+U2326+W2326,4)</f>
        <v>0</v>
      </c>
      <c r="Y2326" s="68"/>
      <c r="Z2326" s="148">
        <f>ROUND(IF(X2326&gt;I2326,X2326,I2326),4)</f>
        <v>0</v>
      </c>
      <c r="AD2326" s="78">
        <f t="shared" si="50"/>
        <v>0</v>
      </c>
      <c r="AE2326" s="78">
        <f t="shared" si="51"/>
        <v>0</v>
      </c>
    </row>
    <row r="2327" spans="1:31" x14ac:dyDescent="0.2">
      <c r="A2327" s="66"/>
      <c r="B2327" s="66"/>
      <c r="C2327" s="66"/>
      <c r="D2327" s="144"/>
      <c r="E2327" s="67"/>
      <c r="F2327" s="67"/>
      <c r="G2327" s="67"/>
      <c r="H2327" s="67">
        <f>ROUND(+E2327+G2327,4)</f>
        <v>0</v>
      </c>
      <c r="I2327" s="67"/>
      <c r="J2327" s="67">
        <f>ROUND(+I2327-H2327,4)</f>
        <v>0</v>
      </c>
      <c r="K2327" s="67">
        <f>ROUND(IF(F2327="alluminio",0,I2327*1.5%),4)</f>
        <v>0</v>
      </c>
      <c r="L2327" s="67">
        <f>ROUND(IF(K2327&lt;J2327,K2327,0),4)</f>
        <v>0</v>
      </c>
      <c r="M2327" s="67">
        <f>ROUND(IF(J2327&gt;K2327,0,J2327),4)</f>
        <v>0</v>
      </c>
      <c r="N2327" s="67">
        <f>ROUND(+L2327*D2327,4)</f>
        <v>0</v>
      </c>
      <c r="O2327" s="67">
        <f>ROUND(IF(F2327="rame",0,+I2327*3%),4)</f>
        <v>0</v>
      </c>
      <c r="P2327" s="67">
        <f>ROUND(IF(O2327&lt;J2327,O2327,0),4)</f>
        <v>0</v>
      </c>
      <c r="Q2327" s="67">
        <f>ROUND(IF(J2327&gt;O2327,0,J2327),4)</f>
        <v>0</v>
      </c>
      <c r="R2327" s="67">
        <f>ROUND(+P2327*D2327,4)</f>
        <v>0</v>
      </c>
      <c r="S2327" s="67">
        <f>ROUND(IF(K2327=0,0,M2327*D2327),4)</f>
        <v>0</v>
      </c>
      <c r="T2327" s="67">
        <f>ROUND(+IF(K2327=0,Q2327*D2327,0),4)</f>
        <v>0</v>
      </c>
      <c r="U2327" s="67">
        <f>ROUND(+N2327+R2327+S2327+T2327,4)</f>
        <v>0</v>
      </c>
      <c r="V2327" s="67">
        <f>ROUND(IF(P2327=0,0,I2327-H2327-O2327)+IF(L2327=0,0,I2327-H2327-K2327),4)</f>
        <v>0</v>
      </c>
      <c r="W2327" s="67">
        <f>ROUND(+(V2327*60%)*D2327,4)</f>
        <v>0</v>
      </c>
      <c r="X2327" s="148">
        <f>ROUND(+U2327+W2327,4)</f>
        <v>0</v>
      </c>
      <c r="Y2327" s="68"/>
      <c r="Z2327" s="148">
        <f>ROUND(IF(X2327&gt;I2327,X2327,I2327),4)</f>
        <v>0</v>
      </c>
      <c r="AD2327" s="78">
        <f t="shared" si="50"/>
        <v>0</v>
      </c>
      <c r="AE2327" s="78">
        <f t="shared" si="51"/>
        <v>0</v>
      </c>
    </row>
    <row r="2328" spans="1:31" x14ac:dyDescent="0.2">
      <c r="A2328" s="66"/>
      <c r="B2328" s="66"/>
      <c r="C2328" s="66"/>
      <c r="D2328" s="144"/>
      <c r="E2328" s="67"/>
      <c r="F2328" s="67"/>
      <c r="G2328" s="67"/>
      <c r="H2328" s="67">
        <f>ROUND(+E2328+G2328,4)</f>
        <v>0</v>
      </c>
      <c r="I2328" s="67"/>
      <c r="J2328" s="67">
        <f>ROUND(+I2328-H2328,4)</f>
        <v>0</v>
      </c>
      <c r="K2328" s="67">
        <f>ROUND(IF(F2328="alluminio",0,I2328*1.5%),4)</f>
        <v>0</v>
      </c>
      <c r="L2328" s="67">
        <f>ROUND(IF(K2328&lt;J2328,K2328,0),4)</f>
        <v>0</v>
      </c>
      <c r="M2328" s="67">
        <f>ROUND(IF(J2328&gt;K2328,0,J2328),4)</f>
        <v>0</v>
      </c>
      <c r="N2328" s="67">
        <f>ROUND(+L2328*D2328,4)</f>
        <v>0</v>
      </c>
      <c r="O2328" s="67">
        <f>ROUND(IF(F2328="rame",0,+I2328*3%),4)</f>
        <v>0</v>
      </c>
      <c r="P2328" s="67">
        <f>ROUND(IF(O2328&lt;J2328,O2328,0),4)</f>
        <v>0</v>
      </c>
      <c r="Q2328" s="67">
        <f>ROUND(IF(J2328&gt;O2328,0,J2328),4)</f>
        <v>0</v>
      </c>
      <c r="R2328" s="67">
        <f>ROUND(+P2328*D2328,4)</f>
        <v>0</v>
      </c>
      <c r="S2328" s="67">
        <f>ROUND(IF(K2328=0,0,M2328*D2328),4)</f>
        <v>0</v>
      </c>
      <c r="T2328" s="67">
        <f>ROUND(+IF(K2328=0,Q2328*D2328,0),4)</f>
        <v>0</v>
      </c>
      <c r="U2328" s="67">
        <f>ROUND(+N2328+R2328+S2328+T2328,4)</f>
        <v>0</v>
      </c>
      <c r="V2328" s="67">
        <f>ROUND(IF(P2328=0,0,I2328-H2328-O2328)+IF(L2328=0,0,I2328-H2328-K2328),4)</f>
        <v>0</v>
      </c>
      <c r="W2328" s="67">
        <f>ROUND(+(V2328*60%)*D2328,4)</f>
        <v>0</v>
      </c>
      <c r="X2328" s="148">
        <f>ROUND(+U2328+W2328,4)</f>
        <v>0</v>
      </c>
      <c r="Y2328" s="68"/>
      <c r="Z2328" s="148">
        <f>ROUND(IF(X2328&gt;I2328,X2328,I2328),4)</f>
        <v>0</v>
      </c>
      <c r="AD2328" s="78">
        <f t="shared" si="50"/>
        <v>0</v>
      </c>
      <c r="AE2328" s="78">
        <f t="shared" si="51"/>
        <v>0</v>
      </c>
    </row>
    <row r="2329" spans="1:31" x14ac:dyDescent="0.2">
      <c r="A2329" s="66"/>
      <c r="B2329" s="66"/>
      <c r="C2329" s="66"/>
      <c r="D2329" s="144"/>
      <c r="E2329" s="67"/>
      <c r="F2329" s="67"/>
      <c r="G2329" s="67"/>
      <c r="H2329" s="67">
        <f>ROUND(+E2329+G2329,4)</f>
        <v>0</v>
      </c>
      <c r="I2329" s="67"/>
      <c r="J2329" s="67">
        <f>ROUND(+I2329-H2329,4)</f>
        <v>0</v>
      </c>
      <c r="K2329" s="67">
        <f>ROUND(IF(F2329="alluminio",0,I2329*1.5%),4)</f>
        <v>0</v>
      </c>
      <c r="L2329" s="67">
        <f>ROUND(IF(K2329&lt;J2329,K2329,0),4)</f>
        <v>0</v>
      </c>
      <c r="M2329" s="67">
        <f>ROUND(IF(J2329&gt;K2329,0,J2329),4)</f>
        <v>0</v>
      </c>
      <c r="N2329" s="67">
        <f>ROUND(+L2329*D2329,4)</f>
        <v>0</v>
      </c>
      <c r="O2329" s="67">
        <f>ROUND(IF(F2329="rame",0,+I2329*3%),4)</f>
        <v>0</v>
      </c>
      <c r="P2329" s="67">
        <f>ROUND(IF(O2329&lt;J2329,O2329,0),4)</f>
        <v>0</v>
      </c>
      <c r="Q2329" s="67">
        <f>ROUND(IF(J2329&gt;O2329,0,J2329),4)</f>
        <v>0</v>
      </c>
      <c r="R2329" s="67">
        <f>ROUND(+P2329*D2329,4)</f>
        <v>0</v>
      </c>
      <c r="S2329" s="67">
        <f>ROUND(IF(K2329=0,0,M2329*D2329),4)</f>
        <v>0</v>
      </c>
      <c r="T2329" s="67">
        <f>ROUND(+IF(K2329=0,Q2329*D2329,0),4)</f>
        <v>0</v>
      </c>
      <c r="U2329" s="67">
        <f>ROUND(+N2329+R2329+S2329+T2329,4)</f>
        <v>0</v>
      </c>
      <c r="V2329" s="67">
        <f>ROUND(IF(P2329=0,0,I2329-H2329-O2329)+IF(L2329=0,0,I2329-H2329-K2329),4)</f>
        <v>0</v>
      </c>
      <c r="W2329" s="67">
        <f>ROUND(+(V2329*60%)*D2329,4)</f>
        <v>0</v>
      </c>
      <c r="X2329" s="148">
        <f>ROUND(+U2329+W2329,4)</f>
        <v>0</v>
      </c>
      <c r="Y2329" s="68"/>
      <c r="Z2329" s="148">
        <f>ROUND(IF(X2329&gt;I2329,X2329,I2329),4)</f>
        <v>0</v>
      </c>
      <c r="AD2329" s="78">
        <f t="shared" si="50"/>
        <v>0</v>
      </c>
      <c r="AE2329" s="78">
        <f t="shared" si="51"/>
        <v>0</v>
      </c>
    </row>
    <row r="2330" spans="1:31" x14ac:dyDescent="0.2">
      <c r="A2330" s="66"/>
      <c r="B2330" s="66"/>
      <c r="C2330" s="66"/>
      <c r="D2330" s="144"/>
      <c r="E2330" s="67"/>
      <c r="F2330" s="67"/>
      <c r="G2330" s="67"/>
      <c r="H2330" s="67">
        <f>ROUND(+E2330+G2330,4)</f>
        <v>0</v>
      </c>
      <c r="I2330" s="67"/>
      <c r="J2330" s="67">
        <f>ROUND(+I2330-H2330,4)</f>
        <v>0</v>
      </c>
      <c r="K2330" s="67">
        <f>ROUND(IF(F2330="alluminio",0,I2330*1.5%),4)</f>
        <v>0</v>
      </c>
      <c r="L2330" s="67">
        <f>ROUND(IF(K2330&lt;J2330,K2330,0),4)</f>
        <v>0</v>
      </c>
      <c r="M2330" s="67">
        <f>ROUND(IF(J2330&gt;K2330,0,J2330),4)</f>
        <v>0</v>
      </c>
      <c r="N2330" s="67">
        <f>ROUND(+L2330*D2330,4)</f>
        <v>0</v>
      </c>
      <c r="O2330" s="67">
        <f>ROUND(IF(F2330="rame",0,+I2330*3%),4)</f>
        <v>0</v>
      </c>
      <c r="P2330" s="67">
        <f>ROUND(IF(O2330&lt;J2330,O2330,0),4)</f>
        <v>0</v>
      </c>
      <c r="Q2330" s="67">
        <f>ROUND(IF(J2330&gt;O2330,0,J2330),4)</f>
        <v>0</v>
      </c>
      <c r="R2330" s="67">
        <f>ROUND(+P2330*D2330,4)</f>
        <v>0</v>
      </c>
      <c r="S2330" s="67">
        <f>ROUND(IF(K2330=0,0,M2330*D2330),4)</f>
        <v>0</v>
      </c>
      <c r="T2330" s="67">
        <f>ROUND(+IF(K2330=0,Q2330*D2330,0),4)</f>
        <v>0</v>
      </c>
      <c r="U2330" s="67">
        <f>ROUND(+N2330+R2330+S2330+T2330,4)</f>
        <v>0</v>
      </c>
      <c r="V2330" s="67">
        <f>ROUND(IF(P2330=0,0,I2330-H2330-O2330)+IF(L2330=0,0,I2330-H2330-K2330),4)</f>
        <v>0</v>
      </c>
      <c r="W2330" s="67">
        <f>ROUND(+(V2330*60%)*D2330,4)</f>
        <v>0</v>
      </c>
      <c r="X2330" s="148">
        <f>ROUND(+U2330+W2330,4)</f>
        <v>0</v>
      </c>
      <c r="Y2330" s="68"/>
      <c r="Z2330" s="148">
        <f>ROUND(IF(X2330&gt;I2330,X2330,I2330),4)</f>
        <v>0</v>
      </c>
      <c r="AD2330" s="78">
        <f t="shared" si="50"/>
        <v>0</v>
      </c>
      <c r="AE2330" s="78">
        <f t="shared" si="51"/>
        <v>0</v>
      </c>
    </row>
    <row r="2331" spans="1:31" x14ac:dyDescent="0.2">
      <c r="A2331" s="66"/>
      <c r="B2331" s="66"/>
      <c r="C2331" s="66"/>
      <c r="D2331" s="144"/>
      <c r="E2331" s="67"/>
      <c r="F2331" s="67"/>
      <c r="G2331" s="67"/>
      <c r="H2331" s="67">
        <f>ROUND(+E2331+G2331,4)</f>
        <v>0</v>
      </c>
      <c r="I2331" s="67"/>
      <c r="J2331" s="67">
        <f>ROUND(+I2331-H2331,4)</f>
        <v>0</v>
      </c>
      <c r="K2331" s="67">
        <f>ROUND(IF(F2331="alluminio",0,I2331*1.5%),4)</f>
        <v>0</v>
      </c>
      <c r="L2331" s="67">
        <f>ROUND(IF(K2331&lt;J2331,K2331,0),4)</f>
        <v>0</v>
      </c>
      <c r="M2331" s="67">
        <f>ROUND(IF(J2331&gt;K2331,0,J2331),4)</f>
        <v>0</v>
      </c>
      <c r="N2331" s="67">
        <f>ROUND(+L2331*D2331,4)</f>
        <v>0</v>
      </c>
      <c r="O2331" s="67">
        <f>ROUND(IF(F2331="rame",0,+I2331*3%),4)</f>
        <v>0</v>
      </c>
      <c r="P2331" s="67">
        <f>ROUND(IF(O2331&lt;J2331,O2331,0),4)</f>
        <v>0</v>
      </c>
      <c r="Q2331" s="67">
        <f>ROUND(IF(J2331&gt;O2331,0,J2331),4)</f>
        <v>0</v>
      </c>
      <c r="R2331" s="67">
        <f>ROUND(+P2331*D2331,4)</f>
        <v>0</v>
      </c>
      <c r="S2331" s="67">
        <f>ROUND(IF(K2331=0,0,M2331*D2331),4)</f>
        <v>0</v>
      </c>
      <c r="T2331" s="67">
        <f>ROUND(+IF(K2331=0,Q2331*D2331,0),4)</f>
        <v>0</v>
      </c>
      <c r="U2331" s="67">
        <f>ROUND(+N2331+R2331+S2331+T2331,4)</f>
        <v>0</v>
      </c>
      <c r="V2331" s="67">
        <f>ROUND(IF(P2331=0,0,I2331-H2331-O2331)+IF(L2331=0,0,I2331-H2331-K2331),4)</f>
        <v>0</v>
      </c>
      <c r="W2331" s="67">
        <f>ROUND(+(V2331*60%)*D2331,4)</f>
        <v>0</v>
      </c>
      <c r="X2331" s="148">
        <f>ROUND(+U2331+W2331,4)</f>
        <v>0</v>
      </c>
      <c r="Y2331" s="68"/>
      <c r="Z2331" s="148">
        <f>ROUND(IF(X2331&gt;I2331,X2331,I2331),4)</f>
        <v>0</v>
      </c>
      <c r="AD2331" s="78">
        <f t="shared" si="50"/>
        <v>0</v>
      </c>
      <c r="AE2331" s="78">
        <f t="shared" si="51"/>
        <v>0</v>
      </c>
    </row>
    <row r="2332" spans="1:31" x14ac:dyDescent="0.2">
      <c r="A2332" s="66"/>
      <c r="B2332" s="66"/>
      <c r="C2332" s="66"/>
      <c r="D2332" s="144"/>
      <c r="E2332" s="67"/>
      <c r="F2332" s="67"/>
      <c r="G2332" s="67"/>
      <c r="H2332" s="67">
        <f>ROUND(+E2332+G2332,4)</f>
        <v>0</v>
      </c>
      <c r="I2332" s="67"/>
      <c r="J2332" s="67">
        <f>ROUND(+I2332-H2332,4)</f>
        <v>0</v>
      </c>
      <c r="K2332" s="67">
        <f>ROUND(IF(F2332="alluminio",0,I2332*1.5%),4)</f>
        <v>0</v>
      </c>
      <c r="L2332" s="67">
        <f>ROUND(IF(K2332&lt;J2332,K2332,0),4)</f>
        <v>0</v>
      </c>
      <c r="M2332" s="67">
        <f>ROUND(IF(J2332&gt;K2332,0,J2332),4)</f>
        <v>0</v>
      </c>
      <c r="N2332" s="67">
        <f>ROUND(+L2332*D2332,4)</f>
        <v>0</v>
      </c>
      <c r="O2332" s="67">
        <f>ROUND(IF(F2332="rame",0,+I2332*3%),4)</f>
        <v>0</v>
      </c>
      <c r="P2332" s="67">
        <f>ROUND(IF(O2332&lt;J2332,O2332,0),4)</f>
        <v>0</v>
      </c>
      <c r="Q2332" s="67">
        <f>ROUND(IF(J2332&gt;O2332,0,J2332),4)</f>
        <v>0</v>
      </c>
      <c r="R2332" s="67">
        <f>ROUND(+P2332*D2332,4)</f>
        <v>0</v>
      </c>
      <c r="S2332" s="67">
        <f>ROUND(IF(K2332=0,0,M2332*D2332),4)</f>
        <v>0</v>
      </c>
      <c r="T2332" s="67">
        <f>ROUND(+IF(K2332=0,Q2332*D2332,0),4)</f>
        <v>0</v>
      </c>
      <c r="U2332" s="67">
        <f>ROUND(+N2332+R2332+S2332+T2332,4)</f>
        <v>0</v>
      </c>
      <c r="V2332" s="67">
        <f>ROUND(IF(P2332=0,0,I2332-H2332-O2332)+IF(L2332=0,0,I2332-H2332-K2332),4)</f>
        <v>0</v>
      </c>
      <c r="W2332" s="67">
        <f>ROUND(+(V2332*60%)*D2332,4)</f>
        <v>0</v>
      </c>
      <c r="X2332" s="148">
        <f>ROUND(+U2332+W2332,4)</f>
        <v>0</v>
      </c>
      <c r="Y2332" s="68"/>
      <c r="Z2332" s="148">
        <f>ROUND(IF(X2332&gt;I2332,X2332,I2332),4)</f>
        <v>0</v>
      </c>
      <c r="AD2332" s="78">
        <f t="shared" si="50"/>
        <v>0</v>
      </c>
      <c r="AE2332" s="78">
        <f t="shared" si="51"/>
        <v>0</v>
      </c>
    </row>
    <row r="2333" spans="1:31" x14ac:dyDescent="0.2">
      <c r="A2333" s="66"/>
      <c r="B2333" s="66"/>
      <c r="C2333" s="66"/>
      <c r="D2333" s="144"/>
      <c r="E2333" s="67"/>
      <c r="F2333" s="67"/>
      <c r="G2333" s="67"/>
      <c r="H2333" s="67">
        <f>ROUND(+E2333+G2333,4)</f>
        <v>0</v>
      </c>
      <c r="I2333" s="67"/>
      <c r="J2333" s="67">
        <f>ROUND(+I2333-H2333,4)</f>
        <v>0</v>
      </c>
      <c r="K2333" s="67">
        <f>ROUND(IF(F2333="alluminio",0,I2333*1.5%),4)</f>
        <v>0</v>
      </c>
      <c r="L2333" s="67">
        <f>ROUND(IF(K2333&lt;J2333,K2333,0),4)</f>
        <v>0</v>
      </c>
      <c r="M2333" s="67">
        <f>ROUND(IF(J2333&gt;K2333,0,J2333),4)</f>
        <v>0</v>
      </c>
      <c r="N2333" s="67">
        <f>ROUND(+L2333*D2333,4)</f>
        <v>0</v>
      </c>
      <c r="O2333" s="67">
        <f>ROUND(IF(F2333="rame",0,+I2333*3%),4)</f>
        <v>0</v>
      </c>
      <c r="P2333" s="67">
        <f>ROUND(IF(O2333&lt;J2333,O2333,0),4)</f>
        <v>0</v>
      </c>
      <c r="Q2333" s="67">
        <f>ROUND(IF(J2333&gt;O2333,0,J2333),4)</f>
        <v>0</v>
      </c>
      <c r="R2333" s="67">
        <f>ROUND(+P2333*D2333,4)</f>
        <v>0</v>
      </c>
      <c r="S2333" s="67">
        <f>ROUND(IF(K2333=0,0,M2333*D2333),4)</f>
        <v>0</v>
      </c>
      <c r="T2333" s="67">
        <f>ROUND(+IF(K2333=0,Q2333*D2333,0),4)</f>
        <v>0</v>
      </c>
      <c r="U2333" s="67">
        <f>ROUND(+N2333+R2333+S2333+T2333,4)</f>
        <v>0</v>
      </c>
      <c r="V2333" s="67">
        <f>ROUND(IF(P2333=0,0,I2333-H2333-O2333)+IF(L2333=0,0,I2333-H2333-K2333),4)</f>
        <v>0</v>
      </c>
      <c r="W2333" s="67">
        <f>ROUND(+(V2333*60%)*D2333,4)</f>
        <v>0</v>
      </c>
      <c r="X2333" s="148">
        <f>ROUND(+U2333+W2333,4)</f>
        <v>0</v>
      </c>
      <c r="Y2333" s="68"/>
      <c r="Z2333" s="148">
        <f>ROUND(IF(X2333&gt;I2333,X2333,I2333),4)</f>
        <v>0</v>
      </c>
      <c r="AD2333" s="78">
        <f t="shared" si="50"/>
        <v>0</v>
      </c>
      <c r="AE2333" s="78">
        <f t="shared" si="51"/>
        <v>0</v>
      </c>
    </row>
    <row r="2334" spans="1:31" x14ac:dyDescent="0.2">
      <c r="A2334" s="66"/>
      <c r="B2334" s="66"/>
      <c r="C2334" s="66"/>
      <c r="D2334" s="144"/>
      <c r="E2334" s="67"/>
      <c r="F2334" s="67"/>
      <c r="G2334" s="67"/>
      <c r="H2334" s="67">
        <f>ROUND(+E2334+G2334,4)</f>
        <v>0</v>
      </c>
      <c r="I2334" s="67"/>
      <c r="J2334" s="67">
        <f>ROUND(+I2334-H2334,4)</f>
        <v>0</v>
      </c>
      <c r="K2334" s="67">
        <f>ROUND(IF(F2334="alluminio",0,I2334*1.5%),4)</f>
        <v>0</v>
      </c>
      <c r="L2334" s="67">
        <f>ROUND(IF(K2334&lt;J2334,K2334,0),4)</f>
        <v>0</v>
      </c>
      <c r="M2334" s="67">
        <f>ROUND(IF(J2334&gt;K2334,0,J2334),4)</f>
        <v>0</v>
      </c>
      <c r="N2334" s="67">
        <f>ROUND(+L2334*D2334,4)</f>
        <v>0</v>
      </c>
      <c r="O2334" s="67">
        <f>ROUND(IF(F2334="rame",0,+I2334*3%),4)</f>
        <v>0</v>
      </c>
      <c r="P2334" s="67">
        <f>ROUND(IF(O2334&lt;J2334,O2334,0),4)</f>
        <v>0</v>
      </c>
      <c r="Q2334" s="67">
        <f>ROUND(IF(J2334&gt;O2334,0,J2334),4)</f>
        <v>0</v>
      </c>
      <c r="R2334" s="67">
        <f>ROUND(+P2334*D2334,4)</f>
        <v>0</v>
      </c>
      <c r="S2334" s="67">
        <f>ROUND(IF(K2334=0,0,M2334*D2334),4)</f>
        <v>0</v>
      </c>
      <c r="T2334" s="67">
        <f>ROUND(+IF(K2334=0,Q2334*D2334,0),4)</f>
        <v>0</v>
      </c>
      <c r="U2334" s="67">
        <f>ROUND(+N2334+R2334+S2334+T2334,4)</f>
        <v>0</v>
      </c>
      <c r="V2334" s="67">
        <f>ROUND(IF(P2334=0,0,I2334-H2334-O2334)+IF(L2334=0,0,I2334-H2334-K2334),4)</f>
        <v>0</v>
      </c>
      <c r="W2334" s="67">
        <f>ROUND(+(V2334*60%)*D2334,4)</f>
        <v>0</v>
      </c>
      <c r="X2334" s="148">
        <f>ROUND(+U2334+W2334,4)</f>
        <v>0</v>
      </c>
      <c r="Y2334" s="68"/>
      <c r="Z2334" s="148">
        <f>ROUND(IF(X2334&gt;I2334,X2334,I2334),4)</f>
        <v>0</v>
      </c>
      <c r="AD2334" s="78">
        <f t="shared" si="50"/>
        <v>0</v>
      </c>
      <c r="AE2334" s="78">
        <f t="shared" si="51"/>
        <v>0</v>
      </c>
    </row>
    <row r="2335" spans="1:31" x14ac:dyDescent="0.2">
      <c r="A2335" s="66"/>
      <c r="B2335" s="66"/>
      <c r="C2335" s="66"/>
      <c r="D2335" s="144"/>
      <c r="E2335" s="67"/>
      <c r="F2335" s="67"/>
      <c r="G2335" s="67"/>
      <c r="H2335" s="67">
        <f>ROUND(+E2335+G2335,4)</f>
        <v>0</v>
      </c>
      <c r="I2335" s="67"/>
      <c r="J2335" s="67">
        <f>ROUND(+I2335-H2335,4)</f>
        <v>0</v>
      </c>
      <c r="K2335" s="67">
        <f>ROUND(IF(F2335="alluminio",0,I2335*1.5%),4)</f>
        <v>0</v>
      </c>
      <c r="L2335" s="67">
        <f>ROUND(IF(K2335&lt;J2335,K2335,0),4)</f>
        <v>0</v>
      </c>
      <c r="M2335" s="67">
        <f>ROUND(IF(J2335&gt;K2335,0,J2335),4)</f>
        <v>0</v>
      </c>
      <c r="N2335" s="67">
        <f>ROUND(+L2335*D2335,4)</f>
        <v>0</v>
      </c>
      <c r="O2335" s="67">
        <f>ROUND(IF(F2335="rame",0,+I2335*3%),4)</f>
        <v>0</v>
      </c>
      <c r="P2335" s="67">
        <f>ROUND(IF(O2335&lt;J2335,O2335,0),4)</f>
        <v>0</v>
      </c>
      <c r="Q2335" s="67">
        <f>ROUND(IF(J2335&gt;O2335,0,J2335),4)</f>
        <v>0</v>
      </c>
      <c r="R2335" s="67">
        <f>ROUND(+P2335*D2335,4)</f>
        <v>0</v>
      </c>
      <c r="S2335" s="67">
        <f>ROUND(IF(K2335=0,0,M2335*D2335),4)</f>
        <v>0</v>
      </c>
      <c r="T2335" s="67">
        <f>ROUND(+IF(K2335=0,Q2335*D2335,0),4)</f>
        <v>0</v>
      </c>
      <c r="U2335" s="67">
        <f>ROUND(+N2335+R2335+S2335+T2335,4)</f>
        <v>0</v>
      </c>
      <c r="V2335" s="67">
        <f>ROUND(IF(P2335=0,0,I2335-H2335-O2335)+IF(L2335=0,0,I2335-H2335-K2335),4)</f>
        <v>0</v>
      </c>
      <c r="W2335" s="67">
        <f>ROUND(+(V2335*60%)*D2335,4)</f>
        <v>0</v>
      </c>
      <c r="X2335" s="148">
        <f>ROUND(+U2335+W2335,4)</f>
        <v>0</v>
      </c>
      <c r="Y2335" s="68"/>
      <c r="Z2335" s="148">
        <f>ROUND(IF(X2335&gt;I2335,X2335,I2335),4)</f>
        <v>0</v>
      </c>
      <c r="AD2335" s="78">
        <f t="shared" si="50"/>
        <v>0</v>
      </c>
      <c r="AE2335" s="78">
        <f t="shared" si="51"/>
        <v>0</v>
      </c>
    </row>
    <row r="2336" spans="1:31" x14ac:dyDescent="0.2">
      <c r="A2336" s="66"/>
      <c r="B2336" s="66"/>
      <c r="C2336" s="66"/>
      <c r="D2336" s="144"/>
      <c r="E2336" s="67"/>
      <c r="F2336" s="67"/>
      <c r="G2336" s="67"/>
      <c r="H2336" s="67">
        <f>ROUND(+E2336+G2336,4)</f>
        <v>0</v>
      </c>
      <c r="I2336" s="67"/>
      <c r="J2336" s="67">
        <f>ROUND(+I2336-H2336,4)</f>
        <v>0</v>
      </c>
      <c r="K2336" s="67">
        <f>ROUND(IF(F2336="alluminio",0,I2336*1.5%),4)</f>
        <v>0</v>
      </c>
      <c r="L2336" s="67">
        <f>ROUND(IF(K2336&lt;J2336,K2336,0),4)</f>
        <v>0</v>
      </c>
      <c r="M2336" s="67">
        <f>ROUND(IF(J2336&gt;K2336,0,J2336),4)</f>
        <v>0</v>
      </c>
      <c r="N2336" s="67">
        <f>ROUND(+L2336*D2336,4)</f>
        <v>0</v>
      </c>
      <c r="O2336" s="67">
        <f>ROUND(IF(F2336="rame",0,+I2336*3%),4)</f>
        <v>0</v>
      </c>
      <c r="P2336" s="67">
        <f>ROUND(IF(O2336&lt;J2336,O2336,0),4)</f>
        <v>0</v>
      </c>
      <c r="Q2336" s="67">
        <f>ROUND(IF(J2336&gt;O2336,0,J2336),4)</f>
        <v>0</v>
      </c>
      <c r="R2336" s="67">
        <f>ROUND(+P2336*D2336,4)</f>
        <v>0</v>
      </c>
      <c r="S2336" s="67">
        <f>ROUND(IF(K2336=0,0,M2336*D2336),4)</f>
        <v>0</v>
      </c>
      <c r="T2336" s="67">
        <f>ROUND(+IF(K2336=0,Q2336*D2336,0),4)</f>
        <v>0</v>
      </c>
      <c r="U2336" s="67">
        <f>ROUND(+N2336+R2336+S2336+T2336,4)</f>
        <v>0</v>
      </c>
      <c r="V2336" s="67">
        <f>ROUND(IF(P2336=0,0,I2336-H2336-O2336)+IF(L2336=0,0,I2336-H2336-K2336),4)</f>
        <v>0</v>
      </c>
      <c r="W2336" s="67">
        <f>ROUND(+(V2336*60%)*D2336,4)</f>
        <v>0</v>
      </c>
      <c r="X2336" s="148">
        <f>ROUND(+U2336+W2336,4)</f>
        <v>0</v>
      </c>
      <c r="Y2336" s="68"/>
      <c r="Z2336" s="148">
        <f>ROUND(IF(X2336&gt;I2336,X2336,I2336),4)</f>
        <v>0</v>
      </c>
      <c r="AD2336" s="78">
        <f t="shared" si="50"/>
        <v>0</v>
      </c>
      <c r="AE2336" s="78">
        <f t="shared" si="51"/>
        <v>0</v>
      </c>
    </row>
    <row r="2337" spans="1:31" x14ac:dyDescent="0.2">
      <c r="A2337" s="66"/>
      <c r="B2337" s="66"/>
      <c r="C2337" s="66"/>
      <c r="D2337" s="144"/>
      <c r="E2337" s="67"/>
      <c r="F2337" s="67"/>
      <c r="G2337" s="67"/>
      <c r="H2337" s="67">
        <f>ROUND(+E2337+G2337,4)</f>
        <v>0</v>
      </c>
      <c r="I2337" s="67"/>
      <c r="J2337" s="67">
        <f>ROUND(+I2337-H2337,4)</f>
        <v>0</v>
      </c>
      <c r="K2337" s="67">
        <f>ROUND(IF(F2337="alluminio",0,I2337*1.5%),4)</f>
        <v>0</v>
      </c>
      <c r="L2337" s="67">
        <f>ROUND(IF(K2337&lt;J2337,K2337,0),4)</f>
        <v>0</v>
      </c>
      <c r="M2337" s="67">
        <f>ROUND(IF(J2337&gt;K2337,0,J2337),4)</f>
        <v>0</v>
      </c>
      <c r="N2337" s="67">
        <f>ROUND(+L2337*D2337,4)</f>
        <v>0</v>
      </c>
      <c r="O2337" s="67">
        <f>ROUND(IF(F2337="rame",0,+I2337*3%),4)</f>
        <v>0</v>
      </c>
      <c r="P2337" s="67">
        <f>ROUND(IF(O2337&lt;J2337,O2337,0),4)</f>
        <v>0</v>
      </c>
      <c r="Q2337" s="67">
        <f>ROUND(IF(J2337&gt;O2337,0,J2337),4)</f>
        <v>0</v>
      </c>
      <c r="R2337" s="67">
        <f>ROUND(+P2337*D2337,4)</f>
        <v>0</v>
      </c>
      <c r="S2337" s="67">
        <f>ROUND(IF(K2337=0,0,M2337*D2337),4)</f>
        <v>0</v>
      </c>
      <c r="T2337" s="67">
        <f>ROUND(+IF(K2337=0,Q2337*D2337,0),4)</f>
        <v>0</v>
      </c>
      <c r="U2337" s="67">
        <f>ROUND(+N2337+R2337+S2337+T2337,4)</f>
        <v>0</v>
      </c>
      <c r="V2337" s="67">
        <f>ROUND(IF(P2337=0,0,I2337-H2337-O2337)+IF(L2337=0,0,I2337-H2337-K2337),4)</f>
        <v>0</v>
      </c>
      <c r="W2337" s="67">
        <f>ROUND(+(V2337*60%)*D2337,4)</f>
        <v>0</v>
      </c>
      <c r="X2337" s="148">
        <f>ROUND(+U2337+W2337,4)</f>
        <v>0</v>
      </c>
      <c r="Y2337" s="68"/>
      <c r="Z2337" s="148">
        <f>ROUND(IF(X2337&gt;I2337,X2337,I2337),4)</f>
        <v>0</v>
      </c>
      <c r="AD2337" s="78">
        <f t="shared" si="50"/>
        <v>0</v>
      </c>
      <c r="AE2337" s="78">
        <f t="shared" si="51"/>
        <v>0</v>
      </c>
    </row>
    <row r="2338" spans="1:31" x14ac:dyDescent="0.2">
      <c r="A2338" s="66"/>
      <c r="B2338" s="66"/>
      <c r="C2338" s="66"/>
      <c r="D2338" s="144"/>
      <c r="E2338" s="67"/>
      <c r="F2338" s="67"/>
      <c r="G2338" s="67"/>
      <c r="H2338" s="67">
        <f>ROUND(+E2338+G2338,4)</f>
        <v>0</v>
      </c>
      <c r="I2338" s="67"/>
      <c r="J2338" s="67">
        <f>ROUND(+I2338-H2338,4)</f>
        <v>0</v>
      </c>
      <c r="K2338" s="67">
        <f>ROUND(IF(F2338="alluminio",0,I2338*1.5%),4)</f>
        <v>0</v>
      </c>
      <c r="L2338" s="67">
        <f>ROUND(IF(K2338&lt;J2338,K2338,0),4)</f>
        <v>0</v>
      </c>
      <c r="M2338" s="67">
        <f>ROUND(IF(J2338&gt;K2338,0,J2338),4)</f>
        <v>0</v>
      </c>
      <c r="N2338" s="67">
        <f>ROUND(+L2338*D2338,4)</f>
        <v>0</v>
      </c>
      <c r="O2338" s="67">
        <f>ROUND(IF(F2338="rame",0,+I2338*3%),4)</f>
        <v>0</v>
      </c>
      <c r="P2338" s="67">
        <f>ROUND(IF(O2338&lt;J2338,O2338,0),4)</f>
        <v>0</v>
      </c>
      <c r="Q2338" s="67">
        <f>ROUND(IF(J2338&gt;O2338,0,J2338),4)</f>
        <v>0</v>
      </c>
      <c r="R2338" s="67">
        <f>ROUND(+P2338*D2338,4)</f>
        <v>0</v>
      </c>
      <c r="S2338" s="67">
        <f>ROUND(IF(K2338=0,0,M2338*D2338),4)</f>
        <v>0</v>
      </c>
      <c r="T2338" s="67">
        <f>ROUND(+IF(K2338=0,Q2338*D2338,0),4)</f>
        <v>0</v>
      </c>
      <c r="U2338" s="67">
        <f>ROUND(+N2338+R2338+S2338+T2338,4)</f>
        <v>0</v>
      </c>
      <c r="V2338" s="67">
        <f>ROUND(IF(P2338=0,0,I2338-H2338-O2338)+IF(L2338=0,0,I2338-H2338-K2338),4)</f>
        <v>0</v>
      </c>
      <c r="W2338" s="67">
        <f>ROUND(+(V2338*60%)*D2338,4)</f>
        <v>0</v>
      </c>
      <c r="X2338" s="148">
        <f>ROUND(+U2338+W2338,4)</f>
        <v>0</v>
      </c>
      <c r="Y2338" s="68"/>
      <c r="Z2338" s="148">
        <f>ROUND(IF(X2338&gt;I2338,X2338,I2338),4)</f>
        <v>0</v>
      </c>
      <c r="AD2338" s="78">
        <f t="shared" si="50"/>
        <v>0</v>
      </c>
      <c r="AE2338" s="78">
        <f t="shared" si="51"/>
        <v>0</v>
      </c>
    </row>
    <row r="2339" spans="1:31" x14ac:dyDescent="0.2">
      <c r="A2339" s="66"/>
      <c r="B2339" s="66"/>
      <c r="C2339" s="66"/>
      <c r="D2339" s="144"/>
      <c r="E2339" s="67"/>
      <c r="F2339" s="67"/>
      <c r="G2339" s="67"/>
      <c r="H2339" s="67">
        <f>ROUND(+E2339+G2339,4)</f>
        <v>0</v>
      </c>
      <c r="I2339" s="67"/>
      <c r="J2339" s="67">
        <f>ROUND(+I2339-H2339,4)</f>
        <v>0</v>
      </c>
      <c r="K2339" s="67">
        <f>ROUND(IF(F2339="alluminio",0,I2339*1.5%),4)</f>
        <v>0</v>
      </c>
      <c r="L2339" s="67">
        <f>ROUND(IF(K2339&lt;J2339,K2339,0),4)</f>
        <v>0</v>
      </c>
      <c r="M2339" s="67">
        <f>ROUND(IF(J2339&gt;K2339,0,J2339),4)</f>
        <v>0</v>
      </c>
      <c r="N2339" s="67">
        <f>ROUND(+L2339*D2339,4)</f>
        <v>0</v>
      </c>
      <c r="O2339" s="67">
        <f>ROUND(IF(F2339="rame",0,+I2339*3%),4)</f>
        <v>0</v>
      </c>
      <c r="P2339" s="67">
        <f>ROUND(IF(O2339&lt;J2339,O2339,0),4)</f>
        <v>0</v>
      </c>
      <c r="Q2339" s="67">
        <f>ROUND(IF(J2339&gt;O2339,0,J2339),4)</f>
        <v>0</v>
      </c>
      <c r="R2339" s="67">
        <f>ROUND(+P2339*D2339,4)</f>
        <v>0</v>
      </c>
      <c r="S2339" s="67">
        <f>ROUND(IF(K2339=0,0,M2339*D2339),4)</f>
        <v>0</v>
      </c>
      <c r="T2339" s="67">
        <f>ROUND(+IF(K2339=0,Q2339*D2339,0),4)</f>
        <v>0</v>
      </c>
      <c r="U2339" s="67">
        <f>ROUND(+N2339+R2339+S2339+T2339,4)</f>
        <v>0</v>
      </c>
      <c r="V2339" s="67">
        <f>ROUND(IF(P2339=0,0,I2339-H2339-O2339)+IF(L2339=0,0,I2339-H2339-K2339),4)</f>
        <v>0</v>
      </c>
      <c r="W2339" s="67">
        <f>ROUND(+(V2339*60%)*D2339,4)</f>
        <v>0</v>
      </c>
      <c r="X2339" s="148">
        <f>ROUND(+U2339+W2339,4)</f>
        <v>0</v>
      </c>
      <c r="Y2339" s="68"/>
      <c r="Z2339" s="148">
        <f>ROUND(IF(X2339&gt;I2339,X2339,I2339),4)</f>
        <v>0</v>
      </c>
      <c r="AD2339" s="78">
        <f t="shared" si="50"/>
        <v>0</v>
      </c>
      <c r="AE2339" s="78">
        <f t="shared" si="51"/>
        <v>0</v>
      </c>
    </row>
    <row r="2340" spans="1:31" x14ac:dyDescent="0.2">
      <c r="A2340" s="66"/>
      <c r="B2340" s="66"/>
      <c r="C2340" s="66"/>
      <c r="D2340" s="144"/>
      <c r="E2340" s="67"/>
      <c r="F2340" s="67"/>
      <c r="G2340" s="67"/>
      <c r="H2340" s="67">
        <f>ROUND(+E2340+G2340,4)</f>
        <v>0</v>
      </c>
      <c r="I2340" s="67"/>
      <c r="J2340" s="67">
        <f>ROUND(+I2340-H2340,4)</f>
        <v>0</v>
      </c>
      <c r="K2340" s="67">
        <f>ROUND(IF(F2340="alluminio",0,I2340*1.5%),4)</f>
        <v>0</v>
      </c>
      <c r="L2340" s="67">
        <f>ROUND(IF(K2340&lt;J2340,K2340,0),4)</f>
        <v>0</v>
      </c>
      <c r="M2340" s="67">
        <f>ROUND(IF(J2340&gt;K2340,0,J2340),4)</f>
        <v>0</v>
      </c>
      <c r="N2340" s="67">
        <f>ROUND(+L2340*D2340,4)</f>
        <v>0</v>
      </c>
      <c r="O2340" s="67">
        <f>ROUND(IF(F2340="rame",0,+I2340*3%),4)</f>
        <v>0</v>
      </c>
      <c r="P2340" s="67">
        <f>ROUND(IF(O2340&lt;J2340,O2340,0),4)</f>
        <v>0</v>
      </c>
      <c r="Q2340" s="67">
        <f>ROUND(IF(J2340&gt;O2340,0,J2340),4)</f>
        <v>0</v>
      </c>
      <c r="R2340" s="67">
        <f>ROUND(+P2340*D2340,4)</f>
        <v>0</v>
      </c>
      <c r="S2340" s="67">
        <f>ROUND(IF(K2340=0,0,M2340*D2340),4)</f>
        <v>0</v>
      </c>
      <c r="T2340" s="67">
        <f>ROUND(+IF(K2340=0,Q2340*D2340,0),4)</f>
        <v>0</v>
      </c>
      <c r="U2340" s="67">
        <f>ROUND(+N2340+R2340+S2340+T2340,4)</f>
        <v>0</v>
      </c>
      <c r="V2340" s="67">
        <f>ROUND(IF(P2340=0,0,I2340-H2340-O2340)+IF(L2340=0,0,I2340-H2340-K2340),4)</f>
        <v>0</v>
      </c>
      <c r="W2340" s="67">
        <f>ROUND(+(V2340*60%)*D2340,4)</f>
        <v>0</v>
      </c>
      <c r="X2340" s="148">
        <f>ROUND(+U2340+W2340,4)</f>
        <v>0</v>
      </c>
      <c r="Y2340" s="68"/>
      <c r="Z2340" s="148">
        <f>ROUND(IF(X2340&gt;I2340,X2340,I2340),4)</f>
        <v>0</v>
      </c>
      <c r="AD2340" s="78">
        <f t="shared" si="50"/>
        <v>0</v>
      </c>
      <c r="AE2340" s="78">
        <f t="shared" si="51"/>
        <v>0</v>
      </c>
    </row>
    <row r="2341" spans="1:31" x14ac:dyDescent="0.2">
      <c r="A2341" s="66"/>
      <c r="B2341" s="66"/>
      <c r="C2341" s="66"/>
      <c r="D2341" s="144"/>
      <c r="E2341" s="67"/>
      <c r="F2341" s="67"/>
      <c r="G2341" s="67"/>
      <c r="H2341" s="67">
        <f>ROUND(+E2341+G2341,4)</f>
        <v>0</v>
      </c>
      <c r="I2341" s="67"/>
      <c r="J2341" s="67">
        <f>ROUND(+I2341-H2341,4)</f>
        <v>0</v>
      </c>
      <c r="K2341" s="67">
        <f>ROUND(IF(F2341="alluminio",0,I2341*1.5%),4)</f>
        <v>0</v>
      </c>
      <c r="L2341" s="67">
        <f>ROUND(IF(K2341&lt;J2341,K2341,0),4)</f>
        <v>0</v>
      </c>
      <c r="M2341" s="67">
        <f>ROUND(IF(J2341&gt;K2341,0,J2341),4)</f>
        <v>0</v>
      </c>
      <c r="N2341" s="67">
        <f>ROUND(+L2341*D2341,4)</f>
        <v>0</v>
      </c>
      <c r="O2341" s="67">
        <f>ROUND(IF(F2341="rame",0,+I2341*3%),4)</f>
        <v>0</v>
      </c>
      <c r="P2341" s="67">
        <f>ROUND(IF(O2341&lt;J2341,O2341,0),4)</f>
        <v>0</v>
      </c>
      <c r="Q2341" s="67">
        <f>ROUND(IF(J2341&gt;O2341,0,J2341),4)</f>
        <v>0</v>
      </c>
      <c r="R2341" s="67">
        <f>ROUND(+P2341*D2341,4)</f>
        <v>0</v>
      </c>
      <c r="S2341" s="67">
        <f>ROUND(IF(K2341=0,0,M2341*D2341),4)</f>
        <v>0</v>
      </c>
      <c r="T2341" s="67">
        <f>ROUND(+IF(K2341=0,Q2341*D2341,0),4)</f>
        <v>0</v>
      </c>
      <c r="U2341" s="67">
        <f>ROUND(+N2341+R2341+S2341+T2341,4)</f>
        <v>0</v>
      </c>
      <c r="V2341" s="67">
        <f>ROUND(IF(P2341=0,0,I2341-H2341-O2341)+IF(L2341=0,0,I2341-H2341-K2341),4)</f>
        <v>0</v>
      </c>
      <c r="W2341" s="67">
        <f>ROUND(+(V2341*60%)*D2341,4)</f>
        <v>0</v>
      </c>
      <c r="X2341" s="148">
        <f>ROUND(+U2341+W2341,4)</f>
        <v>0</v>
      </c>
      <c r="Y2341" s="68"/>
      <c r="Z2341" s="148">
        <f>ROUND(IF(X2341&gt;I2341,X2341,I2341),4)</f>
        <v>0</v>
      </c>
      <c r="AD2341" s="78">
        <f t="shared" si="50"/>
        <v>0</v>
      </c>
      <c r="AE2341" s="78">
        <f t="shared" si="51"/>
        <v>0</v>
      </c>
    </row>
    <row r="2342" spans="1:31" x14ac:dyDescent="0.2">
      <c r="A2342" s="66"/>
      <c r="B2342" s="66"/>
      <c r="C2342" s="66"/>
      <c r="D2342" s="144"/>
      <c r="E2342" s="67"/>
      <c r="F2342" s="67"/>
      <c r="G2342" s="67"/>
      <c r="H2342" s="67">
        <f>ROUND(+E2342+G2342,4)</f>
        <v>0</v>
      </c>
      <c r="I2342" s="67"/>
      <c r="J2342" s="67">
        <f>ROUND(+I2342-H2342,4)</f>
        <v>0</v>
      </c>
      <c r="K2342" s="67">
        <f>ROUND(IF(F2342="alluminio",0,I2342*1.5%),4)</f>
        <v>0</v>
      </c>
      <c r="L2342" s="67">
        <f>ROUND(IF(K2342&lt;J2342,K2342,0),4)</f>
        <v>0</v>
      </c>
      <c r="M2342" s="67">
        <f>ROUND(IF(J2342&gt;K2342,0,J2342),4)</f>
        <v>0</v>
      </c>
      <c r="N2342" s="67">
        <f>ROUND(+L2342*D2342,4)</f>
        <v>0</v>
      </c>
      <c r="O2342" s="67">
        <f>ROUND(IF(F2342="rame",0,+I2342*3%),4)</f>
        <v>0</v>
      </c>
      <c r="P2342" s="67">
        <f>ROUND(IF(O2342&lt;J2342,O2342,0),4)</f>
        <v>0</v>
      </c>
      <c r="Q2342" s="67">
        <f>ROUND(IF(J2342&gt;O2342,0,J2342),4)</f>
        <v>0</v>
      </c>
      <c r="R2342" s="67">
        <f>ROUND(+P2342*D2342,4)</f>
        <v>0</v>
      </c>
      <c r="S2342" s="67">
        <f>ROUND(IF(K2342=0,0,M2342*D2342),4)</f>
        <v>0</v>
      </c>
      <c r="T2342" s="67">
        <f>ROUND(+IF(K2342=0,Q2342*D2342,0),4)</f>
        <v>0</v>
      </c>
      <c r="U2342" s="67">
        <f>ROUND(+N2342+R2342+S2342+T2342,4)</f>
        <v>0</v>
      </c>
      <c r="V2342" s="67">
        <f>ROUND(IF(P2342=0,0,I2342-H2342-O2342)+IF(L2342=0,0,I2342-H2342-K2342),4)</f>
        <v>0</v>
      </c>
      <c r="W2342" s="67">
        <f>ROUND(+(V2342*60%)*D2342,4)</f>
        <v>0</v>
      </c>
      <c r="X2342" s="148">
        <f>ROUND(+U2342+W2342,4)</f>
        <v>0</v>
      </c>
      <c r="Y2342" s="68"/>
      <c r="Z2342" s="148">
        <f>ROUND(IF(X2342&gt;I2342,X2342,I2342),4)</f>
        <v>0</v>
      </c>
      <c r="AD2342" s="78">
        <f t="shared" si="50"/>
        <v>0</v>
      </c>
      <c r="AE2342" s="78">
        <f t="shared" si="51"/>
        <v>0</v>
      </c>
    </row>
    <row r="2343" spans="1:31" x14ac:dyDescent="0.2">
      <c r="A2343" s="66"/>
      <c r="B2343" s="66"/>
      <c r="C2343" s="66"/>
      <c r="D2343" s="144"/>
      <c r="E2343" s="67"/>
      <c r="F2343" s="67"/>
      <c r="G2343" s="67"/>
      <c r="H2343" s="67">
        <f>ROUND(+E2343+G2343,4)</f>
        <v>0</v>
      </c>
      <c r="I2343" s="67"/>
      <c r="J2343" s="67">
        <f>ROUND(+I2343-H2343,4)</f>
        <v>0</v>
      </c>
      <c r="K2343" s="67">
        <f>ROUND(IF(F2343="alluminio",0,I2343*1.5%),4)</f>
        <v>0</v>
      </c>
      <c r="L2343" s="67">
        <f>ROUND(IF(K2343&lt;J2343,K2343,0),4)</f>
        <v>0</v>
      </c>
      <c r="M2343" s="67">
        <f>ROUND(IF(J2343&gt;K2343,0,J2343),4)</f>
        <v>0</v>
      </c>
      <c r="N2343" s="67">
        <f>ROUND(+L2343*D2343,4)</f>
        <v>0</v>
      </c>
      <c r="O2343" s="67">
        <f>ROUND(IF(F2343="rame",0,+I2343*3%),4)</f>
        <v>0</v>
      </c>
      <c r="P2343" s="67">
        <f>ROUND(IF(O2343&lt;J2343,O2343,0),4)</f>
        <v>0</v>
      </c>
      <c r="Q2343" s="67">
        <f>ROUND(IF(J2343&gt;O2343,0,J2343),4)</f>
        <v>0</v>
      </c>
      <c r="R2343" s="67">
        <f>ROUND(+P2343*D2343,4)</f>
        <v>0</v>
      </c>
      <c r="S2343" s="67">
        <f>ROUND(IF(K2343=0,0,M2343*D2343),4)</f>
        <v>0</v>
      </c>
      <c r="T2343" s="67">
        <f>ROUND(+IF(K2343=0,Q2343*D2343,0),4)</f>
        <v>0</v>
      </c>
      <c r="U2343" s="67">
        <f>ROUND(+N2343+R2343+S2343+T2343,4)</f>
        <v>0</v>
      </c>
      <c r="V2343" s="67">
        <f>ROUND(IF(P2343=0,0,I2343-H2343-O2343)+IF(L2343=0,0,I2343-H2343-K2343),4)</f>
        <v>0</v>
      </c>
      <c r="W2343" s="67">
        <f>ROUND(+(V2343*60%)*D2343,4)</f>
        <v>0</v>
      </c>
      <c r="X2343" s="148">
        <f>ROUND(+U2343+W2343,4)</f>
        <v>0</v>
      </c>
      <c r="Y2343" s="68"/>
      <c r="Z2343" s="148">
        <f>ROUND(IF(X2343&gt;I2343,X2343,I2343),4)</f>
        <v>0</v>
      </c>
      <c r="AD2343" s="78">
        <f t="shared" si="50"/>
        <v>0</v>
      </c>
      <c r="AE2343" s="78">
        <f t="shared" si="51"/>
        <v>0</v>
      </c>
    </row>
    <row r="2344" spans="1:31" x14ac:dyDescent="0.2">
      <c r="A2344" s="66"/>
      <c r="B2344" s="66"/>
      <c r="C2344" s="66"/>
      <c r="D2344" s="144"/>
      <c r="E2344" s="67"/>
      <c r="F2344" s="67"/>
      <c r="G2344" s="67"/>
      <c r="H2344" s="67">
        <f>ROUND(+E2344+G2344,4)</f>
        <v>0</v>
      </c>
      <c r="I2344" s="67"/>
      <c r="J2344" s="67">
        <f>ROUND(+I2344-H2344,4)</f>
        <v>0</v>
      </c>
      <c r="K2344" s="67">
        <f>ROUND(IF(F2344="alluminio",0,I2344*1.5%),4)</f>
        <v>0</v>
      </c>
      <c r="L2344" s="67">
        <f>ROUND(IF(K2344&lt;J2344,K2344,0),4)</f>
        <v>0</v>
      </c>
      <c r="M2344" s="67">
        <f>ROUND(IF(J2344&gt;K2344,0,J2344),4)</f>
        <v>0</v>
      </c>
      <c r="N2344" s="67">
        <f>ROUND(+L2344*D2344,4)</f>
        <v>0</v>
      </c>
      <c r="O2344" s="67">
        <f>ROUND(IF(F2344="rame",0,+I2344*3%),4)</f>
        <v>0</v>
      </c>
      <c r="P2344" s="67">
        <f>ROUND(IF(O2344&lt;J2344,O2344,0),4)</f>
        <v>0</v>
      </c>
      <c r="Q2344" s="67">
        <f>ROUND(IF(J2344&gt;O2344,0,J2344),4)</f>
        <v>0</v>
      </c>
      <c r="R2344" s="67">
        <f>ROUND(+P2344*D2344,4)</f>
        <v>0</v>
      </c>
      <c r="S2344" s="67">
        <f>ROUND(IF(K2344=0,0,M2344*D2344),4)</f>
        <v>0</v>
      </c>
      <c r="T2344" s="67">
        <f>ROUND(+IF(K2344=0,Q2344*D2344,0),4)</f>
        <v>0</v>
      </c>
      <c r="U2344" s="67">
        <f>ROUND(+N2344+R2344+S2344+T2344,4)</f>
        <v>0</v>
      </c>
      <c r="V2344" s="67">
        <f>ROUND(IF(P2344=0,0,I2344-H2344-O2344)+IF(L2344=0,0,I2344-H2344-K2344),4)</f>
        <v>0</v>
      </c>
      <c r="W2344" s="67">
        <f>ROUND(+(V2344*60%)*D2344,4)</f>
        <v>0</v>
      </c>
      <c r="X2344" s="148">
        <f>ROUND(+U2344+W2344,4)</f>
        <v>0</v>
      </c>
      <c r="Y2344" s="68"/>
      <c r="Z2344" s="148">
        <f>ROUND(IF(X2344&gt;I2344,X2344,I2344),4)</f>
        <v>0</v>
      </c>
      <c r="AD2344" s="78">
        <f t="shared" si="50"/>
        <v>0</v>
      </c>
      <c r="AE2344" s="78">
        <f t="shared" si="51"/>
        <v>0</v>
      </c>
    </row>
    <row r="2345" spans="1:31" x14ac:dyDescent="0.2">
      <c r="A2345" s="66"/>
      <c r="B2345" s="66"/>
      <c r="C2345" s="66"/>
      <c r="D2345" s="144"/>
      <c r="E2345" s="67"/>
      <c r="F2345" s="67"/>
      <c r="G2345" s="67"/>
      <c r="H2345" s="67">
        <f>ROUND(+E2345+G2345,4)</f>
        <v>0</v>
      </c>
      <c r="I2345" s="67"/>
      <c r="J2345" s="67">
        <f>ROUND(+I2345-H2345,4)</f>
        <v>0</v>
      </c>
      <c r="K2345" s="67">
        <f>ROUND(IF(F2345="alluminio",0,I2345*1.5%),4)</f>
        <v>0</v>
      </c>
      <c r="L2345" s="67">
        <f>ROUND(IF(K2345&lt;J2345,K2345,0),4)</f>
        <v>0</v>
      </c>
      <c r="M2345" s="67">
        <f>ROUND(IF(J2345&gt;K2345,0,J2345),4)</f>
        <v>0</v>
      </c>
      <c r="N2345" s="67">
        <f>ROUND(+L2345*D2345,4)</f>
        <v>0</v>
      </c>
      <c r="O2345" s="67">
        <f>ROUND(IF(F2345="rame",0,+I2345*3%),4)</f>
        <v>0</v>
      </c>
      <c r="P2345" s="67">
        <f>ROUND(IF(O2345&lt;J2345,O2345,0),4)</f>
        <v>0</v>
      </c>
      <c r="Q2345" s="67">
        <f>ROUND(IF(J2345&gt;O2345,0,J2345),4)</f>
        <v>0</v>
      </c>
      <c r="R2345" s="67">
        <f>ROUND(+P2345*D2345,4)</f>
        <v>0</v>
      </c>
      <c r="S2345" s="67">
        <f>ROUND(IF(K2345=0,0,M2345*D2345),4)</f>
        <v>0</v>
      </c>
      <c r="T2345" s="67">
        <f>ROUND(+IF(K2345=0,Q2345*D2345,0),4)</f>
        <v>0</v>
      </c>
      <c r="U2345" s="67">
        <f>ROUND(+N2345+R2345+S2345+T2345,4)</f>
        <v>0</v>
      </c>
      <c r="V2345" s="67">
        <f>ROUND(IF(P2345=0,0,I2345-H2345-O2345)+IF(L2345=0,0,I2345-H2345-K2345),4)</f>
        <v>0</v>
      </c>
      <c r="W2345" s="67">
        <f>ROUND(+(V2345*60%)*D2345,4)</f>
        <v>0</v>
      </c>
      <c r="X2345" s="148">
        <f>ROUND(+U2345+W2345,4)</f>
        <v>0</v>
      </c>
      <c r="Y2345" s="68"/>
      <c r="Z2345" s="148">
        <f>ROUND(IF(X2345&gt;I2345,X2345,I2345),4)</f>
        <v>0</v>
      </c>
      <c r="AD2345" s="78">
        <f t="shared" si="50"/>
        <v>0</v>
      </c>
      <c r="AE2345" s="78">
        <f t="shared" si="51"/>
        <v>0</v>
      </c>
    </row>
    <row r="2346" spans="1:31" x14ac:dyDescent="0.2">
      <c r="A2346" s="66"/>
      <c r="B2346" s="66"/>
      <c r="C2346" s="66"/>
      <c r="D2346" s="144"/>
      <c r="E2346" s="67"/>
      <c r="F2346" s="67"/>
      <c r="G2346" s="67"/>
      <c r="H2346" s="67">
        <f>ROUND(+E2346+G2346,4)</f>
        <v>0</v>
      </c>
      <c r="I2346" s="67"/>
      <c r="J2346" s="67">
        <f>ROUND(+I2346-H2346,4)</f>
        <v>0</v>
      </c>
      <c r="K2346" s="67">
        <f>ROUND(IF(F2346="alluminio",0,I2346*1.5%),4)</f>
        <v>0</v>
      </c>
      <c r="L2346" s="67">
        <f>ROUND(IF(K2346&lt;J2346,K2346,0),4)</f>
        <v>0</v>
      </c>
      <c r="M2346" s="67">
        <f>ROUND(IF(J2346&gt;K2346,0,J2346),4)</f>
        <v>0</v>
      </c>
      <c r="N2346" s="67">
        <f>ROUND(+L2346*D2346,4)</f>
        <v>0</v>
      </c>
      <c r="O2346" s="67">
        <f>ROUND(IF(F2346="rame",0,+I2346*3%),4)</f>
        <v>0</v>
      </c>
      <c r="P2346" s="67">
        <f>ROUND(IF(O2346&lt;J2346,O2346,0),4)</f>
        <v>0</v>
      </c>
      <c r="Q2346" s="67">
        <f>ROUND(IF(J2346&gt;O2346,0,J2346),4)</f>
        <v>0</v>
      </c>
      <c r="R2346" s="67">
        <f>ROUND(+P2346*D2346,4)</f>
        <v>0</v>
      </c>
      <c r="S2346" s="67">
        <f>ROUND(IF(K2346=0,0,M2346*D2346),4)</f>
        <v>0</v>
      </c>
      <c r="T2346" s="67">
        <f>ROUND(+IF(K2346=0,Q2346*D2346,0),4)</f>
        <v>0</v>
      </c>
      <c r="U2346" s="67">
        <f>ROUND(+N2346+R2346+S2346+T2346,4)</f>
        <v>0</v>
      </c>
      <c r="V2346" s="67">
        <f>ROUND(IF(P2346=0,0,I2346-H2346-O2346)+IF(L2346=0,0,I2346-H2346-K2346),4)</f>
        <v>0</v>
      </c>
      <c r="W2346" s="67">
        <f>ROUND(+(V2346*60%)*D2346,4)</f>
        <v>0</v>
      </c>
      <c r="X2346" s="148">
        <f>ROUND(+U2346+W2346,4)</f>
        <v>0</v>
      </c>
      <c r="Y2346" s="68"/>
      <c r="Z2346" s="148">
        <f>ROUND(IF(X2346&gt;I2346,X2346,I2346),4)</f>
        <v>0</v>
      </c>
      <c r="AD2346" s="78">
        <f t="shared" si="50"/>
        <v>0</v>
      </c>
      <c r="AE2346" s="78">
        <f t="shared" si="51"/>
        <v>0</v>
      </c>
    </row>
    <row r="2347" spans="1:31" x14ac:dyDescent="0.2">
      <c r="A2347" s="66"/>
      <c r="B2347" s="66"/>
      <c r="C2347" s="66"/>
      <c r="D2347" s="144"/>
      <c r="E2347" s="67"/>
      <c r="F2347" s="67"/>
      <c r="G2347" s="67"/>
      <c r="H2347" s="67">
        <f>ROUND(+E2347+G2347,4)</f>
        <v>0</v>
      </c>
      <c r="I2347" s="67"/>
      <c r="J2347" s="67">
        <f>ROUND(+I2347-H2347,4)</f>
        <v>0</v>
      </c>
      <c r="K2347" s="67">
        <f>ROUND(IF(F2347="alluminio",0,I2347*1.5%),4)</f>
        <v>0</v>
      </c>
      <c r="L2347" s="67">
        <f>ROUND(IF(K2347&lt;J2347,K2347,0),4)</f>
        <v>0</v>
      </c>
      <c r="M2347" s="67">
        <f>ROUND(IF(J2347&gt;K2347,0,J2347),4)</f>
        <v>0</v>
      </c>
      <c r="N2347" s="67">
        <f>ROUND(+L2347*D2347,4)</f>
        <v>0</v>
      </c>
      <c r="O2347" s="67">
        <f>ROUND(IF(F2347="rame",0,+I2347*3%),4)</f>
        <v>0</v>
      </c>
      <c r="P2347" s="67">
        <f>ROUND(IF(O2347&lt;J2347,O2347,0),4)</f>
        <v>0</v>
      </c>
      <c r="Q2347" s="67">
        <f>ROUND(IF(J2347&gt;O2347,0,J2347),4)</f>
        <v>0</v>
      </c>
      <c r="R2347" s="67">
        <f>ROUND(+P2347*D2347,4)</f>
        <v>0</v>
      </c>
      <c r="S2347" s="67">
        <f>ROUND(IF(K2347=0,0,M2347*D2347),4)</f>
        <v>0</v>
      </c>
      <c r="T2347" s="67">
        <f>ROUND(+IF(K2347=0,Q2347*D2347,0),4)</f>
        <v>0</v>
      </c>
      <c r="U2347" s="67">
        <f>ROUND(+N2347+R2347+S2347+T2347,4)</f>
        <v>0</v>
      </c>
      <c r="V2347" s="67">
        <f>ROUND(IF(P2347=0,0,I2347-H2347-O2347)+IF(L2347=0,0,I2347-H2347-K2347),4)</f>
        <v>0</v>
      </c>
      <c r="W2347" s="67">
        <f>ROUND(+(V2347*60%)*D2347,4)</f>
        <v>0</v>
      </c>
      <c r="X2347" s="148">
        <f>ROUND(+U2347+W2347,4)</f>
        <v>0</v>
      </c>
      <c r="Y2347" s="68"/>
      <c r="Z2347" s="148">
        <f>ROUND(IF(X2347&gt;I2347,X2347,I2347),4)</f>
        <v>0</v>
      </c>
      <c r="AD2347" s="78">
        <f t="shared" si="50"/>
        <v>0</v>
      </c>
      <c r="AE2347" s="78">
        <f t="shared" si="51"/>
        <v>0</v>
      </c>
    </row>
    <row r="2348" spans="1:31" x14ac:dyDescent="0.2">
      <c r="A2348" s="66"/>
      <c r="B2348" s="66"/>
      <c r="C2348" s="66"/>
      <c r="D2348" s="144"/>
      <c r="E2348" s="67"/>
      <c r="F2348" s="67"/>
      <c r="G2348" s="67"/>
      <c r="H2348" s="67">
        <f>ROUND(+E2348+G2348,4)</f>
        <v>0</v>
      </c>
      <c r="I2348" s="67"/>
      <c r="J2348" s="67">
        <f>ROUND(+I2348-H2348,4)</f>
        <v>0</v>
      </c>
      <c r="K2348" s="67">
        <f>ROUND(IF(F2348="alluminio",0,I2348*1.5%),4)</f>
        <v>0</v>
      </c>
      <c r="L2348" s="67">
        <f>ROUND(IF(K2348&lt;J2348,K2348,0),4)</f>
        <v>0</v>
      </c>
      <c r="M2348" s="67">
        <f>ROUND(IF(J2348&gt;K2348,0,J2348),4)</f>
        <v>0</v>
      </c>
      <c r="N2348" s="67">
        <f>ROUND(+L2348*D2348,4)</f>
        <v>0</v>
      </c>
      <c r="O2348" s="67">
        <f>ROUND(IF(F2348="rame",0,+I2348*3%),4)</f>
        <v>0</v>
      </c>
      <c r="P2348" s="67">
        <f>ROUND(IF(O2348&lt;J2348,O2348,0),4)</f>
        <v>0</v>
      </c>
      <c r="Q2348" s="67">
        <f>ROUND(IF(J2348&gt;O2348,0,J2348),4)</f>
        <v>0</v>
      </c>
      <c r="R2348" s="67">
        <f>ROUND(+P2348*D2348,4)</f>
        <v>0</v>
      </c>
      <c r="S2348" s="67">
        <f>ROUND(IF(K2348=0,0,M2348*D2348),4)</f>
        <v>0</v>
      </c>
      <c r="T2348" s="67">
        <f>ROUND(+IF(K2348=0,Q2348*D2348,0),4)</f>
        <v>0</v>
      </c>
      <c r="U2348" s="67">
        <f>ROUND(+N2348+R2348+S2348+T2348,4)</f>
        <v>0</v>
      </c>
      <c r="V2348" s="67">
        <f>ROUND(IF(P2348=0,0,I2348-H2348-O2348)+IF(L2348=0,0,I2348-H2348-K2348),4)</f>
        <v>0</v>
      </c>
      <c r="W2348" s="67">
        <f>ROUND(+(V2348*60%)*D2348,4)</f>
        <v>0</v>
      </c>
      <c r="X2348" s="148">
        <f>ROUND(+U2348+W2348,4)</f>
        <v>0</v>
      </c>
      <c r="Y2348" s="68"/>
      <c r="Z2348" s="148">
        <f>ROUND(IF(X2348&gt;I2348,X2348,I2348),4)</f>
        <v>0</v>
      </c>
      <c r="AD2348" s="78">
        <f t="shared" si="50"/>
        <v>0</v>
      </c>
      <c r="AE2348" s="78">
        <f t="shared" si="51"/>
        <v>0</v>
      </c>
    </row>
    <row r="2349" spans="1:31" x14ac:dyDescent="0.2">
      <c r="A2349" s="66"/>
      <c r="B2349" s="66"/>
      <c r="C2349" s="66"/>
      <c r="D2349" s="144"/>
      <c r="E2349" s="67"/>
      <c r="F2349" s="67"/>
      <c r="G2349" s="67"/>
      <c r="H2349" s="67">
        <f>ROUND(+E2349+G2349,4)</f>
        <v>0</v>
      </c>
      <c r="I2349" s="67"/>
      <c r="J2349" s="67">
        <f>ROUND(+I2349-H2349,4)</f>
        <v>0</v>
      </c>
      <c r="K2349" s="67">
        <f>ROUND(IF(F2349="alluminio",0,I2349*1.5%),4)</f>
        <v>0</v>
      </c>
      <c r="L2349" s="67">
        <f>ROUND(IF(K2349&lt;J2349,K2349,0),4)</f>
        <v>0</v>
      </c>
      <c r="M2349" s="67">
        <f>ROUND(IF(J2349&gt;K2349,0,J2349),4)</f>
        <v>0</v>
      </c>
      <c r="N2349" s="67">
        <f>ROUND(+L2349*D2349,4)</f>
        <v>0</v>
      </c>
      <c r="O2349" s="67">
        <f>ROUND(IF(F2349="rame",0,+I2349*3%),4)</f>
        <v>0</v>
      </c>
      <c r="P2349" s="67">
        <f>ROUND(IF(O2349&lt;J2349,O2349,0),4)</f>
        <v>0</v>
      </c>
      <c r="Q2349" s="67">
        <f>ROUND(IF(J2349&gt;O2349,0,J2349),4)</f>
        <v>0</v>
      </c>
      <c r="R2349" s="67">
        <f>ROUND(+P2349*D2349,4)</f>
        <v>0</v>
      </c>
      <c r="S2349" s="67">
        <f>ROUND(IF(K2349=0,0,M2349*D2349),4)</f>
        <v>0</v>
      </c>
      <c r="T2349" s="67">
        <f>ROUND(+IF(K2349=0,Q2349*D2349,0),4)</f>
        <v>0</v>
      </c>
      <c r="U2349" s="67">
        <f>ROUND(+N2349+R2349+S2349+T2349,4)</f>
        <v>0</v>
      </c>
      <c r="V2349" s="67">
        <f>ROUND(IF(P2349=0,0,I2349-H2349-O2349)+IF(L2349=0,0,I2349-H2349-K2349),4)</f>
        <v>0</v>
      </c>
      <c r="W2349" s="67">
        <f>ROUND(+(V2349*60%)*D2349,4)</f>
        <v>0</v>
      </c>
      <c r="X2349" s="148">
        <f>ROUND(+U2349+W2349,4)</f>
        <v>0</v>
      </c>
      <c r="Y2349" s="68"/>
      <c r="Z2349" s="148">
        <f>ROUND(IF(X2349&gt;I2349,X2349,I2349),4)</f>
        <v>0</v>
      </c>
      <c r="AD2349" s="78">
        <f t="shared" si="50"/>
        <v>0</v>
      </c>
      <c r="AE2349" s="78">
        <f t="shared" si="51"/>
        <v>0</v>
      </c>
    </row>
    <row r="2350" spans="1:31" x14ac:dyDescent="0.2">
      <c r="A2350" s="66"/>
      <c r="B2350" s="66"/>
      <c r="C2350" s="66"/>
      <c r="D2350" s="144"/>
      <c r="E2350" s="67"/>
      <c r="F2350" s="67"/>
      <c r="G2350" s="67"/>
      <c r="H2350" s="67">
        <f>ROUND(+E2350+G2350,4)</f>
        <v>0</v>
      </c>
      <c r="I2350" s="67"/>
      <c r="J2350" s="67">
        <f>ROUND(+I2350-H2350,4)</f>
        <v>0</v>
      </c>
      <c r="K2350" s="67">
        <f>ROUND(IF(F2350="alluminio",0,I2350*1.5%),4)</f>
        <v>0</v>
      </c>
      <c r="L2350" s="67">
        <f>ROUND(IF(K2350&lt;J2350,K2350,0),4)</f>
        <v>0</v>
      </c>
      <c r="M2350" s="67">
        <f>ROUND(IF(J2350&gt;K2350,0,J2350),4)</f>
        <v>0</v>
      </c>
      <c r="N2350" s="67">
        <f>ROUND(+L2350*D2350,4)</f>
        <v>0</v>
      </c>
      <c r="O2350" s="67">
        <f>ROUND(IF(F2350="rame",0,+I2350*3%),4)</f>
        <v>0</v>
      </c>
      <c r="P2350" s="67">
        <f>ROUND(IF(O2350&lt;J2350,O2350,0),4)</f>
        <v>0</v>
      </c>
      <c r="Q2350" s="67">
        <f>ROUND(IF(J2350&gt;O2350,0,J2350),4)</f>
        <v>0</v>
      </c>
      <c r="R2350" s="67">
        <f>ROUND(+P2350*D2350,4)</f>
        <v>0</v>
      </c>
      <c r="S2350" s="67">
        <f>ROUND(IF(K2350=0,0,M2350*D2350),4)</f>
        <v>0</v>
      </c>
      <c r="T2350" s="67">
        <f>ROUND(+IF(K2350=0,Q2350*D2350,0),4)</f>
        <v>0</v>
      </c>
      <c r="U2350" s="67">
        <f>ROUND(+N2350+R2350+S2350+T2350,4)</f>
        <v>0</v>
      </c>
      <c r="V2350" s="67">
        <f>ROUND(IF(P2350=0,0,I2350-H2350-O2350)+IF(L2350=0,0,I2350-H2350-K2350),4)</f>
        <v>0</v>
      </c>
      <c r="W2350" s="67">
        <f>ROUND(+(V2350*60%)*D2350,4)</f>
        <v>0</v>
      </c>
      <c r="X2350" s="148">
        <f>ROUND(+U2350+W2350,4)</f>
        <v>0</v>
      </c>
      <c r="Y2350" s="68"/>
      <c r="Z2350" s="148">
        <f>ROUND(IF(X2350&gt;I2350,X2350,I2350),4)</f>
        <v>0</v>
      </c>
      <c r="AD2350" s="78">
        <f t="shared" si="50"/>
        <v>0</v>
      </c>
      <c r="AE2350" s="78">
        <f t="shared" si="51"/>
        <v>0</v>
      </c>
    </row>
    <row r="2351" spans="1:31" x14ac:dyDescent="0.2">
      <c r="A2351" s="66"/>
      <c r="B2351" s="66"/>
      <c r="C2351" s="66"/>
      <c r="D2351" s="144"/>
      <c r="E2351" s="67"/>
      <c r="F2351" s="67"/>
      <c r="G2351" s="67"/>
      <c r="H2351" s="67">
        <f>ROUND(+E2351+G2351,4)</f>
        <v>0</v>
      </c>
      <c r="I2351" s="67"/>
      <c r="J2351" s="67">
        <f>ROUND(+I2351-H2351,4)</f>
        <v>0</v>
      </c>
      <c r="K2351" s="67">
        <f>ROUND(IF(F2351="alluminio",0,I2351*1.5%),4)</f>
        <v>0</v>
      </c>
      <c r="L2351" s="67">
        <f>ROUND(IF(K2351&lt;J2351,K2351,0),4)</f>
        <v>0</v>
      </c>
      <c r="M2351" s="67">
        <f>ROUND(IF(J2351&gt;K2351,0,J2351),4)</f>
        <v>0</v>
      </c>
      <c r="N2351" s="67">
        <f>ROUND(+L2351*D2351,4)</f>
        <v>0</v>
      </c>
      <c r="O2351" s="67">
        <f>ROUND(IF(F2351="rame",0,+I2351*3%),4)</f>
        <v>0</v>
      </c>
      <c r="P2351" s="67">
        <f>ROUND(IF(O2351&lt;J2351,O2351,0),4)</f>
        <v>0</v>
      </c>
      <c r="Q2351" s="67">
        <f>ROUND(IF(J2351&gt;O2351,0,J2351),4)</f>
        <v>0</v>
      </c>
      <c r="R2351" s="67">
        <f>ROUND(+P2351*D2351,4)</f>
        <v>0</v>
      </c>
      <c r="S2351" s="67">
        <f>ROUND(IF(K2351=0,0,M2351*D2351),4)</f>
        <v>0</v>
      </c>
      <c r="T2351" s="67">
        <f>ROUND(+IF(K2351=0,Q2351*D2351,0),4)</f>
        <v>0</v>
      </c>
      <c r="U2351" s="67">
        <f>ROUND(+N2351+R2351+S2351+T2351,4)</f>
        <v>0</v>
      </c>
      <c r="V2351" s="67">
        <f>ROUND(IF(P2351=0,0,I2351-H2351-O2351)+IF(L2351=0,0,I2351-H2351-K2351),4)</f>
        <v>0</v>
      </c>
      <c r="W2351" s="67">
        <f>ROUND(+(V2351*60%)*D2351,4)</f>
        <v>0</v>
      </c>
      <c r="X2351" s="148">
        <f>ROUND(+U2351+W2351,4)</f>
        <v>0</v>
      </c>
      <c r="Y2351" s="68"/>
      <c r="Z2351" s="148">
        <f>ROUND(IF(X2351&gt;I2351,X2351,I2351),4)</f>
        <v>0</v>
      </c>
      <c r="AD2351" s="78">
        <f t="shared" si="50"/>
        <v>0</v>
      </c>
      <c r="AE2351" s="78">
        <f t="shared" si="51"/>
        <v>0</v>
      </c>
    </row>
    <row r="2352" spans="1:31" x14ac:dyDescent="0.2">
      <c r="A2352" s="66"/>
      <c r="B2352" s="66"/>
      <c r="C2352" s="66"/>
      <c r="D2352" s="144"/>
      <c r="E2352" s="67"/>
      <c r="F2352" s="67"/>
      <c r="G2352" s="67"/>
      <c r="H2352" s="67">
        <f>ROUND(+E2352+G2352,4)</f>
        <v>0</v>
      </c>
      <c r="I2352" s="67"/>
      <c r="J2352" s="67">
        <f>ROUND(+I2352-H2352,4)</f>
        <v>0</v>
      </c>
      <c r="K2352" s="67">
        <f>ROUND(IF(F2352="alluminio",0,I2352*1.5%),4)</f>
        <v>0</v>
      </c>
      <c r="L2352" s="67">
        <f>ROUND(IF(K2352&lt;J2352,K2352,0),4)</f>
        <v>0</v>
      </c>
      <c r="M2352" s="67">
        <f>ROUND(IF(J2352&gt;K2352,0,J2352),4)</f>
        <v>0</v>
      </c>
      <c r="N2352" s="67">
        <f>ROUND(+L2352*D2352,4)</f>
        <v>0</v>
      </c>
      <c r="O2352" s="67">
        <f>ROUND(IF(F2352="rame",0,+I2352*3%),4)</f>
        <v>0</v>
      </c>
      <c r="P2352" s="67">
        <f>ROUND(IF(O2352&lt;J2352,O2352,0),4)</f>
        <v>0</v>
      </c>
      <c r="Q2352" s="67">
        <f>ROUND(IF(J2352&gt;O2352,0,J2352),4)</f>
        <v>0</v>
      </c>
      <c r="R2352" s="67">
        <f>ROUND(+P2352*D2352,4)</f>
        <v>0</v>
      </c>
      <c r="S2352" s="67">
        <f>ROUND(IF(K2352=0,0,M2352*D2352),4)</f>
        <v>0</v>
      </c>
      <c r="T2352" s="67">
        <f>ROUND(+IF(K2352=0,Q2352*D2352,0),4)</f>
        <v>0</v>
      </c>
      <c r="U2352" s="67">
        <f>ROUND(+N2352+R2352+S2352+T2352,4)</f>
        <v>0</v>
      </c>
      <c r="V2352" s="67">
        <f>ROUND(IF(P2352=0,0,I2352-H2352-O2352)+IF(L2352=0,0,I2352-H2352-K2352),4)</f>
        <v>0</v>
      </c>
      <c r="W2352" s="67">
        <f>ROUND(+(V2352*60%)*D2352,4)</f>
        <v>0</v>
      </c>
      <c r="X2352" s="148">
        <f>ROUND(+U2352+W2352,4)</f>
        <v>0</v>
      </c>
      <c r="Y2352" s="68"/>
      <c r="Z2352" s="148">
        <f>ROUND(IF(X2352&gt;I2352,X2352,I2352),4)</f>
        <v>0</v>
      </c>
      <c r="AD2352" s="78">
        <f t="shared" si="50"/>
        <v>0</v>
      </c>
      <c r="AE2352" s="78">
        <f t="shared" si="51"/>
        <v>0</v>
      </c>
    </row>
    <row r="2353" spans="1:31" x14ac:dyDescent="0.2">
      <c r="A2353" s="66"/>
      <c r="B2353" s="66"/>
      <c r="C2353" s="66"/>
      <c r="D2353" s="144"/>
      <c r="E2353" s="67"/>
      <c r="F2353" s="67"/>
      <c r="G2353" s="67"/>
      <c r="H2353" s="67">
        <f>ROUND(+E2353+G2353,4)</f>
        <v>0</v>
      </c>
      <c r="I2353" s="67"/>
      <c r="J2353" s="67">
        <f>ROUND(+I2353-H2353,4)</f>
        <v>0</v>
      </c>
      <c r="K2353" s="67">
        <f>ROUND(IF(F2353="alluminio",0,I2353*1.5%),4)</f>
        <v>0</v>
      </c>
      <c r="L2353" s="67">
        <f>ROUND(IF(K2353&lt;J2353,K2353,0),4)</f>
        <v>0</v>
      </c>
      <c r="M2353" s="67">
        <f>ROUND(IF(J2353&gt;K2353,0,J2353),4)</f>
        <v>0</v>
      </c>
      <c r="N2353" s="67">
        <f>ROUND(+L2353*D2353,4)</f>
        <v>0</v>
      </c>
      <c r="O2353" s="67">
        <f>ROUND(IF(F2353="rame",0,+I2353*3%),4)</f>
        <v>0</v>
      </c>
      <c r="P2353" s="67">
        <f>ROUND(IF(O2353&lt;J2353,O2353,0),4)</f>
        <v>0</v>
      </c>
      <c r="Q2353" s="67">
        <f>ROUND(IF(J2353&gt;O2353,0,J2353),4)</f>
        <v>0</v>
      </c>
      <c r="R2353" s="67">
        <f>ROUND(+P2353*D2353,4)</f>
        <v>0</v>
      </c>
      <c r="S2353" s="67">
        <f>ROUND(IF(K2353=0,0,M2353*D2353),4)</f>
        <v>0</v>
      </c>
      <c r="T2353" s="67">
        <f>ROUND(+IF(K2353=0,Q2353*D2353,0),4)</f>
        <v>0</v>
      </c>
      <c r="U2353" s="67">
        <f>ROUND(+N2353+R2353+S2353+T2353,4)</f>
        <v>0</v>
      </c>
      <c r="V2353" s="67">
        <f>ROUND(IF(P2353=0,0,I2353-H2353-O2353)+IF(L2353=0,0,I2353-H2353-K2353),4)</f>
        <v>0</v>
      </c>
      <c r="W2353" s="67">
        <f>ROUND(+(V2353*60%)*D2353,4)</f>
        <v>0</v>
      </c>
      <c r="X2353" s="148">
        <f>ROUND(+U2353+W2353,4)</f>
        <v>0</v>
      </c>
      <c r="Y2353" s="68"/>
      <c r="Z2353" s="148">
        <f>ROUND(IF(X2353&gt;I2353,X2353,I2353),4)</f>
        <v>0</v>
      </c>
      <c r="AD2353" s="78">
        <f t="shared" si="50"/>
        <v>0</v>
      </c>
      <c r="AE2353" s="78">
        <f t="shared" si="51"/>
        <v>0</v>
      </c>
    </row>
    <row r="2354" spans="1:31" x14ac:dyDescent="0.2">
      <c r="A2354" s="66"/>
      <c r="B2354" s="66"/>
      <c r="C2354" s="66"/>
      <c r="D2354" s="144"/>
      <c r="E2354" s="67"/>
      <c r="F2354" s="67"/>
      <c r="G2354" s="67"/>
      <c r="H2354" s="67">
        <f>ROUND(+E2354+G2354,4)</f>
        <v>0</v>
      </c>
      <c r="I2354" s="67"/>
      <c r="J2354" s="67">
        <f>ROUND(+I2354-H2354,4)</f>
        <v>0</v>
      </c>
      <c r="K2354" s="67">
        <f>ROUND(IF(F2354="alluminio",0,I2354*1.5%),4)</f>
        <v>0</v>
      </c>
      <c r="L2354" s="67">
        <f>ROUND(IF(K2354&lt;J2354,K2354,0),4)</f>
        <v>0</v>
      </c>
      <c r="M2354" s="67">
        <f>ROUND(IF(J2354&gt;K2354,0,J2354),4)</f>
        <v>0</v>
      </c>
      <c r="N2354" s="67">
        <f>ROUND(+L2354*D2354,4)</f>
        <v>0</v>
      </c>
      <c r="O2354" s="67">
        <f>ROUND(IF(F2354="rame",0,+I2354*3%),4)</f>
        <v>0</v>
      </c>
      <c r="P2354" s="67">
        <f>ROUND(IF(O2354&lt;J2354,O2354,0),4)</f>
        <v>0</v>
      </c>
      <c r="Q2354" s="67">
        <f>ROUND(IF(J2354&gt;O2354,0,J2354),4)</f>
        <v>0</v>
      </c>
      <c r="R2354" s="67">
        <f>ROUND(+P2354*D2354,4)</f>
        <v>0</v>
      </c>
      <c r="S2354" s="67">
        <f>ROUND(IF(K2354=0,0,M2354*D2354),4)</f>
        <v>0</v>
      </c>
      <c r="T2354" s="67">
        <f>ROUND(+IF(K2354=0,Q2354*D2354,0),4)</f>
        <v>0</v>
      </c>
      <c r="U2354" s="67">
        <f>ROUND(+N2354+R2354+S2354+T2354,4)</f>
        <v>0</v>
      </c>
      <c r="V2354" s="67">
        <f>ROUND(IF(P2354=0,0,I2354-H2354-O2354)+IF(L2354=0,0,I2354-H2354-K2354),4)</f>
        <v>0</v>
      </c>
      <c r="W2354" s="67">
        <f>ROUND(+(V2354*60%)*D2354,4)</f>
        <v>0</v>
      </c>
      <c r="X2354" s="148">
        <f>ROUND(+U2354+W2354,4)</f>
        <v>0</v>
      </c>
      <c r="Y2354" s="68"/>
      <c r="Z2354" s="148">
        <f>ROUND(IF(X2354&gt;I2354,X2354,I2354),4)</f>
        <v>0</v>
      </c>
      <c r="AD2354" s="78">
        <f t="shared" si="50"/>
        <v>0</v>
      </c>
      <c r="AE2354" s="78">
        <f t="shared" si="51"/>
        <v>0</v>
      </c>
    </row>
    <row r="2355" spans="1:31" x14ac:dyDescent="0.2">
      <c r="A2355" s="66"/>
      <c r="B2355" s="66"/>
      <c r="C2355" s="66"/>
      <c r="D2355" s="144"/>
      <c r="E2355" s="67"/>
      <c r="F2355" s="67"/>
      <c r="G2355" s="67"/>
      <c r="H2355" s="67">
        <f>ROUND(+E2355+G2355,4)</f>
        <v>0</v>
      </c>
      <c r="I2355" s="67"/>
      <c r="J2355" s="67">
        <f>ROUND(+I2355-H2355,4)</f>
        <v>0</v>
      </c>
      <c r="K2355" s="67">
        <f>ROUND(IF(F2355="alluminio",0,I2355*1.5%),4)</f>
        <v>0</v>
      </c>
      <c r="L2355" s="67">
        <f>ROUND(IF(K2355&lt;J2355,K2355,0),4)</f>
        <v>0</v>
      </c>
      <c r="M2355" s="67">
        <f>ROUND(IF(J2355&gt;K2355,0,J2355),4)</f>
        <v>0</v>
      </c>
      <c r="N2355" s="67">
        <f>ROUND(+L2355*D2355,4)</f>
        <v>0</v>
      </c>
      <c r="O2355" s="67">
        <f>ROUND(IF(F2355="rame",0,+I2355*3%),4)</f>
        <v>0</v>
      </c>
      <c r="P2355" s="67">
        <f>ROUND(IF(O2355&lt;J2355,O2355,0),4)</f>
        <v>0</v>
      </c>
      <c r="Q2355" s="67">
        <f>ROUND(IF(J2355&gt;O2355,0,J2355),4)</f>
        <v>0</v>
      </c>
      <c r="R2355" s="67">
        <f>ROUND(+P2355*D2355,4)</f>
        <v>0</v>
      </c>
      <c r="S2355" s="67">
        <f>ROUND(IF(K2355=0,0,M2355*D2355),4)</f>
        <v>0</v>
      </c>
      <c r="T2355" s="67">
        <f>ROUND(+IF(K2355=0,Q2355*D2355,0),4)</f>
        <v>0</v>
      </c>
      <c r="U2355" s="67">
        <f>ROUND(+N2355+R2355+S2355+T2355,4)</f>
        <v>0</v>
      </c>
      <c r="V2355" s="67">
        <f>ROUND(IF(P2355=0,0,I2355-H2355-O2355)+IF(L2355=0,0,I2355-H2355-K2355),4)</f>
        <v>0</v>
      </c>
      <c r="W2355" s="67">
        <f>ROUND(+(V2355*60%)*D2355,4)</f>
        <v>0</v>
      </c>
      <c r="X2355" s="148">
        <f>ROUND(+U2355+W2355,4)</f>
        <v>0</v>
      </c>
      <c r="Y2355" s="68"/>
      <c r="Z2355" s="148">
        <f>ROUND(IF(X2355&gt;I2355,X2355,I2355),4)</f>
        <v>0</v>
      </c>
      <c r="AD2355" s="78">
        <f t="shared" si="50"/>
        <v>0</v>
      </c>
      <c r="AE2355" s="78">
        <f t="shared" si="51"/>
        <v>0</v>
      </c>
    </row>
    <row r="2356" spans="1:31" x14ac:dyDescent="0.2">
      <c r="A2356" s="66"/>
      <c r="B2356" s="66"/>
      <c r="C2356" s="66"/>
      <c r="D2356" s="144"/>
      <c r="E2356" s="67"/>
      <c r="F2356" s="67"/>
      <c r="G2356" s="67"/>
      <c r="H2356" s="67">
        <f>ROUND(+E2356+G2356,4)</f>
        <v>0</v>
      </c>
      <c r="I2356" s="67"/>
      <c r="J2356" s="67">
        <f>ROUND(+I2356-H2356,4)</f>
        <v>0</v>
      </c>
      <c r="K2356" s="67">
        <f>ROUND(IF(F2356="alluminio",0,I2356*1.5%),4)</f>
        <v>0</v>
      </c>
      <c r="L2356" s="67">
        <f>ROUND(IF(K2356&lt;J2356,K2356,0),4)</f>
        <v>0</v>
      </c>
      <c r="M2356" s="67">
        <f>ROUND(IF(J2356&gt;K2356,0,J2356),4)</f>
        <v>0</v>
      </c>
      <c r="N2356" s="67">
        <f>ROUND(+L2356*D2356,4)</f>
        <v>0</v>
      </c>
      <c r="O2356" s="67">
        <f>ROUND(IF(F2356="rame",0,+I2356*3%),4)</f>
        <v>0</v>
      </c>
      <c r="P2356" s="67">
        <f>ROUND(IF(O2356&lt;J2356,O2356,0),4)</f>
        <v>0</v>
      </c>
      <c r="Q2356" s="67">
        <f>ROUND(IF(J2356&gt;O2356,0,J2356),4)</f>
        <v>0</v>
      </c>
      <c r="R2356" s="67">
        <f>ROUND(+P2356*D2356,4)</f>
        <v>0</v>
      </c>
      <c r="S2356" s="67">
        <f>ROUND(IF(K2356=0,0,M2356*D2356),4)</f>
        <v>0</v>
      </c>
      <c r="T2356" s="67">
        <f>ROUND(+IF(K2356=0,Q2356*D2356,0),4)</f>
        <v>0</v>
      </c>
      <c r="U2356" s="67">
        <f>ROUND(+N2356+R2356+S2356+T2356,4)</f>
        <v>0</v>
      </c>
      <c r="V2356" s="67">
        <f>ROUND(IF(P2356=0,0,I2356-H2356-O2356)+IF(L2356=0,0,I2356-H2356-K2356),4)</f>
        <v>0</v>
      </c>
      <c r="W2356" s="67">
        <f>ROUND(+(V2356*60%)*D2356,4)</f>
        <v>0</v>
      </c>
      <c r="X2356" s="148">
        <f>ROUND(+U2356+W2356,4)</f>
        <v>0</v>
      </c>
      <c r="Y2356" s="68"/>
      <c r="Z2356" s="148">
        <f>ROUND(IF(X2356&gt;I2356,X2356,I2356),4)</f>
        <v>0</v>
      </c>
      <c r="AD2356" s="78">
        <f t="shared" si="50"/>
        <v>0</v>
      </c>
      <c r="AE2356" s="78">
        <f t="shared" si="51"/>
        <v>0</v>
      </c>
    </row>
    <row r="2357" spans="1:31" x14ac:dyDescent="0.2">
      <c r="A2357" s="66"/>
      <c r="B2357" s="66"/>
      <c r="C2357" s="66"/>
      <c r="D2357" s="144"/>
      <c r="E2357" s="67"/>
      <c r="F2357" s="67"/>
      <c r="G2357" s="67"/>
      <c r="H2357" s="67">
        <f>ROUND(+E2357+G2357,4)</f>
        <v>0</v>
      </c>
      <c r="I2357" s="67"/>
      <c r="J2357" s="67">
        <f>ROUND(+I2357-H2357,4)</f>
        <v>0</v>
      </c>
      <c r="K2357" s="67">
        <f>ROUND(IF(F2357="alluminio",0,I2357*1.5%),4)</f>
        <v>0</v>
      </c>
      <c r="L2357" s="67">
        <f>ROUND(IF(K2357&lt;J2357,K2357,0),4)</f>
        <v>0</v>
      </c>
      <c r="M2357" s="67">
        <f>ROUND(IF(J2357&gt;K2357,0,J2357),4)</f>
        <v>0</v>
      </c>
      <c r="N2357" s="67">
        <f>ROUND(+L2357*D2357,4)</f>
        <v>0</v>
      </c>
      <c r="O2357" s="67">
        <f>ROUND(IF(F2357="rame",0,+I2357*3%),4)</f>
        <v>0</v>
      </c>
      <c r="P2357" s="67">
        <f>ROUND(IF(O2357&lt;J2357,O2357,0),4)</f>
        <v>0</v>
      </c>
      <c r="Q2357" s="67">
        <f>ROUND(IF(J2357&gt;O2357,0,J2357),4)</f>
        <v>0</v>
      </c>
      <c r="R2357" s="67">
        <f>ROUND(+P2357*D2357,4)</f>
        <v>0</v>
      </c>
      <c r="S2357" s="67">
        <f>ROUND(IF(K2357=0,0,M2357*D2357),4)</f>
        <v>0</v>
      </c>
      <c r="T2357" s="67">
        <f>ROUND(+IF(K2357=0,Q2357*D2357,0),4)</f>
        <v>0</v>
      </c>
      <c r="U2357" s="67">
        <f>ROUND(+N2357+R2357+S2357+T2357,4)</f>
        <v>0</v>
      </c>
      <c r="V2357" s="67">
        <f>ROUND(IF(P2357=0,0,I2357-H2357-O2357)+IF(L2357=0,0,I2357-H2357-K2357),4)</f>
        <v>0</v>
      </c>
      <c r="W2357" s="67">
        <f>ROUND(+(V2357*60%)*D2357,4)</f>
        <v>0</v>
      </c>
      <c r="X2357" s="148">
        <f>ROUND(+U2357+W2357,4)</f>
        <v>0</v>
      </c>
      <c r="Y2357" s="68"/>
      <c r="Z2357" s="148">
        <f>ROUND(IF(X2357&gt;I2357,X2357,I2357),4)</f>
        <v>0</v>
      </c>
      <c r="AD2357" s="78">
        <f t="shared" si="50"/>
        <v>0</v>
      </c>
      <c r="AE2357" s="78">
        <f t="shared" si="51"/>
        <v>0</v>
      </c>
    </row>
    <row r="2358" spans="1:31" x14ac:dyDescent="0.2">
      <c r="A2358" s="66"/>
      <c r="B2358" s="66"/>
      <c r="C2358" s="66"/>
      <c r="D2358" s="144"/>
      <c r="E2358" s="67"/>
      <c r="F2358" s="67"/>
      <c r="G2358" s="67"/>
      <c r="H2358" s="67">
        <f>ROUND(+E2358+G2358,4)</f>
        <v>0</v>
      </c>
      <c r="I2358" s="67"/>
      <c r="J2358" s="67">
        <f>ROUND(+I2358-H2358,4)</f>
        <v>0</v>
      </c>
      <c r="K2358" s="67">
        <f>ROUND(IF(F2358="alluminio",0,I2358*1.5%),4)</f>
        <v>0</v>
      </c>
      <c r="L2358" s="67">
        <f>ROUND(IF(K2358&lt;J2358,K2358,0),4)</f>
        <v>0</v>
      </c>
      <c r="M2358" s="67">
        <f>ROUND(IF(J2358&gt;K2358,0,J2358),4)</f>
        <v>0</v>
      </c>
      <c r="N2358" s="67">
        <f>ROUND(+L2358*D2358,4)</f>
        <v>0</v>
      </c>
      <c r="O2358" s="67">
        <f>ROUND(IF(F2358="rame",0,+I2358*3%),4)</f>
        <v>0</v>
      </c>
      <c r="P2358" s="67">
        <f>ROUND(IF(O2358&lt;J2358,O2358,0),4)</f>
        <v>0</v>
      </c>
      <c r="Q2358" s="67">
        <f>ROUND(IF(J2358&gt;O2358,0,J2358),4)</f>
        <v>0</v>
      </c>
      <c r="R2358" s="67">
        <f>ROUND(+P2358*D2358,4)</f>
        <v>0</v>
      </c>
      <c r="S2358" s="67">
        <f>ROUND(IF(K2358=0,0,M2358*D2358),4)</f>
        <v>0</v>
      </c>
      <c r="T2358" s="67">
        <f>ROUND(+IF(K2358=0,Q2358*D2358,0),4)</f>
        <v>0</v>
      </c>
      <c r="U2358" s="67">
        <f>ROUND(+N2358+R2358+S2358+T2358,4)</f>
        <v>0</v>
      </c>
      <c r="V2358" s="67">
        <f>ROUND(IF(P2358=0,0,I2358-H2358-O2358)+IF(L2358=0,0,I2358-H2358-K2358),4)</f>
        <v>0</v>
      </c>
      <c r="W2358" s="67">
        <f>ROUND(+(V2358*60%)*D2358,4)</f>
        <v>0</v>
      </c>
      <c r="X2358" s="148">
        <f>ROUND(+U2358+W2358,4)</f>
        <v>0</v>
      </c>
      <c r="Y2358" s="68"/>
      <c r="Z2358" s="148">
        <f>ROUND(IF(X2358&gt;I2358,X2358,I2358),4)</f>
        <v>0</v>
      </c>
      <c r="AD2358" s="78">
        <f t="shared" si="50"/>
        <v>0</v>
      </c>
      <c r="AE2358" s="78">
        <f t="shared" si="51"/>
        <v>0</v>
      </c>
    </row>
    <row r="2359" spans="1:31" x14ac:dyDescent="0.2">
      <c r="A2359" s="66"/>
      <c r="B2359" s="66"/>
      <c r="C2359" s="66"/>
      <c r="D2359" s="144"/>
      <c r="E2359" s="67"/>
      <c r="F2359" s="67"/>
      <c r="G2359" s="67"/>
      <c r="H2359" s="67">
        <f>ROUND(+E2359+G2359,4)</f>
        <v>0</v>
      </c>
      <c r="I2359" s="67"/>
      <c r="J2359" s="67">
        <f>ROUND(+I2359-H2359,4)</f>
        <v>0</v>
      </c>
      <c r="K2359" s="67">
        <f>ROUND(IF(F2359="alluminio",0,I2359*1.5%),4)</f>
        <v>0</v>
      </c>
      <c r="L2359" s="67">
        <f>ROUND(IF(K2359&lt;J2359,K2359,0),4)</f>
        <v>0</v>
      </c>
      <c r="M2359" s="67">
        <f>ROUND(IF(J2359&gt;K2359,0,J2359),4)</f>
        <v>0</v>
      </c>
      <c r="N2359" s="67">
        <f>ROUND(+L2359*D2359,4)</f>
        <v>0</v>
      </c>
      <c r="O2359" s="67">
        <f>ROUND(IF(F2359="rame",0,+I2359*3%),4)</f>
        <v>0</v>
      </c>
      <c r="P2359" s="67">
        <f>ROUND(IF(O2359&lt;J2359,O2359,0),4)</f>
        <v>0</v>
      </c>
      <c r="Q2359" s="67">
        <f>ROUND(IF(J2359&gt;O2359,0,J2359),4)</f>
        <v>0</v>
      </c>
      <c r="R2359" s="67">
        <f>ROUND(+P2359*D2359,4)</f>
        <v>0</v>
      </c>
      <c r="S2359" s="67">
        <f>ROUND(IF(K2359=0,0,M2359*D2359),4)</f>
        <v>0</v>
      </c>
      <c r="T2359" s="67">
        <f>ROUND(+IF(K2359=0,Q2359*D2359,0),4)</f>
        <v>0</v>
      </c>
      <c r="U2359" s="67">
        <f>ROUND(+N2359+R2359+S2359+T2359,4)</f>
        <v>0</v>
      </c>
      <c r="V2359" s="67">
        <f>ROUND(IF(P2359=0,0,I2359-H2359-O2359)+IF(L2359=0,0,I2359-H2359-K2359),4)</f>
        <v>0</v>
      </c>
      <c r="W2359" s="67">
        <f>ROUND(+(V2359*60%)*D2359,4)</f>
        <v>0</v>
      </c>
      <c r="X2359" s="148">
        <f>ROUND(+U2359+W2359,4)</f>
        <v>0</v>
      </c>
      <c r="Y2359" s="68"/>
      <c r="Z2359" s="148">
        <f>ROUND(IF(X2359&gt;I2359,X2359,I2359),4)</f>
        <v>0</v>
      </c>
      <c r="AD2359" s="78">
        <f t="shared" si="50"/>
        <v>0</v>
      </c>
      <c r="AE2359" s="78">
        <f t="shared" si="51"/>
        <v>0</v>
      </c>
    </row>
    <row r="2360" spans="1:31" x14ac:dyDescent="0.2">
      <c r="A2360" s="66"/>
      <c r="B2360" s="66"/>
      <c r="C2360" s="66"/>
      <c r="D2360" s="144"/>
      <c r="E2360" s="67"/>
      <c r="F2360" s="67"/>
      <c r="G2360" s="67"/>
      <c r="H2360" s="67">
        <f>ROUND(+E2360+G2360,4)</f>
        <v>0</v>
      </c>
      <c r="I2360" s="67"/>
      <c r="J2360" s="67">
        <f>ROUND(+I2360-H2360,4)</f>
        <v>0</v>
      </c>
      <c r="K2360" s="67">
        <f>ROUND(IF(F2360="alluminio",0,I2360*1.5%),4)</f>
        <v>0</v>
      </c>
      <c r="L2360" s="67">
        <f>ROUND(IF(K2360&lt;J2360,K2360,0),4)</f>
        <v>0</v>
      </c>
      <c r="M2360" s="67">
        <f>ROUND(IF(J2360&gt;K2360,0,J2360),4)</f>
        <v>0</v>
      </c>
      <c r="N2360" s="67">
        <f>ROUND(+L2360*D2360,4)</f>
        <v>0</v>
      </c>
      <c r="O2360" s="67">
        <f>ROUND(IF(F2360="rame",0,+I2360*3%),4)</f>
        <v>0</v>
      </c>
      <c r="P2360" s="67">
        <f>ROUND(IF(O2360&lt;J2360,O2360,0),4)</f>
        <v>0</v>
      </c>
      <c r="Q2360" s="67">
        <f>ROUND(IF(J2360&gt;O2360,0,J2360),4)</f>
        <v>0</v>
      </c>
      <c r="R2360" s="67">
        <f>ROUND(+P2360*D2360,4)</f>
        <v>0</v>
      </c>
      <c r="S2360" s="67">
        <f>ROUND(IF(K2360=0,0,M2360*D2360),4)</f>
        <v>0</v>
      </c>
      <c r="T2360" s="67">
        <f>ROUND(+IF(K2360=0,Q2360*D2360,0),4)</f>
        <v>0</v>
      </c>
      <c r="U2360" s="67">
        <f>ROUND(+N2360+R2360+S2360+T2360,4)</f>
        <v>0</v>
      </c>
      <c r="V2360" s="67">
        <f>ROUND(IF(P2360=0,0,I2360-H2360-O2360)+IF(L2360=0,0,I2360-H2360-K2360),4)</f>
        <v>0</v>
      </c>
      <c r="W2360" s="67">
        <f>ROUND(+(V2360*60%)*D2360,4)</f>
        <v>0</v>
      </c>
      <c r="X2360" s="148">
        <f>ROUND(+U2360+W2360,4)</f>
        <v>0</v>
      </c>
      <c r="Y2360" s="68"/>
      <c r="Z2360" s="148">
        <f>ROUND(IF(X2360&gt;I2360,X2360,I2360),4)</f>
        <v>0</v>
      </c>
      <c r="AD2360" s="78">
        <f t="shared" si="50"/>
        <v>0</v>
      </c>
      <c r="AE2360" s="78">
        <f t="shared" si="51"/>
        <v>0</v>
      </c>
    </row>
    <row r="2361" spans="1:31" x14ac:dyDescent="0.2">
      <c r="A2361" s="66"/>
      <c r="B2361" s="66"/>
      <c r="C2361" s="66"/>
      <c r="D2361" s="144"/>
      <c r="E2361" s="67"/>
      <c r="F2361" s="67"/>
      <c r="G2361" s="67"/>
      <c r="H2361" s="67">
        <f>ROUND(+E2361+G2361,4)</f>
        <v>0</v>
      </c>
      <c r="I2361" s="67"/>
      <c r="J2361" s="67">
        <f>ROUND(+I2361-H2361,4)</f>
        <v>0</v>
      </c>
      <c r="K2361" s="67">
        <f>ROUND(IF(F2361="alluminio",0,I2361*1.5%),4)</f>
        <v>0</v>
      </c>
      <c r="L2361" s="67">
        <f>ROUND(IF(K2361&lt;J2361,K2361,0),4)</f>
        <v>0</v>
      </c>
      <c r="M2361" s="67">
        <f>ROUND(IF(J2361&gt;K2361,0,J2361),4)</f>
        <v>0</v>
      </c>
      <c r="N2361" s="67">
        <f>ROUND(+L2361*D2361,4)</f>
        <v>0</v>
      </c>
      <c r="O2361" s="67">
        <f>ROUND(IF(F2361="rame",0,+I2361*3%),4)</f>
        <v>0</v>
      </c>
      <c r="P2361" s="67">
        <f>ROUND(IF(O2361&lt;J2361,O2361,0),4)</f>
        <v>0</v>
      </c>
      <c r="Q2361" s="67">
        <f>ROUND(IF(J2361&gt;O2361,0,J2361),4)</f>
        <v>0</v>
      </c>
      <c r="R2361" s="67">
        <f>ROUND(+P2361*D2361,4)</f>
        <v>0</v>
      </c>
      <c r="S2361" s="67">
        <f>ROUND(IF(K2361=0,0,M2361*D2361),4)</f>
        <v>0</v>
      </c>
      <c r="T2361" s="67">
        <f>ROUND(+IF(K2361=0,Q2361*D2361,0),4)</f>
        <v>0</v>
      </c>
      <c r="U2361" s="67">
        <f>ROUND(+N2361+R2361+S2361+T2361,4)</f>
        <v>0</v>
      </c>
      <c r="V2361" s="67">
        <f>ROUND(IF(P2361=0,0,I2361-H2361-O2361)+IF(L2361=0,0,I2361-H2361-K2361),4)</f>
        <v>0</v>
      </c>
      <c r="W2361" s="67">
        <f>ROUND(+(V2361*60%)*D2361,4)</f>
        <v>0</v>
      </c>
      <c r="X2361" s="148">
        <f>ROUND(+U2361+W2361,4)</f>
        <v>0</v>
      </c>
      <c r="Y2361" s="68"/>
      <c r="Z2361" s="148">
        <f>ROUND(IF(X2361&gt;I2361,X2361,I2361),4)</f>
        <v>0</v>
      </c>
      <c r="AD2361" s="78">
        <f t="shared" si="50"/>
        <v>0</v>
      </c>
      <c r="AE2361" s="78">
        <f t="shared" si="51"/>
        <v>0</v>
      </c>
    </row>
    <row r="2362" spans="1:31" x14ac:dyDescent="0.2">
      <c r="A2362" s="66"/>
      <c r="B2362" s="66"/>
      <c r="C2362" s="66"/>
      <c r="D2362" s="144"/>
      <c r="E2362" s="67"/>
      <c r="F2362" s="67"/>
      <c r="G2362" s="67"/>
      <c r="H2362" s="67">
        <f>ROUND(+E2362+G2362,4)</f>
        <v>0</v>
      </c>
      <c r="I2362" s="67"/>
      <c r="J2362" s="67">
        <f>ROUND(+I2362-H2362,4)</f>
        <v>0</v>
      </c>
      <c r="K2362" s="67">
        <f>ROUND(IF(F2362="alluminio",0,I2362*1.5%),4)</f>
        <v>0</v>
      </c>
      <c r="L2362" s="67">
        <f>ROUND(IF(K2362&lt;J2362,K2362,0),4)</f>
        <v>0</v>
      </c>
      <c r="M2362" s="67">
        <f>ROUND(IF(J2362&gt;K2362,0,J2362),4)</f>
        <v>0</v>
      </c>
      <c r="N2362" s="67">
        <f>ROUND(+L2362*D2362,4)</f>
        <v>0</v>
      </c>
      <c r="O2362" s="67">
        <f>ROUND(IF(F2362="rame",0,+I2362*3%),4)</f>
        <v>0</v>
      </c>
      <c r="P2362" s="67">
        <f>ROUND(IF(O2362&lt;J2362,O2362,0),4)</f>
        <v>0</v>
      </c>
      <c r="Q2362" s="67">
        <f>ROUND(IF(J2362&gt;O2362,0,J2362),4)</f>
        <v>0</v>
      </c>
      <c r="R2362" s="67">
        <f>ROUND(+P2362*D2362,4)</f>
        <v>0</v>
      </c>
      <c r="S2362" s="67">
        <f>ROUND(IF(K2362=0,0,M2362*D2362),4)</f>
        <v>0</v>
      </c>
      <c r="T2362" s="67">
        <f>ROUND(+IF(K2362=0,Q2362*D2362,0),4)</f>
        <v>0</v>
      </c>
      <c r="U2362" s="67">
        <f>ROUND(+N2362+R2362+S2362+T2362,4)</f>
        <v>0</v>
      </c>
      <c r="V2362" s="67">
        <f>ROUND(IF(P2362=0,0,I2362-H2362-O2362)+IF(L2362=0,0,I2362-H2362-K2362),4)</f>
        <v>0</v>
      </c>
      <c r="W2362" s="67">
        <f>ROUND(+(V2362*60%)*D2362,4)</f>
        <v>0</v>
      </c>
      <c r="X2362" s="148">
        <f>ROUND(+U2362+W2362,4)</f>
        <v>0</v>
      </c>
      <c r="Y2362" s="68"/>
      <c r="Z2362" s="148">
        <f>ROUND(IF(X2362&gt;I2362,X2362,I2362),4)</f>
        <v>0</v>
      </c>
      <c r="AD2362" s="78">
        <f t="shared" si="50"/>
        <v>0</v>
      </c>
      <c r="AE2362" s="78">
        <f t="shared" si="51"/>
        <v>0</v>
      </c>
    </row>
    <row r="2363" spans="1:31" x14ac:dyDescent="0.2">
      <c r="A2363" s="66"/>
      <c r="B2363" s="66"/>
      <c r="C2363" s="66"/>
      <c r="D2363" s="144"/>
      <c r="E2363" s="67"/>
      <c r="F2363" s="67"/>
      <c r="G2363" s="67"/>
      <c r="H2363" s="67">
        <f>ROUND(+E2363+G2363,4)</f>
        <v>0</v>
      </c>
      <c r="I2363" s="67"/>
      <c r="J2363" s="67">
        <f>ROUND(+I2363-H2363,4)</f>
        <v>0</v>
      </c>
      <c r="K2363" s="67">
        <f>ROUND(IF(F2363="alluminio",0,I2363*1.5%),4)</f>
        <v>0</v>
      </c>
      <c r="L2363" s="67">
        <f>ROUND(IF(K2363&lt;J2363,K2363,0),4)</f>
        <v>0</v>
      </c>
      <c r="M2363" s="67">
        <f>ROUND(IF(J2363&gt;K2363,0,J2363),4)</f>
        <v>0</v>
      </c>
      <c r="N2363" s="67">
        <f>ROUND(+L2363*D2363,4)</f>
        <v>0</v>
      </c>
      <c r="O2363" s="67">
        <f>ROUND(IF(F2363="rame",0,+I2363*3%),4)</f>
        <v>0</v>
      </c>
      <c r="P2363" s="67">
        <f>ROUND(IF(O2363&lt;J2363,O2363,0),4)</f>
        <v>0</v>
      </c>
      <c r="Q2363" s="67">
        <f>ROUND(IF(J2363&gt;O2363,0,J2363),4)</f>
        <v>0</v>
      </c>
      <c r="R2363" s="67">
        <f>ROUND(+P2363*D2363,4)</f>
        <v>0</v>
      </c>
      <c r="S2363" s="67">
        <f>ROUND(IF(K2363=0,0,M2363*D2363),4)</f>
        <v>0</v>
      </c>
      <c r="T2363" s="67">
        <f>ROUND(+IF(K2363=0,Q2363*D2363,0),4)</f>
        <v>0</v>
      </c>
      <c r="U2363" s="67">
        <f>ROUND(+N2363+R2363+S2363+T2363,4)</f>
        <v>0</v>
      </c>
      <c r="V2363" s="67">
        <f>ROUND(IF(P2363=0,0,I2363-H2363-O2363)+IF(L2363=0,0,I2363-H2363-K2363),4)</f>
        <v>0</v>
      </c>
      <c r="W2363" s="67">
        <f>ROUND(+(V2363*60%)*D2363,4)</f>
        <v>0</v>
      </c>
      <c r="X2363" s="148">
        <f>ROUND(+U2363+W2363,4)</f>
        <v>0</v>
      </c>
      <c r="Y2363" s="68"/>
      <c r="Z2363" s="148">
        <f>ROUND(IF(X2363&gt;I2363,X2363,I2363),4)</f>
        <v>0</v>
      </c>
      <c r="AD2363" s="78">
        <f t="shared" si="50"/>
        <v>0</v>
      </c>
      <c r="AE2363" s="78">
        <f t="shared" si="51"/>
        <v>0</v>
      </c>
    </row>
    <row r="2364" spans="1:31" x14ac:dyDescent="0.2">
      <c r="A2364" s="66"/>
      <c r="B2364" s="66"/>
      <c r="C2364" s="66"/>
      <c r="D2364" s="144"/>
      <c r="E2364" s="67"/>
      <c r="F2364" s="67"/>
      <c r="G2364" s="67"/>
      <c r="H2364" s="67">
        <f>ROUND(+E2364+G2364,4)</f>
        <v>0</v>
      </c>
      <c r="I2364" s="67"/>
      <c r="J2364" s="67">
        <f>ROUND(+I2364-H2364,4)</f>
        <v>0</v>
      </c>
      <c r="K2364" s="67">
        <f>ROUND(IF(F2364="alluminio",0,I2364*1.5%),4)</f>
        <v>0</v>
      </c>
      <c r="L2364" s="67">
        <f>ROUND(IF(K2364&lt;J2364,K2364,0),4)</f>
        <v>0</v>
      </c>
      <c r="M2364" s="67">
        <f>ROUND(IF(J2364&gt;K2364,0,J2364),4)</f>
        <v>0</v>
      </c>
      <c r="N2364" s="67">
        <f>ROUND(+L2364*D2364,4)</f>
        <v>0</v>
      </c>
      <c r="O2364" s="67">
        <f>ROUND(IF(F2364="rame",0,+I2364*3%),4)</f>
        <v>0</v>
      </c>
      <c r="P2364" s="67">
        <f>ROUND(IF(O2364&lt;J2364,O2364,0),4)</f>
        <v>0</v>
      </c>
      <c r="Q2364" s="67">
        <f>ROUND(IF(J2364&gt;O2364,0,J2364),4)</f>
        <v>0</v>
      </c>
      <c r="R2364" s="67">
        <f>ROUND(+P2364*D2364,4)</f>
        <v>0</v>
      </c>
      <c r="S2364" s="67">
        <f>ROUND(IF(K2364=0,0,M2364*D2364),4)</f>
        <v>0</v>
      </c>
      <c r="T2364" s="67">
        <f>ROUND(+IF(K2364=0,Q2364*D2364,0),4)</f>
        <v>0</v>
      </c>
      <c r="U2364" s="67">
        <f>ROUND(+N2364+R2364+S2364+T2364,4)</f>
        <v>0</v>
      </c>
      <c r="V2364" s="67">
        <f>ROUND(IF(P2364=0,0,I2364-H2364-O2364)+IF(L2364=0,0,I2364-H2364-K2364),4)</f>
        <v>0</v>
      </c>
      <c r="W2364" s="67">
        <f>ROUND(+(V2364*60%)*D2364,4)</f>
        <v>0</v>
      </c>
      <c r="X2364" s="148">
        <f>ROUND(+U2364+W2364,4)</f>
        <v>0</v>
      </c>
      <c r="Y2364" s="68"/>
      <c r="Z2364" s="148">
        <f>ROUND(IF(X2364&gt;I2364,X2364,I2364),4)</f>
        <v>0</v>
      </c>
      <c r="AD2364" s="78">
        <f t="shared" si="50"/>
        <v>0</v>
      </c>
      <c r="AE2364" s="78">
        <f t="shared" si="51"/>
        <v>0</v>
      </c>
    </row>
    <row r="2365" spans="1:31" x14ac:dyDescent="0.2">
      <c r="A2365" s="66"/>
      <c r="B2365" s="66"/>
      <c r="C2365" s="66"/>
      <c r="D2365" s="144"/>
      <c r="E2365" s="67"/>
      <c r="F2365" s="67"/>
      <c r="G2365" s="67"/>
      <c r="H2365" s="67">
        <f>ROUND(+E2365+G2365,4)</f>
        <v>0</v>
      </c>
      <c r="I2365" s="67"/>
      <c r="J2365" s="67">
        <f>ROUND(+I2365-H2365,4)</f>
        <v>0</v>
      </c>
      <c r="K2365" s="67">
        <f>ROUND(IF(F2365="alluminio",0,I2365*1.5%),4)</f>
        <v>0</v>
      </c>
      <c r="L2365" s="67">
        <f>ROUND(IF(K2365&lt;J2365,K2365,0),4)</f>
        <v>0</v>
      </c>
      <c r="M2365" s="67">
        <f>ROUND(IF(J2365&gt;K2365,0,J2365),4)</f>
        <v>0</v>
      </c>
      <c r="N2365" s="67">
        <f>ROUND(+L2365*D2365,4)</f>
        <v>0</v>
      </c>
      <c r="O2365" s="67">
        <f>ROUND(IF(F2365="rame",0,+I2365*3%),4)</f>
        <v>0</v>
      </c>
      <c r="P2365" s="67">
        <f>ROUND(IF(O2365&lt;J2365,O2365,0),4)</f>
        <v>0</v>
      </c>
      <c r="Q2365" s="67">
        <f>ROUND(IF(J2365&gt;O2365,0,J2365),4)</f>
        <v>0</v>
      </c>
      <c r="R2365" s="67">
        <f>ROUND(+P2365*D2365,4)</f>
        <v>0</v>
      </c>
      <c r="S2365" s="67">
        <f>ROUND(IF(K2365=0,0,M2365*D2365),4)</f>
        <v>0</v>
      </c>
      <c r="T2365" s="67">
        <f>ROUND(+IF(K2365=0,Q2365*D2365,0),4)</f>
        <v>0</v>
      </c>
      <c r="U2365" s="67">
        <f>ROUND(+N2365+R2365+S2365+T2365,4)</f>
        <v>0</v>
      </c>
      <c r="V2365" s="67">
        <f>ROUND(IF(P2365=0,0,I2365-H2365-O2365)+IF(L2365=0,0,I2365-H2365-K2365),4)</f>
        <v>0</v>
      </c>
      <c r="W2365" s="67">
        <f>ROUND(+(V2365*60%)*D2365,4)</f>
        <v>0</v>
      </c>
      <c r="X2365" s="148">
        <f>ROUND(+U2365+W2365,4)</f>
        <v>0</v>
      </c>
      <c r="Y2365" s="68"/>
      <c r="Z2365" s="148">
        <f>ROUND(IF(X2365&gt;I2365,X2365,I2365),4)</f>
        <v>0</v>
      </c>
      <c r="AD2365" s="78">
        <f t="shared" si="50"/>
        <v>0</v>
      </c>
      <c r="AE2365" s="78">
        <f t="shared" si="51"/>
        <v>0</v>
      </c>
    </row>
    <row r="2366" spans="1:31" x14ac:dyDescent="0.2">
      <c r="A2366" s="66"/>
      <c r="B2366" s="66"/>
      <c r="C2366" s="66"/>
      <c r="D2366" s="144"/>
      <c r="E2366" s="67"/>
      <c r="F2366" s="67"/>
      <c r="G2366" s="67"/>
      <c r="H2366" s="67">
        <f>ROUND(+E2366+G2366,4)</f>
        <v>0</v>
      </c>
      <c r="I2366" s="67"/>
      <c r="J2366" s="67">
        <f>ROUND(+I2366-H2366,4)</f>
        <v>0</v>
      </c>
      <c r="K2366" s="67">
        <f>ROUND(IF(F2366="alluminio",0,I2366*1.5%),4)</f>
        <v>0</v>
      </c>
      <c r="L2366" s="67">
        <f>ROUND(IF(K2366&lt;J2366,K2366,0),4)</f>
        <v>0</v>
      </c>
      <c r="M2366" s="67">
        <f>ROUND(IF(J2366&gt;K2366,0,J2366),4)</f>
        <v>0</v>
      </c>
      <c r="N2366" s="67">
        <f>ROUND(+L2366*D2366,4)</f>
        <v>0</v>
      </c>
      <c r="O2366" s="67">
        <f>ROUND(IF(F2366="rame",0,+I2366*3%),4)</f>
        <v>0</v>
      </c>
      <c r="P2366" s="67">
        <f>ROUND(IF(O2366&lt;J2366,O2366,0),4)</f>
        <v>0</v>
      </c>
      <c r="Q2366" s="67">
        <f>ROUND(IF(J2366&gt;O2366,0,J2366),4)</f>
        <v>0</v>
      </c>
      <c r="R2366" s="67">
        <f>ROUND(+P2366*D2366,4)</f>
        <v>0</v>
      </c>
      <c r="S2366" s="67">
        <f>ROUND(IF(K2366=0,0,M2366*D2366),4)</f>
        <v>0</v>
      </c>
      <c r="T2366" s="67">
        <f>ROUND(+IF(K2366=0,Q2366*D2366,0),4)</f>
        <v>0</v>
      </c>
      <c r="U2366" s="67">
        <f>ROUND(+N2366+R2366+S2366+T2366,4)</f>
        <v>0</v>
      </c>
      <c r="V2366" s="67">
        <f>ROUND(IF(P2366=0,0,I2366-H2366-O2366)+IF(L2366=0,0,I2366-H2366-K2366),4)</f>
        <v>0</v>
      </c>
      <c r="W2366" s="67">
        <f>ROUND(+(V2366*60%)*D2366,4)</f>
        <v>0</v>
      </c>
      <c r="X2366" s="148">
        <f>ROUND(+U2366+W2366,4)</f>
        <v>0</v>
      </c>
      <c r="Y2366" s="68"/>
      <c r="Z2366" s="148">
        <f>ROUND(IF(X2366&gt;I2366,X2366,I2366),4)</f>
        <v>0</v>
      </c>
      <c r="AD2366" s="78">
        <f t="shared" ref="AD2366:AD2429" si="52">IF(Y2366="",0,MONTH(Y2366))</f>
        <v>0</v>
      </c>
      <c r="AE2366" s="78">
        <f t="shared" ref="AE2366:AE2429" si="53">IF(Y2366="",0,YEAR(Y2366))</f>
        <v>0</v>
      </c>
    </row>
    <row r="2367" spans="1:31" x14ac:dyDescent="0.2">
      <c r="A2367" s="66"/>
      <c r="B2367" s="66"/>
      <c r="C2367" s="66"/>
      <c r="D2367" s="144"/>
      <c r="E2367" s="67"/>
      <c r="F2367" s="67"/>
      <c r="G2367" s="67"/>
      <c r="H2367" s="67">
        <f>ROUND(+E2367+G2367,4)</f>
        <v>0</v>
      </c>
      <c r="I2367" s="67"/>
      <c r="J2367" s="67">
        <f>ROUND(+I2367-H2367,4)</f>
        <v>0</v>
      </c>
      <c r="K2367" s="67">
        <f>ROUND(IF(F2367="alluminio",0,I2367*1.5%),4)</f>
        <v>0</v>
      </c>
      <c r="L2367" s="67">
        <f>ROUND(IF(K2367&lt;J2367,K2367,0),4)</f>
        <v>0</v>
      </c>
      <c r="M2367" s="67">
        <f>ROUND(IF(J2367&gt;K2367,0,J2367),4)</f>
        <v>0</v>
      </c>
      <c r="N2367" s="67">
        <f>ROUND(+L2367*D2367,4)</f>
        <v>0</v>
      </c>
      <c r="O2367" s="67">
        <f>ROUND(IF(F2367="rame",0,+I2367*3%),4)</f>
        <v>0</v>
      </c>
      <c r="P2367" s="67">
        <f>ROUND(IF(O2367&lt;J2367,O2367,0),4)</f>
        <v>0</v>
      </c>
      <c r="Q2367" s="67">
        <f>ROUND(IF(J2367&gt;O2367,0,J2367),4)</f>
        <v>0</v>
      </c>
      <c r="R2367" s="67">
        <f>ROUND(+P2367*D2367,4)</f>
        <v>0</v>
      </c>
      <c r="S2367" s="67">
        <f>ROUND(IF(K2367=0,0,M2367*D2367),4)</f>
        <v>0</v>
      </c>
      <c r="T2367" s="67">
        <f>ROUND(+IF(K2367=0,Q2367*D2367,0),4)</f>
        <v>0</v>
      </c>
      <c r="U2367" s="67">
        <f>ROUND(+N2367+R2367+S2367+T2367,4)</f>
        <v>0</v>
      </c>
      <c r="V2367" s="67">
        <f>ROUND(IF(P2367=0,0,I2367-H2367-O2367)+IF(L2367=0,0,I2367-H2367-K2367),4)</f>
        <v>0</v>
      </c>
      <c r="W2367" s="67">
        <f>ROUND(+(V2367*60%)*D2367,4)</f>
        <v>0</v>
      </c>
      <c r="X2367" s="148">
        <f>ROUND(+U2367+W2367,4)</f>
        <v>0</v>
      </c>
      <c r="Y2367" s="68"/>
      <c r="Z2367" s="148">
        <f>ROUND(IF(X2367&gt;I2367,X2367,I2367),4)</f>
        <v>0</v>
      </c>
      <c r="AD2367" s="78">
        <f t="shared" si="52"/>
        <v>0</v>
      </c>
      <c r="AE2367" s="78">
        <f t="shared" si="53"/>
        <v>0</v>
      </c>
    </row>
    <row r="2368" spans="1:31" x14ac:dyDescent="0.2">
      <c r="A2368" s="66"/>
      <c r="B2368" s="66"/>
      <c r="C2368" s="66"/>
      <c r="D2368" s="144"/>
      <c r="E2368" s="67"/>
      <c r="F2368" s="67"/>
      <c r="G2368" s="67"/>
      <c r="H2368" s="67">
        <f>ROUND(+E2368+G2368,4)</f>
        <v>0</v>
      </c>
      <c r="I2368" s="67"/>
      <c r="J2368" s="67">
        <f>ROUND(+I2368-H2368,4)</f>
        <v>0</v>
      </c>
      <c r="K2368" s="67">
        <f>ROUND(IF(F2368="alluminio",0,I2368*1.5%),4)</f>
        <v>0</v>
      </c>
      <c r="L2368" s="67">
        <f>ROUND(IF(K2368&lt;J2368,K2368,0),4)</f>
        <v>0</v>
      </c>
      <c r="M2368" s="67">
        <f>ROUND(IF(J2368&gt;K2368,0,J2368),4)</f>
        <v>0</v>
      </c>
      <c r="N2368" s="67">
        <f>ROUND(+L2368*D2368,4)</f>
        <v>0</v>
      </c>
      <c r="O2368" s="67">
        <f>ROUND(IF(F2368="rame",0,+I2368*3%),4)</f>
        <v>0</v>
      </c>
      <c r="P2368" s="67">
        <f>ROUND(IF(O2368&lt;J2368,O2368,0),4)</f>
        <v>0</v>
      </c>
      <c r="Q2368" s="67">
        <f>ROUND(IF(J2368&gt;O2368,0,J2368),4)</f>
        <v>0</v>
      </c>
      <c r="R2368" s="67">
        <f>ROUND(+P2368*D2368,4)</f>
        <v>0</v>
      </c>
      <c r="S2368" s="67">
        <f>ROUND(IF(K2368=0,0,M2368*D2368),4)</f>
        <v>0</v>
      </c>
      <c r="T2368" s="67">
        <f>ROUND(+IF(K2368=0,Q2368*D2368,0),4)</f>
        <v>0</v>
      </c>
      <c r="U2368" s="67">
        <f>ROUND(+N2368+R2368+S2368+T2368,4)</f>
        <v>0</v>
      </c>
      <c r="V2368" s="67">
        <f>ROUND(IF(P2368=0,0,I2368-H2368-O2368)+IF(L2368=0,0,I2368-H2368-K2368),4)</f>
        <v>0</v>
      </c>
      <c r="W2368" s="67">
        <f>ROUND(+(V2368*60%)*D2368,4)</f>
        <v>0</v>
      </c>
      <c r="X2368" s="148">
        <f>ROUND(+U2368+W2368,4)</f>
        <v>0</v>
      </c>
      <c r="Y2368" s="68"/>
      <c r="Z2368" s="148">
        <f>ROUND(IF(X2368&gt;I2368,X2368,I2368),4)</f>
        <v>0</v>
      </c>
      <c r="AD2368" s="78">
        <f t="shared" si="52"/>
        <v>0</v>
      </c>
      <c r="AE2368" s="78">
        <f t="shared" si="53"/>
        <v>0</v>
      </c>
    </row>
    <row r="2369" spans="1:31" x14ac:dyDescent="0.2">
      <c r="A2369" s="66"/>
      <c r="B2369" s="66"/>
      <c r="C2369" s="66"/>
      <c r="D2369" s="144"/>
      <c r="E2369" s="67"/>
      <c r="F2369" s="67"/>
      <c r="G2369" s="67"/>
      <c r="H2369" s="67">
        <f>ROUND(+E2369+G2369,4)</f>
        <v>0</v>
      </c>
      <c r="I2369" s="67"/>
      <c r="J2369" s="67">
        <f>ROUND(+I2369-H2369,4)</f>
        <v>0</v>
      </c>
      <c r="K2369" s="67">
        <f>ROUND(IF(F2369="alluminio",0,I2369*1.5%),4)</f>
        <v>0</v>
      </c>
      <c r="L2369" s="67">
        <f>ROUND(IF(K2369&lt;J2369,K2369,0),4)</f>
        <v>0</v>
      </c>
      <c r="M2369" s="67">
        <f>ROUND(IF(J2369&gt;K2369,0,J2369),4)</f>
        <v>0</v>
      </c>
      <c r="N2369" s="67">
        <f>ROUND(+L2369*D2369,4)</f>
        <v>0</v>
      </c>
      <c r="O2369" s="67">
        <f>ROUND(IF(F2369="rame",0,+I2369*3%),4)</f>
        <v>0</v>
      </c>
      <c r="P2369" s="67">
        <f>ROUND(IF(O2369&lt;J2369,O2369,0),4)</f>
        <v>0</v>
      </c>
      <c r="Q2369" s="67">
        <f>ROUND(IF(J2369&gt;O2369,0,J2369),4)</f>
        <v>0</v>
      </c>
      <c r="R2369" s="67">
        <f>ROUND(+P2369*D2369,4)</f>
        <v>0</v>
      </c>
      <c r="S2369" s="67">
        <f>ROUND(IF(K2369=0,0,M2369*D2369),4)</f>
        <v>0</v>
      </c>
      <c r="T2369" s="67">
        <f>ROUND(+IF(K2369=0,Q2369*D2369,0),4)</f>
        <v>0</v>
      </c>
      <c r="U2369" s="67">
        <f>ROUND(+N2369+R2369+S2369+T2369,4)</f>
        <v>0</v>
      </c>
      <c r="V2369" s="67">
        <f>ROUND(IF(P2369=0,0,I2369-H2369-O2369)+IF(L2369=0,0,I2369-H2369-K2369),4)</f>
        <v>0</v>
      </c>
      <c r="W2369" s="67">
        <f>ROUND(+(V2369*60%)*D2369,4)</f>
        <v>0</v>
      </c>
      <c r="X2369" s="148">
        <f>ROUND(+U2369+W2369,4)</f>
        <v>0</v>
      </c>
      <c r="Y2369" s="68"/>
      <c r="Z2369" s="148">
        <f>ROUND(IF(X2369&gt;I2369,X2369,I2369),4)</f>
        <v>0</v>
      </c>
      <c r="AD2369" s="78">
        <f t="shared" si="52"/>
        <v>0</v>
      </c>
      <c r="AE2369" s="78">
        <f t="shared" si="53"/>
        <v>0</v>
      </c>
    </row>
    <row r="2370" spans="1:31" x14ac:dyDescent="0.2">
      <c r="A2370" s="66"/>
      <c r="B2370" s="66"/>
      <c r="C2370" s="66"/>
      <c r="D2370" s="144"/>
      <c r="E2370" s="67"/>
      <c r="F2370" s="67"/>
      <c r="G2370" s="67"/>
      <c r="H2370" s="67">
        <f>ROUND(+E2370+G2370,4)</f>
        <v>0</v>
      </c>
      <c r="I2370" s="67"/>
      <c r="J2370" s="67">
        <f>ROUND(+I2370-H2370,4)</f>
        <v>0</v>
      </c>
      <c r="K2370" s="67">
        <f>ROUND(IF(F2370="alluminio",0,I2370*1.5%),4)</f>
        <v>0</v>
      </c>
      <c r="L2370" s="67">
        <f>ROUND(IF(K2370&lt;J2370,K2370,0),4)</f>
        <v>0</v>
      </c>
      <c r="M2370" s="67">
        <f>ROUND(IF(J2370&gt;K2370,0,J2370),4)</f>
        <v>0</v>
      </c>
      <c r="N2370" s="67">
        <f>ROUND(+L2370*D2370,4)</f>
        <v>0</v>
      </c>
      <c r="O2370" s="67">
        <f>ROUND(IF(F2370="rame",0,+I2370*3%),4)</f>
        <v>0</v>
      </c>
      <c r="P2370" s="67">
        <f>ROUND(IF(O2370&lt;J2370,O2370,0),4)</f>
        <v>0</v>
      </c>
      <c r="Q2370" s="67">
        <f>ROUND(IF(J2370&gt;O2370,0,J2370),4)</f>
        <v>0</v>
      </c>
      <c r="R2370" s="67">
        <f>ROUND(+P2370*D2370,4)</f>
        <v>0</v>
      </c>
      <c r="S2370" s="67">
        <f>ROUND(IF(K2370=0,0,M2370*D2370),4)</f>
        <v>0</v>
      </c>
      <c r="T2370" s="67">
        <f>ROUND(+IF(K2370=0,Q2370*D2370,0),4)</f>
        <v>0</v>
      </c>
      <c r="U2370" s="67">
        <f>ROUND(+N2370+R2370+S2370+T2370,4)</f>
        <v>0</v>
      </c>
      <c r="V2370" s="67">
        <f>ROUND(IF(P2370=0,0,I2370-H2370-O2370)+IF(L2370=0,0,I2370-H2370-K2370),4)</f>
        <v>0</v>
      </c>
      <c r="W2370" s="67">
        <f>ROUND(+(V2370*60%)*D2370,4)</f>
        <v>0</v>
      </c>
      <c r="X2370" s="148">
        <f>ROUND(+U2370+W2370,4)</f>
        <v>0</v>
      </c>
      <c r="Y2370" s="68"/>
      <c r="Z2370" s="148">
        <f>ROUND(IF(X2370&gt;I2370,X2370,I2370),4)</f>
        <v>0</v>
      </c>
      <c r="AD2370" s="78">
        <f t="shared" si="52"/>
        <v>0</v>
      </c>
      <c r="AE2370" s="78">
        <f t="shared" si="53"/>
        <v>0</v>
      </c>
    </row>
    <row r="2371" spans="1:31" x14ac:dyDescent="0.2">
      <c r="A2371" s="66"/>
      <c r="B2371" s="66"/>
      <c r="C2371" s="66"/>
      <c r="D2371" s="144"/>
      <c r="E2371" s="67"/>
      <c r="F2371" s="67"/>
      <c r="G2371" s="67"/>
      <c r="H2371" s="67">
        <f>ROUND(+E2371+G2371,4)</f>
        <v>0</v>
      </c>
      <c r="I2371" s="67"/>
      <c r="J2371" s="67">
        <f>ROUND(+I2371-H2371,4)</f>
        <v>0</v>
      </c>
      <c r="K2371" s="67">
        <f>ROUND(IF(F2371="alluminio",0,I2371*1.5%),4)</f>
        <v>0</v>
      </c>
      <c r="L2371" s="67">
        <f>ROUND(IF(K2371&lt;J2371,K2371,0),4)</f>
        <v>0</v>
      </c>
      <c r="M2371" s="67">
        <f>ROUND(IF(J2371&gt;K2371,0,J2371),4)</f>
        <v>0</v>
      </c>
      <c r="N2371" s="67">
        <f>ROUND(+L2371*D2371,4)</f>
        <v>0</v>
      </c>
      <c r="O2371" s="67">
        <f>ROUND(IF(F2371="rame",0,+I2371*3%),4)</f>
        <v>0</v>
      </c>
      <c r="P2371" s="67">
        <f>ROUND(IF(O2371&lt;J2371,O2371,0),4)</f>
        <v>0</v>
      </c>
      <c r="Q2371" s="67">
        <f>ROUND(IF(J2371&gt;O2371,0,J2371),4)</f>
        <v>0</v>
      </c>
      <c r="R2371" s="67">
        <f>ROUND(+P2371*D2371,4)</f>
        <v>0</v>
      </c>
      <c r="S2371" s="67">
        <f>ROUND(IF(K2371=0,0,M2371*D2371),4)</f>
        <v>0</v>
      </c>
      <c r="T2371" s="67">
        <f>ROUND(+IF(K2371=0,Q2371*D2371,0),4)</f>
        <v>0</v>
      </c>
      <c r="U2371" s="67">
        <f>ROUND(+N2371+R2371+S2371+T2371,4)</f>
        <v>0</v>
      </c>
      <c r="V2371" s="67">
        <f>ROUND(IF(P2371=0,0,I2371-H2371-O2371)+IF(L2371=0,0,I2371-H2371-K2371),4)</f>
        <v>0</v>
      </c>
      <c r="W2371" s="67">
        <f>ROUND(+(V2371*60%)*D2371,4)</f>
        <v>0</v>
      </c>
      <c r="X2371" s="148">
        <f>ROUND(+U2371+W2371,4)</f>
        <v>0</v>
      </c>
      <c r="Y2371" s="68"/>
      <c r="Z2371" s="148">
        <f>ROUND(IF(X2371&gt;I2371,X2371,I2371),4)</f>
        <v>0</v>
      </c>
      <c r="AD2371" s="78">
        <f t="shared" si="52"/>
        <v>0</v>
      </c>
      <c r="AE2371" s="78">
        <f t="shared" si="53"/>
        <v>0</v>
      </c>
    </row>
    <row r="2372" spans="1:31" x14ac:dyDescent="0.2">
      <c r="A2372" s="66"/>
      <c r="B2372" s="66"/>
      <c r="C2372" s="66"/>
      <c r="D2372" s="144"/>
      <c r="E2372" s="67"/>
      <c r="F2372" s="67"/>
      <c r="G2372" s="67"/>
      <c r="H2372" s="67">
        <f>ROUND(+E2372+G2372,4)</f>
        <v>0</v>
      </c>
      <c r="I2372" s="67"/>
      <c r="J2372" s="67">
        <f>ROUND(+I2372-H2372,4)</f>
        <v>0</v>
      </c>
      <c r="K2372" s="67">
        <f>ROUND(IF(F2372="alluminio",0,I2372*1.5%),4)</f>
        <v>0</v>
      </c>
      <c r="L2372" s="67">
        <f>ROUND(IF(K2372&lt;J2372,K2372,0),4)</f>
        <v>0</v>
      </c>
      <c r="M2372" s="67">
        <f>ROUND(IF(J2372&gt;K2372,0,J2372),4)</f>
        <v>0</v>
      </c>
      <c r="N2372" s="67">
        <f>ROUND(+L2372*D2372,4)</f>
        <v>0</v>
      </c>
      <c r="O2372" s="67">
        <f>ROUND(IF(F2372="rame",0,+I2372*3%),4)</f>
        <v>0</v>
      </c>
      <c r="P2372" s="67">
        <f>ROUND(IF(O2372&lt;J2372,O2372,0),4)</f>
        <v>0</v>
      </c>
      <c r="Q2372" s="67">
        <f>ROUND(IF(J2372&gt;O2372,0,J2372),4)</f>
        <v>0</v>
      </c>
      <c r="R2372" s="67">
        <f>ROUND(+P2372*D2372,4)</f>
        <v>0</v>
      </c>
      <c r="S2372" s="67">
        <f>ROUND(IF(K2372=0,0,M2372*D2372),4)</f>
        <v>0</v>
      </c>
      <c r="T2372" s="67">
        <f>ROUND(+IF(K2372=0,Q2372*D2372,0),4)</f>
        <v>0</v>
      </c>
      <c r="U2372" s="67">
        <f>ROUND(+N2372+R2372+S2372+T2372,4)</f>
        <v>0</v>
      </c>
      <c r="V2372" s="67">
        <f>ROUND(IF(P2372=0,0,I2372-H2372-O2372)+IF(L2372=0,0,I2372-H2372-K2372),4)</f>
        <v>0</v>
      </c>
      <c r="W2372" s="67">
        <f>ROUND(+(V2372*60%)*D2372,4)</f>
        <v>0</v>
      </c>
      <c r="X2372" s="148">
        <f>ROUND(+U2372+W2372,4)</f>
        <v>0</v>
      </c>
      <c r="Y2372" s="68"/>
      <c r="Z2372" s="148">
        <f>ROUND(IF(X2372&gt;I2372,X2372,I2372),4)</f>
        <v>0</v>
      </c>
      <c r="AD2372" s="78">
        <f t="shared" si="52"/>
        <v>0</v>
      </c>
      <c r="AE2372" s="78">
        <f t="shared" si="53"/>
        <v>0</v>
      </c>
    </row>
    <row r="2373" spans="1:31" x14ac:dyDescent="0.2">
      <c r="A2373" s="66"/>
      <c r="B2373" s="66"/>
      <c r="C2373" s="66"/>
      <c r="D2373" s="144"/>
      <c r="E2373" s="67"/>
      <c r="F2373" s="67"/>
      <c r="G2373" s="67"/>
      <c r="H2373" s="67">
        <f>ROUND(+E2373+G2373,4)</f>
        <v>0</v>
      </c>
      <c r="I2373" s="67"/>
      <c r="J2373" s="67">
        <f>ROUND(+I2373-H2373,4)</f>
        <v>0</v>
      </c>
      <c r="K2373" s="67">
        <f>ROUND(IF(F2373="alluminio",0,I2373*1.5%),4)</f>
        <v>0</v>
      </c>
      <c r="L2373" s="67">
        <f>ROUND(IF(K2373&lt;J2373,K2373,0),4)</f>
        <v>0</v>
      </c>
      <c r="M2373" s="67">
        <f>ROUND(IF(J2373&gt;K2373,0,J2373),4)</f>
        <v>0</v>
      </c>
      <c r="N2373" s="67">
        <f>ROUND(+L2373*D2373,4)</f>
        <v>0</v>
      </c>
      <c r="O2373" s="67">
        <f>ROUND(IF(F2373="rame",0,+I2373*3%),4)</f>
        <v>0</v>
      </c>
      <c r="P2373" s="67">
        <f>ROUND(IF(O2373&lt;J2373,O2373,0),4)</f>
        <v>0</v>
      </c>
      <c r="Q2373" s="67">
        <f>ROUND(IF(J2373&gt;O2373,0,J2373),4)</f>
        <v>0</v>
      </c>
      <c r="R2373" s="67">
        <f>ROUND(+P2373*D2373,4)</f>
        <v>0</v>
      </c>
      <c r="S2373" s="67">
        <f>ROUND(IF(K2373=0,0,M2373*D2373),4)</f>
        <v>0</v>
      </c>
      <c r="T2373" s="67">
        <f>ROUND(+IF(K2373=0,Q2373*D2373,0),4)</f>
        <v>0</v>
      </c>
      <c r="U2373" s="67">
        <f>ROUND(+N2373+R2373+S2373+T2373,4)</f>
        <v>0</v>
      </c>
      <c r="V2373" s="67">
        <f>ROUND(IF(P2373=0,0,I2373-H2373-O2373)+IF(L2373=0,0,I2373-H2373-K2373),4)</f>
        <v>0</v>
      </c>
      <c r="W2373" s="67">
        <f>ROUND(+(V2373*60%)*D2373,4)</f>
        <v>0</v>
      </c>
      <c r="X2373" s="148">
        <f>ROUND(+U2373+W2373,4)</f>
        <v>0</v>
      </c>
      <c r="Y2373" s="68"/>
      <c r="Z2373" s="148">
        <f>ROUND(IF(X2373&gt;I2373,X2373,I2373),4)</f>
        <v>0</v>
      </c>
      <c r="AD2373" s="78">
        <f t="shared" si="52"/>
        <v>0</v>
      </c>
      <c r="AE2373" s="78">
        <f t="shared" si="53"/>
        <v>0</v>
      </c>
    </row>
    <row r="2374" spans="1:31" x14ac:dyDescent="0.2">
      <c r="A2374" s="66"/>
      <c r="B2374" s="66"/>
      <c r="C2374" s="66"/>
      <c r="D2374" s="144"/>
      <c r="E2374" s="67"/>
      <c r="F2374" s="67"/>
      <c r="G2374" s="67"/>
      <c r="H2374" s="67">
        <f>ROUND(+E2374+G2374,4)</f>
        <v>0</v>
      </c>
      <c r="I2374" s="67"/>
      <c r="J2374" s="67">
        <f>ROUND(+I2374-H2374,4)</f>
        <v>0</v>
      </c>
      <c r="K2374" s="67">
        <f>ROUND(IF(F2374="alluminio",0,I2374*1.5%),4)</f>
        <v>0</v>
      </c>
      <c r="L2374" s="67">
        <f>ROUND(IF(K2374&lt;J2374,K2374,0),4)</f>
        <v>0</v>
      </c>
      <c r="M2374" s="67">
        <f>ROUND(IF(J2374&gt;K2374,0,J2374),4)</f>
        <v>0</v>
      </c>
      <c r="N2374" s="67">
        <f>ROUND(+L2374*D2374,4)</f>
        <v>0</v>
      </c>
      <c r="O2374" s="67">
        <f>ROUND(IF(F2374="rame",0,+I2374*3%),4)</f>
        <v>0</v>
      </c>
      <c r="P2374" s="67">
        <f>ROUND(IF(O2374&lt;J2374,O2374,0),4)</f>
        <v>0</v>
      </c>
      <c r="Q2374" s="67">
        <f>ROUND(IF(J2374&gt;O2374,0,J2374),4)</f>
        <v>0</v>
      </c>
      <c r="R2374" s="67">
        <f>ROUND(+P2374*D2374,4)</f>
        <v>0</v>
      </c>
      <c r="S2374" s="67">
        <f>ROUND(IF(K2374=0,0,M2374*D2374),4)</f>
        <v>0</v>
      </c>
      <c r="T2374" s="67">
        <f>ROUND(+IF(K2374=0,Q2374*D2374,0),4)</f>
        <v>0</v>
      </c>
      <c r="U2374" s="67">
        <f>ROUND(+N2374+R2374+S2374+T2374,4)</f>
        <v>0</v>
      </c>
      <c r="V2374" s="67">
        <f>ROUND(IF(P2374=0,0,I2374-H2374-O2374)+IF(L2374=0,0,I2374-H2374-K2374),4)</f>
        <v>0</v>
      </c>
      <c r="W2374" s="67">
        <f>ROUND(+(V2374*60%)*D2374,4)</f>
        <v>0</v>
      </c>
      <c r="X2374" s="148">
        <f>ROUND(+U2374+W2374,4)</f>
        <v>0</v>
      </c>
      <c r="Y2374" s="68"/>
      <c r="Z2374" s="148">
        <f>ROUND(IF(X2374&gt;I2374,X2374,I2374),4)</f>
        <v>0</v>
      </c>
      <c r="AD2374" s="78">
        <f t="shared" si="52"/>
        <v>0</v>
      </c>
      <c r="AE2374" s="78">
        <f t="shared" si="53"/>
        <v>0</v>
      </c>
    </row>
    <row r="2375" spans="1:31" x14ac:dyDescent="0.2">
      <c r="A2375" s="66"/>
      <c r="B2375" s="66"/>
      <c r="C2375" s="66"/>
      <c r="D2375" s="144"/>
      <c r="E2375" s="67"/>
      <c r="F2375" s="67"/>
      <c r="G2375" s="67"/>
      <c r="H2375" s="67">
        <f>ROUND(+E2375+G2375,4)</f>
        <v>0</v>
      </c>
      <c r="I2375" s="67"/>
      <c r="J2375" s="67">
        <f>ROUND(+I2375-H2375,4)</f>
        <v>0</v>
      </c>
      <c r="K2375" s="67">
        <f>ROUND(IF(F2375="alluminio",0,I2375*1.5%),4)</f>
        <v>0</v>
      </c>
      <c r="L2375" s="67">
        <f>ROUND(IF(K2375&lt;J2375,K2375,0),4)</f>
        <v>0</v>
      </c>
      <c r="M2375" s="67">
        <f>ROUND(IF(J2375&gt;K2375,0,J2375),4)</f>
        <v>0</v>
      </c>
      <c r="N2375" s="67">
        <f>ROUND(+L2375*D2375,4)</f>
        <v>0</v>
      </c>
      <c r="O2375" s="67">
        <f>ROUND(IF(F2375="rame",0,+I2375*3%),4)</f>
        <v>0</v>
      </c>
      <c r="P2375" s="67">
        <f>ROUND(IF(O2375&lt;J2375,O2375,0),4)</f>
        <v>0</v>
      </c>
      <c r="Q2375" s="67">
        <f>ROUND(IF(J2375&gt;O2375,0,J2375),4)</f>
        <v>0</v>
      </c>
      <c r="R2375" s="67">
        <f>ROUND(+P2375*D2375,4)</f>
        <v>0</v>
      </c>
      <c r="S2375" s="67">
        <f>ROUND(IF(K2375=0,0,M2375*D2375),4)</f>
        <v>0</v>
      </c>
      <c r="T2375" s="67">
        <f>ROUND(+IF(K2375=0,Q2375*D2375,0),4)</f>
        <v>0</v>
      </c>
      <c r="U2375" s="67">
        <f>ROUND(+N2375+R2375+S2375+T2375,4)</f>
        <v>0</v>
      </c>
      <c r="V2375" s="67">
        <f>ROUND(IF(P2375=0,0,I2375-H2375-O2375)+IF(L2375=0,0,I2375-H2375-K2375),4)</f>
        <v>0</v>
      </c>
      <c r="W2375" s="67">
        <f>ROUND(+(V2375*60%)*D2375,4)</f>
        <v>0</v>
      </c>
      <c r="X2375" s="148">
        <f>ROUND(+U2375+W2375,4)</f>
        <v>0</v>
      </c>
      <c r="Y2375" s="68"/>
      <c r="Z2375" s="148">
        <f>ROUND(IF(X2375&gt;I2375,X2375,I2375),4)</f>
        <v>0</v>
      </c>
      <c r="AD2375" s="78">
        <f t="shared" si="52"/>
        <v>0</v>
      </c>
      <c r="AE2375" s="78">
        <f t="shared" si="53"/>
        <v>0</v>
      </c>
    </row>
    <row r="2376" spans="1:31" x14ac:dyDescent="0.2">
      <c r="A2376" s="66"/>
      <c r="B2376" s="66"/>
      <c r="C2376" s="66"/>
      <c r="D2376" s="144"/>
      <c r="E2376" s="67"/>
      <c r="F2376" s="67"/>
      <c r="G2376" s="67"/>
      <c r="H2376" s="67">
        <f>ROUND(+E2376+G2376,4)</f>
        <v>0</v>
      </c>
      <c r="I2376" s="67"/>
      <c r="J2376" s="67">
        <f>ROUND(+I2376-H2376,4)</f>
        <v>0</v>
      </c>
      <c r="K2376" s="67">
        <f>ROUND(IF(F2376="alluminio",0,I2376*1.5%),4)</f>
        <v>0</v>
      </c>
      <c r="L2376" s="67">
        <f>ROUND(IF(K2376&lt;J2376,K2376,0),4)</f>
        <v>0</v>
      </c>
      <c r="M2376" s="67">
        <f>ROUND(IF(J2376&gt;K2376,0,J2376),4)</f>
        <v>0</v>
      </c>
      <c r="N2376" s="67">
        <f>ROUND(+L2376*D2376,4)</f>
        <v>0</v>
      </c>
      <c r="O2376" s="67">
        <f>ROUND(IF(F2376="rame",0,+I2376*3%),4)</f>
        <v>0</v>
      </c>
      <c r="P2376" s="67">
        <f>ROUND(IF(O2376&lt;J2376,O2376,0),4)</f>
        <v>0</v>
      </c>
      <c r="Q2376" s="67">
        <f>ROUND(IF(J2376&gt;O2376,0,J2376),4)</f>
        <v>0</v>
      </c>
      <c r="R2376" s="67">
        <f>ROUND(+P2376*D2376,4)</f>
        <v>0</v>
      </c>
      <c r="S2376" s="67">
        <f>ROUND(IF(K2376=0,0,M2376*D2376),4)</f>
        <v>0</v>
      </c>
      <c r="T2376" s="67">
        <f>ROUND(+IF(K2376=0,Q2376*D2376,0),4)</f>
        <v>0</v>
      </c>
      <c r="U2376" s="67">
        <f>ROUND(+N2376+R2376+S2376+T2376,4)</f>
        <v>0</v>
      </c>
      <c r="V2376" s="67">
        <f>ROUND(IF(P2376=0,0,I2376-H2376-O2376)+IF(L2376=0,0,I2376-H2376-K2376),4)</f>
        <v>0</v>
      </c>
      <c r="W2376" s="67">
        <f>ROUND(+(V2376*60%)*D2376,4)</f>
        <v>0</v>
      </c>
      <c r="X2376" s="148">
        <f>ROUND(+U2376+W2376,4)</f>
        <v>0</v>
      </c>
      <c r="Y2376" s="68"/>
      <c r="Z2376" s="148">
        <f>ROUND(IF(X2376&gt;I2376,X2376,I2376),4)</f>
        <v>0</v>
      </c>
      <c r="AD2376" s="78">
        <f t="shared" si="52"/>
        <v>0</v>
      </c>
      <c r="AE2376" s="78">
        <f t="shared" si="53"/>
        <v>0</v>
      </c>
    </row>
    <row r="2377" spans="1:31" x14ac:dyDescent="0.2">
      <c r="A2377" s="66"/>
      <c r="B2377" s="66"/>
      <c r="C2377" s="66"/>
      <c r="D2377" s="144"/>
      <c r="E2377" s="67"/>
      <c r="F2377" s="67"/>
      <c r="G2377" s="67"/>
      <c r="H2377" s="67">
        <f>ROUND(+E2377+G2377,4)</f>
        <v>0</v>
      </c>
      <c r="I2377" s="67"/>
      <c r="J2377" s="67">
        <f>ROUND(+I2377-H2377,4)</f>
        <v>0</v>
      </c>
      <c r="K2377" s="67">
        <f>ROUND(IF(F2377="alluminio",0,I2377*1.5%),4)</f>
        <v>0</v>
      </c>
      <c r="L2377" s="67">
        <f>ROUND(IF(K2377&lt;J2377,K2377,0),4)</f>
        <v>0</v>
      </c>
      <c r="M2377" s="67">
        <f>ROUND(IF(J2377&gt;K2377,0,J2377),4)</f>
        <v>0</v>
      </c>
      <c r="N2377" s="67">
        <f>ROUND(+L2377*D2377,4)</f>
        <v>0</v>
      </c>
      <c r="O2377" s="67">
        <f>ROUND(IF(F2377="rame",0,+I2377*3%),4)</f>
        <v>0</v>
      </c>
      <c r="P2377" s="67">
        <f>ROUND(IF(O2377&lt;J2377,O2377,0),4)</f>
        <v>0</v>
      </c>
      <c r="Q2377" s="67">
        <f>ROUND(IF(J2377&gt;O2377,0,J2377),4)</f>
        <v>0</v>
      </c>
      <c r="R2377" s="67">
        <f>ROUND(+P2377*D2377,4)</f>
        <v>0</v>
      </c>
      <c r="S2377" s="67">
        <f>ROUND(IF(K2377=0,0,M2377*D2377),4)</f>
        <v>0</v>
      </c>
      <c r="T2377" s="67">
        <f>ROUND(+IF(K2377=0,Q2377*D2377,0),4)</f>
        <v>0</v>
      </c>
      <c r="U2377" s="67">
        <f>ROUND(+N2377+R2377+S2377+T2377,4)</f>
        <v>0</v>
      </c>
      <c r="V2377" s="67">
        <f>ROUND(IF(P2377=0,0,I2377-H2377-O2377)+IF(L2377=0,0,I2377-H2377-K2377),4)</f>
        <v>0</v>
      </c>
      <c r="W2377" s="67">
        <f>ROUND(+(V2377*60%)*D2377,4)</f>
        <v>0</v>
      </c>
      <c r="X2377" s="148">
        <f>ROUND(+U2377+W2377,4)</f>
        <v>0</v>
      </c>
      <c r="Y2377" s="68"/>
      <c r="Z2377" s="148">
        <f>ROUND(IF(X2377&gt;I2377,X2377,I2377),4)</f>
        <v>0</v>
      </c>
      <c r="AD2377" s="78">
        <f t="shared" si="52"/>
        <v>0</v>
      </c>
      <c r="AE2377" s="78">
        <f t="shared" si="53"/>
        <v>0</v>
      </c>
    </row>
    <row r="2378" spans="1:31" x14ac:dyDescent="0.2">
      <c r="A2378" s="66"/>
      <c r="B2378" s="66"/>
      <c r="C2378" s="66"/>
      <c r="D2378" s="144"/>
      <c r="E2378" s="67"/>
      <c r="F2378" s="67"/>
      <c r="G2378" s="67"/>
      <c r="H2378" s="67">
        <f>ROUND(+E2378+G2378,4)</f>
        <v>0</v>
      </c>
      <c r="I2378" s="67"/>
      <c r="J2378" s="67">
        <f>ROUND(+I2378-H2378,4)</f>
        <v>0</v>
      </c>
      <c r="K2378" s="67">
        <f>ROUND(IF(F2378="alluminio",0,I2378*1.5%),4)</f>
        <v>0</v>
      </c>
      <c r="L2378" s="67">
        <f>ROUND(IF(K2378&lt;J2378,K2378,0),4)</f>
        <v>0</v>
      </c>
      <c r="M2378" s="67">
        <f>ROUND(IF(J2378&gt;K2378,0,J2378),4)</f>
        <v>0</v>
      </c>
      <c r="N2378" s="67">
        <f>ROUND(+L2378*D2378,4)</f>
        <v>0</v>
      </c>
      <c r="O2378" s="67">
        <f>ROUND(IF(F2378="rame",0,+I2378*3%),4)</f>
        <v>0</v>
      </c>
      <c r="P2378" s="67">
        <f>ROUND(IF(O2378&lt;J2378,O2378,0),4)</f>
        <v>0</v>
      </c>
      <c r="Q2378" s="67">
        <f>ROUND(IF(J2378&gt;O2378,0,J2378),4)</f>
        <v>0</v>
      </c>
      <c r="R2378" s="67">
        <f>ROUND(+P2378*D2378,4)</f>
        <v>0</v>
      </c>
      <c r="S2378" s="67">
        <f>ROUND(IF(K2378=0,0,M2378*D2378),4)</f>
        <v>0</v>
      </c>
      <c r="T2378" s="67">
        <f>ROUND(+IF(K2378=0,Q2378*D2378,0),4)</f>
        <v>0</v>
      </c>
      <c r="U2378" s="67">
        <f>ROUND(+N2378+R2378+S2378+T2378,4)</f>
        <v>0</v>
      </c>
      <c r="V2378" s="67">
        <f>ROUND(IF(P2378=0,0,I2378-H2378-O2378)+IF(L2378=0,0,I2378-H2378-K2378),4)</f>
        <v>0</v>
      </c>
      <c r="W2378" s="67">
        <f>ROUND(+(V2378*60%)*D2378,4)</f>
        <v>0</v>
      </c>
      <c r="X2378" s="148">
        <f>ROUND(+U2378+W2378,4)</f>
        <v>0</v>
      </c>
      <c r="Y2378" s="68"/>
      <c r="Z2378" s="148">
        <f>ROUND(IF(X2378&gt;I2378,X2378,I2378),4)</f>
        <v>0</v>
      </c>
      <c r="AD2378" s="78">
        <f t="shared" si="52"/>
        <v>0</v>
      </c>
      <c r="AE2378" s="78">
        <f t="shared" si="53"/>
        <v>0</v>
      </c>
    </row>
    <row r="2379" spans="1:31" x14ac:dyDescent="0.2">
      <c r="A2379" s="66"/>
      <c r="B2379" s="66"/>
      <c r="C2379" s="66"/>
      <c r="D2379" s="144"/>
      <c r="E2379" s="67"/>
      <c r="F2379" s="67"/>
      <c r="G2379" s="67"/>
      <c r="H2379" s="67">
        <f>ROUND(+E2379+G2379,4)</f>
        <v>0</v>
      </c>
      <c r="I2379" s="67"/>
      <c r="J2379" s="67">
        <f>ROUND(+I2379-H2379,4)</f>
        <v>0</v>
      </c>
      <c r="K2379" s="67">
        <f>ROUND(IF(F2379="alluminio",0,I2379*1.5%),4)</f>
        <v>0</v>
      </c>
      <c r="L2379" s="67">
        <f>ROUND(IF(K2379&lt;J2379,K2379,0),4)</f>
        <v>0</v>
      </c>
      <c r="M2379" s="67">
        <f>ROUND(IF(J2379&gt;K2379,0,J2379),4)</f>
        <v>0</v>
      </c>
      <c r="N2379" s="67">
        <f>ROUND(+L2379*D2379,4)</f>
        <v>0</v>
      </c>
      <c r="O2379" s="67">
        <f>ROUND(IF(F2379="rame",0,+I2379*3%),4)</f>
        <v>0</v>
      </c>
      <c r="P2379" s="67">
        <f>ROUND(IF(O2379&lt;J2379,O2379,0),4)</f>
        <v>0</v>
      </c>
      <c r="Q2379" s="67">
        <f>ROUND(IF(J2379&gt;O2379,0,J2379),4)</f>
        <v>0</v>
      </c>
      <c r="R2379" s="67">
        <f>ROUND(+P2379*D2379,4)</f>
        <v>0</v>
      </c>
      <c r="S2379" s="67">
        <f>ROUND(IF(K2379=0,0,M2379*D2379),4)</f>
        <v>0</v>
      </c>
      <c r="T2379" s="67">
        <f>ROUND(+IF(K2379=0,Q2379*D2379,0),4)</f>
        <v>0</v>
      </c>
      <c r="U2379" s="67">
        <f>ROUND(+N2379+R2379+S2379+T2379,4)</f>
        <v>0</v>
      </c>
      <c r="V2379" s="67">
        <f>ROUND(IF(P2379=0,0,I2379-H2379-O2379)+IF(L2379=0,0,I2379-H2379-K2379),4)</f>
        <v>0</v>
      </c>
      <c r="W2379" s="67">
        <f>ROUND(+(V2379*60%)*D2379,4)</f>
        <v>0</v>
      </c>
      <c r="X2379" s="148">
        <f>ROUND(+U2379+W2379,4)</f>
        <v>0</v>
      </c>
      <c r="Y2379" s="68"/>
      <c r="Z2379" s="148">
        <f>ROUND(IF(X2379&gt;I2379,X2379,I2379),4)</f>
        <v>0</v>
      </c>
      <c r="AD2379" s="78">
        <f t="shared" si="52"/>
        <v>0</v>
      </c>
      <c r="AE2379" s="78">
        <f t="shared" si="53"/>
        <v>0</v>
      </c>
    </row>
    <row r="2380" spans="1:31" x14ac:dyDescent="0.2">
      <c r="A2380" s="66"/>
      <c r="B2380" s="66"/>
      <c r="C2380" s="66"/>
      <c r="D2380" s="144"/>
      <c r="E2380" s="67"/>
      <c r="F2380" s="67"/>
      <c r="G2380" s="67"/>
      <c r="H2380" s="67">
        <f>ROUND(+E2380+G2380,4)</f>
        <v>0</v>
      </c>
      <c r="I2380" s="67"/>
      <c r="J2380" s="67">
        <f>ROUND(+I2380-H2380,4)</f>
        <v>0</v>
      </c>
      <c r="K2380" s="67">
        <f>ROUND(IF(F2380="alluminio",0,I2380*1.5%),4)</f>
        <v>0</v>
      </c>
      <c r="L2380" s="67">
        <f>ROUND(IF(K2380&lt;J2380,K2380,0),4)</f>
        <v>0</v>
      </c>
      <c r="M2380" s="67">
        <f>ROUND(IF(J2380&gt;K2380,0,J2380),4)</f>
        <v>0</v>
      </c>
      <c r="N2380" s="67">
        <f>ROUND(+L2380*D2380,4)</f>
        <v>0</v>
      </c>
      <c r="O2380" s="67">
        <f>ROUND(IF(F2380="rame",0,+I2380*3%),4)</f>
        <v>0</v>
      </c>
      <c r="P2380" s="67">
        <f>ROUND(IF(O2380&lt;J2380,O2380,0),4)</f>
        <v>0</v>
      </c>
      <c r="Q2380" s="67">
        <f>ROUND(IF(J2380&gt;O2380,0,J2380),4)</f>
        <v>0</v>
      </c>
      <c r="R2380" s="67">
        <f>ROUND(+P2380*D2380,4)</f>
        <v>0</v>
      </c>
      <c r="S2380" s="67">
        <f>ROUND(IF(K2380=0,0,M2380*D2380),4)</f>
        <v>0</v>
      </c>
      <c r="T2380" s="67">
        <f>ROUND(+IF(K2380=0,Q2380*D2380,0),4)</f>
        <v>0</v>
      </c>
      <c r="U2380" s="67">
        <f>ROUND(+N2380+R2380+S2380+T2380,4)</f>
        <v>0</v>
      </c>
      <c r="V2380" s="67">
        <f>ROUND(IF(P2380=0,0,I2380-H2380-O2380)+IF(L2380=0,0,I2380-H2380-K2380),4)</f>
        <v>0</v>
      </c>
      <c r="W2380" s="67">
        <f>ROUND(+(V2380*60%)*D2380,4)</f>
        <v>0</v>
      </c>
      <c r="X2380" s="148">
        <f>ROUND(+U2380+W2380,4)</f>
        <v>0</v>
      </c>
      <c r="Y2380" s="68"/>
      <c r="Z2380" s="148">
        <f>ROUND(IF(X2380&gt;I2380,X2380,I2380),4)</f>
        <v>0</v>
      </c>
      <c r="AD2380" s="78">
        <f t="shared" si="52"/>
        <v>0</v>
      </c>
      <c r="AE2380" s="78">
        <f t="shared" si="53"/>
        <v>0</v>
      </c>
    </row>
    <row r="2381" spans="1:31" x14ac:dyDescent="0.2">
      <c r="A2381" s="66"/>
      <c r="B2381" s="66"/>
      <c r="C2381" s="66"/>
      <c r="D2381" s="144"/>
      <c r="E2381" s="67"/>
      <c r="F2381" s="67"/>
      <c r="G2381" s="67"/>
      <c r="H2381" s="67">
        <f>ROUND(+E2381+G2381,4)</f>
        <v>0</v>
      </c>
      <c r="I2381" s="67"/>
      <c r="J2381" s="67">
        <f>ROUND(+I2381-H2381,4)</f>
        <v>0</v>
      </c>
      <c r="K2381" s="67">
        <f>ROUND(IF(F2381="alluminio",0,I2381*1.5%),4)</f>
        <v>0</v>
      </c>
      <c r="L2381" s="67">
        <f>ROUND(IF(K2381&lt;J2381,K2381,0),4)</f>
        <v>0</v>
      </c>
      <c r="M2381" s="67">
        <f>ROUND(IF(J2381&gt;K2381,0,J2381),4)</f>
        <v>0</v>
      </c>
      <c r="N2381" s="67">
        <f>ROUND(+L2381*D2381,4)</f>
        <v>0</v>
      </c>
      <c r="O2381" s="67">
        <f>ROUND(IF(F2381="rame",0,+I2381*3%),4)</f>
        <v>0</v>
      </c>
      <c r="P2381" s="67">
        <f>ROUND(IF(O2381&lt;J2381,O2381,0),4)</f>
        <v>0</v>
      </c>
      <c r="Q2381" s="67">
        <f>ROUND(IF(J2381&gt;O2381,0,J2381),4)</f>
        <v>0</v>
      </c>
      <c r="R2381" s="67">
        <f>ROUND(+P2381*D2381,4)</f>
        <v>0</v>
      </c>
      <c r="S2381" s="67">
        <f>ROUND(IF(K2381=0,0,M2381*D2381),4)</f>
        <v>0</v>
      </c>
      <c r="T2381" s="67">
        <f>ROUND(+IF(K2381=0,Q2381*D2381,0),4)</f>
        <v>0</v>
      </c>
      <c r="U2381" s="67">
        <f>ROUND(+N2381+R2381+S2381+T2381,4)</f>
        <v>0</v>
      </c>
      <c r="V2381" s="67">
        <f>ROUND(IF(P2381=0,0,I2381-H2381-O2381)+IF(L2381=0,0,I2381-H2381-K2381),4)</f>
        <v>0</v>
      </c>
      <c r="W2381" s="67">
        <f>ROUND(+(V2381*60%)*D2381,4)</f>
        <v>0</v>
      </c>
      <c r="X2381" s="148">
        <f>ROUND(+U2381+W2381,4)</f>
        <v>0</v>
      </c>
      <c r="Y2381" s="68"/>
      <c r="Z2381" s="148">
        <f>ROUND(IF(X2381&gt;I2381,X2381,I2381),4)</f>
        <v>0</v>
      </c>
      <c r="AD2381" s="78">
        <f t="shared" si="52"/>
        <v>0</v>
      </c>
      <c r="AE2381" s="78">
        <f t="shared" si="53"/>
        <v>0</v>
      </c>
    </row>
    <row r="2382" spans="1:31" x14ac:dyDescent="0.2">
      <c r="A2382" s="66"/>
      <c r="B2382" s="66"/>
      <c r="C2382" s="66"/>
      <c r="D2382" s="144"/>
      <c r="E2382" s="67"/>
      <c r="F2382" s="67"/>
      <c r="G2382" s="67"/>
      <c r="H2382" s="67">
        <f>ROUND(+E2382+G2382,4)</f>
        <v>0</v>
      </c>
      <c r="I2382" s="67"/>
      <c r="J2382" s="67">
        <f>ROUND(+I2382-H2382,4)</f>
        <v>0</v>
      </c>
      <c r="K2382" s="67">
        <f>ROUND(IF(F2382="alluminio",0,I2382*1.5%),4)</f>
        <v>0</v>
      </c>
      <c r="L2382" s="67">
        <f>ROUND(IF(K2382&lt;J2382,K2382,0),4)</f>
        <v>0</v>
      </c>
      <c r="M2382" s="67">
        <f>ROUND(IF(J2382&gt;K2382,0,J2382),4)</f>
        <v>0</v>
      </c>
      <c r="N2382" s="67">
        <f>ROUND(+L2382*D2382,4)</f>
        <v>0</v>
      </c>
      <c r="O2382" s="67">
        <f>ROUND(IF(F2382="rame",0,+I2382*3%),4)</f>
        <v>0</v>
      </c>
      <c r="P2382" s="67">
        <f>ROUND(IF(O2382&lt;J2382,O2382,0),4)</f>
        <v>0</v>
      </c>
      <c r="Q2382" s="67">
        <f>ROUND(IF(J2382&gt;O2382,0,J2382),4)</f>
        <v>0</v>
      </c>
      <c r="R2382" s="67">
        <f>ROUND(+P2382*D2382,4)</f>
        <v>0</v>
      </c>
      <c r="S2382" s="67">
        <f>ROUND(IF(K2382=0,0,M2382*D2382),4)</f>
        <v>0</v>
      </c>
      <c r="T2382" s="67">
        <f>ROUND(+IF(K2382=0,Q2382*D2382,0),4)</f>
        <v>0</v>
      </c>
      <c r="U2382" s="67">
        <f>ROUND(+N2382+R2382+S2382+T2382,4)</f>
        <v>0</v>
      </c>
      <c r="V2382" s="67">
        <f>ROUND(IF(P2382=0,0,I2382-H2382-O2382)+IF(L2382=0,0,I2382-H2382-K2382),4)</f>
        <v>0</v>
      </c>
      <c r="W2382" s="67">
        <f>ROUND(+(V2382*60%)*D2382,4)</f>
        <v>0</v>
      </c>
      <c r="X2382" s="148">
        <f>ROUND(+U2382+W2382,4)</f>
        <v>0</v>
      </c>
      <c r="Y2382" s="68"/>
      <c r="Z2382" s="148">
        <f>ROUND(IF(X2382&gt;I2382,X2382,I2382),4)</f>
        <v>0</v>
      </c>
      <c r="AD2382" s="78">
        <f t="shared" si="52"/>
        <v>0</v>
      </c>
      <c r="AE2382" s="78">
        <f t="shared" si="53"/>
        <v>0</v>
      </c>
    </row>
    <row r="2383" spans="1:31" x14ac:dyDescent="0.2">
      <c r="A2383" s="66"/>
      <c r="B2383" s="66"/>
      <c r="C2383" s="66"/>
      <c r="D2383" s="144"/>
      <c r="E2383" s="67"/>
      <c r="F2383" s="67"/>
      <c r="G2383" s="67"/>
      <c r="H2383" s="67">
        <f>ROUND(+E2383+G2383,4)</f>
        <v>0</v>
      </c>
      <c r="I2383" s="67"/>
      <c r="J2383" s="67">
        <f>ROUND(+I2383-H2383,4)</f>
        <v>0</v>
      </c>
      <c r="K2383" s="67">
        <f>ROUND(IF(F2383="alluminio",0,I2383*1.5%),4)</f>
        <v>0</v>
      </c>
      <c r="L2383" s="67">
        <f>ROUND(IF(K2383&lt;J2383,K2383,0),4)</f>
        <v>0</v>
      </c>
      <c r="M2383" s="67">
        <f>ROUND(IF(J2383&gt;K2383,0,J2383),4)</f>
        <v>0</v>
      </c>
      <c r="N2383" s="67">
        <f>ROUND(+L2383*D2383,4)</f>
        <v>0</v>
      </c>
      <c r="O2383" s="67">
        <f>ROUND(IF(F2383="rame",0,+I2383*3%),4)</f>
        <v>0</v>
      </c>
      <c r="P2383" s="67">
        <f>ROUND(IF(O2383&lt;J2383,O2383,0),4)</f>
        <v>0</v>
      </c>
      <c r="Q2383" s="67">
        <f>ROUND(IF(J2383&gt;O2383,0,J2383),4)</f>
        <v>0</v>
      </c>
      <c r="R2383" s="67">
        <f>ROUND(+P2383*D2383,4)</f>
        <v>0</v>
      </c>
      <c r="S2383" s="67">
        <f>ROUND(IF(K2383=0,0,M2383*D2383),4)</f>
        <v>0</v>
      </c>
      <c r="T2383" s="67">
        <f>ROUND(+IF(K2383=0,Q2383*D2383,0),4)</f>
        <v>0</v>
      </c>
      <c r="U2383" s="67">
        <f>ROUND(+N2383+R2383+S2383+T2383,4)</f>
        <v>0</v>
      </c>
      <c r="V2383" s="67">
        <f>ROUND(IF(P2383=0,0,I2383-H2383-O2383)+IF(L2383=0,0,I2383-H2383-K2383),4)</f>
        <v>0</v>
      </c>
      <c r="W2383" s="67">
        <f>ROUND(+(V2383*60%)*D2383,4)</f>
        <v>0</v>
      </c>
      <c r="X2383" s="148">
        <f>ROUND(+U2383+W2383,4)</f>
        <v>0</v>
      </c>
      <c r="Y2383" s="68"/>
      <c r="Z2383" s="148">
        <f>ROUND(IF(X2383&gt;I2383,X2383,I2383),4)</f>
        <v>0</v>
      </c>
      <c r="AD2383" s="78">
        <f t="shared" si="52"/>
        <v>0</v>
      </c>
      <c r="AE2383" s="78">
        <f t="shared" si="53"/>
        <v>0</v>
      </c>
    </row>
    <row r="2384" spans="1:31" x14ac:dyDescent="0.2">
      <c r="A2384" s="66"/>
      <c r="B2384" s="66"/>
      <c r="C2384" s="66"/>
      <c r="D2384" s="144"/>
      <c r="E2384" s="67"/>
      <c r="F2384" s="67"/>
      <c r="G2384" s="67"/>
      <c r="H2384" s="67">
        <f>ROUND(+E2384+G2384,4)</f>
        <v>0</v>
      </c>
      <c r="I2384" s="67"/>
      <c r="J2384" s="67">
        <f>ROUND(+I2384-H2384,4)</f>
        <v>0</v>
      </c>
      <c r="K2384" s="67">
        <f>ROUND(IF(F2384="alluminio",0,I2384*1.5%),4)</f>
        <v>0</v>
      </c>
      <c r="L2384" s="67">
        <f>ROUND(IF(K2384&lt;J2384,K2384,0),4)</f>
        <v>0</v>
      </c>
      <c r="M2384" s="67">
        <f>ROUND(IF(J2384&gt;K2384,0,J2384),4)</f>
        <v>0</v>
      </c>
      <c r="N2384" s="67">
        <f>ROUND(+L2384*D2384,4)</f>
        <v>0</v>
      </c>
      <c r="O2384" s="67">
        <f>ROUND(IF(F2384="rame",0,+I2384*3%),4)</f>
        <v>0</v>
      </c>
      <c r="P2384" s="67">
        <f>ROUND(IF(O2384&lt;J2384,O2384,0),4)</f>
        <v>0</v>
      </c>
      <c r="Q2384" s="67">
        <f>ROUND(IF(J2384&gt;O2384,0,J2384),4)</f>
        <v>0</v>
      </c>
      <c r="R2384" s="67">
        <f>ROUND(+P2384*D2384,4)</f>
        <v>0</v>
      </c>
      <c r="S2384" s="67">
        <f>ROUND(IF(K2384=0,0,M2384*D2384),4)</f>
        <v>0</v>
      </c>
      <c r="T2384" s="67">
        <f>ROUND(+IF(K2384=0,Q2384*D2384,0),4)</f>
        <v>0</v>
      </c>
      <c r="U2384" s="67">
        <f>ROUND(+N2384+R2384+S2384+T2384,4)</f>
        <v>0</v>
      </c>
      <c r="V2384" s="67">
        <f>ROUND(IF(P2384=0,0,I2384-H2384-O2384)+IF(L2384=0,0,I2384-H2384-K2384),4)</f>
        <v>0</v>
      </c>
      <c r="W2384" s="67">
        <f>ROUND(+(V2384*60%)*D2384,4)</f>
        <v>0</v>
      </c>
      <c r="X2384" s="148">
        <f>ROUND(+U2384+W2384,4)</f>
        <v>0</v>
      </c>
      <c r="Y2384" s="68"/>
      <c r="Z2384" s="148">
        <f>ROUND(IF(X2384&gt;I2384,X2384,I2384),4)</f>
        <v>0</v>
      </c>
      <c r="AD2384" s="78">
        <f t="shared" si="52"/>
        <v>0</v>
      </c>
      <c r="AE2384" s="78">
        <f t="shared" si="53"/>
        <v>0</v>
      </c>
    </row>
    <row r="2385" spans="1:31" x14ac:dyDescent="0.2">
      <c r="A2385" s="66"/>
      <c r="B2385" s="66"/>
      <c r="C2385" s="66"/>
      <c r="D2385" s="144"/>
      <c r="E2385" s="67"/>
      <c r="F2385" s="67"/>
      <c r="G2385" s="67"/>
      <c r="H2385" s="67">
        <f>ROUND(+E2385+G2385,4)</f>
        <v>0</v>
      </c>
      <c r="I2385" s="67"/>
      <c r="J2385" s="67">
        <f>ROUND(+I2385-H2385,4)</f>
        <v>0</v>
      </c>
      <c r="K2385" s="67">
        <f>ROUND(IF(F2385="alluminio",0,I2385*1.5%),4)</f>
        <v>0</v>
      </c>
      <c r="L2385" s="67">
        <f>ROUND(IF(K2385&lt;J2385,K2385,0),4)</f>
        <v>0</v>
      </c>
      <c r="M2385" s="67">
        <f>ROUND(IF(J2385&gt;K2385,0,J2385),4)</f>
        <v>0</v>
      </c>
      <c r="N2385" s="67">
        <f>ROUND(+L2385*D2385,4)</f>
        <v>0</v>
      </c>
      <c r="O2385" s="67">
        <f>ROUND(IF(F2385="rame",0,+I2385*3%),4)</f>
        <v>0</v>
      </c>
      <c r="P2385" s="67">
        <f>ROUND(IF(O2385&lt;J2385,O2385,0),4)</f>
        <v>0</v>
      </c>
      <c r="Q2385" s="67">
        <f>ROUND(IF(J2385&gt;O2385,0,J2385),4)</f>
        <v>0</v>
      </c>
      <c r="R2385" s="67">
        <f>ROUND(+P2385*D2385,4)</f>
        <v>0</v>
      </c>
      <c r="S2385" s="67">
        <f>ROUND(IF(K2385=0,0,M2385*D2385),4)</f>
        <v>0</v>
      </c>
      <c r="T2385" s="67">
        <f>ROUND(+IF(K2385=0,Q2385*D2385,0),4)</f>
        <v>0</v>
      </c>
      <c r="U2385" s="67">
        <f>ROUND(+N2385+R2385+S2385+T2385,4)</f>
        <v>0</v>
      </c>
      <c r="V2385" s="67">
        <f>ROUND(IF(P2385=0,0,I2385-H2385-O2385)+IF(L2385=0,0,I2385-H2385-K2385),4)</f>
        <v>0</v>
      </c>
      <c r="W2385" s="67">
        <f>ROUND(+(V2385*60%)*D2385,4)</f>
        <v>0</v>
      </c>
      <c r="X2385" s="148">
        <f>ROUND(+U2385+W2385,4)</f>
        <v>0</v>
      </c>
      <c r="Y2385" s="68"/>
      <c r="Z2385" s="148">
        <f>ROUND(IF(X2385&gt;I2385,X2385,I2385),4)</f>
        <v>0</v>
      </c>
      <c r="AD2385" s="78">
        <f t="shared" si="52"/>
        <v>0</v>
      </c>
      <c r="AE2385" s="78">
        <f t="shared" si="53"/>
        <v>0</v>
      </c>
    </row>
    <row r="2386" spans="1:31" x14ac:dyDescent="0.2">
      <c r="A2386" s="66"/>
      <c r="B2386" s="66"/>
      <c r="C2386" s="66"/>
      <c r="D2386" s="144"/>
      <c r="E2386" s="67"/>
      <c r="F2386" s="67"/>
      <c r="G2386" s="67"/>
      <c r="H2386" s="67">
        <f>ROUND(+E2386+G2386,4)</f>
        <v>0</v>
      </c>
      <c r="I2386" s="67"/>
      <c r="J2386" s="67">
        <f>ROUND(+I2386-H2386,4)</f>
        <v>0</v>
      </c>
      <c r="K2386" s="67">
        <f>ROUND(IF(F2386="alluminio",0,I2386*1.5%),4)</f>
        <v>0</v>
      </c>
      <c r="L2386" s="67">
        <f>ROUND(IF(K2386&lt;J2386,K2386,0),4)</f>
        <v>0</v>
      </c>
      <c r="M2386" s="67">
        <f>ROUND(IF(J2386&gt;K2386,0,J2386),4)</f>
        <v>0</v>
      </c>
      <c r="N2386" s="67">
        <f>ROUND(+L2386*D2386,4)</f>
        <v>0</v>
      </c>
      <c r="O2386" s="67">
        <f>ROUND(IF(F2386="rame",0,+I2386*3%),4)</f>
        <v>0</v>
      </c>
      <c r="P2386" s="67">
        <f>ROUND(IF(O2386&lt;J2386,O2386,0),4)</f>
        <v>0</v>
      </c>
      <c r="Q2386" s="67">
        <f>ROUND(IF(J2386&gt;O2386,0,J2386),4)</f>
        <v>0</v>
      </c>
      <c r="R2386" s="67">
        <f>ROUND(+P2386*D2386,4)</f>
        <v>0</v>
      </c>
      <c r="S2386" s="67">
        <f>ROUND(IF(K2386=0,0,M2386*D2386),4)</f>
        <v>0</v>
      </c>
      <c r="T2386" s="67">
        <f>ROUND(+IF(K2386=0,Q2386*D2386,0),4)</f>
        <v>0</v>
      </c>
      <c r="U2386" s="67">
        <f>ROUND(+N2386+R2386+S2386+T2386,4)</f>
        <v>0</v>
      </c>
      <c r="V2386" s="67">
        <f>ROUND(IF(P2386=0,0,I2386-H2386-O2386)+IF(L2386=0,0,I2386-H2386-K2386),4)</f>
        <v>0</v>
      </c>
      <c r="W2386" s="67">
        <f>ROUND(+(V2386*60%)*D2386,4)</f>
        <v>0</v>
      </c>
      <c r="X2386" s="148">
        <f>ROUND(+U2386+W2386,4)</f>
        <v>0</v>
      </c>
      <c r="Y2386" s="68"/>
      <c r="Z2386" s="148">
        <f>ROUND(IF(X2386&gt;I2386,X2386,I2386),4)</f>
        <v>0</v>
      </c>
      <c r="AD2386" s="78">
        <f t="shared" si="52"/>
        <v>0</v>
      </c>
      <c r="AE2386" s="78">
        <f t="shared" si="53"/>
        <v>0</v>
      </c>
    </row>
    <row r="2387" spans="1:31" x14ac:dyDescent="0.2">
      <c r="A2387" s="66"/>
      <c r="B2387" s="66"/>
      <c r="C2387" s="66"/>
      <c r="D2387" s="144"/>
      <c r="E2387" s="67"/>
      <c r="F2387" s="67"/>
      <c r="G2387" s="67"/>
      <c r="H2387" s="67">
        <f>ROUND(+E2387+G2387,4)</f>
        <v>0</v>
      </c>
      <c r="I2387" s="67"/>
      <c r="J2387" s="67">
        <f>ROUND(+I2387-H2387,4)</f>
        <v>0</v>
      </c>
      <c r="K2387" s="67">
        <f>ROUND(IF(F2387="alluminio",0,I2387*1.5%),4)</f>
        <v>0</v>
      </c>
      <c r="L2387" s="67">
        <f>ROUND(IF(K2387&lt;J2387,K2387,0),4)</f>
        <v>0</v>
      </c>
      <c r="M2387" s="67">
        <f>ROUND(IF(J2387&gt;K2387,0,J2387),4)</f>
        <v>0</v>
      </c>
      <c r="N2387" s="67">
        <f>ROUND(+L2387*D2387,4)</f>
        <v>0</v>
      </c>
      <c r="O2387" s="67">
        <f>ROUND(IF(F2387="rame",0,+I2387*3%),4)</f>
        <v>0</v>
      </c>
      <c r="P2387" s="67">
        <f>ROUND(IF(O2387&lt;J2387,O2387,0),4)</f>
        <v>0</v>
      </c>
      <c r="Q2387" s="67">
        <f>ROUND(IF(J2387&gt;O2387,0,J2387),4)</f>
        <v>0</v>
      </c>
      <c r="R2387" s="67">
        <f>ROUND(+P2387*D2387,4)</f>
        <v>0</v>
      </c>
      <c r="S2387" s="67">
        <f>ROUND(IF(K2387=0,0,M2387*D2387),4)</f>
        <v>0</v>
      </c>
      <c r="T2387" s="67">
        <f>ROUND(+IF(K2387=0,Q2387*D2387,0),4)</f>
        <v>0</v>
      </c>
      <c r="U2387" s="67">
        <f>ROUND(+N2387+R2387+S2387+T2387,4)</f>
        <v>0</v>
      </c>
      <c r="V2387" s="67">
        <f>ROUND(IF(P2387=0,0,I2387-H2387-O2387)+IF(L2387=0,0,I2387-H2387-K2387),4)</f>
        <v>0</v>
      </c>
      <c r="W2387" s="67">
        <f>ROUND(+(V2387*60%)*D2387,4)</f>
        <v>0</v>
      </c>
      <c r="X2387" s="148">
        <f>ROUND(+U2387+W2387,4)</f>
        <v>0</v>
      </c>
      <c r="Y2387" s="68"/>
      <c r="Z2387" s="148">
        <f>ROUND(IF(X2387&gt;I2387,X2387,I2387),4)</f>
        <v>0</v>
      </c>
      <c r="AD2387" s="78">
        <f t="shared" si="52"/>
        <v>0</v>
      </c>
      <c r="AE2387" s="78">
        <f t="shared" si="53"/>
        <v>0</v>
      </c>
    </row>
    <row r="2388" spans="1:31" x14ac:dyDescent="0.2">
      <c r="A2388" s="66"/>
      <c r="B2388" s="66"/>
      <c r="C2388" s="66"/>
      <c r="D2388" s="144"/>
      <c r="E2388" s="67"/>
      <c r="F2388" s="67"/>
      <c r="G2388" s="67"/>
      <c r="H2388" s="67">
        <f>ROUND(+E2388+G2388,4)</f>
        <v>0</v>
      </c>
      <c r="I2388" s="67"/>
      <c r="J2388" s="67">
        <f>ROUND(+I2388-H2388,4)</f>
        <v>0</v>
      </c>
      <c r="K2388" s="67">
        <f>ROUND(IF(F2388="alluminio",0,I2388*1.5%),4)</f>
        <v>0</v>
      </c>
      <c r="L2388" s="67">
        <f>ROUND(IF(K2388&lt;J2388,K2388,0),4)</f>
        <v>0</v>
      </c>
      <c r="M2388" s="67">
        <f>ROUND(IF(J2388&gt;K2388,0,J2388),4)</f>
        <v>0</v>
      </c>
      <c r="N2388" s="67">
        <f>ROUND(+L2388*D2388,4)</f>
        <v>0</v>
      </c>
      <c r="O2388" s="67">
        <f>ROUND(IF(F2388="rame",0,+I2388*3%),4)</f>
        <v>0</v>
      </c>
      <c r="P2388" s="67">
        <f>ROUND(IF(O2388&lt;J2388,O2388,0),4)</f>
        <v>0</v>
      </c>
      <c r="Q2388" s="67">
        <f>ROUND(IF(J2388&gt;O2388,0,J2388),4)</f>
        <v>0</v>
      </c>
      <c r="R2388" s="67">
        <f>ROUND(+P2388*D2388,4)</f>
        <v>0</v>
      </c>
      <c r="S2388" s="67">
        <f>ROUND(IF(K2388=0,0,M2388*D2388),4)</f>
        <v>0</v>
      </c>
      <c r="T2388" s="67">
        <f>ROUND(+IF(K2388=0,Q2388*D2388,0),4)</f>
        <v>0</v>
      </c>
      <c r="U2388" s="67">
        <f>ROUND(+N2388+R2388+S2388+T2388,4)</f>
        <v>0</v>
      </c>
      <c r="V2388" s="67">
        <f>ROUND(IF(P2388=0,0,I2388-H2388-O2388)+IF(L2388=0,0,I2388-H2388-K2388),4)</f>
        <v>0</v>
      </c>
      <c r="W2388" s="67">
        <f>ROUND(+(V2388*60%)*D2388,4)</f>
        <v>0</v>
      </c>
      <c r="X2388" s="148">
        <f>ROUND(+U2388+W2388,4)</f>
        <v>0</v>
      </c>
      <c r="Y2388" s="68"/>
      <c r="Z2388" s="148">
        <f>ROUND(IF(X2388&gt;I2388,X2388,I2388),4)</f>
        <v>0</v>
      </c>
      <c r="AD2388" s="78">
        <f t="shared" si="52"/>
        <v>0</v>
      </c>
      <c r="AE2388" s="78">
        <f t="shared" si="53"/>
        <v>0</v>
      </c>
    </row>
    <row r="2389" spans="1:31" x14ac:dyDescent="0.2">
      <c r="A2389" s="66"/>
      <c r="B2389" s="66"/>
      <c r="C2389" s="66"/>
      <c r="D2389" s="144"/>
      <c r="E2389" s="67"/>
      <c r="F2389" s="67"/>
      <c r="G2389" s="67"/>
      <c r="H2389" s="67">
        <f>ROUND(+E2389+G2389,4)</f>
        <v>0</v>
      </c>
      <c r="I2389" s="67"/>
      <c r="J2389" s="67">
        <f>ROUND(+I2389-H2389,4)</f>
        <v>0</v>
      </c>
      <c r="K2389" s="67">
        <f>ROUND(IF(F2389="alluminio",0,I2389*1.5%),4)</f>
        <v>0</v>
      </c>
      <c r="L2389" s="67">
        <f>ROUND(IF(K2389&lt;J2389,K2389,0),4)</f>
        <v>0</v>
      </c>
      <c r="M2389" s="67">
        <f>ROUND(IF(J2389&gt;K2389,0,J2389),4)</f>
        <v>0</v>
      </c>
      <c r="N2389" s="67">
        <f>ROUND(+L2389*D2389,4)</f>
        <v>0</v>
      </c>
      <c r="O2389" s="67">
        <f>ROUND(IF(F2389="rame",0,+I2389*3%),4)</f>
        <v>0</v>
      </c>
      <c r="P2389" s="67">
        <f>ROUND(IF(O2389&lt;J2389,O2389,0),4)</f>
        <v>0</v>
      </c>
      <c r="Q2389" s="67">
        <f>ROUND(IF(J2389&gt;O2389,0,J2389),4)</f>
        <v>0</v>
      </c>
      <c r="R2389" s="67">
        <f>ROUND(+P2389*D2389,4)</f>
        <v>0</v>
      </c>
      <c r="S2389" s="67">
        <f>ROUND(IF(K2389=0,0,M2389*D2389),4)</f>
        <v>0</v>
      </c>
      <c r="T2389" s="67">
        <f>ROUND(+IF(K2389=0,Q2389*D2389,0),4)</f>
        <v>0</v>
      </c>
      <c r="U2389" s="67">
        <f>ROUND(+N2389+R2389+S2389+T2389,4)</f>
        <v>0</v>
      </c>
      <c r="V2389" s="67">
        <f>ROUND(IF(P2389=0,0,I2389-H2389-O2389)+IF(L2389=0,0,I2389-H2389-K2389),4)</f>
        <v>0</v>
      </c>
      <c r="W2389" s="67">
        <f>ROUND(+(V2389*60%)*D2389,4)</f>
        <v>0</v>
      </c>
      <c r="X2389" s="148">
        <f>ROUND(+U2389+W2389,4)</f>
        <v>0</v>
      </c>
      <c r="Y2389" s="68"/>
      <c r="Z2389" s="148">
        <f>ROUND(IF(X2389&gt;I2389,X2389,I2389),4)</f>
        <v>0</v>
      </c>
      <c r="AD2389" s="78">
        <f t="shared" si="52"/>
        <v>0</v>
      </c>
      <c r="AE2389" s="78">
        <f t="shared" si="53"/>
        <v>0</v>
      </c>
    </row>
    <row r="2390" spans="1:31" x14ac:dyDescent="0.2">
      <c r="A2390" s="66"/>
      <c r="B2390" s="66"/>
      <c r="C2390" s="66"/>
      <c r="D2390" s="144"/>
      <c r="E2390" s="67"/>
      <c r="F2390" s="67"/>
      <c r="G2390" s="67"/>
      <c r="H2390" s="67">
        <f>ROUND(+E2390+G2390,4)</f>
        <v>0</v>
      </c>
      <c r="I2390" s="67"/>
      <c r="J2390" s="67">
        <f>ROUND(+I2390-H2390,4)</f>
        <v>0</v>
      </c>
      <c r="K2390" s="67">
        <f>ROUND(IF(F2390="alluminio",0,I2390*1.5%),4)</f>
        <v>0</v>
      </c>
      <c r="L2390" s="67">
        <f>ROUND(IF(K2390&lt;J2390,K2390,0),4)</f>
        <v>0</v>
      </c>
      <c r="M2390" s="67">
        <f>ROUND(IF(J2390&gt;K2390,0,J2390),4)</f>
        <v>0</v>
      </c>
      <c r="N2390" s="67">
        <f>ROUND(+L2390*D2390,4)</f>
        <v>0</v>
      </c>
      <c r="O2390" s="67">
        <f>ROUND(IF(F2390="rame",0,+I2390*3%),4)</f>
        <v>0</v>
      </c>
      <c r="P2390" s="67">
        <f>ROUND(IF(O2390&lt;J2390,O2390,0),4)</f>
        <v>0</v>
      </c>
      <c r="Q2390" s="67">
        <f>ROUND(IF(J2390&gt;O2390,0,J2390),4)</f>
        <v>0</v>
      </c>
      <c r="R2390" s="67">
        <f>ROUND(+P2390*D2390,4)</f>
        <v>0</v>
      </c>
      <c r="S2390" s="67">
        <f>ROUND(IF(K2390=0,0,M2390*D2390),4)</f>
        <v>0</v>
      </c>
      <c r="T2390" s="67">
        <f>ROUND(+IF(K2390=0,Q2390*D2390,0),4)</f>
        <v>0</v>
      </c>
      <c r="U2390" s="67">
        <f>ROUND(+N2390+R2390+S2390+T2390,4)</f>
        <v>0</v>
      </c>
      <c r="V2390" s="67">
        <f>ROUND(IF(P2390=0,0,I2390-H2390-O2390)+IF(L2390=0,0,I2390-H2390-K2390),4)</f>
        <v>0</v>
      </c>
      <c r="W2390" s="67">
        <f>ROUND(+(V2390*60%)*D2390,4)</f>
        <v>0</v>
      </c>
      <c r="X2390" s="148">
        <f>ROUND(+U2390+W2390,4)</f>
        <v>0</v>
      </c>
      <c r="Y2390" s="68"/>
      <c r="Z2390" s="148">
        <f>ROUND(IF(X2390&gt;I2390,X2390,I2390),4)</f>
        <v>0</v>
      </c>
      <c r="AD2390" s="78">
        <f t="shared" si="52"/>
        <v>0</v>
      </c>
      <c r="AE2390" s="78">
        <f t="shared" si="53"/>
        <v>0</v>
      </c>
    </row>
    <row r="2391" spans="1:31" x14ac:dyDescent="0.2">
      <c r="A2391" s="66"/>
      <c r="B2391" s="66"/>
      <c r="C2391" s="66"/>
      <c r="D2391" s="144"/>
      <c r="E2391" s="67"/>
      <c r="F2391" s="67"/>
      <c r="G2391" s="67"/>
      <c r="H2391" s="67">
        <f>ROUND(+E2391+G2391,4)</f>
        <v>0</v>
      </c>
      <c r="I2391" s="67"/>
      <c r="J2391" s="67">
        <f>ROUND(+I2391-H2391,4)</f>
        <v>0</v>
      </c>
      <c r="K2391" s="67">
        <f>ROUND(IF(F2391="alluminio",0,I2391*1.5%),4)</f>
        <v>0</v>
      </c>
      <c r="L2391" s="67">
        <f>ROUND(IF(K2391&lt;J2391,K2391,0),4)</f>
        <v>0</v>
      </c>
      <c r="M2391" s="67">
        <f>ROUND(IF(J2391&gt;K2391,0,J2391),4)</f>
        <v>0</v>
      </c>
      <c r="N2391" s="67">
        <f>ROUND(+L2391*D2391,4)</f>
        <v>0</v>
      </c>
      <c r="O2391" s="67">
        <f>ROUND(IF(F2391="rame",0,+I2391*3%),4)</f>
        <v>0</v>
      </c>
      <c r="P2391" s="67">
        <f>ROUND(IF(O2391&lt;J2391,O2391,0),4)</f>
        <v>0</v>
      </c>
      <c r="Q2391" s="67">
        <f>ROUND(IF(J2391&gt;O2391,0,J2391),4)</f>
        <v>0</v>
      </c>
      <c r="R2391" s="67">
        <f>ROUND(+P2391*D2391,4)</f>
        <v>0</v>
      </c>
      <c r="S2391" s="67">
        <f>ROUND(IF(K2391=0,0,M2391*D2391),4)</f>
        <v>0</v>
      </c>
      <c r="T2391" s="67">
        <f>ROUND(+IF(K2391=0,Q2391*D2391,0),4)</f>
        <v>0</v>
      </c>
      <c r="U2391" s="67">
        <f>ROUND(+N2391+R2391+S2391+T2391,4)</f>
        <v>0</v>
      </c>
      <c r="V2391" s="67">
        <f>ROUND(IF(P2391=0,0,I2391-H2391-O2391)+IF(L2391=0,0,I2391-H2391-K2391),4)</f>
        <v>0</v>
      </c>
      <c r="W2391" s="67">
        <f>ROUND(+(V2391*60%)*D2391,4)</f>
        <v>0</v>
      </c>
      <c r="X2391" s="148">
        <f>ROUND(+U2391+W2391,4)</f>
        <v>0</v>
      </c>
      <c r="Y2391" s="68"/>
      <c r="Z2391" s="148">
        <f>ROUND(IF(X2391&gt;I2391,X2391,I2391),4)</f>
        <v>0</v>
      </c>
      <c r="AD2391" s="78">
        <f t="shared" si="52"/>
        <v>0</v>
      </c>
      <c r="AE2391" s="78">
        <f t="shared" si="53"/>
        <v>0</v>
      </c>
    </row>
    <row r="2392" spans="1:31" x14ac:dyDescent="0.2">
      <c r="A2392" s="66"/>
      <c r="B2392" s="66"/>
      <c r="C2392" s="66"/>
      <c r="D2392" s="144"/>
      <c r="E2392" s="67"/>
      <c r="F2392" s="67"/>
      <c r="G2392" s="67"/>
      <c r="H2392" s="67">
        <f>ROUND(+E2392+G2392,4)</f>
        <v>0</v>
      </c>
      <c r="I2392" s="67"/>
      <c r="J2392" s="67">
        <f>ROUND(+I2392-H2392,4)</f>
        <v>0</v>
      </c>
      <c r="K2392" s="67">
        <f>ROUND(IF(F2392="alluminio",0,I2392*1.5%),4)</f>
        <v>0</v>
      </c>
      <c r="L2392" s="67">
        <f>ROUND(IF(K2392&lt;J2392,K2392,0),4)</f>
        <v>0</v>
      </c>
      <c r="M2392" s="67">
        <f>ROUND(IF(J2392&gt;K2392,0,J2392),4)</f>
        <v>0</v>
      </c>
      <c r="N2392" s="67">
        <f>ROUND(+L2392*D2392,4)</f>
        <v>0</v>
      </c>
      <c r="O2392" s="67">
        <f>ROUND(IF(F2392="rame",0,+I2392*3%),4)</f>
        <v>0</v>
      </c>
      <c r="P2392" s="67">
        <f>ROUND(IF(O2392&lt;J2392,O2392,0),4)</f>
        <v>0</v>
      </c>
      <c r="Q2392" s="67">
        <f>ROUND(IF(J2392&gt;O2392,0,J2392),4)</f>
        <v>0</v>
      </c>
      <c r="R2392" s="67">
        <f>ROUND(+P2392*D2392,4)</f>
        <v>0</v>
      </c>
      <c r="S2392" s="67">
        <f>ROUND(IF(K2392=0,0,M2392*D2392),4)</f>
        <v>0</v>
      </c>
      <c r="T2392" s="67">
        <f>ROUND(+IF(K2392=0,Q2392*D2392,0),4)</f>
        <v>0</v>
      </c>
      <c r="U2392" s="67">
        <f>ROUND(+N2392+R2392+S2392+T2392,4)</f>
        <v>0</v>
      </c>
      <c r="V2392" s="67">
        <f>ROUND(IF(P2392=0,0,I2392-H2392-O2392)+IF(L2392=0,0,I2392-H2392-K2392),4)</f>
        <v>0</v>
      </c>
      <c r="W2392" s="67">
        <f>ROUND(+(V2392*60%)*D2392,4)</f>
        <v>0</v>
      </c>
      <c r="X2392" s="148">
        <f>ROUND(+U2392+W2392,4)</f>
        <v>0</v>
      </c>
      <c r="Y2392" s="68"/>
      <c r="Z2392" s="148">
        <f>ROUND(IF(X2392&gt;I2392,X2392,I2392),4)</f>
        <v>0</v>
      </c>
      <c r="AD2392" s="78">
        <f t="shared" si="52"/>
        <v>0</v>
      </c>
      <c r="AE2392" s="78">
        <f t="shared" si="53"/>
        <v>0</v>
      </c>
    </row>
    <row r="2393" spans="1:31" x14ac:dyDescent="0.2">
      <c r="A2393" s="66"/>
      <c r="B2393" s="66"/>
      <c r="C2393" s="66"/>
      <c r="D2393" s="144"/>
      <c r="E2393" s="67"/>
      <c r="F2393" s="67"/>
      <c r="G2393" s="67"/>
      <c r="H2393" s="67">
        <f>ROUND(+E2393+G2393,4)</f>
        <v>0</v>
      </c>
      <c r="I2393" s="67"/>
      <c r="J2393" s="67">
        <f>ROUND(+I2393-H2393,4)</f>
        <v>0</v>
      </c>
      <c r="K2393" s="67">
        <f>ROUND(IF(F2393="alluminio",0,I2393*1.5%),4)</f>
        <v>0</v>
      </c>
      <c r="L2393" s="67">
        <f>ROUND(IF(K2393&lt;J2393,K2393,0),4)</f>
        <v>0</v>
      </c>
      <c r="M2393" s="67">
        <f>ROUND(IF(J2393&gt;K2393,0,J2393),4)</f>
        <v>0</v>
      </c>
      <c r="N2393" s="67">
        <f>ROUND(+L2393*D2393,4)</f>
        <v>0</v>
      </c>
      <c r="O2393" s="67">
        <f>ROUND(IF(F2393="rame",0,+I2393*3%),4)</f>
        <v>0</v>
      </c>
      <c r="P2393" s="67">
        <f>ROUND(IF(O2393&lt;J2393,O2393,0),4)</f>
        <v>0</v>
      </c>
      <c r="Q2393" s="67">
        <f>ROUND(IF(J2393&gt;O2393,0,J2393),4)</f>
        <v>0</v>
      </c>
      <c r="R2393" s="67">
        <f>ROUND(+P2393*D2393,4)</f>
        <v>0</v>
      </c>
      <c r="S2393" s="67">
        <f>ROUND(IF(K2393=0,0,M2393*D2393),4)</f>
        <v>0</v>
      </c>
      <c r="T2393" s="67">
        <f>ROUND(+IF(K2393=0,Q2393*D2393,0),4)</f>
        <v>0</v>
      </c>
      <c r="U2393" s="67">
        <f>ROUND(+N2393+R2393+S2393+T2393,4)</f>
        <v>0</v>
      </c>
      <c r="V2393" s="67">
        <f>ROUND(IF(P2393=0,0,I2393-H2393-O2393)+IF(L2393=0,0,I2393-H2393-K2393),4)</f>
        <v>0</v>
      </c>
      <c r="W2393" s="67">
        <f>ROUND(+(V2393*60%)*D2393,4)</f>
        <v>0</v>
      </c>
      <c r="X2393" s="148">
        <f>ROUND(+U2393+W2393,4)</f>
        <v>0</v>
      </c>
      <c r="Y2393" s="68"/>
      <c r="Z2393" s="148">
        <f>ROUND(IF(X2393&gt;I2393,X2393,I2393),4)</f>
        <v>0</v>
      </c>
      <c r="AD2393" s="78">
        <f t="shared" si="52"/>
        <v>0</v>
      </c>
      <c r="AE2393" s="78">
        <f t="shared" si="53"/>
        <v>0</v>
      </c>
    </row>
    <row r="2394" spans="1:31" x14ac:dyDescent="0.2">
      <c r="A2394" s="66"/>
      <c r="B2394" s="66"/>
      <c r="C2394" s="66"/>
      <c r="D2394" s="144"/>
      <c r="E2394" s="67"/>
      <c r="F2394" s="67"/>
      <c r="G2394" s="67"/>
      <c r="H2394" s="67">
        <f>ROUND(+E2394+G2394,4)</f>
        <v>0</v>
      </c>
      <c r="I2394" s="67"/>
      <c r="J2394" s="67">
        <f>ROUND(+I2394-H2394,4)</f>
        <v>0</v>
      </c>
      <c r="K2394" s="67">
        <f>ROUND(IF(F2394="alluminio",0,I2394*1.5%),4)</f>
        <v>0</v>
      </c>
      <c r="L2394" s="67">
        <f>ROUND(IF(K2394&lt;J2394,K2394,0),4)</f>
        <v>0</v>
      </c>
      <c r="M2394" s="67">
        <f>ROUND(IF(J2394&gt;K2394,0,J2394),4)</f>
        <v>0</v>
      </c>
      <c r="N2394" s="67">
        <f>ROUND(+L2394*D2394,4)</f>
        <v>0</v>
      </c>
      <c r="O2394" s="67">
        <f>ROUND(IF(F2394="rame",0,+I2394*3%),4)</f>
        <v>0</v>
      </c>
      <c r="P2394" s="67">
        <f>ROUND(IF(O2394&lt;J2394,O2394,0),4)</f>
        <v>0</v>
      </c>
      <c r="Q2394" s="67">
        <f>ROUND(IF(J2394&gt;O2394,0,J2394),4)</f>
        <v>0</v>
      </c>
      <c r="R2394" s="67">
        <f>ROUND(+P2394*D2394,4)</f>
        <v>0</v>
      </c>
      <c r="S2394" s="67">
        <f>ROUND(IF(K2394=0,0,M2394*D2394),4)</f>
        <v>0</v>
      </c>
      <c r="T2394" s="67">
        <f>ROUND(+IF(K2394=0,Q2394*D2394,0),4)</f>
        <v>0</v>
      </c>
      <c r="U2394" s="67">
        <f>ROUND(+N2394+R2394+S2394+T2394,4)</f>
        <v>0</v>
      </c>
      <c r="V2394" s="67">
        <f>ROUND(IF(P2394=0,0,I2394-H2394-O2394)+IF(L2394=0,0,I2394-H2394-K2394),4)</f>
        <v>0</v>
      </c>
      <c r="W2394" s="67">
        <f>ROUND(+(V2394*60%)*D2394,4)</f>
        <v>0</v>
      </c>
      <c r="X2394" s="148">
        <f>ROUND(+U2394+W2394,4)</f>
        <v>0</v>
      </c>
      <c r="Y2394" s="68"/>
      <c r="Z2394" s="148">
        <f>ROUND(IF(X2394&gt;I2394,X2394,I2394),4)</f>
        <v>0</v>
      </c>
      <c r="AD2394" s="78">
        <f t="shared" si="52"/>
        <v>0</v>
      </c>
      <c r="AE2394" s="78">
        <f t="shared" si="53"/>
        <v>0</v>
      </c>
    </row>
    <row r="2395" spans="1:31" x14ac:dyDescent="0.2">
      <c r="A2395" s="66"/>
      <c r="B2395" s="66"/>
      <c r="C2395" s="66"/>
      <c r="D2395" s="144"/>
      <c r="E2395" s="67"/>
      <c r="F2395" s="67"/>
      <c r="G2395" s="67"/>
      <c r="H2395" s="67">
        <f>ROUND(+E2395+G2395,4)</f>
        <v>0</v>
      </c>
      <c r="I2395" s="67"/>
      <c r="J2395" s="67">
        <f>ROUND(+I2395-H2395,4)</f>
        <v>0</v>
      </c>
      <c r="K2395" s="67">
        <f>ROUND(IF(F2395="alluminio",0,I2395*1.5%),4)</f>
        <v>0</v>
      </c>
      <c r="L2395" s="67">
        <f>ROUND(IF(K2395&lt;J2395,K2395,0),4)</f>
        <v>0</v>
      </c>
      <c r="M2395" s="67">
        <f>ROUND(IF(J2395&gt;K2395,0,J2395),4)</f>
        <v>0</v>
      </c>
      <c r="N2395" s="67">
        <f>ROUND(+L2395*D2395,4)</f>
        <v>0</v>
      </c>
      <c r="O2395" s="67">
        <f>ROUND(IF(F2395="rame",0,+I2395*3%),4)</f>
        <v>0</v>
      </c>
      <c r="P2395" s="67">
        <f>ROUND(IF(O2395&lt;J2395,O2395,0),4)</f>
        <v>0</v>
      </c>
      <c r="Q2395" s="67">
        <f>ROUND(IF(J2395&gt;O2395,0,J2395),4)</f>
        <v>0</v>
      </c>
      <c r="R2395" s="67">
        <f>ROUND(+P2395*D2395,4)</f>
        <v>0</v>
      </c>
      <c r="S2395" s="67">
        <f>ROUND(IF(K2395=0,0,M2395*D2395),4)</f>
        <v>0</v>
      </c>
      <c r="T2395" s="67">
        <f>ROUND(+IF(K2395=0,Q2395*D2395,0),4)</f>
        <v>0</v>
      </c>
      <c r="U2395" s="67">
        <f>ROUND(+N2395+R2395+S2395+T2395,4)</f>
        <v>0</v>
      </c>
      <c r="V2395" s="67">
        <f>ROUND(IF(P2395=0,0,I2395-H2395-O2395)+IF(L2395=0,0,I2395-H2395-K2395),4)</f>
        <v>0</v>
      </c>
      <c r="W2395" s="67">
        <f>ROUND(+(V2395*60%)*D2395,4)</f>
        <v>0</v>
      </c>
      <c r="X2395" s="148">
        <f>ROUND(+U2395+W2395,4)</f>
        <v>0</v>
      </c>
      <c r="Y2395" s="68"/>
      <c r="Z2395" s="148">
        <f>ROUND(IF(X2395&gt;I2395,X2395,I2395),4)</f>
        <v>0</v>
      </c>
      <c r="AD2395" s="78">
        <f t="shared" si="52"/>
        <v>0</v>
      </c>
      <c r="AE2395" s="78">
        <f t="shared" si="53"/>
        <v>0</v>
      </c>
    </row>
    <row r="2396" spans="1:31" x14ac:dyDescent="0.2">
      <c r="A2396" s="66"/>
      <c r="B2396" s="66"/>
      <c r="C2396" s="66"/>
      <c r="D2396" s="144"/>
      <c r="E2396" s="67"/>
      <c r="F2396" s="67"/>
      <c r="G2396" s="67"/>
      <c r="H2396" s="67">
        <f>ROUND(+E2396+G2396,4)</f>
        <v>0</v>
      </c>
      <c r="I2396" s="67"/>
      <c r="J2396" s="67">
        <f>ROUND(+I2396-H2396,4)</f>
        <v>0</v>
      </c>
      <c r="K2396" s="67">
        <f>ROUND(IF(F2396="alluminio",0,I2396*1.5%),4)</f>
        <v>0</v>
      </c>
      <c r="L2396" s="67">
        <f>ROUND(IF(K2396&lt;J2396,K2396,0),4)</f>
        <v>0</v>
      </c>
      <c r="M2396" s="67">
        <f>ROUND(IF(J2396&gt;K2396,0,J2396),4)</f>
        <v>0</v>
      </c>
      <c r="N2396" s="67">
        <f>ROUND(+L2396*D2396,4)</f>
        <v>0</v>
      </c>
      <c r="O2396" s="67">
        <f>ROUND(IF(F2396="rame",0,+I2396*3%),4)</f>
        <v>0</v>
      </c>
      <c r="P2396" s="67">
        <f>ROUND(IF(O2396&lt;J2396,O2396,0),4)</f>
        <v>0</v>
      </c>
      <c r="Q2396" s="67">
        <f>ROUND(IF(J2396&gt;O2396,0,J2396),4)</f>
        <v>0</v>
      </c>
      <c r="R2396" s="67">
        <f>ROUND(+P2396*D2396,4)</f>
        <v>0</v>
      </c>
      <c r="S2396" s="67">
        <f>ROUND(IF(K2396=0,0,M2396*D2396),4)</f>
        <v>0</v>
      </c>
      <c r="T2396" s="67">
        <f>ROUND(+IF(K2396=0,Q2396*D2396,0),4)</f>
        <v>0</v>
      </c>
      <c r="U2396" s="67">
        <f>ROUND(+N2396+R2396+S2396+T2396,4)</f>
        <v>0</v>
      </c>
      <c r="V2396" s="67">
        <f>ROUND(IF(P2396=0,0,I2396-H2396-O2396)+IF(L2396=0,0,I2396-H2396-K2396),4)</f>
        <v>0</v>
      </c>
      <c r="W2396" s="67">
        <f>ROUND(+(V2396*60%)*D2396,4)</f>
        <v>0</v>
      </c>
      <c r="X2396" s="148">
        <f>ROUND(+U2396+W2396,4)</f>
        <v>0</v>
      </c>
      <c r="Y2396" s="68"/>
      <c r="Z2396" s="148">
        <f>ROUND(IF(X2396&gt;I2396,X2396,I2396),4)</f>
        <v>0</v>
      </c>
      <c r="AD2396" s="78">
        <f t="shared" si="52"/>
        <v>0</v>
      </c>
      <c r="AE2396" s="78">
        <f t="shared" si="53"/>
        <v>0</v>
      </c>
    </row>
    <row r="2397" spans="1:31" x14ac:dyDescent="0.2">
      <c r="A2397" s="66"/>
      <c r="B2397" s="66"/>
      <c r="C2397" s="66"/>
      <c r="D2397" s="144"/>
      <c r="E2397" s="67"/>
      <c r="F2397" s="67"/>
      <c r="G2397" s="67"/>
      <c r="H2397" s="67">
        <f>ROUND(+E2397+G2397,4)</f>
        <v>0</v>
      </c>
      <c r="I2397" s="67"/>
      <c r="J2397" s="67">
        <f>ROUND(+I2397-H2397,4)</f>
        <v>0</v>
      </c>
      <c r="K2397" s="67">
        <f>ROUND(IF(F2397="alluminio",0,I2397*1.5%),4)</f>
        <v>0</v>
      </c>
      <c r="L2397" s="67">
        <f>ROUND(IF(K2397&lt;J2397,K2397,0),4)</f>
        <v>0</v>
      </c>
      <c r="M2397" s="67">
        <f>ROUND(IF(J2397&gt;K2397,0,J2397),4)</f>
        <v>0</v>
      </c>
      <c r="N2397" s="67">
        <f>ROUND(+L2397*D2397,4)</f>
        <v>0</v>
      </c>
      <c r="O2397" s="67">
        <f>ROUND(IF(F2397="rame",0,+I2397*3%),4)</f>
        <v>0</v>
      </c>
      <c r="P2397" s="67">
        <f>ROUND(IF(O2397&lt;J2397,O2397,0),4)</f>
        <v>0</v>
      </c>
      <c r="Q2397" s="67">
        <f>ROUND(IF(J2397&gt;O2397,0,J2397),4)</f>
        <v>0</v>
      </c>
      <c r="R2397" s="67">
        <f>ROUND(+P2397*D2397,4)</f>
        <v>0</v>
      </c>
      <c r="S2397" s="67">
        <f>ROUND(IF(K2397=0,0,M2397*D2397),4)</f>
        <v>0</v>
      </c>
      <c r="T2397" s="67">
        <f>ROUND(+IF(K2397=0,Q2397*D2397,0),4)</f>
        <v>0</v>
      </c>
      <c r="U2397" s="67">
        <f>ROUND(+N2397+R2397+S2397+T2397,4)</f>
        <v>0</v>
      </c>
      <c r="V2397" s="67">
        <f>ROUND(IF(P2397=0,0,I2397-H2397-O2397)+IF(L2397=0,0,I2397-H2397-K2397),4)</f>
        <v>0</v>
      </c>
      <c r="W2397" s="67">
        <f>ROUND(+(V2397*60%)*D2397,4)</f>
        <v>0</v>
      </c>
      <c r="X2397" s="148">
        <f>ROUND(+U2397+W2397,4)</f>
        <v>0</v>
      </c>
      <c r="Y2397" s="68"/>
      <c r="Z2397" s="148">
        <f>ROUND(IF(X2397&gt;I2397,X2397,I2397),4)</f>
        <v>0</v>
      </c>
      <c r="AD2397" s="78">
        <f t="shared" si="52"/>
        <v>0</v>
      </c>
      <c r="AE2397" s="78">
        <f t="shared" si="53"/>
        <v>0</v>
      </c>
    </row>
    <row r="2398" spans="1:31" x14ac:dyDescent="0.2">
      <c r="A2398" s="66"/>
      <c r="B2398" s="66"/>
      <c r="C2398" s="66"/>
      <c r="D2398" s="144"/>
      <c r="E2398" s="67"/>
      <c r="F2398" s="67"/>
      <c r="G2398" s="67"/>
      <c r="H2398" s="67">
        <f>ROUND(+E2398+G2398,4)</f>
        <v>0</v>
      </c>
      <c r="I2398" s="67"/>
      <c r="J2398" s="67">
        <f>ROUND(+I2398-H2398,4)</f>
        <v>0</v>
      </c>
      <c r="K2398" s="67">
        <f>ROUND(IF(F2398="alluminio",0,I2398*1.5%),4)</f>
        <v>0</v>
      </c>
      <c r="L2398" s="67">
        <f>ROUND(IF(K2398&lt;J2398,K2398,0),4)</f>
        <v>0</v>
      </c>
      <c r="M2398" s="67">
        <f>ROUND(IF(J2398&gt;K2398,0,J2398),4)</f>
        <v>0</v>
      </c>
      <c r="N2398" s="67">
        <f>ROUND(+L2398*D2398,4)</f>
        <v>0</v>
      </c>
      <c r="O2398" s="67">
        <f>ROUND(IF(F2398="rame",0,+I2398*3%),4)</f>
        <v>0</v>
      </c>
      <c r="P2398" s="67">
        <f>ROUND(IF(O2398&lt;J2398,O2398,0),4)</f>
        <v>0</v>
      </c>
      <c r="Q2398" s="67">
        <f>ROUND(IF(J2398&gt;O2398,0,J2398),4)</f>
        <v>0</v>
      </c>
      <c r="R2398" s="67">
        <f>ROUND(+P2398*D2398,4)</f>
        <v>0</v>
      </c>
      <c r="S2398" s="67">
        <f>ROUND(IF(K2398=0,0,M2398*D2398),4)</f>
        <v>0</v>
      </c>
      <c r="T2398" s="67">
        <f>ROUND(+IF(K2398=0,Q2398*D2398,0),4)</f>
        <v>0</v>
      </c>
      <c r="U2398" s="67">
        <f>ROUND(+N2398+R2398+S2398+T2398,4)</f>
        <v>0</v>
      </c>
      <c r="V2398" s="67">
        <f>ROUND(IF(P2398=0,0,I2398-H2398-O2398)+IF(L2398=0,0,I2398-H2398-K2398),4)</f>
        <v>0</v>
      </c>
      <c r="W2398" s="67">
        <f>ROUND(+(V2398*60%)*D2398,4)</f>
        <v>0</v>
      </c>
      <c r="X2398" s="148">
        <f>ROUND(+U2398+W2398,4)</f>
        <v>0</v>
      </c>
      <c r="Y2398" s="68"/>
      <c r="Z2398" s="148">
        <f>ROUND(IF(X2398&gt;I2398,X2398,I2398),4)</f>
        <v>0</v>
      </c>
      <c r="AD2398" s="78">
        <f t="shared" si="52"/>
        <v>0</v>
      </c>
      <c r="AE2398" s="78">
        <f t="shared" si="53"/>
        <v>0</v>
      </c>
    </row>
    <row r="2399" spans="1:31" x14ac:dyDescent="0.2">
      <c r="A2399" s="66"/>
      <c r="B2399" s="66"/>
      <c r="C2399" s="66"/>
      <c r="D2399" s="144"/>
      <c r="E2399" s="67"/>
      <c r="F2399" s="67"/>
      <c r="G2399" s="67"/>
      <c r="H2399" s="67">
        <f>ROUND(+E2399+G2399,4)</f>
        <v>0</v>
      </c>
      <c r="I2399" s="67"/>
      <c r="J2399" s="67">
        <f>ROUND(+I2399-H2399,4)</f>
        <v>0</v>
      </c>
      <c r="K2399" s="67">
        <f>ROUND(IF(F2399="alluminio",0,I2399*1.5%),4)</f>
        <v>0</v>
      </c>
      <c r="L2399" s="67">
        <f>ROUND(IF(K2399&lt;J2399,K2399,0),4)</f>
        <v>0</v>
      </c>
      <c r="M2399" s="67">
        <f>ROUND(IF(J2399&gt;K2399,0,J2399),4)</f>
        <v>0</v>
      </c>
      <c r="N2399" s="67">
        <f>ROUND(+L2399*D2399,4)</f>
        <v>0</v>
      </c>
      <c r="O2399" s="67">
        <f>ROUND(IF(F2399="rame",0,+I2399*3%),4)</f>
        <v>0</v>
      </c>
      <c r="P2399" s="67">
        <f>ROUND(IF(O2399&lt;J2399,O2399,0),4)</f>
        <v>0</v>
      </c>
      <c r="Q2399" s="67">
        <f>ROUND(IF(J2399&gt;O2399,0,J2399),4)</f>
        <v>0</v>
      </c>
      <c r="R2399" s="67">
        <f>ROUND(+P2399*D2399,4)</f>
        <v>0</v>
      </c>
      <c r="S2399" s="67">
        <f>ROUND(IF(K2399=0,0,M2399*D2399),4)</f>
        <v>0</v>
      </c>
      <c r="T2399" s="67">
        <f>ROUND(+IF(K2399=0,Q2399*D2399,0),4)</f>
        <v>0</v>
      </c>
      <c r="U2399" s="67">
        <f>ROUND(+N2399+R2399+S2399+T2399,4)</f>
        <v>0</v>
      </c>
      <c r="V2399" s="67">
        <f>ROUND(IF(P2399=0,0,I2399-H2399-O2399)+IF(L2399=0,0,I2399-H2399-K2399),4)</f>
        <v>0</v>
      </c>
      <c r="W2399" s="67">
        <f>ROUND(+(V2399*60%)*D2399,4)</f>
        <v>0</v>
      </c>
      <c r="X2399" s="148">
        <f>ROUND(+U2399+W2399,4)</f>
        <v>0</v>
      </c>
      <c r="Y2399" s="68"/>
      <c r="Z2399" s="148">
        <f>ROUND(IF(X2399&gt;I2399,X2399,I2399),4)</f>
        <v>0</v>
      </c>
      <c r="AD2399" s="78">
        <f t="shared" si="52"/>
        <v>0</v>
      </c>
      <c r="AE2399" s="78">
        <f t="shared" si="53"/>
        <v>0</v>
      </c>
    </row>
    <row r="2400" spans="1:31" x14ac:dyDescent="0.2">
      <c r="A2400" s="66"/>
      <c r="B2400" s="66"/>
      <c r="C2400" s="66"/>
      <c r="D2400" s="144"/>
      <c r="E2400" s="67"/>
      <c r="F2400" s="67"/>
      <c r="G2400" s="67"/>
      <c r="H2400" s="67">
        <f>ROUND(+E2400+G2400,4)</f>
        <v>0</v>
      </c>
      <c r="I2400" s="67"/>
      <c r="J2400" s="67">
        <f>ROUND(+I2400-H2400,4)</f>
        <v>0</v>
      </c>
      <c r="K2400" s="67">
        <f>ROUND(IF(F2400="alluminio",0,I2400*1.5%),4)</f>
        <v>0</v>
      </c>
      <c r="L2400" s="67">
        <f>ROUND(IF(K2400&lt;J2400,K2400,0),4)</f>
        <v>0</v>
      </c>
      <c r="M2400" s="67">
        <f>ROUND(IF(J2400&gt;K2400,0,J2400),4)</f>
        <v>0</v>
      </c>
      <c r="N2400" s="67">
        <f>ROUND(+L2400*D2400,4)</f>
        <v>0</v>
      </c>
      <c r="O2400" s="67">
        <f>ROUND(IF(F2400="rame",0,+I2400*3%),4)</f>
        <v>0</v>
      </c>
      <c r="P2400" s="67">
        <f>ROUND(IF(O2400&lt;J2400,O2400,0),4)</f>
        <v>0</v>
      </c>
      <c r="Q2400" s="67">
        <f>ROUND(IF(J2400&gt;O2400,0,J2400),4)</f>
        <v>0</v>
      </c>
      <c r="R2400" s="67">
        <f>ROUND(+P2400*D2400,4)</f>
        <v>0</v>
      </c>
      <c r="S2400" s="67">
        <f>ROUND(IF(K2400=0,0,M2400*D2400),4)</f>
        <v>0</v>
      </c>
      <c r="T2400" s="67">
        <f>ROUND(+IF(K2400=0,Q2400*D2400,0),4)</f>
        <v>0</v>
      </c>
      <c r="U2400" s="67">
        <f>ROUND(+N2400+R2400+S2400+T2400,4)</f>
        <v>0</v>
      </c>
      <c r="V2400" s="67">
        <f>ROUND(IF(P2400=0,0,I2400-H2400-O2400)+IF(L2400=0,0,I2400-H2400-K2400),4)</f>
        <v>0</v>
      </c>
      <c r="W2400" s="67">
        <f>ROUND(+(V2400*60%)*D2400,4)</f>
        <v>0</v>
      </c>
      <c r="X2400" s="148">
        <f>ROUND(+U2400+W2400,4)</f>
        <v>0</v>
      </c>
      <c r="Y2400" s="68"/>
      <c r="Z2400" s="148">
        <f>ROUND(IF(X2400&gt;I2400,X2400,I2400),4)</f>
        <v>0</v>
      </c>
      <c r="AD2400" s="78">
        <f t="shared" si="52"/>
        <v>0</v>
      </c>
      <c r="AE2400" s="78">
        <f t="shared" si="53"/>
        <v>0</v>
      </c>
    </row>
    <row r="2401" spans="1:31" x14ac:dyDescent="0.2">
      <c r="A2401" s="66"/>
      <c r="B2401" s="66"/>
      <c r="C2401" s="66"/>
      <c r="D2401" s="144"/>
      <c r="E2401" s="67"/>
      <c r="F2401" s="67"/>
      <c r="G2401" s="67"/>
      <c r="H2401" s="67">
        <f>ROUND(+E2401+G2401,4)</f>
        <v>0</v>
      </c>
      <c r="I2401" s="67"/>
      <c r="J2401" s="67">
        <f>ROUND(+I2401-H2401,4)</f>
        <v>0</v>
      </c>
      <c r="K2401" s="67">
        <f>ROUND(IF(F2401="alluminio",0,I2401*1.5%),4)</f>
        <v>0</v>
      </c>
      <c r="L2401" s="67">
        <f>ROUND(IF(K2401&lt;J2401,K2401,0),4)</f>
        <v>0</v>
      </c>
      <c r="M2401" s="67">
        <f>ROUND(IF(J2401&gt;K2401,0,J2401),4)</f>
        <v>0</v>
      </c>
      <c r="N2401" s="67">
        <f>ROUND(+L2401*D2401,4)</f>
        <v>0</v>
      </c>
      <c r="O2401" s="67">
        <f>ROUND(IF(F2401="rame",0,+I2401*3%),4)</f>
        <v>0</v>
      </c>
      <c r="P2401" s="67">
        <f>ROUND(IF(O2401&lt;J2401,O2401,0),4)</f>
        <v>0</v>
      </c>
      <c r="Q2401" s="67">
        <f>ROUND(IF(J2401&gt;O2401,0,J2401),4)</f>
        <v>0</v>
      </c>
      <c r="R2401" s="67">
        <f>ROUND(+P2401*D2401,4)</f>
        <v>0</v>
      </c>
      <c r="S2401" s="67">
        <f>ROUND(IF(K2401=0,0,M2401*D2401),4)</f>
        <v>0</v>
      </c>
      <c r="T2401" s="67">
        <f>ROUND(+IF(K2401=0,Q2401*D2401,0),4)</f>
        <v>0</v>
      </c>
      <c r="U2401" s="67">
        <f>ROUND(+N2401+R2401+S2401+T2401,4)</f>
        <v>0</v>
      </c>
      <c r="V2401" s="67">
        <f>ROUND(IF(P2401=0,0,I2401-H2401-O2401)+IF(L2401=0,0,I2401-H2401-K2401),4)</f>
        <v>0</v>
      </c>
      <c r="W2401" s="67">
        <f>ROUND(+(V2401*60%)*D2401,4)</f>
        <v>0</v>
      </c>
      <c r="X2401" s="148">
        <f>ROUND(+U2401+W2401,4)</f>
        <v>0</v>
      </c>
      <c r="Y2401" s="68"/>
      <c r="Z2401" s="148">
        <f>ROUND(IF(X2401&gt;I2401,X2401,I2401),4)</f>
        <v>0</v>
      </c>
      <c r="AD2401" s="78">
        <f t="shared" si="52"/>
        <v>0</v>
      </c>
      <c r="AE2401" s="78">
        <f t="shared" si="53"/>
        <v>0</v>
      </c>
    </row>
    <row r="2402" spans="1:31" x14ac:dyDescent="0.2">
      <c r="A2402" s="66"/>
      <c r="B2402" s="66"/>
      <c r="C2402" s="66"/>
      <c r="D2402" s="144"/>
      <c r="E2402" s="67"/>
      <c r="F2402" s="67"/>
      <c r="G2402" s="67"/>
      <c r="H2402" s="67">
        <f>ROUND(+E2402+G2402,4)</f>
        <v>0</v>
      </c>
      <c r="I2402" s="67"/>
      <c r="J2402" s="67">
        <f>ROUND(+I2402-H2402,4)</f>
        <v>0</v>
      </c>
      <c r="K2402" s="67">
        <f>ROUND(IF(F2402="alluminio",0,I2402*1.5%),4)</f>
        <v>0</v>
      </c>
      <c r="L2402" s="67">
        <f>ROUND(IF(K2402&lt;J2402,K2402,0),4)</f>
        <v>0</v>
      </c>
      <c r="M2402" s="67">
        <f>ROUND(IF(J2402&gt;K2402,0,J2402),4)</f>
        <v>0</v>
      </c>
      <c r="N2402" s="67">
        <f>ROUND(+L2402*D2402,4)</f>
        <v>0</v>
      </c>
      <c r="O2402" s="67">
        <f>ROUND(IF(F2402="rame",0,+I2402*3%),4)</f>
        <v>0</v>
      </c>
      <c r="P2402" s="67">
        <f>ROUND(IF(O2402&lt;J2402,O2402,0),4)</f>
        <v>0</v>
      </c>
      <c r="Q2402" s="67">
        <f>ROUND(IF(J2402&gt;O2402,0,J2402),4)</f>
        <v>0</v>
      </c>
      <c r="R2402" s="67">
        <f>ROUND(+P2402*D2402,4)</f>
        <v>0</v>
      </c>
      <c r="S2402" s="67">
        <f>ROUND(IF(K2402=0,0,M2402*D2402),4)</f>
        <v>0</v>
      </c>
      <c r="T2402" s="67">
        <f>ROUND(+IF(K2402=0,Q2402*D2402,0),4)</f>
        <v>0</v>
      </c>
      <c r="U2402" s="67">
        <f>ROUND(+N2402+R2402+S2402+T2402,4)</f>
        <v>0</v>
      </c>
      <c r="V2402" s="67">
        <f>ROUND(IF(P2402=0,0,I2402-H2402-O2402)+IF(L2402=0,0,I2402-H2402-K2402),4)</f>
        <v>0</v>
      </c>
      <c r="W2402" s="67">
        <f>ROUND(+(V2402*60%)*D2402,4)</f>
        <v>0</v>
      </c>
      <c r="X2402" s="148">
        <f>ROUND(+U2402+W2402,4)</f>
        <v>0</v>
      </c>
      <c r="Y2402" s="68"/>
      <c r="Z2402" s="148">
        <f>ROUND(IF(X2402&gt;I2402,X2402,I2402),4)</f>
        <v>0</v>
      </c>
      <c r="AD2402" s="78">
        <f t="shared" si="52"/>
        <v>0</v>
      </c>
      <c r="AE2402" s="78">
        <f t="shared" si="53"/>
        <v>0</v>
      </c>
    </row>
    <row r="2403" spans="1:31" x14ac:dyDescent="0.2">
      <c r="A2403" s="66"/>
      <c r="B2403" s="66"/>
      <c r="C2403" s="66"/>
      <c r="D2403" s="144"/>
      <c r="E2403" s="67"/>
      <c r="F2403" s="67"/>
      <c r="G2403" s="67"/>
      <c r="H2403" s="67">
        <f>ROUND(+E2403+G2403,4)</f>
        <v>0</v>
      </c>
      <c r="I2403" s="67"/>
      <c r="J2403" s="67">
        <f>ROUND(+I2403-H2403,4)</f>
        <v>0</v>
      </c>
      <c r="K2403" s="67">
        <f>ROUND(IF(F2403="alluminio",0,I2403*1.5%),4)</f>
        <v>0</v>
      </c>
      <c r="L2403" s="67">
        <f>ROUND(IF(K2403&lt;J2403,K2403,0),4)</f>
        <v>0</v>
      </c>
      <c r="M2403" s="67">
        <f>ROUND(IF(J2403&gt;K2403,0,J2403),4)</f>
        <v>0</v>
      </c>
      <c r="N2403" s="67">
        <f>ROUND(+L2403*D2403,4)</f>
        <v>0</v>
      </c>
      <c r="O2403" s="67">
        <f>ROUND(IF(F2403="rame",0,+I2403*3%),4)</f>
        <v>0</v>
      </c>
      <c r="P2403" s="67">
        <f>ROUND(IF(O2403&lt;J2403,O2403,0),4)</f>
        <v>0</v>
      </c>
      <c r="Q2403" s="67">
        <f>ROUND(IF(J2403&gt;O2403,0,J2403),4)</f>
        <v>0</v>
      </c>
      <c r="R2403" s="67">
        <f>ROUND(+P2403*D2403,4)</f>
        <v>0</v>
      </c>
      <c r="S2403" s="67">
        <f>ROUND(IF(K2403=0,0,M2403*D2403),4)</f>
        <v>0</v>
      </c>
      <c r="T2403" s="67">
        <f>ROUND(+IF(K2403=0,Q2403*D2403,0),4)</f>
        <v>0</v>
      </c>
      <c r="U2403" s="67">
        <f>ROUND(+N2403+R2403+S2403+T2403,4)</f>
        <v>0</v>
      </c>
      <c r="V2403" s="67">
        <f>ROUND(IF(P2403=0,0,I2403-H2403-O2403)+IF(L2403=0,0,I2403-H2403-K2403),4)</f>
        <v>0</v>
      </c>
      <c r="W2403" s="67">
        <f>ROUND(+(V2403*60%)*D2403,4)</f>
        <v>0</v>
      </c>
      <c r="X2403" s="148">
        <f>ROUND(+U2403+W2403,4)</f>
        <v>0</v>
      </c>
      <c r="Y2403" s="68"/>
      <c r="Z2403" s="148">
        <f>ROUND(IF(X2403&gt;I2403,X2403,I2403),4)</f>
        <v>0</v>
      </c>
      <c r="AD2403" s="78">
        <f t="shared" si="52"/>
        <v>0</v>
      </c>
      <c r="AE2403" s="78">
        <f t="shared" si="53"/>
        <v>0</v>
      </c>
    </row>
    <row r="2404" spans="1:31" x14ac:dyDescent="0.2">
      <c r="A2404" s="66"/>
      <c r="B2404" s="66"/>
      <c r="C2404" s="66"/>
      <c r="D2404" s="144"/>
      <c r="E2404" s="67"/>
      <c r="F2404" s="67"/>
      <c r="G2404" s="67"/>
      <c r="H2404" s="67">
        <f>ROUND(+E2404+G2404,4)</f>
        <v>0</v>
      </c>
      <c r="I2404" s="67"/>
      <c r="J2404" s="67">
        <f>ROUND(+I2404-H2404,4)</f>
        <v>0</v>
      </c>
      <c r="K2404" s="67">
        <f>ROUND(IF(F2404="alluminio",0,I2404*1.5%),4)</f>
        <v>0</v>
      </c>
      <c r="L2404" s="67">
        <f>ROUND(IF(K2404&lt;J2404,K2404,0),4)</f>
        <v>0</v>
      </c>
      <c r="M2404" s="67">
        <f>ROUND(IF(J2404&gt;K2404,0,J2404),4)</f>
        <v>0</v>
      </c>
      <c r="N2404" s="67">
        <f>ROUND(+L2404*D2404,4)</f>
        <v>0</v>
      </c>
      <c r="O2404" s="67">
        <f>ROUND(IF(F2404="rame",0,+I2404*3%),4)</f>
        <v>0</v>
      </c>
      <c r="P2404" s="67">
        <f>ROUND(IF(O2404&lt;J2404,O2404,0),4)</f>
        <v>0</v>
      </c>
      <c r="Q2404" s="67">
        <f>ROUND(IF(J2404&gt;O2404,0,J2404),4)</f>
        <v>0</v>
      </c>
      <c r="R2404" s="67">
        <f>ROUND(+P2404*D2404,4)</f>
        <v>0</v>
      </c>
      <c r="S2404" s="67">
        <f>ROUND(IF(K2404=0,0,M2404*D2404),4)</f>
        <v>0</v>
      </c>
      <c r="T2404" s="67">
        <f>ROUND(+IF(K2404=0,Q2404*D2404,0),4)</f>
        <v>0</v>
      </c>
      <c r="U2404" s="67">
        <f>ROUND(+N2404+R2404+S2404+T2404,4)</f>
        <v>0</v>
      </c>
      <c r="V2404" s="67">
        <f>ROUND(IF(P2404=0,0,I2404-H2404-O2404)+IF(L2404=0,0,I2404-H2404-K2404),4)</f>
        <v>0</v>
      </c>
      <c r="W2404" s="67">
        <f>ROUND(+(V2404*60%)*D2404,4)</f>
        <v>0</v>
      </c>
      <c r="X2404" s="148">
        <f>ROUND(+U2404+W2404,4)</f>
        <v>0</v>
      </c>
      <c r="Y2404" s="68"/>
      <c r="Z2404" s="148">
        <f>ROUND(IF(X2404&gt;I2404,X2404,I2404),4)</f>
        <v>0</v>
      </c>
      <c r="AD2404" s="78">
        <f t="shared" si="52"/>
        <v>0</v>
      </c>
      <c r="AE2404" s="78">
        <f t="shared" si="53"/>
        <v>0</v>
      </c>
    </row>
    <row r="2405" spans="1:31" x14ac:dyDescent="0.2">
      <c r="A2405" s="66"/>
      <c r="B2405" s="66"/>
      <c r="C2405" s="66"/>
      <c r="D2405" s="144"/>
      <c r="E2405" s="67"/>
      <c r="F2405" s="67"/>
      <c r="G2405" s="67"/>
      <c r="H2405" s="67">
        <f>ROUND(+E2405+G2405,4)</f>
        <v>0</v>
      </c>
      <c r="I2405" s="67"/>
      <c r="J2405" s="67">
        <f>ROUND(+I2405-H2405,4)</f>
        <v>0</v>
      </c>
      <c r="K2405" s="67">
        <f>ROUND(IF(F2405="alluminio",0,I2405*1.5%),4)</f>
        <v>0</v>
      </c>
      <c r="L2405" s="67">
        <f>ROUND(IF(K2405&lt;J2405,K2405,0),4)</f>
        <v>0</v>
      </c>
      <c r="M2405" s="67">
        <f>ROUND(IF(J2405&gt;K2405,0,J2405),4)</f>
        <v>0</v>
      </c>
      <c r="N2405" s="67">
        <f>ROUND(+L2405*D2405,4)</f>
        <v>0</v>
      </c>
      <c r="O2405" s="67">
        <f>ROUND(IF(F2405="rame",0,+I2405*3%),4)</f>
        <v>0</v>
      </c>
      <c r="P2405" s="67">
        <f>ROUND(IF(O2405&lt;J2405,O2405,0),4)</f>
        <v>0</v>
      </c>
      <c r="Q2405" s="67">
        <f>ROUND(IF(J2405&gt;O2405,0,J2405),4)</f>
        <v>0</v>
      </c>
      <c r="R2405" s="67">
        <f>ROUND(+P2405*D2405,4)</f>
        <v>0</v>
      </c>
      <c r="S2405" s="67">
        <f>ROUND(IF(K2405=0,0,M2405*D2405),4)</f>
        <v>0</v>
      </c>
      <c r="T2405" s="67">
        <f>ROUND(+IF(K2405=0,Q2405*D2405,0),4)</f>
        <v>0</v>
      </c>
      <c r="U2405" s="67">
        <f>ROUND(+N2405+R2405+S2405+T2405,4)</f>
        <v>0</v>
      </c>
      <c r="V2405" s="67">
        <f>ROUND(IF(P2405=0,0,I2405-H2405-O2405)+IF(L2405=0,0,I2405-H2405-K2405),4)</f>
        <v>0</v>
      </c>
      <c r="W2405" s="67">
        <f>ROUND(+(V2405*60%)*D2405,4)</f>
        <v>0</v>
      </c>
      <c r="X2405" s="148">
        <f>ROUND(+U2405+W2405,4)</f>
        <v>0</v>
      </c>
      <c r="Y2405" s="68"/>
      <c r="Z2405" s="148">
        <f>ROUND(IF(X2405&gt;I2405,X2405,I2405),4)</f>
        <v>0</v>
      </c>
      <c r="AD2405" s="78">
        <f t="shared" si="52"/>
        <v>0</v>
      </c>
      <c r="AE2405" s="78">
        <f t="shared" si="53"/>
        <v>0</v>
      </c>
    </row>
    <row r="2406" spans="1:31" x14ac:dyDescent="0.2">
      <c r="A2406" s="66"/>
      <c r="B2406" s="66"/>
      <c r="C2406" s="66"/>
      <c r="D2406" s="144"/>
      <c r="E2406" s="67"/>
      <c r="F2406" s="67"/>
      <c r="G2406" s="67"/>
      <c r="H2406" s="67">
        <f>ROUND(+E2406+G2406,4)</f>
        <v>0</v>
      </c>
      <c r="I2406" s="67"/>
      <c r="J2406" s="67">
        <f>ROUND(+I2406-H2406,4)</f>
        <v>0</v>
      </c>
      <c r="K2406" s="67">
        <f>ROUND(IF(F2406="alluminio",0,I2406*1.5%),4)</f>
        <v>0</v>
      </c>
      <c r="L2406" s="67">
        <f>ROUND(IF(K2406&lt;J2406,K2406,0),4)</f>
        <v>0</v>
      </c>
      <c r="M2406" s="67">
        <f>ROUND(IF(J2406&gt;K2406,0,J2406),4)</f>
        <v>0</v>
      </c>
      <c r="N2406" s="67">
        <f>ROUND(+L2406*D2406,4)</f>
        <v>0</v>
      </c>
      <c r="O2406" s="67">
        <f>ROUND(IF(F2406="rame",0,+I2406*3%),4)</f>
        <v>0</v>
      </c>
      <c r="P2406" s="67">
        <f>ROUND(IF(O2406&lt;J2406,O2406,0),4)</f>
        <v>0</v>
      </c>
      <c r="Q2406" s="67">
        <f>ROUND(IF(J2406&gt;O2406,0,J2406),4)</f>
        <v>0</v>
      </c>
      <c r="R2406" s="67">
        <f>ROUND(+P2406*D2406,4)</f>
        <v>0</v>
      </c>
      <c r="S2406" s="67">
        <f>ROUND(IF(K2406=0,0,M2406*D2406),4)</f>
        <v>0</v>
      </c>
      <c r="T2406" s="67">
        <f>ROUND(+IF(K2406=0,Q2406*D2406,0),4)</f>
        <v>0</v>
      </c>
      <c r="U2406" s="67">
        <f>ROUND(+N2406+R2406+S2406+T2406,4)</f>
        <v>0</v>
      </c>
      <c r="V2406" s="67">
        <f>ROUND(IF(P2406=0,0,I2406-H2406-O2406)+IF(L2406=0,0,I2406-H2406-K2406),4)</f>
        <v>0</v>
      </c>
      <c r="W2406" s="67">
        <f>ROUND(+(V2406*60%)*D2406,4)</f>
        <v>0</v>
      </c>
      <c r="X2406" s="148">
        <f>ROUND(+U2406+W2406,4)</f>
        <v>0</v>
      </c>
      <c r="Y2406" s="68"/>
      <c r="Z2406" s="148">
        <f>ROUND(IF(X2406&gt;I2406,X2406,I2406),4)</f>
        <v>0</v>
      </c>
      <c r="AD2406" s="78">
        <f t="shared" si="52"/>
        <v>0</v>
      </c>
      <c r="AE2406" s="78">
        <f t="shared" si="53"/>
        <v>0</v>
      </c>
    </row>
    <row r="2407" spans="1:31" x14ac:dyDescent="0.2">
      <c r="A2407" s="66"/>
      <c r="B2407" s="66"/>
      <c r="C2407" s="66"/>
      <c r="D2407" s="144"/>
      <c r="E2407" s="67"/>
      <c r="F2407" s="67"/>
      <c r="G2407" s="67"/>
      <c r="H2407" s="67">
        <f>ROUND(+E2407+G2407,4)</f>
        <v>0</v>
      </c>
      <c r="I2407" s="67"/>
      <c r="J2407" s="67">
        <f>ROUND(+I2407-H2407,4)</f>
        <v>0</v>
      </c>
      <c r="K2407" s="67">
        <f>ROUND(IF(F2407="alluminio",0,I2407*1.5%),4)</f>
        <v>0</v>
      </c>
      <c r="L2407" s="67">
        <f>ROUND(IF(K2407&lt;J2407,K2407,0),4)</f>
        <v>0</v>
      </c>
      <c r="M2407" s="67">
        <f>ROUND(IF(J2407&gt;K2407,0,J2407),4)</f>
        <v>0</v>
      </c>
      <c r="N2407" s="67">
        <f>ROUND(+L2407*D2407,4)</f>
        <v>0</v>
      </c>
      <c r="O2407" s="67">
        <f>ROUND(IF(F2407="rame",0,+I2407*3%),4)</f>
        <v>0</v>
      </c>
      <c r="P2407" s="67">
        <f>ROUND(IF(O2407&lt;J2407,O2407,0),4)</f>
        <v>0</v>
      </c>
      <c r="Q2407" s="67">
        <f>ROUND(IF(J2407&gt;O2407,0,J2407),4)</f>
        <v>0</v>
      </c>
      <c r="R2407" s="67">
        <f>ROUND(+P2407*D2407,4)</f>
        <v>0</v>
      </c>
      <c r="S2407" s="67">
        <f>ROUND(IF(K2407=0,0,M2407*D2407),4)</f>
        <v>0</v>
      </c>
      <c r="T2407" s="67">
        <f>ROUND(+IF(K2407=0,Q2407*D2407,0),4)</f>
        <v>0</v>
      </c>
      <c r="U2407" s="67">
        <f>ROUND(+N2407+R2407+S2407+T2407,4)</f>
        <v>0</v>
      </c>
      <c r="V2407" s="67">
        <f>ROUND(IF(P2407=0,0,I2407-H2407-O2407)+IF(L2407=0,0,I2407-H2407-K2407),4)</f>
        <v>0</v>
      </c>
      <c r="W2407" s="67">
        <f>ROUND(+(V2407*60%)*D2407,4)</f>
        <v>0</v>
      </c>
      <c r="X2407" s="148">
        <f>ROUND(+U2407+W2407,4)</f>
        <v>0</v>
      </c>
      <c r="Y2407" s="68"/>
      <c r="Z2407" s="148">
        <f>ROUND(IF(X2407&gt;I2407,X2407,I2407),4)</f>
        <v>0</v>
      </c>
      <c r="AD2407" s="78">
        <f t="shared" si="52"/>
        <v>0</v>
      </c>
      <c r="AE2407" s="78">
        <f t="shared" si="53"/>
        <v>0</v>
      </c>
    </row>
    <row r="2408" spans="1:31" x14ac:dyDescent="0.2">
      <c r="A2408" s="66"/>
      <c r="B2408" s="66"/>
      <c r="C2408" s="66"/>
      <c r="D2408" s="144"/>
      <c r="E2408" s="67"/>
      <c r="F2408" s="67"/>
      <c r="G2408" s="67"/>
      <c r="H2408" s="67">
        <f>ROUND(+E2408+G2408,4)</f>
        <v>0</v>
      </c>
      <c r="I2408" s="67"/>
      <c r="J2408" s="67">
        <f>ROUND(+I2408-H2408,4)</f>
        <v>0</v>
      </c>
      <c r="K2408" s="67">
        <f>ROUND(IF(F2408="alluminio",0,I2408*1.5%),4)</f>
        <v>0</v>
      </c>
      <c r="L2408" s="67">
        <f>ROUND(IF(K2408&lt;J2408,K2408,0),4)</f>
        <v>0</v>
      </c>
      <c r="M2408" s="67">
        <f>ROUND(IF(J2408&gt;K2408,0,J2408),4)</f>
        <v>0</v>
      </c>
      <c r="N2408" s="67">
        <f>ROUND(+L2408*D2408,4)</f>
        <v>0</v>
      </c>
      <c r="O2408" s="67">
        <f>ROUND(IF(F2408="rame",0,+I2408*3%),4)</f>
        <v>0</v>
      </c>
      <c r="P2408" s="67">
        <f>ROUND(IF(O2408&lt;J2408,O2408,0),4)</f>
        <v>0</v>
      </c>
      <c r="Q2408" s="67">
        <f>ROUND(IF(J2408&gt;O2408,0,J2408),4)</f>
        <v>0</v>
      </c>
      <c r="R2408" s="67">
        <f>ROUND(+P2408*D2408,4)</f>
        <v>0</v>
      </c>
      <c r="S2408" s="67">
        <f>ROUND(IF(K2408=0,0,M2408*D2408),4)</f>
        <v>0</v>
      </c>
      <c r="T2408" s="67">
        <f>ROUND(+IF(K2408=0,Q2408*D2408,0),4)</f>
        <v>0</v>
      </c>
      <c r="U2408" s="67">
        <f>ROUND(+N2408+R2408+S2408+T2408,4)</f>
        <v>0</v>
      </c>
      <c r="V2408" s="67">
        <f>ROUND(IF(P2408=0,0,I2408-H2408-O2408)+IF(L2408=0,0,I2408-H2408-K2408),4)</f>
        <v>0</v>
      </c>
      <c r="W2408" s="67">
        <f>ROUND(+(V2408*60%)*D2408,4)</f>
        <v>0</v>
      </c>
      <c r="X2408" s="148">
        <f>ROUND(+U2408+W2408,4)</f>
        <v>0</v>
      </c>
      <c r="Y2408" s="68"/>
      <c r="Z2408" s="148">
        <f>ROUND(IF(X2408&gt;I2408,X2408,I2408),4)</f>
        <v>0</v>
      </c>
      <c r="AD2408" s="78">
        <f t="shared" si="52"/>
        <v>0</v>
      </c>
      <c r="AE2408" s="78">
        <f t="shared" si="53"/>
        <v>0</v>
      </c>
    </row>
    <row r="2409" spans="1:31" x14ac:dyDescent="0.2">
      <c r="A2409" s="66"/>
      <c r="B2409" s="66"/>
      <c r="C2409" s="66"/>
      <c r="D2409" s="144"/>
      <c r="E2409" s="67"/>
      <c r="F2409" s="67"/>
      <c r="G2409" s="67"/>
      <c r="H2409" s="67">
        <f>ROUND(+E2409+G2409,4)</f>
        <v>0</v>
      </c>
      <c r="I2409" s="67"/>
      <c r="J2409" s="67">
        <f>ROUND(+I2409-H2409,4)</f>
        <v>0</v>
      </c>
      <c r="K2409" s="67">
        <f>ROUND(IF(F2409="alluminio",0,I2409*1.5%),4)</f>
        <v>0</v>
      </c>
      <c r="L2409" s="67">
        <f>ROUND(IF(K2409&lt;J2409,K2409,0),4)</f>
        <v>0</v>
      </c>
      <c r="M2409" s="67">
        <f>ROUND(IF(J2409&gt;K2409,0,J2409),4)</f>
        <v>0</v>
      </c>
      <c r="N2409" s="67">
        <f>ROUND(+L2409*D2409,4)</f>
        <v>0</v>
      </c>
      <c r="O2409" s="67">
        <f>ROUND(IF(F2409="rame",0,+I2409*3%),4)</f>
        <v>0</v>
      </c>
      <c r="P2409" s="67">
        <f>ROUND(IF(O2409&lt;J2409,O2409,0),4)</f>
        <v>0</v>
      </c>
      <c r="Q2409" s="67">
        <f>ROUND(IF(J2409&gt;O2409,0,J2409),4)</f>
        <v>0</v>
      </c>
      <c r="R2409" s="67">
        <f>ROUND(+P2409*D2409,4)</f>
        <v>0</v>
      </c>
      <c r="S2409" s="67">
        <f>ROUND(IF(K2409=0,0,M2409*D2409),4)</f>
        <v>0</v>
      </c>
      <c r="T2409" s="67">
        <f>ROUND(+IF(K2409=0,Q2409*D2409,0),4)</f>
        <v>0</v>
      </c>
      <c r="U2409" s="67">
        <f>ROUND(+N2409+R2409+S2409+T2409,4)</f>
        <v>0</v>
      </c>
      <c r="V2409" s="67">
        <f>ROUND(IF(P2409=0,0,I2409-H2409-O2409)+IF(L2409=0,0,I2409-H2409-K2409),4)</f>
        <v>0</v>
      </c>
      <c r="W2409" s="67">
        <f>ROUND(+(V2409*60%)*D2409,4)</f>
        <v>0</v>
      </c>
      <c r="X2409" s="148">
        <f>ROUND(+U2409+W2409,4)</f>
        <v>0</v>
      </c>
      <c r="Y2409" s="68"/>
      <c r="Z2409" s="148">
        <f>ROUND(IF(X2409&gt;I2409,X2409,I2409),4)</f>
        <v>0</v>
      </c>
      <c r="AD2409" s="78">
        <f t="shared" si="52"/>
        <v>0</v>
      </c>
      <c r="AE2409" s="78">
        <f t="shared" si="53"/>
        <v>0</v>
      </c>
    </row>
    <row r="2410" spans="1:31" x14ac:dyDescent="0.2">
      <c r="A2410" s="66"/>
      <c r="B2410" s="66"/>
      <c r="C2410" s="66"/>
      <c r="D2410" s="144"/>
      <c r="E2410" s="67"/>
      <c r="F2410" s="67"/>
      <c r="G2410" s="67"/>
      <c r="H2410" s="67">
        <f>ROUND(+E2410+G2410,4)</f>
        <v>0</v>
      </c>
      <c r="I2410" s="67"/>
      <c r="J2410" s="67">
        <f>ROUND(+I2410-H2410,4)</f>
        <v>0</v>
      </c>
      <c r="K2410" s="67">
        <f>ROUND(IF(F2410="alluminio",0,I2410*1.5%),4)</f>
        <v>0</v>
      </c>
      <c r="L2410" s="67">
        <f>ROUND(IF(K2410&lt;J2410,K2410,0),4)</f>
        <v>0</v>
      </c>
      <c r="M2410" s="67">
        <f>ROUND(IF(J2410&gt;K2410,0,J2410),4)</f>
        <v>0</v>
      </c>
      <c r="N2410" s="67">
        <f>ROUND(+L2410*D2410,4)</f>
        <v>0</v>
      </c>
      <c r="O2410" s="67">
        <f>ROUND(IF(F2410="rame",0,+I2410*3%),4)</f>
        <v>0</v>
      </c>
      <c r="P2410" s="67">
        <f>ROUND(IF(O2410&lt;J2410,O2410,0),4)</f>
        <v>0</v>
      </c>
      <c r="Q2410" s="67">
        <f>ROUND(IF(J2410&gt;O2410,0,J2410),4)</f>
        <v>0</v>
      </c>
      <c r="R2410" s="67">
        <f>ROUND(+P2410*D2410,4)</f>
        <v>0</v>
      </c>
      <c r="S2410" s="67">
        <f>ROUND(IF(K2410=0,0,M2410*D2410),4)</f>
        <v>0</v>
      </c>
      <c r="T2410" s="67">
        <f>ROUND(+IF(K2410=0,Q2410*D2410,0),4)</f>
        <v>0</v>
      </c>
      <c r="U2410" s="67">
        <f>ROUND(+N2410+R2410+S2410+T2410,4)</f>
        <v>0</v>
      </c>
      <c r="V2410" s="67">
        <f>ROUND(IF(P2410=0,0,I2410-H2410-O2410)+IF(L2410=0,0,I2410-H2410-K2410),4)</f>
        <v>0</v>
      </c>
      <c r="W2410" s="67">
        <f>ROUND(+(V2410*60%)*D2410,4)</f>
        <v>0</v>
      </c>
      <c r="X2410" s="148">
        <f>ROUND(+U2410+W2410,4)</f>
        <v>0</v>
      </c>
      <c r="Y2410" s="68"/>
      <c r="Z2410" s="148">
        <f>ROUND(IF(X2410&gt;I2410,X2410,I2410),4)</f>
        <v>0</v>
      </c>
      <c r="AD2410" s="78">
        <f t="shared" si="52"/>
        <v>0</v>
      </c>
      <c r="AE2410" s="78">
        <f t="shared" si="53"/>
        <v>0</v>
      </c>
    </row>
    <row r="2411" spans="1:31" x14ac:dyDescent="0.2">
      <c r="A2411" s="66"/>
      <c r="B2411" s="66"/>
      <c r="C2411" s="66"/>
      <c r="D2411" s="144"/>
      <c r="E2411" s="67"/>
      <c r="F2411" s="67"/>
      <c r="G2411" s="67"/>
      <c r="H2411" s="67">
        <f>ROUND(+E2411+G2411,4)</f>
        <v>0</v>
      </c>
      <c r="I2411" s="67"/>
      <c r="J2411" s="67">
        <f>ROUND(+I2411-H2411,4)</f>
        <v>0</v>
      </c>
      <c r="K2411" s="67">
        <f>ROUND(IF(F2411="alluminio",0,I2411*1.5%),4)</f>
        <v>0</v>
      </c>
      <c r="L2411" s="67">
        <f>ROUND(IF(K2411&lt;J2411,K2411,0),4)</f>
        <v>0</v>
      </c>
      <c r="M2411" s="67">
        <f>ROUND(IF(J2411&gt;K2411,0,J2411),4)</f>
        <v>0</v>
      </c>
      <c r="N2411" s="67">
        <f>ROUND(+L2411*D2411,4)</f>
        <v>0</v>
      </c>
      <c r="O2411" s="67">
        <f>ROUND(IF(F2411="rame",0,+I2411*3%),4)</f>
        <v>0</v>
      </c>
      <c r="P2411" s="67">
        <f>ROUND(IF(O2411&lt;J2411,O2411,0),4)</f>
        <v>0</v>
      </c>
      <c r="Q2411" s="67">
        <f>ROUND(IF(J2411&gt;O2411,0,J2411),4)</f>
        <v>0</v>
      </c>
      <c r="R2411" s="67">
        <f>ROUND(+P2411*D2411,4)</f>
        <v>0</v>
      </c>
      <c r="S2411" s="67">
        <f>ROUND(IF(K2411=0,0,M2411*D2411),4)</f>
        <v>0</v>
      </c>
      <c r="T2411" s="67">
        <f>ROUND(+IF(K2411=0,Q2411*D2411,0),4)</f>
        <v>0</v>
      </c>
      <c r="U2411" s="67">
        <f>ROUND(+N2411+R2411+S2411+T2411,4)</f>
        <v>0</v>
      </c>
      <c r="V2411" s="67">
        <f>ROUND(IF(P2411=0,0,I2411-H2411-O2411)+IF(L2411=0,0,I2411-H2411-K2411),4)</f>
        <v>0</v>
      </c>
      <c r="W2411" s="67">
        <f>ROUND(+(V2411*60%)*D2411,4)</f>
        <v>0</v>
      </c>
      <c r="X2411" s="148">
        <f>ROUND(+U2411+W2411,4)</f>
        <v>0</v>
      </c>
      <c r="Y2411" s="68"/>
      <c r="Z2411" s="148">
        <f>ROUND(IF(X2411&gt;I2411,X2411,I2411),4)</f>
        <v>0</v>
      </c>
      <c r="AD2411" s="78">
        <f t="shared" si="52"/>
        <v>0</v>
      </c>
      <c r="AE2411" s="78">
        <f t="shared" si="53"/>
        <v>0</v>
      </c>
    </row>
    <row r="2412" spans="1:31" x14ac:dyDescent="0.2">
      <c r="A2412" s="66"/>
      <c r="B2412" s="66"/>
      <c r="C2412" s="66"/>
      <c r="D2412" s="144"/>
      <c r="E2412" s="67"/>
      <c r="F2412" s="67"/>
      <c r="G2412" s="67"/>
      <c r="H2412" s="67">
        <f>ROUND(+E2412+G2412,4)</f>
        <v>0</v>
      </c>
      <c r="I2412" s="67"/>
      <c r="J2412" s="67">
        <f>ROUND(+I2412-H2412,4)</f>
        <v>0</v>
      </c>
      <c r="K2412" s="67">
        <f>ROUND(IF(F2412="alluminio",0,I2412*1.5%),4)</f>
        <v>0</v>
      </c>
      <c r="L2412" s="67">
        <f>ROUND(IF(K2412&lt;J2412,K2412,0),4)</f>
        <v>0</v>
      </c>
      <c r="M2412" s="67">
        <f>ROUND(IF(J2412&gt;K2412,0,J2412),4)</f>
        <v>0</v>
      </c>
      <c r="N2412" s="67">
        <f>ROUND(+L2412*D2412,4)</f>
        <v>0</v>
      </c>
      <c r="O2412" s="67">
        <f>ROUND(IF(F2412="rame",0,+I2412*3%),4)</f>
        <v>0</v>
      </c>
      <c r="P2412" s="67">
        <f>ROUND(IF(O2412&lt;J2412,O2412,0),4)</f>
        <v>0</v>
      </c>
      <c r="Q2412" s="67">
        <f>ROUND(IF(J2412&gt;O2412,0,J2412),4)</f>
        <v>0</v>
      </c>
      <c r="R2412" s="67">
        <f>ROUND(+P2412*D2412,4)</f>
        <v>0</v>
      </c>
      <c r="S2412" s="67">
        <f>ROUND(IF(K2412=0,0,M2412*D2412),4)</f>
        <v>0</v>
      </c>
      <c r="T2412" s="67">
        <f>ROUND(+IF(K2412=0,Q2412*D2412,0),4)</f>
        <v>0</v>
      </c>
      <c r="U2412" s="67">
        <f>ROUND(+N2412+R2412+S2412+T2412,4)</f>
        <v>0</v>
      </c>
      <c r="V2412" s="67">
        <f>ROUND(IF(P2412=0,0,I2412-H2412-O2412)+IF(L2412=0,0,I2412-H2412-K2412),4)</f>
        <v>0</v>
      </c>
      <c r="W2412" s="67">
        <f>ROUND(+(V2412*60%)*D2412,4)</f>
        <v>0</v>
      </c>
      <c r="X2412" s="148">
        <f>ROUND(+U2412+W2412,4)</f>
        <v>0</v>
      </c>
      <c r="Y2412" s="68"/>
      <c r="Z2412" s="148">
        <f>ROUND(IF(X2412&gt;I2412,X2412,I2412),4)</f>
        <v>0</v>
      </c>
      <c r="AD2412" s="78">
        <f t="shared" si="52"/>
        <v>0</v>
      </c>
      <c r="AE2412" s="78">
        <f t="shared" si="53"/>
        <v>0</v>
      </c>
    </row>
    <row r="2413" spans="1:31" x14ac:dyDescent="0.2">
      <c r="A2413" s="66"/>
      <c r="B2413" s="66"/>
      <c r="C2413" s="66"/>
      <c r="D2413" s="144"/>
      <c r="E2413" s="67"/>
      <c r="F2413" s="67"/>
      <c r="G2413" s="67"/>
      <c r="H2413" s="67">
        <f>ROUND(+E2413+G2413,4)</f>
        <v>0</v>
      </c>
      <c r="I2413" s="67"/>
      <c r="J2413" s="67">
        <f>ROUND(+I2413-H2413,4)</f>
        <v>0</v>
      </c>
      <c r="K2413" s="67">
        <f>ROUND(IF(F2413="alluminio",0,I2413*1.5%),4)</f>
        <v>0</v>
      </c>
      <c r="L2413" s="67">
        <f>ROUND(IF(K2413&lt;J2413,K2413,0),4)</f>
        <v>0</v>
      </c>
      <c r="M2413" s="67">
        <f>ROUND(IF(J2413&gt;K2413,0,J2413),4)</f>
        <v>0</v>
      </c>
      <c r="N2413" s="67">
        <f>ROUND(+L2413*D2413,4)</f>
        <v>0</v>
      </c>
      <c r="O2413" s="67">
        <f>ROUND(IF(F2413="rame",0,+I2413*3%),4)</f>
        <v>0</v>
      </c>
      <c r="P2413" s="67">
        <f>ROUND(IF(O2413&lt;J2413,O2413,0),4)</f>
        <v>0</v>
      </c>
      <c r="Q2413" s="67">
        <f>ROUND(IF(J2413&gt;O2413,0,J2413),4)</f>
        <v>0</v>
      </c>
      <c r="R2413" s="67">
        <f>ROUND(+P2413*D2413,4)</f>
        <v>0</v>
      </c>
      <c r="S2413" s="67">
        <f>ROUND(IF(K2413=0,0,M2413*D2413),4)</f>
        <v>0</v>
      </c>
      <c r="T2413" s="67">
        <f>ROUND(+IF(K2413=0,Q2413*D2413,0),4)</f>
        <v>0</v>
      </c>
      <c r="U2413" s="67">
        <f>ROUND(+N2413+R2413+S2413+T2413,4)</f>
        <v>0</v>
      </c>
      <c r="V2413" s="67">
        <f>ROUND(IF(P2413=0,0,I2413-H2413-O2413)+IF(L2413=0,0,I2413-H2413-K2413),4)</f>
        <v>0</v>
      </c>
      <c r="W2413" s="67">
        <f>ROUND(+(V2413*60%)*D2413,4)</f>
        <v>0</v>
      </c>
      <c r="X2413" s="148">
        <f>ROUND(+U2413+W2413,4)</f>
        <v>0</v>
      </c>
      <c r="Y2413" s="68"/>
      <c r="Z2413" s="148">
        <f>ROUND(IF(X2413&gt;I2413,X2413,I2413),4)</f>
        <v>0</v>
      </c>
      <c r="AD2413" s="78">
        <f t="shared" si="52"/>
        <v>0</v>
      </c>
      <c r="AE2413" s="78">
        <f t="shared" si="53"/>
        <v>0</v>
      </c>
    </row>
    <row r="2414" spans="1:31" x14ac:dyDescent="0.2">
      <c r="A2414" s="66"/>
      <c r="B2414" s="66"/>
      <c r="C2414" s="66"/>
      <c r="D2414" s="144"/>
      <c r="E2414" s="67"/>
      <c r="F2414" s="67"/>
      <c r="G2414" s="67"/>
      <c r="H2414" s="67">
        <f>ROUND(+E2414+G2414,4)</f>
        <v>0</v>
      </c>
      <c r="I2414" s="67"/>
      <c r="J2414" s="67">
        <f>ROUND(+I2414-H2414,4)</f>
        <v>0</v>
      </c>
      <c r="K2414" s="67">
        <f>ROUND(IF(F2414="alluminio",0,I2414*1.5%),4)</f>
        <v>0</v>
      </c>
      <c r="L2414" s="67">
        <f>ROUND(IF(K2414&lt;J2414,K2414,0),4)</f>
        <v>0</v>
      </c>
      <c r="M2414" s="67">
        <f>ROUND(IF(J2414&gt;K2414,0,J2414),4)</f>
        <v>0</v>
      </c>
      <c r="N2414" s="67">
        <f>ROUND(+L2414*D2414,4)</f>
        <v>0</v>
      </c>
      <c r="O2414" s="67">
        <f>ROUND(IF(F2414="rame",0,+I2414*3%),4)</f>
        <v>0</v>
      </c>
      <c r="P2414" s="67">
        <f>ROUND(IF(O2414&lt;J2414,O2414,0),4)</f>
        <v>0</v>
      </c>
      <c r="Q2414" s="67">
        <f>ROUND(IF(J2414&gt;O2414,0,J2414),4)</f>
        <v>0</v>
      </c>
      <c r="R2414" s="67">
        <f>ROUND(+P2414*D2414,4)</f>
        <v>0</v>
      </c>
      <c r="S2414" s="67">
        <f>ROUND(IF(K2414=0,0,M2414*D2414),4)</f>
        <v>0</v>
      </c>
      <c r="T2414" s="67">
        <f>ROUND(+IF(K2414=0,Q2414*D2414,0),4)</f>
        <v>0</v>
      </c>
      <c r="U2414" s="67">
        <f>ROUND(+N2414+R2414+S2414+T2414,4)</f>
        <v>0</v>
      </c>
      <c r="V2414" s="67">
        <f>ROUND(IF(P2414=0,0,I2414-H2414-O2414)+IF(L2414=0,0,I2414-H2414-K2414),4)</f>
        <v>0</v>
      </c>
      <c r="W2414" s="67">
        <f>ROUND(+(V2414*60%)*D2414,4)</f>
        <v>0</v>
      </c>
      <c r="X2414" s="148">
        <f>ROUND(+U2414+W2414,4)</f>
        <v>0</v>
      </c>
      <c r="Y2414" s="68"/>
      <c r="Z2414" s="148">
        <f>ROUND(IF(X2414&gt;I2414,X2414,I2414),4)</f>
        <v>0</v>
      </c>
      <c r="AD2414" s="78">
        <f t="shared" si="52"/>
        <v>0</v>
      </c>
      <c r="AE2414" s="78">
        <f t="shared" si="53"/>
        <v>0</v>
      </c>
    </row>
    <row r="2415" spans="1:31" x14ac:dyDescent="0.2">
      <c r="A2415" s="66"/>
      <c r="B2415" s="66"/>
      <c r="C2415" s="66"/>
      <c r="D2415" s="144"/>
      <c r="E2415" s="67"/>
      <c r="F2415" s="67"/>
      <c r="G2415" s="67"/>
      <c r="H2415" s="67">
        <f>ROUND(+E2415+G2415,4)</f>
        <v>0</v>
      </c>
      <c r="I2415" s="67"/>
      <c r="J2415" s="67">
        <f>ROUND(+I2415-H2415,4)</f>
        <v>0</v>
      </c>
      <c r="K2415" s="67">
        <f>ROUND(IF(F2415="alluminio",0,I2415*1.5%),4)</f>
        <v>0</v>
      </c>
      <c r="L2415" s="67">
        <f>ROUND(IF(K2415&lt;J2415,K2415,0),4)</f>
        <v>0</v>
      </c>
      <c r="M2415" s="67">
        <f>ROUND(IF(J2415&gt;K2415,0,J2415),4)</f>
        <v>0</v>
      </c>
      <c r="N2415" s="67">
        <f>ROUND(+L2415*D2415,4)</f>
        <v>0</v>
      </c>
      <c r="O2415" s="67">
        <f>ROUND(IF(F2415="rame",0,+I2415*3%),4)</f>
        <v>0</v>
      </c>
      <c r="P2415" s="67">
        <f>ROUND(IF(O2415&lt;J2415,O2415,0),4)</f>
        <v>0</v>
      </c>
      <c r="Q2415" s="67">
        <f>ROUND(IF(J2415&gt;O2415,0,J2415),4)</f>
        <v>0</v>
      </c>
      <c r="R2415" s="67">
        <f>ROUND(+P2415*D2415,4)</f>
        <v>0</v>
      </c>
      <c r="S2415" s="67">
        <f>ROUND(IF(K2415=0,0,M2415*D2415),4)</f>
        <v>0</v>
      </c>
      <c r="T2415" s="67">
        <f>ROUND(+IF(K2415=0,Q2415*D2415,0),4)</f>
        <v>0</v>
      </c>
      <c r="U2415" s="67">
        <f>ROUND(+N2415+R2415+S2415+T2415,4)</f>
        <v>0</v>
      </c>
      <c r="V2415" s="67">
        <f>ROUND(IF(P2415=0,0,I2415-H2415-O2415)+IF(L2415=0,0,I2415-H2415-K2415),4)</f>
        <v>0</v>
      </c>
      <c r="W2415" s="67">
        <f>ROUND(+(V2415*60%)*D2415,4)</f>
        <v>0</v>
      </c>
      <c r="X2415" s="148">
        <f>ROUND(+U2415+W2415,4)</f>
        <v>0</v>
      </c>
      <c r="Y2415" s="68"/>
      <c r="Z2415" s="148">
        <f>ROUND(IF(X2415&gt;I2415,X2415,I2415),4)</f>
        <v>0</v>
      </c>
      <c r="AD2415" s="78">
        <f t="shared" si="52"/>
        <v>0</v>
      </c>
      <c r="AE2415" s="78">
        <f t="shared" si="53"/>
        <v>0</v>
      </c>
    </row>
    <row r="2416" spans="1:31" x14ac:dyDescent="0.2">
      <c r="A2416" s="66"/>
      <c r="B2416" s="66"/>
      <c r="C2416" s="66"/>
      <c r="D2416" s="144"/>
      <c r="E2416" s="67"/>
      <c r="F2416" s="67"/>
      <c r="G2416" s="67"/>
      <c r="H2416" s="67">
        <f>ROUND(+E2416+G2416,4)</f>
        <v>0</v>
      </c>
      <c r="I2416" s="67"/>
      <c r="J2416" s="67">
        <f>ROUND(+I2416-H2416,4)</f>
        <v>0</v>
      </c>
      <c r="K2416" s="67">
        <f>ROUND(IF(F2416="alluminio",0,I2416*1.5%),4)</f>
        <v>0</v>
      </c>
      <c r="L2416" s="67">
        <f>ROUND(IF(K2416&lt;J2416,K2416,0),4)</f>
        <v>0</v>
      </c>
      <c r="M2416" s="67">
        <f>ROUND(IF(J2416&gt;K2416,0,J2416),4)</f>
        <v>0</v>
      </c>
      <c r="N2416" s="67">
        <f>ROUND(+L2416*D2416,4)</f>
        <v>0</v>
      </c>
      <c r="O2416" s="67">
        <f>ROUND(IF(F2416="rame",0,+I2416*3%),4)</f>
        <v>0</v>
      </c>
      <c r="P2416" s="67">
        <f>ROUND(IF(O2416&lt;J2416,O2416,0),4)</f>
        <v>0</v>
      </c>
      <c r="Q2416" s="67">
        <f>ROUND(IF(J2416&gt;O2416,0,J2416),4)</f>
        <v>0</v>
      </c>
      <c r="R2416" s="67">
        <f>ROUND(+P2416*D2416,4)</f>
        <v>0</v>
      </c>
      <c r="S2416" s="67">
        <f>ROUND(IF(K2416=0,0,M2416*D2416),4)</f>
        <v>0</v>
      </c>
      <c r="T2416" s="67">
        <f>ROUND(+IF(K2416=0,Q2416*D2416,0),4)</f>
        <v>0</v>
      </c>
      <c r="U2416" s="67">
        <f>ROUND(+N2416+R2416+S2416+T2416,4)</f>
        <v>0</v>
      </c>
      <c r="V2416" s="67">
        <f>ROUND(IF(P2416=0,0,I2416-H2416-O2416)+IF(L2416=0,0,I2416-H2416-K2416),4)</f>
        <v>0</v>
      </c>
      <c r="W2416" s="67">
        <f>ROUND(+(V2416*60%)*D2416,4)</f>
        <v>0</v>
      </c>
      <c r="X2416" s="148">
        <f>ROUND(+U2416+W2416,4)</f>
        <v>0</v>
      </c>
      <c r="Y2416" s="68"/>
      <c r="Z2416" s="148">
        <f>ROUND(IF(X2416&gt;I2416,X2416,I2416),4)</f>
        <v>0</v>
      </c>
      <c r="AD2416" s="78">
        <f t="shared" si="52"/>
        <v>0</v>
      </c>
      <c r="AE2416" s="78">
        <f t="shared" si="53"/>
        <v>0</v>
      </c>
    </row>
    <row r="2417" spans="1:31" x14ac:dyDescent="0.2">
      <c r="A2417" s="66"/>
      <c r="B2417" s="66"/>
      <c r="C2417" s="66"/>
      <c r="D2417" s="144"/>
      <c r="E2417" s="67"/>
      <c r="F2417" s="67"/>
      <c r="G2417" s="67"/>
      <c r="H2417" s="67">
        <f>ROUND(+E2417+G2417,4)</f>
        <v>0</v>
      </c>
      <c r="I2417" s="67"/>
      <c r="J2417" s="67">
        <f>ROUND(+I2417-H2417,4)</f>
        <v>0</v>
      </c>
      <c r="K2417" s="67">
        <f>ROUND(IF(F2417="alluminio",0,I2417*1.5%),4)</f>
        <v>0</v>
      </c>
      <c r="L2417" s="67">
        <f>ROUND(IF(K2417&lt;J2417,K2417,0),4)</f>
        <v>0</v>
      </c>
      <c r="M2417" s="67">
        <f>ROUND(IF(J2417&gt;K2417,0,J2417),4)</f>
        <v>0</v>
      </c>
      <c r="N2417" s="67">
        <f>ROUND(+L2417*D2417,4)</f>
        <v>0</v>
      </c>
      <c r="O2417" s="67">
        <f>ROUND(IF(F2417="rame",0,+I2417*3%),4)</f>
        <v>0</v>
      </c>
      <c r="P2417" s="67">
        <f>ROUND(IF(O2417&lt;J2417,O2417,0),4)</f>
        <v>0</v>
      </c>
      <c r="Q2417" s="67">
        <f>ROUND(IF(J2417&gt;O2417,0,J2417),4)</f>
        <v>0</v>
      </c>
      <c r="R2417" s="67">
        <f>ROUND(+P2417*D2417,4)</f>
        <v>0</v>
      </c>
      <c r="S2417" s="67">
        <f>ROUND(IF(K2417=0,0,M2417*D2417),4)</f>
        <v>0</v>
      </c>
      <c r="T2417" s="67">
        <f>ROUND(+IF(K2417=0,Q2417*D2417,0),4)</f>
        <v>0</v>
      </c>
      <c r="U2417" s="67">
        <f>ROUND(+N2417+R2417+S2417+T2417,4)</f>
        <v>0</v>
      </c>
      <c r="V2417" s="67">
        <f>ROUND(IF(P2417=0,0,I2417-H2417-O2417)+IF(L2417=0,0,I2417-H2417-K2417),4)</f>
        <v>0</v>
      </c>
      <c r="W2417" s="67">
        <f>ROUND(+(V2417*60%)*D2417,4)</f>
        <v>0</v>
      </c>
      <c r="X2417" s="148">
        <f>ROUND(+U2417+W2417,4)</f>
        <v>0</v>
      </c>
      <c r="Y2417" s="68"/>
      <c r="Z2417" s="148">
        <f>ROUND(IF(X2417&gt;I2417,X2417,I2417),4)</f>
        <v>0</v>
      </c>
      <c r="AD2417" s="78">
        <f t="shared" si="52"/>
        <v>0</v>
      </c>
      <c r="AE2417" s="78">
        <f t="shared" si="53"/>
        <v>0</v>
      </c>
    </row>
    <row r="2418" spans="1:31" x14ac:dyDescent="0.2">
      <c r="A2418" s="66"/>
      <c r="B2418" s="66"/>
      <c r="C2418" s="66"/>
      <c r="D2418" s="144"/>
      <c r="E2418" s="67"/>
      <c r="F2418" s="67"/>
      <c r="G2418" s="67"/>
      <c r="H2418" s="67">
        <f>ROUND(+E2418+G2418,4)</f>
        <v>0</v>
      </c>
      <c r="I2418" s="67"/>
      <c r="J2418" s="67">
        <f>ROUND(+I2418-H2418,4)</f>
        <v>0</v>
      </c>
      <c r="K2418" s="67">
        <f>ROUND(IF(F2418="alluminio",0,I2418*1.5%),4)</f>
        <v>0</v>
      </c>
      <c r="L2418" s="67">
        <f>ROUND(IF(K2418&lt;J2418,K2418,0),4)</f>
        <v>0</v>
      </c>
      <c r="M2418" s="67">
        <f>ROUND(IF(J2418&gt;K2418,0,J2418),4)</f>
        <v>0</v>
      </c>
      <c r="N2418" s="67">
        <f>ROUND(+L2418*D2418,4)</f>
        <v>0</v>
      </c>
      <c r="O2418" s="67">
        <f>ROUND(IF(F2418="rame",0,+I2418*3%),4)</f>
        <v>0</v>
      </c>
      <c r="P2418" s="67">
        <f>ROUND(IF(O2418&lt;J2418,O2418,0),4)</f>
        <v>0</v>
      </c>
      <c r="Q2418" s="67">
        <f>ROUND(IF(J2418&gt;O2418,0,J2418),4)</f>
        <v>0</v>
      </c>
      <c r="R2418" s="67">
        <f>ROUND(+P2418*D2418,4)</f>
        <v>0</v>
      </c>
      <c r="S2418" s="67">
        <f>ROUND(IF(K2418=0,0,M2418*D2418),4)</f>
        <v>0</v>
      </c>
      <c r="T2418" s="67">
        <f>ROUND(+IF(K2418=0,Q2418*D2418,0),4)</f>
        <v>0</v>
      </c>
      <c r="U2418" s="67">
        <f>ROUND(+N2418+R2418+S2418+T2418,4)</f>
        <v>0</v>
      </c>
      <c r="V2418" s="67">
        <f>ROUND(IF(P2418=0,0,I2418-H2418-O2418)+IF(L2418=0,0,I2418-H2418-K2418),4)</f>
        <v>0</v>
      </c>
      <c r="W2418" s="67">
        <f>ROUND(+(V2418*60%)*D2418,4)</f>
        <v>0</v>
      </c>
      <c r="X2418" s="148">
        <f>ROUND(+U2418+W2418,4)</f>
        <v>0</v>
      </c>
      <c r="Y2418" s="68"/>
      <c r="Z2418" s="148">
        <f>ROUND(IF(X2418&gt;I2418,X2418,I2418),4)</f>
        <v>0</v>
      </c>
      <c r="AD2418" s="78">
        <f t="shared" si="52"/>
        <v>0</v>
      </c>
      <c r="AE2418" s="78">
        <f t="shared" si="53"/>
        <v>0</v>
      </c>
    </row>
    <row r="2419" spans="1:31" x14ac:dyDescent="0.2">
      <c r="A2419" s="66"/>
      <c r="B2419" s="66"/>
      <c r="C2419" s="66"/>
      <c r="D2419" s="144"/>
      <c r="E2419" s="67"/>
      <c r="F2419" s="67"/>
      <c r="G2419" s="67"/>
      <c r="H2419" s="67">
        <f>ROUND(+E2419+G2419,4)</f>
        <v>0</v>
      </c>
      <c r="I2419" s="67"/>
      <c r="J2419" s="67">
        <f>ROUND(+I2419-H2419,4)</f>
        <v>0</v>
      </c>
      <c r="K2419" s="67">
        <f>ROUND(IF(F2419="alluminio",0,I2419*1.5%),4)</f>
        <v>0</v>
      </c>
      <c r="L2419" s="67">
        <f>ROUND(IF(K2419&lt;J2419,K2419,0),4)</f>
        <v>0</v>
      </c>
      <c r="M2419" s="67">
        <f>ROUND(IF(J2419&gt;K2419,0,J2419),4)</f>
        <v>0</v>
      </c>
      <c r="N2419" s="67">
        <f>ROUND(+L2419*D2419,4)</f>
        <v>0</v>
      </c>
      <c r="O2419" s="67">
        <f>ROUND(IF(F2419="rame",0,+I2419*3%),4)</f>
        <v>0</v>
      </c>
      <c r="P2419" s="67">
        <f>ROUND(IF(O2419&lt;J2419,O2419,0),4)</f>
        <v>0</v>
      </c>
      <c r="Q2419" s="67">
        <f>ROUND(IF(J2419&gt;O2419,0,J2419),4)</f>
        <v>0</v>
      </c>
      <c r="R2419" s="67">
        <f>ROUND(+P2419*D2419,4)</f>
        <v>0</v>
      </c>
      <c r="S2419" s="67">
        <f>ROUND(IF(K2419=0,0,M2419*D2419),4)</f>
        <v>0</v>
      </c>
      <c r="T2419" s="67">
        <f>ROUND(+IF(K2419=0,Q2419*D2419,0),4)</f>
        <v>0</v>
      </c>
      <c r="U2419" s="67">
        <f>ROUND(+N2419+R2419+S2419+T2419,4)</f>
        <v>0</v>
      </c>
      <c r="V2419" s="67">
        <f>ROUND(IF(P2419=0,0,I2419-H2419-O2419)+IF(L2419=0,0,I2419-H2419-K2419),4)</f>
        <v>0</v>
      </c>
      <c r="W2419" s="67">
        <f>ROUND(+(V2419*60%)*D2419,4)</f>
        <v>0</v>
      </c>
      <c r="X2419" s="148">
        <f>ROUND(+U2419+W2419,4)</f>
        <v>0</v>
      </c>
      <c r="Y2419" s="68"/>
      <c r="Z2419" s="148">
        <f>ROUND(IF(X2419&gt;I2419,X2419,I2419),4)</f>
        <v>0</v>
      </c>
      <c r="AD2419" s="78">
        <f t="shared" si="52"/>
        <v>0</v>
      </c>
      <c r="AE2419" s="78">
        <f t="shared" si="53"/>
        <v>0</v>
      </c>
    </row>
    <row r="2420" spans="1:31" x14ac:dyDescent="0.2">
      <c r="A2420" s="66"/>
      <c r="B2420" s="66"/>
      <c r="C2420" s="66"/>
      <c r="D2420" s="144"/>
      <c r="E2420" s="67"/>
      <c r="F2420" s="67"/>
      <c r="G2420" s="67"/>
      <c r="H2420" s="67">
        <f>ROUND(+E2420+G2420,4)</f>
        <v>0</v>
      </c>
      <c r="I2420" s="67"/>
      <c r="J2420" s="67">
        <f>ROUND(+I2420-H2420,4)</f>
        <v>0</v>
      </c>
      <c r="K2420" s="67">
        <f>ROUND(IF(F2420="alluminio",0,I2420*1.5%),4)</f>
        <v>0</v>
      </c>
      <c r="L2420" s="67">
        <f>ROUND(IF(K2420&lt;J2420,K2420,0),4)</f>
        <v>0</v>
      </c>
      <c r="M2420" s="67">
        <f>ROUND(IF(J2420&gt;K2420,0,J2420),4)</f>
        <v>0</v>
      </c>
      <c r="N2420" s="67">
        <f>ROUND(+L2420*D2420,4)</f>
        <v>0</v>
      </c>
      <c r="O2420" s="67">
        <f>ROUND(IF(F2420="rame",0,+I2420*3%),4)</f>
        <v>0</v>
      </c>
      <c r="P2420" s="67">
        <f>ROUND(IF(O2420&lt;J2420,O2420,0),4)</f>
        <v>0</v>
      </c>
      <c r="Q2420" s="67">
        <f>ROUND(IF(J2420&gt;O2420,0,J2420),4)</f>
        <v>0</v>
      </c>
      <c r="R2420" s="67">
        <f>ROUND(+P2420*D2420,4)</f>
        <v>0</v>
      </c>
      <c r="S2420" s="67">
        <f>ROUND(IF(K2420=0,0,M2420*D2420),4)</f>
        <v>0</v>
      </c>
      <c r="T2420" s="67">
        <f>ROUND(+IF(K2420=0,Q2420*D2420,0),4)</f>
        <v>0</v>
      </c>
      <c r="U2420" s="67">
        <f>ROUND(+N2420+R2420+S2420+T2420,4)</f>
        <v>0</v>
      </c>
      <c r="V2420" s="67">
        <f>ROUND(IF(P2420=0,0,I2420-H2420-O2420)+IF(L2420=0,0,I2420-H2420-K2420),4)</f>
        <v>0</v>
      </c>
      <c r="W2420" s="67">
        <f>ROUND(+(V2420*60%)*D2420,4)</f>
        <v>0</v>
      </c>
      <c r="X2420" s="148">
        <f>ROUND(+U2420+W2420,4)</f>
        <v>0</v>
      </c>
      <c r="Y2420" s="68"/>
      <c r="Z2420" s="148">
        <f>ROUND(IF(X2420&gt;I2420,X2420,I2420),4)</f>
        <v>0</v>
      </c>
      <c r="AD2420" s="78">
        <f t="shared" si="52"/>
        <v>0</v>
      </c>
      <c r="AE2420" s="78">
        <f t="shared" si="53"/>
        <v>0</v>
      </c>
    </row>
    <row r="2421" spans="1:31" x14ac:dyDescent="0.2">
      <c r="A2421" s="66"/>
      <c r="B2421" s="66"/>
      <c r="C2421" s="66"/>
      <c r="D2421" s="144"/>
      <c r="E2421" s="67"/>
      <c r="F2421" s="67"/>
      <c r="G2421" s="67"/>
      <c r="H2421" s="67">
        <f>ROUND(+E2421+G2421,4)</f>
        <v>0</v>
      </c>
      <c r="I2421" s="67"/>
      <c r="J2421" s="67">
        <f>ROUND(+I2421-H2421,4)</f>
        <v>0</v>
      </c>
      <c r="K2421" s="67">
        <f>ROUND(IF(F2421="alluminio",0,I2421*1.5%),4)</f>
        <v>0</v>
      </c>
      <c r="L2421" s="67">
        <f>ROUND(IF(K2421&lt;J2421,K2421,0),4)</f>
        <v>0</v>
      </c>
      <c r="M2421" s="67">
        <f>ROUND(IF(J2421&gt;K2421,0,J2421),4)</f>
        <v>0</v>
      </c>
      <c r="N2421" s="67">
        <f>ROUND(+L2421*D2421,4)</f>
        <v>0</v>
      </c>
      <c r="O2421" s="67">
        <f>ROUND(IF(F2421="rame",0,+I2421*3%),4)</f>
        <v>0</v>
      </c>
      <c r="P2421" s="67">
        <f>ROUND(IF(O2421&lt;J2421,O2421,0),4)</f>
        <v>0</v>
      </c>
      <c r="Q2421" s="67">
        <f>ROUND(IF(J2421&gt;O2421,0,J2421),4)</f>
        <v>0</v>
      </c>
      <c r="R2421" s="67">
        <f>ROUND(+P2421*D2421,4)</f>
        <v>0</v>
      </c>
      <c r="S2421" s="67">
        <f>ROUND(IF(K2421=0,0,M2421*D2421),4)</f>
        <v>0</v>
      </c>
      <c r="T2421" s="67">
        <f>ROUND(+IF(K2421=0,Q2421*D2421,0),4)</f>
        <v>0</v>
      </c>
      <c r="U2421" s="67">
        <f>ROUND(+N2421+R2421+S2421+T2421,4)</f>
        <v>0</v>
      </c>
      <c r="V2421" s="67">
        <f>ROUND(IF(P2421=0,0,I2421-H2421-O2421)+IF(L2421=0,0,I2421-H2421-K2421),4)</f>
        <v>0</v>
      </c>
      <c r="W2421" s="67">
        <f>ROUND(+(V2421*60%)*D2421,4)</f>
        <v>0</v>
      </c>
      <c r="X2421" s="148">
        <f>ROUND(+U2421+W2421,4)</f>
        <v>0</v>
      </c>
      <c r="Y2421" s="68"/>
      <c r="Z2421" s="148">
        <f>ROUND(IF(X2421&gt;I2421,X2421,I2421),4)</f>
        <v>0</v>
      </c>
      <c r="AD2421" s="78">
        <f t="shared" si="52"/>
        <v>0</v>
      </c>
      <c r="AE2421" s="78">
        <f t="shared" si="53"/>
        <v>0</v>
      </c>
    </row>
    <row r="2422" spans="1:31" x14ac:dyDescent="0.2">
      <c r="A2422" s="66"/>
      <c r="B2422" s="66"/>
      <c r="C2422" s="66"/>
      <c r="D2422" s="144"/>
      <c r="E2422" s="67"/>
      <c r="F2422" s="67"/>
      <c r="G2422" s="67"/>
      <c r="H2422" s="67">
        <f>ROUND(+E2422+G2422,4)</f>
        <v>0</v>
      </c>
      <c r="I2422" s="67"/>
      <c r="J2422" s="67">
        <f>ROUND(+I2422-H2422,4)</f>
        <v>0</v>
      </c>
      <c r="K2422" s="67">
        <f>ROUND(IF(F2422="alluminio",0,I2422*1.5%),4)</f>
        <v>0</v>
      </c>
      <c r="L2422" s="67">
        <f>ROUND(IF(K2422&lt;J2422,K2422,0),4)</f>
        <v>0</v>
      </c>
      <c r="M2422" s="67">
        <f>ROUND(IF(J2422&gt;K2422,0,J2422),4)</f>
        <v>0</v>
      </c>
      <c r="N2422" s="67">
        <f>ROUND(+L2422*D2422,4)</f>
        <v>0</v>
      </c>
      <c r="O2422" s="67">
        <f>ROUND(IF(F2422="rame",0,+I2422*3%),4)</f>
        <v>0</v>
      </c>
      <c r="P2422" s="67">
        <f>ROUND(IF(O2422&lt;J2422,O2422,0),4)</f>
        <v>0</v>
      </c>
      <c r="Q2422" s="67">
        <f>ROUND(IF(J2422&gt;O2422,0,J2422),4)</f>
        <v>0</v>
      </c>
      <c r="R2422" s="67">
        <f>ROUND(+P2422*D2422,4)</f>
        <v>0</v>
      </c>
      <c r="S2422" s="67">
        <f>ROUND(IF(K2422=0,0,M2422*D2422),4)</f>
        <v>0</v>
      </c>
      <c r="T2422" s="67">
        <f>ROUND(+IF(K2422=0,Q2422*D2422,0),4)</f>
        <v>0</v>
      </c>
      <c r="U2422" s="67">
        <f>ROUND(+N2422+R2422+S2422+T2422,4)</f>
        <v>0</v>
      </c>
      <c r="V2422" s="67">
        <f>ROUND(IF(P2422=0,0,I2422-H2422-O2422)+IF(L2422=0,0,I2422-H2422-K2422),4)</f>
        <v>0</v>
      </c>
      <c r="W2422" s="67">
        <f>ROUND(+(V2422*60%)*D2422,4)</f>
        <v>0</v>
      </c>
      <c r="X2422" s="148">
        <f>ROUND(+U2422+W2422,4)</f>
        <v>0</v>
      </c>
      <c r="Y2422" s="68"/>
      <c r="Z2422" s="148">
        <f>ROUND(IF(X2422&gt;I2422,X2422,I2422),4)</f>
        <v>0</v>
      </c>
      <c r="AD2422" s="78">
        <f t="shared" si="52"/>
        <v>0</v>
      </c>
      <c r="AE2422" s="78">
        <f t="shared" si="53"/>
        <v>0</v>
      </c>
    </row>
    <row r="2423" spans="1:31" x14ac:dyDescent="0.2">
      <c r="A2423" s="66"/>
      <c r="B2423" s="66"/>
      <c r="C2423" s="66"/>
      <c r="D2423" s="144"/>
      <c r="E2423" s="67"/>
      <c r="F2423" s="67"/>
      <c r="G2423" s="67"/>
      <c r="H2423" s="67">
        <f>ROUND(+E2423+G2423,4)</f>
        <v>0</v>
      </c>
      <c r="I2423" s="67"/>
      <c r="J2423" s="67">
        <f>ROUND(+I2423-H2423,4)</f>
        <v>0</v>
      </c>
      <c r="K2423" s="67">
        <f>ROUND(IF(F2423="alluminio",0,I2423*1.5%),4)</f>
        <v>0</v>
      </c>
      <c r="L2423" s="67">
        <f>ROUND(IF(K2423&lt;J2423,K2423,0),4)</f>
        <v>0</v>
      </c>
      <c r="M2423" s="67">
        <f>ROUND(IF(J2423&gt;K2423,0,J2423),4)</f>
        <v>0</v>
      </c>
      <c r="N2423" s="67">
        <f>ROUND(+L2423*D2423,4)</f>
        <v>0</v>
      </c>
      <c r="O2423" s="67">
        <f>ROUND(IF(F2423="rame",0,+I2423*3%),4)</f>
        <v>0</v>
      </c>
      <c r="P2423" s="67">
        <f>ROUND(IF(O2423&lt;J2423,O2423,0),4)</f>
        <v>0</v>
      </c>
      <c r="Q2423" s="67">
        <f>ROUND(IF(J2423&gt;O2423,0,J2423),4)</f>
        <v>0</v>
      </c>
      <c r="R2423" s="67">
        <f>ROUND(+P2423*D2423,4)</f>
        <v>0</v>
      </c>
      <c r="S2423" s="67">
        <f>ROUND(IF(K2423=0,0,M2423*D2423),4)</f>
        <v>0</v>
      </c>
      <c r="T2423" s="67">
        <f>ROUND(+IF(K2423=0,Q2423*D2423,0),4)</f>
        <v>0</v>
      </c>
      <c r="U2423" s="67">
        <f>ROUND(+N2423+R2423+S2423+T2423,4)</f>
        <v>0</v>
      </c>
      <c r="V2423" s="67">
        <f>ROUND(IF(P2423=0,0,I2423-H2423-O2423)+IF(L2423=0,0,I2423-H2423-K2423),4)</f>
        <v>0</v>
      </c>
      <c r="W2423" s="67">
        <f>ROUND(+(V2423*60%)*D2423,4)</f>
        <v>0</v>
      </c>
      <c r="X2423" s="148">
        <f>ROUND(+U2423+W2423,4)</f>
        <v>0</v>
      </c>
      <c r="Y2423" s="68"/>
      <c r="Z2423" s="148">
        <f>ROUND(IF(X2423&gt;I2423,X2423,I2423),4)</f>
        <v>0</v>
      </c>
      <c r="AD2423" s="78">
        <f t="shared" si="52"/>
        <v>0</v>
      </c>
      <c r="AE2423" s="78">
        <f t="shared" si="53"/>
        <v>0</v>
      </c>
    </row>
    <row r="2424" spans="1:31" x14ac:dyDescent="0.2">
      <c r="A2424" s="66"/>
      <c r="B2424" s="66"/>
      <c r="C2424" s="66"/>
      <c r="D2424" s="144"/>
      <c r="E2424" s="67"/>
      <c r="F2424" s="67"/>
      <c r="G2424" s="67"/>
      <c r="H2424" s="67">
        <f>ROUND(+E2424+G2424,4)</f>
        <v>0</v>
      </c>
      <c r="I2424" s="67"/>
      <c r="J2424" s="67">
        <f>ROUND(+I2424-H2424,4)</f>
        <v>0</v>
      </c>
      <c r="K2424" s="67">
        <f>ROUND(IF(F2424="alluminio",0,I2424*1.5%),4)</f>
        <v>0</v>
      </c>
      <c r="L2424" s="67">
        <f>ROUND(IF(K2424&lt;J2424,K2424,0),4)</f>
        <v>0</v>
      </c>
      <c r="M2424" s="67">
        <f>ROUND(IF(J2424&gt;K2424,0,J2424),4)</f>
        <v>0</v>
      </c>
      <c r="N2424" s="67">
        <f>ROUND(+L2424*D2424,4)</f>
        <v>0</v>
      </c>
      <c r="O2424" s="67">
        <f>ROUND(IF(F2424="rame",0,+I2424*3%),4)</f>
        <v>0</v>
      </c>
      <c r="P2424" s="67">
        <f>ROUND(IF(O2424&lt;J2424,O2424,0),4)</f>
        <v>0</v>
      </c>
      <c r="Q2424" s="67">
        <f>ROUND(IF(J2424&gt;O2424,0,J2424),4)</f>
        <v>0</v>
      </c>
      <c r="R2424" s="67">
        <f>ROUND(+P2424*D2424,4)</f>
        <v>0</v>
      </c>
      <c r="S2424" s="67">
        <f>ROUND(IF(K2424=0,0,M2424*D2424),4)</f>
        <v>0</v>
      </c>
      <c r="T2424" s="67">
        <f>ROUND(+IF(K2424=0,Q2424*D2424,0),4)</f>
        <v>0</v>
      </c>
      <c r="U2424" s="67">
        <f>ROUND(+N2424+R2424+S2424+T2424,4)</f>
        <v>0</v>
      </c>
      <c r="V2424" s="67">
        <f>ROUND(IF(P2424=0,0,I2424-H2424-O2424)+IF(L2424=0,0,I2424-H2424-K2424),4)</f>
        <v>0</v>
      </c>
      <c r="W2424" s="67">
        <f>ROUND(+(V2424*60%)*D2424,4)</f>
        <v>0</v>
      </c>
      <c r="X2424" s="148">
        <f>ROUND(+U2424+W2424,4)</f>
        <v>0</v>
      </c>
      <c r="Y2424" s="68"/>
      <c r="Z2424" s="148">
        <f>ROUND(IF(X2424&gt;I2424,X2424,I2424),4)</f>
        <v>0</v>
      </c>
      <c r="AD2424" s="78">
        <f t="shared" si="52"/>
        <v>0</v>
      </c>
      <c r="AE2424" s="78">
        <f t="shared" si="53"/>
        <v>0</v>
      </c>
    </row>
    <row r="2425" spans="1:31" x14ac:dyDescent="0.2">
      <c r="A2425" s="66"/>
      <c r="B2425" s="66"/>
      <c r="C2425" s="66"/>
      <c r="D2425" s="144"/>
      <c r="E2425" s="67"/>
      <c r="F2425" s="67"/>
      <c r="G2425" s="67"/>
      <c r="H2425" s="67">
        <f>ROUND(+E2425+G2425,4)</f>
        <v>0</v>
      </c>
      <c r="I2425" s="67"/>
      <c r="J2425" s="67">
        <f>ROUND(+I2425-H2425,4)</f>
        <v>0</v>
      </c>
      <c r="K2425" s="67">
        <f>ROUND(IF(F2425="alluminio",0,I2425*1.5%),4)</f>
        <v>0</v>
      </c>
      <c r="L2425" s="67">
        <f>ROUND(IF(K2425&lt;J2425,K2425,0),4)</f>
        <v>0</v>
      </c>
      <c r="M2425" s="67">
        <f>ROUND(IF(J2425&gt;K2425,0,J2425),4)</f>
        <v>0</v>
      </c>
      <c r="N2425" s="67">
        <f>ROUND(+L2425*D2425,4)</f>
        <v>0</v>
      </c>
      <c r="O2425" s="67">
        <f>ROUND(IF(F2425="rame",0,+I2425*3%),4)</f>
        <v>0</v>
      </c>
      <c r="P2425" s="67">
        <f>ROUND(IF(O2425&lt;J2425,O2425,0),4)</f>
        <v>0</v>
      </c>
      <c r="Q2425" s="67">
        <f>ROUND(IF(J2425&gt;O2425,0,J2425),4)</f>
        <v>0</v>
      </c>
      <c r="R2425" s="67">
        <f>ROUND(+P2425*D2425,4)</f>
        <v>0</v>
      </c>
      <c r="S2425" s="67">
        <f>ROUND(IF(K2425=0,0,M2425*D2425),4)</f>
        <v>0</v>
      </c>
      <c r="T2425" s="67">
        <f>ROUND(+IF(K2425=0,Q2425*D2425,0),4)</f>
        <v>0</v>
      </c>
      <c r="U2425" s="67">
        <f>ROUND(+N2425+R2425+S2425+T2425,4)</f>
        <v>0</v>
      </c>
      <c r="V2425" s="67">
        <f>ROUND(IF(P2425=0,0,I2425-H2425-O2425)+IF(L2425=0,0,I2425-H2425-K2425),4)</f>
        <v>0</v>
      </c>
      <c r="W2425" s="67">
        <f>ROUND(+(V2425*60%)*D2425,4)</f>
        <v>0</v>
      </c>
      <c r="X2425" s="148">
        <f>ROUND(+U2425+W2425,4)</f>
        <v>0</v>
      </c>
      <c r="Y2425" s="68"/>
      <c r="Z2425" s="148">
        <f>ROUND(IF(X2425&gt;I2425,X2425,I2425),4)</f>
        <v>0</v>
      </c>
      <c r="AD2425" s="78">
        <f t="shared" si="52"/>
        <v>0</v>
      </c>
      <c r="AE2425" s="78">
        <f t="shared" si="53"/>
        <v>0</v>
      </c>
    </row>
    <row r="2426" spans="1:31" x14ac:dyDescent="0.2">
      <c r="A2426" s="66"/>
      <c r="B2426" s="66"/>
      <c r="C2426" s="66"/>
      <c r="D2426" s="144"/>
      <c r="E2426" s="67"/>
      <c r="F2426" s="67"/>
      <c r="G2426" s="67"/>
      <c r="H2426" s="67">
        <f>ROUND(+E2426+G2426,4)</f>
        <v>0</v>
      </c>
      <c r="I2426" s="67"/>
      <c r="J2426" s="67">
        <f>ROUND(+I2426-H2426,4)</f>
        <v>0</v>
      </c>
      <c r="K2426" s="67">
        <f>ROUND(IF(F2426="alluminio",0,I2426*1.5%),4)</f>
        <v>0</v>
      </c>
      <c r="L2426" s="67">
        <f>ROUND(IF(K2426&lt;J2426,K2426,0),4)</f>
        <v>0</v>
      </c>
      <c r="M2426" s="67">
        <f>ROUND(IF(J2426&gt;K2426,0,J2426),4)</f>
        <v>0</v>
      </c>
      <c r="N2426" s="67">
        <f>ROUND(+L2426*D2426,4)</f>
        <v>0</v>
      </c>
      <c r="O2426" s="67">
        <f>ROUND(IF(F2426="rame",0,+I2426*3%),4)</f>
        <v>0</v>
      </c>
      <c r="P2426" s="67">
        <f>ROUND(IF(O2426&lt;J2426,O2426,0),4)</f>
        <v>0</v>
      </c>
      <c r="Q2426" s="67">
        <f>ROUND(IF(J2426&gt;O2426,0,J2426),4)</f>
        <v>0</v>
      </c>
      <c r="R2426" s="67">
        <f>ROUND(+P2426*D2426,4)</f>
        <v>0</v>
      </c>
      <c r="S2426" s="67">
        <f>ROUND(IF(K2426=0,0,M2426*D2426),4)</f>
        <v>0</v>
      </c>
      <c r="T2426" s="67">
        <f>ROUND(+IF(K2426=0,Q2426*D2426,0),4)</f>
        <v>0</v>
      </c>
      <c r="U2426" s="67">
        <f>ROUND(+N2426+R2426+S2426+T2426,4)</f>
        <v>0</v>
      </c>
      <c r="V2426" s="67">
        <f>ROUND(IF(P2426=0,0,I2426-H2426-O2426)+IF(L2426=0,0,I2426-H2426-K2426),4)</f>
        <v>0</v>
      </c>
      <c r="W2426" s="67">
        <f>ROUND(+(V2426*60%)*D2426,4)</f>
        <v>0</v>
      </c>
      <c r="X2426" s="148">
        <f>ROUND(+U2426+W2426,4)</f>
        <v>0</v>
      </c>
      <c r="Y2426" s="68"/>
      <c r="Z2426" s="148">
        <f>ROUND(IF(X2426&gt;I2426,X2426,I2426),4)</f>
        <v>0</v>
      </c>
      <c r="AD2426" s="78">
        <f t="shared" si="52"/>
        <v>0</v>
      </c>
      <c r="AE2426" s="78">
        <f t="shared" si="53"/>
        <v>0</v>
      </c>
    </row>
    <row r="2427" spans="1:31" x14ac:dyDescent="0.2">
      <c r="A2427" s="66"/>
      <c r="B2427" s="66"/>
      <c r="C2427" s="66"/>
      <c r="D2427" s="144"/>
      <c r="E2427" s="67"/>
      <c r="F2427" s="67"/>
      <c r="G2427" s="67"/>
      <c r="H2427" s="67">
        <f>ROUND(+E2427+G2427,4)</f>
        <v>0</v>
      </c>
      <c r="I2427" s="67"/>
      <c r="J2427" s="67">
        <f>ROUND(+I2427-H2427,4)</f>
        <v>0</v>
      </c>
      <c r="K2427" s="67">
        <f>ROUND(IF(F2427="alluminio",0,I2427*1.5%),4)</f>
        <v>0</v>
      </c>
      <c r="L2427" s="67">
        <f>ROUND(IF(K2427&lt;J2427,K2427,0),4)</f>
        <v>0</v>
      </c>
      <c r="M2427" s="67">
        <f>ROUND(IF(J2427&gt;K2427,0,J2427),4)</f>
        <v>0</v>
      </c>
      <c r="N2427" s="67">
        <f>ROUND(+L2427*D2427,4)</f>
        <v>0</v>
      </c>
      <c r="O2427" s="67">
        <f>ROUND(IF(F2427="rame",0,+I2427*3%),4)</f>
        <v>0</v>
      </c>
      <c r="P2427" s="67">
        <f>ROUND(IF(O2427&lt;J2427,O2427,0),4)</f>
        <v>0</v>
      </c>
      <c r="Q2427" s="67">
        <f>ROUND(IF(J2427&gt;O2427,0,J2427),4)</f>
        <v>0</v>
      </c>
      <c r="R2427" s="67">
        <f>ROUND(+P2427*D2427,4)</f>
        <v>0</v>
      </c>
      <c r="S2427" s="67">
        <f>ROUND(IF(K2427=0,0,M2427*D2427),4)</f>
        <v>0</v>
      </c>
      <c r="T2427" s="67">
        <f>ROUND(+IF(K2427=0,Q2427*D2427,0),4)</f>
        <v>0</v>
      </c>
      <c r="U2427" s="67">
        <f>ROUND(+N2427+R2427+S2427+T2427,4)</f>
        <v>0</v>
      </c>
      <c r="V2427" s="67">
        <f>ROUND(IF(P2427=0,0,I2427-H2427-O2427)+IF(L2427=0,0,I2427-H2427-K2427),4)</f>
        <v>0</v>
      </c>
      <c r="W2427" s="67">
        <f>ROUND(+(V2427*60%)*D2427,4)</f>
        <v>0</v>
      </c>
      <c r="X2427" s="148">
        <f>ROUND(+U2427+W2427,4)</f>
        <v>0</v>
      </c>
      <c r="Y2427" s="68"/>
      <c r="Z2427" s="148">
        <f>ROUND(IF(X2427&gt;I2427,X2427,I2427),4)</f>
        <v>0</v>
      </c>
      <c r="AD2427" s="78">
        <f t="shared" si="52"/>
        <v>0</v>
      </c>
      <c r="AE2427" s="78">
        <f t="shared" si="53"/>
        <v>0</v>
      </c>
    </row>
    <row r="2428" spans="1:31" x14ac:dyDescent="0.2">
      <c r="A2428" s="66"/>
      <c r="B2428" s="66"/>
      <c r="C2428" s="66"/>
      <c r="D2428" s="144"/>
      <c r="E2428" s="67"/>
      <c r="F2428" s="67"/>
      <c r="G2428" s="67"/>
      <c r="H2428" s="67">
        <f>ROUND(+E2428+G2428,4)</f>
        <v>0</v>
      </c>
      <c r="I2428" s="67"/>
      <c r="J2428" s="67">
        <f>ROUND(+I2428-H2428,4)</f>
        <v>0</v>
      </c>
      <c r="K2428" s="67">
        <f>ROUND(IF(F2428="alluminio",0,I2428*1.5%),4)</f>
        <v>0</v>
      </c>
      <c r="L2428" s="67">
        <f>ROUND(IF(K2428&lt;J2428,K2428,0),4)</f>
        <v>0</v>
      </c>
      <c r="M2428" s="67">
        <f>ROUND(IF(J2428&gt;K2428,0,J2428),4)</f>
        <v>0</v>
      </c>
      <c r="N2428" s="67">
        <f>ROUND(+L2428*D2428,4)</f>
        <v>0</v>
      </c>
      <c r="O2428" s="67">
        <f>ROUND(IF(F2428="rame",0,+I2428*3%),4)</f>
        <v>0</v>
      </c>
      <c r="P2428" s="67">
        <f>ROUND(IF(O2428&lt;J2428,O2428,0),4)</f>
        <v>0</v>
      </c>
      <c r="Q2428" s="67">
        <f>ROUND(IF(J2428&gt;O2428,0,J2428),4)</f>
        <v>0</v>
      </c>
      <c r="R2428" s="67">
        <f>ROUND(+P2428*D2428,4)</f>
        <v>0</v>
      </c>
      <c r="S2428" s="67">
        <f>ROUND(IF(K2428=0,0,M2428*D2428),4)</f>
        <v>0</v>
      </c>
      <c r="T2428" s="67">
        <f>ROUND(+IF(K2428=0,Q2428*D2428,0),4)</f>
        <v>0</v>
      </c>
      <c r="U2428" s="67">
        <f>ROUND(+N2428+R2428+S2428+T2428,4)</f>
        <v>0</v>
      </c>
      <c r="V2428" s="67">
        <f>ROUND(IF(P2428=0,0,I2428-H2428-O2428)+IF(L2428=0,0,I2428-H2428-K2428),4)</f>
        <v>0</v>
      </c>
      <c r="W2428" s="67">
        <f>ROUND(+(V2428*60%)*D2428,4)</f>
        <v>0</v>
      </c>
      <c r="X2428" s="148">
        <f>ROUND(+U2428+W2428,4)</f>
        <v>0</v>
      </c>
      <c r="Y2428" s="68"/>
      <c r="Z2428" s="148">
        <f>ROUND(IF(X2428&gt;I2428,X2428,I2428),4)</f>
        <v>0</v>
      </c>
      <c r="AD2428" s="78">
        <f t="shared" si="52"/>
        <v>0</v>
      </c>
      <c r="AE2428" s="78">
        <f t="shared" si="53"/>
        <v>0</v>
      </c>
    </row>
    <row r="2429" spans="1:31" x14ac:dyDescent="0.2">
      <c r="A2429" s="66"/>
      <c r="B2429" s="66"/>
      <c r="C2429" s="66"/>
      <c r="D2429" s="144"/>
      <c r="E2429" s="67"/>
      <c r="F2429" s="67"/>
      <c r="G2429" s="67"/>
      <c r="H2429" s="67">
        <f>ROUND(+E2429+G2429,4)</f>
        <v>0</v>
      </c>
      <c r="I2429" s="67"/>
      <c r="J2429" s="67">
        <f>ROUND(+I2429-H2429,4)</f>
        <v>0</v>
      </c>
      <c r="K2429" s="67">
        <f>ROUND(IF(F2429="alluminio",0,I2429*1.5%),4)</f>
        <v>0</v>
      </c>
      <c r="L2429" s="67">
        <f>ROUND(IF(K2429&lt;J2429,K2429,0),4)</f>
        <v>0</v>
      </c>
      <c r="M2429" s="67">
        <f>ROUND(IF(J2429&gt;K2429,0,J2429),4)</f>
        <v>0</v>
      </c>
      <c r="N2429" s="67">
        <f>ROUND(+L2429*D2429,4)</f>
        <v>0</v>
      </c>
      <c r="O2429" s="67">
        <f>ROUND(IF(F2429="rame",0,+I2429*3%),4)</f>
        <v>0</v>
      </c>
      <c r="P2429" s="67">
        <f>ROUND(IF(O2429&lt;J2429,O2429,0),4)</f>
        <v>0</v>
      </c>
      <c r="Q2429" s="67">
        <f>ROUND(IF(J2429&gt;O2429,0,J2429),4)</f>
        <v>0</v>
      </c>
      <c r="R2429" s="67">
        <f>ROUND(+P2429*D2429,4)</f>
        <v>0</v>
      </c>
      <c r="S2429" s="67">
        <f>ROUND(IF(K2429=0,0,M2429*D2429),4)</f>
        <v>0</v>
      </c>
      <c r="T2429" s="67">
        <f>ROUND(+IF(K2429=0,Q2429*D2429,0),4)</f>
        <v>0</v>
      </c>
      <c r="U2429" s="67">
        <f>ROUND(+N2429+R2429+S2429+T2429,4)</f>
        <v>0</v>
      </c>
      <c r="V2429" s="67">
        <f>ROUND(IF(P2429=0,0,I2429-H2429-O2429)+IF(L2429=0,0,I2429-H2429-K2429),4)</f>
        <v>0</v>
      </c>
      <c r="W2429" s="67">
        <f>ROUND(+(V2429*60%)*D2429,4)</f>
        <v>0</v>
      </c>
      <c r="X2429" s="148">
        <f>ROUND(+U2429+W2429,4)</f>
        <v>0</v>
      </c>
      <c r="Y2429" s="68"/>
      <c r="Z2429" s="148">
        <f>ROUND(IF(X2429&gt;I2429,X2429,I2429),4)</f>
        <v>0</v>
      </c>
      <c r="AD2429" s="78">
        <f t="shared" si="52"/>
        <v>0</v>
      </c>
      <c r="AE2429" s="78">
        <f t="shared" si="53"/>
        <v>0</v>
      </c>
    </row>
    <row r="2430" spans="1:31" x14ac:dyDescent="0.2">
      <c r="A2430" s="66"/>
      <c r="B2430" s="66"/>
      <c r="C2430" s="66"/>
      <c r="D2430" s="144"/>
      <c r="E2430" s="67"/>
      <c r="F2430" s="67"/>
      <c r="G2430" s="67"/>
      <c r="H2430" s="67">
        <f>ROUND(+E2430+G2430,4)</f>
        <v>0</v>
      </c>
      <c r="I2430" s="67"/>
      <c r="J2430" s="67">
        <f>ROUND(+I2430-H2430,4)</f>
        <v>0</v>
      </c>
      <c r="K2430" s="67">
        <f>ROUND(IF(F2430="alluminio",0,I2430*1.5%),4)</f>
        <v>0</v>
      </c>
      <c r="L2430" s="67">
        <f>ROUND(IF(K2430&lt;J2430,K2430,0),4)</f>
        <v>0</v>
      </c>
      <c r="M2430" s="67">
        <f>ROUND(IF(J2430&gt;K2430,0,J2430),4)</f>
        <v>0</v>
      </c>
      <c r="N2430" s="67">
        <f>ROUND(+L2430*D2430,4)</f>
        <v>0</v>
      </c>
      <c r="O2430" s="67">
        <f>ROUND(IF(F2430="rame",0,+I2430*3%),4)</f>
        <v>0</v>
      </c>
      <c r="P2430" s="67">
        <f>ROUND(IF(O2430&lt;J2430,O2430,0),4)</f>
        <v>0</v>
      </c>
      <c r="Q2430" s="67">
        <f>ROUND(IF(J2430&gt;O2430,0,J2430),4)</f>
        <v>0</v>
      </c>
      <c r="R2430" s="67">
        <f>ROUND(+P2430*D2430,4)</f>
        <v>0</v>
      </c>
      <c r="S2430" s="67">
        <f>ROUND(IF(K2430=0,0,M2430*D2430),4)</f>
        <v>0</v>
      </c>
      <c r="T2430" s="67">
        <f>ROUND(+IF(K2430=0,Q2430*D2430,0),4)</f>
        <v>0</v>
      </c>
      <c r="U2430" s="67">
        <f>ROUND(+N2430+R2430+S2430+T2430,4)</f>
        <v>0</v>
      </c>
      <c r="V2430" s="67">
        <f>ROUND(IF(P2430=0,0,I2430-H2430-O2430)+IF(L2430=0,0,I2430-H2430-K2430),4)</f>
        <v>0</v>
      </c>
      <c r="W2430" s="67">
        <f>ROUND(+(V2430*60%)*D2430,4)</f>
        <v>0</v>
      </c>
      <c r="X2430" s="148">
        <f>ROUND(+U2430+W2430,4)</f>
        <v>0</v>
      </c>
      <c r="Y2430" s="68"/>
      <c r="Z2430" s="148">
        <f>ROUND(IF(X2430&gt;I2430,X2430,I2430),4)</f>
        <v>0</v>
      </c>
      <c r="AD2430" s="78">
        <f t="shared" ref="AD2430:AD2493" si="54">IF(Y2430="",0,MONTH(Y2430))</f>
        <v>0</v>
      </c>
      <c r="AE2430" s="78">
        <f t="shared" ref="AE2430:AE2493" si="55">IF(Y2430="",0,YEAR(Y2430))</f>
        <v>0</v>
      </c>
    </row>
    <row r="2431" spans="1:31" x14ac:dyDescent="0.2">
      <c r="A2431" s="66"/>
      <c r="B2431" s="66"/>
      <c r="C2431" s="66"/>
      <c r="D2431" s="144"/>
      <c r="E2431" s="67"/>
      <c r="F2431" s="67"/>
      <c r="G2431" s="67"/>
      <c r="H2431" s="67">
        <f>ROUND(+E2431+G2431,4)</f>
        <v>0</v>
      </c>
      <c r="I2431" s="67"/>
      <c r="J2431" s="67">
        <f>ROUND(+I2431-H2431,4)</f>
        <v>0</v>
      </c>
      <c r="K2431" s="67">
        <f>ROUND(IF(F2431="alluminio",0,I2431*1.5%),4)</f>
        <v>0</v>
      </c>
      <c r="L2431" s="67">
        <f>ROUND(IF(K2431&lt;J2431,K2431,0),4)</f>
        <v>0</v>
      </c>
      <c r="M2431" s="67">
        <f>ROUND(IF(J2431&gt;K2431,0,J2431),4)</f>
        <v>0</v>
      </c>
      <c r="N2431" s="67">
        <f>ROUND(+L2431*D2431,4)</f>
        <v>0</v>
      </c>
      <c r="O2431" s="67">
        <f>ROUND(IF(F2431="rame",0,+I2431*3%),4)</f>
        <v>0</v>
      </c>
      <c r="P2431" s="67">
        <f>ROUND(IF(O2431&lt;J2431,O2431,0),4)</f>
        <v>0</v>
      </c>
      <c r="Q2431" s="67">
        <f>ROUND(IF(J2431&gt;O2431,0,J2431),4)</f>
        <v>0</v>
      </c>
      <c r="R2431" s="67">
        <f>ROUND(+P2431*D2431,4)</f>
        <v>0</v>
      </c>
      <c r="S2431" s="67">
        <f>ROUND(IF(K2431=0,0,M2431*D2431),4)</f>
        <v>0</v>
      </c>
      <c r="T2431" s="67">
        <f>ROUND(+IF(K2431=0,Q2431*D2431,0),4)</f>
        <v>0</v>
      </c>
      <c r="U2431" s="67">
        <f>ROUND(+N2431+R2431+S2431+T2431,4)</f>
        <v>0</v>
      </c>
      <c r="V2431" s="67">
        <f>ROUND(IF(P2431=0,0,I2431-H2431-O2431)+IF(L2431=0,0,I2431-H2431-K2431),4)</f>
        <v>0</v>
      </c>
      <c r="W2431" s="67">
        <f>ROUND(+(V2431*60%)*D2431,4)</f>
        <v>0</v>
      </c>
      <c r="X2431" s="148">
        <f>ROUND(+U2431+W2431,4)</f>
        <v>0</v>
      </c>
      <c r="Y2431" s="68"/>
      <c r="Z2431" s="148">
        <f>ROUND(IF(X2431&gt;I2431,X2431,I2431),4)</f>
        <v>0</v>
      </c>
      <c r="AD2431" s="78">
        <f t="shared" si="54"/>
        <v>0</v>
      </c>
      <c r="AE2431" s="78">
        <f t="shared" si="55"/>
        <v>0</v>
      </c>
    </row>
    <row r="2432" spans="1:31" x14ac:dyDescent="0.2">
      <c r="A2432" s="66"/>
      <c r="B2432" s="66"/>
      <c r="C2432" s="66"/>
      <c r="D2432" s="144"/>
      <c r="E2432" s="67"/>
      <c r="F2432" s="67"/>
      <c r="G2432" s="67"/>
      <c r="H2432" s="67">
        <f>ROUND(+E2432+G2432,4)</f>
        <v>0</v>
      </c>
      <c r="I2432" s="67"/>
      <c r="J2432" s="67">
        <f>ROUND(+I2432-H2432,4)</f>
        <v>0</v>
      </c>
      <c r="K2432" s="67">
        <f>ROUND(IF(F2432="alluminio",0,I2432*1.5%),4)</f>
        <v>0</v>
      </c>
      <c r="L2432" s="67">
        <f>ROUND(IF(K2432&lt;J2432,K2432,0),4)</f>
        <v>0</v>
      </c>
      <c r="M2432" s="67">
        <f>ROUND(IF(J2432&gt;K2432,0,J2432),4)</f>
        <v>0</v>
      </c>
      <c r="N2432" s="67">
        <f>ROUND(+L2432*D2432,4)</f>
        <v>0</v>
      </c>
      <c r="O2432" s="67">
        <f>ROUND(IF(F2432="rame",0,+I2432*3%),4)</f>
        <v>0</v>
      </c>
      <c r="P2432" s="67">
        <f>ROUND(IF(O2432&lt;J2432,O2432,0),4)</f>
        <v>0</v>
      </c>
      <c r="Q2432" s="67">
        <f>ROUND(IF(J2432&gt;O2432,0,J2432),4)</f>
        <v>0</v>
      </c>
      <c r="R2432" s="67">
        <f>ROUND(+P2432*D2432,4)</f>
        <v>0</v>
      </c>
      <c r="S2432" s="67">
        <f>ROUND(IF(K2432=0,0,M2432*D2432),4)</f>
        <v>0</v>
      </c>
      <c r="T2432" s="67">
        <f>ROUND(+IF(K2432=0,Q2432*D2432,0),4)</f>
        <v>0</v>
      </c>
      <c r="U2432" s="67">
        <f>ROUND(+N2432+R2432+S2432+T2432,4)</f>
        <v>0</v>
      </c>
      <c r="V2432" s="67">
        <f>ROUND(IF(P2432=0,0,I2432-H2432-O2432)+IF(L2432=0,0,I2432-H2432-K2432),4)</f>
        <v>0</v>
      </c>
      <c r="W2432" s="67">
        <f>ROUND(+(V2432*60%)*D2432,4)</f>
        <v>0</v>
      </c>
      <c r="X2432" s="148">
        <f>ROUND(+U2432+W2432,4)</f>
        <v>0</v>
      </c>
      <c r="Y2432" s="68"/>
      <c r="Z2432" s="148">
        <f>ROUND(IF(X2432&gt;I2432,X2432,I2432),4)</f>
        <v>0</v>
      </c>
      <c r="AD2432" s="78">
        <f t="shared" si="54"/>
        <v>0</v>
      </c>
      <c r="AE2432" s="78">
        <f t="shared" si="55"/>
        <v>0</v>
      </c>
    </row>
    <row r="2433" spans="1:31" x14ac:dyDescent="0.2">
      <c r="A2433" s="66"/>
      <c r="B2433" s="66"/>
      <c r="C2433" s="66"/>
      <c r="D2433" s="144"/>
      <c r="E2433" s="67"/>
      <c r="F2433" s="67"/>
      <c r="G2433" s="67"/>
      <c r="H2433" s="67">
        <f>ROUND(+E2433+G2433,4)</f>
        <v>0</v>
      </c>
      <c r="I2433" s="67"/>
      <c r="J2433" s="67">
        <f>ROUND(+I2433-H2433,4)</f>
        <v>0</v>
      </c>
      <c r="K2433" s="67">
        <f>ROUND(IF(F2433="alluminio",0,I2433*1.5%),4)</f>
        <v>0</v>
      </c>
      <c r="L2433" s="67">
        <f>ROUND(IF(K2433&lt;J2433,K2433,0),4)</f>
        <v>0</v>
      </c>
      <c r="M2433" s="67">
        <f>ROUND(IF(J2433&gt;K2433,0,J2433),4)</f>
        <v>0</v>
      </c>
      <c r="N2433" s="67">
        <f>ROUND(+L2433*D2433,4)</f>
        <v>0</v>
      </c>
      <c r="O2433" s="67">
        <f>ROUND(IF(F2433="rame",0,+I2433*3%),4)</f>
        <v>0</v>
      </c>
      <c r="P2433" s="67">
        <f>ROUND(IF(O2433&lt;J2433,O2433,0),4)</f>
        <v>0</v>
      </c>
      <c r="Q2433" s="67">
        <f>ROUND(IF(J2433&gt;O2433,0,J2433),4)</f>
        <v>0</v>
      </c>
      <c r="R2433" s="67">
        <f>ROUND(+P2433*D2433,4)</f>
        <v>0</v>
      </c>
      <c r="S2433" s="67">
        <f>ROUND(IF(K2433=0,0,M2433*D2433),4)</f>
        <v>0</v>
      </c>
      <c r="T2433" s="67">
        <f>ROUND(+IF(K2433=0,Q2433*D2433,0),4)</f>
        <v>0</v>
      </c>
      <c r="U2433" s="67">
        <f>ROUND(+N2433+R2433+S2433+T2433,4)</f>
        <v>0</v>
      </c>
      <c r="V2433" s="67">
        <f>ROUND(IF(P2433=0,0,I2433-H2433-O2433)+IF(L2433=0,0,I2433-H2433-K2433),4)</f>
        <v>0</v>
      </c>
      <c r="W2433" s="67">
        <f>ROUND(+(V2433*60%)*D2433,4)</f>
        <v>0</v>
      </c>
      <c r="X2433" s="148">
        <f>ROUND(+U2433+W2433,4)</f>
        <v>0</v>
      </c>
      <c r="Y2433" s="68"/>
      <c r="Z2433" s="148">
        <f>ROUND(IF(X2433&gt;I2433,X2433,I2433),4)</f>
        <v>0</v>
      </c>
      <c r="AD2433" s="78">
        <f t="shared" si="54"/>
        <v>0</v>
      </c>
      <c r="AE2433" s="78">
        <f t="shared" si="55"/>
        <v>0</v>
      </c>
    </row>
    <row r="2434" spans="1:31" x14ac:dyDescent="0.2">
      <c r="A2434" s="66"/>
      <c r="B2434" s="66"/>
      <c r="C2434" s="66"/>
      <c r="D2434" s="144"/>
      <c r="E2434" s="67"/>
      <c r="F2434" s="67"/>
      <c r="G2434" s="67"/>
      <c r="H2434" s="67">
        <f>ROUND(+E2434+G2434,4)</f>
        <v>0</v>
      </c>
      <c r="I2434" s="67"/>
      <c r="J2434" s="67">
        <f>ROUND(+I2434-H2434,4)</f>
        <v>0</v>
      </c>
      <c r="K2434" s="67">
        <f>ROUND(IF(F2434="alluminio",0,I2434*1.5%),4)</f>
        <v>0</v>
      </c>
      <c r="L2434" s="67">
        <f>ROUND(IF(K2434&lt;J2434,K2434,0),4)</f>
        <v>0</v>
      </c>
      <c r="M2434" s="67">
        <f>ROUND(IF(J2434&gt;K2434,0,J2434),4)</f>
        <v>0</v>
      </c>
      <c r="N2434" s="67">
        <f>ROUND(+L2434*D2434,4)</f>
        <v>0</v>
      </c>
      <c r="O2434" s="67">
        <f>ROUND(IF(F2434="rame",0,+I2434*3%),4)</f>
        <v>0</v>
      </c>
      <c r="P2434" s="67">
        <f>ROUND(IF(O2434&lt;J2434,O2434,0),4)</f>
        <v>0</v>
      </c>
      <c r="Q2434" s="67">
        <f>ROUND(IF(J2434&gt;O2434,0,J2434),4)</f>
        <v>0</v>
      </c>
      <c r="R2434" s="67">
        <f>ROUND(+P2434*D2434,4)</f>
        <v>0</v>
      </c>
      <c r="S2434" s="67">
        <f>ROUND(IF(K2434=0,0,M2434*D2434),4)</f>
        <v>0</v>
      </c>
      <c r="T2434" s="67">
        <f>ROUND(+IF(K2434=0,Q2434*D2434,0),4)</f>
        <v>0</v>
      </c>
      <c r="U2434" s="67">
        <f>ROUND(+N2434+R2434+S2434+T2434,4)</f>
        <v>0</v>
      </c>
      <c r="V2434" s="67">
        <f>ROUND(IF(P2434=0,0,I2434-H2434-O2434)+IF(L2434=0,0,I2434-H2434-K2434),4)</f>
        <v>0</v>
      </c>
      <c r="W2434" s="67">
        <f>ROUND(+(V2434*60%)*D2434,4)</f>
        <v>0</v>
      </c>
      <c r="X2434" s="148">
        <f>ROUND(+U2434+W2434,4)</f>
        <v>0</v>
      </c>
      <c r="Y2434" s="68"/>
      <c r="Z2434" s="148">
        <f>ROUND(IF(X2434&gt;I2434,X2434,I2434),4)</f>
        <v>0</v>
      </c>
      <c r="AD2434" s="78">
        <f t="shared" si="54"/>
        <v>0</v>
      </c>
      <c r="AE2434" s="78">
        <f t="shared" si="55"/>
        <v>0</v>
      </c>
    </row>
    <row r="2435" spans="1:31" x14ac:dyDescent="0.2">
      <c r="A2435" s="66"/>
      <c r="B2435" s="66"/>
      <c r="C2435" s="66"/>
      <c r="D2435" s="144"/>
      <c r="E2435" s="67"/>
      <c r="F2435" s="67"/>
      <c r="G2435" s="67"/>
      <c r="H2435" s="67">
        <f>ROUND(+E2435+G2435,4)</f>
        <v>0</v>
      </c>
      <c r="I2435" s="67"/>
      <c r="J2435" s="67">
        <f>ROUND(+I2435-H2435,4)</f>
        <v>0</v>
      </c>
      <c r="K2435" s="67">
        <f>ROUND(IF(F2435="alluminio",0,I2435*1.5%),4)</f>
        <v>0</v>
      </c>
      <c r="L2435" s="67">
        <f>ROUND(IF(K2435&lt;J2435,K2435,0),4)</f>
        <v>0</v>
      </c>
      <c r="M2435" s="67">
        <f>ROUND(IF(J2435&gt;K2435,0,J2435),4)</f>
        <v>0</v>
      </c>
      <c r="N2435" s="67">
        <f>ROUND(+L2435*D2435,4)</f>
        <v>0</v>
      </c>
      <c r="O2435" s="67">
        <f>ROUND(IF(F2435="rame",0,+I2435*3%),4)</f>
        <v>0</v>
      </c>
      <c r="P2435" s="67">
        <f>ROUND(IF(O2435&lt;J2435,O2435,0),4)</f>
        <v>0</v>
      </c>
      <c r="Q2435" s="67">
        <f>ROUND(IF(J2435&gt;O2435,0,J2435),4)</f>
        <v>0</v>
      </c>
      <c r="R2435" s="67">
        <f>ROUND(+P2435*D2435,4)</f>
        <v>0</v>
      </c>
      <c r="S2435" s="67">
        <f>ROUND(IF(K2435=0,0,M2435*D2435),4)</f>
        <v>0</v>
      </c>
      <c r="T2435" s="67">
        <f>ROUND(+IF(K2435=0,Q2435*D2435,0),4)</f>
        <v>0</v>
      </c>
      <c r="U2435" s="67">
        <f>ROUND(+N2435+R2435+S2435+T2435,4)</f>
        <v>0</v>
      </c>
      <c r="V2435" s="67">
        <f>ROUND(IF(P2435=0,0,I2435-H2435-O2435)+IF(L2435=0,0,I2435-H2435-K2435),4)</f>
        <v>0</v>
      </c>
      <c r="W2435" s="67">
        <f>ROUND(+(V2435*60%)*D2435,4)</f>
        <v>0</v>
      </c>
      <c r="X2435" s="148">
        <f>ROUND(+U2435+W2435,4)</f>
        <v>0</v>
      </c>
      <c r="Y2435" s="68"/>
      <c r="Z2435" s="148">
        <f>ROUND(IF(X2435&gt;I2435,X2435,I2435),4)</f>
        <v>0</v>
      </c>
      <c r="AD2435" s="78">
        <f t="shared" si="54"/>
        <v>0</v>
      </c>
      <c r="AE2435" s="78">
        <f t="shared" si="55"/>
        <v>0</v>
      </c>
    </row>
    <row r="2436" spans="1:31" x14ac:dyDescent="0.2">
      <c r="A2436" s="66"/>
      <c r="B2436" s="66"/>
      <c r="C2436" s="66"/>
      <c r="D2436" s="144"/>
      <c r="E2436" s="67"/>
      <c r="F2436" s="67"/>
      <c r="G2436" s="67"/>
      <c r="H2436" s="67">
        <f>ROUND(+E2436+G2436,4)</f>
        <v>0</v>
      </c>
      <c r="I2436" s="67"/>
      <c r="J2436" s="67">
        <f>ROUND(+I2436-H2436,4)</f>
        <v>0</v>
      </c>
      <c r="K2436" s="67">
        <f>ROUND(IF(F2436="alluminio",0,I2436*1.5%),4)</f>
        <v>0</v>
      </c>
      <c r="L2436" s="67">
        <f>ROUND(IF(K2436&lt;J2436,K2436,0),4)</f>
        <v>0</v>
      </c>
      <c r="M2436" s="67">
        <f>ROUND(IF(J2436&gt;K2436,0,J2436),4)</f>
        <v>0</v>
      </c>
      <c r="N2436" s="67">
        <f>ROUND(+L2436*D2436,4)</f>
        <v>0</v>
      </c>
      <c r="O2436" s="67">
        <f>ROUND(IF(F2436="rame",0,+I2436*3%),4)</f>
        <v>0</v>
      </c>
      <c r="P2436" s="67">
        <f>ROUND(IF(O2436&lt;J2436,O2436,0),4)</f>
        <v>0</v>
      </c>
      <c r="Q2436" s="67">
        <f>ROUND(IF(J2436&gt;O2436,0,J2436),4)</f>
        <v>0</v>
      </c>
      <c r="R2436" s="67">
        <f>ROUND(+P2436*D2436,4)</f>
        <v>0</v>
      </c>
      <c r="S2436" s="67">
        <f>ROUND(IF(K2436=0,0,M2436*D2436),4)</f>
        <v>0</v>
      </c>
      <c r="T2436" s="67">
        <f>ROUND(+IF(K2436=0,Q2436*D2436,0),4)</f>
        <v>0</v>
      </c>
      <c r="U2436" s="67">
        <f>ROUND(+N2436+R2436+S2436+T2436,4)</f>
        <v>0</v>
      </c>
      <c r="V2436" s="67">
        <f>ROUND(IF(P2436=0,0,I2436-H2436-O2436)+IF(L2436=0,0,I2436-H2436-K2436),4)</f>
        <v>0</v>
      </c>
      <c r="W2436" s="67">
        <f>ROUND(+(V2436*60%)*D2436,4)</f>
        <v>0</v>
      </c>
      <c r="X2436" s="148">
        <f>ROUND(+U2436+W2436,4)</f>
        <v>0</v>
      </c>
      <c r="Y2436" s="68"/>
      <c r="Z2436" s="148">
        <f>ROUND(IF(X2436&gt;I2436,X2436,I2436),4)</f>
        <v>0</v>
      </c>
      <c r="AD2436" s="78">
        <f t="shared" si="54"/>
        <v>0</v>
      </c>
      <c r="AE2436" s="78">
        <f t="shared" si="55"/>
        <v>0</v>
      </c>
    </row>
    <row r="2437" spans="1:31" x14ac:dyDescent="0.2">
      <c r="A2437" s="66"/>
      <c r="B2437" s="66"/>
      <c r="C2437" s="66"/>
      <c r="D2437" s="144"/>
      <c r="E2437" s="67"/>
      <c r="F2437" s="67"/>
      <c r="G2437" s="67"/>
      <c r="H2437" s="67">
        <f>ROUND(+E2437+G2437,4)</f>
        <v>0</v>
      </c>
      <c r="I2437" s="67"/>
      <c r="J2437" s="67">
        <f>ROUND(+I2437-H2437,4)</f>
        <v>0</v>
      </c>
      <c r="K2437" s="67">
        <f>ROUND(IF(F2437="alluminio",0,I2437*1.5%),4)</f>
        <v>0</v>
      </c>
      <c r="L2437" s="67">
        <f>ROUND(IF(K2437&lt;J2437,K2437,0),4)</f>
        <v>0</v>
      </c>
      <c r="M2437" s="67">
        <f>ROUND(IF(J2437&gt;K2437,0,J2437),4)</f>
        <v>0</v>
      </c>
      <c r="N2437" s="67">
        <f>ROUND(+L2437*D2437,4)</f>
        <v>0</v>
      </c>
      <c r="O2437" s="67">
        <f>ROUND(IF(F2437="rame",0,+I2437*3%),4)</f>
        <v>0</v>
      </c>
      <c r="P2437" s="67">
        <f>ROUND(IF(O2437&lt;J2437,O2437,0),4)</f>
        <v>0</v>
      </c>
      <c r="Q2437" s="67">
        <f>ROUND(IF(J2437&gt;O2437,0,J2437),4)</f>
        <v>0</v>
      </c>
      <c r="R2437" s="67">
        <f>ROUND(+P2437*D2437,4)</f>
        <v>0</v>
      </c>
      <c r="S2437" s="67">
        <f>ROUND(IF(K2437=0,0,M2437*D2437),4)</f>
        <v>0</v>
      </c>
      <c r="T2437" s="67">
        <f>ROUND(+IF(K2437=0,Q2437*D2437,0),4)</f>
        <v>0</v>
      </c>
      <c r="U2437" s="67">
        <f>ROUND(+N2437+R2437+S2437+T2437,4)</f>
        <v>0</v>
      </c>
      <c r="V2437" s="67">
        <f>ROUND(IF(P2437=0,0,I2437-H2437-O2437)+IF(L2437=0,0,I2437-H2437-K2437),4)</f>
        <v>0</v>
      </c>
      <c r="W2437" s="67">
        <f>ROUND(+(V2437*60%)*D2437,4)</f>
        <v>0</v>
      </c>
      <c r="X2437" s="148">
        <f>ROUND(+U2437+W2437,4)</f>
        <v>0</v>
      </c>
      <c r="Y2437" s="68"/>
      <c r="Z2437" s="148">
        <f>ROUND(IF(X2437&gt;I2437,X2437,I2437),4)</f>
        <v>0</v>
      </c>
      <c r="AD2437" s="78">
        <f t="shared" si="54"/>
        <v>0</v>
      </c>
      <c r="AE2437" s="78">
        <f t="shared" si="55"/>
        <v>0</v>
      </c>
    </row>
    <row r="2438" spans="1:31" x14ac:dyDescent="0.2">
      <c r="A2438" s="66"/>
      <c r="B2438" s="66"/>
      <c r="C2438" s="66"/>
      <c r="D2438" s="144"/>
      <c r="E2438" s="67"/>
      <c r="F2438" s="67"/>
      <c r="G2438" s="67"/>
      <c r="H2438" s="67">
        <f>ROUND(+E2438+G2438,4)</f>
        <v>0</v>
      </c>
      <c r="I2438" s="67"/>
      <c r="J2438" s="67">
        <f>ROUND(+I2438-H2438,4)</f>
        <v>0</v>
      </c>
      <c r="K2438" s="67">
        <f>ROUND(IF(F2438="alluminio",0,I2438*1.5%),4)</f>
        <v>0</v>
      </c>
      <c r="L2438" s="67">
        <f>ROUND(IF(K2438&lt;J2438,K2438,0),4)</f>
        <v>0</v>
      </c>
      <c r="M2438" s="67">
        <f>ROUND(IF(J2438&gt;K2438,0,J2438),4)</f>
        <v>0</v>
      </c>
      <c r="N2438" s="67">
        <f>ROUND(+L2438*D2438,4)</f>
        <v>0</v>
      </c>
      <c r="O2438" s="67">
        <f>ROUND(IF(F2438="rame",0,+I2438*3%),4)</f>
        <v>0</v>
      </c>
      <c r="P2438" s="67">
        <f>ROUND(IF(O2438&lt;J2438,O2438,0),4)</f>
        <v>0</v>
      </c>
      <c r="Q2438" s="67">
        <f>ROUND(IF(J2438&gt;O2438,0,J2438),4)</f>
        <v>0</v>
      </c>
      <c r="R2438" s="67">
        <f>ROUND(+P2438*D2438,4)</f>
        <v>0</v>
      </c>
      <c r="S2438" s="67">
        <f>ROUND(IF(K2438=0,0,M2438*D2438),4)</f>
        <v>0</v>
      </c>
      <c r="T2438" s="67">
        <f>ROUND(+IF(K2438=0,Q2438*D2438,0),4)</f>
        <v>0</v>
      </c>
      <c r="U2438" s="67">
        <f>ROUND(+N2438+R2438+S2438+T2438,4)</f>
        <v>0</v>
      </c>
      <c r="V2438" s="67">
        <f>ROUND(IF(P2438=0,0,I2438-H2438-O2438)+IF(L2438=0,0,I2438-H2438-K2438),4)</f>
        <v>0</v>
      </c>
      <c r="W2438" s="67">
        <f>ROUND(+(V2438*60%)*D2438,4)</f>
        <v>0</v>
      </c>
      <c r="X2438" s="148">
        <f>ROUND(+U2438+W2438,4)</f>
        <v>0</v>
      </c>
      <c r="Y2438" s="68"/>
      <c r="Z2438" s="148">
        <f>ROUND(IF(X2438&gt;I2438,X2438,I2438),4)</f>
        <v>0</v>
      </c>
      <c r="AD2438" s="78">
        <f t="shared" si="54"/>
        <v>0</v>
      </c>
      <c r="AE2438" s="78">
        <f t="shared" si="55"/>
        <v>0</v>
      </c>
    </row>
    <row r="2439" spans="1:31" x14ac:dyDescent="0.2">
      <c r="A2439" s="66"/>
      <c r="B2439" s="66"/>
      <c r="C2439" s="66"/>
      <c r="D2439" s="144"/>
      <c r="E2439" s="67"/>
      <c r="F2439" s="67"/>
      <c r="G2439" s="67"/>
      <c r="H2439" s="67">
        <f>ROUND(+E2439+G2439,4)</f>
        <v>0</v>
      </c>
      <c r="I2439" s="67"/>
      <c r="J2439" s="67">
        <f>ROUND(+I2439-H2439,4)</f>
        <v>0</v>
      </c>
      <c r="K2439" s="67">
        <f>ROUND(IF(F2439="alluminio",0,I2439*1.5%),4)</f>
        <v>0</v>
      </c>
      <c r="L2439" s="67">
        <f>ROUND(IF(K2439&lt;J2439,K2439,0),4)</f>
        <v>0</v>
      </c>
      <c r="M2439" s="67">
        <f>ROUND(IF(J2439&gt;K2439,0,J2439),4)</f>
        <v>0</v>
      </c>
      <c r="N2439" s="67">
        <f>ROUND(+L2439*D2439,4)</f>
        <v>0</v>
      </c>
      <c r="O2439" s="67">
        <f>ROUND(IF(F2439="rame",0,+I2439*3%),4)</f>
        <v>0</v>
      </c>
      <c r="P2439" s="67">
        <f>ROUND(IF(O2439&lt;J2439,O2439,0),4)</f>
        <v>0</v>
      </c>
      <c r="Q2439" s="67">
        <f>ROUND(IF(J2439&gt;O2439,0,J2439),4)</f>
        <v>0</v>
      </c>
      <c r="R2439" s="67">
        <f>ROUND(+P2439*D2439,4)</f>
        <v>0</v>
      </c>
      <c r="S2439" s="67">
        <f>ROUND(IF(K2439=0,0,M2439*D2439),4)</f>
        <v>0</v>
      </c>
      <c r="T2439" s="67">
        <f>ROUND(+IF(K2439=0,Q2439*D2439,0),4)</f>
        <v>0</v>
      </c>
      <c r="U2439" s="67">
        <f>ROUND(+N2439+R2439+S2439+T2439,4)</f>
        <v>0</v>
      </c>
      <c r="V2439" s="67">
        <f>ROUND(IF(P2439=0,0,I2439-H2439-O2439)+IF(L2439=0,0,I2439-H2439-K2439),4)</f>
        <v>0</v>
      </c>
      <c r="W2439" s="67">
        <f>ROUND(+(V2439*60%)*D2439,4)</f>
        <v>0</v>
      </c>
      <c r="X2439" s="148">
        <f>ROUND(+U2439+W2439,4)</f>
        <v>0</v>
      </c>
      <c r="Y2439" s="68"/>
      <c r="Z2439" s="148">
        <f>ROUND(IF(X2439&gt;I2439,X2439,I2439),4)</f>
        <v>0</v>
      </c>
      <c r="AD2439" s="78">
        <f t="shared" si="54"/>
        <v>0</v>
      </c>
      <c r="AE2439" s="78">
        <f t="shared" si="55"/>
        <v>0</v>
      </c>
    </row>
    <row r="2440" spans="1:31" x14ac:dyDescent="0.2">
      <c r="A2440" s="66"/>
      <c r="B2440" s="66"/>
      <c r="C2440" s="66"/>
      <c r="D2440" s="144"/>
      <c r="E2440" s="67"/>
      <c r="F2440" s="67"/>
      <c r="G2440" s="67"/>
      <c r="H2440" s="67">
        <f>ROUND(+E2440+G2440,4)</f>
        <v>0</v>
      </c>
      <c r="I2440" s="67"/>
      <c r="J2440" s="67">
        <f>ROUND(+I2440-H2440,4)</f>
        <v>0</v>
      </c>
      <c r="K2440" s="67">
        <f>ROUND(IF(F2440="alluminio",0,I2440*1.5%),4)</f>
        <v>0</v>
      </c>
      <c r="L2440" s="67">
        <f>ROUND(IF(K2440&lt;J2440,K2440,0),4)</f>
        <v>0</v>
      </c>
      <c r="M2440" s="67">
        <f>ROUND(IF(J2440&gt;K2440,0,J2440),4)</f>
        <v>0</v>
      </c>
      <c r="N2440" s="67">
        <f>ROUND(+L2440*D2440,4)</f>
        <v>0</v>
      </c>
      <c r="O2440" s="67">
        <f>ROUND(IF(F2440="rame",0,+I2440*3%),4)</f>
        <v>0</v>
      </c>
      <c r="P2440" s="67">
        <f>ROUND(IF(O2440&lt;J2440,O2440,0),4)</f>
        <v>0</v>
      </c>
      <c r="Q2440" s="67">
        <f>ROUND(IF(J2440&gt;O2440,0,J2440),4)</f>
        <v>0</v>
      </c>
      <c r="R2440" s="67">
        <f>ROUND(+P2440*D2440,4)</f>
        <v>0</v>
      </c>
      <c r="S2440" s="67">
        <f>ROUND(IF(K2440=0,0,M2440*D2440),4)</f>
        <v>0</v>
      </c>
      <c r="T2440" s="67">
        <f>ROUND(+IF(K2440=0,Q2440*D2440,0),4)</f>
        <v>0</v>
      </c>
      <c r="U2440" s="67">
        <f>ROUND(+N2440+R2440+S2440+T2440,4)</f>
        <v>0</v>
      </c>
      <c r="V2440" s="67">
        <f>ROUND(IF(P2440=0,0,I2440-H2440-O2440)+IF(L2440=0,0,I2440-H2440-K2440),4)</f>
        <v>0</v>
      </c>
      <c r="W2440" s="67">
        <f>ROUND(+(V2440*60%)*D2440,4)</f>
        <v>0</v>
      </c>
      <c r="X2440" s="148">
        <f>ROUND(+U2440+W2440,4)</f>
        <v>0</v>
      </c>
      <c r="Y2440" s="68"/>
      <c r="Z2440" s="148">
        <f>ROUND(IF(X2440&gt;I2440,X2440,I2440),4)</f>
        <v>0</v>
      </c>
      <c r="AD2440" s="78">
        <f t="shared" si="54"/>
        <v>0</v>
      </c>
      <c r="AE2440" s="78">
        <f t="shared" si="55"/>
        <v>0</v>
      </c>
    </row>
    <row r="2441" spans="1:31" x14ac:dyDescent="0.2">
      <c r="A2441" s="66"/>
      <c r="B2441" s="66"/>
      <c r="C2441" s="66"/>
      <c r="D2441" s="144"/>
      <c r="E2441" s="67"/>
      <c r="F2441" s="67"/>
      <c r="G2441" s="67"/>
      <c r="H2441" s="67">
        <f>ROUND(+E2441+G2441,4)</f>
        <v>0</v>
      </c>
      <c r="I2441" s="67"/>
      <c r="J2441" s="67">
        <f>ROUND(+I2441-H2441,4)</f>
        <v>0</v>
      </c>
      <c r="K2441" s="67">
        <f>ROUND(IF(F2441="alluminio",0,I2441*1.5%),4)</f>
        <v>0</v>
      </c>
      <c r="L2441" s="67">
        <f>ROUND(IF(K2441&lt;J2441,K2441,0),4)</f>
        <v>0</v>
      </c>
      <c r="M2441" s="67">
        <f>ROUND(IF(J2441&gt;K2441,0,J2441),4)</f>
        <v>0</v>
      </c>
      <c r="N2441" s="67">
        <f>ROUND(+L2441*D2441,4)</f>
        <v>0</v>
      </c>
      <c r="O2441" s="67">
        <f>ROUND(IF(F2441="rame",0,+I2441*3%),4)</f>
        <v>0</v>
      </c>
      <c r="P2441" s="67">
        <f>ROUND(IF(O2441&lt;J2441,O2441,0),4)</f>
        <v>0</v>
      </c>
      <c r="Q2441" s="67">
        <f>ROUND(IF(J2441&gt;O2441,0,J2441),4)</f>
        <v>0</v>
      </c>
      <c r="R2441" s="67">
        <f>ROUND(+P2441*D2441,4)</f>
        <v>0</v>
      </c>
      <c r="S2441" s="67">
        <f>ROUND(IF(K2441=0,0,M2441*D2441),4)</f>
        <v>0</v>
      </c>
      <c r="T2441" s="67">
        <f>ROUND(+IF(K2441=0,Q2441*D2441,0),4)</f>
        <v>0</v>
      </c>
      <c r="U2441" s="67">
        <f>ROUND(+N2441+R2441+S2441+T2441,4)</f>
        <v>0</v>
      </c>
      <c r="V2441" s="67">
        <f>ROUND(IF(P2441=0,0,I2441-H2441-O2441)+IF(L2441=0,0,I2441-H2441-K2441),4)</f>
        <v>0</v>
      </c>
      <c r="W2441" s="67">
        <f>ROUND(+(V2441*60%)*D2441,4)</f>
        <v>0</v>
      </c>
      <c r="X2441" s="148">
        <f>ROUND(+U2441+W2441,4)</f>
        <v>0</v>
      </c>
      <c r="Y2441" s="68"/>
      <c r="Z2441" s="148">
        <f>ROUND(IF(X2441&gt;I2441,X2441,I2441),4)</f>
        <v>0</v>
      </c>
      <c r="AD2441" s="78">
        <f t="shared" si="54"/>
        <v>0</v>
      </c>
      <c r="AE2441" s="78">
        <f t="shared" si="55"/>
        <v>0</v>
      </c>
    </row>
    <row r="2442" spans="1:31" x14ac:dyDescent="0.2">
      <c r="A2442" s="66"/>
      <c r="B2442" s="66"/>
      <c r="C2442" s="66"/>
      <c r="D2442" s="144"/>
      <c r="E2442" s="67"/>
      <c r="F2442" s="67"/>
      <c r="G2442" s="67"/>
      <c r="H2442" s="67">
        <f>ROUND(+E2442+G2442,4)</f>
        <v>0</v>
      </c>
      <c r="I2442" s="67"/>
      <c r="J2442" s="67">
        <f>ROUND(+I2442-H2442,4)</f>
        <v>0</v>
      </c>
      <c r="K2442" s="67">
        <f>ROUND(IF(F2442="alluminio",0,I2442*1.5%),4)</f>
        <v>0</v>
      </c>
      <c r="L2442" s="67">
        <f>ROUND(IF(K2442&lt;J2442,K2442,0),4)</f>
        <v>0</v>
      </c>
      <c r="M2442" s="67">
        <f>ROUND(IF(J2442&gt;K2442,0,J2442),4)</f>
        <v>0</v>
      </c>
      <c r="N2442" s="67">
        <f>ROUND(+L2442*D2442,4)</f>
        <v>0</v>
      </c>
      <c r="O2442" s="67">
        <f>ROUND(IF(F2442="rame",0,+I2442*3%),4)</f>
        <v>0</v>
      </c>
      <c r="P2442" s="67">
        <f>ROUND(IF(O2442&lt;J2442,O2442,0),4)</f>
        <v>0</v>
      </c>
      <c r="Q2442" s="67">
        <f>ROUND(IF(J2442&gt;O2442,0,J2442),4)</f>
        <v>0</v>
      </c>
      <c r="R2442" s="67">
        <f>ROUND(+P2442*D2442,4)</f>
        <v>0</v>
      </c>
      <c r="S2442" s="67">
        <f>ROUND(IF(K2442=0,0,M2442*D2442),4)</f>
        <v>0</v>
      </c>
      <c r="T2442" s="67">
        <f>ROUND(+IF(K2442=0,Q2442*D2442,0),4)</f>
        <v>0</v>
      </c>
      <c r="U2442" s="67">
        <f>ROUND(+N2442+R2442+S2442+T2442,4)</f>
        <v>0</v>
      </c>
      <c r="V2442" s="67">
        <f>ROUND(IF(P2442=0,0,I2442-H2442-O2442)+IF(L2442=0,0,I2442-H2442-K2442),4)</f>
        <v>0</v>
      </c>
      <c r="W2442" s="67">
        <f>ROUND(+(V2442*60%)*D2442,4)</f>
        <v>0</v>
      </c>
      <c r="X2442" s="148">
        <f>ROUND(+U2442+W2442,4)</f>
        <v>0</v>
      </c>
      <c r="Y2442" s="68"/>
      <c r="Z2442" s="148">
        <f>ROUND(IF(X2442&gt;I2442,X2442,I2442),4)</f>
        <v>0</v>
      </c>
      <c r="AD2442" s="78">
        <f t="shared" si="54"/>
        <v>0</v>
      </c>
      <c r="AE2442" s="78">
        <f t="shared" si="55"/>
        <v>0</v>
      </c>
    </row>
    <row r="2443" spans="1:31" x14ac:dyDescent="0.2">
      <c r="A2443" s="66"/>
      <c r="B2443" s="66"/>
      <c r="C2443" s="66"/>
      <c r="D2443" s="144"/>
      <c r="E2443" s="67"/>
      <c r="F2443" s="67"/>
      <c r="G2443" s="67"/>
      <c r="H2443" s="67">
        <f>ROUND(+E2443+G2443,4)</f>
        <v>0</v>
      </c>
      <c r="I2443" s="67"/>
      <c r="J2443" s="67">
        <f>ROUND(+I2443-H2443,4)</f>
        <v>0</v>
      </c>
      <c r="K2443" s="67">
        <f>ROUND(IF(F2443="alluminio",0,I2443*1.5%),4)</f>
        <v>0</v>
      </c>
      <c r="L2443" s="67">
        <f>ROUND(IF(K2443&lt;J2443,K2443,0),4)</f>
        <v>0</v>
      </c>
      <c r="M2443" s="67">
        <f>ROUND(IF(J2443&gt;K2443,0,J2443),4)</f>
        <v>0</v>
      </c>
      <c r="N2443" s="67">
        <f>ROUND(+L2443*D2443,4)</f>
        <v>0</v>
      </c>
      <c r="O2443" s="67">
        <f>ROUND(IF(F2443="rame",0,+I2443*3%),4)</f>
        <v>0</v>
      </c>
      <c r="P2443" s="67">
        <f>ROUND(IF(O2443&lt;J2443,O2443,0),4)</f>
        <v>0</v>
      </c>
      <c r="Q2443" s="67">
        <f>ROUND(IF(J2443&gt;O2443,0,J2443),4)</f>
        <v>0</v>
      </c>
      <c r="R2443" s="67">
        <f>ROUND(+P2443*D2443,4)</f>
        <v>0</v>
      </c>
      <c r="S2443" s="67">
        <f>ROUND(IF(K2443=0,0,M2443*D2443),4)</f>
        <v>0</v>
      </c>
      <c r="T2443" s="67">
        <f>ROUND(+IF(K2443=0,Q2443*D2443,0),4)</f>
        <v>0</v>
      </c>
      <c r="U2443" s="67">
        <f>ROUND(+N2443+R2443+S2443+T2443,4)</f>
        <v>0</v>
      </c>
      <c r="V2443" s="67">
        <f>ROUND(IF(P2443=0,0,I2443-H2443-O2443)+IF(L2443=0,0,I2443-H2443-K2443),4)</f>
        <v>0</v>
      </c>
      <c r="W2443" s="67">
        <f>ROUND(+(V2443*60%)*D2443,4)</f>
        <v>0</v>
      </c>
      <c r="X2443" s="148">
        <f>ROUND(+U2443+W2443,4)</f>
        <v>0</v>
      </c>
      <c r="Y2443" s="68"/>
      <c r="Z2443" s="148">
        <f>ROUND(IF(X2443&gt;I2443,X2443,I2443),4)</f>
        <v>0</v>
      </c>
      <c r="AD2443" s="78">
        <f t="shared" si="54"/>
        <v>0</v>
      </c>
      <c r="AE2443" s="78">
        <f t="shared" si="55"/>
        <v>0</v>
      </c>
    </row>
    <row r="2444" spans="1:31" x14ac:dyDescent="0.2">
      <c r="A2444" s="66"/>
      <c r="B2444" s="66"/>
      <c r="C2444" s="66"/>
      <c r="D2444" s="144"/>
      <c r="E2444" s="67"/>
      <c r="F2444" s="67"/>
      <c r="G2444" s="67"/>
      <c r="H2444" s="67">
        <f>ROUND(+E2444+G2444,4)</f>
        <v>0</v>
      </c>
      <c r="I2444" s="67"/>
      <c r="J2444" s="67">
        <f>ROUND(+I2444-H2444,4)</f>
        <v>0</v>
      </c>
      <c r="K2444" s="67">
        <f>ROUND(IF(F2444="alluminio",0,I2444*1.5%),4)</f>
        <v>0</v>
      </c>
      <c r="L2444" s="67">
        <f>ROUND(IF(K2444&lt;J2444,K2444,0),4)</f>
        <v>0</v>
      </c>
      <c r="M2444" s="67">
        <f>ROUND(IF(J2444&gt;K2444,0,J2444),4)</f>
        <v>0</v>
      </c>
      <c r="N2444" s="67">
        <f>ROUND(+L2444*D2444,4)</f>
        <v>0</v>
      </c>
      <c r="O2444" s="67">
        <f>ROUND(IF(F2444="rame",0,+I2444*3%),4)</f>
        <v>0</v>
      </c>
      <c r="P2444" s="67">
        <f>ROUND(IF(O2444&lt;J2444,O2444,0),4)</f>
        <v>0</v>
      </c>
      <c r="Q2444" s="67">
        <f>ROUND(IF(J2444&gt;O2444,0,J2444),4)</f>
        <v>0</v>
      </c>
      <c r="R2444" s="67">
        <f>ROUND(+P2444*D2444,4)</f>
        <v>0</v>
      </c>
      <c r="S2444" s="67">
        <f>ROUND(IF(K2444=0,0,M2444*D2444),4)</f>
        <v>0</v>
      </c>
      <c r="T2444" s="67">
        <f>ROUND(+IF(K2444=0,Q2444*D2444,0),4)</f>
        <v>0</v>
      </c>
      <c r="U2444" s="67">
        <f>ROUND(+N2444+R2444+S2444+T2444,4)</f>
        <v>0</v>
      </c>
      <c r="V2444" s="67">
        <f>ROUND(IF(P2444=0,0,I2444-H2444-O2444)+IF(L2444=0,0,I2444-H2444-K2444),4)</f>
        <v>0</v>
      </c>
      <c r="W2444" s="67">
        <f>ROUND(+(V2444*60%)*D2444,4)</f>
        <v>0</v>
      </c>
      <c r="X2444" s="148">
        <f>ROUND(+U2444+W2444,4)</f>
        <v>0</v>
      </c>
      <c r="Y2444" s="68"/>
      <c r="Z2444" s="148">
        <f>ROUND(IF(X2444&gt;I2444,X2444,I2444),4)</f>
        <v>0</v>
      </c>
      <c r="AD2444" s="78">
        <f t="shared" si="54"/>
        <v>0</v>
      </c>
      <c r="AE2444" s="78">
        <f t="shared" si="55"/>
        <v>0</v>
      </c>
    </row>
    <row r="2445" spans="1:31" x14ac:dyDescent="0.2">
      <c r="A2445" s="66"/>
      <c r="B2445" s="66"/>
      <c r="C2445" s="66"/>
      <c r="D2445" s="144"/>
      <c r="E2445" s="67"/>
      <c r="F2445" s="67"/>
      <c r="G2445" s="67"/>
      <c r="H2445" s="67">
        <f>ROUND(+E2445+G2445,4)</f>
        <v>0</v>
      </c>
      <c r="I2445" s="67"/>
      <c r="J2445" s="67">
        <f>ROUND(+I2445-H2445,4)</f>
        <v>0</v>
      </c>
      <c r="K2445" s="67">
        <f>ROUND(IF(F2445="alluminio",0,I2445*1.5%),4)</f>
        <v>0</v>
      </c>
      <c r="L2445" s="67">
        <f>ROUND(IF(K2445&lt;J2445,K2445,0),4)</f>
        <v>0</v>
      </c>
      <c r="M2445" s="67">
        <f>ROUND(IF(J2445&gt;K2445,0,J2445),4)</f>
        <v>0</v>
      </c>
      <c r="N2445" s="67">
        <f>ROUND(+L2445*D2445,4)</f>
        <v>0</v>
      </c>
      <c r="O2445" s="67">
        <f>ROUND(IF(F2445="rame",0,+I2445*3%),4)</f>
        <v>0</v>
      </c>
      <c r="P2445" s="67">
        <f>ROUND(IF(O2445&lt;J2445,O2445,0),4)</f>
        <v>0</v>
      </c>
      <c r="Q2445" s="67">
        <f>ROUND(IF(J2445&gt;O2445,0,J2445),4)</f>
        <v>0</v>
      </c>
      <c r="R2445" s="67">
        <f>ROUND(+P2445*D2445,4)</f>
        <v>0</v>
      </c>
      <c r="S2445" s="67">
        <f>ROUND(IF(K2445=0,0,M2445*D2445),4)</f>
        <v>0</v>
      </c>
      <c r="T2445" s="67">
        <f>ROUND(+IF(K2445=0,Q2445*D2445,0),4)</f>
        <v>0</v>
      </c>
      <c r="U2445" s="67">
        <f>ROUND(+N2445+R2445+S2445+T2445,4)</f>
        <v>0</v>
      </c>
      <c r="V2445" s="67">
        <f>ROUND(IF(P2445=0,0,I2445-H2445-O2445)+IF(L2445=0,0,I2445-H2445-K2445),4)</f>
        <v>0</v>
      </c>
      <c r="W2445" s="67">
        <f>ROUND(+(V2445*60%)*D2445,4)</f>
        <v>0</v>
      </c>
      <c r="X2445" s="148">
        <f>ROUND(+U2445+W2445,4)</f>
        <v>0</v>
      </c>
      <c r="Y2445" s="68"/>
      <c r="Z2445" s="148">
        <f>ROUND(IF(X2445&gt;I2445,X2445,I2445),4)</f>
        <v>0</v>
      </c>
      <c r="AD2445" s="78">
        <f t="shared" si="54"/>
        <v>0</v>
      </c>
      <c r="AE2445" s="78">
        <f t="shared" si="55"/>
        <v>0</v>
      </c>
    </row>
    <row r="2446" spans="1:31" x14ac:dyDescent="0.2">
      <c r="A2446" s="66"/>
      <c r="B2446" s="66"/>
      <c r="C2446" s="66"/>
      <c r="D2446" s="144"/>
      <c r="E2446" s="67"/>
      <c r="F2446" s="67"/>
      <c r="G2446" s="67"/>
      <c r="H2446" s="67">
        <f>ROUND(+E2446+G2446,4)</f>
        <v>0</v>
      </c>
      <c r="I2446" s="67"/>
      <c r="J2446" s="67">
        <f>ROUND(+I2446-H2446,4)</f>
        <v>0</v>
      </c>
      <c r="K2446" s="67">
        <f>ROUND(IF(F2446="alluminio",0,I2446*1.5%),4)</f>
        <v>0</v>
      </c>
      <c r="L2446" s="67">
        <f>ROUND(IF(K2446&lt;J2446,K2446,0),4)</f>
        <v>0</v>
      </c>
      <c r="M2446" s="67">
        <f>ROUND(IF(J2446&gt;K2446,0,J2446),4)</f>
        <v>0</v>
      </c>
      <c r="N2446" s="67">
        <f>ROUND(+L2446*D2446,4)</f>
        <v>0</v>
      </c>
      <c r="O2446" s="67">
        <f>ROUND(IF(F2446="rame",0,+I2446*3%),4)</f>
        <v>0</v>
      </c>
      <c r="P2446" s="67">
        <f>ROUND(IF(O2446&lt;J2446,O2446,0),4)</f>
        <v>0</v>
      </c>
      <c r="Q2446" s="67">
        <f>ROUND(IF(J2446&gt;O2446,0,J2446),4)</f>
        <v>0</v>
      </c>
      <c r="R2446" s="67">
        <f>ROUND(+P2446*D2446,4)</f>
        <v>0</v>
      </c>
      <c r="S2446" s="67">
        <f>ROUND(IF(K2446=0,0,M2446*D2446),4)</f>
        <v>0</v>
      </c>
      <c r="T2446" s="67">
        <f>ROUND(+IF(K2446=0,Q2446*D2446,0),4)</f>
        <v>0</v>
      </c>
      <c r="U2446" s="67">
        <f>ROUND(+N2446+R2446+S2446+T2446,4)</f>
        <v>0</v>
      </c>
      <c r="V2446" s="67">
        <f>ROUND(IF(P2446=0,0,I2446-H2446-O2446)+IF(L2446=0,0,I2446-H2446-K2446),4)</f>
        <v>0</v>
      </c>
      <c r="W2446" s="67">
        <f>ROUND(+(V2446*60%)*D2446,4)</f>
        <v>0</v>
      </c>
      <c r="X2446" s="148">
        <f>ROUND(+U2446+W2446,4)</f>
        <v>0</v>
      </c>
      <c r="Y2446" s="68"/>
      <c r="Z2446" s="148">
        <f>ROUND(IF(X2446&gt;I2446,X2446,I2446),4)</f>
        <v>0</v>
      </c>
      <c r="AD2446" s="78">
        <f t="shared" si="54"/>
        <v>0</v>
      </c>
      <c r="AE2446" s="78">
        <f t="shared" si="55"/>
        <v>0</v>
      </c>
    </row>
    <row r="2447" spans="1:31" x14ac:dyDescent="0.2">
      <c r="A2447" s="66"/>
      <c r="B2447" s="66"/>
      <c r="C2447" s="66"/>
      <c r="D2447" s="144"/>
      <c r="E2447" s="67"/>
      <c r="F2447" s="67"/>
      <c r="G2447" s="67"/>
      <c r="H2447" s="67">
        <f>ROUND(+E2447+G2447,4)</f>
        <v>0</v>
      </c>
      <c r="I2447" s="67"/>
      <c r="J2447" s="67">
        <f>ROUND(+I2447-H2447,4)</f>
        <v>0</v>
      </c>
      <c r="K2447" s="67">
        <f>ROUND(IF(F2447="alluminio",0,I2447*1.5%),4)</f>
        <v>0</v>
      </c>
      <c r="L2447" s="67">
        <f>ROUND(IF(K2447&lt;J2447,K2447,0),4)</f>
        <v>0</v>
      </c>
      <c r="M2447" s="67">
        <f>ROUND(IF(J2447&gt;K2447,0,J2447),4)</f>
        <v>0</v>
      </c>
      <c r="N2447" s="67">
        <f>ROUND(+L2447*D2447,4)</f>
        <v>0</v>
      </c>
      <c r="O2447" s="67">
        <f>ROUND(IF(F2447="rame",0,+I2447*3%),4)</f>
        <v>0</v>
      </c>
      <c r="P2447" s="67">
        <f>ROUND(IF(O2447&lt;J2447,O2447,0),4)</f>
        <v>0</v>
      </c>
      <c r="Q2447" s="67">
        <f>ROUND(IF(J2447&gt;O2447,0,J2447),4)</f>
        <v>0</v>
      </c>
      <c r="R2447" s="67">
        <f>ROUND(+P2447*D2447,4)</f>
        <v>0</v>
      </c>
      <c r="S2447" s="67">
        <f>ROUND(IF(K2447=0,0,M2447*D2447),4)</f>
        <v>0</v>
      </c>
      <c r="T2447" s="67">
        <f>ROUND(+IF(K2447=0,Q2447*D2447,0),4)</f>
        <v>0</v>
      </c>
      <c r="U2447" s="67">
        <f>ROUND(+N2447+R2447+S2447+T2447,4)</f>
        <v>0</v>
      </c>
      <c r="V2447" s="67">
        <f>ROUND(IF(P2447=0,0,I2447-H2447-O2447)+IF(L2447=0,0,I2447-H2447-K2447),4)</f>
        <v>0</v>
      </c>
      <c r="W2447" s="67">
        <f>ROUND(+(V2447*60%)*D2447,4)</f>
        <v>0</v>
      </c>
      <c r="X2447" s="148">
        <f>ROUND(+U2447+W2447,4)</f>
        <v>0</v>
      </c>
      <c r="Y2447" s="68"/>
      <c r="Z2447" s="148">
        <f>ROUND(IF(X2447&gt;I2447,X2447,I2447),4)</f>
        <v>0</v>
      </c>
      <c r="AD2447" s="78">
        <f t="shared" si="54"/>
        <v>0</v>
      </c>
      <c r="AE2447" s="78">
        <f t="shared" si="55"/>
        <v>0</v>
      </c>
    </row>
    <row r="2448" spans="1:31" x14ac:dyDescent="0.2">
      <c r="A2448" s="66"/>
      <c r="B2448" s="66"/>
      <c r="C2448" s="66"/>
      <c r="D2448" s="144"/>
      <c r="E2448" s="67"/>
      <c r="F2448" s="67"/>
      <c r="G2448" s="67"/>
      <c r="H2448" s="67">
        <f>ROUND(+E2448+G2448,4)</f>
        <v>0</v>
      </c>
      <c r="I2448" s="67"/>
      <c r="J2448" s="67">
        <f>ROUND(+I2448-H2448,4)</f>
        <v>0</v>
      </c>
      <c r="K2448" s="67">
        <f>ROUND(IF(F2448="alluminio",0,I2448*1.5%),4)</f>
        <v>0</v>
      </c>
      <c r="L2448" s="67">
        <f>ROUND(IF(K2448&lt;J2448,K2448,0),4)</f>
        <v>0</v>
      </c>
      <c r="M2448" s="67">
        <f>ROUND(IF(J2448&gt;K2448,0,J2448),4)</f>
        <v>0</v>
      </c>
      <c r="N2448" s="67">
        <f>ROUND(+L2448*D2448,4)</f>
        <v>0</v>
      </c>
      <c r="O2448" s="67">
        <f>ROUND(IF(F2448="rame",0,+I2448*3%),4)</f>
        <v>0</v>
      </c>
      <c r="P2448" s="67">
        <f>ROUND(IF(O2448&lt;J2448,O2448,0),4)</f>
        <v>0</v>
      </c>
      <c r="Q2448" s="67">
        <f>ROUND(IF(J2448&gt;O2448,0,J2448),4)</f>
        <v>0</v>
      </c>
      <c r="R2448" s="67">
        <f>ROUND(+P2448*D2448,4)</f>
        <v>0</v>
      </c>
      <c r="S2448" s="67">
        <f>ROUND(IF(K2448=0,0,M2448*D2448),4)</f>
        <v>0</v>
      </c>
      <c r="T2448" s="67">
        <f>ROUND(+IF(K2448=0,Q2448*D2448,0),4)</f>
        <v>0</v>
      </c>
      <c r="U2448" s="67">
        <f>ROUND(+N2448+R2448+S2448+T2448,4)</f>
        <v>0</v>
      </c>
      <c r="V2448" s="67">
        <f>ROUND(IF(P2448=0,0,I2448-H2448-O2448)+IF(L2448=0,0,I2448-H2448-K2448),4)</f>
        <v>0</v>
      </c>
      <c r="W2448" s="67">
        <f>ROUND(+(V2448*60%)*D2448,4)</f>
        <v>0</v>
      </c>
      <c r="X2448" s="148">
        <f>ROUND(+U2448+W2448,4)</f>
        <v>0</v>
      </c>
      <c r="Y2448" s="68"/>
      <c r="Z2448" s="148">
        <f>ROUND(IF(X2448&gt;I2448,X2448,I2448),4)</f>
        <v>0</v>
      </c>
      <c r="AD2448" s="78">
        <f t="shared" si="54"/>
        <v>0</v>
      </c>
      <c r="AE2448" s="78">
        <f t="shared" si="55"/>
        <v>0</v>
      </c>
    </row>
    <row r="2449" spans="1:31" x14ac:dyDescent="0.2">
      <c r="A2449" s="66"/>
      <c r="B2449" s="66"/>
      <c r="C2449" s="66"/>
      <c r="D2449" s="144"/>
      <c r="E2449" s="67"/>
      <c r="F2449" s="67"/>
      <c r="G2449" s="67"/>
      <c r="H2449" s="67">
        <f>ROUND(+E2449+G2449,4)</f>
        <v>0</v>
      </c>
      <c r="I2449" s="67"/>
      <c r="J2449" s="67">
        <f>ROUND(+I2449-H2449,4)</f>
        <v>0</v>
      </c>
      <c r="K2449" s="67">
        <f>ROUND(IF(F2449="alluminio",0,I2449*1.5%),4)</f>
        <v>0</v>
      </c>
      <c r="L2449" s="67">
        <f>ROUND(IF(K2449&lt;J2449,K2449,0),4)</f>
        <v>0</v>
      </c>
      <c r="M2449" s="67">
        <f>ROUND(IF(J2449&gt;K2449,0,J2449),4)</f>
        <v>0</v>
      </c>
      <c r="N2449" s="67">
        <f>ROUND(+L2449*D2449,4)</f>
        <v>0</v>
      </c>
      <c r="O2449" s="67">
        <f>ROUND(IF(F2449="rame",0,+I2449*3%),4)</f>
        <v>0</v>
      </c>
      <c r="P2449" s="67">
        <f>ROUND(IF(O2449&lt;J2449,O2449,0),4)</f>
        <v>0</v>
      </c>
      <c r="Q2449" s="67">
        <f>ROUND(IF(J2449&gt;O2449,0,J2449),4)</f>
        <v>0</v>
      </c>
      <c r="R2449" s="67">
        <f>ROUND(+P2449*D2449,4)</f>
        <v>0</v>
      </c>
      <c r="S2449" s="67">
        <f>ROUND(IF(K2449=0,0,M2449*D2449),4)</f>
        <v>0</v>
      </c>
      <c r="T2449" s="67">
        <f>ROUND(+IF(K2449=0,Q2449*D2449,0),4)</f>
        <v>0</v>
      </c>
      <c r="U2449" s="67">
        <f>ROUND(+N2449+R2449+S2449+T2449,4)</f>
        <v>0</v>
      </c>
      <c r="V2449" s="67">
        <f>ROUND(IF(P2449=0,0,I2449-H2449-O2449)+IF(L2449=0,0,I2449-H2449-K2449),4)</f>
        <v>0</v>
      </c>
      <c r="W2449" s="67">
        <f>ROUND(+(V2449*60%)*D2449,4)</f>
        <v>0</v>
      </c>
      <c r="X2449" s="148">
        <f>ROUND(+U2449+W2449,4)</f>
        <v>0</v>
      </c>
      <c r="Y2449" s="68"/>
      <c r="Z2449" s="148">
        <f>ROUND(IF(X2449&gt;I2449,X2449,I2449),4)</f>
        <v>0</v>
      </c>
      <c r="AD2449" s="78">
        <f t="shared" si="54"/>
        <v>0</v>
      </c>
      <c r="AE2449" s="78">
        <f t="shared" si="55"/>
        <v>0</v>
      </c>
    </row>
    <row r="2450" spans="1:31" x14ac:dyDescent="0.2">
      <c r="A2450" s="66"/>
      <c r="B2450" s="66"/>
      <c r="C2450" s="66"/>
      <c r="D2450" s="144"/>
      <c r="E2450" s="67"/>
      <c r="F2450" s="67"/>
      <c r="G2450" s="67"/>
      <c r="H2450" s="67">
        <f>ROUND(+E2450+G2450,4)</f>
        <v>0</v>
      </c>
      <c r="I2450" s="67"/>
      <c r="J2450" s="67">
        <f>ROUND(+I2450-H2450,4)</f>
        <v>0</v>
      </c>
      <c r="K2450" s="67">
        <f>ROUND(IF(F2450="alluminio",0,I2450*1.5%),4)</f>
        <v>0</v>
      </c>
      <c r="L2450" s="67">
        <f>ROUND(IF(K2450&lt;J2450,K2450,0),4)</f>
        <v>0</v>
      </c>
      <c r="M2450" s="67">
        <f>ROUND(IF(J2450&gt;K2450,0,J2450),4)</f>
        <v>0</v>
      </c>
      <c r="N2450" s="67">
        <f>ROUND(+L2450*D2450,4)</f>
        <v>0</v>
      </c>
      <c r="O2450" s="67">
        <f>ROUND(IF(F2450="rame",0,+I2450*3%),4)</f>
        <v>0</v>
      </c>
      <c r="P2450" s="67">
        <f>ROUND(IF(O2450&lt;J2450,O2450,0),4)</f>
        <v>0</v>
      </c>
      <c r="Q2450" s="67">
        <f>ROUND(IF(J2450&gt;O2450,0,J2450),4)</f>
        <v>0</v>
      </c>
      <c r="R2450" s="67">
        <f>ROUND(+P2450*D2450,4)</f>
        <v>0</v>
      </c>
      <c r="S2450" s="67">
        <f>ROUND(IF(K2450=0,0,M2450*D2450),4)</f>
        <v>0</v>
      </c>
      <c r="T2450" s="67">
        <f>ROUND(+IF(K2450=0,Q2450*D2450,0),4)</f>
        <v>0</v>
      </c>
      <c r="U2450" s="67">
        <f>ROUND(+N2450+R2450+S2450+T2450,4)</f>
        <v>0</v>
      </c>
      <c r="V2450" s="67">
        <f>ROUND(IF(P2450=0,0,I2450-H2450-O2450)+IF(L2450=0,0,I2450-H2450-K2450),4)</f>
        <v>0</v>
      </c>
      <c r="W2450" s="67">
        <f>ROUND(+(V2450*60%)*D2450,4)</f>
        <v>0</v>
      </c>
      <c r="X2450" s="148">
        <f>ROUND(+U2450+W2450,4)</f>
        <v>0</v>
      </c>
      <c r="Y2450" s="68"/>
      <c r="Z2450" s="148">
        <f>ROUND(IF(X2450&gt;I2450,X2450,I2450),4)</f>
        <v>0</v>
      </c>
      <c r="AD2450" s="78">
        <f t="shared" si="54"/>
        <v>0</v>
      </c>
      <c r="AE2450" s="78">
        <f t="shared" si="55"/>
        <v>0</v>
      </c>
    </row>
    <row r="2451" spans="1:31" x14ac:dyDescent="0.2">
      <c r="A2451" s="66"/>
      <c r="B2451" s="66"/>
      <c r="C2451" s="66"/>
      <c r="D2451" s="144"/>
      <c r="E2451" s="67"/>
      <c r="F2451" s="67"/>
      <c r="G2451" s="67"/>
      <c r="H2451" s="67">
        <f>ROUND(+E2451+G2451,4)</f>
        <v>0</v>
      </c>
      <c r="I2451" s="67"/>
      <c r="J2451" s="67">
        <f>ROUND(+I2451-H2451,4)</f>
        <v>0</v>
      </c>
      <c r="K2451" s="67">
        <f>ROUND(IF(F2451="alluminio",0,I2451*1.5%),4)</f>
        <v>0</v>
      </c>
      <c r="L2451" s="67">
        <f>ROUND(IF(K2451&lt;J2451,K2451,0),4)</f>
        <v>0</v>
      </c>
      <c r="M2451" s="67">
        <f>ROUND(IF(J2451&gt;K2451,0,J2451),4)</f>
        <v>0</v>
      </c>
      <c r="N2451" s="67">
        <f>ROUND(+L2451*D2451,4)</f>
        <v>0</v>
      </c>
      <c r="O2451" s="67">
        <f>ROUND(IF(F2451="rame",0,+I2451*3%),4)</f>
        <v>0</v>
      </c>
      <c r="P2451" s="67">
        <f>ROUND(IF(O2451&lt;J2451,O2451,0),4)</f>
        <v>0</v>
      </c>
      <c r="Q2451" s="67">
        <f>ROUND(IF(J2451&gt;O2451,0,J2451),4)</f>
        <v>0</v>
      </c>
      <c r="R2451" s="67">
        <f>ROUND(+P2451*D2451,4)</f>
        <v>0</v>
      </c>
      <c r="S2451" s="67">
        <f>ROUND(IF(K2451=0,0,M2451*D2451),4)</f>
        <v>0</v>
      </c>
      <c r="T2451" s="67">
        <f>ROUND(+IF(K2451=0,Q2451*D2451,0),4)</f>
        <v>0</v>
      </c>
      <c r="U2451" s="67">
        <f>ROUND(+N2451+R2451+S2451+T2451,4)</f>
        <v>0</v>
      </c>
      <c r="V2451" s="67">
        <f>ROUND(IF(P2451=0,0,I2451-H2451-O2451)+IF(L2451=0,0,I2451-H2451-K2451),4)</f>
        <v>0</v>
      </c>
      <c r="W2451" s="67">
        <f>ROUND(+(V2451*60%)*D2451,4)</f>
        <v>0</v>
      </c>
      <c r="X2451" s="148">
        <f>ROUND(+U2451+W2451,4)</f>
        <v>0</v>
      </c>
      <c r="Y2451" s="68"/>
      <c r="Z2451" s="148">
        <f>ROUND(IF(X2451&gt;I2451,X2451,I2451),4)</f>
        <v>0</v>
      </c>
      <c r="AD2451" s="78">
        <f t="shared" si="54"/>
        <v>0</v>
      </c>
      <c r="AE2451" s="78">
        <f t="shared" si="55"/>
        <v>0</v>
      </c>
    </row>
    <row r="2452" spans="1:31" x14ac:dyDescent="0.2">
      <c r="A2452" s="66"/>
      <c r="B2452" s="66"/>
      <c r="C2452" s="66"/>
      <c r="D2452" s="144"/>
      <c r="E2452" s="67"/>
      <c r="F2452" s="67"/>
      <c r="G2452" s="67"/>
      <c r="H2452" s="67">
        <f>ROUND(+E2452+G2452,4)</f>
        <v>0</v>
      </c>
      <c r="I2452" s="67"/>
      <c r="J2452" s="67">
        <f>ROUND(+I2452-H2452,4)</f>
        <v>0</v>
      </c>
      <c r="K2452" s="67">
        <f>ROUND(IF(F2452="alluminio",0,I2452*1.5%),4)</f>
        <v>0</v>
      </c>
      <c r="L2452" s="67">
        <f>ROUND(IF(K2452&lt;J2452,K2452,0),4)</f>
        <v>0</v>
      </c>
      <c r="M2452" s="67">
        <f>ROUND(IF(J2452&gt;K2452,0,J2452),4)</f>
        <v>0</v>
      </c>
      <c r="N2452" s="67">
        <f>ROUND(+L2452*D2452,4)</f>
        <v>0</v>
      </c>
      <c r="O2452" s="67">
        <f>ROUND(IF(F2452="rame",0,+I2452*3%),4)</f>
        <v>0</v>
      </c>
      <c r="P2452" s="67">
        <f>ROUND(IF(O2452&lt;J2452,O2452,0),4)</f>
        <v>0</v>
      </c>
      <c r="Q2452" s="67">
        <f>ROUND(IF(J2452&gt;O2452,0,J2452),4)</f>
        <v>0</v>
      </c>
      <c r="R2452" s="67">
        <f>ROUND(+P2452*D2452,4)</f>
        <v>0</v>
      </c>
      <c r="S2452" s="67">
        <f>ROUND(IF(K2452=0,0,M2452*D2452),4)</f>
        <v>0</v>
      </c>
      <c r="T2452" s="67">
        <f>ROUND(+IF(K2452=0,Q2452*D2452,0),4)</f>
        <v>0</v>
      </c>
      <c r="U2452" s="67">
        <f>ROUND(+N2452+R2452+S2452+T2452,4)</f>
        <v>0</v>
      </c>
      <c r="V2452" s="67">
        <f>ROUND(IF(P2452=0,0,I2452-H2452-O2452)+IF(L2452=0,0,I2452-H2452-K2452),4)</f>
        <v>0</v>
      </c>
      <c r="W2452" s="67">
        <f>ROUND(+(V2452*60%)*D2452,4)</f>
        <v>0</v>
      </c>
      <c r="X2452" s="148">
        <f>ROUND(+U2452+W2452,4)</f>
        <v>0</v>
      </c>
      <c r="Y2452" s="68"/>
      <c r="Z2452" s="148">
        <f>ROUND(IF(X2452&gt;I2452,X2452,I2452),4)</f>
        <v>0</v>
      </c>
      <c r="AD2452" s="78">
        <f t="shared" si="54"/>
        <v>0</v>
      </c>
      <c r="AE2452" s="78">
        <f t="shared" si="55"/>
        <v>0</v>
      </c>
    </row>
    <row r="2453" spans="1:31" x14ac:dyDescent="0.2">
      <c r="A2453" s="66"/>
      <c r="B2453" s="66"/>
      <c r="C2453" s="66"/>
      <c r="D2453" s="144"/>
      <c r="E2453" s="67"/>
      <c r="F2453" s="67"/>
      <c r="G2453" s="67"/>
      <c r="H2453" s="67">
        <f>ROUND(+E2453+G2453,4)</f>
        <v>0</v>
      </c>
      <c r="I2453" s="67"/>
      <c r="J2453" s="67">
        <f>ROUND(+I2453-H2453,4)</f>
        <v>0</v>
      </c>
      <c r="K2453" s="67">
        <f>ROUND(IF(F2453="alluminio",0,I2453*1.5%),4)</f>
        <v>0</v>
      </c>
      <c r="L2453" s="67">
        <f>ROUND(IF(K2453&lt;J2453,K2453,0),4)</f>
        <v>0</v>
      </c>
      <c r="M2453" s="67">
        <f>ROUND(IF(J2453&gt;K2453,0,J2453),4)</f>
        <v>0</v>
      </c>
      <c r="N2453" s="67">
        <f>ROUND(+L2453*D2453,4)</f>
        <v>0</v>
      </c>
      <c r="O2453" s="67">
        <f>ROUND(IF(F2453="rame",0,+I2453*3%),4)</f>
        <v>0</v>
      </c>
      <c r="P2453" s="67">
        <f>ROUND(IF(O2453&lt;J2453,O2453,0),4)</f>
        <v>0</v>
      </c>
      <c r="Q2453" s="67">
        <f>ROUND(IF(J2453&gt;O2453,0,J2453),4)</f>
        <v>0</v>
      </c>
      <c r="R2453" s="67">
        <f>ROUND(+P2453*D2453,4)</f>
        <v>0</v>
      </c>
      <c r="S2453" s="67">
        <f>ROUND(IF(K2453=0,0,M2453*D2453),4)</f>
        <v>0</v>
      </c>
      <c r="T2453" s="67">
        <f>ROUND(+IF(K2453=0,Q2453*D2453,0),4)</f>
        <v>0</v>
      </c>
      <c r="U2453" s="67">
        <f>ROUND(+N2453+R2453+S2453+T2453,4)</f>
        <v>0</v>
      </c>
      <c r="V2453" s="67">
        <f>ROUND(IF(P2453=0,0,I2453-H2453-O2453)+IF(L2453=0,0,I2453-H2453-K2453),4)</f>
        <v>0</v>
      </c>
      <c r="W2453" s="67">
        <f>ROUND(+(V2453*60%)*D2453,4)</f>
        <v>0</v>
      </c>
      <c r="X2453" s="148">
        <f>ROUND(+U2453+W2453,4)</f>
        <v>0</v>
      </c>
      <c r="Y2453" s="68"/>
      <c r="Z2453" s="148">
        <f>ROUND(IF(X2453&gt;I2453,X2453,I2453),4)</f>
        <v>0</v>
      </c>
      <c r="AD2453" s="78">
        <f t="shared" si="54"/>
        <v>0</v>
      </c>
      <c r="AE2453" s="78">
        <f t="shared" si="55"/>
        <v>0</v>
      </c>
    </row>
    <row r="2454" spans="1:31" x14ac:dyDescent="0.2">
      <c r="A2454" s="66"/>
      <c r="B2454" s="66"/>
      <c r="C2454" s="66"/>
      <c r="D2454" s="144"/>
      <c r="E2454" s="67"/>
      <c r="F2454" s="67"/>
      <c r="G2454" s="67"/>
      <c r="H2454" s="67">
        <f>ROUND(+E2454+G2454,4)</f>
        <v>0</v>
      </c>
      <c r="I2454" s="67"/>
      <c r="J2454" s="67">
        <f>ROUND(+I2454-H2454,4)</f>
        <v>0</v>
      </c>
      <c r="K2454" s="67">
        <f>ROUND(IF(F2454="alluminio",0,I2454*1.5%),4)</f>
        <v>0</v>
      </c>
      <c r="L2454" s="67">
        <f>ROUND(IF(K2454&lt;J2454,K2454,0),4)</f>
        <v>0</v>
      </c>
      <c r="M2454" s="67">
        <f>ROUND(IF(J2454&gt;K2454,0,J2454),4)</f>
        <v>0</v>
      </c>
      <c r="N2454" s="67">
        <f>ROUND(+L2454*D2454,4)</f>
        <v>0</v>
      </c>
      <c r="O2454" s="67">
        <f>ROUND(IF(F2454="rame",0,+I2454*3%),4)</f>
        <v>0</v>
      </c>
      <c r="P2454" s="67">
        <f>ROUND(IF(O2454&lt;J2454,O2454,0),4)</f>
        <v>0</v>
      </c>
      <c r="Q2454" s="67">
        <f>ROUND(IF(J2454&gt;O2454,0,J2454),4)</f>
        <v>0</v>
      </c>
      <c r="R2454" s="67">
        <f>ROUND(+P2454*D2454,4)</f>
        <v>0</v>
      </c>
      <c r="S2454" s="67">
        <f>ROUND(IF(K2454=0,0,M2454*D2454),4)</f>
        <v>0</v>
      </c>
      <c r="T2454" s="67">
        <f>ROUND(+IF(K2454=0,Q2454*D2454,0),4)</f>
        <v>0</v>
      </c>
      <c r="U2454" s="67">
        <f>ROUND(+N2454+R2454+S2454+T2454,4)</f>
        <v>0</v>
      </c>
      <c r="V2454" s="67">
        <f>ROUND(IF(P2454=0,0,I2454-H2454-O2454)+IF(L2454=0,0,I2454-H2454-K2454),4)</f>
        <v>0</v>
      </c>
      <c r="W2454" s="67">
        <f>ROUND(+(V2454*60%)*D2454,4)</f>
        <v>0</v>
      </c>
      <c r="X2454" s="148">
        <f>ROUND(+U2454+W2454,4)</f>
        <v>0</v>
      </c>
      <c r="Y2454" s="68"/>
      <c r="Z2454" s="148">
        <f>ROUND(IF(X2454&gt;I2454,X2454,I2454),4)</f>
        <v>0</v>
      </c>
      <c r="AD2454" s="78">
        <f t="shared" si="54"/>
        <v>0</v>
      </c>
      <c r="AE2454" s="78">
        <f t="shared" si="55"/>
        <v>0</v>
      </c>
    </row>
    <row r="2455" spans="1:31" x14ac:dyDescent="0.2">
      <c r="A2455" s="66"/>
      <c r="B2455" s="66"/>
      <c r="C2455" s="66"/>
      <c r="D2455" s="144"/>
      <c r="E2455" s="67"/>
      <c r="F2455" s="67"/>
      <c r="G2455" s="67"/>
      <c r="H2455" s="67">
        <f>ROUND(+E2455+G2455,4)</f>
        <v>0</v>
      </c>
      <c r="I2455" s="67"/>
      <c r="J2455" s="67">
        <f>ROUND(+I2455-H2455,4)</f>
        <v>0</v>
      </c>
      <c r="K2455" s="67">
        <f>ROUND(IF(F2455="alluminio",0,I2455*1.5%),4)</f>
        <v>0</v>
      </c>
      <c r="L2455" s="67">
        <f>ROUND(IF(K2455&lt;J2455,K2455,0),4)</f>
        <v>0</v>
      </c>
      <c r="M2455" s="67">
        <f>ROUND(IF(J2455&gt;K2455,0,J2455),4)</f>
        <v>0</v>
      </c>
      <c r="N2455" s="67">
        <f>ROUND(+L2455*D2455,4)</f>
        <v>0</v>
      </c>
      <c r="O2455" s="67">
        <f>ROUND(IF(F2455="rame",0,+I2455*3%),4)</f>
        <v>0</v>
      </c>
      <c r="P2455" s="67">
        <f>ROUND(IF(O2455&lt;J2455,O2455,0),4)</f>
        <v>0</v>
      </c>
      <c r="Q2455" s="67">
        <f>ROUND(IF(J2455&gt;O2455,0,J2455),4)</f>
        <v>0</v>
      </c>
      <c r="R2455" s="67">
        <f>ROUND(+P2455*D2455,4)</f>
        <v>0</v>
      </c>
      <c r="S2455" s="67">
        <f>ROUND(IF(K2455=0,0,M2455*D2455),4)</f>
        <v>0</v>
      </c>
      <c r="T2455" s="67">
        <f>ROUND(+IF(K2455=0,Q2455*D2455,0),4)</f>
        <v>0</v>
      </c>
      <c r="U2455" s="67">
        <f>ROUND(+N2455+R2455+S2455+T2455,4)</f>
        <v>0</v>
      </c>
      <c r="V2455" s="67">
        <f>ROUND(IF(P2455=0,0,I2455-H2455-O2455)+IF(L2455=0,0,I2455-H2455-K2455),4)</f>
        <v>0</v>
      </c>
      <c r="W2455" s="67">
        <f>ROUND(+(V2455*60%)*D2455,4)</f>
        <v>0</v>
      </c>
      <c r="X2455" s="148">
        <f>ROUND(+U2455+W2455,4)</f>
        <v>0</v>
      </c>
      <c r="Y2455" s="68"/>
      <c r="Z2455" s="148">
        <f>ROUND(IF(X2455&gt;I2455,X2455,I2455),4)</f>
        <v>0</v>
      </c>
      <c r="AD2455" s="78">
        <f t="shared" si="54"/>
        <v>0</v>
      </c>
      <c r="AE2455" s="78">
        <f t="shared" si="55"/>
        <v>0</v>
      </c>
    </row>
    <row r="2456" spans="1:31" x14ac:dyDescent="0.2">
      <c r="A2456" s="66"/>
      <c r="B2456" s="66"/>
      <c r="C2456" s="66"/>
      <c r="D2456" s="144"/>
      <c r="E2456" s="67"/>
      <c r="F2456" s="67"/>
      <c r="G2456" s="67"/>
      <c r="H2456" s="67">
        <f>ROUND(+E2456+G2456,4)</f>
        <v>0</v>
      </c>
      <c r="I2456" s="67"/>
      <c r="J2456" s="67">
        <f>ROUND(+I2456-H2456,4)</f>
        <v>0</v>
      </c>
      <c r="K2456" s="67">
        <f>ROUND(IF(F2456="alluminio",0,I2456*1.5%),4)</f>
        <v>0</v>
      </c>
      <c r="L2456" s="67">
        <f>ROUND(IF(K2456&lt;J2456,K2456,0),4)</f>
        <v>0</v>
      </c>
      <c r="M2456" s="67">
        <f>ROUND(IF(J2456&gt;K2456,0,J2456),4)</f>
        <v>0</v>
      </c>
      <c r="N2456" s="67">
        <f>ROUND(+L2456*D2456,4)</f>
        <v>0</v>
      </c>
      <c r="O2456" s="67">
        <f>ROUND(IF(F2456="rame",0,+I2456*3%),4)</f>
        <v>0</v>
      </c>
      <c r="P2456" s="67">
        <f>ROUND(IF(O2456&lt;J2456,O2456,0),4)</f>
        <v>0</v>
      </c>
      <c r="Q2456" s="67">
        <f>ROUND(IF(J2456&gt;O2456,0,J2456),4)</f>
        <v>0</v>
      </c>
      <c r="R2456" s="67">
        <f>ROUND(+P2456*D2456,4)</f>
        <v>0</v>
      </c>
      <c r="S2456" s="67">
        <f>ROUND(IF(K2456=0,0,M2456*D2456),4)</f>
        <v>0</v>
      </c>
      <c r="T2456" s="67">
        <f>ROUND(+IF(K2456=0,Q2456*D2456,0),4)</f>
        <v>0</v>
      </c>
      <c r="U2456" s="67">
        <f>ROUND(+N2456+R2456+S2456+T2456,4)</f>
        <v>0</v>
      </c>
      <c r="V2456" s="67">
        <f>ROUND(IF(P2456=0,0,I2456-H2456-O2456)+IF(L2456=0,0,I2456-H2456-K2456),4)</f>
        <v>0</v>
      </c>
      <c r="W2456" s="67">
        <f>ROUND(+(V2456*60%)*D2456,4)</f>
        <v>0</v>
      </c>
      <c r="X2456" s="148">
        <f>ROUND(+U2456+W2456,4)</f>
        <v>0</v>
      </c>
      <c r="Y2456" s="68"/>
      <c r="Z2456" s="148">
        <f>ROUND(IF(X2456&gt;I2456,X2456,I2456),4)</f>
        <v>0</v>
      </c>
      <c r="AD2456" s="78">
        <f t="shared" si="54"/>
        <v>0</v>
      </c>
      <c r="AE2456" s="78">
        <f t="shared" si="55"/>
        <v>0</v>
      </c>
    </row>
    <row r="2457" spans="1:31" x14ac:dyDescent="0.2">
      <c r="A2457" s="66"/>
      <c r="B2457" s="66"/>
      <c r="C2457" s="66"/>
      <c r="D2457" s="144"/>
      <c r="E2457" s="67"/>
      <c r="F2457" s="67"/>
      <c r="G2457" s="67"/>
      <c r="H2457" s="67">
        <f>ROUND(+E2457+G2457,4)</f>
        <v>0</v>
      </c>
      <c r="I2457" s="67"/>
      <c r="J2457" s="67">
        <f>ROUND(+I2457-H2457,4)</f>
        <v>0</v>
      </c>
      <c r="K2457" s="67">
        <f>ROUND(IF(F2457="alluminio",0,I2457*1.5%),4)</f>
        <v>0</v>
      </c>
      <c r="L2457" s="67">
        <f>ROUND(IF(K2457&lt;J2457,K2457,0),4)</f>
        <v>0</v>
      </c>
      <c r="M2457" s="67">
        <f>ROUND(IF(J2457&gt;K2457,0,J2457),4)</f>
        <v>0</v>
      </c>
      <c r="N2457" s="67">
        <f>ROUND(+L2457*D2457,4)</f>
        <v>0</v>
      </c>
      <c r="O2457" s="67">
        <f>ROUND(IF(F2457="rame",0,+I2457*3%),4)</f>
        <v>0</v>
      </c>
      <c r="P2457" s="67">
        <f>ROUND(IF(O2457&lt;J2457,O2457,0),4)</f>
        <v>0</v>
      </c>
      <c r="Q2457" s="67">
        <f>ROUND(IF(J2457&gt;O2457,0,J2457),4)</f>
        <v>0</v>
      </c>
      <c r="R2457" s="67">
        <f>ROUND(+P2457*D2457,4)</f>
        <v>0</v>
      </c>
      <c r="S2457" s="67">
        <f>ROUND(IF(K2457=0,0,M2457*D2457),4)</f>
        <v>0</v>
      </c>
      <c r="T2457" s="67">
        <f>ROUND(+IF(K2457=0,Q2457*D2457,0),4)</f>
        <v>0</v>
      </c>
      <c r="U2457" s="67">
        <f>ROUND(+N2457+R2457+S2457+T2457,4)</f>
        <v>0</v>
      </c>
      <c r="V2457" s="67">
        <f>ROUND(IF(P2457=0,0,I2457-H2457-O2457)+IF(L2457=0,0,I2457-H2457-K2457),4)</f>
        <v>0</v>
      </c>
      <c r="W2457" s="67">
        <f>ROUND(+(V2457*60%)*D2457,4)</f>
        <v>0</v>
      </c>
      <c r="X2457" s="148">
        <f>ROUND(+U2457+W2457,4)</f>
        <v>0</v>
      </c>
      <c r="Y2457" s="68"/>
      <c r="Z2457" s="148">
        <f>ROUND(IF(X2457&gt;I2457,X2457,I2457),4)</f>
        <v>0</v>
      </c>
      <c r="AD2457" s="78">
        <f t="shared" si="54"/>
        <v>0</v>
      </c>
      <c r="AE2457" s="78">
        <f t="shared" si="55"/>
        <v>0</v>
      </c>
    </row>
    <row r="2458" spans="1:31" x14ac:dyDescent="0.2">
      <c r="A2458" s="66"/>
      <c r="B2458" s="66"/>
      <c r="C2458" s="66"/>
      <c r="D2458" s="144"/>
      <c r="E2458" s="67"/>
      <c r="F2458" s="67"/>
      <c r="G2458" s="67"/>
      <c r="H2458" s="67">
        <f>ROUND(+E2458+G2458,4)</f>
        <v>0</v>
      </c>
      <c r="I2458" s="67"/>
      <c r="J2458" s="67">
        <f>ROUND(+I2458-H2458,4)</f>
        <v>0</v>
      </c>
      <c r="K2458" s="67">
        <f>ROUND(IF(F2458="alluminio",0,I2458*1.5%),4)</f>
        <v>0</v>
      </c>
      <c r="L2458" s="67">
        <f>ROUND(IF(K2458&lt;J2458,K2458,0),4)</f>
        <v>0</v>
      </c>
      <c r="M2458" s="67">
        <f>ROUND(IF(J2458&gt;K2458,0,J2458),4)</f>
        <v>0</v>
      </c>
      <c r="N2458" s="67">
        <f>ROUND(+L2458*D2458,4)</f>
        <v>0</v>
      </c>
      <c r="O2458" s="67">
        <f>ROUND(IF(F2458="rame",0,+I2458*3%),4)</f>
        <v>0</v>
      </c>
      <c r="P2458" s="67">
        <f>ROUND(IF(O2458&lt;J2458,O2458,0),4)</f>
        <v>0</v>
      </c>
      <c r="Q2458" s="67">
        <f>ROUND(IF(J2458&gt;O2458,0,J2458),4)</f>
        <v>0</v>
      </c>
      <c r="R2458" s="67">
        <f>ROUND(+P2458*D2458,4)</f>
        <v>0</v>
      </c>
      <c r="S2458" s="67">
        <f>ROUND(IF(K2458=0,0,M2458*D2458),4)</f>
        <v>0</v>
      </c>
      <c r="T2458" s="67">
        <f>ROUND(+IF(K2458=0,Q2458*D2458,0),4)</f>
        <v>0</v>
      </c>
      <c r="U2458" s="67">
        <f>ROUND(+N2458+R2458+S2458+T2458,4)</f>
        <v>0</v>
      </c>
      <c r="V2458" s="67">
        <f>ROUND(IF(P2458=0,0,I2458-H2458-O2458)+IF(L2458=0,0,I2458-H2458-K2458),4)</f>
        <v>0</v>
      </c>
      <c r="W2458" s="67">
        <f>ROUND(+(V2458*60%)*D2458,4)</f>
        <v>0</v>
      </c>
      <c r="X2458" s="148">
        <f>ROUND(+U2458+W2458,4)</f>
        <v>0</v>
      </c>
      <c r="Y2458" s="68"/>
      <c r="Z2458" s="148">
        <f>ROUND(IF(X2458&gt;I2458,X2458,I2458),4)</f>
        <v>0</v>
      </c>
      <c r="AD2458" s="78">
        <f t="shared" si="54"/>
        <v>0</v>
      </c>
      <c r="AE2458" s="78">
        <f t="shared" si="55"/>
        <v>0</v>
      </c>
    </row>
    <row r="2459" spans="1:31" x14ac:dyDescent="0.2">
      <c r="A2459" s="66"/>
      <c r="B2459" s="66"/>
      <c r="C2459" s="66"/>
      <c r="D2459" s="144"/>
      <c r="E2459" s="67"/>
      <c r="F2459" s="67"/>
      <c r="G2459" s="67"/>
      <c r="H2459" s="67">
        <f>ROUND(+E2459+G2459,4)</f>
        <v>0</v>
      </c>
      <c r="I2459" s="67"/>
      <c r="J2459" s="67">
        <f>ROUND(+I2459-H2459,4)</f>
        <v>0</v>
      </c>
      <c r="K2459" s="67">
        <f>ROUND(IF(F2459="alluminio",0,I2459*1.5%),4)</f>
        <v>0</v>
      </c>
      <c r="L2459" s="67">
        <f>ROUND(IF(K2459&lt;J2459,K2459,0),4)</f>
        <v>0</v>
      </c>
      <c r="M2459" s="67">
        <f>ROUND(IF(J2459&gt;K2459,0,J2459),4)</f>
        <v>0</v>
      </c>
      <c r="N2459" s="67">
        <f>ROUND(+L2459*D2459,4)</f>
        <v>0</v>
      </c>
      <c r="O2459" s="67">
        <f>ROUND(IF(F2459="rame",0,+I2459*3%),4)</f>
        <v>0</v>
      </c>
      <c r="P2459" s="67">
        <f>ROUND(IF(O2459&lt;J2459,O2459,0),4)</f>
        <v>0</v>
      </c>
      <c r="Q2459" s="67">
        <f>ROUND(IF(J2459&gt;O2459,0,J2459),4)</f>
        <v>0</v>
      </c>
      <c r="R2459" s="67">
        <f>ROUND(+P2459*D2459,4)</f>
        <v>0</v>
      </c>
      <c r="S2459" s="67">
        <f>ROUND(IF(K2459=0,0,M2459*D2459),4)</f>
        <v>0</v>
      </c>
      <c r="T2459" s="67">
        <f>ROUND(+IF(K2459=0,Q2459*D2459,0),4)</f>
        <v>0</v>
      </c>
      <c r="U2459" s="67">
        <f>ROUND(+N2459+R2459+S2459+T2459,4)</f>
        <v>0</v>
      </c>
      <c r="V2459" s="67">
        <f>ROUND(IF(P2459=0,0,I2459-H2459-O2459)+IF(L2459=0,0,I2459-H2459-K2459),4)</f>
        <v>0</v>
      </c>
      <c r="W2459" s="67">
        <f>ROUND(+(V2459*60%)*D2459,4)</f>
        <v>0</v>
      </c>
      <c r="X2459" s="148">
        <f>ROUND(+U2459+W2459,4)</f>
        <v>0</v>
      </c>
      <c r="Y2459" s="68"/>
      <c r="Z2459" s="148">
        <f>ROUND(IF(X2459&gt;I2459,X2459,I2459),4)</f>
        <v>0</v>
      </c>
      <c r="AD2459" s="78">
        <f t="shared" si="54"/>
        <v>0</v>
      </c>
      <c r="AE2459" s="78">
        <f t="shared" si="55"/>
        <v>0</v>
      </c>
    </row>
    <row r="2460" spans="1:31" x14ac:dyDescent="0.2">
      <c r="A2460" s="66"/>
      <c r="B2460" s="66"/>
      <c r="C2460" s="66"/>
      <c r="D2460" s="144"/>
      <c r="E2460" s="67"/>
      <c r="F2460" s="67"/>
      <c r="G2460" s="67"/>
      <c r="H2460" s="67">
        <f>ROUND(+E2460+G2460,4)</f>
        <v>0</v>
      </c>
      <c r="I2460" s="67"/>
      <c r="J2460" s="67">
        <f>ROUND(+I2460-H2460,4)</f>
        <v>0</v>
      </c>
      <c r="K2460" s="67">
        <f>ROUND(IF(F2460="alluminio",0,I2460*1.5%),4)</f>
        <v>0</v>
      </c>
      <c r="L2460" s="67">
        <f>ROUND(IF(K2460&lt;J2460,K2460,0),4)</f>
        <v>0</v>
      </c>
      <c r="M2460" s="67">
        <f>ROUND(IF(J2460&gt;K2460,0,J2460),4)</f>
        <v>0</v>
      </c>
      <c r="N2460" s="67">
        <f>ROUND(+L2460*D2460,4)</f>
        <v>0</v>
      </c>
      <c r="O2460" s="67">
        <f>ROUND(IF(F2460="rame",0,+I2460*3%),4)</f>
        <v>0</v>
      </c>
      <c r="P2460" s="67">
        <f>ROUND(IF(O2460&lt;J2460,O2460,0),4)</f>
        <v>0</v>
      </c>
      <c r="Q2460" s="67">
        <f>ROUND(IF(J2460&gt;O2460,0,J2460),4)</f>
        <v>0</v>
      </c>
      <c r="R2460" s="67">
        <f>ROUND(+P2460*D2460,4)</f>
        <v>0</v>
      </c>
      <c r="S2460" s="67">
        <f>ROUND(IF(K2460=0,0,M2460*D2460),4)</f>
        <v>0</v>
      </c>
      <c r="T2460" s="67">
        <f>ROUND(+IF(K2460=0,Q2460*D2460,0),4)</f>
        <v>0</v>
      </c>
      <c r="U2460" s="67">
        <f>ROUND(+N2460+R2460+S2460+T2460,4)</f>
        <v>0</v>
      </c>
      <c r="V2460" s="67">
        <f>ROUND(IF(P2460=0,0,I2460-H2460-O2460)+IF(L2460=0,0,I2460-H2460-K2460),4)</f>
        <v>0</v>
      </c>
      <c r="W2460" s="67">
        <f>ROUND(+(V2460*60%)*D2460,4)</f>
        <v>0</v>
      </c>
      <c r="X2460" s="148">
        <f>ROUND(+U2460+W2460,4)</f>
        <v>0</v>
      </c>
      <c r="Y2460" s="68"/>
      <c r="Z2460" s="148">
        <f>ROUND(IF(X2460&gt;I2460,X2460,I2460),4)</f>
        <v>0</v>
      </c>
      <c r="AD2460" s="78">
        <f t="shared" si="54"/>
        <v>0</v>
      </c>
      <c r="AE2460" s="78">
        <f t="shared" si="55"/>
        <v>0</v>
      </c>
    </row>
    <row r="2461" spans="1:31" x14ac:dyDescent="0.2">
      <c r="A2461" s="66"/>
      <c r="B2461" s="66"/>
      <c r="C2461" s="66"/>
      <c r="D2461" s="144"/>
      <c r="E2461" s="67"/>
      <c r="F2461" s="67"/>
      <c r="G2461" s="67"/>
      <c r="H2461" s="67">
        <f>ROUND(+E2461+G2461,4)</f>
        <v>0</v>
      </c>
      <c r="I2461" s="67"/>
      <c r="J2461" s="67">
        <f>ROUND(+I2461-H2461,4)</f>
        <v>0</v>
      </c>
      <c r="K2461" s="67">
        <f>ROUND(IF(F2461="alluminio",0,I2461*1.5%),4)</f>
        <v>0</v>
      </c>
      <c r="L2461" s="67">
        <f>ROUND(IF(K2461&lt;J2461,K2461,0),4)</f>
        <v>0</v>
      </c>
      <c r="M2461" s="67">
        <f>ROUND(IF(J2461&gt;K2461,0,J2461),4)</f>
        <v>0</v>
      </c>
      <c r="N2461" s="67">
        <f>ROUND(+L2461*D2461,4)</f>
        <v>0</v>
      </c>
      <c r="O2461" s="67">
        <f>ROUND(IF(F2461="rame",0,+I2461*3%),4)</f>
        <v>0</v>
      </c>
      <c r="P2461" s="67">
        <f>ROUND(IF(O2461&lt;J2461,O2461,0),4)</f>
        <v>0</v>
      </c>
      <c r="Q2461" s="67">
        <f>ROUND(IF(J2461&gt;O2461,0,J2461),4)</f>
        <v>0</v>
      </c>
      <c r="R2461" s="67">
        <f>ROUND(+P2461*D2461,4)</f>
        <v>0</v>
      </c>
      <c r="S2461" s="67">
        <f>ROUND(IF(K2461=0,0,M2461*D2461),4)</f>
        <v>0</v>
      </c>
      <c r="T2461" s="67">
        <f>ROUND(+IF(K2461=0,Q2461*D2461,0),4)</f>
        <v>0</v>
      </c>
      <c r="U2461" s="67">
        <f>ROUND(+N2461+R2461+S2461+T2461,4)</f>
        <v>0</v>
      </c>
      <c r="V2461" s="67">
        <f>ROUND(IF(P2461=0,0,I2461-H2461-O2461)+IF(L2461=0,0,I2461-H2461-K2461),4)</f>
        <v>0</v>
      </c>
      <c r="W2461" s="67">
        <f>ROUND(+(V2461*60%)*D2461,4)</f>
        <v>0</v>
      </c>
      <c r="X2461" s="148">
        <f>ROUND(+U2461+W2461,4)</f>
        <v>0</v>
      </c>
      <c r="Y2461" s="68"/>
      <c r="Z2461" s="148">
        <f>ROUND(IF(X2461&gt;I2461,X2461,I2461),4)</f>
        <v>0</v>
      </c>
      <c r="AD2461" s="78">
        <f t="shared" si="54"/>
        <v>0</v>
      </c>
      <c r="AE2461" s="78">
        <f t="shared" si="55"/>
        <v>0</v>
      </c>
    </row>
    <row r="2462" spans="1:31" x14ac:dyDescent="0.2">
      <c r="A2462" s="66"/>
      <c r="B2462" s="66"/>
      <c r="C2462" s="66"/>
      <c r="D2462" s="144"/>
      <c r="E2462" s="67"/>
      <c r="F2462" s="67"/>
      <c r="G2462" s="67"/>
      <c r="H2462" s="67">
        <f>ROUND(+E2462+G2462,4)</f>
        <v>0</v>
      </c>
      <c r="I2462" s="67"/>
      <c r="J2462" s="67">
        <f>ROUND(+I2462-H2462,4)</f>
        <v>0</v>
      </c>
      <c r="K2462" s="67">
        <f>ROUND(IF(F2462="alluminio",0,I2462*1.5%),4)</f>
        <v>0</v>
      </c>
      <c r="L2462" s="67">
        <f>ROUND(IF(K2462&lt;J2462,K2462,0),4)</f>
        <v>0</v>
      </c>
      <c r="M2462" s="67">
        <f>ROUND(IF(J2462&gt;K2462,0,J2462),4)</f>
        <v>0</v>
      </c>
      <c r="N2462" s="67">
        <f>ROUND(+L2462*D2462,4)</f>
        <v>0</v>
      </c>
      <c r="O2462" s="67">
        <f>ROUND(IF(F2462="rame",0,+I2462*3%),4)</f>
        <v>0</v>
      </c>
      <c r="P2462" s="67">
        <f>ROUND(IF(O2462&lt;J2462,O2462,0),4)</f>
        <v>0</v>
      </c>
      <c r="Q2462" s="67">
        <f>ROUND(IF(J2462&gt;O2462,0,J2462),4)</f>
        <v>0</v>
      </c>
      <c r="R2462" s="67">
        <f>ROUND(+P2462*D2462,4)</f>
        <v>0</v>
      </c>
      <c r="S2462" s="67">
        <f>ROUND(IF(K2462=0,0,M2462*D2462),4)</f>
        <v>0</v>
      </c>
      <c r="T2462" s="67">
        <f>ROUND(+IF(K2462=0,Q2462*D2462,0),4)</f>
        <v>0</v>
      </c>
      <c r="U2462" s="67">
        <f>ROUND(+N2462+R2462+S2462+T2462,4)</f>
        <v>0</v>
      </c>
      <c r="V2462" s="67">
        <f>ROUND(IF(P2462=0,0,I2462-H2462-O2462)+IF(L2462=0,0,I2462-H2462-K2462),4)</f>
        <v>0</v>
      </c>
      <c r="W2462" s="67">
        <f>ROUND(+(V2462*60%)*D2462,4)</f>
        <v>0</v>
      </c>
      <c r="X2462" s="148">
        <f>ROUND(+U2462+W2462,4)</f>
        <v>0</v>
      </c>
      <c r="Y2462" s="68"/>
      <c r="Z2462" s="148">
        <f>ROUND(IF(X2462&gt;I2462,X2462,I2462),4)</f>
        <v>0</v>
      </c>
      <c r="AD2462" s="78">
        <f t="shared" si="54"/>
        <v>0</v>
      </c>
      <c r="AE2462" s="78">
        <f t="shared" si="55"/>
        <v>0</v>
      </c>
    </row>
    <row r="2463" spans="1:31" x14ac:dyDescent="0.2">
      <c r="A2463" s="66"/>
      <c r="B2463" s="66"/>
      <c r="C2463" s="66"/>
      <c r="D2463" s="144"/>
      <c r="E2463" s="67"/>
      <c r="F2463" s="67"/>
      <c r="G2463" s="67"/>
      <c r="H2463" s="67">
        <f>ROUND(+E2463+G2463,4)</f>
        <v>0</v>
      </c>
      <c r="I2463" s="67"/>
      <c r="J2463" s="67">
        <f>ROUND(+I2463-H2463,4)</f>
        <v>0</v>
      </c>
      <c r="K2463" s="67">
        <f>ROUND(IF(F2463="alluminio",0,I2463*1.5%),4)</f>
        <v>0</v>
      </c>
      <c r="L2463" s="67">
        <f>ROUND(IF(K2463&lt;J2463,K2463,0),4)</f>
        <v>0</v>
      </c>
      <c r="M2463" s="67">
        <f>ROUND(IF(J2463&gt;K2463,0,J2463),4)</f>
        <v>0</v>
      </c>
      <c r="N2463" s="67">
        <f>ROUND(+L2463*D2463,4)</f>
        <v>0</v>
      </c>
      <c r="O2463" s="67">
        <f>ROUND(IF(F2463="rame",0,+I2463*3%),4)</f>
        <v>0</v>
      </c>
      <c r="P2463" s="67">
        <f>ROUND(IF(O2463&lt;J2463,O2463,0),4)</f>
        <v>0</v>
      </c>
      <c r="Q2463" s="67">
        <f>ROUND(IF(J2463&gt;O2463,0,J2463),4)</f>
        <v>0</v>
      </c>
      <c r="R2463" s="67">
        <f>ROUND(+P2463*D2463,4)</f>
        <v>0</v>
      </c>
      <c r="S2463" s="67">
        <f>ROUND(IF(K2463=0,0,M2463*D2463),4)</f>
        <v>0</v>
      </c>
      <c r="T2463" s="67">
        <f>ROUND(+IF(K2463=0,Q2463*D2463,0),4)</f>
        <v>0</v>
      </c>
      <c r="U2463" s="67">
        <f>ROUND(+N2463+R2463+S2463+T2463,4)</f>
        <v>0</v>
      </c>
      <c r="V2463" s="67">
        <f>ROUND(IF(P2463=0,0,I2463-H2463-O2463)+IF(L2463=0,0,I2463-H2463-K2463),4)</f>
        <v>0</v>
      </c>
      <c r="W2463" s="67">
        <f>ROUND(+(V2463*60%)*D2463,4)</f>
        <v>0</v>
      </c>
      <c r="X2463" s="148">
        <f>ROUND(+U2463+W2463,4)</f>
        <v>0</v>
      </c>
      <c r="Y2463" s="68"/>
      <c r="Z2463" s="148">
        <f>ROUND(IF(X2463&gt;I2463,X2463,I2463),4)</f>
        <v>0</v>
      </c>
      <c r="AD2463" s="78">
        <f t="shared" si="54"/>
        <v>0</v>
      </c>
      <c r="AE2463" s="78">
        <f t="shared" si="55"/>
        <v>0</v>
      </c>
    </row>
    <row r="2464" spans="1:31" x14ac:dyDescent="0.2">
      <c r="A2464" s="66"/>
      <c r="B2464" s="66"/>
      <c r="C2464" s="66"/>
      <c r="D2464" s="144"/>
      <c r="E2464" s="67"/>
      <c r="F2464" s="67"/>
      <c r="G2464" s="67"/>
      <c r="H2464" s="67">
        <f>ROUND(+E2464+G2464,4)</f>
        <v>0</v>
      </c>
      <c r="I2464" s="67"/>
      <c r="J2464" s="67">
        <f>ROUND(+I2464-H2464,4)</f>
        <v>0</v>
      </c>
      <c r="K2464" s="67">
        <f>ROUND(IF(F2464="alluminio",0,I2464*1.5%),4)</f>
        <v>0</v>
      </c>
      <c r="L2464" s="67">
        <f>ROUND(IF(K2464&lt;J2464,K2464,0),4)</f>
        <v>0</v>
      </c>
      <c r="M2464" s="67">
        <f>ROUND(IF(J2464&gt;K2464,0,J2464),4)</f>
        <v>0</v>
      </c>
      <c r="N2464" s="67">
        <f>ROUND(+L2464*D2464,4)</f>
        <v>0</v>
      </c>
      <c r="O2464" s="67">
        <f>ROUND(IF(F2464="rame",0,+I2464*3%),4)</f>
        <v>0</v>
      </c>
      <c r="P2464" s="67">
        <f>ROUND(IF(O2464&lt;J2464,O2464,0),4)</f>
        <v>0</v>
      </c>
      <c r="Q2464" s="67">
        <f>ROUND(IF(J2464&gt;O2464,0,J2464),4)</f>
        <v>0</v>
      </c>
      <c r="R2464" s="67">
        <f>ROUND(+P2464*D2464,4)</f>
        <v>0</v>
      </c>
      <c r="S2464" s="67">
        <f>ROUND(IF(K2464=0,0,M2464*D2464),4)</f>
        <v>0</v>
      </c>
      <c r="T2464" s="67">
        <f>ROUND(+IF(K2464=0,Q2464*D2464,0),4)</f>
        <v>0</v>
      </c>
      <c r="U2464" s="67">
        <f>ROUND(+N2464+R2464+S2464+T2464,4)</f>
        <v>0</v>
      </c>
      <c r="V2464" s="67">
        <f>ROUND(IF(P2464=0,0,I2464-H2464-O2464)+IF(L2464=0,0,I2464-H2464-K2464),4)</f>
        <v>0</v>
      </c>
      <c r="W2464" s="67">
        <f>ROUND(+(V2464*60%)*D2464,4)</f>
        <v>0</v>
      </c>
      <c r="X2464" s="148">
        <f>ROUND(+U2464+W2464,4)</f>
        <v>0</v>
      </c>
      <c r="Y2464" s="68"/>
      <c r="Z2464" s="148">
        <f>ROUND(IF(X2464&gt;I2464,X2464,I2464),4)</f>
        <v>0</v>
      </c>
      <c r="AD2464" s="78">
        <f t="shared" si="54"/>
        <v>0</v>
      </c>
      <c r="AE2464" s="78">
        <f t="shared" si="55"/>
        <v>0</v>
      </c>
    </row>
    <row r="2465" spans="1:31" x14ac:dyDescent="0.2">
      <c r="A2465" s="66"/>
      <c r="B2465" s="66"/>
      <c r="C2465" s="66"/>
      <c r="D2465" s="144"/>
      <c r="E2465" s="67"/>
      <c r="F2465" s="67"/>
      <c r="G2465" s="67"/>
      <c r="H2465" s="67">
        <f>ROUND(+E2465+G2465,4)</f>
        <v>0</v>
      </c>
      <c r="I2465" s="67"/>
      <c r="J2465" s="67">
        <f>ROUND(+I2465-H2465,4)</f>
        <v>0</v>
      </c>
      <c r="K2465" s="67">
        <f>ROUND(IF(F2465="alluminio",0,I2465*1.5%),4)</f>
        <v>0</v>
      </c>
      <c r="L2465" s="67">
        <f>ROUND(IF(K2465&lt;J2465,K2465,0),4)</f>
        <v>0</v>
      </c>
      <c r="M2465" s="67">
        <f>ROUND(IF(J2465&gt;K2465,0,J2465),4)</f>
        <v>0</v>
      </c>
      <c r="N2465" s="67">
        <f>ROUND(+L2465*D2465,4)</f>
        <v>0</v>
      </c>
      <c r="O2465" s="67">
        <f>ROUND(IF(F2465="rame",0,+I2465*3%),4)</f>
        <v>0</v>
      </c>
      <c r="P2465" s="67">
        <f>ROUND(IF(O2465&lt;J2465,O2465,0),4)</f>
        <v>0</v>
      </c>
      <c r="Q2465" s="67">
        <f>ROUND(IF(J2465&gt;O2465,0,J2465),4)</f>
        <v>0</v>
      </c>
      <c r="R2465" s="67">
        <f>ROUND(+P2465*D2465,4)</f>
        <v>0</v>
      </c>
      <c r="S2465" s="67">
        <f>ROUND(IF(K2465=0,0,M2465*D2465),4)</f>
        <v>0</v>
      </c>
      <c r="T2465" s="67">
        <f>ROUND(+IF(K2465=0,Q2465*D2465,0),4)</f>
        <v>0</v>
      </c>
      <c r="U2465" s="67">
        <f>ROUND(+N2465+R2465+S2465+T2465,4)</f>
        <v>0</v>
      </c>
      <c r="V2465" s="67">
        <f>ROUND(IF(P2465=0,0,I2465-H2465-O2465)+IF(L2465=0,0,I2465-H2465-K2465),4)</f>
        <v>0</v>
      </c>
      <c r="W2465" s="67">
        <f>ROUND(+(V2465*60%)*D2465,4)</f>
        <v>0</v>
      </c>
      <c r="X2465" s="148">
        <f>ROUND(+U2465+W2465,4)</f>
        <v>0</v>
      </c>
      <c r="Y2465" s="68"/>
      <c r="Z2465" s="148">
        <f>ROUND(IF(X2465&gt;I2465,X2465,I2465),4)</f>
        <v>0</v>
      </c>
      <c r="AD2465" s="78">
        <f t="shared" si="54"/>
        <v>0</v>
      </c>
      <c r="AE2465" s="78">
        <f t="shared" si="55"/>
        <v>0</v>
      </c>
    </row>
    <row r="2466" spans="1:31" x14ac:dyDescent="0.2">
      <c r="A2466" s="66"/>
      <c r="B2466" s="66"/>
      <c r="C2466" s="66"/>
      <c r="D2466" s="144"/>
      <c r="E2466" s="67"/>
      <c r="F2466" s="67"/>
      <c r="G2466" s="67"/>
      <c r="H2466" s="67">
        <f>ROUND(+E2466+G2466,4)</f>
        <v>0</v>
      </c>
      <c r="I2466" s="67"/>
      <c r="J2466" s="67">
        <f>ROUND(+I2466-H2466,4)</f>
        <v>0</v>
      </c>
      <c r="K2466" s="67">
        <f>ROUND(IF(F2466="alluminio",0,I2466*1.5%),4)</f>
        <v>0</v>
      </c>
      <c r="L2466" s="67">
        <f>ROUND(IF(K2466&lt;J2466,K2466,0),4)</f>
        <v>0</v>
      </c>
      <c r="M2466" s="67">
        <f>ROUND(IF(J2466&gt;K2466,0,J2466),4)</f>
        <v>0</v>
      </c>
      <c r="N2466" s="67">
        <f>ROUND(+L2466*D2466,4)</f>
        <v>0</v>
      </c>
      <c r="O2466" s="67">
        <f>ROUND(IF(F2466="rame",0,+I2466*3%),4)</f>
        <v>0</v>
      </c>
      <c r="P2466" s="67">
        <f>ROUND(IF(O2466&lt;J2466,O2466,0),4)</f>
        <v>0</v>
      </c>
      <c r="Q2466" s="67">
        <f>ROUND(IF(J2466&gt;O2466,0,J2466),4)</f>
        <v>0</v>
      </c>
      <c r="R2466" s="67">
        <f>ROUND(+P2466*D2466,4)</f>
        <v>0</v>
      </c>
      <c r="S2466" s="67">
        <f>ROUND(IF(K2466=0,0,M2466*D2466),4)</f>
        <v>0</v>
      </c>
      <c r="T2466" s="67">
        <f>ROUND(+IF(K2466=0,Q2466*D2466,0),4)</f>
        <v>0</v>
      </c>
      <c r="U2466" s="67">
        <f>ROUND(+N2466+R2466+S2466+T2466,4)</f>
        <v>0</v>
      </c>
      <c r="V2466" s="67">
        <f>ROUND(IF(P2466=0,0,I2466-H2466-O2466)+IF(L2466=0,0,I2466-H2466-K2466),4)</f>
        <v>0</v>
      </c>
      <c r="W2466" s="67">
        <f>ROUND(+(V2466*60%)*D2466,4)</f>
        <v>0</v>
      </c>
      <c r="X2466" s="148">
        <f>ROUND(+U2466+W2466,4)</f>
        <v>0</v>
      </c>
      <c r="Y2466" s="68"/>
      <c r="Z2466" s="148">
        <f>ROUND(IF(X2466&gt;I2466,X2466,I2466),4)</f>
        <v>0</v>
      </c>
      <c r="AD2466" s="78">
        <f t="shared" si="54"/>
        <v>0</v>
      </c>
      <c r="AE2466" s="78">
        <f t="shared" si="55"/>
        <v>0</v>
      </c>
    </row>
    <row r="2467" spans="1:31" x14ac:dyDescent="0.2">
      <c r="A2467" s="66"/>
      <c r="B2467" s="66"/>
      <c r="C2467" s="66"/>
      <c r="D2467" s="144"/>
      <c r="E2467" s="67"/>
      <c r="F2467" s="67"/>
      <c r="G2467" s="67"/>
      <c r="H2467" s="67">
        <f>ROUND(+E2467+G2467,4)</f>
        <v>0</v>
      </c>
      <c r="I2467" s="67"/>
      <c r="J2467" s="67">
        <f>ROUND(+I2467-H2467,4)</f>
        <v>0</v>
      </c>
      <c r="K2467" s="67">
        <f>ROUND(IF(F2467="alluminio",0,I2467*1.5%),4)</f>
        <v>0</v>
      </c>
      <c r="L2467" s="67">
        <f>ROUND(IF(K2467&lt;J2467,K2467,0),4)</f>
        <v>0</v>
      </c>
      <c r="M2467" s="67">
        <f>ROUND(IF(J2467&gt;K2467,0,J2467),4)</f>
        <v>0</v>
      </c>
      <c r="N2467" s="67">
        <f>ROUND(+L2467*D2467,4)</f>
        <v>0</v>
      </c>
      <c r="O2467" s="67">
        <f>ROUND(IF(F2467="rame",0,+I2467*3%),4)</f>
        <v>0</v>
      </c>
      <c r="P2467" s="67">
        <f>ROUND(IF(O2467&lt;J2467,O2467,0),4)</f>
        <v>0</v>
      </c>
      <c r="Q2467" s="67">
        <f>ROUND(IF(J2467&gt;O2467,0,J2467),4)</f>
        <v>0</v>
      </c>
      <c r="R2467" s="67">
        <f>ROUND(+P2467*D2467,4)</f>
        <v>0</v>
      </c>
      <c r="S2467" s="67">
        <f>ROUND(IF(K2467=0,0,M2467*D2467),4)</f>
        <v>0</v>
      </c>
      <c r="T2467" s="67">
        <f>ROUND(+IF(K2467=0,Q2467*D2467,0),4)</f>
        <v>0</v>
      </c>
      <c r="U2467" s="67">
        <f>ROUND(+N2467+R2467+S2467+T2467,4)</f>
        <v>0</v>
      </c>
      <c r="V2467" s="67">
        <f>ROUND(IF(P2467=0,0,I2467-H2467-O2467)+IF(L2467=0,0,I2467-H2467-K2467),4)</f>
        <v>0</v>
      </c>
      <c r="W2467" s="67">
        <f>ROUND(+(V2467*60%)*D2467,4)</f>
        <v>0</v>
      </c>
      <c r="X2467" s="148">
        <f>ROUND(+U2467+W2467,4)</f>
        <v>0</v>
      </c>
      <c r="Y2467" s="68"/>
      <c r="Z2467" s="148">
        <f>ROUND(IF(X2467&gt;I2467,X2467,I2467),4)</f>
        <v>0</v>
      </c>
      <c r="AD2467" s="78">
        <f t="shared" si="54"/>
        <v>0</v>
      </c>
      <c r="AE2467" s="78">
        <f t="shared" si="55"/>
        <v>0</v>
      </c>
    </row>
    <row r="2468" spans="1:31" x14ac:dyDescent="0.2">
      <c r="A2468" s="66"/>
      <c r="B2468" s="66"/>
      <c r="C2468" s="66"/>
      <c r="D2468" s="144"/>
      <c r="E2468" s="67"/>
      <c r="F2468" s="67"/>
      <c r="G2468" s="67"/>
      <c r="H2468" s="67">
        <f>ROUND(+E2468+G2468,4)</f>
        <v>0</v>
      </c>
      <c r="I2468" s="67"/>
      <c r="J2468" s="67">
        <f>ROUND(+I2468-H2468,4)</f>
        <v>0</v>
      </c>
      <c r="K2468" s="67">
        <f>ROUND(IF(F2468="alluminio",0,I2468*1.5%),4)</f>
        <v>0</v>
      </c>
      <c r="L2468" s="67">
        <f>ROUND(IF(K2468&lt;J2468,K2468,0),4)</f>
        <v>0</v>
      </c>
      <c r="M2468" s="67">
        <f>ROUND(IF(J2468&gt;K2468,0,J2468),4)</f>
        <v>0</v>
      </c>
      <c r="N2468" s="67">
        <f>ROUND(+L2468*D2468,4)</f>
        <v>0</v>
      </c>
      <c r="O2468" s="67">
        <f>ROUND(IF(F2468="rame",0,+I2468*3%),4)</f>
        <v>0</v>
      </c>
      <c r="P2468" s="67">
        <f>ROUND(IF(O2468&lt;J2468,O2468,0),4)</f>
        <v>0</v>
      </c>
      <c r="Q2468" s="67">
        <f>ROUND(IF(J2468&gt;O2468,0,J2468),4)</f>
        <v>0</v>
      </c>
      <c r="R2468" s="67">
        <f>ROUND(+P2468*D2468,4)</f>
        <v>0</v>
      </c>
      <c r="S2468" s="67">
        <f>ROUND(IF(K2468=0,0,M2468*D2468),4)</f>
        <v>0</v>
      </c>
      <c r="T2468" s="67">
        <f>ROUND(+IF(K2468=0,Q2468*D2468,0),4)</f>
        <v>0</v>
      </c>
      <c r="U2468" s="67">
        <f>ROUND(+N2468+R2468+S2468+T2468,4)</f>
        <v>0</v>
      </c>
      <c r="V2468" s="67">
        <f>ROUND(IF(P2468=0,0,I2468-H2468-O2468)+IF(L2468=0,0,I2468-H2468-K2468),4)</f>
        <v>0</v>
      </c>
      <c r="W2468" s="67">
        <f>ROUND(+(V2468*60%)*D2468,4)</f>
        <v>0</v>
      </c>
      <c r="X2468" s="148">
        <f>ROUND(+U2468+W2468,4)</f>
        <v>0</v>
      </c>
      <c r="Y2468" s="68"/>
      <c r="Z2468" s="148">
        <f>ROUND(IF(X2468&gt;I2468,X2468,I2468),4)</f>
        <v>0</v>
      </c>
      <c r="AD2468" s="78">
        <f t="shared" si="54"/>
        <v>0</v>
      </c>
      <c r="AE2468" s="78">
        <f t="shared" si="55"/>
        <v>0</v>
      </c>
    </row>
    <row r="2469" spans="1:31" x14ac:dyDescent="0.2">
      <c r="A2469" s="66"/>
      <c r="B2469" s="66"/>
      <c r="C2469" s="66"/>
      <c r="D2469" s="144"/>
      <c r="E2469" s="67"/>
      <c r="F2469" s="67"/>
      <c r="G2469" s="67"/>
      <c r="H2469" s="67">
        <f>ROUND(+E2469+G2469,4)</f>
        <v>0</v>
      </c>
      <c r="I2469" s="67"/>
      <c r="J2469" s="67">
        <f>ROUND(+I2469-H2469,4)</f>
        <v>0</v>
      </c>
      <c r="K2469" s="67">
        <f>ROUND(IF(F2469="alluminio",0,I2469*1.5%),4)</f>
        <v>0</v>
      </c>
      <c r="L2469" s="67">
        <f>ROUND(IF(K2469&lt;J2469,K2469,0),4)</f>
        <v>0</v>
      </c>
      <c r="M2469" s="67">
        <f>ROUND(IF(J2469&gt;K2469,0,J2469),4)</f>
        <v>0</v>
      </c>
      <c r="N2469" s="67">
        <f>ROUND(+L2469*D2469,4)</f>
        <v>0</v>
      </c>
      <c r="O2469" s="67">
        <f>ROUND(IF(F2469="rame",0,+I2469*3%),4)</f>
        <v>0</v>
      </c>
      <c r="P2469" s="67">
        <f>ROUND(IF(O2469&lt;J2469,O2469,0),4)</f>
        <v>0</v>
      </c>
      <c r="Q2469" s="67">
        <f>ROUND(IF(J2469&gt;O2469,0,J2469),4)</f>
        <v>0</v>
      </c>
      <c r="R2469" s="67">
        <f>ROUND(+P2469*D2469,4)</f>
        <v>0</v>
      </c>
      <c r="S2469" s="67">
        <f>ROUND(IF(K2469=0,0,M2469*D2469),4)</f>
        <v>0</v>
      </c>
      <c r="T2469" s="67">
        <f>ROUND(+IF(K2469=0,Q2469*D2469,0),4)</f>
        <v>0</v>
      </c>
      <c r="U2469" s="67">
        <f>ROUND(+N2469+R2469+S2469+T2469,4)</f>
        <v>0</v>
      </c>
      <c r="V2469" s="67">
        <f>ROUND(IF(P2469=0,0,I2469-H2469-O2469)+IF(L2469=0,0,I2469-H2469-K2469),4)</f>
        <v>0</v>
      </c>
      <c r="W2469" s="67">
        <f>ROUND(+(V2469*60%)*D2469,4)</f>
        <v>0</v>
      </c>
      <c r="X2469" s="148">
        <f>ROUND(+U2469+W2469,4)</f>
        <v>0</v>
      </c>
      <c r="Y2469" s="68"/>
      <c r="Z2469" s="148">
        <f>ROUND(IF(X2469&gt;I2469,X2469,I2469),4)</f>
        <v>0</v>
      </c>
      <c r="AD2469" s="78">
        <f t="shared" si="54"/>
        <v>0</v>
      </c>
      <c r="AE2469" s="78">
        <f t="shared" si="55"/>
        <v>0</v>
      </c>
    </row>
    <row r="2470" spans="1:31" x14ac:dyDescent="0.2">
      <c r="A2470" s="66"/>
      <c r="B2470" s="66"/>
      <c r="C2470" s="66"/>
      <c r="D2470" s="144"/>
      <c r="E2470" s="67"/>
      <c r="F2470" s="67"/>
      <c r="G2470" s="67"/>
      <c r="H2470" s="67">
        <f>ROUND(+E2470+G2470,4)</f>
        <v>0</v>
      </c>
      <c r="I2470" s="67"/>
      <c r="J2470" s="67">
        <f>ROUND(+I2470-H2470,4)</f>
        <v>0</v>
      </c>
      <c r="K2470" s="67">
        <f>ROUND(IF(F2470="alluminio",0,I2470*1.5%),4)</f>
        <v>0</v>
      </c>
      <c r="L2470" s="67">
        <f>ROUND(IF(K2470&lt;J2470,K2470,0),4)</f>
        <v>0</v>
      </c>
      <c r="M2470" s="67">
        <f>ROUND(IF(J2470&gt;K2470,0,J2470),4)</f>
        <v>0</v>
      </c>
      <c r="N2470" s="67">
        <f>ROUND(+L2470*D2470,4)</f>
        <v>0</v>
      </c>
      <c r="O2470" s="67">
        <f>ROUND(IF(F2470="rame",0,+I2470*3%),4)</f>
        <v>0</v>
      </c>
      <c r="P2470" s="67">
        <f>ROUND(IF(O2470&lt;J2470,O2470,0),4)</f>
        <v>0</v>
      </c>
      <c r="Q2470" s="67">
        <f>ROUND(IF(J2470&gt;O2470,0,J2470),4)</f>
        <v>0</v>
      </c>
      <c r="R2470" s="67">
        <f>ROUND(+P2470*D2470,4)</f>
        <v>0</v>
      </c>
      <c r="S2470" s="67">
        <f>ROUND(IF(K2470=0,0,M2470*D2470),4)</f>
        <v>0</v>
      </c>
      <c r="T2470" s="67">
        <f>ROUND(+IF(K2470=0,Q2470*D2470,0),4)</f>
        <v>0</v>
      </c>
      <c r="U2470" s="67">
        <f>ROUND(+N2470+R2470+S2470+T2470,4)</f>
        <v>0</v>
      </c>
      <c r="V2470" s="67">
        <f>ROUND(IF(P2470=0,0,I2470-H2470-O2470)+IF(L2470=0,0,I2470-H2470-K2470),4)</f>
        <v>0</v>
      </c>
      <c r="W2470" s="67">
        <f>ROUND(+(V2470*60%)*D2470,4)</f>
        <v>0</v>
      </c>
      <c r="X2470" s="148">
        <f>ROUND(+U2470+W2470,4)</f>
        <v>0</v>
      </c>
      <c r="Y2470" s="68"/>
      <c r="Z2470" s="148">
        <f>ROUND(IF(X2470&gt;I2470,X2470,I2470),4)</f>
        <v>0</v>
      </c>
      <c r="AD2470" s="78">
        <f t="shared" si="54"/>
        <v>0</v>
      </c>
      <c r="AE2470" s="78">
        <f t="shared" si="55"/>
        <v>0</v>
      </c>
    </row>
    <row r="2471" spans="1:31" x14ac:dyDescent="0.2">
      <c r="A2471" s="66"/>
      <c r="B2471" s="66"/>
      <c r="C2471" s="66"/>
      <c r="D2471" s="144"/>
      <c r="E2471" s="67"/>
      <c r="F2471" s="67"/>
      <c r="G2471" s="67"/>
      <c r="H2471" s="67">
        <f>ROUND(+E2471+G2471,4)</f>
        <v>0</v>
      </c>
      <c r="I2471" s="67"/>
      <c r="J2471" s="67">
        <f>ROUND(+I2471-H2471,4)</f>
        <v>0</v>
      </c>
      <c r="K2471" s="67">
        <f>ROUND(IF(F2471="alluminio",0,I2471*1.5%),4)</f>
        <v>0</v>
      </c>
      <c r="L2471" s="67">
        <f>ROUND(IF(K2471&lt;J2471,K2471,0),4)</f>
        <v>0</v>
      </c>
      <c r="M2471" s="67">
        <f>ROUND(IF(J2471&gt;K2471,0,J2471),4)</f>
        <v>0</v>
      </c>
      <c r="N2471" s="67">
        <f>ROUND(+L2471*D2471,4)</f>
        <v>0</v>
      </c>
      <c r="O2471" s="67">
        <f>ROUND(IF(F2471="rame",0,+I2471*3%),4)</f>
        <v>0</v>
      </c>
      <c r="P2471" s="67">
        <f>ROUND(IF(O2471&lt;J2471,O2471,0),4)</f>
        <v>0</v>
      </c>
      <c r="Q2471" s="67">
        <f>ROUND(IF(J2471&gt;O2471,0,J2471),4)</f>
        <v>0</v>
      </c>
      <c r="R2471" s="67">
        <f>ROUND(+P2471*D2471,4)</f>
        <v>0</v>
      </c>
      <c r="S2471" s="67">
        <f>ROUND(IF(K2471=0,0,M2471*D2471),4)</f>
        <v>0</v>
      </c>
      <c r="T2471" s="67">
        <f>ROUND(+IF(K2471=0,Q2471*D2471,0),4)</f>
        <v>0</v>
      </c>
      <c r="U2471" s="67">
        <f>ROUND(+N2471+R2471+S2471+T2471,4)</f>
        <v>0</v>
      </c>
      <c r="V2471" s="67">
        <f>ROUND(IF(P2471=0,0,I2471-H2471-O2471)+IF(L2471=0,0,I2471-H2471-K2471),4)</f>
        <v>0</v>
      </c>
      <c r="W2471" s="67">
        <f>ROUND(+(V2471*60%)*D2471,4)</f>
        <v>0</v>
      </c>
      <c r="X2471" s="148">
        <f>ROUND(+U2471+W2471,4)</f>
        <v>0</v>
      </c>
      <c r="Y2471" s="68"/>
      <c r="Z2471" s="148">
        <f>ROUND(IF(X2471&gt;I2471,X2471,I2471),4)</f>
        <v>0</v>
      </c>
      <c r="AD2471" s="78">
        <f t="shared" si="54"/>
        <v>0</v>
      </c>
      <c r="AE2471" s="78">
        <f t="shared" si="55"/>
        <v>0</v>
      </c>
    </row>
    <row r="2472" spans="1:31" x14ac:dyDescent="0.2">
      <c r="A2472" s="66"/>
      <c r="B2472" s="66"/>
      <c r="C2472" s="66"/>
      <c r="D2472" s="144"/>
      <c r="E2472" s="67"/>
      <c r="F2472" s="67"/>
      <c r="G2472" s="67"/>
      <c r="H2472" s="67">
        <f>ROUND(+E2472+G2472,4)</f>
        <v>0</v>
      </c>
      <c r="I2472" s="67"/>
      <c r="J2472" s="67">
        <f>ROUND(+I2472-H2472,4)</f>
        <v>0</v>
      </c>
      <c r="K2472" s="67">
        <f>ROUND(IF(F2472="alluminio",0,I2472*1.5%),4)</f>
        <v>0</v>
      </c>
      <c r="L2472" s="67">
        <f>ROUND(IF(K2472&lt;J2472,K2472,0),4)</f>
        <v>0</v>
      </c>
      <c r="M2472" s="67">
        <f>ROUND(IF(J2472&gt;K2472,0,J2472),4)</f>
        <v>0</v>
      </c>
      <c r="N2472" s="67">
        <f>ROUND(+L2472*D2472,4)</f>
        <v>0</v>
      </c>
      <c r="O2472" s="67">
        <f>ROUND(IF(F2472="rame",0,+I2472*3%),4)</f>
        <v>0</v>
      </c>
      <c r="P2472" s="67">
        <f>ROUND(IF(O2472&lt;J2472,O2472,0),4)</f>
        <v>0</v>
      </c>
      <c r="Q2472" s="67">
        <f>ROUND(IF(J2472&gt;O2472,0,J2472),4)</f>
        <v>0</v>
      </c>
      <c r="R2472" s="67">
        <f>ROUND(+P2472*D2472,4)</f>
        <v>0</v>
      </c>
      <c r="S2472" s="67">
        <f>ROUND(IF(K2472=0,0,M2472*D2472),4)</f>
        <v>0</v>
      </c>
      <c r="T2472" s="67">
        <f>ROUND(+IF(K2472=0,Q2472*D2472,0),4)</f>
        <v>0</v>
      </c>
      <c r="U2472" s="67">
        <f>ROUND(+N2472+R2472+S2472+T2472,4)</f>
        <v>0</v>
      </c>
      <c r="V2472" s="67">
        <f>ROUND(IF(P2472=0,0,I2472-H2472-O2472)+IF(L2472=0,0,I2472-H2472-K2472),4)</f>
        <v>0</v>
      </c>
      <c r="W2472" s="67">
        <f>ROUND(+(V2472*60%)*D2472,4)</f>
        <v>0</v>
      </c>
      <c r="X2472" s="148">
        <f>ROUND(+U2472+W2472,4)</f>
        <v>0</v>
      </c>
      <c r="Y2472" s="68"/>
      <c r="Z2472" s="148">
        <f>ROUND(IF(X2472&gt;I2472,X2472,I2472),4)</f>
        <v>0</v>
      </c>
      <c r="AD2472" s="78">
        <f t="shared" si="54"/>
        <v>0</v>
      </c>
      <c r="AE2472" s="78">
        <f t="shared" si="55"/>
        <v>0</v>
      </c>
    </row>
    <row r="2473" spans="1:31" x14ac:dyDescent="0.2">
      <c r="A2473" s="66"/>
      <c r="B2473" s="66"/>
      <c r="C2473" s="66"/>
      <c r="D2473" s="144"/>
      <c r="E2473" s="67"/>
      <c r="F2473" s="67"/>
      <c r="G2473" s="67"/>
      <c r="H2473" s="67">
        <f>ROUND(+E2473+G2473,4)</f>
        <v>0</v>
      </c>
      <c r="I2473" s="67"/>
      <c r="J2473" s="67">
        <f>ROUND(+I2473-H2473,4)</f>
        <v>0</v>
      </c>
      <c r="K2473" s="67">
        <f>ROUND(IF(F2473="alluminio",0,I2473*1.5%),4)</f>
        <v>0</v>
      </c>
      <c r="L2473" s="67">
        <f>ROUND(IF(K2473&lt;J2473,K2473,0),4)</f>
        <v>0</v>
      </c>
      <c r="M2473" s="67">
        <f>ROUND(IF(J2473&gt;K2473,0,J2473),4)</f>
        <v>0</v>
      </c>
      <c r="N2473" s="67">
        <f>ROUND(+L2473*D2473,4)</f>
        <v>0</v>
      </c>
      <c r="O2473" s="67">
        <f>ROUND(IF(F2473="rame",0,+I2473*3%),4)</f>
        <v>0</v>
      </c>
      <c r="P2473" s="67">
        <f>ROUND(IF(O2473&lt;J2473,O2473,0),4)</f>
        <v>0</v>
      </c>
      <c r="Q2473" s="67">
        <f>ROUND(IF(J2473&gt;O2473,0,J2473),4)</f>
        <v>0</v>
      </c>
      <c r="R2473" s="67">
        <f>ROUND(+P2473*D2473,4)</f>
        <v>0</v>
      </c>
      <c r="S2473" s="67">
        <f>ROUND(IF(K2473=0,0,M2473*D2473),4)</f>
        <v>0</v>
      </c>
      <c r="T2473" s="67">
        <f>ROUND(+IF(K2473=0,Q2473*D2473,0),4)</f>
        <v>0</v>
      </c>
      <c r="U2473" s="67">
        <f>ROUND(+N2473+R2473+S2473+T2473,4)</f>
        <v>0</v>
      </c>
      <c r="V2473" s="67">
        <f>ROUND(IF(P2473=0,0,I2473-H2473-O2473)+IF(L2473=0,0,I2473-H2473-K2473),4)</f>
        <v>0</v>
      </c>
      <c r="W2473" s="67">
        <f>ROUND(+(V2473*60%)*D2473,4)</f>
        <v>0</v>
      </c>
      <c r="X2473" s="148">
        <f>ROUND(+U2473+W2473,4)</f>
        <v>0</v>
      </c>
      <c r="Y2473" s="68"/>
      <c r="Z2473" s="148">
        <f>ROUND(IF(X2473&gt;I2473,X2473,I2473),4)</f>
        <v>0</v>
      </c>
      <c r="AD2473" s="78">
        <f t="shared" si="54"/>
        <v>0</v>
      </c>
      <c r="AE2473" s="78">
        <f t="shared" si="55"/>
        <v>0</v>
      </c>
    </row>
    <row r="2474" spans="1:31" x14ac:dyDescent="0.2">
      <c r="A2474" s="66"/>
      <c r="B2474" s="66"/>
      <c r="C2474" s="66"/>
      <c r="D2474" s="144"/>
      <c r="E2474" s="67"/>
      <c r="F2474" s="67"/>
      <c r="G2474" s="67"/>
      <c r="H2474" s="67">
        <f>ROUND(+E2474+G2474,4)</f>
        <v>0</v>
      </c>
      <c r="I2474" s="67"/>
      <c r="J2474" s="67">
        <f>ROUND(+I2474-H2474,4)</f>
        <v>0</v>
      </c>
      <c r="K2474" s="67">
        <f>ROUND(IF(F2474="alluminio",0,I2474*1.5%),4)</f>
        <v>0</v>
      </c>
      <c r="L2474" s="67">
        <f>ROUND(IF(K2474&lt;J2474,K2474,0),4)</f>
        <v>0</v>
      </c>
      <c r="M2474" s="67">
        <f>ROUND(IF(J2474&gt;K2474,0,J2474),4)</f>
        <v>0</v>
      </c>
      <c r="N2474" s="67">
        <f>ROUND(+L2474*D2474,4)</f>
        <v>0</v>
      </c>
      <c r="O2474" s="67">
        <f>ROUND(IF(F2474="rame",0,+I2474*3%),4)</f>
        <v>0</v>
      </c>
      <c r="P2474" s="67">
        <f>ROUND(IF(O2474&lt;J2474,O2474,0),4)</f>
        <v>0</v>
      </c>
      <c r="Q2474" s="67">
        <f>ROUND(IF(J2474&gt;O2474,0,J2474),4)</f>
        <v>0</v>
      </c>
      <c r="R2474" s="67">
        <f>ROUND(+P2474*D2474,4)</f>
        <v>0</v>
      </c>
      <c r="S2474" s="67">
        <f>ROUND(IF(K2474=0,0,M2474*D2474),4)</f>
        <v>0</v>
      </c>
      <c r="T2474" s="67">
        <f>ROUND(+IF(K2474=0,Q2474*D2474,0),4)</f>
        <v>0</v>
      </c>
      <c r="U2474" s="67">
        <f>ROUND(+N2474+R2474+S2474+T2474,4)</f>
        <v>0</v>
      </c>
      <c r="V2474" s="67">
        <f>ROUND(IF(P2474=0,0,I2474-H2474-O2474)+IF(L2474=0,0,I2474-H2474-K2474),4)</f>
        <v>0</v>
      </c>
      <c r="W2474" s="67">
        <f>ROUND(+(V2474*60%)*D2474,4)</f>
        <v>0</v>
      </c>
      <c r="X2474" s="148">
        <f>ROUND(+U2474+W2474,4)</f>
        <v>0</v>
      </c>
      <c r="Y2474" s="68"/>
      <c r="Z2474" s="148">
        <f>ROUND(IF(X2474&gt;I2474,X2474,I2474),4)</f>
        <v>0</v>
      </c>
      <c r="AD2474" s="78">
        <f t="shared" si="54"/>
        <v>0</v>
      </c>
      <c r="AE2474" s="78">
        <f t="shared" si="55"/>
        <v>0</v>
      </c>
    </row>
    <row r="2475" spans="1:31" x14ac:dyDescent="0.2">
      <c r="A2475" s="66"/>
      <c r="B2475" s="66"/>
      <c r="C2475" s="66"/>
      <c r="D2475" s="144"/>
      <c r="E2475" s="67"/>
      <c r="F2475" s="67"/>
      <c r="G2475" s="67"/>
      <c r="H2475" s="67">
        <f>ROUND(+E2475+G2475,4)</f>
        <v>0</v>
      </c>
      <c r="I2475" s="67"/>
      <c r="J2475" s="67">
        <f>ROUND(+I2475-H2475,4)</f>
        <v>0</v>
      </c>
      <c r="K2475" s="67">
        <f>ROUND(IF(F2475="alluminio",0,I2475*1.5%),4)</f>
        <v>0</v>
      </c>
      <c r="L2475" s="67">
        <f>ROUND(IF(K2475&lt;J2475,K2475,0),4)</f>
        <v>0</v>
      </c>
      <c r="M2475" s="67">
        <f>ROUND(IF(J2475&gt;K2475,0,J2475),4)</f>
        <v>0</v>
      </c>
      <c r="N2475" s="67">
        <f>ROUND(+L2475*D2475,4)</f>
        <v>0</v>
      </c>
      <c r="O2475" s="67">
        <f>ROUND(IF(F2475="rame",0,+I2475*3%),4)</f>
        <v>0</v>
      </c>
      <c r="P2475" s="67">
        <f>ROUND(IF(O2475&lt;J2475,O2475,0),4)</f>
        <v>0</v>
      </c>
      <c r="Q2475" s="67">
        <f>ROUND(IF(J2475&gt;O2475,0,J2475),4)</f>
        <v>0</v>
      </c>
      <c r="R2475" s="67">
        <f>ROUND(+P2475*D2475,4)</f>
        <v>0</v>
      </c>
      <c r="S2475" s="67">
        <f>ROUND(IF(K2475=0,0,M2475*D2475),4)</f>
        <v>0</v>
      </c>
      <c r="T2475" s="67">
        <f>ROUND(+IF(K2475=0,Q2475*D2475,0),4)</f>
        <v>0</v>
      </c>
      <c r="U2475" s="67">
        <f>ROUND(+N2475+R2475+S2475+T2475,4)</f>
        <v>0</v>
      </c>
      <c r="V2475" s="67">
        <f>ROUND(IF(P2475=0,0,I2475-H2475-O2475)+IF(L2475=0,0,I2475-H2475-K2475),4)</f>
        <v>0</v>
      </c>
      <c r="W2475" s="67">
        <f>ROUND(+(V2475*60%)*D2475,4)</f>
        <v>0</v>
      </c>
      <c r="X2475" s="148">
        <f>ROUND(+U2475+W2475,4)</f>
        <v>0</v>
      </c>
      <c r="Y2475" s="68"/>
      <c r="Z2475" s="148">
        <f>ROUND(IF(X2475&gt;I2475,X2475,I2475),4)</f>
        <v>0</v>
      </c>
      <c r="AD2475" s="78">
        <f t="shared" si="54"/>
        <v>0</v>
      </c>
      <c r="AE2475" s="78">
        <f t="shared" si="55"/>
        <v>0</v>
      </c>
    </row>
    <row r="2476" spans="1:31" x14ac:dyDescent="0.2">
      <c r="A2476" s="66"/>
      <c r="B2476" s="66"/>
      <c r="C2476" s="66"/>
      <c r="D2476" s="144"/>
      <c r="E2476" s="67"/>
      <c r="F2476" s="67"/>
      <c r="G2476" s="67"/>
      <c r="H2476" s="67">
        <f>ROUND(+E2476+G2476,4)</f>
        <v>0</v>
      </c>
      <c r="I2476" s="67"/>
      <c r="J2476" s="67">
        <f>ROUND(+I2476-H2476,4)</f>
        <v>0</v>
      </c>
      <c r="K2476" s="67">
        <f>ROUND(IF(F2476="alluminio",0,I2476*1.5%),4)</f>
        <v>0</v>
      </c>
      <c r="L2476" s="67">
        <f>ROUND(IF(K2476&lt;J2476,K2476,0),4)</f>
        <v>0</v>
      </c>
      <c r="M2476" s="67">
        <f>ROUND(IF(J2476&gt;K2476,0,J2476),4)</f>
        <v>0</v>
      </c>
      <c r="N2476" s="67">
        <f>ROUND(+L2476*D2476,4)</f>
        <v>0</v>
      </c>
      <c r="O2476" s="67">
        <f>ROUND(IF(F2476="rame",0,+I2476*3%),4)</f>
        <v>0</v>
      </c>
      <c r="P2476" s="67">
        <f>ROUND(IF(O2476&lt;J2476,O2476,0),4)</f>
        <v>0</v>
      </c>
      <c r="Q2476" s="67">
        <f>ROUND(IF(J2476&gt;O2476,0,J2476),4)</f>
        <v>0</v>
      </c>
      <c r="R2476" s="67">
        <f>ROUND(+P2476*D2476,4)</f>
        <v>0</v>
      </c>
      <c r="S2476" s="67">
        <f>ROUND(IF(K2476=0,0,M2476*D2476),4)</f>
        <v>0</v>
      </c>
      <c r="T2476" s="67">
        <f>ROUND(+IF(K2476=0,Q2476*D2476,0),4)</f>
        <v>0</v>
      </c>
      <c r="U2476" s="67">
        <f>ROUND(+N2476+R2476+S2476+T2476,4)</f>
        <v>0</v>
      </c>
      <c r="V2476" s="67">
        <f>ROUND(IF(P2476=0,0,I2476-H2476-O2476)+IF(L2476=0,0,I2476-H2476-K2476),4)</f>
        <v>0</v>
      </c>
      <c r="W2476" s="67">
        <f>ROUND(+(V2476*60%)*D2476,4)</f>
        <v>0</v>
      </c>
      <c r="X2476" s="148">
        <f>ROUND(+U2476+W2476,4)</f>
        <v>0</v>
      </c>
      <c r="Y2476" s="68"/>
      <c r="Z2476" s="148">
        <f>ROUND(IF(X2476&gt;I2476,X2476,I2476),4)</f>
        <v>0</v>
      </c>
      <c r="AD2476" s="78">
        <f t="shared" si="54"/>
        <v>0</v>
      </c>
      <c r="AE2476" s="78">
        <f t="shared" si="55"/>
        <v>0</v>
      </c>
    </row>
    <row r="2477" spans="1:31" x14ac:dyDescent="0.2">
      <c r="A2477" s="66"/>
      <c r="B2477" s="66"/>
      <c r="C2477" s="66"/>
      <c r="D2477" s="144"/>
      <c r="E2477" s="67"/>
      <c r="F2477" s="67"/>
      <c r="G2477" s="67"/>
      <c r="H2477" s="67">
        <f>ROUND(+E2477+G2477,4)</f>
        <v>0</v>
      </c>
      <c r="I2477" s="67"/>
      <c r="J2477" s="67">
        <f>ROUND(+I2477-H2477,4)</f>
        <v>0</v>
      </c>
      <c r="K2477" s="67">
        <f>ROUND(IF(F2477="alluminio",0,I2477*1.5%),4)</f>
        <v>0</v>
      </c>
      <c r="L2477" s="67">
        <f>ROUND(IF(K2477&lt;J2477,K2477,0),4)</f>
        <v>0</v>
      </c>
      <c r="M2477" s="67">
        <f>ROUND(IF(J2477&gt;K2477,0,J2477),4)</f>
        <v>0</v>
      </c>
      <c r="N2477" s="67">
        <f>ROUND(+L2477*D2477,4)</f>
        <v>0</v>
      </c>
      <c r="O2477" s="67">
        <f>ROUND(IF(F2477="rame",0,+I2477*3%),4)</f>
        <v>0</v>
      </c>
      <c r="P2477" s="67">
        <f>ROUND(IF(O2477&lt;J2477,O2477,0),4)</f>
        <v>0</v>
      </c>
      <c r="Q2477" s="67">
        <f>ROUND(IF(J2477&gt;O2477,0,J2477),4)</f>
        <v>0</v>
      </c>
      <c r="R2477" s="67">
        <f>ROUND(+P2477*D2477,4)</f>
        <v>0</v>
      </c>
      <c r="S2477" s="67">
        <f>ROUND(IF(K2477=0,0,M2477*D2477),4)</f>
        <v>0</v>
      </c>
      <c r="T2477" s="67">
        <f>ROUND(+IF(K2477=0,Q2477*D2477,0),4)</f>
        <v>0</v>
      </c>
      <c r="U2477" s="67">
        <f>ROUND(+N2477+R2477+S2477+T2477,4)</f>
        <v>0</v>
      </c>
      <c r="V2477" s="67">
        <f>ROUND(IF(P2477=0,0,I2477-H2477-O2477)+IF(L2477=0,0,I2477-H2477-K2477),4)</f>
        <v>0</v>
      </c>
      <c r="W2477" s="67">
        <f>ROUND(+(V2477*60%)*D2477,4)</f>
        <v>0</v>
      </c>
      <c r="X2477" s="148">
        <f>ROUND(+U2477+W2477,4)</f>
        <v>0</v>
      </c>
      <c r="Y2477" s="68"/>
      <c r="Z2477" s="148">
        <f>ROUND(IF(X2477&gt;I2477,X2477,I2477),4)</f>
        <v>0</v>
      </c>
      <c r="AD2477" s="78">
        <f t="shared" si="54"/>
        <v>0</v>
      </c>
      <c r="AE2477" s="78">
        <f t="shared" si="55"/>
        <v>0</v>
      </c>
    </row>
    <row r="2478" spans="1:31" x14ac:dyDescent="0.2">
      <c r="A2478" s="66"/>
      <c r="B2478" s="66"/>
      <c r="C2478" s="66"/>
      <c r="D2478" s="144"/>
      <c r="E2478" s="67"/>
      <c r="F2478" s="67"/>
      <c r="G2478" s="67"/>
      <c r="H2478" s="67">
        <f>ROUND(+E2478+G2478,4)</f>
        <v>0</v>
      </c>
      <c r="I2478" s="67"/>
      <c r="J2478" s="67">
        <f>ROUND(+I2478-H2478,4)</f>
        <v>0</v>
      </c>
      <c r="K2478" s="67">
        <f>ROUND(IF(F2478="alluminio",0,I2478*1.5%),4)</f>
        <v>0</v>
      </c>
      <c r="L2478" s="67">
        <f>ROUND(IF(K2478&lt;J2478,K2478,0),4)</f>
        <v>0</v>
      </c>
      <c r="M2478" s="67">
        <f>ROUND(IF(J2478&gt;K2478,0,J2478),4)</f>
        <v>0</v>
      </c>
      <c r="N2478" s="67">
        <f>ROUND(+L2478*D2478,4)</f>
        <v>0</v>
      </c>
      <c r="O2478" s="67">
        <f>ROUND(IF(F2478="rame",0,+I2478*3%),4)</f>
        <v>0</v>
      </c>
      <c r="P2478" s="67">
        <f>ROUND(IF(O2478&lt;J2478,O2478,0),4)</f>
        <v>0</v>
      </c>
      <c r="Q2478" s="67">
        <f>ROUND(IF(J2478&gt;O2478,0,J2478),4)</f>
        <v>0</v>
      </c>
      <c r="R2478" s="67">
        <f>ROUND(+P2478*D2478,4)</f>
        <v>0</v>
      </c>
      <c r="S2478" s="67">
        <f>ROUND(IF(K2478=0,0,M2478*D2478),4)</f>
        <v>0</v>
      </c>
      <c r="T2478" s="67">
        <f>ROUND(+IF(K2478=0,Q2478*D2478,0),4)</f>
        <v>0</v>
      </c>
      <c r="U2478" s="67">
        <f>ROUND(+N2478+R2478+S2478+T2478,4)</f>
        <v>0</v>
      </c>
      <c r="V2478" s="67">
        <f>ROUND(IF(P2478=0,0,I2478-H2478-O2478)+IF(L2478=0,0,I2478-H2478-K2478),4)</f>
        <v>0</v>
      </c>
      <c r="W2478" s="67">
        <f>ROUND(+(V2478*60%)*D2478,4)</f>
        <v>0</v>
      </c>
      <c r="X2478" s="148">
        <f>ROUND(+U2478+W2478,4)</f>
        <v>0</v>
      </c>
      <c r="Y2478" s="68"/>
      <c r="Z2478" s="148">
        <f>ROUND(IF(X2478&gt;I2478,X2478,I2478),4)</f>
        <v>0</v>
      </c>
      <c r="AD2478" s="78">
        <f t="shared" si="54"/>
        <v>0</v>
      </c>
      <c r="AE2478" s="78">
        <f t="shared" si="55"/>
        <v>0</v>
      </c>
    </row>
    <row r="2479" spans="1:31" x14ac:dyDescent="0.2">
      <c r="A2479" s="66"/>
      <c r="B2479" s="66"/>
      <c r="C2479" s="66"/>
      <c r="D2479" s="144"/>
      <c r="E2479" s="67"/>
      <c r="F2479" s="67"/>
      <c r="G2479" s="67"/>
      <c r="H2479" s="67">
        <f>ROUND(+E2479+G2479,4)</f>
        <v>0</v>
      </c>
      <c r="I2479" s="67"/>
      <c r="J2479" s="67">
        <f>ROUND(+I2479-H2479,4)</f>
        <v>0</v>
      </c>
      <c r="K2479" s="67">
        <f>ROUND(IF(F2479="alluminio",0,I2479*1.5%),4)</f>
        <v>0</v>
      </c>
      <c r="L2479" s="67">
        <f>ROUND(IF(K2479&lt;J2479,K2479,0),4)</f>
        <v>0</v>
      </c>
      <c r="M2479" s="67">
        <f>ROUND(IF(J2479&gt;K2479,0,J2479),4)</f>
        <v>0</v>
      </c>
      <c r="N2479" s="67">
        <f>ROUND(+L2479*D2479,4)</f>
        <v>0</v>
      </c>
      <c r="O2479" s="67">
        <f>ROUND(IF(F2479="rame",0,+I2479*3%),4)</f>
        <v>0</v>
      </c>
      <c r="P2479" s="67">
        <f>ROUND(IF(O2479&lt;J2479,O2479,0),4)</f>
        <v>0</v>
      </c>
      <c r="Q2479" s="67">
        <f>ROUND(IF(J2479&gt;O2479,0,J2479),4)</f>
        <v>0</v>
      </c>
      <c r="R2479" s="67">
        <f>ROUND(+P2479*D2479,4)</f>
        <v>0</v>
      </c>
      <c r="S2479" s="67">
        <f>ROUND(IF(K2479=0,0,M2479*D2479),4)</f>
        <v>0</v>
      </c>
      <c r="T2479" s="67">
        <f>ROUND(+IF(K2479=0,Q2479*D2479,0),4)</f>
        <v>0</v>
      </c>
      <c r="U2479" s="67">
        <f>ROUND(+N2479+R2479+S2479+T2479,4)</f>
        <v>0</v>
      </c>
      <c r="V2479" s="67">
        <f>ROUND(IF(P2479=0,0,I2479-H2479-O2479)+IF(L2479=0,0,I2479-H2479-K2479),4)</f>
        <v>0</v>
      </c>
      <c r="W2479" s="67">
        <f>ROUND(+(V2479*60%)*D2479,4)</f>
        <v>0</v>
      </c>
      <c r="X2479" s="148">
        <f>ROUND(+U2479+W2479,4)</f>
        <v>0</v>
      </c>
      <c r="Y2479" s="68"/>
      <c r="Z2479" s="148">
        <f>ROUND(IF(X2479&gt;I2479,X2479,I2479),4)</f>
        <v>0</v>
      </c>
      <c r="AD2479" s="78">
        <f t="shared" si="54"/>
        <v>0</v>
      </c>
      <c r="AE2479" s="78">
        <f t="shared" si="55"/>
        <v>0</v>
      </c>
    </row>
    <row r="2480" spans="1:31" x14ac:dyDescent="0.2">
      <c r="A2480" s="66"/>
      <c r="B2480" s="66"/>
      <c r="C2480" s="66"/>
      <c r="D2480" s="144"/>
      <c r="E2480" s="67"/>
      <c r="F2480" s="67"/>
      <c r="G2480" s="67"/>
      <c r="H2480" s="67">
        <f>ROUND(+E2480+G2480,4)</f>
        <v>0</v>
      </c>
      <c r="I2480" s="67"/>
      <c r="J2480" s="67">
        <f>ROUND(+I2480-H2480,4)</f>
        <v>0</v>
      </c>
      <c r="K2480" s="67">
        <f>ROUND(IF(F2480="alluminio",0,I2480*1.5%),4)</f>
        <v>0</v>
      </c>
      <c r="L2480" s="67">
        <f>ROUND(IF(K2480&lt;J2480,K2480,0),4)</f>
        <v>0</v>
      </c>
      <c r="M2480" s="67">
        <f>ROUND(IF(J2480&gt;K2480,0,J2480),4)</f>
        <v>0</v>
      </c>
      <c r="N2480" s="67">
        <f>ROUND(+L2480*D2480,4)</f>
        <v>0</v>
      </c>
      <c r="O2480" s="67">
        <f>ROUND(IF(F2480="rame",0,+I2480*3%),4)</f>
        <v>0</v>
      </c>
      <c r="P2480" s="67">
        <f>ROUND(IF(O2480&lt;J2480,O2480,0),4)</f>
        <v>0</v>
      </c>
      <c r="Q2480" s="67">
        <f>ROUND(IF(J2480&gt;O2480,0,J2480),4)</f>
        <v>0</v>
      </c>
      <c r="R2480" s="67">
        <f>ROUND(+P2480*D2480,4)</f>
        <v>0</v>
      </c>
      <c r="S2480" s="67">
        <f>ROUND(IF(K2480=0,0,M2480*D2480),4)</f>
        <v>0</v>
      </c>
      <c r="T2480" s="67">
        <f>ROUND(+IF(K2480=0,Q2480*D2480,0),4)</f>
        <v>0</v>
      </c>
      <c r="U2480" s="67">
        <f>ROUND(+N2480+R2480+S2480+T2480,4)</f>
        <v>0</v>
      </c>
      <c r="V2480" s="67">
        <f>ROUND(IF(P2480=0,0,I2480-H2480-O2480)+IF(L2480=0,0,I2480-H2480-K2480),4)</f>
        <v>0</v>
      </c>
      <c r="W2480" s="67">
        <f>ROUND(+(V2480*60%)*D2480,4)</f>
        <v>0</v>
      </c>
      <c r="X2480" s="148">
        <f>ROUND(+U2480+W2480,4)</f>
        <v>0</v>
      </c>
      <c r="Y2480" s="68"/>
      <c r="Z2480" s="148">
        <f>ROUND(IF(X2480&gt;I2480,X2480,I2480),4)</f>
        <v>0</v>
      </c>
      <c r="AD2480" s="78">
        <f t="shared" si="54"/>
        <v>0</v>
      </c>
      <c r="AE2480" s="78">
        <f t="shared" si="55"/>
        <v>0</v>
      </c>
    </row>
    <row r="2481" spans="1:31" x14ac:dyDescent="0.2">
      <c r="A2481" s="66"/>
      <c r="B2481" s="66"/>
      <c r="C2481" s="66"/>
      <c r="D2481" s="144"/>
      <c r="E2481" s="67"/>
      <c r="F2481" s="67"/>
      <c r="G2481" s="67"/>
      <c r="H2481" s="67">
        <f>ROUND(+E2481+G2481,4)</f>
        <v>0</v>
      </c>
      <c r="I2481" s="67"/>
      <c r="J2481" s="67">
        <f>ROUND(+I2481-H2481,4)</f>
        <v>0</v>
      </c>
      <c r="K2481" s="67">
        <f>ROUND(IF(F2481="alluminio",0,I2481*1.5%),4)</f>
        <v>0</v>
      </c>
      <c r="L2481" s="67">
        <f>ROUND(IF(K2481&lt;J2481,K2481,0),4)</f>
        <v>0</v>
      </c>
      <c r="M2481" s="67">
        <f>ROUND(IF(J2481&gt;K2481,0,J2481),4)</f>
        <v>0</v>
      </c>
      <c r="N2481" s="67">
        <f>ROUND(+L2481*D2481,4)</f>
        <v>0</v>
      </c>
      <c r="O2481" s="67">
        <f>ROUND(IF(F2481="rame",0,+I2481*3%),4)</f>
        <v>0</v>
      </c>
      <c r="P2481" s="67">
        <f>ROUND(IF(O2481&lt;J2481,O2481,0),4)</f>
        <v>0</v>
      </c>
      <c r="Q2481" s="67">
        <f>ROUND(IF(J2481&gt;O2481,0,J2481),4)</f>
        <v>0</v>
      </c>
      <c r="R2481" s="67">
        <f>ROUND(+P2481*D2481,4)</f>
        <v>0</v>
      </c>
      <c r="S2481" s="67">
        <f>ROUND(IF(K2481=0,0,M2481*D2481),4)</f>
        <v>0</v>
      </c>
      <c r="T2481" s="67">
        <f>ROUND(+IF(K2481=0,Q2481*D2481,0),4)</f>
        <v>0</v>
      </c>
      <c r="U2481" s="67">
        <f>ROUND(+N2481+R2481+S2481+T2481,4)</f>
        <v>0</v>
      </c>
      <c r="V2481" s="67">
        <f>ROUND(IF(P2481=0,0,I2481-H2481-O2481)+IF(L2481=0,0,I2481-H2481-K2481),4)</f>
        <v>0</v>
      </c>
      <c r="W2481" s="67">
        <f>ROUND(+(V2481*60%)*D2481,4)</f>
        <v>0</v>
      </c>
      <c r="X2481" s="148">
        <f>ROUND(+U2481+W2481,4)</f>
        <v>0</v>
      </c>
      <c r="Y2481" s="68"/>
      <c r="Z2481" s="148">
        <f>ROUND(IF(X2481&gt;I2481,X2481,I2481),4)</f>
        <v>0</v>
      </c>
      <c r="AD2481" s="78">
        <f t="shared" si="54"/>
        <v>0</v>
      </c>
      <c r="AE2481" s="78">
        <f t="shared" si="55"/>
        <v>0</v>
      </c>
    </row>
    <row r="2482" spans="1:31" x14ac:dyDescent="0.2">
      <c r="A2482" s="66"/>
      <c r="B2482" s="66"/>
      <c r="C2482" s="66"/>
      <c r="D2482" s="144"/>
      <c r="E2482" s="67"/>
      <c r="F2482" s="67"/>
      <c r="G2482" s="67"/>
      <c r="H2482" s="67">
        <f>ROUND(+E2482+G2482,4)</f>
        <v>0</v>
      </c>
      <c r="I2482" s="67"/>
      <c r="J2482" s="67">
        <f>ROUND(+I2482-H2482,4)</f>
        <v>0</v>
      </c>
      <c r="K2482" s="67">
        <f>ROUND(IF(F2482="alluminio",0,I2482*1.5%),4)</f>
        <v>0</v>
      </c>
      <c r="L2482" s="67">
        <f>ROUND(IF(K2482&lt;J2482,K2482,0),4)</f>
        <v>0</v>
      </c>
      <c r="M2482" s="67">
        <f>ROUND(IF(J2482&gt;K2482,0,J2482),4)</f>
        <v>0</v>
      </c>
      <c r="N2482" s="67">
        <f>ROUND(+L2482*D2482,4)</f>
        <v>0</v>
      </c>
      <c r="O2482" s="67">
        <f>ROUND(IF(F2482="rame",0,+I2482*3%),4)</f>
        <v>0</v>
      </c>
      <c r="P2482" s="67">
        <f>ROUND(IF(O2482&lt;J2482,O2482,0),4)</f>
        <v>0</v>
      </c>
      <c r="Q2482" s="67">
        <f>ROUND(IF(J2482&gt;O2482,0,J2482),4)</f>
        <v>0</v>
      </c>
      <c r="R2482" s="67">
        <f>ROUND(+P2482*D2482,4)</f>
        <v>0</v>
      </c>
      <c r="S2482" s="67">
        <f>ROUND(IF(K2482=0,0,M2482*D2482),4)</f>
        <v>0</v>
      </c>
      <c r="T2482" s="67">
        <f>ROUND(+IF(K2482=0,Q2482*D2482,0),4)</f>
        <v>0</v>
      </c>
      <c r="U2482" s="67">
        <f>ROUND(+N2482+R2482+S2482+T2482,4)</f>
        <v>0</v>
      </c>
      <c r="V2482" s="67">
        <f>ROUND(IF(P2482=0,0,I2482-H2482-O2482)+IF(L2482=0,0,I2482-H2482-K2482),4)</f>
        <v>0</v>
      </c>
      <c r="W2482" s="67">
        <f>ROUND(+(V2482*60%)*D2482,4)</f>
        <v>0</v>
      </c>
      <c r="X2482" s="148">
        <f>ROUND(+U2482+W2482,4)</f>
        <v>0</v>
      </c>
      <c r="Y2482" s="68"/>
      <c r="Z2482" s="148">
        <f>ROUND(IF(X2482&gt;I2482,X2482,I2482),4)</f>
        <v>0</v>
      </c>
      <c r="AD2482" s="78">
        <f t="shared" si="54"/>
        <v>0</v>
      </c>
      <c r="AE2482" s="78">
        <f t="shared" si="55"/>
        <v>0</v>
      </c>
    </row>
    <row r="2483" spans="1:31" x14ac:dyDescent="0.2">
      <c r="A2483" s="66"/>
      <c r="B2483" s="66"/>
      <c r="C2483" s="66"/>
      <c r="D2483" s="144"/>
      <c r="E2483" s="67"/>
      <c r="F2483" s="67"/>
      <c r="G2483" s="67"/>
      <c r="H2483" s="67">
        <f>ROUND(+E2483+G2483,4)</f>
        <v>0</v>
      </c>
      <c r="I2483" s="67"/>
      <c r="J2483" s="67">
        <f>ROUND(+I2483-H2483,4)</f>
        <v>0</v>
      </c>
      <c r="K2483" s="67">
        <f>ROUND(IF(F2483="alluminio",0,I2483*1.5%),4)</f>
        <v>0</v>
      </c>
      <c r="L2483" s="67">
        <f>ROUND(IF(K2483&lt;J2483,K2483,0),4)</f>
        <v>0</v>
      </c>
      <c r="M2483" s="67">
        <f>ROUND(IF(J2483&gt;K2483,0,J2483),4)</f>
        <v>0</v>
      </c>
      <c r="N2483" s="67">
        <f>ROUND(+L2483*D2483,4)</f>
        <v>0</v>
      </c>
      <c r="O2483" s="67">
        <f>ROUND(IF(F2483="rame",0,+I2483*3%),4)</f>
        <v>0</v>
      </c>
      <c r="P2483" s="67">
        <f>ROUND(IF(O2483&lt;J2483,O2483,0),4)</f>
        <v>0</v>
      </c>
      <c r="Q2483" s="67">
        <f>ROUND(IF(J2483&gt;O2483,0,J2483),4)</f>
        <v>0</v>
      </c>
      <c r="R2483" s="67">
        <f>ROUND(+P2483*D2483,4)</f>
        <v>0</v>
      </c>
      <c r="S2483" s="67">
        <f>ROUND(IF(K2483=0,0,M2483*D2483),4)</f>
        <v>0</v>
      </c>
      <c r="T2483" s="67">
        <f>ROUND(+IF(K2483=0,Q2483*D2483,0),4)</f>
        <v>0</v>
      </c>
      <c r="U2483" s="67">
        <f>ROUND(+N2483+R2483+S2483+T2483,4)</f>
        <v>0</v>
      </c>
      <c r="V2483" s="67">
        <f>ROUND(IF(P2483=0,0,I2483-H2483-O2483)+IF(L2483=0,0,I2483-H2483-K2483),4)</f>
        <v>0</v>
      </c>
      <c r="W2483" s="67">
        <f>ROUND(+(V2483*60%)*D2483,4)</f>
        <v>0</v>
      </c>
      <c r="X2483" s="148">
        <f>ROUND(+U2483+W2483,4)</f>
        <v>0</v>
      </c>
      <c r="Y2483" s="68"/>
      <c r="Z2483" s="148">
        <f>ROUND(IF(X2483&gt;I2483,X2483,I2483),4)</f>
        <v>0</v>
      </c>
      <c r="AD2483" s="78">
        <f t="shared" si="54"/>
        <v>0</v>
      </c>
      <c r="AE2483" s="78">
        <f t="shared" si="55"/>
        <v>0</v>
      </c>
    </row>
    <row r="2484" spans="1:31" x14ac:dyDescent="0.2">
      <c r="A2484" s="66"/>
      <c r="B2484" s="66"/>
      <c r="C2484" s="66"/>
      <c r="D2484" s="144"/>
      <c r="E2484" s="67"/>
      <c r="F2484" s="67"/>
      <c r="G2484" s="67"/>
      <c r="H2484" s="67">
        <f>ROUND(+E2484+G2484,4)</f>
        <v>0</v>
      </c>
      <c r="I2484" s="67"/>
      <c r="J2484" s="67">
        <f>ROUND(+I2484-H2484,4)</f>
        <v>0</v>
      </c>
      <c r="K2484" s="67">
        <f>ROUND(IF(F2484="alluminio",0,I2484*1.5%),4)</f>
        <v>0</v>
      </c>
      <c r="L2484" s="67">
        <f>ROUND(IF(K2484&lt;J2484,K2484,0),4)</f>
        <v>0</v>
      </c>
      <c r="M2484" s="67">
        <f>ROUND(IF(J2484&gt;K2484,0,J2484),4)</f>
        <v>0</v>
      </c>
      <c r="N2484" s="67">
        <f>ROUND(+L2484*D2484,4)</f>
        <v>0</v>
      </c>
      <c r="O2484" s="67">
        <f>ROUND(IF(F2484="rame",0,+I2484*3%),4)</f>
        <v>0</v>
      </c>
      <c r="P2484" s="67">
        <f>ROUND(IF(O2484&lt;J2484,O2484,0),4)</f>
        <v>0</v>
      </c>
      <c r="Q2484" s="67">
        <f>ROUND(IF(J2484&gt;O2484,0,J2484),4)</f>
        <v>0</v>
      </c>
      <c r="R2484" s="67">
        <f>ROUND(+P2484*D2484,4)</f>
        <v>0</v>
      </c>
      <c r="S2484" s="67">
        <f>ROUND(IF(K2484=0,0,M2484*D2484),4)</f>
        <v>0</v>
      </c>
      <c r="T2484" s="67">
        <f>ROUND(+IF(K2484=0,Q2484*D2484,0),4)</f>
        <v>0</v>
      </c>
      <c r="U2484" s="67">
        <f>ROUND(+N2484+R2484+S2484+T2484,4)</f>
        <v>0</v>
      </c>
      <c r="V2484" s="67">
        <f>ROUND(IF(P2484=0,0,I2484-H2484-O2484)+IF(L2484=0,0,I2484-H2484-K2484),4)</f>
        <v>0</v>
      </c>
      <c r="W2484" s="67">
        <f>ROUND(+(V2484*60%)*D2484,4)</f>
        <v>0</v>
      </c>
      <c r="X2484" s="148">
        <f>ROUND(+U2484+W2484,4)</f>
        <v>0</v>
      </c>
      <c r="Y2484" s="68"/>
      <c r="Z2484" s="148">
        <f>ROUND(IF(X2484&gt;I2484,X2484,I2484),4)</f>
        <v>0</v>
      </c>
      <c r="AD2484" s="78">
        <f t="shared" si="54"/>
        <v>0</v>
      </c>
      <c r="AE2484" s="78">
        <f t="shared" si="55"/>
        <v>0</v>
      </c>
    </row>
    <row r="2485" spans="1:31" x14ac:dyDescent="0.2">
      <c r="A2485" s="66"/>
      <c r="B2485" s="66"/>
      <c r="C2485" s="66"/>
      <c r="D2485" s="144"/>
      <c r="E2485" s="67"/>
      <c r="F2485" s="67"/>
      <c r="G2485" s="67"/>
      <c r="H2485" s="67">
        <f>ROUND(+E2485+G2485,4)</f>
        <v>0</v>
      </c>
      <c r="I2485" s="67"/>
      <c r="J2485" s="67">
        <f>ROUND(+I2485-H2485,4)</f>
        <v>0</v>
      </c>
      <c r="K2485" s="67">
        <f>ROUND(IF(F2485="alluminio",0,I2485*1.5%),4)</f>
        <v>0</v>
      </c>
      <c r="L2485" s="67">
        <f>ROUND(IF(K2485&lt;J2485,K2485,0),4)</f>
        <v>0</v>
      </c>
      <c r="M2485" s="67">
        <f>ROUND(IF(J2485&gt;K2485,0,J2485),4)</f>
        <v>0</v>
      </c>
      <c r="N2485" s="67">
        <f>ROUND(+L2485*D2485,4)</f>
        <v>0</v>
      </c>
      <c r="O2485" s="67">
        <f>ROUND(IF(F2485="rame",0,+I2485*3%),4)</f>
        <v>0</v>
      </c>
      <c r="P2485" s="67">
        <f>ROUND(IF(O2485&lt;J2485,O2485,0),4)</f>
        <v>0</v>
      </c>
      <c r="Q2485" s="67">
        <f>ROUND(IF(J2485&gt;O2485,0,J2485),4)</f>
        <v>0</v>
      </c>
      <c r="R2485" s="67">
        <f>ROUND(+P2485*D2485,4)</f>
        <v>0</v>
      </c>
      <c r="S2485" s="67">
        <f>ROUND(IF(K2485=0,0,M2485*D2485),4)</f>
        <v>0</v>
      </c>
      <c r="T2485" s="67">
        <f>ROUND(+IF(K2485=0,Q2485*D2485,0),4)</f>
        <v>0</v>
      </c>
      <c r="U2485" s="67">
        <f>ROUND(+N2485+R2485+S2485+T2485,4)</f>
        <v>0</v>
      </c>
      <c r="V2485" s="67">
        <f>ROUND(IF(P2485=0,0,I2485-H2485-O2485)+IF(L2485=0,0,I2485-H2485-K2485),4)</f>
        <v>0</v>
      </c>
      <c r="W2485" s="67">
        <f>ROUND(+(V2485*60%)*D2485,4)</f>
        <v>0</v>
      </c>
      <c r="X2485" s="148">
        <f>ROUND(+U2485+W2485,4)</f>
        <v>0</v>
      </c>
      <c r="Y2485" s="68"/>
      <c r="Z2485" s="148">
        <f>ROUND(IF(X2485&gt;I2485,X2485,I2485),4)</f>
        <v>0</v>
      </c>
      <c r="AD2485" s="78">
        <f t="shared" si="54"/>
        <v>0</v>
      </c>
      <c r="AE2485" s="78">
        <f t="shared" si="55"/>
        <v>0</v>
      </c>
    </row>
    <row r="2486" spans="1:31" x14ac:dyDescent="0.2">
      <c r="A2486" s="66"/>
      <c r="B2486" s="66"/>
      <c r="C2486" s="66"/>
      <c r="D2486" s="144"/>
      <c r="E2486" s="67"/>
      <c r="F2486" s="67"/>
      <c r="G2486" s="67"/>
      <c r="H2486" s="67">
        <f>ROUND(+E2486+G2486,4)</f>
        <v>0</v>
      </c>
      <c r="I2486" s="67"/>
      <c r="J2486" s="67">
        <f>ROUND(+I2486-H2486,4)</f>
        <v>0</v>
      </c>
      <c r="K2486" s="67">
        <f>ROUND(IF(F2486="alluminio",0,I2486*1.5%),4)</f>
        <v>0</v>
      </c>
      <c r="L2486" s="67">
        <f>ROUND(IF(K2486&lt;J2486,K2486,0),4)</f>
        <v>0</v>
      </c>
      <c r="M2486" s="67">
        <f>ROUND(IF(J2486&gt;K2486,0,J2486),4)</f>
        <v>0</v>
      </c>
      <c r="N2486" s="67">
        <f>ROUND(+L2486*D2486,4)</f>
        <v>0</v>
      </c>
      <c r="O2486" s="67">
        <f>ROUND(IF(F2486="rame",0,+I2486*3%),4)</f>
        <v>0</v>
      </c>
      <c r="P2486" s="67">
        <f>ROUND(IF(O2486&lt;J2486,O2486,0),4)</f>
        <v>0</v>
      </c>
      <c r="Q2486" s="67">
        <f>ROUND(IF(J2486&gt;O2486,0,J2486),4)</f>
        <v>0</v>
      </c>
      <c r="R2486" s="67">
        <f>ROUND(+P2486*D2486,4)</f>
        <v>0</v>
      </c>
      <c r="S2486" s="67">
        <f>ROUND(IF(K2486=0,0,M2486*D2486),4)</f>
        <v>0</v>
      </c>
      <c r="T2486" s="67">
        <f>ROUND(+IF(K2486=0,Q2486*D2486,0),4)</f>
        <v>0</v>
      </c>
      <c r="U2486" s="67">
        <f>ROUND(+N2486+R2486+S2486+T2486,4)</f>
        <v>0</v>
      </c>
      <c r="V2486" s="67">
        <f>ROUND(IF(P2486=0,0,I2486-H2486-O2486)+IF(L2486=0,0,I2486-H2486-K2486),4)</f>
        <v>0</v>
      </c>
      <c r="W2486" s="67">
        <f>ROUND(+(V2486*60%)*D2486,4)</f>
        <v>0</v>
      </c>
      <c r="X2486" s="148">
        <f>ROUND(+U2486+W2486,4)</f>
        <v>0</v>
      </c>
      <c r="Y2486" s="68"/>
      <c r="Z2486" s="148">
        <f>ROUND(IF(X2486&gt;I2486,X2486,I2486),4)</f>
        <v>0</v>
      </c>
      <c r="AD2486" s="78">
        <f t="shared" si="54"/>
        <v>0</v>
      </c>
      <c r="AE2486" s="78">
        <f t="shared" si="55"/>
        <v>0</v>
      </c>
    </row>
    <row r="2487" spans="1:31" x14ac:dyDescent="0.2">
      <c r="A2487" s="66"/>
      <c r="B2487" s="66"/>
      <c r="C2487" s="66"/>
      <c r="D2487" s="144"/>
      <c r="E2487" s="67"/>
      <c r="F2487" s="67"/>
      <c r="G2487" s="67"/>
      <c r="H2487" s="67">
        <f>ROUND(+E2487+G2487,4)</f>
        <v>0</v>
      </c>
      <c r="I2487" s="67"/>
      <c r="J2487" s="67">
        <f>ROUND(+I2487-H2487,4)</f>
        <v>0</v>
      </c>
      <c r="K2487" s="67">
        <f>ROUND(IF(F2487="alluminio",0,I2487*1.5%),4)</f>
        <v>0</v>
      </c>
      <c r="L2487" s="67">
        <f>ROUND(IF(K2487&lt;J2487,K2487,0),4)</f>
        <v>0</v>
      </c>
      <c r="M2487" s="67">
        <f>ROUND(IF(J2487&gt;K2487,0,J2487),4)</f>
        <v>0</v>
      </c>
      <c r="N2487" s="67">
        <f>ROUND(+L2487*D2487,4)</f>
        <v>0</v>
      </c>
      <c r="O2487" s="67">
        <f>ROUND(IF(F2487="rame",0,+I2487*3%),4)</f>
        <v>0</v>
      </c>
      <c r="P2487" s="67">
        <f>ROUND(IF(O2487&lt;J2487,O2487,0),4)</f>
        <v>0</v>
      </c>
      <c r="Q2487" s="67">
        <f>ROUND(IF(J2487&gt;O2487,0,J2487),4)</f>
        <v>0</v>
      </c>
      <c r="R2487" s="67">
        <f>ROUND(+P2487*D2487,4)</f>
        <v>0</v>
      </c>
      <c r="S2487" s="67">
        <f>ROUND(IF(K2487=0,0,M2487*D2487),4)</f>
        <v>0</v>
      </c>
      <c r="T2487" s="67">
        <f>ROUND(+IF(K2487=0,Q2487*D2487,0),4)</f>
        <v>0</v>
      </c>
      <c r="U2487" s="67">
        <f>ROUND(+N2487+R2487+S2487+T2487,4)</f>
        <v>0</v>
      </c>
      <c r="V2487" s="67">
        <f>ROUND(IF(P2487=0,0,I2487-H2487-O2487)+IF(L2487=0,0,I2487-H2487-K2487),4)</f>
        <v>0</v>
      </c>
      <c r="W2487" s="67">
        <f>ROUND(+(V2487*60%)*D2487,4)</f>
        <v>0</v>
      </c>
      <c r="X2487" s="148">
        <f>ROUND(+U2487+W2487,4)</f>
        <v>0</v>
      </c>
      <c r="Y2487" s="68"/>
      <c r="Z2487" s="148">
        <f>ROUND(IF(X2487&gt;I2487,X2487,I2487),4)</f>
        <v>0</v>
      </c>
      <c r="AD2487" s="78">
        <f t="shared" si="54"/>
        <v>0</v>
      </c>
      <c r="AE2487" s="78">
        <f t="shared" si="55"/>
        <v>0</v>
      </c>
    </row>
    <row r="2488" spans="1:31" x14ac:dyDescent="0.2">
      <c r="A2488" s="66"/>
      <c r="B2488" s="66"/>
      <c r="C2488" s="66"/>
      <c r="D2488" s="144"/>
      <c r="E2488" s="67"/>
      <c r="F2488" s="67"/>
      <c r="G2488" s="67"/>
      <c r="H2488" s="67">
        <f>ROUND(+E2488+G2488,4)</f>
        <v>0</v>
      </c>
      <c r="I2488" s="67"/>
      <c r="J2488" s="67">
        <f>ROUND(+I2488-H2488,4)</f>
        <v>0</v>
      </c>
      <c r="K2488" s="67">
        <f>ROUND(IF(F2488="alluminio",0,I2488*1.5%),4)</f>
        <v>0</v>
      </c>
      <c r="L2488" s="67">
        <f>ROUND(IF(K2488&lt;J2488,K2488,0),4)</f>
        <v>0</v>
      </c>
      <c r="M2488" s="67">
        <f>ROUND(IF(J2488&gt;K2488,0,J2488),4)</f>
        <v>0</v>
      </c>
      <c r="N2488" s="67">
        <f>ROUND(+L2488*D2488,4)</f>
        <v>0</v>
      </c>
      <c r="O2488" s="67">
        <f>ROUND(IF(F2488="rame",0,+I2488*3%),4)</f>
        <v>0</v>
      </c>
      <c r="P2488" s="67">
        <f>ROUND(IF(O2488&lt;J2488,O2488,0),4)</f>
        <v>0</v>
      </c>
      <c r="Q2488" s="67">
        <f>ROUND(IF(J2488&gt;O2488,0,J2488),4)</f>
        <v>0</v>
      </c>
      <c r="R2488" s="67">
        <f>ROUND(+P2488*D2488,4)</f>
        <v>0</v>
      </c>
      <c r="S2488" s="67">
        <f>ROUND(IF(K2488=0,0,M2488*D2488),4)</f>
        <v>0</v>
      </c>
      <c r="T2488" s="67">
        <f>ROUND(+IF(K2488=0,Q2488*D2488,0),4)</f>
        <v>0</v>
      </c>
      <c r="U2488" s="67">
        <f>ROUND(+N2488+R2488+S2488+T2488,4)</f>
        <v>0</v>
      </c>
      <c r="V2488" s="67">
        <f>ROUND(IF(P2488=0,0,I2488-H2488-O2488)+IF(L2488=0,0,I2488-H2488-K2488),4)</f>
        <v>0</v>
      </c>
      <c r="W2488" s="67">
        <f>ROUND(+(V2488*60%)*D2488,4)</f>
        <v>0</v>
      </c>
      <c r="X2488" s="148">
        <f>ROUND(+U2488+W2488,4)</f>
        <v>0</v>
      </c>
      <c r="Y2488" s="68"/>
      <c r="Z2488" s="148">
        <f>ROUND(IF(X2488&gt;I2488,X2488,I2488),4)</f>
        <v>0</v>
      </c>
      <c r="AD2488" s="78">
        <f t="shared" si="54"/>
        <v>0</v>
      </c>
      <c r="AE2488" s="78">
        <f t="shared" si="55"/>
        <v>0</v>
      </c>
    </row>
    <row r="2489" spans="1:31" x14ac:dyDescent="0.2">
      <c r="A2489" s="66"/>
      <c r="B2489" s="66"/>
      <c r="C2489" s="66"/>
      <c r="D2489" s="144"/>
      <c r="E2489" s="67"/>
      <c r="F2489" s="67"/>
      <c r="G2489" s="67"/>
      <c r="H2489" s="67">
        <f>ROUND(+E2489+G2489,4)</f>
        <v>0</v>
      </c>
      <c r="I2489" s="67"/>
      <c r="J2489" s="67">
        <f>ROUND(+I2489-H2489,4)</f>
        <v>0</v>
      </c>
      <c r="K2489" s="67">
        <f>ROUND(IF(F2489="alluminio",0,I2489*1.5%),4)</f>
        <v>0</v>
      </c>
      <c r="L2489" s="67">
        <f>ROUND(IF(K2489&lt;J2489,K2489,0),4)</f>
        <v>0</v>
      </c>
      <c r="M2489" s="67">
        <f>ROUND(IF(J2489&gt;K2489,0,J2489),4)</f>
        <v>0</v>
      </c>
      <c r="N2489" s="67">
        <f>ROUND(+L2489*D2489,4)</f>
        <v>0</v>
      </c>
      <c r="O2489" s="67">
        <f>ROUND(IF(F2489="rame",0,+I2489*3%),4)</f>
        <v>0</v>
      </c>
      <c r="P2489" s="67">
        <f>ROUND(IF(O2489&lt;J2489,O2489,0),4)</f>
        <v>0</v>
      </c>
      <c r="Q2489" s="67">
        <f>ROUND(IF(J2489&gt;O2489,0,J2489),4)</f>
        <v>0</v>
      </c>
      <c r="R2489" s="67">
        <f>ROUND(+P2489*D2489,4)</f>
        <v>0</v>
      </c>
      <c r="S2489" s="67">
        <f>ROUND(IF(K2489=0,0,M2489*D2489),4)</f>
        <v>0</v>
      </c>
      <c r="T2489" s="67">
        <f>ROUND(+IF(K2489=0,Q2489*D2489,0),4)</f>
        <v>0</v>
      </c>
      <c r="U2489" s="67">
        <f>ROUND(+N2489+R2489+S2489+T2489,4)</f>
        <v>0</v>
      </c>
      <c r="V2489" s="67">
        <f>ROUND(IF(P2489=0,0,I2489-H2489-O2489)+IF(L2489=0,0,I2489-H2489-K2489),4)</f>
        <v>0</v>
      </c>
      <c r="W2489" s="67">
        <f>ROUND(+(V2489*60%)*D2489,4)</f>
        <v>0</v>
      </c>
      <c r="X2489" s="148">
        <f>ROUND(+U2489+W2489,4)</f>
        <v>0</v>
      </c>
      <c r="Y2489" s="68"/>
      <c r="Z2489" s="148">
        <f>ROUND(IF(X2489&gt;I2489,X2489,I2489),4)</f>
        <v>0</v>
      </c>
      <c r="AD2489" s="78">
        <f t="shared" si="54"/>
        <v>0</v>
      </c>
      <c r="AE2489" s="78">
        <f t="shared" si="55"/>
        <v>0</v>
      </c>
    </row>
    <row r="2490" spans="1:31" x14ac:dyDescent="0.2">
      <c r="A2490" s="66"/>
      <c r="B2490" s="66"/>
      <c r="C2490" s="66"/>
      <c r="D2490" s="144"/>
      <c r="E2490" s="67"/>
      <c r="F2490" s="67"/>
      <c r="G2490" s="67"/>
      <c r="H2490" s="67">
        <f>ROUND(+E2490+G2490,4)</f>
        <v>0</v>
      </c>
      <c r="I2490" s="67"/>
      <c r="J2490" s="67">
        <f>ROUND(+I2490-H2490,4)</f>
        <v>0</v>
      </c>
      <c r="K2490" s="67">
        <f>ROUND(IF(F2490="alluminio",0,I2490*1.5%),4)</f>
        <v>0</v>
      </c>
      <c r="L2490" s="67">
        <f>ROUND(IF(K2490&lt;J2490,K2490,0),4)</f>
        <v>0</v>
      </c>
      <c r="M2490" s="67">
        <f>ROUND(IF(J2490&gt;K2490,0,J2490),4)</f>
        <v>0</v>
      </c>
      <c r="N2490" s="67">
        <f>ROUND(+L2490*D2490,4)</f>
        <v>0</v>
      </c>
      <c r="O2490" s="67">
        <f>ROUND(IF(F2490="rame",0,+I2490*3%),4)</f>
        <v>0</v>
      </c>
      <c r="P2490" s="67">
        <f>ROUND(IF(O2490&lt;J2490,O2490,0),4)</f>
        <v>0</v>
      </c>
      <c r="Q2490" s="67">
        <f>ROUND(IF(J2490&gt;O2490,0,J2490),4)</f>
        <v>0</v>
      </c>
      <c r="R2490" s="67">
        <f>ROUND(+P2490*D2490,4)</f>
        <v>0</v>
      </c>
      <c r="S2490" s="67">
        <f>ROUND(IF(K2490=0,0,M2490*D2490),4)</f>
        <v>0</v>
      </c>
      <c r="T2490" s="67">
        <f>ROUND(+IF(K2490=0,Q2490*D2490,0),4)</f>
        <v>0</v>
      </c>
      <c r="U2490" s="67">
        <f>ROUND(+N2490+R2490+S2490+T2490,4)</f>
        <v>0</v>
      </c>
      <c r="V2490" s="67">
        <f>ROUND(IF(P2490=0,0,I2490-H2490-O2490)+IF(L2490=0,0,I2490-H2490-K2490),4)</f>
        <v>0</v>
      </c>
      <c r="W2490" s="67">
        <f>ROUND(+(V2490*60%)*D2490,4)</f>
        <v>0</v>
      </c>
      <c r="X2490" s="148">
        <f>ROUND(+U2490+W2490,4)</f>
        <v>0</v>
      </c>
      <c r="Y2490" s="68"/>
      <c r="Z2490" s="148">
        <f>ROUND(IF(X2490&gt;I2490,X2490,I2490),4)</f>
        <v>0</v>
      </c>
      <c r="AD2490" s="78">
        <f t="shared" si="54"/>
        <v>0</v>
      </c>
      <c r="AE2490" s="78">
        <f t="shared" si="55"/>
        <v>0</v>
      </c>
    </row>
    <row r="2491" spans="1:31" x14ac:dyDescent="0.2">
      <c r="A2491" s="66"/>
      <c r="B2491" s="66"/>
      <c r="C2491" s="66"/>
      <c r="D2491" s="144"/>
      <c r="E2491" s="67"/>
      <c r="F2491" s="67"/>
      <c r="G2491" s="67"/>
      <c r="H2491" s="67">
        <f>ROUND(+E2491+G2491,4)</f>
        <v>0</v>
      </c>
      <c r="I2491" s="67"/>
      <c r="J2491" s="67">
        <f>ROUND(+I2491-H2491,4)</f>
        <v>0</v>
      </c>
      <c r="K2491" s="67">
        <f>ROUND(IF(F2491="alluminio",0,I2491*1.5%),4)</f>
        <v>0</v>
      </c>
      <c r="L2491" s="67">
        <f>ROUND(IF(K2491&lt;J2491,K2491,0),4)</f>
        <v>0</v>
      </c>
      <c r="M2491" s="67">
        <f>ROUND(IF(J2491&gt;K2491,0,J2491),4)</f>
        <v>0</v>
      </c>
      <c r="N2491" s="67">
        <f>ROUND(+L2491*D2491,4)</f>
        <v>0</v>
      </c>
      <c r="O2491" s="67">
        <f>ROUND(IF(F2491="rame",0,+I2491*3%),4)</f>
        <v>0</v>
      </c>
      <c r="P2491" s="67">
        <f>ROUND(IF(O2491&lt;J2491,O2491,0),4)</f>
        <v>0</v>
      </c>
      <c r="Q2491" s="67">
        <f>ROUND(IF(J2491&gt;O2491,0,J2491),4)</f>
        <v>0</v>
      </c>
      <c r="R2491" s="67">
        <f>ROUND(+P2491*D2491,4)</f>
        <v>0</v>
      </c>
      <c r="S2491" s="67">
        <f>ROUND(IF(K2491=0,0,M2491*D2491),4)</f>
        <v>0</v>
      </c>
      <c r="T2491" s="67">
        <f>ROUND(+IF(K2491=0,Q2491*D2491,0),4)</f>
        <v>0</v>
      </c>
      <c r="U2491" s="67">
        <f>ROUND(+N2491+R2491+S2491+T2491,4)</f>
        <v>0</v>
      </c>
      <c r="V2491" s="67">
        <f>ROUND(IF(P2491=0,0,I2491-H2491-O2491)+IF(L2491=0,0,I2491-H2491-K2491),4)</f>
        <v>0</v>
      </c>
      <c r="W2491" s="67">
        <f>ROUND(+(V2491*60%)*D2491,4)</f>
        <v>0</v>
      </c>
      <c r="X2491" s="148">
        <f>ROUND(+U2491+W2491,4)</f>
        <v>0</v>
      </c>
      <c r="Y2491" s="68"/>
      <c r="Z2491" s="148">
        <f>ROUND(IF(X2491&gt;I2491,X2491,I2491),4)</f>
        <v>0</v>
      </c>
      <c r="AD2491" s="78">
        <f t="shared" si="54"/>
        <v>0</v>
      </c>
      <c r="AE2491" s="78">
        <f t="shared" si="55"/>
        <v>0</v>
      </c>
    </row>
    <row r="2492" spans="1:31" x14ac:dyDescent="0.2">
      <c r="A2492" s="66"/>
      <c r="B2492" s="66"/>
      <c r="C2492" s="66"/>
      <c r="D2492" s="144"/>
      <c r="E2492" s="67"/>
      <c r="F2492" s="67"/>
      <c r="G2492" s="67"/>
      <c r="H2492" s="67">
        <f>ROUND(+E2492+G2492,4)</f>
        <v>0</v>
      </c>
      <c r="I2492" s="67"/>
      <c r="J2492" s="67">
        <f>ROUND(+I2492-H2492,4)</f>
        <v>0</v>
      </c>
      <c r="K2492" s="67">
        <f>ROUND(IF(F2492="alluminio",0,I2492*1.5%),4)</f>
        <v>0</v>
      </c>
      <c r="L2492" s="67">
        <f>ROUND(IF(K2492&lt;J2492,K2492,0),4)</f>
        <v>0</v>
      </c>
      <c r="M2492" s="67">
        <f>ROUND(IF(J2492&gt;K2492,0,J2492),4)</f>
        <v>0</v>
      </c>
      <c r="N2492" s="67">
        <f>ROUND(+L2492*D2492,4)</f>
        <v>0</v>
      </c>
      <c r="O2492" s="67">
        <f>ROUND(IF(F2492="rame",0,+I2492*3%),4)</f>
        <v>0</v>
      </c>
      <c r="P2492" s="67">
        <f>ROUND(IF(O2492&lt;J2492,O2492,0),4)</f>
        <v>0</v>
      </c>
      <c r="Q2492" s="67">
        <f>ROUND(IF(J2492&gt;O2492,0,J2492),4)</f>
        <v>0</v>
      </c>
      <c r="R2492" s="67">
        <f>ROUND(+P2492*D2492,4)</f>
        <v>0</v>
      </c>
      <c r="S2492" s="67">
        <f>ROUND(IF(K2492=0,0,M2492*D2492),4)</f>
        <v>0</v>
      </c>
      <c r="T2492" s="67">
        <f>ROUND(+IF(K2492=0,Q2492*D2492,0),4)</f>
        <v>0</v>
      </c>
      <c r="U2492" s="67">
        <f>ROUND(+N2492+R2492+S2492+T2492,4)</f>
        <v>0</v>
      </c>
      <c r="V2492" s="67">
        <f>ROUND(IF(P2492=0,0,I2492-H2492-O2492)+IF(L2492=0,0,I2492-H2492-K2492),4)</f>
        <v>0</v>
      </c>
      <c r="W2492" s="67">
        <f>ROUND(+(V2492*60%)*D2492,4)</f>
        <v>0</v>
      </c>
      <c r="X2492" s="148">
        <f>ROUND(+U2492+W2492,4)</f>
        <v>0</v>
      </c>
      <c r="Y2492" s="68"/>
      <c r="Z2492" s="148">
        <f>ROUND(IF(X2492&gt;I2492,X2492,I2492),4)</f>
        <v>0</v>
      </c>
      <c r="AD2492" s="78">
        <f t="shared" si="54"/>
        <v>0</v>
      </c>
      <c r="AE2492" s="78">
        <f t="shared" si="55"/>
        <v>0</v>
      </c>
    </row>
    <row r="2493" spans="1:31" x14ac:dyDescent="0.2">
      <c r="A2493" s="66"/>
      <c r="B2493" s="66"/>
      <c r="C2493" s="66"/>
      <c r="D2493" s="144"/>
      <c r="E2493" s="67"/>
      <c r="F2493" s="67"/>
      <c r="G2493" s="67"/>
      <c r="H2493" s="67">
        <f>ROUND(+E2493+G2493,4)</f>
        <v>0</v>
      </c>
      <c r="I2493" s="67"/>
      <c r="J2493" s="67">
        <f>ROUND(+I2493-H2493,4)</f>
        <v>0</v>
      </c>
      <c r="K2493" s="67">
        <f>ROUND(IF(F2493="alluminio",0,I2493*1.5%),4)</f>
        <v>0</v>
      </c>
      <c r="L2493" s="67">
        <f>ROUND(IF(K2493&lt;J2493,K2493,0),4)</f>
        <v>0</v>
      </c>
      <c r="M2493" s="67">
        <f>ROUND(IF(J2493&gt;K2493,0,J2493),4)</f>
        <v>0</v>
      </c>
      <c r="N2493" s="67">
        <f>ROUND(+L2493*D2493,4)</f>
        <v>0</v>
      </c>
      <c r="O2493" s="67">
        <f>ROUND(IF(F2493="rame",0,+I2493*3%),4)</f>
        <v>0</v>
      </c>
      <c r="P2493" s="67">
        <f>ROUND(IF(O2493&lt;J2493,O2493,0),4)</f>
        <v>0</v>
      </c>
      <c r="Q2493" s="67">
        <f>ROUND(IF(J2493&gt;O2493,0,J2493),4)</f>
        <v>0</v>
      </c>
      <c r="R2493" s="67">
        <f>ROUND(+P2493*D2493,4)</f>
        <v>0</v>
      </c>
      <c r="S2493" s="67">
        <f>ROUND(IF(K2493=0,0,M2493*D2493),4)</f>
        <v>0</v>
      </c>
      <c r="T2493" s="67">
        <f>ROUND(+IF(K2493=0,Q2493*D2493,0),4)</f>
        <v>0</v>
      </c>
      <c r="U2493" s="67">
        <f>ROUND(+N2493+R2493+S2493+T2493,4)</f>
        <v>0</v>
      </c>
      <c r="V2493" s="67">
        <f>ROUND(IF(P2493=0,0,I2493-H2493-O2493)+IF(L2493=0,0,I2493-H2493-K2493),4)</f>
        <v>0</v>
      </c>
      <c r="W2493" s="67">
        <f>ROUND(+(V2493*60%)*D2493,4)</f>
        <v>0</v>
      </c>
      <c r="X2493" s="148">
        <f>ROUND(+U2493+W2493,4)</f>
        <v>0</v>
      </c>
      <c r="Y2493" s="68"/>
      <c r="Z2493" s="148">
        <f>ROUND(IF(X2493&gt;I2493,X2493,I2493),4)</f>
        <v>0</v>
      </c>
      <c r="AD2493" s="78">
        <f t="shared" si="54"/>
        <v>0</v>
      </c>
      <c r="AE2493" s="78">
        <f t="shared" si="55"/>
        <v>0</v>
      </c>
    </row>
    <row r="2494" spans="1:31" x14ac:dyDescent="0.2">
      <c r="A2494" s="66"/>
      <c r="B2494" s="66"/>
      <c r="C2494" s="66"/>
      <c r="D2494" s="144"/>
      <c r="E2494" s="67"/>
      <c r="F2494" s="67"/>
      <c r="G2494" s="67"/>
      <c r="H2494" s="67">
        <f>ROUND(+E2494+G2494,4)</f>
        <v>0</v>
      </c>
      <c r="I2494" s="67"/>
      <c r="J2494" s="67">
        <f>ROUND(+I2494-H2494,4)</f>
        <v>0</v>
      </c>
      <c r="K2494" s="67">
        <f>ROUND(IF(F2494="alluminio",0,I2494*1.5%),4)</f>
        <v>0</v>
      </c>
      <c r="L2494" s="67">
        <f>ROUND(IF(K2494&lt;J2494,K2494,0),4)</f>
        <v>0</v>
      </c>
      <c r="M2494" s="67">
        <f>ROUND(IF(J2494&gt;K2494,0,J2494),4)</f>
        <v>0</v>
      </c>
      <c r="N2494" s="67">
        <f>ROUND(+L2494*D2494,4)</f>
        <v>0</v>
      </c>
      <c r="O2494" s="67">
        <f>ROUND(IF(F2494="rame",0,+I2494*3%),4)</f>
        <v>0</v>
      </c>
      <c r="P2494" s="67">
        <f>ROUND(IF(O2494&lt;J2494,O2494,0),4)</f>
        <v>0</v>
      </c>
      <c r="Q2494" s="67">
        <f>ROUND(IF(J2494&gt;O2494,0,J2494),4)</f>
        <v>0</v>
      </c>
      <c r="R2494" s="67">
        <f>ROUND(+P2494*D2494,4)</f>
        <v>0</v>
      </c>
      <c r="S2494" s="67">
        <f>ROUND(IF(K2494=0,0,M2494*D2494),4)</f>
        <v>0</v>
      </c>
      <c r="T2494" s="67">
        <f>ROUND(+IF(K2494=0,Q2494*D2494,0),4)</f>
        <v>0</v>
      </c>
      <c r="U2494" s="67">
        <f>ROUND(+N2494+R2494+S2494+T2494,4)</f>
        <v>0</v>
      </c>
      <c r="V2494" s="67">
        <f>ROUND(IF(P2494=0,0,I2494-H2494-O2494)+IF(L2494=0,0,I2494-H2494-K2494),4)</f>
        <v>0</v>
      </c>
      <c r="W2494" s="67">
        <f>ROUND(+(V2494*60%)*D2494,4)</f>
        <v>0</v>
      </c>
      <c r="X2494" s="148">
        <f>ROUND(+U2494+W2494,4)</f>
        <v>0</v>
      </c>
      <c r="Y2494" s="68"/>
      <c r="Z2494" s="148">
        <f>ROUND(IF(X2494&gt;I2494,X2494,I2494),4)</f>
        <v>0</v>
      </c>
      <c r="AD2494" s="78">
        <f t="shared" ref="AD2494:AD2557" si="56">IF(Y2494="",0,MONTH(Y2494))</f>
        <v>0</v>
      </c>
      <c r="AE2494" s="78">
        <f t="shared" ref="AE2494:AE2557" si="57">IF(Y2494="",0,YEAR(Y2494))</f>
        <v>0</v>
      </c>
    </row>
    <row r="2495" spans="1:31" x14ac:dyDescent="0.2">
      <c r="A2495" s="66"/>
      <c r="B2495" s="66"/>
      <c r="C2495" s="66"/>
      <c r="D2495" s="144"/>
      <c r="E2495" s="67"/>
      <c r="F2495" s="67"/>
      <c r="G2495" s="67"/>
      <c r="H2495" s="67">
        <f>ROUND(+E2495+G2495,4)</f>
        <v>0</v>
      </c>
      <c r="I2495" s="67"/>
      <c r="J2495" s="67">
        <f>ROUND(+I2495-H2495,4)</f>
        <v>0</v>
      </c>
      <c r="K2495" s="67">
        <f>ROUND(IF(F2495="alluminio",0,I2495*1.5%),4)</f>
        <v>0</v>
      </c>
      <c r="L2495" s="67">
        <f>ROUND(IF(K2495&lt;J2495,K2495,0),4)</f>
        <v>0</v>
      </c>
      <c r="M2495" s="67">
        <f>ROUND(IF(J2495&gt;K2495,0,J2495),4)</f>
        <v>0</v>
      </c>
      <c r="N2495" s="67">
        <f>ROUND(+L2495*D2495,4)</f>
        <v>0</v>
      </c>
      <c r="O2495" s="67">
        <f>ROUND(IF(F2495="rame",0,+I2495*3%),4)</f>
        <v>0</v>
      </c>
      <c r="P2495" s="67">
        <f>ROUND(IF(O2495&lt;J2495,O2495,0),4)</f>
        <v>0</v>
      </c>
      <c r="Q2495" s="67">
        <f>ROUND(IF(J2495&gt;O2495,0,J2495),4)</f>
        <v>0</v>
      </c>
      <c r="R2495" s="67">
        <f>ROUND(+P2495*D2495,4)</f>
        <v>0</v>
      </c>
      <c r="S2495" s="67">
        <f>ROUND(IF(K2495=0,0,M2495*D2495),4)</f>
        <v>0</v>
      </c>
      <c r="T2495" s="67">
        <f>ROUND(+IF(K2495=0,Q2495*D2495,0),4)</f>
        <v>0</v>
      </c>
      <c r="U2495" s="67">
        <f>ROUND(+N2495+R2495+S2495+T2495,4)</f>
        <v>0</v>
      </c>
      <c r="V2495" s="67">
        <f>ROUND(IF(P2495=0,0,I2495-H2495-O2495)+IF(L2495=0,0,I2495-H2495-K2495),4)</f>
        <v>0</v>
      </c>
      <c r="W2495" s="67">
        <f>ROUND(+(V2495*60%)*D2495,4)</f>
        <v>0</v>
      </c>
      <c r="X2495" s="148">
        <f>ROUND(+U2495+W2495,4)</f>
        <v>0</v>
      </c>
      <c r="Y2495" s="68"/>
      <c r="Z2495" s="148">
        <f>ROUND(IF(X2495&gt;I2495,X2495,I2495),4)</f>
        <v>0</v>
      </c>
      <c r="AD2495" s="78">
        <f t="shared" si="56"/>
        <v>0</v>
      </c>
      <c r="AE2495" s="78">
        <f t="shared" si="57"/>
        <v>0</v>
      </c>
    </row>
    <row r="2496" spans="1:31" x14ac:dyDescent="0.2">
      <c r="A2496" s="66"/>
      <c r="B2496" s="66"/>
      <c r="C2496" s="66"/>
      <c r="D2496" s="144"/>
      <c r="E2496" s="67"/>
      <c r="F2496" s="67"/>
      <c r="G2496" s="67"/>
      <c r="H2496" s="67">
        <f>ROUND(+E2496+G2496,4)</f>
        <v>0</v>
      </c>
      <c r="I2496" s="67"/>
      <c r="J2496" s="67">
        <f>ROUND(+I2496-H2496,4)</f>
        <v>0</v>
      </c>
      <c r="K2496" s="67">
        <f>ROUND(IF(F2496="alluminio",0,I2496*1.5%),4)</f>
        <v>0</v>
      </c>
      <c r="L2496" s="67">
        <f>ROUND(IF(K2496&lt;J2496,K2496,0),4)</f>
        <v>0</v>
      </c>
      <c r="M2496" s="67">
        <f>ROUND(IF(J2496&gt;K2496,0,J2496),4)</f>
        <v>0</v>
      </c>
      <c r="N2496" s="67">
        <f>ROUND(+L2496*D2496,4)</f>
        <v>0</v>
      </c>
      <c r="O2496" s="67">
        <f>ROUND(IF(F2496="rame",0,+I2496*3%),4)</f>
        <v>0</v>
      </c>
      <c r="P2496" s="67">
        <f>ROUND(IF(O2496&lt;J2496,O2496,0),4)</f>
        <v>0</v>
      </c>
      <c r="Q2496" s="67">
        <f>ROUND(IF(J2496&gt;O2496,0,J2496),4)</f>
        <v>0</v>
      </c>
      <c r="R2496" s="67">
        <f>ROUND(+P2496*D2496,4)</f>
        <v>0</v>
      </c>
      <c r="S2496" s="67">
        <f>ROUND(IF(K2496=0,0,M2496*D2496),4)</f>
        <v>0</v>
      </c>
      <c r="T2496" s="67">
        <f>ROUND(+IF(K2496=0,Q2496*D2496,0),4)</f>
        <v>0</v>
      </c>
      <c r="U2496" s="67">
        <f>ROUND(+N2496+R2496+S2496+T2496,4)</f>
        <v>0</v>
      </c>
      <c r="V2496" s="67">
        <f>ROUND(IF(P2496=0,0,I2496-H2496-O2496)+IF(L2496=0,0,I2496-H2496-K2496),4)</f>
        <v>0</v>
      </c>
      <c r="W2496" s="67">
        <f>ROUND(+(V2496*60%)*D2496,4)</f>
        <v>0</v>
      </c>
      <c r="X2496" s="148">
        <f>ROUND(+U2496+W2496,4)</f>
        <v>0</v>
      </c>
      <c r="Y2496" s="68"/>
      <c r="Z2496" s="148">
        <f>ROUND(IF(X2496&gt;I2496,X2496,I2496),4)</f>
        <v>0</v>
      </c>
      <c r="AD2496" s="78">
        <f t="shared" si="56"/>
        <v>0</v>
      </c>
      <c r="AE2496" s="78">
        <f t="shared" si="57"/>
        <v>0</v>
      </c>
    </row>
    <row r="2497" spans="1:31" x14ac:dyDescent="0.2">
      <c r="A2497" s="66"/>
      <c r="B2497" s="66"/>
      <c r="C2497" s="66"/>
      <c r="D2497" s="144"/>
      <c r="E2497" s="67"/>
      <c r="F2497" s="67"/>
      <c r="G2497" s="67"/>
      <c r="H2497" s="67">
        <f>ROUND(+E2497+G2497,4)</f>
        <v>0</v>
      </c>
      <c r="I2497" s="67"/>
      <c r="J2497" s="67">
        <f>ROUND(+I2497-H2497,4)</f>
        <v>0</v>
      </c>
      <c r="K2497" s="67">
        <f>ROUND(IF(F2497="alluminio",0,I2497*1.5%),4)</f>
        <v>0</v>
      </c>
      <c r="L2497" s="67">
        <f>ROUND(IF(K2497&lt;J2497,K2497,0),4)</f>
        <v>0</v>
      </c>
      <c r="M2497" s="67">
        <f>ROUND(IF(J2497&gt;K2497,0,J2497),4)</f>
        <v>0</v>
      </c>
      <c r="N2497" s="67">
        <f>ROUND(+L2497*D2497,4)</f>
        <v>0</v>
      </c>
      <c r="O2497" s="67">
        <f>ROUND(IF(F2497="rame",0,+I2497*3%),4)</f>
        <v>0</v>
      </c>
      <c r="P2497" s="67">
        <f>ROUND(IF(O2497&lt;J2497,O2497,0),4)</f>
        <v>0</v>
      </c>
      <c r="Q2497" s="67">
        <f>ROUND(IF(J2497&gt;O2497,0,J2497),4)</f>
        <v>0</v>
      </c>
      <c r="R2497" s="67">
        <f>ROUND(+P2497*D2497,4)</f>
        <v>0</v>
      </c>
      <c r="S2497" s="67">
        <f>ROUND(IF(K2497=0,0,M2497*D2497),4)</f>
        <v>0</v>
      </c>
      <c r="T2497" s="67">
        <f>ROUND(+IF(K2497=0,Q2497*D2497,0),4)</f>
        <v>0</v>
      </c>
      <c r="U2497" s="67">
        <f>ROUND(+N2497+R2497+S2497+T2497,4)</f>
        <v>0</v>
      </c>
      <c r="V2497" s="67">
        <f>ROUND(IF(P2497=0,0,I2497-H2497-O2497)+IF(L2497=0,0,I2497-H2497-K2497),4)</f>
        <v>0</v>
      </c>
      <c r="W2497" s="67">
        <f>ROUND(+(V2497*60%)*D2497,4)</f>
        <v>0</v>
      </c>
      <c r="X2497" s="148">
        <f>ROUND(+U2497+W2497,4)</f>
        <v>0</v>
      </c>
      <c r="Y2497" s="68"/>
      <c r="Z2497" s="148">
        <f>ROUND(IF(X2497&gt;I2497,X2497,I2497),4)</f>
        <v>0</v>
      </c>
      <c r="AD2497" s="78">
        <f t="shared" si="56"/>
        <v>0</v>
      </c>
      <c r="AE2497" s="78">
        <f t="shared" si="57"/>
        <v>0</v>
      </c>
    </row>
    <row r="2498" spans="1:31" x14ac:dyDescent="0.2">
      <c r="A2498" s="66"/>
      <c r="B2498" s="66"/>
      <c r="C2498" s="66"/>
      <c r="D2498" s="144"/>
      <c r="E2498" s="67"/>
      <c r="F2498" s="67"/>
      <c r="G2498" s="67"/>
      <c r="H2498" s="67">
        <f>ROUND(+E2498+G2498,4)</f>
        <v>0</v>
      </c>
      <c r="I2498" s="67"/>
      <c r="J2498" s="67">
        <f>ROUND(+I2498-H2498,4)</f>
        <v>0</v>
      </c>
      <c r="K2498" s="67">
        <f>ROUND(IF(F2498="alluminio",0,I2498*1.5%),4)</f>
        <v>0</v>
      </c>
      <c r="L2498" s="67">
        <f>ROUND(IF(K2498&lt;J2498,K2498,0),4)</f>
        <v>0</v>
      </c>
      <c r="M2498" s="67">
        <f>ROUND(IF(J2498&gt;K2498,0,J2498),4)</f>
        <v>0</v>
      </c>
      <c r="N2498" s="67">
        <f>ROUND(+L2498*D2498,4)</f>
        <v>0</v>
      </c>
      <c r="O2498" s="67">
        <f>ROUND(IF(F2498="rame",0,+I2498*3%),4)</f>
        <v>0</v>
      </c>
      <c r="P2498" s="67">
        <f>ROUND(IF(O2498&lt;J2498,O2498,0),4)</f>
        <v>0</v>
      </c>
      <c r="Q2498" s="67">
        <f>ROUND(IF(J2498&gt;O2498,0,J2498),4)</f>
        <v>0</v>
      </c>
      <c r="R2498" s="67">
        <f>ROUND(+P2498*D2498,4)</f>
        <v>0</v>
      </c>
      <c r="S2498" s="67">
        <f>ROUND(IF(K2498=0,0,M2498*D2498),4)</f>
        <v>0</v>
      </c>
      <c r="T2498" s="67">
        <f>ROUND(+IF(K2498=0,Q2498*D2498,0),4)</f>
        <v>0</v>
      </c>
      <c r="U2498" s="67">
        <f>ROUND(+N2498+R2498+S2498+T2498,4)</f>
        <v>0</v>
      </c>
      <c r="V2498" s="67">
        <f>ROUND(IF(P2498=0,0,I2498-H2498-O2498)+IF(L2498=0,0,I2498-H2498-K2498),4)</f>
        <v>0</v>
      </c>
      <c r="W2498" s="67">
        <f>ROUND(+(V2498*60%)*D2498,4)</f>
        <v>0</v>
      </c>
      <c r="X2498" s="148">
        <f>ROUND(+U2498+W2498,4)</f>
        <v>0</v>
      </c>
      <c r="Y2498" s="68"/>
      <c r="Z2498" s="148">
        <f>ROUND(IF(X2498&gt;I2498,X2498,I2498),4)</f>
        <v>0</v>
      </c>
      <c r="AD2498" s="78">
        <f t="shared" si="56"/>
        <v>0</v>
      </c>
      <c r="AE2498" s="78">
        <f t="shared" si="57"/>
        <v>0</v>
      </c>
    </row>
    <row r="2499" spans="1:31" x14ac:dyDescent="0.2">
      <c r="A2499" s="66"/>
      <c r="B2499" s="66"/>
      <c r="C2499" s="66"/>
      <c r="D2499" s="144"/>
      <c r="E2499" s="67"/>
      <c r="F2499" s="67"/>
      <c r="G2499" s="67"/>
      <c r="H2499" s="67">
        <f>ROUND(+E2499+G2499,4)</f>
        <v>0</v>
      </c>
      <c r="I2499" s="67"/>
      <c r="J2499" s="67">
        <f>ROUND(+I2499-H2499,4)</f>
        <v>0</v>
      </c>
      <c r="K2499" s="67">
        <f>ROUND(IF(F2499="alluminio",0,I2499*1.5%),4)</f>
        <v>0</v>
      </c>
      <c r="L2499" s="67">
        <f>ROUND(IF(K2499&lt;J2499,K2499,0),4)</f>
        <v>0</v>
      </c>
      <c r="M2499" s="67">
        <f>ROUND(IF(J2499&gt;K2499,0,J2499),4)</f>
        <v>0</v>
      </c>
      <c r="N2499" s="67">
        <f>ROUND(+L2499*D2499,4)</f>
        <v>0</v>
      </c>
      <c r="O2499" s="67">
        <f>ROUND(IF(F2499="rame",0,+I2499*3%),4)</f>
        <v>0</v>
      </c>
      <c r="P2499" s="67">
        <f>ROUND(IF(O2499&lt;J2499,O2499,0),4)</f>
        <v>0</v>
      </c>
      <c r="Q2499" s="67">
        <f>ROUND(IF(J2499&gt;O2499,0,J2499),4)</f>
        <v>0</v>
      </c>
      <c r="R2499" s="67">
        <f>ROUND(+P2499*D2499,4)</f>
        <v>0</v>
      </c>
      <c r="S2499" s="67">
        <f>ROUND(IF(K2499=0,0,M2499*D2499),4)</f>
        <v>0</v>
      </c>
      <c r="T2499" s="67">
        <f>ROUND(+IF(K2499=0,Q2499*D2499,0),4)</f>
        <v>0</v>
      </c>
      <c r="U2499" s="67">
        <f>ROUND(+N2499+R2499+S2499+T2499,4)</f>
        <v>0</v>
      </c>
      <c r="V2499" s="67">
        <f>ROUND(IF(P2499=0,0,I2499-H2499-O2499)+IF(L2499=0,0,I2499-H2499-K2499),4)</f>
        <v>0</v>
      </c>
      <c r="W2499" s="67">
        <f>ROUND(+(V2499*60%)*D2499,4)</f>
        <v>0</v>
      </c>
      <c r="X2499" s="148">
        <f>ROUND(+U2499+W2499,4)</f>
        <v>0</v>
      </c>
      <c r="Y2499" s="68"/>
      <c r="Z2499" s="148">
        <f>ROUND(IF(X2499&gt;I2499,X2499,I2499),4)</f>
        <v>0</v>
      </c>
      <c r="AD2499" s="78">
        <f t="shared" si="56"/>
        <v>0</v>
      </c>
      <c r="AE2499" s="78">
        <f t="shared" si="57"/>
        <v>0</v>
      </c>
    </row>
    <row r="2500" spans="1:31" x14ac:dyDescent="0.2">
      <c r="A2500" s="66"/>
      <c r="B2500" s="66"/>
      <c r="C2500" s="66"/>
      <c r="D2500" s="144"/>
      <c r="E2500" s="67"/>
      <c r="F2500" s="67"/>
      <c r="G2500" s="67"/>
      <c r="H2500" s="67">
        <f>ROUND(+E2500+G2500,4)</f>
        <v>0</v>
      </c>
      <c r="I2500" s="67"/>
      <c r="J2500" s="67">
        <f>ROUND(+I2500-H2500,4)</f>
        <v>0</v>
      </c>
      <c r="K2500" s="67">
        <f>ROUND(IF(F2500="alluminio",0,I2500*1.5%),4)</f>
        <v>0</v>
      </c>
      <c r="L2500" s="67">
        <f>ROUND(IF(K2500&lt;J2500,K2500,0),4)</f>
        <v>0</v>
      </c>
      <c r="M2500" s="67">
        <f>ROUND(IF(J2500&gt;K2500,0,J2500),4)</f>
        <v>0</v>
      </c>
      <c r="N2500" s="67">
        <f>ROUND(+L2500*D2500,4)</f>
        <v>0</v>
      </c>
      <c r="O2500" s="67">
        <f>ROUND(IF(F2500="rame",0,+I2500*3%),4)</f>
        <v>0</v>
      </c>
      <c r="P2500" s="67">
        <f>ROUND(IF(O2500&lt;J2500,O2500,0),4)</f>
        <v>0</v>
      </c>
      <c r="Q2500" s="67">
        <f>ROUND(IF(J2500&gt;O2500,0,J2500),4)</f>
        <v>0</v>
      </c>
      <c r="R2500" s="67">
        <f>ROUND(+P2500*D2500,4)</f>
        <v>0</v>
      </c>
      <c r="S2500" s="67">
        <f>ROUND(IF(K2500=0,0,M2500*D2500),4)</f>
        <v>0</v>
      </c>
      <c r="T2500" s="67">
        <f>ROUND(+IF(K2500=0,Q2500*D2500,0),4)</f>
        <v>0</v>
      </c>
      <c r="U2500" s="67">
        <f>ROUND(+N2500+R2500+S2500+T2500,4)</f>
        <v>0</v>
      </c>
      <c r="V2500" s="67">
        <f>ROUND(IF(P2500=0,0,I2500-H2500-O2500)+IF(L2500=0,0,I2500-H2500-K2500),4)</f>
        <v>0</v>
      </c>
      <c r="W2500" s="67">
        <f>ROUND(+(V2500*60%)*D2500,4)</f>
        <v>0</v>
      </c>
      <c r="X2500" s="148">
        <f>ROUND(+U2500+W2500,4)</f>
        <v>0</v>
      </c>
      <c r="Y2500" s="68"/>
      <c r="Z2500" s="148">
        <f>ROUND(IF(X2500&gt;I2500,X2500,I2500),4)</f>
        <v>0</v>
      </c>
      <c r="AD2500" s="78">
        <f t="shared" si="56"/>
        <v>0</v>
      </c>
      <c r="AE2500" s="78">
        <f t="shared" si="57"/>
        <v>0</v>
      </c>
    </row>
    <row r="2501" spans="1:31" x14ac:dyDescent="0.2">
      <c r="A2501" s="66"/>
      <c r="B2501" s="66"/>
      <c r="C2501" s="66"/>
      <c r="D2501" s="144"/>
      <c r="E2501" s="67"/>
      <c r="F2501" s="67"/>
      <c r="G2501" s="67"/>
      <c r="H2501" s="67">
        <f>ROUND(+E2501+G2501,4)</f>
        <v>0</v>
      </c>
      <c r="I2501" s="67"/>
      <c r="J2501" s="67">
        <f>ROUND(+I2501-H2501,4)</f>
        <v>0</v>
      </c>
      <c r="K2501" s="67">
        <f>ROUND(IF(F2501="alluminio",0,I2501*1.5%),4)</f>
        <v>0</v>
      </c>
      <c r="L2501" s="67">
        <f>ROUND(IF(K2501&lt;J2501,K2501,0),4)</f>
        <v>0</v>
      </c>
      <c r="M2501" s="67">
        <f>ROUND(IF(J2501&gt;K2501,0,J2501),4)</f>
        <v>0</v>
      </c>
      <c r="N2501" s="67">
        <f>ROUND(+L2501*D2501,4)</f>
        <v>0</v>
      </c>
      <c r="O2501" s="67">
        <f>ROUND(IF(F2501="rame",0,+I2501*3%),4)</f>
        <v>0</v>
      </c>
      <c r="P2501" s="67">
        <f>ROUND(IF(O2501&lt;J2501,O2501,0),4)</f>
        <v>0</v>
      </c>
      <c r="Q2501" s="67">
        <f>ROUND(IF(J2501&gt;O2501,0,J2501),4)</f>
        <v>0</v>
      </c>
      <c r="R2501" s="67">
        <f>ROUND(+P2501*D2501,4)</f>
        <v>0</v>
      </c>
      <c r="S2501" s="67">
        <f>ROUND(IF(K2501=0,0,M2501*D2501),4)</f>
        <v>0</v>
      </c>
      <c r="T2501" s="67">
        <f>ROUND(+IF(K2501=0,Q2501*D2501,0),4)</f>
        <v>0</v>
      </c>
      <c r="U2501" s="67">
        <f>ROUND(+N2501+R2501+S2501+T2501,4)</f>
        <v>0</v>
      </c>
      <c r="V2501" s="67">
        <f>ROUND(IF(P2501=0,0,I2501-H2501-O2501)+IF(L2501=0,0,I2501-H2501-K2501),4)</f>
        <v>0</v>
      </c>
      <c r="W2501" s="67">
        <f>ROUND(+(V2501*60%)*D2501,4)</f>
        <v>0</v>
      </c>
      <c r="X2501" s="148">
        <f>ROUND(+U2501+W2501,4)</f>
        <v>0</v>
      </c>
      <c r="Y2501" s="68"/>
      <c r="Z2501" s="148">
        <f>ROUND(IF(X2501&gt;I2501,X2501,I2501),4)</f>
        <v>0</v>
      </c>
      <c r="AD2501" s="78">
        <f t="shared" si="56"/>
        <v>0</v>
      </c>
      <c r="AE2501" s="78">
        <f t="shared" si="57"/>
        <v>0</v>
      </c>
    </row>
    <row r="2502" spans="1:31" x14ac:dyDescent="0.2">
      <c r="A2502" s="66"/>
      <c r="B2502" s="66"/>
      <c r="C2502" s="66"/>
      <c r="D2502" s="144"/>
      <c r="E2502" s="67"/>
      <c r="F2502" s="67"/>
      <c r="G2502" s="67"/>
      <c r="H2502" s="67">
        <f>ROUND(+E2502+G2502,4)</f>
        <v>0</v>
      </c>
      <c r="I2502" s="67"/>
      <c r="J2502" s="67">
        <f>ROUND(+I2502-H2502,4)</f>
        <v>0</v>
      </c>
      <c r="K2502" s="67">
        <f>ROUND(IF(F2502="alluminio",0,I2502*1.5%),4)</f>
        <v>0</v>
      </c>
      <c r="L2502" s="67">
        <f>ROUND(IF(K2502&lt;J2502,K2502,0),4)</f>
        <v>0</v>
      </c>
      <c r="M2502" s="67">
        <f>ROUND(IF(J2502&gt;K2502,0,J2502),4)</f>
        <v>0</v>
      </c>
      <c r="N2502" s="67">
        <f>ROUND(+L2502*D2502,4)</f>
        <v>0</v>
      </c>
      <c r="O2502" s="67">
        <f>ROUND(IF(F2502="rame",0,+I2502*3%),4)</f>
        <v>0</v>
      </c>
      <c r="P2502" s="67">
        <f>ROUND(IF(O2502&lt;J2502,O2502,0),4)</f>
        <v>0</v>
      </c>
      <c r="Q2502" s="67">
        <f>ROUND(IF(J2502&gt;O2502,0,J2502),4)</f>
        <v>0</v>
      </c>
      <c r="R2502" s="67">
        <f>ROUND(+P2502*D2502,4)</f>
        <v>0</v>
      </c>
      <c r="S2502" s="67">
        <f>ROUND(IF(K2502=0,0,M2502*D2502),4)</f>
        <v>0</v>
      </c>
      <c r="T2502" s="67">
        <f>ROUND(+IF(K2502=0,Q2502*D2502,0),4)</f>
        <v>0</v>
      </c>
      <c r="U2502" s="67">
        <f>ROUND(+N2502+R2502+S2502+T2502,4)</f>
        <v>0</v>
      </c>
      <c r="V2502" s="67">
        <f>ROUND(IF(P2502=0,0,I2502-H2502-O2502)+IF(L2502=0,0,I2502-H2502-K2502),4)</f>
        <v>0</v>
      </c>
      <c r="W2502" s="67">
        <f>ROUND(+(V2502*60%)*D2502,4)</f>
        <v>0</v>
      </c>
      <c r="X2502" s="148">
        <f>ROUND(+U2502+W2502,4)</f>
        <v>0</v>
      </c>
      <c r="Y2502" s="68"/>
      <c r="Z2502" s="148">
        <f>ROUND(IF(X2502&gt;I2502,X2502,I2502),4)</f>
        <v>0</v>
      </c>
      <c r="AD2502" s="78">
        <f t="shared" si="56"/>
        <v>0</v>
      </c>
      <c r="AE2502" s="78">
        <f t="shared" si="57"/>
        <v>0</v>
      </c>
    </row>
    <row r="2503" spans="1:31" x14ac:dyDescent="0.2">
      <c r="A2503" s="66"/>
      <c r="B2503" s="66"/>
      <c r="C2503" s="66"/>
      <c r="D2503" s="144"/>
      <c r="E2503" s="67"/>
      <c r="F2503" s="67"/>
      <c r="G2503" s="67"/>
      <c r="H2503" s="67">
        <f>ROUND(+E2503+G2503,4)</f>
        <v>0</v>
      </c>
      <c r="I2503" s="67"/>
      <c r="J2503" s="67">
        <f>ROUND(+I2503-H2503,4)</f>
        <v>0</v>
      </c>
      <c r="K2503" s="67">
        <f>ROUND(IF(F2503="alluminio",0,I2503*1.5%),4)</f>
        <v>0</v>
      </c>
      <c r="L2503" s="67">
        <f>ROUND(IF(K2503&lt;J2503,K2503,0),4)</f>
        <v>0</v>
      </c>
      <c r="M2503" s="67">
        <f>ROUND(IF(J2503&gt;K2503,0,J2503),4)</f>
        <v>0</v>
      </c>
      <c r="N2503" s="67">
        <f>ROUND(+L2503*D2503,4)</f>
        <v>0</v>
      </c>
      <c r="O2503" s="67">
        <f>ROUND(IF(F2503="rame",0,+I2503*3%),4)</f>
        <v>0</v>
      </c>
      <c r="P2503" s="67">
        <f>ROUND(IF(O2503&lt;J2503,O2503,0),4)</f>
        <v>0</v>
      </c>
      <c r="Q2503" s="67">
        <f>ROUND(IF(J2503&gt;O2503,0,J2503),4)</f>
        <v>0</v>
      </c>
      <c r="R2503" s="67">
        <f>ROUND(+P2503*D2503,4)</f>
        <v>0</v>
      </c>
      <c r="S2503" s="67">
        <f>ROUND(IF(K2503=0,0,M2503*D2503),4)</f>
        <v>0</v>
      </c>
      <c r="T2503" s="67">
        <f>ROUND(+IF(K2503=0,Q2503*D2503,0),4)</f>
        <v>0</v>
      </c>
      <c r="U2503" s="67">
        <f>ROUND(+N2503+R2503+S2503+T2503,4)</f>
        <v>0</v>
      </c>
      <c r="V2503" s="67">
        <f>ROUND(IF(P2503=0,0,I2503-H2503-O2503)+IF(L2503=0,0,I2503-H2503-K2503),4)</f>
        <v>0</v>
      </c>
      <c r="W2503" s="67">
        <f>ROUND(+(V2503*60%)*D2503,4)</f>
        <v>0</v>
      </c>
      <c r="X2503" s="148">
        <f>ROUND(+U2503+W2503,4)</f>
        <v>0</v>
      </c>
      <c r="Y2503" s="68"/>
      <c r="Z2503" s="148">
        <f>ROUND(IF(X2503&gt;I2503,X2503,I2503),4)</f>
        <v>0</v>
      </c>
      <c r="AD2503" s="78">
        <f t="shared" si="56"/>
        <v>0</v>
      </c>
      <c r="AE2503" s="78">
        <f t="shared" si="57"/>
        <v>0</v>
      </c>
    </row>
    <row r="2504" spans="1:31" x14ac:dyDescent="0.2">
      <c r="A2504" s="66"/>
      <c r="B2504" s="66"/>
      <c r="C2504" s="66"/>
      <c r="D2504" s="144"/>
      <c r="E2504" s="67"/>
      <c r="F2504" s="67"/>
      <c r="G2504" s="67"/>
      <c r="H2504" s="67">
        <f>ROUND(+E2504+G2504,4)</f>
        <v>0</v>
      </c>
      <c r="I2504" s="67"/>
      <c r="J2504" s="67">
        <f>ROUND(+I2504-H2504,4)</f>
        <v>0</v>
      </c>
      <c r="K2504" s="67">
        <f>ROUND(IF(F2504="alluminio",0,I2504*1.5%),4)</f>
        <v>0</v>
      </c>
      <c r="L2504" s="67">
        <f>ROUND(IF(K2504&lt;J2504,K2504,0),4)</f>
        <v>0</v>
      </c>
      <c r="M2504" s="67">
        <f>ROUND(IF(J2504&gt;K2504,0,J2504),4)</f>
        <v>0</v>
      </c>
      <c r="N2504" s="67">
        <f>ROUND(+L2504*D2504,4)</f>
        <v>0</v>
      </c>
      <c r="O2504" s="67">
        <f>ROUND(IF(F2504="rame",0,+I2504*3%),4)</f>
        <v>0</v>
      </c>
      <c r="P2504" s="67">
        <f>ROUND(IF(O2504&lt;J2504,O2504,0),4)</f>
        <v>0</v>
      </c>
      <c r="Q2504" s="67">
        <f>ROUND(IF(J2504&gt;O2504,0,J2504),4)</f>
        <v>0</v>
      </c>
      <c r="R2504" s="67">
        <f>ROUND(+P2504*D2504,4)</f>
        <v>0</v>
      </c>
      <c r="S2504" s="67">
        <f>ROUND(IF(K2504=0,0,M2504*D2504),4)</f>
        <v>0</v>
      </c>
      <c r="T2504" s="67">
        <f>ROUND(+IF(K2504=0,Q2504*D2504,0),4)</f>
        <v>0</v>
      </c>
      <c r="U2504" s="67">
        <f>ROUND(+N2504+R2504+S2504+T2504,4)</f>
        <v>0</v>
      </c>
      <c r="V2504" s="67">
        <f>ROUND(IF(P2504=0,0,I2504-H2504-O2504)+IF(L2504=0,0,I2504-H2504-K2504),4)</f>
        <v>0</v>
      </c>
      <c r="W2504" s="67">
        <f>ROUND(+(V2504*60%)*D2504,4)</f>
        <v>0</v>
      </c>
      <c r="X2504" s="148">
        <f>ROUND(+U2504+W2504,4)</f>
        <v>0</v>
      </c>
      <c r="Y2504" s="68"/>
      <c r="Z2504" s="148">
        <f>ROUND(IF(X2504&gt;I2504,X2504,I2504),4)</f>
        <v>0</v>
      </c>
      <c r="AD2504" s="78">
        <f t="shared" si="56"/>
        <v>0</v>
      </c>
      <c r="AE2504" s="78">
        <f t="shared" si="57"/>
        <v>0</v>
      </c>
    </row>
    <row r="2505" spans="1:31" x14ac:dyDescent="0.2">
      <c r="A2505" s="66"/>
      <c r="B2505" s="66"/>
      <c r="C2505" s="66"/>
      <c r="D2505" s="144"/>
      <c r="E2505" s="67"/>
      <c r="F2505" s="67"/>
      <c r="G2505" s="67"/>
      <c r="H2505" s="67">
        <f>ROUND(+E2505+G2505,4)</f>
        <v>0</v>
      </c>
      <c r="I2505" s="67"/>
      <c r="J2505" s="67">
        <f>ROUND(+I2505-H2505,4)</f>
        <v>0</v>
      </c>
      <c r="K2505" s="67">
        <f>ROUND(IF(F2505="alluminio",0,I2505*1.5%),4)</f>
        <v>0</v>
      </c>
      <c r="L2505" s="67">
        <f>ROUND(IF(K2505&lt;J2505,K2505,0),4)</f>
        <v>0</v>
      </c>
      <c r="M2505" s="67">
        <f>ROUND(IF(J2505&gt;K2505,0,J2505),4)</f>
        <v>0</v>
      </c>
      <c r="N2505" s="67">
        <f>ROUND(+L2505*D2505,4)</f>
        <v>0</v>
      </c>
      <c r="O2505" s="67">
        <f>ROUND(IF(F2505="rame",0,+I2505*3%),4)</f>
        <v>0</v>
      </c>
      <c r="P2505" s="67">
        <f>ROUND(IF(O2505&lt;J2505,O2505,0),4)</f>
        <v>0</v>
      </c>
      <c r="Q2505" s="67">
        <f>ROUND(IF(J2505&gt;O2505,0,J2505),4)</f>
        <v>0</v>
      </c>
      <c r="R2505" s="67">
        <f>ROUND(+P2505*D2505,4)</f>
        <v>0</v>
      </c>
      <c r="S2505" s="67">
        <f>ROUND(IF(K2505=0,0,M2505*D2505),4)</f>
        <v>0</v>
      </c>
      <c r="T2505" s="67">
        <f>ROUND(+IF(K2505=0,Q2505*D2505,0),4)</f>
        <v>0</v>
      </c>
      <c r="U2505" s="67">
        <f>ROUND(+N2505+R2505+S2505+T2505,4)</f>
        <v>0</v>
      </c>
      <c r="V2505" s="67">
        <f>ROUND(IF(P2505=0,0,I2505-H2505-O2505)+IF(L2505=0,0,I2505-H2505-K2505),4)</f>
        <v>0</v>
      </c>
      <c r="W2505" s="67">
        <f>ROUND(+(V2505*60%)*D2505,4)</f>
        <v>0</v>
      </c>
      <c r="X2505" s="148">
        <f>ROUND(+U2505+W2505,4)</f>
        <v>0</v>
      </c>
      <c r="Y2505" s="68"/>
      <c r="Z2505" s="148">
        <f>ROUND(IF(X2505&gt;I2505,X2505,I2505),4)</f>
        <v>0</v>
      </c>
      <c r="AD2505" s="78">
        <f t="shared" si="56"/>
        <v>0</v>
      </c>
      <c r="AE2505" s="78">
        <f t="shared" si="57"/>
        <v>0</v>
      </c>
    </row>
    <row r="2506" spans="1:31" x14ac:dyDescent="0.2">
      <c r="A2506" s="66"/>
      <c r="B2506" s="66"/>
      <c r="C2506" s="66"/>
      <c r="D2506" s="144"/>
      <c r="E2506" s="67"/>
      <c r="F2506" s="67"/>
      <c r="G2506" s="67"/>
      <c r="H2506" s="67">
        <f>ROUND(+E2506+G2506,4)</f>
        <v>0</v>
      </c>
      <c r="I2506" s="67"/>
      <c r="J2506" s="67">
        <f>ROUND(+I2506-H2506,4)</f>
        <v>0</v>
      </c>
      <c r="K2506" s="67">
        <f>ROUND(IF(F2506="alluminio",0,I2506*1.5%),4)</f>
        <v>0</v>
      </c>
      <c r="L2506" s="67">
        <f>ROUND(IF(K2506&lt;J2506,K2506,0),4)</f>
        <v>0</v>
      </c>
      <c r="M2506" s="67">
        <f>ROUND(IF(J2506&gt;K2506,0,J2506),4)</f>
        <v>0</v>
      </c>
      <c r="N2506" s="67">
        <f>ROUND(+L2506*D2506,4)</f>
        <v>0</v>
      </c>
      <c r="O2506" s="67">
        <f>ROUND(IF(F2506="rame",0,+I2506*3%),4)</f>
        <v>0</v>
      </c>
      <c r="P2506" s="67">
        <f>ROUND(IF(O2506&lt;J2506,O2506,0),4)</f>
        <v>0</v>
      </c>
      <c r="Q2506" s="67">
        <f>ROUND(IF(J2506&gt;O2506,0,J2506),4)</f>
        <v>0</v>
      </c>
      <c r="R2506" s="67">
        <f>ROUND(+P2506*D2506,4)</f>
        <v>0</v>
      </c>
      <c r="S2506" s="67">
        <f>ROUND(IF(K2506=0,0,M2506*D2506),4)</f>
        <v>0</v>
      </c>
      <c r="T2506" s="67">
        <f>ROUND(+IF(K2506=0,Q2506*D2506,0),4)</f>
        <v>0</v>
      </c>
      <c r="U2506" s="67">
        <f>ROUND(+N2506+R2506+S2506+T2506,4)</f>
        <v>0</v>
      </c>
      <c r="V2506" s="67">
        <f>ROUND(IF(P2506=0,0,I2506-H2506-O2506)+IF(L2506=0,0,I2506-H2506-K2506),4)</f>
        <v>0</v>
      </c>
      <c r="W2506" s="67">
        <f>ROUND(+(V2506*60%)*D2506,4)</f>
        <v>0</v>
      </c>
      <c r="X2506" s="148">
        <f>ROUND(+U2506+W2506,4)</f>
        <v>0</v>
      </c>
      <c r="Y2506" s="68"/>
      <c r="Z2506" s="148">
        <f>ROUND(IF(X2506&gt;I2506,X2506,I2506),4)</f>
        <v>0</v>
      </c>
      <c r="AD2506" s="78">
        <f t="shared" si="56"/>
        <v>0</v>
      </c>
      <c r="AE2506" s="78">
        <f t="shared" si="57"/>
        <v>0</v>
      </c>
    </row>
    <row r="2507" spans="1:31" x14ac:dyDescent="0.2">
      <c r="A2507" s="66"/>
      <c r="B2507" s="66"/>
      <c r="C2507" s="66"/>
      <c r="D2507" s="144"/>
      <c r="E2507" s="67"/>
      <c r="F2507" s="67"/>
      <c r="G2507" s="67"/>
      <c r="H2507" s="67">
        <f>ROUND(+E2507+G2507,4)</f>
        <v>0</v>
      </c>
      <c r="I2507" s="67"/>
      <c r="J2507" s="67">
        <f>ROUND(+I2507-H2507,4)</f>
        <v>0</v>
      </c>
      <c r="K2507" s="67">
        <f>ROUND(IF(F2507="alluminio",0,I2507*1.5%),4)</f>
        <v>0</v>
      </c>
      <c r="L2507" s="67">
        <f>ROUND(IF(K2507&lt;J2507,K2507,0),4)</f>
        <v>0</v>
      </c>
      <c r="M2507" s="67">
        <f>ROUND(IF(J2507&gt;K2507,0,J2507),4)</f>
        <v>0</v>
      </c>
      <c r="N2507" s="67">
        <f>ROUND(+L2507*D2507,4)</f>
        <v>0</v>
      </c>
      <c r="O2507" s="67">
        <f>ROUND(IF(F2507="rame",0,+I2507*3%),4)</f>
        <v>0</v>
      </c>
      <c r="P2507" s="67">
        <f>ROUND(IF(O2507&lt;J2507,O2507,0),4)</f>
        <v>0</v>
      </c>
      <c r="Q2507" s="67">
        <f>ROUND(IF(J2507&gt;O2507,0,J2507),4)</f>
        <v>0</v>
      </c>
      <c r="R2507" s="67">
        <f>ROUND(+P2507*D2507,4)</f>
        <v>0</v>
      </c>
      <c r="S2507" s="67">
        <f>ROUND(IF(K2507=0,0,M2507*D2507),4)</f>
        <v>0</v>
      </c>
      <c r="T2507" s="67">
        <f>ROUND(+IF(K2507=0,Q2507*D2507,0),4)</f>
        <v>0</v>
      </c>
      <c r="U2507" s="67">
        <f>ROUND(+N2507+R2507+S2507+T2507,4)</f>
        <v>0</v>
      </c>
      <c r="V2507" s="67">
        <f>ROUND(IF(P2507=0,0,I2507-H2507-O2507)+IF(L2507=0,0,I2507-H2507-K2507),4)</f>
        <v>0</v>
      </c>
      <c r="W2507" s="67">
        <f>ROUND(+(V2507*60%)*D2507,4)</f>
        <v>0</v>
      </c>
      <c r="X2507" s="148">
        <f>ROUND(+U2507+W2507,4)</f>
        <v>0</v>
      </c>
      <c r="Y2507" s="68"/>
      <c r="Z2507" s="148">
        <f>ROUND(IF(X2507&gt;I2507,X2507,I2507),4)</f>
        <v>0</v>
      </c>
      <c r="AD2507" s="78">
        <f t="shared" si="56"/>
        <v>0</v>
      </c>
      <c r="AE2507" s="78">
        <f t="shared" si="57"/>
        <v>0</v>
      </c>
    </row>
    <row r="2508" spans="1:31" x14ac:dyDescent="0.2">
      <c r="A2508" s="66"/>
      <c r="B2508" s="66"/>
      <c r="C2508" s="66"/>
      <c r="D2508" s="144"/>
      <c r="E2508" s="67"/>
      <c r="F2508" s="67"/>
      <c r="G2508" s="67"/>
      <c r="H2508" s="67">
        <f>ROUND(+E2508+G2508,4)</f>
        <v>0</v>
      </c>
      <c r="I2508" s="67"/>
      <c r="J2508" s="67">
        <f>ROUND(+I2508-H2508,4)</f>
        <v>0</v>
      </c>
      <c r="K2508" s="67">
        <f>ROUND(IF(F2508="alluminio",0,I2508*1.5%),4)</f>
        <v>0</v>
      </c>
      <c r="L2508" s="67">
        <f>ROUND(IF(K2508&lt;J2508,K2508,0),4)</f>
        <v>0</v>
      </c>
      <c r="M2508" s="67">
        <f>ROUND(IF(J2508&gt;K2508,0,J2508),4)</f>
        <v>0</v>
      </c>
      <c r="N2508" s="67">
        <f>ROUND(+L2508*D2508,4)</f>
        <v>0</v>
      </c>
      <c r="O2508" s="67">
        <f>ROUND(IF(F2508="rame",0,+I2508*3%),4)</f>
        <v>0</v>
      </c>
      <c r="P2508" s="67">
        <f>ROUND(IF(O2508&lt;J2508,O2508,0),4)</f>
        <v>0</v>
      </c>
      <c r="Q2508" s="67">
        <f>ROUND(IF(J2508&gt;O2508,0,J2508),4)</f>
        <v>0</v>
      </c>
      <c r="R2508" s="67">
        <f>ROUND(+P2508*D2508,4)</f>
        <v>0</v>
      </c>
      <c r="S2508" s="67">
        <f>ROUND(IF(K2508=0,0,M2508*D2508),4)</f>
        <v>0</v>
      </c>
      <c r="T2508" s="67">
        <f>ROUND(+IF(K2508=0,Q2508*D2508,0),4)</f>
        <v>0</v>
      </c>
      <c r="U2508" s="67">
        <f>ROUND(+N2508+R2508+S2508+T2508,4)</f>
        <v>0</v>
      </c>
      <c r="V2508" s="67">
        <f>ROUND(IF(P2508=0,0,I2508-H2508-O2508)+IF(L2508=0,0,I2508-H2508-K2508),4)</f>
        <v>0</v>
      </c>
      <c r="W2508" s="67">
        <f>ROUND(+(V2508*60%)*D2508,4)</f>
        <v>0</v>
      </c>
      <c r="X2508" s="148">
        <f>ROUND(+U2508+W2508,4)</f>
        <v>0</v>
      </c>
      <c r="Y2508" s="68"/>
      <c r="Z2508" s="148">
        <f>ROUND(IF(X2508&gt;I2508,X2508,I2508),4)</f>
        <v>0</v>
      </c>
      <c r="AD2508" s="78">
        <f t="shared" si="56"/>
        <v>0</v>
      </c>
      <c r="AE2508" s="78">
        <f t="shared" si="57"/>
        <v>0</v>
      </c>
    </row>
    <row r="2509" spans="1:31" x14ac:dyDescent="0.2">
      <c r="A2509" s="66"/>
      <c r="B2509" s="66"/>
      <c r="C2509" s="66"/>
      <c r="D2509" s="144"/>
      <c r="E2509" s="67"/>
      <c r="F2509" s="67"/>
      <c r="G2509" s="67"/>
      <c r="H2509" s="67">
        <f>ROUND(+E2509+G2509,4)</f>
        <v>0</v>
      </c>
      <c r="I2509" s="67"/>
      <c r="J2509" s="67">
        <f>ROUND(+I2509-H2509,4)</f>
        <v>0</v>
      </c>
      <c r="K2509" s="67">
        <f>ROUND(IF(F2509="alluminio",0,I2509*1.5%),4)</f>
        <v>0</v>
      </c>
      <c r="L2509" s="67">
        <f>ROUND(IF(K2509&lt;J2509,K2509,0),4)</f>
        <v>0</v>
      </c>
      <c r="M2509" s="67">
        <f>ROUND(IF(J2509&gt;K2509,0,J2509),4)</f>
        <v>0</v>
      </c>
      <c r="N2509" s="67">
        <f>ROUND(+L2509*D2509,4)</f>
        <v>0</v>
      </c>
      <c r="O2509" s="67">
        <f>ROUND(IF(F2509="rame",0,+I2509*3%),4)</f>
        <v>0</v>
      </c>
      <c r="P2509" s="67">
        <f>ROUND(IF(O2509&lt;J2509,O2509,0),4)</f>
        <v>0</v>
      </c>
      <c r="Q2509" s="67">
        <f>ROUND(IF(J2509&gt;O2509,0,J2509),4)</f>
        <v>0</v>
      </c>
      <c r="R2509" s="67">
        <f>ROUND(+P2509*D2509,4)</f>
        <v>0</v>
      </c>
      <c r="S2509" s="67">
        <f>ROUND(IF(K2509=0,0,M2509*D2509),4)</f>
        <v>0</v>
      </c>
      <c r="T2509" s="67">
        <f>ROUND(+IF(K2509=0,Q2509*D2509,0),4)</f>
        <v>0</v>
      </c>
      <c r="U2509" s="67">
        <f>ROUND(+N2509+R2509+S2509+T2509,4)</f>
        <v>0</v>
      </c>
      <c r="V2509" s="67">
        <f>ROUND(IF(P2509=0,0,I2509-H2509-O2509)+IF(L2509=0,0,I2509-H2509-K2509),4)</f>
        <v>0</v>
      </c>
      <c r="W2509" s="67">
        <f>ROUND(+(V2509*60%)*D2509,4)</f>
        <v>0</v>
      </c>
      <c r="X2509" s="148">
        <f>ROUND(+U2509+W2509,4)</f>
        <v>0</v>
      </c>
      <c r="Y2509" s="68"/>
      <c r="Z2509" s="148">
        <f>ROUND(IF(X2509&gt;I2509,X2509,I2509),4)</f>
        <v>0</v>
      </c>
      <c r="AD2509" s="78">
        <f t="shared" si="56"/>
        <v>0</v>
      </c>
      <c r="AE2509" s="78">
        <f t="shared" si="57"/>
        <v>0</v>
      </c>
    </row>
    <row r="2510" spans="1:31" x14ac:dyDescent="0.2">
      <c r="A2510" s="66"/>
      <c r="B2510" s="66"/>
      <c r="C2510" s="66"/>
      <c r="D2510" s="144"/>
      <c r="E2510" s="67"/>
      <c r="F2510" s="67"/>
      <c r="G2510" s="67"/>
      <c r="H2510" s="67">
        <f>ROUND(+E2510+G2510,4)</f>
        <v>0</v>
      </c>
      <c r="I2510" s="67"/>
      <c r="J2510" s="67">
        <f>ROUND(+I2510-H2510,4)</f>
        <v>0</v>
      </c>
      <c r="K2510" s="67">
        <f>ROUND(IF(F2510="alluminio",0,I2510*1.5%),4)</f>
        <v>0</v>
      </c>
      <c r="L2510" s="67">
        <f>ROUND(IF(K2510&lt;J2510,K2510,0),4)</f>
        <v>0</v>
      </c>
      <c r="M2510" s="67">
        <f>ROUND(IF(J2510&gt;K2510,0,J2510),4)</f>
        <v>0</v>
      </c>
      <c r="N2510" s="67">
        <f>ROUND(+L2510*D2510,4)</f>
        <v>0</v>
      </c>
      <c r="O2510" s="67">
        <f>ROUND(IF(F2510="rame",0,+I2510*3%),4)</f>
        <v>0</v>
      </c>
      <c r="P2510" s="67">
        <f>ROUND(IF(O2510&lt;J2510,O2510,0),4)</f>
        <v>0</v>
      </c>
      <c r="Q2510" s="67">
        <f>ROUND(IF(J2510&gt;O2510,0,J2510),4)</f>
        <v>0</v>
      </c>
      <c r="R2510" s="67">
        <f>ROUND(+P2510*D2510,4)</f>
        <v>0</v>
      </c>
      <c r="S2510" s="67">
        <f>ROUND(IF(K2510=0,0,M2510*D2510),4)</f>
        <v>0</v>
      </c>
      <c r="T2510" s="67">
        <f>ROUND(+IF(K2510=0,Q2510*D2510,0),4)</f>
        <v>0</v>
      </c>
      <c r="U2510" s="67">
        <f>ROUND(+N2510+R2510+S2510+T2510,4)</f>
        <v>0</v>
      </c>
      <c r="V2510" s="67">
        <f>ROUND(IF(P2510=0,0,I2510-H2510-O2510)+IF(L2510=0,0,I2510-H2510-K2510),4)</f>
        <v>0</v>
      </c>
      <c r="W2510" s="67">
        <f>ROUND(+(V2510*60%)*D2510,4)</f>
        <v>0</v>
      </c>
      <c r="X2510" s="148">
        <f>ROUND(+U2510+W2510,4)</f>
        <v>0</v>
      </c>
      <c r="Y2510" s="68"/>
      <c r="Z2510" s="148">
        <f>ROUND(IF(X2510&gt;I2510,X2510,I2510),4)</f>
        <v>0</v>
      </c>
      <c r="AD2510" s="78">
        <f t="shared" si="56"/>
        <v>0</v>
      </c>
      <c r="AE2510" s="78">
        <f t="shared" si="57"/>
        <v>0</v>
      </c>
    </row>
    <row r="2511" spans="1:31" x14ac:dyDescent="0.2">
      <c r="A2511" s="66"/>
      <c r="B2511" s="66"/>
      <c r="C2511" s="66"/>
      <c r="D2511" s="144"/>
      <c r="E2511" s="67"/>
      <c r="F2511" s="67"/>
      <c r="G2511" s="67"/>
      <c r="H2511" s="67">
        <f>ROUND(+E2511+G2511,4)</f>
        <v>0</v>
      </c>
      <c r="I2511" s="67"/>
      <c r="J2511" s="67">
        <f>ROUND(+I2511-H2511,4)</f>
        <v>0</v>
      </c>
      <c r="K2511" s="67">
        <f>ROUND(IF(F2511="alluminio",0,I2511*1.5%),4)</f>
        <v>0</v>
      </c>
      <c r="L2511" s="67">
        <f>ROUND(IF(K2511&lt;J2511,K2511,0),4)</f>
        <v>0</v>
      </c>
      <c r="M2511" s="67">
        <f>ROUND(IF(J2511&gt;K2511,0,J2511),4)</f>
        <v>0</v>
      </c>
      <c r="N2511" s="67">
        <f>ROUND(+L2511*D2511,4)</f>
        <v>0</v>
      </c>
      <c r="O2511" s="67">
        <f>ROUND(IF(F2511="rame",0,+I2511*3%),4)</f>
        <v>0</v>
      </c>
      <c r="P2511" s="67">
        <f>ROUND(IF(O2511&lt;J2511,O2511,0),4)</f>
        <v>0</v>
      </c>
      <c r="Q2511" s="67">
        <f>ROUND(IF(J2511&gt;O2511,0,J2511),4)</f>
        <v>0</v>
      </c>
      <c r="R2511" s="67">
        <f>ROUND(+P2511*D2511,4)</f>
        <v>0</v>
      </c>
      <c r="S2511" s="67">
        <f>ROUND(IF(K2511=0,0,M2511*D2511),4)</f>
        <v>0</v>
      </c>
      <c r="T2511" s="67">
        <f>ROUND(+IF(K2511=0,Q2511*D2511,0),4)</f>
        <v>0</v>
      </c>
      <c r="U2511" s="67">
        <f>ROUND(+N2511+R2511+S2511+T2511,4)</f>
        <v>0</v>
      </c>
      <c r="V2511" s="67">
        <f>ROUND(IF(P2511=0,0,I2511-H2511-O2511)+IF(L2511=0,0,I2511-H2511-K2511),4)</f>
        <v>0</v>
      </c>
      <c r="W2511" s="67">
        <f>ROUND(+(V2511*60%)*D2511,4)</f>
        <v>0</v>
      </c>
      <c r="X2511" s="148">
        <f>ROUND(+U2511+W2511,4)</f>
        <v>0</v>
      </c>
      <c r="Y2511" s="68"/>
      <c r="Z2511" s="148">
        <f>ROUND(IF(X2511&gt;I2511,X2511,I2511),4)</f>
        <v>0</v>
      </c>
      <c r="AD2511" s="78">
        <f t="shared" si="56"/>
        <v>0</v>
      </c>
      <c r="AE2511" s="78">
        <f t="shared" si="57"/>
        <v>0</v>
      </c>
    </row>
    <row r="2512" spans="1:31" x14ac:dyDescent="0.2">
      <c r="A2512" s="66"/>
      <c r="B2512" s="66"/>
      <c r="C2512" s="66"/>
      <c r="D2512" s="144"/>
      <c r="E2512" s="67"/>
      <c r="F2512" s="67"/>
      <c r="G2512" s="67"/>
      <c r="H2512" s="67">
        <f>ROUND(+E2512+G2512,4)</f>
        <v>0</v>
      </c>
      <c r="I2512" s="67"/>
      <c r="J2512" s="67">
        <f>ROUND(+I2512-H2512,4)</f>
        <v>0</v>
      </c>
      <c r="K2512" s="67">
        <f>ROUND(IF(F2512="alluminio",0,I2512*1.5%),4)</f>
        <v>0</v>
      </c>
      <c r="L2512" s="67">
        <f>ROUND(IF(K2512&lt;J2512,K2512,0),4)</f>
        <v>0</v>
      </c>
      <c r="M2512" s="67">
        <f>ROUND(IF(J2512&gt;K2512,0,J2512),4)</f>
        <v>0</v>
      </c>
      <c r="N2512" s="67">
        <f>ROUND(+L2512*D2512,4)</f>
        <v>0</v>
      </c>
      <c r="O2512" s="67">
        <f>ROUND(IF(F2512="rame",0,+I2512*3%),4)</f>
        <v>0</v>
      </c>
      <c r="P2512" s="67">
        <f>ROUND(IF(O2512&lt;J2512,O2512,0),4)</f>
        <v>0</v>
      </c>
      <c r="Q2512" s="67">
        <f>ROUND(IF(J2512&gt;O2512,0,J2512),4)</f>
        <v>0</v>
      </c>
      <c r="R2512" s="67">
        <f>ROUND(+P2512*D2512,4)</f>
        <v>0</v>
      </c>
      <c r="S2512" s="67">
        <f>ROUND(IF(K2512=0,0,M2512*D2512),4)</f>
        <v>0</v>
      </c>
      <c r="T2512" s="67">
        <f>ROUND(+IF(K2512=0,Q2512*D2512,0),4)</f>
        <v>0</v>
      </c>
      <c r="U2512" s="67">
        <f>ROUND(+N2512+R2512+S2512+T2512,4)</f>
        <v>0</v>
      </c>
      <c r="V2512" s="67">
        <f>ROUND(IF(P2512=0,0,I2512-H2512-O2512)+IF(L2512=0,0,I2512-H2512-K2512),4)</f>
        <v>0</v>
      </c>
      <c r="W2512" s="67">
        <f>ROUND(+(V2512*60%)*D2512,4)</f>
        <v>0</v>
      </c>
      <c r="X2512" s="148">
        <f>ROUND(+U2512+W2512,4)</f>
        <v>0</v>
      </c>
      <c r="Y2512" s="68"/>
      <c r="Z2512" s="148">
        <f>ROUND(IF(X2512&gt;I2512,X2512,I2512),4)</f>
        <v>0</v>
      </c>
      <c r="AD2512" s="78">
        <f t="shared" si="56"/>
        <v>0</v>
      </c>
      <c r="AE2512" s="78">
        <f t="shared" si="57"/>
        <v>0</v>
      </c>
    </row>
    <row r="2513" spans="1:31" x14ac:dyDescent="0.2">
      <c r="A2513" s="66"/>
      <c r="B2513" s="66"/>
      <c r="C2513" s="66"/>
      <c r="D2513" s="144"/>
      <c r="E2513" s="67"/>
      <c r="F2513" s="67"/>
      <c r="G2513" s="67"/>
      <c r="H2513" s="67">
        <f>ROUND(+E2513+G2513,4)</f>
        <v>0</v>
      </c>
      <c r="I2513" s="67"/>
      <c r="J2513" s="67">
        <f>ROUND(+I2513-H2513,4)</f>
        <v>0</v>
      </c>
      <c r="K2513" s="67">
        <f>ROUND(IF(F2513="alluminio",0,I2513*1.5%),4)</f>
        <v>0</v>
      </c>
      <c r="L2513" s="67">
        <f>ROUND(IF(K2513&lt;J2513,K2513,0),4)</f>
        <v>0</v>
      </c>
      <c r="M2513" s="67">
        <f>ROUND(IF(J2513&gt;K2513,0,J2513),4)</f>
        <v>0</v>
      </c>
      <c r="N2513" s="67">
        <f>ROUND(+L2513*D2513,4)</f>
        <v>0</v>
      </c>
      <c r="O2513" s="67">
        <f>ROUND(IF(F2513="rame",0,+I2513*3%),4)</f>
        <v>0</v>
      </c>
      <c r="P2513" s="67">
        <f>ROUND(IF(O2513&lt;J2513,O2513,0),4)</f>
        <v>0</v>
      </c>
      <c r="Q2513" s="67">
        <f>ROUND(IF(J2513&gt;O2513,0,J2513),4)</f>
        <v>0</v>
      </c>
      <c r="R2513" s="67">
        <f>ROUND(+P2513*D2513,4)</f>
        <v>0</v>
      </c>
      <c r="S2513" s="67">
        <f>ROUND(IF(K2513=0,0,M2513*D2513),4)</f>
        <v>0</v>
      </c>
      <c r="T2513" s="67">
        <f>ROUND(+IF(K2513=0,Q2513*D2513,0),4)</f>
        <v>0</v>
      </c>
      <c r="U2513" s="67">
        <f>ROUND(+N2513+R2513+S2513+T2513,4)</f>
        <v>0</v>
      </c>
      <c r="V2513" s="67">
        <f>ROUND(IF(P2513=0,0,I2513-H2513-O2513)+IF(L2513=0,0,I2513-H2513-K2513),4)</f>
        <v>0</v>
      </c>
      <c r="W2513" s="67">
        <f>ROUND(+(V2513*60%)*D2513,4)</f>
        <v>0</v>
      </c>
      <c r="X2513" s="148">
        <f>ROUND(+U2513+W2513,4)</f>
        <v>0</v>
      </c>
      <c r="Y2513" s="68"/>
      <c r="Z2513" s="148">
        <f>ROUND(IF(X2513&gt;I2513,X2513,I2513),4)</f>
        <v>0</v>
      </c>
      <c r="AD2513" s="78">
        <f t="shared" si="56"/>
        <v>0</v>
      </c>
      <c r="AE2513" s="78">
        <f t="shared" si="57"/>
        <v>0</v>
      </c>
    </row>
    <row r="2514" spans="1:31" x14ac:dyDescent="0.2">
      <c r="A2514" s="66"/>
      <c r="B2514" s="66"/>
      <c r="C2514" s="66"/>
      <c r="D2514" s="144"/>
      <c r="E2514" s="67"/>
      <c r="F2514" s="67"/>
      <c r="G2514" s="67"/>
      <c r="H2514" s="67">
        <f>ROUND(+E2514+G2514,4)</f>
        <v>0</v>
      </c>
      <c r="I2514" s="67"/>
      <c r="J2514" s="67">
        <f>ROUND(+I2514-H2514,4)</f>
        <v>0</v>
      </c>
      <c r="K2514" s="67">
        <f>ROUND(IF(F2514="alluminio",0,I2514*1.5%),4)</f>
        <v>0</v>
      </c>
      <c r="L2514" s="67">
        <f>ROUND(IF(K2514&lt;J2514,K2514,0),4)</f>
        <v>0</v>
      </c>
      <c r="M2514" s="67">
        <f>ROUND(IF(J2514&gt;K2514,0,J2514),4)</f>
        <v>0</v>
      </c>
      <c r="N2514" s="67">
        <f>ROUND(+L2514*D2514,4)</f>
        <v>0</v>
      </c>
      <c r="O2514" s="67">
        <f>ROUND(IF(F2514="rame",0,+I2514*3%),4)</f>
        <v>0</v>
      </c>
      <c r="P2514" s="67">
        <f>ROUND(IF(O2514&lt;J2514,O2514,0),4)</f>
        <v>0</v>
      </c>
      <c r="Q2514" s="67">
        <f>ROUND(IF(J2514&gt;O2514,0,J2514),4)</f>
        <v>0</v>
      </c>
      <c r="R2514" s="67">
        <f>ROUND(+P2514*D2514,4)</f>
        <v>0</v>
      </c>
      <c r="S2514" s="67">
        <f>ROUND(IF(K2514=0,0,M2514*D2514),4)</f>
        <v>0</v>
      </c>
      <c r="T2514" s="67">
        <f>ROUND(+IF(K2514=0,Q2514*D2514,0),4)</f>
        <v>0</v>
      </c>
      <c r="U2514" s="67">
        <f>ROUND(+N2514+R2514+S2514+T2514,4)</f>
        <v>0</v>
      </c>
      <c r="V2514" s="67">
        <f>ROUND(IF(P2514=0,0,I2514-H2514-O2514)+IF(L2514=0,0,I2514-H2514-K2514),4)</f>
        <v>0</v>
      </c>
      <c r="W2514" s="67">
        <f>ROUND(+(V2514*60%)*D2514,4)</f>
        <v>0</v>
      </c>
      <c r="X2514" s="148">
        <f>ROUND(+U2514+W2514,4)</f>
        <v>0</v>
      </c>
      <c r="Y2514" s="68"/>
      <c r="Z2514" s="148">
        <f>ROUND(IF(X2514&gt;I2514,X2514,I2514),4)</f>
        <v>0</v>
      </c>
      <c r="AD2514" s="78">
        <f t="shared" si="56"/>
        <v>0</v>
      </c>
      <c r="AE2514" s="78">
        <f t="shared" si="57"/>
        <v>0</v>
      </c>
    </row>
    <row r="2515" spans="1:31" x14ac:dyDescent="0.2">
      <c r="A2515" s="66"/>
      <c r="B2515" s="66"/>
      <c r="C2515" s="66"/>
      <c r="D2515" s="144"/>
      <c r="E2515" s="67"/>
      <c r="F2515" s="67"/>
      <c r="G2515" s="67"/>
      <c r="H2515" s="67">
        <f>ROUND(+E2515+G2515,4)</f>
        <v>0</v>
      </c>
      <c r="I2515" s="67"/>
      <c r="J2515" s="67">
        <f>ROUND(+I2515-H2515,4)</f>
        <v>0</v>
      </c>
      <c r="K2515" s="67">
        <f>ROUND(IF(F2515="alluminio",0,I2515*1.5%),4)</f>
        <v>0</v>
      </c>
      <c r="L2515" s="67">
        <f>ROUND(IF(K2515&lt;J2515,K2515,0),4)</f>
        <v>0</v>
      </c>
      <c r="M2515" s="67">
        <f>ROUND(IF(J2515&gt;K2515,0,J2515),4)</f>
        <v>0</v>
      </c>
      <c r="N2515" s="67">
        <f>ROUND(+L2515*D2515,4)</f>
        <v>0</v>
      </c>
      <c r="O2515" s="67">
        <f>ROUND(IF(F2515="rame",0,+I2515*3%),4)</f>
        <v>0</v>
      </c>
      <c r="P2515" s="67">
        <f>ROUND(IF(O2515&lt;J2515,O2515,0),4)</f>
        <v>0</v>
      </c>
      <c r="Q2515" s="67">
        <f>ROUND(IF(J2515&gt;O2515,0,J2515),4)</f>
        <v>0</v>
      </c>
      <c r="R2515" s="67">
        <f>ROUND(+P2515*D2515,4)</f>
        <v>0</v>
      </c>
      <c r="S2515" s="67">
        <f>ROUND(IF(K2515=0,0,M2515*D2515),4)</f>
        <v>0</v>
      </c>
      <c r="T2515" s="67">
        <f>ROUND(+IF(K2515=0,Q2515*D2515,0),4)</f>
        <v>0</v>
      </c>
      <c r="U2515" s="67">
        <f>ROUND(+N2515+R2515+S2515+T2515,4)</f>
        <v>0</v>
      </c>
      <c r="V2515" s="67">
        <f>ROUND(IF(P2515=0,0,I2515-H2515-O2515)+IF(L2515=0,0,I2515-H2515-K2515),4)</f>
        <v>0</v>
      </c>
      <c r="W2515" s="67">
        <f>ROUND(+(V2515*60%)*D2515,4)</f>
        <v>0</v>
      </c>
      <c r="X2515" s="148">
        <f>ROUND(+U2515+W2515,4)</f>
        <v>0</v>
      </c>
      <c r="Y2515" s="68"/>
      <c r="Z2515" s="148">
        <f>ROUND(IF(X2515&gt;I2515,X2515,I2515),4)</f>
        <v>0</v>
      </c>
      <c r="AD2515" s="78">
        <f t="shared" si="56"/>
        <v>0</v>
      </c>
      <c r="AE2515" s="78">
        <f t="shared" si="57"/>
        <v>0</v>
      </c>
    </row>
    <row r="2516" spans="1:31" x14ac:dyDescent="0.2">
      <c r="A2516" s="66"/>
      <c r="B2516" s="66"/>
      <c r="C2516" s="66"/>
      <c r="D2516" s="144"/>
      <c r="E2516" s="67"/>
      <c r="F2516" s="67"/>
      <c r="G2516" s="67"/>
      <c r="H2516" s="67">
        <f>ROUND(+E2516+G2516,4)</f>
        <v>0</v>
      </c>
      <c r="I2516" s="67"/>
      <c r="J2516" s="67">
        <f>ROUND(+I2516-H2516,4)</f>
        <v>0</v>
      </c>
      <c r="K2516" s="67">
        <f>ROUND(IF(F2516="alluminio",0,I2516*1.5%),4)</f>
        <v>0</v>
      </c>
      <c r="L2516" s="67">
        <f>ROUND(IF(K2516&lt;J2516,K2516,0),4)</f>
        <v>0</v>
      </c>
      <c r="M2516" s="67">
        <f>ROUND(IF(J2516&gt;K2516,0,J2516),4)</f>
        <v>0</v>
      </c>
      <c r="N2516" s="67">
        <f>ROUND(+L2516*D2516,4)</f>
        <v>0</v>
      </c>
      <c r="O2516" s="67">
        <f>ROUND(IF(F2516="rame",0,+I2516*3%),4)</f>
        <v>0</v>
      </c>
      <c r="P2516" s="67">
        <f>ROUND(IF(O2516&lt;J2516,O2516,0),4)</f>
        <v>0</v>
      </c>
      <c r="Q2516" s="67">
        <f>ROUND(IF(J2516&gt;O2516,0,J2516),4)</f>
        <v>0</v>
      </c>
      <c r="R2516" s="67">
        <f>ROUND(+P2516*D2516,4)</f>
        <v>0</v>
      </c>
      <c r="S2516" s="67">
        <f>ROUND(IF(K2516=0,0,M2516*D2516),4)</f>
        <v>0</v>
      </c>
      <c r="T2516" s="67">
        <f>ROUND(+IF(K2516=0,Q2516*D2516,0),4)</f>
        <v>0</v>
      </c>
      <c r="U2516" s="67">
        <f>ROUND(+N2516+R2516+S2516+T2516,4)</f>
        <v>0</v>
      </c>
      <c r="V2516" s="67">
        <f>ROUND(IF(P2516=0,0,I2516-H2516-O2516)+IF(L2516=0,0,I2516-H2516-K2516),4)</f>
        <v>0</v>
      </c>
      <c r="W2516" s="67">
        <f>ROUND(+(V2516*60%)*D2516,4)</f>
        <v>0</v>
      </c>
      <c r="X2516" s="148">
        <f>ROUND(+U2516+W2516,4)</f>
        <v>0</v>
      </c>
      <c r="Y2516" s="68"/>
      <c r="Z2516" s="148">
        <f>ROUND(IF(X2516&gt;I2516,X2516,I2516),4)</f>
        <v>0</v>
      </c>
      <c r="AD2516" s="78">
        <f t="shared" si="56"/>
        <v>0</v>
      </c>
      <c r="AE2516" s="78">
        <f t="shared" si="57"/>
        <v>0</v>
      </c>
    </row>
    <row r="2517" spans="1:31" x14ac:dyDescent="0.2">
      <c r="A2517" s="66"/>
      <c r="B2517" s="66"/>
      <c r="C2517" s="66"/>
      <c r="D2517" s="144"/>
      <c r="E2517" s="67"/>
      <c r="F2517" s="67"/>
      <c r="G2517" s="67"/>
      <c r="H2517" s="67">
        <f>ROUND(+E2517+G2517,4)</f>
        <v>0</v>
      </c>
      <c r="I2517" s="67"/>
      <c r="J2517" s="67">
        <f>ROUND(+I2517-H2517,4)</f>
        <v>0</v>
      </c>
      <c r="K2517" s="67">
        <f>ROUND(IF(F2517="alluminio",0,I2517*1.5%),4)</f>
        <v>0</v>
      </c>
      <c r="L2517" s="67">
        <f>ROUND(IF(K2517&lt;J2517,K2517,0),4)</f>
        <v>0</v>
      </c>
      <c r="M2517" s="67">
        <f>ROUND(IF(J2517&gt;K2517,0,J2517),4)</f>
        <v>0</v>
      </c>
      <c r="N2517" s="67">
        <f>ROUND(+L2517*D2517,4)</f>
        <v>0</v>
      </c>
      <c r="O2517" s="67">
        <f>ROUND(IF(F2517="rame",0,+I2517*3%),4)</f>
        <v>0</v>
      </c>
      <c r="P2517" s="67">
        <f>ROUND(IF(O2517&lt;J2517,O2517,0),4)</f>
        <v>0</v>
      </c>
      <c r="Q2517" s="67">
        <f>ROUND(IF(J2517&gt;O2517,0,J2517),4)</f>
        <v>0</v>
      </c>
      <c r="R2517" s="67">
        <f>ROUND(+P2517*D2517,4)</f>
        <v>0</v>
      </c>
      <c r="S2517" s="67">
        <f>ROUND(IF(K2517=0,0,M2517*D2517),4)</f>
        <v>0</v>
      </c>
      <c r="T2517" s="67">
        <f>ROUND(+IF(K2517=0,Q2517*D2517,0),4)</f>
        <v>0</v>
      </c>
      <c r="U2517" s="67">
        <f>ROUND(+N2517+R2517+S2517+T2517,4)</f>
        <v>0</v>
      </c>
      <c r="V2517" s="67">
        <f>ROUND(IF(P2517=0,0,I2517-H2517-O2517)+IF(L2517=0,0,I2517-H2517-K2517),4)</f>
        <v>0</v>
      </c>
      <c r="W2517" s="67">
        <f>ROUND(+(V2517*60%)*D2517,4)</f>
        <v>0</v>
      </c>
      <c r="X2517" s="148">
        <f>ROUND(+U2517+W2517,4)</f>
        <v>0</v>
      </c>
      <c r="Y2517" s="68"/>
      <c r="Z2517" s="148">
        <f>ROUND(IF(X2517&gt;I2517,X2517,I2517),4)</f>
        <v>0</v>
      </c>
      <c r="AD2517" s="78">
        <f t="shared" si="56"/>
        <v>0</v>
      </c>
      <c r="AE2517" s="78">
        <f t="shared" si="57"/>
        <v>0</v>
      </c>
    </row>
    <row r="2518" spans="1:31" x14ac:dyDescent="0.2">
      <c r="A2518" s="66"/>
      <c r="B2518" s="66"/>
      <c r="C2518" s="66"/>
      <c r="D2518" s="144"/>
      <c r="E2518" s="67"/>
      <c r="F2518" s="67"/>
      <c r="G2518" s="67"/>
      <c r="H2518" s="67">
        <f>ROUND(+E2518+G2518,4)</f>
        <v>0</v>
      </c>
      <c r="I2518" s="67"/>
      <c r="J2518" s="67">
        <f>ROUND(+I2518-H2518,4)</f>
        <v>0</v>
      </c>
      <c r="K2518" s="67">
        <f>ROUND(IF(F2518="alluminio",0,I2518*1.5%),4)</f>
        <v>0</v>
      </c>
      <c r="L2518" s="67">
        <f>ROUND(IF(K2518&lt;J2518,K2518,0),4)</f>
        <v>0</v>
      </c>
      <c r="M2518" s="67">
        <f>ROUND(IF(J2518&gt;K2518,0,J2518),4)</f>
        <v>0</v>
      </c>
      <c r="N2518" s="67">
        <f>ROUND(+L2518*D2518,4)</f>
        <v>0</v>
      </c>
      <c r="O2518" s="67">
        <f>ROUND(IF(F2518="rame",0,+I2518*3%),4)</f>
        <v>0</v>
      </c>
      <c r="P2518" s="67">
        <f>ROUND(IF(O2518&lt;J2518,O2518,0),4)</f>
        <v>0</v>
      </c>
      <c r="Q2518" s="67">
        <f>ROUND(IF(J2518&gt;O2518,0,J2518),4)</f>
        <v>0</v>
      </c>
      <c r="R2518" s="67">
        <f>ROUND(+P2518*D2518,4)</f>
        <v>0</v>
      </c>
      <c r="S2518" s="67">
        <f>ROUND(IF(K2518=0,0,M2518*D2518),4)</f>
        <v>0</v>
      </c>
      <c r="T2518" s="67">
        <f>ROUND(+IF(K2518=0,Q2518*D2518,0),4)</f>
        <v>0</v>
      </c>
      <c r="U2518" s="67">
        <f>ROUND(+N2518+R2518+S2518+T2518,4)</f>
        <v>0</v>
      </c>
      <c r="V2518" s="67">
        <f>ROUND(IF(P2518=0,0,I2518-H2518-O2518)+IF(L2518=0,0,I2518-H2518-K2518),4)</f>
        <v>0</v>
      </c>
      <c r="W2518" s="67">
        <f>ROUND(+(V2518*60%)*D2518,4)</f>
        <v>0</v>
      </c>
      <c r="X2518" s="148">
        <f>ROUND(+U2518+W2518,4)</f>
        <v>0</v>
      </c>
      <c r="Y2518" s="68"/>
      <c r="Z2518" s="148">
        <f>ROUND(IF(X2518&gt;I2518,X2518,I2518),4)</f>
        <v>0</v>
      </c>
      <c r="AD2518" s="78">
        <f t="shared" si="56"/>
        <v>0</v>
      </c>
      <c r="AE2518" s="78">
        <f t="shared" si="57"/>
        <v>0</v>
      </c>
    </row>
    <row r="2519" spans="1:31" x14ac:dyDescent="0.2">
      <c r="A2519" s="66"/>
      <c r="B2519" s="66"/>
      <c r="C2519" s="66"/>
      <c r="D2519" s="144"/>
      <c r="E2519" s="67"/>
      <c r="F2519" s="67"/>
      <c r="G2519" s="67"/>
      <c r="H2519" s="67">
        <f>ROUND(+E2519+G2519,4)</f>
        <v>0</v>
      </c>
      <c r="I2519" s="67"/>
      <c r="J2519" s="67">
        <f>ROUND(+I2519-H2519,4)</f>
        <v>0</v>
      </c>
      <c r="K2519" s="67">
        <f>ROUND(IF(F2519="alluminio",0,I2519*1.5%),4)</f>
        <v>0</v>
      </c>
      <c r="L2519" s="67">
        <f>ROUND(IF(K2519&lt;J2519,K2519,0),4)</f>
        <v>0</v>
      </c>
      <c r="M2519" s="67">
        <f>ROUND(IF(J2519&gt;K2519,0,J2519),4)</f>
        <v>0</v>
      </c>
      <c r="N2519" s="67">
        <f>ROUND(+L2519*D2519,4)</f>
        <v>0</v>
      </c>
      <c r="O2519" s="67">
        <f>ROUND(IF(F2519="rame",0,+I2519*3%),4)</f>
        <v>0</v>
      </c>
      <c r="P2519" s="67">
        <f>ROUND(IF(O2519&lt;J2519,O2519,0),4)</f>
        <v>0</v>
      </c>
      <c r="Q2519" s="67">
        <f>ROUND(IF(J2519&gt;O2519,0,J2519),4)</f>
        <v>0</v>
      </c>
      <c r="R2519" s="67">
        <f>ROUND(+P2519*D2519,4)</f>
        <v>0</v>
      </c>
      <c r="S2519" s="67">
        <f>ROUND(IF(K2519=0,0,M2519*D2519),4)</f>
        <v>0</v>
      </c>
      <c r="T2519" s="67">
        <f>ROUND(+IF(K2519=0,Q2519*D2519,0),4)</f>
        <v>0</v>
      </c>
      <c r="U2519" s="67">
        <f>ROUND(+N2519+R2519+S2519+T2519,4)</f>
        <v>0</v>
      </c>
      <c r="V2519" s="67">
        <f>ROUND(IF(P2519=0,0,I2519-H2519-O2519)+IF(L2519=0,0,I2519-H2519-K2519),4)</f>
        <v>0</v>
      </c>
      <c r="W2519" s="67">
        <f>ROUND(+(V2519*60%)*D2519,4)</f>
        <v>0</v>
      </c>
      <c r="X2519" s="148">
        <f>ROUND(+U2519+W2519,4)</f>
        <v>0</v>
      </c>
      <c r="Y2519" s="68"/>
      <c r="Z2519" s="148">
        <f>ROUND(IF(X2519&gt;I2519,X2519,I2519),4)</f>
        <v>0</v>
      </c>
      <c r="AD2519" s="78">
        <f t="shared" si="56"/>
        <v>0</v>
      </c>
      <c r="AE2519" s="78">
        <f t="shared" si="57"/>
        <v>0</v>
      </c>
    </row>
    <row r="2520" spans="1:31" x14ac:dyDescent="0.2">
      <c r="A2520" s="66"/>
      <c r="B2520" s="66"/>
      <c r="C2520" s="66"/>
      <c r="D2520" s="144"/>
      <c r="E2520" s="67"/>
      <c r="F2520" s="67"/>
      <c r="G2520" s="67"/>
      <c r="H2520" s="67">
        <f>ROUND(+E2520+G2520,4)</f>
        <v>0</v>
      </c>
      <c r="I2520" s="67"/>
      <c r="J2520" s="67">
        <f>ROUND(+I2520-H2520,4)</f>
        <v>0</v>
      </c>
      <c r="K2520" s="67">
        <f>ROUND(IF(F2520="alluminio",0,I2520*1.5%),4)</f>
        <v>0</v>
      </c>
      <c r="L2520" s="67">
        <f>ROUND(IF(K2520&lt;J2520,K2520,0),4)</f>
        <v>0</v>
      </c>
      <c r="M2520" s="67">
        <f>ROUND(IF(J2520&gt;K2520,0,J2520),4)</f>
        <v>0</v>
      </c>
      <c r="N2520" s="67">
        <f>ROUND(+L2520*D2520,4)</f>
        <v>0</v>
      </c>
      <c r="O2520" s="67">
        <f>ROUND(IF(F2520="rame",0,+I2520*3%),4)</f>
        <v>0</v>
      </c>
      <c r="P2520" s="67">
        <f>ROUND(IF(O2520&lt;J2520,O2520,0),4)</f>
        <v>0</v>
      </c>
      <c r="Q2520" s="67">
        <f>ROUND(IF(J2520&gt;O2520,0,J2520),4)</f>
        <v>0</v>
      </c>
      <c r="R2520" s="67">
        <f>ROUND(+P2520*D2520,4)</f>
        <v>0</v>
      </c>
      <c r="S2520" s="67">
        <f>ROUND(IF(K2520=0,0,M2520*D2520),4)</f>
        <v>0</v>
      </c>
      <c r="T2520" s="67">
        <f>ROUND(+IF(K2520=0,Q2520*D2520,0),4)</f>
        <v>0</v>
      </c>
      <c r="U2520" s="67">
        <f>ROUND(+N2520+R2520+S2520+T2520,4)</f>
        <v>0</v>
      </c>
      <c r="V2520" s="67">
        <f>ROUND(IF(P2520=0,0,I2520-H2520-O2520)+IF(L2520=0,0,I2520-H2520-K2520),4)</f>
        <v>0</v>
      </c>
      <c r="W2520" s="67">
        <f>ROUND(+(V2520*60%)*D2520,4)</f>
        <v>0</v>
      </c>
      <c r="X2520" s="148">
        <f>ROUND(+U2520+W2520,4)</f>
        <v>0</v>
      </c>
      <c r="Y2520" s="68"/>
      <c r="Z2520" s="148">
        <f>ROUND(IF(X2520&gt;I2520,X2520,I2520),4)</f>
        <v>0</v>
      </c>
      <c r="AD2520" s="78">
        <f t="shared" si="56"/>
        <v>0</v>
      </c>
      <c r="AE2520" s="78">
        <f t="shared" si="57"/>
        <v>0</v>
      </c>
    </row>
    <row r="2521" spans="1:31" x14ac:dyDescent="0.2">
      <c r="A2521" s="66"/>
      <c r="B2521" s="66"/>
      <c r="C2521" s="66"/>
      <c r="D2521" s="144"/>
      <c r="E2521" s="67"/>
      <c r="F2521" s="67"/>
      <c r="G2521" s="67"/>
      <c r="H2521" s="67">
        <f>ROUND(+E2521+G2521,4)</f>
        <v>0</v>
      </c>
      <c r="I2521" s="67"/>
      <c r="J2521" s="67">
        <f>ROUND(+I2521-H2521,4)</f>
        <v>0</v>
      </c>
      <c r="K2521" s="67">
        <f>ROUND(IF(F2521="alluminio",0,I2521*1.5%),4)</f>
        <v>0</v>
      </c>
      <c r="L2521" s="67">
        <f>ROUND(IF(K2521&lt;J2521,K2521,0),4)</f>
        <v>0</v>
      </c>
      <c r="M2521" s="67">
        <f>ROUND(IF(J2521&gt;K2521,0,J2521),4)</f>
        <v>0</v>
      </c>
      <c r="N2521" s="67">
        <f>ROUND(+L2521*D2521,4)</f>
        <v>0</v>
      </c>
      <c r="O2521" s="67">
        <f>ROUND(IF(F2521="rame",0,+I2521*3%),4)</f>
        <v>0</v>
      </c>
      <c r="P2521" s="67">
        <f>ROUND(IF(O2521&lt;J2521,O2521,0),4)</f>
        <v>0</v>
      </c>
      <c r="Q2521" s="67">
        <f>ROUND(IF(J2521&gt;O2521,0,J2521),4)</f>
        <v>0</v>
      </c>
      <c r="R2521" s="67">
        <f>ROUND(+P2521*D2521,4)</f>
        <v>0</v>
      </c>
      <c r="S2521" s="67">
        <f>ROUND(IF(K2521=0,0,M2521*D2521),4)</f>
        <v>0</v>
      </c>
      <c r="T2521" s="67">
        <f>ROUND(+IF(K2521=0,Q2521*D2521,0),4)</f>
        <v>0</v>
      </c>
      <c r="U2521" s="67">
        <f>ROUND(+N2521+R2521+S2521+T2521,4)</f>
        <v>0</v>
      </c>
      <c r="V2521" s="67">
        <f>ROUND(IF(P2521=0,0,I2521-H2521-O2521)+IF(L2521=0,0,I2521-H2521-K2521),4)</f>
        <v>0</v>
      </c>
      <c r="W2521" s="67">
        <f>ROUND(+(V2521*60%)*D2521,4)</f>
        <v>0</v>
      </c>
      <c r="X2521" s="148">
        <f>ROUND(+U2521+W2521,4)</f>
        <v>0</v>
      </c>
      <c r="Y2521" s="68"/>
      <c r="Z2521" s="148">
        <f>ROUND(IF(X2521&gt;I2521,X2521,I2521),4)</f>
        <v>0</v>
      </c>
      <c r="AD2521" s="78">
        <f t="shared" si="56"/>
        <v>0</v>
      </c>
      <c r="AE2521" s="78">
        <f t="shared" si="57"/>
        <v>0</v>
      </c>
    </row>
    <row r="2522" spans="1:31" x14ac:dyDescent="0.2">
      <c r="A2522" s="66"/>
      <c r="B2522" s="66"/>
      <c r="C2522" s="66"/>
      <c r="D2522" s="144"/>
      <c r="E2522" s="67"/>
      <c r="F2522" s="67"/>
      <c r="G2522" s="67"/>
      <c r="H2522" s="67">
        <f>ROUND(+E2522+G2522,4)</f>
        <v>0</v>
      </c>
      <c r="I2522" s="67"/>
      <c r="J2522" s="67">
        <f>ROUND(+I2522-H2522,4)</f>
        <v>0</v>
      </c>
      <c r="K2522" s="67">
        <f>ROUND(IF(F2522="alluminio",0,I2522*1.5%),4)</f>
        <v>0</v>
      </c>
      <c r="L2522" s="67">
        <f>ROUND(IF(K2522&lt;J2522,K2522,0),4)</f>
        <v>0</v>
      </c>
      <c r="M2522" s="67">
        <f>ROUND(IF(J2522&gt;K2522,0,J2522),4)</f>
        <v>0</v>
      </c>
      <c r="N2522" s="67">
        <f>ROUND(+L2522*D2522,4)</f>
        <v>0</v>
      </c>
      <c r="O2522" s="67">
        <f>ROUND(IF(F2522="rame",0,+I2522*3%),4)</f>
        <v>0</v>
      </c>
      <c r="P2522" s="67">
        <f>ROUND(IF(O2522&lt;J2522,O2522,0),4)</f>
        <v>0</v>
      </c>
      <c r="Q2522" s="67">
        <f>ROUND(IF(J2522&gt;O2522,0,J2522),4)</f>
        <v>0</v>
      </c>
      <c r="R2522" s="67">
        <f>ROUND(+P2522*D2522,4)</f>
        <v>0</v>
      </c>
      <c r="S2522" s="67">
        <f>ROUND(IF(K2522=0,0,M2522*D2522),4)</f>
        <v>0</v>
      </c>
      <c r="T2522" s="67">
        <f>ROUND(+IF(K2522=0,Q2522*D2522,0),4)</f>
        <v>0</v>
      </c>
      <c r="U2522" s="67">
        <f>ROUND(+N2522+R2522+S2522+T2522,4)</f>
        <v>0</v>
      </c>
      <c r="V2522" s="67">
        <f>ROUND(IF(P2522=0,0,I2522-H2522-O2522)+IF(L2522=0,0,I2522-H2522-K2522),4)</f>
        <v>0</v>
      </c>
      <c r="W2522" s="67">
        <f>ROUND(+(V2522*60%)*D2522,4)</f>
        <v>0</v>
      </c>
      <c r="X2522" s="148">
        <f>ROUND(+U2522+W2522,4)</f>
        <v>0</v>
      </c>
      <c r="Y2522" s="68"/>
      <c r="Z2522" s="148">
        <f>ROUND(IF(X2522&gt;I2522,X2522,I2522),4)</f>
        <v>0</v>
      </c>
      <c r="AD2522" s="78">
        <f t="shared" si="56"/>
        <v>0</v>
      </c>
      <c r="AE2522" s="78">
        <f t="shared" si="57"/>
        <v>0</v>
      </c>
    </row>
    <row r="2523" spans="1:31" x14ac:dyDescent="0.2">
      <c r="A2523" s="66"/>
      <c r="B2523" s="66"/>
      <c r="C2523" s="66"/>
      <c r="D2523" s="144"/>
      <c r="E2523" s="67"/>
      <c r="F2523" s="67"/>
      <c r="G2523" s="67"/>
      <c r="H2523" s="67">
        <f>ROUND(+E2523+G2523,4)</f>
        <v>0</v>
      </c>
      <c r="I2523" s="67"/>
      <c r="J2523" s="67">
        <f>ROUND(+I2523-H2523,4)</f>
        <v>0</v>
      </c>
      <c r="K2523" s="67">
        <f>ROUND(IF(F2523="alluminio",0,I2523*1.5%),4)</f>
        <v>0</v>
      </c>
      <c r="L2523" s="67">
        <f>ROUND(IF(K2523&lt;J2523,K2523,0),4)</f>
        <v>0</v>
      </c>
      <c r="M2523" s="67">
        <f>ROUND(IF(J2523&gt;K2523,0,J2523),4)</f>
        <v>0</v>
      </c>
      <c r="N2523" s="67">
        <f>ROUND(+L2523*D2523,4)</f>
        <v>0</v>
      </c>
      <c r="O2523" s="67">
        <f>ROUND(IF(F2523="rame",0,+I2523*3%),4)</f>
        <v>0</v>
      </c>
      <c r="P2523" s="67">
        <f>ROUND(IF(O2523&lt;J2523,O2523,0),4)</f>
        <v>0</v>
      </c>
      <c r="Q2523" s="67">
        <f>ROUND(IF(J2523&gt;O2523,0,J2523),4)</f>
        <v>0</v>
      </c>
      <c r="R2523" s="67">
        <f>ROUND(+P2523*D2523,4)</f>
        <v>0</v>
      </c>
      <c r="S2523" s="67">
        <f>ROUND(IF(K2523=0,0,M2523*D2523),4)</f>
        <v>0</v>
      </c>
      <c r="T2523" s="67">
        <f>ROUND(+IF(K2523=0,Q2523*D2523,0),4)</f>
        <v>0</v>
      </c>
      <c r="U2523" s="67">
        <f>ROUND(+N2523+R2523+S2523+T2523,4)</f>
        <v>0</v>
      </c>
      <c r="V2523" s="67">
        <f>ROUND(IF(P2523=0,0,I2523-H2523-O2523)+IF(L2523=0,0,I2523-H2523-K2523),4)</f>
        <v>0</v>
      </c>
      <c r="W2523" s="67">
        <f>ROUND(+(V2523*60%)*D2523,4)</f>
        <v>0</v>
      </c>
      <c r="X2523" s="148">
        <f>ROUND(+U2523+W2523,4)</f>
        <v>0</v>
      </c>
      <c r="Y2523" s="68"/>
      <c r="Z2523" s="148">
        <f>ROUND(IF(X2523&gt;I2523,X2523,I2523),4)</f>
        <v>0</v>
      </c>
      <c r="AD2523" s="78">
        <f t="shared" si="56"/>
        <v>0</v>
      </c>
      <c r="AE2523" s="78">
        <f t="shared" si="57"/>
        <v>0</v>
      </c>
    </row>
    <row r="2524" spans="1:31" x14ac:dyDescent="0.2">
      <c r="A2524" s="66"/>
      <c r="B2524" s="66"/>
      <c r="C2524" s="66"/>
      <c r="D2524" s="144"/>
      <c r="E2524" s="67"/>
      <c r="F2524" s="67"/>
      <c r="G2524" s="67"/>
      <c r="H2524" s="67">
        <f>ROUND(+E2524+G2524,4)</f>
        <v>0</v>
      </c>
      <c r="I2524" s="67"/>
      <c r="J2524" s="67">
        <f>ROUND(+I2524-H2524,4)</f>
        <v>0</v>
      </c>
      <c r="K2524" s="67">
        <f>ROUND(IF(F2524="alluminio",0,I2524*1.5%),4)</f>
        <v>0</v>
      </c>
      <c r="L2524" s="67">
        <f>ROUND(IF(K2524&lt;J2524,K2524,0),4)</f>
        <v>0</v>
      </c>
      <c r="M2524" s="67">
        <f>ROUND(IF(J2524&gt;K2524,0,J2524),4)</f>
        <v>0</v>
      </c>
      <c r="N2524" s="67">
        <f>ROUND(+L2524*D2524,4)</f>
        <v>0</v>
      </c>
      <c r="O2524" s="67">
        <f>ROUND(IF(F2524="rame",0,+I2524*3%),4)</f>
        <v>0</v>
      </c>
      <c r="P2524" s="67">
        <f>ROUND(IF(O2524&lt;J2524,O2524,0),4)</f>
        <v>0</v>
      </c>
      <c r="Q2524" s="67">
        <f>ROUND(IF(J2524&gt;O2524,0,J2524),4)</f>
        <v>0</v>
      </c>
      <c r="R2524" s="67">
        <f>ROUND(+P2524*D2524,4)</f>
        <v>0</v>
      </c>
      <c r="S2524" s="67">
        <f>ROUND(IF(K2524=0,0,M2524*D2524),4)</f>
        <v>0</v>
      </c>
      <c r="T2524" s="67">
        <f>ROUND(+IF(K2524=0,Q2524*D2524,0),4)</f>
        <v>0</v>
      </c>
      <c r="U2524" s="67">
        <f>ROUND(+N2524+R2524+S2524+T2524,4)</f>
        <v>0</v>
      </c>
      <c r="V2524" s="67">
        <f>ROUND(IF(P2524=0,0,I2524-H2524-O2524)+IF(L2524=0,0,I2524-H2524-K2524),4)</f>
        <v>0</v>
      </c>
      <c r="W2524" s="67">
        <f>ROUND(+(V2524*60%)*D2524,4)</f>
        <v>0</v>
      </c>
      <c r="X2524" s="148">
        <f>ROUND(+U2524+W2524,4)</f>
        <v>0</v>
      </c>
      <c r="Y2524" s="68"/>
      <c r="Z2524" s="148">
        <f>ROUND(IF(X2524&gt;I2524,X2524,I2524),4)</f>
        <v>0</v>
      </c>
      <c r="AD2524" s="78">
        <f t="shared" si="56"/>
        <v>0</v>
      </c>
      <c r="AE2524" s="78">
        <f t="shared" si="57"/>
        <v>0</v>
      </c>
    </row>
    <row r="2525" spans="1:31" x14ac:dyDescent="0.2">
      <c r="A2525" s="66"/>
      <c r="B2525" s="66"/>
      <c r="C2525" s="66"/>
      <c r="D2525" s="144"/>
      <c r="E2525" s="67"/>
      <c r="F2525" s="67"/>
      <c r="G2525" s="67"/>
      <c r="H2525" s="67">
        <f>ROUND(+E2525+G2525,4)</f>
        <v>0</v>
      </c>
      <c r="I2525" s="67"/>
      <c r="J2525" s="67">
        <f>ROUND(+I2525-H2525,4)</f>
        <v>0</v>
      </c>
      <c r="K2525" s="67">
        <f>ROUND(IF(F2525="alluminio",0,I2525*1.5%),4)</f>
        <v>0</v>
      </c>
      <c r="L2525" s="67">
        <f>ROUND(IF(K2525&lt;J2525,K2525,0),4)</f>
        <v>0</v>
      </c>
      <c r="M2525" s="67">
        <f>ROUND(IF(J2525&gt;K2525,0,J2525),4)</f>
        <v>0</v>
      </c>
      <c r="N2525" s="67">
        <f>ROUND(+L2525*D2525,4)</f>
        <v>0</v>
      </c>
      <c r="O2525" s="67">
        <f>ROUND(IF(F2525="rame",0,+I2525*3%),4)</f>
        <v>0</v>
      </c>
      <c r="P2525" s="67">
        <f>ROUND(IF(O2525&lt;J2525,O2525,0),4)</f>
        <v>0</v>
      </c>
      <c r="Q2525" s="67">
        <f>ROUND(IF(J2525&gt;O2525,0,J2525),4)</f>
        <v>0</v>
      </c>
      <c r="R2525" s="67">
        <f>ROUND(+P2525*D2525,4)</f>
        <v>0</v>
      </c>
      <c r="S2525" s="67">
        <f>ROUND(IF(K2525=0,0,M2525*D2525),4)</f>
        <v>0</v>
      </c>
      <c r="T2525" s="67">
        <f>ROUND(+IF(K2525=0,Q2525*D2525,0),4)</f>
        <v>0</v>
      </c>
      <c r="U2525" s="67">
        <f>ROUND(+N2525+R2525+S2525+T2525,4)</f>
        <v>0</v>
      </c>
      <c r="V2525" s="67">
        <f>ROUND(IF(P2525=0,0,I2525-H2525-O2525)+IF(L2525=0,0,I2525-H2525-K2525),4)</f>
        <v>0</v>
      </c>
      <c r="W2525" s="67">
        <f>ROUND(+(V2525*60%)*D2525,4)</f>
        <v>0</v>
      </c>
      <c r="X2525" s="148">
        <f>ROUND(+U2525+W2525,4)</f>
        <v>0</v>
      </c>
      <c r="Y2525" s="68"/>
      <c r="Z2525" s="148">
        <f>ROUND(IF(X2525&gt;I2525,X2525,I2525),4)</f>
        <v>0</v>
      </c>
      <c r="AD2525" s="78">
        <f t="shared" si="56"/>
        <v>0</v>
      </c>
      <c r="AE2525" s="78">
        <f t="shared" si="57"/>
        <v>0</v>
      </c>
    </row>
    <row r="2526" spans="1:31" x14ac:dyDescent="0.2">
      <c r="A2526" s="66"/>
      <c r="B2526" s="66"/>
      <c r="C2526" s="66"/>
      <c r="D2526" s="144"/>
      <c r="E2526" s="67"/>
      <c r="F2526" s="67"/>
      <c r="G2526" s="67"/>
      <c r="H2526" s="67">
        <f>ROUND(+E2526+G2526,4)</f>
        <v>0</v>
      </c>
      <c r="I2526" s="67"/>
      <c r="J2526" s="67">
        <f>ROUND(+I2526-H2526,4)</f>
        <v>0</v>
      </c>
      <c r="K2526" s="67">
        <f>ROUND(IF(F2526="alluminio",0,I2526*1.5%),4)</f>
        <v>0</v>
      </c>
      <c r="L2526" s="67">
        <f>ROUND(IF(K2526&lt;J2526,K2526,0),4)</f>
        <v>0</v>
      </c>
      <c r="M2526" s="67">
        <f>ROUND(IF(J2526&gt;K2526,0,J2526),4)</f>
        <v>0</v>
      </c>
      <c r="N2526" s="67">
        <f>ROUND(+L2526*D2526,4)</f>
        <v>0</v>
      </c>
      <c r="O2526" s="67">
        <f>ROUND(IF(F2526="rame",0,+I2526*3%),4)</f>
        <v>0</v>
      </c>
      <c r="P2526" s="67">
        <f>ROUND(IF(O2526&lt;J2526,O2526,0),4)</f>
        <v>0</v>
      </c>
      <c r="Q2526" s="67">
        <f>ROUND(IF(J2526&gt;O2526,0,J2526),4)</f>
        <v>0</v>
      </c>
      <c r="R2526" s="67">
        <f>ROUND(+P2526*D2526,4)</f>
        <v>0</v>
      </c>
      <c r="S2526" s="67">
        <f>ROUND(IF(K2526=0,0,M2526*D2526),4)</f>
        <v>0</v>
      </c>
      <c r="T2526" s="67">
        <f>ROUND(+IF(K2526=0,Q2526*D2526,0),4)</f>
        <v>0</v>
      </c>
      <c r="U2526" s="67">
        <f>ROUND(+N2526+R2526+S2526+T2526,4)</f>
        <v>0</v>
      </c>
      <c r="V2526" s="67">
        <f>ROUND(IF(P2526=0,0,I2526-H2526-O2526)+IF(L2526=0,0,I2526-H2526-K2526),4)</f>
        <v>0</v>
      </c>
      <c r="W2526" s="67">
        <f>ROUND(+(V2526*60%)*D2526,4)</f>
        <v>0</v>
      </c>
      <c r="X2526" s="148">
        <f>ROUND(+U2526+W2526,4)</f>
        <v>0</v>
      </c>
      <c r="Y2526" s="68"/>
      <c r="Z2526" s="148">
        <f>ROUND(IF(X2526&gt;I2526,X2526,I2526),4)</f>
        <v>0</v>
      </c>
      <c r="AD2526" s="78">
        <f t="shared" si="56"/>
        <v>0</v>
      </c>
      <c r="AE2526" s="78">
        <f t="shared" si="57"/>
        <v>0</v>
      </c>
    </row>
    <row r="2527" spans="1:31" x14ac:dyDescent="0.2">
      <c r="A2527" s="66"/>
      <c r="B2527" s="66"/>
      <c r="C2527" s="66"/>
      <c r="D2527" s="144"/>
      <c r="E2527" s="67"/>
      <c r="F2527" s="67"/>
      <c r="G2527" s="67"/>
      <c r="H2527" s="67">
        <f>ROUND(+E2527+G2527,4)</f>
        <v>0</v>
      </c>
      <c r="I2527" s="67"/>
      <c r="J2527" s="67">
        <f>ROUND(+I2527-H2527,4)</f>
        <v>0</v>
      </c>
      <c r="K2527" s="67">
        <f>ROUND(IF(F2527="alluminio",0,I2527*1.5%),4)</f>
        <v>0</v>
      </c>
      <c r="L2527" s="67">
        <f>ROUND(IF(K2527&lt;J2527,K2527,0),4)</f>
        <v>0</v>
      </c>
      <c r="M2527" s="67">
        <f>ROUND(IF(J2527&gt;K2527,0,J2527),4)</f>
        <v>0</v>
      </c>
      <c r="N2527" s="67">
        <f>ROUND(+L2527*D2527,4)</f>
        <v>0</v>
      </c>
      <c r="O2527" s="67">
        <f>ROUND(IF(F2527="rame",0,+I2527*3%),4)</f>
        <v>0</v>
      </c>
      <c r="P2527" s="67">
        <f>ROUND(IF(O2527&lt;J2527,O2527,0),4)</f>
        <v>0</v>
      </c>
      <c r="Q2527" s="67">
        <f>ROUND(IF(J2527&gt;O2527,0,J2527),4)</f>
        <v>0</v>
      </c>
      <c r="R2527" s="67">
        <f>ROUND(+P2527*D2527,4)</f>
        <v>0</v>
      </c>
      <c r="S2527" s="67">
        <f>ROUND(IF(K2527=0,0,M2527*D2527),4)</f>
        <v>0</v>
      </c>
      <c r="T2527" s="67">
        <f>ROUND(+IF(K2527=0,Q2527*D2527,0),4)</f>
        <v>0</v>
      </c>
      <c r="U2527" s="67">
        <f>ROUND(+N2527+R2527+S2527+T2527,4)</f>
        <v>0</v>
      </c>
      <c r="V2527" s="67">
        <f>ROUND(IF(P2527=0,0,I2527-H2527-O2527)+IF(L2527=0,0,I2527-H2527-K2527),4)</f>
        <v>0</v>
      </c>
      <c r="W2527" s="67">
        <f>ROUND(+(V2527*60%)*D2527,4)</f>
        <v>0</v>
      </c>
      <c r="X2527" s="148">
        <f>ROUND(+U2527+W2527,4)</f>
        <v>0</v>
      </c>
      <c r="Y2527" s="68"/>
      <c r="Z2527" s="148">
        <f>ROUND(IF(X2527&gt;I2527,X2527,I2527),4)</f>
        <v>0</v>
      </c>
      <c r="AD2527" s="78">
        <f t="shared" si="56"/>
        <v>0</v>
      </c>
      <c r="AE2527" s="78">
        <f t="shared" si="57"/>
        <v>0</v>
      </c>
    </row>
    <row r="2528" spans="1:31" x14ac:dyDescent="0.2">
      <c r="A2528" s="66"/>
      <c r="B2528" s="66"/>
      <c r="C2528" s="66"/>
      <c r="D2528" s="144"/>
      <c r="E2528" s="67"/>
      <c r="F2528" s="67"/>
      <c r="G2528" s="67"/>
      <c r="H2528" s="67">
        <f>ROUND(+E2528+G2528,4)</f>
        <v>0</v>
      </c>
      <c r="I2528" s="67"/>
      <c r="J2528" s="67">
        <f>ROUND(+I2528-H2528,4)</f>
        <v>0</v>
      </c>
      <c r="K2528" s="67">
        <f>ROUND(IF(F2528="alluminio",0,I2528*1.5%),4)</f>
        <v>0</v>
      </c>
      <c r="L2528" s="67">
        <f>ROUND(IF(K2528&lt;J2528,K2528,0),4)</f>
        <v>0</v>
      </c>
      <c r="M2528" s="67">
        <f>ROUND(IF(J2528&gt;K2528,0,J2528),4)</f>
        <v>0</v>
      </c>
      <c r="N2528" s="67">
        <f>ROUND(+L2528*D2528,4)</f>
        <v>0</v>
      </c>
      <c r="O2528" s="67">
        <f>ROUND(IF(F2528="rame",0,+I2528*3%),4)</f>
        <v>0</v>
      </c>
      <c r="P2528" s="67">
        <f>ROUND(IF(O2528&lt;J2528,O2528,0),4)</f>
        <v>0</v>
      </c>
      <c r="Q2528" s="67">
        <f>ROUND(IF(J2528&gt;O2528,0,J2528),4)</f>
        <v>0</v>
      </c>
      <c r="R2528" s="67">
        <f>ROUND(+P2528*D2528,4)</f>
        <v>0</v>
      </c>
      <c r="S2528" s="67">
        <f>ROUND(IF(K2528=0,0,M2528*D2528),4)</f>
        <v>0</v>
      </c>
      <c r="T2528" s="67">
        <f>ROUND(+IF(K2528=0,Q2528*D2528,0),4)</f>
        <v>0</v>
      </c>
      <c r="U2528" s="67">
        <f>ROUND(+N2528+R2528+S2528+T2528,4)</f>
        <v>0</v>
      </c>
      <c r="V2528" s="67">
        <f>ROUND(IF(P2528=0,0,I2528-H2528-O2528)+IF(L2528=0,0,I2528-H2528-K2528),4)</f>
        <v>0</v>
      </c>
      <c r="W2528" s="67">
        <f>ROUND(+(V2528*60%)*D2528,4)</f>
        <v>0</v>
      </c>
      <c r="X2528" s="148">
        <f>ROUND(+U2528+W2528,4)</f>
        <v>0</v>
      </c>
      <c r="Y2528" s="68"/>
      <c r="Z2528" s="148">
        <f>ROUND(IF(X2528&gt;I2528,X2528,I2528),4)</f>
        <v>0</v>
      </c>
      <c r="AD2528" s="78">
        <f t="shared" si="56"/>
        <v>0</v>
      </c>
      <c r="AE2528" s="78">
        <f t="shared" si="57"/>
        <v>0</v>
      </c>
    </row>
    <row r="2529" spans="1:31" x14ac:dyDescent="0.2">
      <c r="A2529" s="66"/>
      <c r="B2529" s="66"/>
      <c r="C2529" s="66"/>
      <c r="D2529" s="144"/>
      <c r="E2529" s="67"/>
      <c r="F2529" s="67"/>
      <c r="G2529" s="67"/>
      <c r="H2529" s="67">
        <f>ROUND(+E2529+G2529,4)</f>
        <v>0</v>
      </c>
      <c r="I2529" s="67"/>
      <c r="J2529" s="67">
        <f>ROUND(+I2529-H2529,4)</f>
        <v>0</v>
      </c>
      <c r="K2529" s="67">
        <f>ROUND(IF(F2529="alluminio",0,I2529*1.5%),4)</f>
        <v>0</v>
      </c>
      <c r="L2529" s="67">
        <f>ROUND(IF(K2529&lt;J2529,K2529,0),4)</f>
        <v>0</v>
      </c>
      <c r="M2529" s="67">
        <f>ROUND(IF(J2529&gt;K2529,0,J2529),4)</f>
        <v>0</v>
      </c>
      <c r="N2529" s="67">
        <f>ROUND(+L2529*D2529,4)</f>
        <v>0</v>
      </c>
      <c r="O2529" s="67">
        <f>ROUND(IF(F2529="rame",0,+I2529*3%),4)</f>
        <v>0</v>
      </c>
      <c r="P2529" s="67">
        <f>ROUND(IF(O2529&lt;J2529,O2529,0),4)</f>
        <v>0</v>
      </c>
      <c r="Q2529" s="67">
        <f>ROUND(IF(J2529&gt;O2529,0,J2529),4)</f>
        <v>0</v>
      </c>
      <c r="R2529" s="67">
        <f>ROUND(+P2529*D2529,4)</f>
        <v>0</v>
      </c>
      <c r="S2529" s="67">
        <f>ROUND(IF(K2529=0,0,M2529*D2529),4)</f>
        <v>0</v>
      </c>
      <c r="T2529" s="67">
        <f>ROUND(+IF(K2529=0,Q2529*D2529,0),4)</f>
        <v>0</v>
      </c>
      <c r="U2529" s="67">
        <f>ROUND(+N2529+R2529+S2529+T2529,4)</f>
        <v>0</v>
      </c>
      <c r="V2529" s="67">
        <f>ROUND(IF(P2529=0,0,I2529-H2529-O2529)+IF(L2529=0,0,I2529-H2529-K2529),4)</f>
        <v>0</v>
      </c>
      <c r="W2529" s="67">
        <f>ROUND(+(V2529*60%)*D2529,4)</f>
        <v>0</v>
      </c>
      <c r="X2529" s="148">
        <f>ROUND(+U2529+W2529,4)</f>
        <v>0</v>
      </c>
      <c r="Y2529" s="68"/>
      <c r="Z2529" s="148">
        <f>ROUND(IF(X2529&gt;I2529,X2529,I2529),4)</f>
        <v>0</v>
      </c>
      <c r="AD2529" s="78">
        <f t="shared" si="56"/>
        <v>0</v>
      </c>
      <c r="AE2529" s="78">
        <f t="shared" si="57"/>
        <v>0</v>
      </c>
    </row>
    <row r="2530" spans="1:31" x14ac:dyDescent="0.2">
      <c r="A2530" s="66"/>
      <c r="B2530" s="66"/>
      <c r="C2530" s="66"/>
      <c r="D2530" s="144"/>
      <c r="E2530" s="67"/>
      <c r="F2530" s="67"/>
      <c r="G2530" s="67"/>
      <c r="H2530" s="67">
        <f>ROUND(+E2530+G2530,4)</f>
        <v>0</v>
      </c>
      <c r="I2530" s="67"/>
      <c r="J2530" s="67">
        <f>ROUND(+I2530-H2530,4)</f>
        <v>0</v>
      </c>
      <c r="K2530" s="67">
        <f>ROUND(IF(F2530="alluminio",0,I2530*1.5%),4)</f>
        <v>0</v>
      </c>
      <c r="L2530" s="67">
        <f>ROUND(IF(K2530&lt;J2530,K2530,0),4)</f>
        <v>0</v>
      </c>
      <c r="M2530" s="67">
        <f>ROUND(IF(J2530&gt;K2530,0,J2530),4)</f>
        <v>0</v>
      </c>
      <c r="N2530" s="67">
        <f>ROUND(+L2530*D2530,4)</f>
        <v>0</v>
      </c>
      <c r="O2530" s="67">
        <f>ROUND(IF(F2530="rame",0,+I2530*3%),4)</f>
        <v>0</v>
      </c>
      <c r="P2530" s="67">
        <f>ROUND(IF(O2530&lt;J2530,O2530,0),4)</f>
        <v>0</v>
      </c>
      <c r="Q2530" s="67">
        <f>ROUND(IF(J2530&gt;O2530,0,J2530),4)</f>
        <v>0</v>
      </c>
      <c r="R2530" s="67">
        <f>ROUND(+P2530*D2530,4)</f>
        <v>0</v>
      </c>
      <c r="S2530" s="67">
        <f>ROUND(IF(K2530=0,0,M2530*D2530),4)</f>
        <v>0</v>
      </c>
      <c r="T2530" s="67">
        <f>ROUND(+IF(K2530=0,Q2530*D2530,0),4)</f>
        <v>0</v>
      </c>
      <c r="U2530" s="67">
        <f>ROUND(+N2530+R2530+S2530+T2530,4)</f>
        <v>0</v>
      </c>
      <c r="V2530" s="67">
        <f>ROUND(IF(P2530=0,0,I2530-H2530-O2530)+IF(L2530=0,0,I2530-H2530-K2530),4)</f>
        <v>0</v>
      </c>
      <c r="W2530" s="67">
        <f>ROUND(+(V2530*60%)*D2530,4)</f>
        <v>0</v>
      </c>
      <c r="X2530" s="148">
        <f>ROUND(+U2530+W2530,4)</f>
        <v>0</v>
      </c>
      <c r="Y2530" s="68"/>
      <c r="Z2530" s="148">
        <f>ROUND(IF(X2530&gt;I2530,X2530,I2530),4)</f>
        <v>0</v>
      </c>
      <c r="AD2530" s="78">
        <f t="shared" si="56"/>
        <v>0</v>
      </c>
      <c r="AE2530" s="78">
        <f t="shared" si="57"/>
        <v>0</v>
      </c>
    </row>
    <row r="2531" spans="1:31" x14ac:dyDescent="0.2">
      <c r="A2531" s="66"/>
      <c r="B2531" s="66"/>
      <c r="C2531" s="66"/>
      <c r="D2531" s="144"/>
      <c r="E2531" s="67"/>
      <c r="F2531" s="67"/>
      <c r="G2531" s="67"/>
      <c r="H2531" s="67">
        <f>ROUND(+E2531+G2531,4)</f>
        <v>0</v>
      </c>
      <c r="I2531" s="67"/>
      <c r="J2531" s="67">
        <f>ROUND(+I2531-H2531,4)</f>
        <v>0</v>
      </c>
      <c r="K2531" s="67">
        <f>ROUND(IF(F2531="alluminio",0,I2531*1.5%),4)</f>
        <v>0</v>
      </c>
      <c r="L2531" s="67">
        <f>ROUND(IF(K2531&lt;J2531,K2531,0),4)</f>
        <v>0</v>
      </c>
      <c r="M2531" s="67">
        <f>ROUND(IF(J2531&gt;K2531,0,J2531),4)</f>
        <v>0</v>
      </c>
      <c r="N2531" s="67">
        <f>ROUND(+L2531*D2531,4)</f>
        <v>0</v>
      </c>
      <c r="O2531" s="67">
        <f>ROUND(IF(F2531="rame",0,+I2531*3%),4)</f>
        <v>0</v>
      </c>
      <c r="P2531" s="67">
        <f>ROUND(IF(O2531&lt;J2531,O2531,0),4)</f>
        <v>0</v>
      </c>
      <c r="Q2531" s="67">
        <f>ROUND(IF(J2531&gt;O2531,0,J2531),4)</f>
        <v>0</v>
      </c>
      <c r="R2531" s="67">
        <f>ROUND(+P2531*D2531,4)</f>
        <v>0</v>
      </c>
      <c r="S2531" s="67">
        <f>ROUND(IF(K2531=0,0,M2531*D2531),4)</f>
        <v>0</v>
      </c>
      <c r="T2531" s="67">
        <f>ROUND(+IF(K2531=0,Q2531*D2531,0),4)</f>
        <v>0</v>
      </c>
      <c r="U2531" s="67">
        <f>ROUND(+N2531+R2531+S2531+T2531,4)</f>
        <v>0</v>
      </c>
      <c r="V2531" s="67">
        <f>ROUND(IF(P2531=0,0,I2531-H2531-O2531)+IF(L2531=0,0,I2531-H2531-K2531),4)</f>
        <v>0</v>
      </c>
      <c r="W2531" s="67">
        <f>ROUND(+(V2531*60%)*D2531,4)</f>
        <v>0</v>
      </c>
      <c r="X2531" s="148">
        <f>ROUND(+U2531+W2531,4)</f>
        <v>0</v>
      </c>
      <c r="Y2531" s="68"/>
      <c r="Z2531" s="148">
        <f>ROUND(IF(X2531&gt;I2531,X2531,I2531),4)</f>
        <v>0</v>
      </c>
      <c r="AD2531" s="78">
        <f t="shared" si="56"/>
        <v>0</v>
      </c>
      <c r="AE2531" s="78">
        <f t="shared" si="57"/>
        <v>0</v>
      </c>
    </row>
    <row r="2532" spans="1:31" x14ac:dyDescent="0.2">
      <c r="A2532" s="66"/>
      <c r="B2532" s="66"/>
      <c r="C2532" s="66"/>
      <c r="D2532" s="144"/>
      <c r="E2532" s="67"/>
      <c r="F2532" s="67"/>
      <c r="G2532" s="67"/>
      <c r="H2532" s="67">
        <f>ROUND(+E2532+G2532,4)</f>
        <v>0</v>
      </c>
      <c r="I2532" s="67"/>
      <c r="J2532" s="67">
        <f>ROUND(+I2532-H2532,4)</f>
        <v>0</v>
      </c>
      <c r="K2532" s="67">
        <f>ROUND(IF(F2532="alluminio",0,I2532*1.5%),4)</f>
        <v>0</v>
      </c>
      <c r="L2532" s="67">
        <f>ROUND(IF(K2532&lt;J2532,K2532,0),4)</f>
        <v>0</v>
      </c>
      <c r="M2532" s="67">
        <f>ROUND(IF(J2532&gt;K2532,0,J2532),4)</f>
        <v>0</v>
      </c>
      <c r="N2532" s="67">
        <f>ROUND(+L2532*D2532,4)</f>
        <v>0</v>
      </c>
      <c r="O2532" s="67">
        <f>ROUND(IF(F2532="rame",0,+I2532*3%),4)</f>
        <v>0</v>
      </c>
      <c r="P2532" s="67">
        <f>ROUND(IF(O2532&lt;J2532,O2532,0),4)</f>
        <v>0</v>
      </c>
      <c r="Q2532" s="67">
        <f>ROUND(IF(J2532&gt;O2532,0,J2532),4)</f>
        <v>0</v>
      </c>
      <c r="R2532" s="67">
        <f>ROUND(+P2532*D2532,4)</f>
        <v>0</v>
      </c>
      <c r="S2532" s="67">
        <f>ROUND(IF(K2532=0,0,M2532*D2532),4)</f>
        <v>0</v>
      </c>
      <c r="T2532" s="67">
        <f>ROUND(+IF(K2532=0,Q2532*D2532,0),4)</f>
        <v>0</v>
      </c>
      <c r="U2532" s="67">
        <f>ROUND(+N2532+R2532+S2532+T2532,4)</f>
        <v>0</v>
      </c>
      <c r="V2532" s="67">
        <f>ROUND(IF(P2532=0,0,I2532-H2532-O2532)+IF(L2532=0,0,I2532-H2532-K2532),4)</f>
        <v>0</v>
      </c>
      <c r="W2532" s="67">
        <f>ROUND(+(V2532*60%)*D2532,4)</f>
        <v>0</v>
      </c>
      <c r="X2532" s="148">
        <f>ROUND(+U2532+W2532,4)</f>
        <v>0</v>
      </c>
      <c r="Y2532" s="68"/>
      <c r="Z2532" s="148">
        <f>ROUND(IF(X2532&gt;I2532,X2532,I2532),4)</f>
        <v>0</v>
      </c>
      <c r="AD2532" s="78">
        <f t="shared" si="56"/>
        <v>0</v>
      </c>
      <c r="AE2532" s="78">
        <f t="shared" si="57"/>
        <v>0</v>
      </c>
    </row>
    <row r="2533" spans="1:31" x14ac:dyDescent="0.2">
      <c r="A2533" s="66"/>
      <c r="B2533" s="66"/>
      <c r="C2533" s="66"/>
      <c r="D2533" s="144"/>
      <c r="E2533" s="67"/>
      <c r="F2533" s="67"/>
      <c r="G2533" s="67"/>
      <c r="H2533" s="67">
        <f>ROUND(+E2533+G2533,4)</f>
        <v>0</v>
      </c>
      <c r="I2533" s="67"/>
      <c r="J2533" s="67">
        <f>ROUND(+I2533-H2533,4)</f>
        <v>0</v>
      </c>
      <c r="K2533" s="67">
        <f>ROUND(IF(F2533="alluminio",0,I2533*1.5%),4)</f>
        <v>0</v>
      </c>
      <c r="L2533" s="67">
        <f>ROUND(IF(K2533&lt;J2533,K2533,0),4)</f>
        <v>0</v>
      </c>
      <c r="M2533" s="67">
        <f>ROUND(IF(J2533&gt;K2533,0,J2533),4)</f>
        <v>0</v>
      </c>
      <c r="N2533" s="67">
        <f>ROUND(+L2533*D2533,4)</f>
        <v>0</v>
      </c>
      <c r="O2533" s="67">
        <f>ROUND(IF(F2533="rame",0,+I2533*3%),4)</f>
        <v>0</v>
      </c>
      <c r="P2533" s="67">
        <f>ROUND(IF(O2533&lt;J2533,O2533,0),4)</f>
        <v>0</v>
      </c>
      <c r="Q2533" s="67">
        <f>ROUND(IF(J2533&gt;O2533,0,J2533),4)</f>
        <v>0</v>
      </c>
      <c r="R2533" s="67">
        <f>ROUND(+P2533*D2533,4)</f>
        <v>0</v>
      </c>
      <c r="S2533" s="67">
        <f>ROUND(IF(K2533=0,0,M2533*D2533),4)</f>
        <v>0</v>
      </c>
      <c r="T2533" s="67">
        <f>ROUND(+IF(K2533=0,Q2533*D2533,0),4)</f>
        <v>0</v>
      </c>
      <c r="U2533" s="67">
        <f>ROUND(+N2533+R2533+S2533+T2533,4)</f>
        <v>0</v>
      </c>
      <c r="V2533" s="67">
        <f>ROUND(IF(P2533=0,0,I2533-H2533-O2533)+IF(L2533=0,0,I2533-H2533-K2533),4)</f>
        <v>0</v>
      </c>
      <c r="W2533" s="67">
        <f>ROUND(+(V2533*60%)*D2533,4)</f>
        <v>0</v>
      </c>
      <c r="X2533" s="148">
        <f>ROUND(+U2533+W2533,4)</f>
        <v>0</v>
      </c>
      <c r="Y2533" s="68"/>
      <c r="Z2533" s="148">
        <f>ROUND(IF(X2533&gt;I2533,X2533,I2533),4)</f>
        <v>0</v>
      </c>
      <c r="AD2533" s="78">
        <f t="shared" si="56"/>
        <v>0</v>
      </c>
      <c r="AE2533" s="78">
        <f t="shared" si="57"/>
        <v>0</v>
      </c>
    </row>
    <row r="2534" spans="1:31" x14ac:dyDescent="0.2">
      <c r="A2534" s="66"/>
      <c r="B2534" s="66"/>
      <c r="C2534" s="66"/>
      <c r="D2534" s="144"/>
      <c r="E2534" s="67"/>
      <c r="F2534" s="67"/>
      <c r="G2534" s="67"/>
      <c r="H2534" s="67">
        <f>ROUND(+E2534+G2534,4)</f>
        <v>0</v>
      </c>
      <c r="I2534" s="67"/>
      <c r="J2534" s="67">
        <f>ROUND(+I2534-H2534,4)</f>
        <v>0</v>
      </c>
      <c r="K2534" s="67">
        <f>ROUND(IF(F2534="alluminio",0,I2534*1.5%),4)</f>
        <v>0</v>
      </c>
      <c r="L2534" s="67">
        <f>ROUND(IF(K2534&lt;J2534,K2534,0),4)</f>
        <v>0</v>
      </c>
      <c r="M2534" s="67">
        <f>ROUND(IF(J2534&gt;K2534,0,J2534),4)</f>
        <v>0</v>
      </c>
      <c r="N2534" s="67">
        <f>ROUND(+L2534*D2534,4)</f>
        <v>0</v>
      </c>
      <c r="O2534" s="67">
        <f>ROUND(IF(F2534="rame",0,+I2534*3%),4)</f>
        <v>0</v>
      </c>
      <c r="P2534" s="67">
        <f>ROUND(IF(O2534&lt;J2534,O2534,0),4)</f>
        <v>0</v>
      </c>
      <c r="Q2534" s="67">
        <f>ROUND(IF(J2534&gt;O2534,0,J2534),4)</f>
        <v>0</v>
      </c>
      <c r="R2534" s="67">
        <f>ROUND(+P2534*D2534,4)</f>
        <v>0</v>
      </c>
      <c r="S2534" s="67">
        <f>ROUND(IF(K2534=0,0,M2534*D2534),4)</f>
        <v>0</v>
      </c>
      <c r="T2534" s="67">
        <f>ROUND(+IF(K2534=0,Q2534*D2534,0),4)</f>
        <v>0</v>
      </c>
      <c r="U2534" s="67">
        <f>ROUND(+N2534+R2534+S2534+T2534,4)</f>
        <v>0</v>
      </c>
      <c r="V2534" s="67">
        <f>ROUND(IF(P2534=0,0,I2534-H2534-O2534)+IF(L2534=0,0,I2534-H2534-K2534),4)</f>
        <v>0</v>
      </c>
      <c r="W2534" s="67">
        <f>ROUND(+(V2534*60%)*D2534,4)</f>
        <v>0</v>
      </c>
      <c r="X2534" s="148">
        <f>ROUND(+U2534+W2534,4)</f>
        <v>0</v>
      </c>
      <c r="Y2534" s="68"/>
      <c r="Z2534" s="148">
        <f>ROUND(IF(X2534&gt;I2534,X2534,I2534),4)</f>
        <v>0</v>
      </c>
      <c r="AD2534" s="78">
        <f t="shared" si="56"/>
        <v>0</v>
      </c>
      <c r="AE2534" s="78">
        <f t="shared" si="57"/>
        <v>0</v>
      </c>
    </row>
    <row r="2535" spans="1:31" x14ac:dyDescent="0.2">
      <c r="A2535" s="66"/>
      <c r="B2535" s="66"/>
      <c r="C2535" s="66"/>
      <c r="D2535" s="144"/>
      <c r="E2535" s="67"/>
      <c r="F2535" s="67"/>
      <c r="G2535" s="67"/>
      <c r="H2535" s="67">
        <f>ROUND(+E2535+G2535,4)</f>
        <v>0</v>
      </c>
      <c r="I2535" s="67"/>
      <c r="J2535" s="67">
        <f>ROUND(+I2535-H2535,4)</f>
        <v>0</v>
      </c>
      <c r="K2535" s="67">
        <f>ROUND(IF(F2535="alluminio",0,I2535*1.5%),4)</f>
        <v>0</v>
      </c>
      <c r="L2535" s="67">
        <f>ROUND(IF(K2535&lt;J2535,K2535,0),4)</f>
        <v>0</v>
      </c>
      <c r="M2535" s="67">
        <f>ROUND(IF(J2535&gt;K2535,0,J2535),4)</f>
        <v>0</v>
      </c>
      <c r="N2535" s="67">
        <f>ROUND(+L2535*D2535,4)</f>
        <v>0</v>
      </c>
      <c r="O2535" s="67">
        <f>ROUND(IF(F2535="rame",0,+I2535*3%),4)</f>
        <v>0</v>
      </c>
      <c r="P2535" s="67">
        <f>ROUND(IF(O2535&lt;J2535,O2535,0),4)</f>
        <v>0</v>
      </c>
      <c r="Q2535" s="67">
        <f>ROUND(IF(J2535&gt;O2535,0,J2535),4)</f>
        <v>0</v>
      </c>
      <c r="R2535" s="67">
        <f>ROUND(+P2535*D2535,4)</f>
        <v>0</v>
      </c>
      <c r="S2535" s="67">
        <f>ROUND(IF(K2535=0,0,M2535*D2535),4)</f>
        <v>0</v>
      </c>
      <c r="T2535" s="67">
        <f>ROUND(+IF(K2535=0,Q2535*D2535,0),4)</f>
        <v>0</v>
      </c>
      <c r="U2535" s="67">
        <f>ROUND(+N2535+R2535+S2535+T2535,4)</f>
        <v>0</v>
      </c>
      <c r="V2535" s="67">
        <f>ROUND(IF(P2535=0,0,I2535-H2535-O2535)+IF(L2535=0,0,I2535-H2535-K2535),4)</f>
        <v>0</v>
      </c>
      <c r="W2535" s="67">
        <f>ROUND(+(V2535*60%)*D2535,4)</f>
        <v>0</v>
      </c>
      <c r="X2535" s="148">
        <f>ROUND(+U2535+W2535,4)</f>
        <v>0</v>
      </c>
      <c r="Y2535" s="68"/>
      <c r="Z2535" s="148">
        <f>ROUND(IF(X2535&gt;I2535,X2535,I2535),4)</f>
        <v>0</v>
      </c>
      <c r="AD2535" s="78">
        <f t="shared" si="56"/>
        <v>0</v>
      </c>
      <c r="AE2535" s="78">
        <f t="shared" si="57"/>
        <v>0</v>
      </c>
    </row>
    <row r="2536" spans="1:31" x14ac:dyDescent="0.2">
      <c r="A2536" s="66"/>
      <c r="B2536" s="66"/>
      <c r="C2536" s="66"/>
      <c r="D2536" s="144"/>
      <c r="E2536" s="67"/>
      <c r="F2536" s="67"/>
      <c r="G2536" s="67"/>
      <c r="H2536" s="67">
        <f>ROUND(+E2536+G2536,4)</f>
        <v>0</v>
      </c>
      <c r="I2536" s="67"/>
      <c r="J2536" s="67">
        <f>ROUND(+I2536-H2536,4)</f>
        <v>0</v>
      </c>
      <c r="K2536" s="67">
        <f>ROUND(IF(F2536="alluminio",0,I2536*1.5%),4)</f>
        <v>0</v>
      </c>
      <c r="L2536" s="67">
        <f>ROUND(IF(K2536&lt;J2536,K2536,0),4)</f>
        <v>0</v>
      </c>
      <c r="M2536" s="67">
        <f>ROUND(IF(J2536&gt;K2536,0,J2536),4)</f>
        <v>0</v>
      </c>
      <c r="N2536" s="67">
        <f>ROUND(+L2536*D2536,4)</f>
        <v>0</v>
      </c>
      <c r="O2536" s="67">
        <f>ROUND(IF(F2536="rame",0,+I2536*3%),4)</f>
        <v>0</v>
      </c>
      <c r="P2536" s="67">
        <f>ROUND(IF(O2536&lt;J2536,O2536,0),4)</f>
        <v>0</v>
      </c>
      <c r="Q2536" s="67">
        <f>ROUND(IF(J2536&gt;O2536,0,J2536),4)</f>
        <v>0</v>
      </c>
      <c r="R2536" s="67">
        <f>ROUND(+P2536*D2536,4)</f>
        <v>0</v>
      </c>
      <c r="S2536" s="67">
        <f>ROUND(IF(K2536=0,0,M2536*D2536),4)</f>
        <v>0</v>
      </c>
      <c r="T2536" s="67">
        <f>ROUND(+IF(K2536=0,Q2536*D2536,0),4)</f>
        <v>0</v>
      </c>
      <c r="U2536" s="67">
        <f>ROUND(+N2536+R2536+S2536+T2536,4)</f>
        <v>0</v>
      </c>
      <c r="V2536" s="67">
        <f>ROUND(IF(P2536=0,0,I2536-H2536-O2536)+IF(L2536=0,0,I2536-H2536-K2536),4)</f>
        <v>0</v>
      </c>
      <c r="W2536" s="67">
        <f>ROUND(+(V2536*60%)*D2536,4)</f>
        <v>0</v>
      </c>
      <c r="X2536" s="148">
        <f>ROUND(+U2536+W2536,4)</f>
        <v>0</v>
      </c>
      <c r="Y2536" s="68"/>
      <c r="Z2536" s="148">
        <f>ROUND(IF(X2536&gt;I2536,X2536,I2536),4)</f>
        <v>0</v>
      </c>
      <c r="AD2536" s="78">
        <f t="shared" si="56"/>
        <v>0</v>
      </c>
      <c r="AE2536" s="78">
        <f t="shared" si="57"/>
        <v>0</v>
      </c>
    </row>
    <row r="2537" spans="1:31" x14ac:dyDescent="0.2">
      <c r="A2537" s="66"/>
      <c r="B2537" s="66"/>
      <c r="C2537" s="66"/>
      <c r="D2537" s="144"/>
      <c r="E2537" s="67"/>
      <c r="F2537" s="67"/>
      <c r="G2537" s="67"/>
      <c r="H2537" s="67">
        <f>ROUND(+E2537+G2537,4)</f>
        <v>0</v>
      </c>
      <c r="I2537" s="67"/>
      <c r="J2537" s="67">
        <f>ROUND(+I2537-H2537,4)</f>
        <v>0</v>
      </c>
      <c r="K2537" s="67">
        <f>ROUND(IF(F2537="alluminio",0,I2537*1.5%),4)</f>
        <v>0</v>
      </c>
      <c r="L2537" s="67">
        <f>ROUND(IF(K2537&lt;J2537,K2537,0),4)</f>
        <v>0</v>
      </c>
      <c r="M2537" s="67">
        <f>ROUND(IF(J2537&gt;K2537,0,J2537),4)</f>
        <v>0</v>
      </c>
      <c r="N2537" s="67">
        <f>ROUND(+L2537*D2537,4)</f>
        <v>0</v>
      </c>
      <c r="O2537" s="67">
        <f>ROUND(IF(F2537="rame",0,+I2537*3%),4)</f>
        <v>0</v>
      </c>
      <c r="P2537" s="67">
        <f>ROUND(IF(O2537&lt;J2537,O2537,0),4)</f>
        <v>0</v>
      </c>
      <c r="Q2537" s="67">
        <f>ROUND(IF(J2537&gt;O2537,0,J2537),4)</f>
        <v>0</v>
      </c>
      <c r="R2537" s="67">
        <f>ROUND(+P2537*D2537,4)</f>
        <v>0</v>
      </c>
      <c r="S2537" s="67">
        <f>ROUND(IF(K2537=0,0,M2537*D2537),4)</f>
        <v>0</v>
      </c>
      <c r="T2537" s="67">
        <f>ROUND(+IF(K2537=0,Q2537*D2537,0),4)</f>
        <v>0</v>
      </c>
      <c r="U2537" s="67">
        <f>ROUND(+N2537+R2537+S2537+T2537,4)</f>
        <v>0</v>
      </c>
      <c r="V2537" s="67">
        <f>ROUND(IF(P2537=0,0,I2537-H2537-O2537)+IF(L2537=0,0,I2537-H2537-K2537),4)</f>
        <v>0</v>
      </c>
      <c r="W2537" s="67">
        <f>ROUND(+(V2537*60%)*D2537,4)</f>
        <v>0</v>
      </c>
      <c r="X2537" s="148">
        <f>ROUND(+U2537+W2537,4)</f>
        <v>0</v>
      </c>
      <c r="Y2537" s="68"/>
      <c r="Z2537" s="148">
        <f>ROUND(IF(X2537&gt;I2537,X2537,I2537),4)</f>
        <v>0</v>
      </c>
      <c r="AD2537" s="78">
        <f t="shared" si="56"/>
        <v>0</v>
      </c>
      <c r="AE2537" s="78">
        <f t="shared" si="57"/>
        <v>0</v>
      </c>
    </row>
    <row r="2538" spans="1:31" x14ac:dyDescent="0.2">
      <c r="A2538" s="66"/>
      <c r="B2538" s="66"/>
      <c r="C2538" s="66"/>
      <c r="D2538" s="144"/>
      <c r="E2538" s="67"/>
      <c r="F2538" s="67"/>
      <c r="G2538" s="67"/>
      <c r="H2538" s="67">
        <f>ROUND(+E2538+G2538,4)</f>
        <v>0</v>
      </c>
      <c r="I2538" s="67"/>
      <c r="J2538" s="67">
        <f>ROUND(+I2538-H2538,4)</f>
        <v>0</v>
      </c>
      <c r="K2538" s="67">
        <f>ROUND(IF(F2538="alluminio",0,I2538*1.5%),4)</f>
        <v>0</v>
      </c>
      <c r="L2538" s="67">
        <f>ROUND(IF(K2538&lt;J2538,K2538,0),4)</f>
        <v>0</v>
      </c>
      <c r="M2538" s="67">
        <f>ROUND(IF(J2538&gt;K2538,0,J2538),4)</f>
        <v>0</v>
      </c>
      <c r="N2538" s="67">
        <f>ROUND(+L2538*D2538,4)</f>
        <v>0</v>
      </c>
      <c r="O2538" s="67">
        <f>ROUND(IF(F2538="rame",0,+I2538*3%),4)</f>
        <v>0</v>
      </c>
      <c r="P2538" s="67">
        <f>ROUND(IF(O2538&lt;J2538,O2538,0),4)</f>
        <v>0</v>
      </c>
      <c r="Q2538" s="67">
        <f>ROUND(IF(J2538&gt;O2538,0,J2538),4)</f>
        <v>0</v>
      </c>
      <c r="R2538" s="67">
        <f>ROUND(+P2538*D2538,4)</f>
        <v>0</v>
      </c>
      <c r="S2538" s="67">
        <f>ROUND(IF(K2538=0,0,M2538*D2538),4)</f>
        <v>0</v>
      </c>
      <c r="T2538" s="67">
        <f>ROUND(+IF(K2538=0,Q2538*D2538,0),4)</f>
        <v>0</v>
      </c>
      <c r="U2538" s="67">
        <f>ROUND(+N2538+R2538+S2538+T2538,4)</f>
        <v>0</v>
      </c>
      <c r="V2538" s="67">
        <f>ROUND(IF(P2538=0,0,I2538-H2538-O2538)+IF(L2538=0,0,I2538-H2538-K2538),4)</f>
        <v>0</v>
      </c>
      <c r="W2538" s="67">
        <f>ROUND(+(V2538*60%)*D2538,4)</f>
        <v>0</v>
      </c>
      <c r="X2538" s="148">
        <f>ROUND(+U2538+W2538,4)</f>
        <v>0</v>
      </c>
      <c r="Y2538" s="68"/>
      <c r="Z2538" s="148">
        <f>ROUND(IF(X2538&gt;I2538,X2538,I2538),4)</f>
        <v>0</v>
      </c>
      <c r="AD2538" s="78">
        <f t="shared" si="56"/>
        <v>0</v>
      </c>
      <c r="AE2538" s="78">
        <f t="shared" si="57"/>
        <v>0</v>
      </c>
    </row>
    <row r="2539" spans="1:31" x14ac:dyDescent="0.2">
      <c r="A2539" s="66"/>
      <c r="B2539" s="66"/>
      <c r="C2539" s="66"/>
      <c r="D2539" s="144"/>
      <c r="E2539" s="67"/>
      <c r="F2539" s="67"/>
      <c r="G2539" s="67"/>
      <c r="H2539" s="67">
        <f>ROUND(+E2539+G2539,4)</f>
        <v>0</v>
      </c>
      <c r="I2539" s="67"/>
      <c r="J2539" s="67">
        <f>ROUND(+I2539-H2539,4)</f>
        <v>0</v>
      </c>
      <c r="K2539" s="67">
        <f>ROUND(IF(F2539="alluminio",0,I2539*1.5%),4)</f>
        <v>0</v>
      </c>
      <c r="L2539" s="67">
        <f>ROUND(IF(K2539&lt;J2539,K2539,0),4)</f>
        <v>0</v>
      </c>
      <c r="M2539" s="67">
        <f>ROUND(IF(J2539&gt;K2539,0,J2539),4)</f>
        <v>0</v>
      </c>
      <c r="N2539" s="67">
        <f>ROUND(+L2539*D2539,4)</f>
        <v>0</v>
      </c>
      <c r="O2539" s="67">
        <f>ROUND(IF(F2539="rame",0,+I2539*3%),4)</f>
        <v>0</v>
      </c>
      <c r="P2539" s="67">
        <f>ROUND(IF(O2539&lt;J2539,O2539,0),4)</f>
        <v>0</v>
      </c>
      <c r="Q2539" s="67">
        <f>ROUND(IF(J2539&gt;O2539,0,J2539),4)</f>
        <v>0</v>
      </c>
      <c r="R2539" s="67">
        <f>ROUND(+P2539*D2539,4)</f>
        <v>0</v>
      </c>
      <c r="S2539" s="67">
        <f>ROUND(IF(K2539=0,0,M2539*D2539),4)</f>
        <v>0</v>
      </c>
      <c r="T2539" s="67">
        <f>ROUND(+IF(K2539=0,Q2539*D2539,0),4)</f>
        <v>0</v>
      </c>
      <c r="U2539" s="67">
        <f>ROUND(+N2539+R2539+S2539+T2539,4)</f>
        <v>0</v>
      </c>
      <c r="V2539" s="67">
        <f>ROUND(IF(P2539=0,0,I2539-H2539-O2539)+IF(L2539=0,0,I2539-H2539-K2539),4)</f>
        <v>0</v>
      </c>
      <c r="W2539" s="67">
        <f>ROUND(+(V2539*60%)*D2539,4)</f>
        <v>0</v>
      </c>
      <c r="X2539" s="148">
        <f>ROUND(+U2539+W2539,4)</f>
        <v>0</v>
      </c>
      <c r="Y2539" s="68"/>
      <c r="Z2539" s="148">
        <f>ROUND(IF(X2539&gt;I2539,X2539,I2539),4)</f>
        <v>0</v>
      </c>
      <c r="AD2539" s="78">
        <f t="shared" si="56"/>
        <v>0</v>
      </c>
      <c r="AE2539" s="78">
        <f t="shared" si="57"/>
        <v>0</v>
      </c>
    </row>
    <row r="2540" spans="1:31" x14ac:dyDescent="0.2">
      <c r="A2540" s="66"/>
      <c r="B2540" s="66"/>
      <c r="C2540" s="66"/>
      <c r="D2540" s="144"/>
      <c r="E2540" s="67"/>
      <c r="F2540" s="67"/>
      <c r="G2540" s="67"/>
      <c r="H2540" s="67">
        <f>ROUND(+E2540+G2540,4)</f>
        <v>0</v>
      </c>
      <c r="I2540" s="67"/>
      <c r="J2540" s="67">
        <f>ROUND(+I2540-H2540,4)</f>
        <v>0</v>
      </c>
      <c r="K2540" s="67">
        <f>ROUND(IF(F2540="alluminio",0,I2540*1.5%),4)</f>
        <v>0</v>
      </c>
      <c r="L2540" s="67">
        <f>ROUND(IF(K2540&lt;J2540,K2540,0),4)</f>
        <v>0</v>
      </c>
      <c r="M2540" s="67">
        <f>ROUND(IF(J2540&gt;K2540,0,J2540),4)</f>
        <v>0</v>
      </c>
      <c r="N2540" s="67">
        <f>ROUND(+L2540*D2540,4)</f>
        <v>0</v>
      </c>
      <c r="O2540" s="67">
        <f>ROUND(IF(F2540="rame",0,+I2540*3%),4)</f>
        <v>0</v>
      </c>
      <c r="P2540" s="67">
        <f>ROUND(IF(O2540&lt;J2540,O2540,0),4)</f>
        <v>0</v>
      </c>
      <c r="Q2540" s="67">
        <f>ROUND(IF(J2540&gt;O2540,0,J2540),4)</f>
        <v>0</v>
      </c>
      <c r="R2540" s="67">
        <f>ROUND(+P2540*D2540,4)</f>
        <v>0</v>
      </c>
      <c r="S2540" s="67">
        <f>ROUND(IF(K2540=0,0,M2540*D2540),4)</f>
        <v>0</v>
      </c>
      <c r="T2540" s="67">
        <f>ROUND(+IF(K2540=0,Q2540*D2540,0),4)</f>
        <v>0</v>
      </c>
      <c r="U2540" s="67">
        <f>ROUND(+N2540+R2540+S2540+T2540,4)</f>
        <v>0</v>
      </c>
      <c r="V2540" s="67">
        <f>ROUND(IF(P2540=0,0,I2540-H2540-O2540)+IF(L2540=0,0,I2540-H2540-K2540),4)</f>
        <v>0</v>
      </c>
      <c r="W2540" s="67">
        <f>ROUND(+(V2540*60%)*D2540,4)</f>
        <v>0</v>
      </c>
      <c r="X2540" s="148">
        <f>ROUND(+U2540+W2540,4)</f>
        <v>0</v>
      </c>
      <c r="Y2540" s="68"/>
      <c r="Z2540" s="148">
        <f>ROUND(IF(X2540&gt;I2540,X2540,I2540),4)</f>
        <v>0</v>
      </c>
      <c r="AD2540" s="78">
        <f t="shared" si="56"/>
        <v>0</v>
      </c>
      <c r="AE2540" s="78">
        <f t="shared" si="57"/>
        <v>0</v>
      </c>
    </row>
    <row r="2541" spans="1:31" x14ac:dyDescent="0.2">
      <c r="A2541" s="66"/>
      <c r="B2541" s="66"/>
      <c r="C2541" s="66"/>
      <c r="D2541" s="144"/>
      <c r="E2541" s="67"/>
      <c r="F2541" s="67"/>
      <c r="G2541" s="67"/>
      <c r="H2541" s="67">
        <f>ROUND(+E2541+G2541,4)</f>
        <v>0</v>
      </c>
      <c r="I2541" s="67"/>
      <c r="J2541" s="67">
        <f>ROUND(+I2541-H2541,4)</f>
        <v>0</v>
      </c>
      <c r="K2541" s="67">
        <f>ROUND(IF(F2541="alluminio",0,I2541*1.5%),4)</f>
        <v>0</v>
      </c>
      <c r="L2541" s="67">
        <f>ROUND(IF(K2541&lt;J2541,K2541,0),4)</f>
        <v>0</v>
      </c>
      <c r="M2541" s="67">
        <f>ROUND(IF(J2541&gt;K2541,0,J2541),4)</f>
        <v>0</v>
      </c>
      <c r="N2541" s="67">
        <f>ROUND(+L2541*D2541,4)</f>
        <v>0</v>
      </c>
      <c r="O2541" s="67">
        <f>ROUND(IF(F2541="rame",0,+I2541*3%),4)</f>
        <v>0</v>
      </c>
      <c r="P2541" s="67">
        <f>ROUND(IF(O2541&lt;J2541,O2541,0),4)</f>
        <v>0</v>
      </c>
      <c r="Q2541" s="67">
        <f>ROUND(IF(J2541&gt;O2541,0,J2541),4)</f>
        <v>0</v>
      </c>
      <c r="R2541" s="67">
        <f>ROUND(+P2541*D2541,4)</f>
        <v>0</v>
      </c>
      <c r="S2541" s="67">
        <f>ROUND(IF(K2541=0,0,M2541*D2541),4)</f>
        <v>0</v>
      </c>
      <c r="T2541" s="67">
        <f>ROUND(+IF(K2541=0,Q2541*D2541,0),4)</f>
        <v>0</v>
      </c>
      <c r="U2541" s="67">
        <f>ROUND(+N2541+R2541+S2541+T2541,4)</f>
        <v>0</v>
      </c>
      <c r="V2541" s="67">
        <f>ROUND(IF(P2541=0,0,I2541-H2541-O2541)+IF(L2541=0,0,I2541-H2541-K2541),4)</f>
        <v>0</v>
      </c>
      <c r="W2541" s="67">
        <f>ROUND(+(V2541*60%)*D2541,4)</f>
        <v>0</v>
      </c>
      <c r="X2541" s="148">
        <f>ROUND(+U2541+W2541,4)</f>
        <v>0</v>
      </c>
      <c r="Y2541" s="68"/>
      <c r="Z2541" s="148">
        <f>ROUND(IF(X2541&gt;I2541,X2541,I2541),4)</f>
        <v>0</v>
      </c>
      <c r="AD2541" s="78">
        <f t="shared" si="56"/>
        <v>0</v>
      </c>
      <c r="AE2541" s="78">
        <f t="shared" si="57"/>
        <v>0</v>
      </c>
    </row>
    <row r="2542" spans="1:31" x14ac:dyDescent="0.2">
      <c r="A2542" s="66"/>
      <c r="B2542" s="66"/>
      <c r="C2542" s="66"/>
      <c r="D2542" s="144"/>
      <c r="E2542" s="67"/>
      <c r="F2542" s="67"/>
      <c r="G2542" s="67"/>
      <c r="H2542" s="67">
        <f>ROUND(+E2542+G2542,4)</f>
        <v>0</v>
      </c>
      <c r="I2542" s="67"/>
      <c r="J2542" s="67">
        <f>ROUND(+I2542-H2542,4)</f>
        <v>0</v>
      </c>
      <c r="K2542" s="67">
        <f>ROUND(IF(F2542="alluminio",0,I2542*1.5%),4)</f>
        <v>0</v>
      </c>
      <c r="L2542" s="67">
        <f>ROUND(IF(K2542&lt;J2542,K2542,0),4)</f>
        <v>0</v>
      </c>
      <c r="M2542" s="67">
        <f>ROUND(IF(J2542&gt;K2542,0,J2542),4)</f>
        <v>0</v>
      </c>
      <c r="N2542" s="67">
        <f>ROUND(+L2542*D2542,4)</f>
        <v>0</v>
      </c>
      <c r="O2542" s="67">
        <f>ROUND(IF(F2542="rame",0,+I2542*3%),4)</f>
        <v>0</v>
      </c>
      <c r="P2542" s="67">
        <f>ROUND(IF(O2542&lt;J2542,O2542,0),4)</f>
        <v>0</v>
      </c>
      <c r="Q2542" s="67">
        <f>ROUND(IF(J2542&gt;O2542,0,J2542),4)</f>
        <v>0</v>
      </c>
      <c r="R2542" s="67">
        <f>ROUND(+P2542*D2542,4)</f>
        <v>0</v>
      </c>
      <c r="S2542" s="67">
        <f>ROUND(IF(K2542=0,0,M2542*D2542),4)</f>
        <v>0</v>
      </c>
      <c r="T2542" s="67">
        <f>ROUND(+IF(K2542=0,Q2542*D2542,0),4)</f>
        <v>0</v>
      </c>
      <c r="U2542" s="67">
        <f>ROUND(+N2542+R2542+S2542+T2542,4)</f>
        <v>0</v>
      </c>
      <c r="V2542" s="67">
        <f>ROUND(IF(P2542=0,0,I2542-H2542-O2542)+IF(L2542=0,0,I2542-H2542-K2542),4)</f>
        <v>0</v>
      </c>
      <c r="W2542" s="67">
        <f>ROUND(+(V2542*60%)*D2542,4)</f>
        <v>0</v>
      </c>
      <c r="X2542" s="148">
        <f>ROUND(+U2542+W2542,4)</f>
        <v>0</v>
      </c>
      <c r="Y2542" s="68"/>
      <c r="Z2542" s="148">
        <f>ROUND(IF(X2542&gt;I2542,X2542,I2542),4)</f>
        <v>0</v>
      </c>
      <c r="AD2542" s="78">
        <f t="shared" si="56"/>
        <v>0</v>
      </c>
      <c r="AE2542" s="78">
        <f t="shared" si="57"/>
        <v>0</v>
      </c>
    </row>
    <row r="2543" spans="1:31" x14ac:dyDescent="0.2">
      <c r="A2543" s="66"/>
      <c r="B2543" s="66"/>
      <c r="C2543" s="66"/>
      <c r="D2543" s="144"/>
      <c r="E2543" s="67"/>
      <c r="F2543" s="67"/>
      <c r="G2543" s="67"/>
      <c r="H2543" s="67">
        <f>ROUND(+E2543+G2543,4)</f>
        <v>0</v>
      </c>
      <c r="I2543" s="67"/>
      <c r="J2543" s="67">
        <f>ROUND(+I2543-H2543,4)</f>
        <v>0</v>
      </c>
      <c r="K2543" s="67">
        <f>ROUND(IF(F2543="alluminio",0,I2543*1.5%),4)</f>
        <v>0</v>
      </c>
      <c r="L2543" s="67">
        <f>ROUND(IF(K2543&lt;J2543,K2543,0),4)</f>
        <v>0</v>
      </c>
      <c r="M2543" s="67">
        <f>ROUND(IF(J2543&gt;K2543,0,J2543),4)</f>
        <v>0</v>
      </c>
      <c r="N2543" s="67">
        <f>ROUND(+L2543*D2543,4)</f>
        <v>0</v>
      </c>
      <c r="O2543" s="67">
        <f>ROUND(IF(F2543="rame",0,+I2543*3%),4)</f>
        <v>0</v>
      </c>
      <c r="P2543" s="67">
        <f>ROUND(IF(O2543&lt;J2543,O2543,0),4)</f>
        <v>0</v>
      </c>
      <c r="Q2543" s="67">
        <f>ROUND(IF(J2543&gt;O2543,0,J2543),4)</f>
        <v>0</v>
      </c>
      <c r="R2543" s="67">
        <f>ROUND(+P2543*D2543,4)</f>
        <v>0</v>
      </c>
      <c r="S2543" s="67">
        <f>ROUND(IF(K2543=0,0,M2543*D2543),4)</f>
        <v>0</v>
      </c>
      <c r="T2543" s="67">
        <f>ROUND(+IF(K2543=0,Q2543*D2543,0),4)</f>
        <v>0</v>
      </c>
      <c r="U2543" s="67">
        <f>ROUND(+N2543+R2543+S2543+T2543,4)</f>
        <v>0</v>
      </c>
      <c r="V2543" s="67">
        <f>ROUND(IF(P2543=0,0,I2543-H2543-O2543)+IF(L2543=0,0,I2543-H2543-K2543),4)</f>
        <v>0</v>
      </c>
      <c r="W2543" s="67">
        <f>ROUND(+(V2543*60%)*D2543,4)</f>
        <v>0</v>
      </c>
      <c r="X2543" s="148">
        <f>ROUND(+U2543+W2543,4)</f>
        <v>0</v>
      </c>
      <c r="Y2543" s="68"/>
      <c r="Z2543" s="148">
        <f>ROUND(IF(X2543&gt;I2543,X2543,I2543),4)</f>
        <v>0</v>
      </c>
      <c r="AD2543" s="78">
        <f t="shared" si="56"/>
        <v>0</v>
      </c>
      <c r="AE2543" s="78">
        <f t="shared" si="57"/>
        <v>0</v>
      </c>
    </row>
    <row r="2544" spans="1:31" x14ac:dyDescent="0.2">
      <c r="A2544" s="66"/>
      <c r="B2544" s="66"/>
      <c r="C2544" s="66"/>
      <c r="D2544" s="144"/>
      <c r="E2544" s="67"/>
      <c r="F2544" s="67"/>
      <c r="G2544" s="67"/>
      <c r="H2544" s="67">
        <f>ROUND(+E2544+G2544,4)</f>
        <v>0</v>
      </c>
      <c r="I2544" s="67"/>
      <c r="J2544" s="67">
        <f>ROUND(+I2544-H2544,4)</f>
        <v>0</v>
      </c>
      <c r="K2544" s="67">
        <f>ROUND(IF(F2544="alluminio",0,I2544*1.5%),4)</f>
        <v>0</v>
      </c>
      <c r="L2544" s="67">
        <f>ROUND(IF(K2544&lt;J2544,K2544,0),4)</f>
        <v>0</v>
      </c>
      <c r="M2544" s="67">
        <f>ROUND(IF(J2544&gt;K2544,0,J2544),4)</f>
        <v>0</v>
      </c>
      <c r="N2544" s="67">
        <f>ROUND(+L2544*D2544,4)</f>
        <v>0</v>
      </c>
      <c r="O2544" s="67">
        <f>ROUND(IF(F2544="rame",0,+I2544*3%),4)</f>
        <v>0</v>
      </c>
      <c r="P2544" s="67">
        <f>ROUND(IF(O2544&lt;J2544,O2544,0),4)</f>
        <v>0</v>
      </c>
      <c r="Q2544" s="67">
        <f>ROUND(IF(J2544&gt;O2544,0,J2544),4)</f>
        <v>0</v>
      </c>
      <c r="R2544" s="67">
        <f>ROUND(+P2544*D2544,4)</f>
        <v>0</v>
      </c>
      <c r="S2544" s="67">
        <f>ROUND(IF(K2544=0,0,M2544*D2544),4)</f>
        <v>0</v>
      </c>
      <c r="T2544" s="67">
        <f>ROUND(+IF(K2544=0,Q2544*D2544,0),4)</f>
        <v>0</v>
      </c>
      <c r="U2544" s="67">
        <f>ROUND(+N2544+R2544+S2544+T2544,4)</f>
        <v>0</v>
      </c>
      <c r="V2544" s="67">
        <f>ROUND(IF(P2544=0,0,I2544-H2544-O2544)+IF(L2544=0,0,I2544-H2544-K2544),4)</f>
        <v>0</v>
      </c>
      <c r="W2544" s="67">
        <f>ROUND(+(V2544*60%)*D2544,4)</f>
        <v>0</v>
      </c>
      <c r="X2544" s="148">
        <f>ROUND(+U2544+W2544,4)</f>
        <v>0</v>
      </c>
      <c r="Y2544" s="68"/>
      <c r="Z2544" s="148">
        <f>ROUND(IF(X2544&gt;I2544,X2544,I2544),4)</f>
        <v>0</v>
      </c>
      <c r="AD2544" s="78">
        <f t="shared" si="56"/>
        <v>0</v>
      </c>
      <c r="AE2544" s="78">
        <f t="shared" si="57"/>
        <v>0</v>
      </c>
    </row>
    <row r="2545" spans="1:31" x14ac:dyDescent="0.2">
      <c r="A2545" s="66"/>
      <c r="B2545" s="66"/>
      <c r="C2545" s="66"/>
      <c r="D2545" s="144"/>
      <c r="E2545" s="67"/>
      <c r="F2545" s="67"/>
      <c r="G2545" s="67"/>
      <c r="H2545" s="67">
        <f>ROUND(+E2545+G2545,4)</f>
        <v>0</v>
      </c>
      <c r="I2545" s="67"/>
      <c r="J2545" s="67">
        <f>ROUND(+I2545-H2545,4)</f>
        <v>0</v>
      </c>
      <c r="K2545" s="67">
        <f>ROUND(IF(F2545="alluminio",0,I2545*1.5%),4)</f>
        <v>0</v>
      </c>
      <c r="L2545" s="67">
        <f>ROUND(IF(K2545&lt;J2545,K2545,0),4)</f>
        <v>0</v>
      </c>
      <c r="M2545" s="67">
        <f>ROUND(IF(J2545&gt;K2545,0,J2545),4)</f>
        <v>0</v>
      </c>
      <c r="N2545" s="67">
        <f>ROUND(+L2545*D2545,4)</f>
        <v>0</v>
      </c>
      <c r="O2545" s="67">
        <f>ROUND(IF(F2545="rame",0,+I2545*3%),4)</f>
        <v>0</v>
      </c>
      <c r="P2545" s="67">
        <f>ROUND(IF(O2545&lt;J2545,O2545,0),4)</f>
        <v>0</v>
      </c>
      <c r="Q2545" s="67">
        <f>ROUND(IF(J2545&gt;O2545,0,J2545),4)</f>
        <v>0</v>
      </c>
      <c r="R2545" s="67">
        <f>ROUND(+P2545*D2545,4)</f>
        <v>0</v>
      </c>
      <c r="S2545" s="67">
        <f>ROUND(IF(K2545=0,0,M2545*D2545),4)</f>
        <v>0</v>
      </c>
      <c r="T2545" s="67">
        <f>ROUND(+IF(K2545=0,Q2545*D2545,0),4)</f>
        <v>0</v>
      </c>
      <c r="U2545" s="67">
        <f>ROUND(+N2545+R2545+S2545+T2545,4)</f>
        <v>0</v>
      </c>
      <c r="V2545" s="67">
        <f>ROUND(IF(P2545=0,0,I2545-H2545-O2545)+IF(L2545=0,0,I2545-H2545-K2545),4)</f>
        <v>0</v>
      </c>
      <c r="W2545" s="67">
        <f>ROUND(+(V2545*60%)*D2545,4)</f>
        <v>0</v>
      </c>
      <c r="X2545" s="148">
        <f>ROUND(+U2545+W2545,4)</f>
        <v>0</v>
      </c>
      <c r="Y2545" s="68"/>
      <c r="Z2545" s="148">
        <f>ROUND(IF(X2545&gt;I2545,X2545,I2545),4)</f>
        <v>0</v>
      </c>
      <c r="AD2545" s="78">
        <f t="shared" si="56"/>
        <v>0</v>
      </c>
      <c r="AE2545" s="78">
        <f t="shared" si="57"/>
        <v>0</v>
      </c>
    </row>
    <row r="2546" spans="1:31" x14ac:dyDescent="0.2">
      <c r="A2546" s="66"/>
      <c r="B2546" s="66"/>
      <c r="C2546" s="66"/>
      <c r="D2546" s="144"/>
      <c r="E2546" s="67"/>
      <c r="F2546" s="67"/>
      <c r="G2546" s="67"/>
      <c r="H2546" s="67">
        <f>ROUND(+E2546+G2546,4)</f>
        <v>0</v>
      </c>
      <c r="I2546" s="67"/>
      <c r="J2546" s="67">
        <f>ROUND(+I2546-H2546,4)</f>
        <v>0</v>
      </c>
      <c r="K2546" s="67">
        <f>ROUND(IF(F2546="alluminio",0,I2546*1.5%),4)</f>
        <v>0</v>
      </c>
      <c r="L2546" s="67">
        <f>ROUND(IF(K2546&lt;J2546,K2546,0),4)</f>
        <v>0</v>
      </c>
      <c r="M2546" s="67">
        <f>ROUND(IF(J2546&gt;K2546,0,J2546),4)</f>
        <v>0</v>
      </c>
      <c r="N2546" s="67">
        <f>ROUND(+L2546*D2546,4)</f>
        <v>0</v>
      </c>
      <c r="O2546" s="67">
        <f>ROUND(IF(F2546="rame",0,+I2546*3%),4)</f>
        <v>0</v>
      </c>
      <c r="P2546" s="67">
        <f>ROUND(IF(O2546&lt;J2546,O2546,0),4)</f>
        <v>0</v>
      </c>
      <c r="Q2546" s="67">
        <f>ROUND(IF(J2546&gt;O2546,0,J2546),4)</f>
        <v>0</v>
      </c>
      <c r="R2546" s="67">
        <f>ROUND(+P2546*D2546,4)</f>
        <v>0</v>
      </c>
      <c r="S2546" s="67">
        <f>ROUND(IF(K2546=0,0,M2546*D2546),4)</f>
        <v>0</v>
      </c>
      <c r="T2546" s="67">
        <f>ROUND(+IF(K2546=0,Q2546*D2546,0),4)</f>
        <v>0</v>
      </c>
      <c r="U2546" s="67">
        <f>ROUND(+N2546+R2546+S2546+T2546,4)</f>
        <v>0</v>
      </c>
      <c r="V2546" s="67">
        <f>ROUND(IF(P2546=0,0,I2546-H2546-O2546)+IF(L2546=0,0,I2546-H2546-K2546),4)</f>
        <v>0</v>
      </c>
      <c r="W2546" s="67">
        <f>ROUND(+(V2546*60%)*D2546,4)</f>
        <v>0</v>
      </c>
      <c r="X2546" s="148">
        <f>ROUND(+U2546+W2546,4)</f>
        <v>0</v>
      </c>
      <c r="Y2546" s="68"/>
      <c r="Z2546" s="148">
        <f>ROUND(IF(X2546&gt;I2546,X2546,I2546),4)</f>
        <v>0</v>
      </c>
      <c r="AD2546" s="78">
        <f t="shared" si="56"/>
        <v>0</v>
      </c>
      <c r="AE2546" s="78">
        <f t="shared" si="57"/>
        <v>0</v>
      </c>
    </row>
    <row r="2547" spans="1:31" x14ac:dyDescent="0.2">
      <c r="A2547" s="66"/>
      <c r="B2547" s="66"/>
      <c r="C2547" s="66"/>
      <c r="D2547" s="144"/>
      <c r="E2547" s="67"/>
      <c r="F2547" s="67"/>
      <c r="G2547" s="67"/>
      <c r="H2547" s="67">
        <f>ROUND(+E2547+G2547,4)</f>
        <v>0</v>
      </c>
      <c r="I2547" s="67"/>
      <c r="J2547" s="67">
        <f>ROUND(+I2547-H2547,4)</f>
        <v>0</v>
      </c>
      <c r="K2547" s="67">
        <f>ROUND(IF(F2547="alluminio",0,I2547*1.5%),4)</f>
        <v>0</v>
      </c>
      <c r="L2547" s="67">
        <f>ROUND(IF(K2547&lt;J2547,K2547,0),4)</f>
        <v>0</v>
      </c>
      <c r="M2547" s="67">
        <f>ROUND(IF(J2547&gt;K2547,0,J2547),4)</f>
        <v>0</v>
      </c>
      <c r="N2547" s="67">
        <f>ROUND(+L2547*D2547,4)</f>
        <v>0</v>
      </c>
      <c r="O2547" s="67">
        <f>ROUND(IF(F2547="rame",0,+I2547*3%),4)</f>
        <v>0</v>
      </c>
      <c r="P2547" s="67">
        <f>ROUND(IF(O2547&lt;J2547,O2547,0),4)</f>
        <v>0</v>
      </c>
      <c r="Q2547" s="67">
        <f>ROUND(IF(J2547&gt;O2547,0,J2547),4)</f>
        <v>0</v>
      </c>
      <c r="R2547" s="67">
        <f>ROUND(+P2547*D2547,4)</f>
        <v>0</v>
      </c>
      <c r="S2547" s="67">
        <f>ROUND(IF(K2547=0,0,M2547*D2547),4)</f>
        <v>0</v>
      </c>
      <c r="T2547" s="67">
        <f>ROUND(+IF(K2547=0,Q2547*D2547,0),4)</f>
        <v>0</v>
      </c>
      <c r="U2547" s="67">
        <f>ROUND(+N2547+R2547+S2547+T2547,4)</f>
        <v>0</v>
      </c>
      <c r="V2547" s="67">
        <f>ROUND(IF(P2547=0,0,I2547-H2547-O2547)+IF(L2547=0,0,I2547-H2547-K2547),4)</f>
        <v>0</v>
      </c>
      <c r="W2547" s="67">
        <f>ROUND(+(V2547*60%)*D2547,4)</f>
        <v>0</v>
      </c>
      <c r="X2547" s="148">
        <f>ROUND(+U2547+W2547,4)</f>
        <v>0</v>
      </c>
      <c r="Y2547" s="68"/>
      <c r="Z2547" s="148">
        <f>ROUND(IF(X2547&gt;I2547,X2547,I2547),4)</f>
        <v>0</v>
      </c>
      <c r="AD2547" s="78">
        <f t="shared" si="56"/>
        <v>0</v>
      </c>
      <c r="AE2547" s="78">
        <f t="shared" si="57"/>
        <v>0</v>
      </c>
    </row>
    <row r="2548" spans="1:31" x14ac:dyDescent="0.2">
      <c r="A2548" s="66"/>
      <c r="B2548" s="66"/>
      <c r="C2548" s="66"/>
      <c r="D2548" s="144"/>
      <c r="E2548" s="67"/>
      <c r="F2548" s="67"/>
      <c r="G2548" s="67"/>
      <c r="H2548" s="67">
        <f>ROUND(+E2548+G2548,4)</f>
        <v>0</v>
      </c>
      <c r="I2548" s="67"/>
      <c r="J2548" s="67">
        <f>ROUND(+I2548-H2548,4)</f>
        <v>0</v>
      </c>
      <c r="K2548" s="67">
        <f>ROUND(IF(F2548="alluminio",0,I2548*1.5%),4)</f>
        <v>0</v>
      </c>
      <c r="L2548" s="67">
        <f>ROUND(IF(K2548&lt;J2548,K2548,0),4)</f>
        <v>0</v>
      </c>
      <c r="M2548" s="67">
        <f>ROUND(IF(J2548&gt;K2548,0,J2548),4)</f>
        <v>0</v>
      </c>
      <c r="N2548" s="67">
        <f>ROUND(+L2548*D2548,4)</f>
        <v>0</v>
      </c>
      <c r="O2548" s="67">
        <f>ROUND(IF(F2548="rame",0,+I2548*3%),4)</f>
        <v>0</v>
      </c>
      <c r="P2548" s="67">
        <f>ROUND(IF(O2548&lt;J2548,O2548,0),4)</f>
        <v>0</v>
      </c>
      <c r="Q2548" s="67">
        <f>ROUND(IF(J2548&gt;O2548,0,J2548),4)</f>
        <v>0</v>
      </c>
      <c r="R2548" s="67">
        <f>ROUND(+P2548*D2548,4)</f>
        <v>0</v>
      </c>
      <c r="S2548" s="67">
        <f>ROUND(IF(K2548=0,0,M2548*D2548),4)</f>
        <v>0</v>
      </c>
      <c r="T2548" s="67">
        <f>ROUND(+IF(K2548=0,Q2548*D2548,0),4)</f>
        <v>0</v>
      </c>
      <c r="U2548" s="67">
        <f>ROUND(+N2548+R2548+S2548+T2548,4)</f>
        <v>0</v>
      </c>
      <c r="V2548" s="67">
        <f>ROUND(IF(P2548=0,0,I2548-H2548-O2548)+IF(L2548=0,0,I2548-H2548-K2548),4)</f>
        <v>0</v>
      </c>
      <c r="W2548" s="67">
        <f>ROUND(+(V2548*60%)*D2548,4)</f>
        <v>0</v>
      </c>
      <c r="X2548" s="148">
        <f>ROUND(+U2548+W2548,4)</f>
        <v>0</v>
      </c>
      <c r="Y2548" s="68"/>
      <c r="Z2548" s="148">
        <f>ROUND(IF(X2548&gt;I2548,X2548,I2548),4)</f>
        <v>0</v>
      </c>
      <c r="AD2548" s="78">
        <f t="shared" si="56"/>
        <v>0</v>
      </c>
      <c r="AE2548" s="78">
        <f t="shared" si="57"/>
        <v>0</v>
      </c>
    </row>
    <row r="2549" spans="1:31" x14ac:dyDescent="0.2">
      <c r="A2549" s="66"/>
      <c r="B2549" s="66"/>
      <c r="C2549" s="66"/>
      <c r="D2549" s="144"/>
      <c r="E2549" s="67"/>
      <c r="F2549" s="67"/>
      <c r="G2549" s="67"/>
      <c r="H2549" s="67">
        <f>ROUND(+E2549+G2549,4)</f>
        <v>0</v>
      </c>
      <c r="I2549" s="67"/>
      <c r="J2549" s="67">
        <f>ROUND(+I2549-H2549,4)</f>
        <v>0</v>
      </c>
      <c r="K2549" s="67">
        <f>ROUND(IF(F2549="alluminio",0,I2549*1.5%),4)</f>
        <v>0</v>
      </c>
      <c r="L2549" s="67">
        <f>ROUND(IF(K2549&lt;J2549,K2549,0),4)</f>
        <v>0</v>
      </c>
      <c r="M2549" s="67">
        <f>ROUND(IF(J2549&gt;K2549,0,J2549),4)</f>
        <v>0</v>
      </c>
      <c r="N2549" s="67">
        <f>ROUND(+L2549*D2549,4)</f>
        <v>0</v>
      </c>
      <c r="O2549" s="67">
        <f>ROUND(IF(F2549="rame",0,+I2549*3%),4)</f>
        <v>0</v>
      </c>
      <c r="P2549" s="67">
        <f>ROUND(IF(O2549&lt;J2549,O2549,0),4)</f>
        <v>0</v>
      </c>
      <c r="Q2549" s="67">
        <f>ROUND(IF(J2549&gt;O2549,0,J2549),4)</f>
        <v>0</v>
      </c>
      <c r="R2549" s="67">
        <f>ROUND(+P2549*D2549,4)</f>
        <v>0</v>
      </c>
      <c r="S2549" s="67">
        <f>ROUND(IF(K2549=0,0,M2549*D2549),4)</f>
        <v>0</v>
      </c>
      <c r="T2549" s="67">
        <f>ROUND(+IF(K2549=0,Q2549*D2549,0),4)</f>
        <v>0</v>
      </c>
      <c r="U2549" s="67">
        <f>ROUND(+N2549+R2549+S2549+T2549,4)</f>
        <v>0</v>
      </c>
      <c r="V2549" s="67">
        <f>ROUND(IF(P2549=0,0,I2549-H2549-O2549)+IF(L2549=0,0,I2549-H2549-K2549),4)</f>
        <v>0</v>
      </c>
      <c r="W2549" s="67">
        <f>ROUND(+(V2549*60%)*D2549,4)</f>
        <v>0</v>
      </c>
      <c r="X2549" s="148">
        <f>ROUND(+U2549+W2549,4)</f>
        <v>0</v>
      </c>
      <c r="Y2549" s="68"/>
      <c r="Z2549" s="148">
        <f>ROUND(IF(X2549&gt;I2549,X2549,I2549),4)</f>
        <v>0</v>
      </c>
      <c r="AD2549" s="78">
        <f t="shared" si="56"/>
        <v>0</v>
      </c>
      <c r="AE2549" s="78">
        <f t="shared" si="57"/>
        <v>0</v>
      </c>
    </row>
    <row r="2550" spans="1:31" x14ac:dyDescent="0.2">
      <c r="A2550" s="66"/>
      <c r="B2550" s="66"/>
      <c r="C2550" s="66"/>
      <c r="D2550" s="144"/>
      <c r="E2550" s="67"/>
      <c r="F2550" s="67"/>
      <c r="G2550" s="67"/>
      <c r="H2550" s="67">
        <f>ROUND(+E2550+G2550,4)</f>
        <v>0</v>
      </c>
      <c r="I2550" s="67"/>
      <c r="J2550" s="67">
        <f>ROUND(+I2550-H2550,4)</f>
        <v>0</v>
      </c>
      <c r="K2550" s="67">
        <f>ROUND(IF(F2550="alluminio",0,I2550*1.5%),4)</f>
        <v>0</v>
      </c>
      <c r="L2550" s="67">
        <f>ROUND(IF(K2550&lt;J2550,K2550,0),4)</f>
        <v>0</v>
      </c>
      <c r="M2550" s="67">
        <f>ROUND(IF(J2550&gt;K2550,0,J2550),4)</f>
        <v>0</v>
      </c>
      <c r="N2550" s="67">
        <f>ROUND(+L2550*D2550,4)</f>
        <v>0</v>
      </c>
      <c r="O2550" s="67">
        <f>ROUND(IF(F2550="rame",0,+I2550*3%),4)</f>
        <v>0</v>
      </c>
      <c r="P2550" s="67">
        <f>ROUND(IF(O2550&lt;J2550,O2550,0),4)</f>
        <v>0</v>
      </c>
      <c r="Q2550" s="67">
        <f>ROUND(IF(J2550&gt;O2550,0,J2550),4)</f>
        <v>0</v>
      </c>
      <c r="R2550" s="67">
        <f>ROUND(+P2550*D2550,4)</f>
        <v>0</v>
      </c>
      <c r="S2550" s="67">
        <f>ROUND(IF(K2550=0,0,M2550*D2550),4)</f>
        <v>0</v>
      </c>
      <c r="T2550" s="67">
        <f>ROUND(+IF(K2550=0,Q2550*D2550,0),4)</f>
        <v>0</v>
      </c>
      <c r="U2550" s="67">
        <f>ROUND(+N2550+R2550+S2550+T2550,4)</f>
        <v>0</v>
      </c>
      <c r="V2550" s="67">
        <f>ROUND(IF(P2550=0,0,I2550-H2550-O2550)+IF(L2550=0,0,I2550-H2550-K2550),4)</f>
        <v>0</v>
      </c>
      <c r="W2550" s="67">
        <f>ROUND(+(V2550*60%)*D2550,4)</f>
        <v>0</v>
      </c>
      <c r="X2550" s="148">
        <f>ROUND(+U2550+W2550,4)</f>
        <v>0</v>
      </c>
      <c r="Y2550" s="68"/>
      <c r="Z2550" s="148">
        <f>ROUND(IF(X2550&gt;I2550,X2550,I2550),4)</f>
        <v>0</v>
      </c>
      <c r="AD2550" s="78">
        <f t="shared" si="56"/>
        <v>0</v>
      </c>
      <c r="AE2550" s="78">
        <f t="shared" si="57"/>
        <v>0</v>
      </c>
    </row>
    <row r="2551" spans="1:31" x14ac:dyDescent="0.2">
      <c r="A2551" s="66"/>
      <c r="B2551" s="66"/>
      <c r="C2551" s="66"/>
      <c r="D2551" s="144"/>
      <c r="E2551" s="67"/>
      <c r="F2551" s="67"/>
      <c r="G2551" s="67"/>
      <c r="H2551" s="67">
        <f>ROUND(+E2551+G2551,4)</f>
        <v>0</v>
      </c>
      <c r="I2551" s="67"/>
      <c r="J2551" s="67">
        <f>ROUND(+I2551-H2551,4)</f>
        <v>0</v>
      </c>
      <c r="K2551" s="67">
        <f>ROUND(IF(F2551="alluminio",0,I2551*1.5%),4)</f>
        <v>0</v>
      </c>
      <c r="L2551" s="67">
        <f>ROUND(IF(K2551&lt;J2551,K2551,0),4)</f>
        <v>0</v>
      </c>
      <c r="M2551" s="67">
        <f>ROUND(IF(J2551&gt;K2551,0,J2551),4)</f>
        <v>0</v>
      </c>
      <c r="N2551" s="67">
        <f>ROUND(+L2551*D2551,4)</f>
        <v>0</v>
      </c>
      <c r="O2551" s="67">
        <f>ROUND(IF(F2551="rame",0,+I2551*3%),4)</f>
        <v>0</v>
      </c>
      <c r="P2551" s="67">
        <f>ROUND(IF(O2551&lt;J2551,O2551,0),4)</f>
        <v>0</v>
      </c>
      <c r="Q2551" s="67">
        <f>ROUND(IF(J2551&gt;O2551,0,J2551),4)</f>
        <v>0</v>
      </c>
      <c r="R2551" s="67">
        <f>ROUND(+P2551*D2551,4)</f>
        <v>0</v>
      </c>
      <c r="S2551" s="67">
        <f>ROUND(IF(K2551=0,0,M2551*D2551),4)</f>
        <v>0</v>
      </c>
      <c r="T2551" s="67">
        <f>ROUND(+IF(K2551=0,Q2551*D2551,0),4)</f>
        <v>0</v>
      </c>
      <c r="U2551" s="67">
        <f>ROUND(+N2551+R2551+S2551+T2551,4)</f>
        <v>0</v>
      </c>
      <c r="V2551" s="67">
        <f>ROUND(IF(P2551=0,0,I2551-H2551-O2551)+IF(L2551=0,0,I2551-H2551-K2551),4)</f>
        <v>0</v>
      </c>
      <c r="W2551" s="67">
        <f>ROUND(+(V2551*60%)*D2551,4)</f>
        <v>0</v>
      </c>
      <c r="X2551" s="148">
        <f>ROUND(+U2551+W2551,4)</f>
        <v>0</v>
      </c>
      <c r="Y2551" s="68"/>
      <c r="Z2551" s="148">
        <f>ROUND(IF(X2551&gt;I2551,X2551,I2551),4)</f>
        <v>0</v>
      </c>
      <c r="AD2551" s="78">
        <f t="shared" si="56"/>
        <v>0</v>
      </c>
      <c r="AE2551" s="78">
        <f t="shared" si="57"/>
        <v>0</v>
      </c>
    </row>
    <row r="2552" spans="1:31" x14ac:dyDescent="0.2">
      <c r="A2552" s="66"/>
      <c r="B2552" s="66"/>
      <c r="C2552" s="66"/>
      <c r="D2552" s="144"/>
      <c r="E2552" s="67"/>
      <c r="F2552" s="67"/>
      <c r="G2552" s="67"/>
      <c r="H2552" s="67">
        <f>ROUND(+E2552+G2552,4)</f>
        <v>0</v>
      </c>
      <c r="I2552" s="67"/>
      <c r="J2552" s="67">
        <f>ROUND(+I2552-H2552,4)</f>
        <v>0</v>
      </c>
      <c r="K2552" s="67">
        <f>ROUND(IF(F2552="alluminio",0,I2552*1.5%),4)</f>
        <v>0</v>
      </c>
      <c r="L2552" s="67">
        <f>ROUND(IF(K2552&lt;J2552,K2552,0),4)</f>
        <v>0</v>
      </c>
      <c r="M2552" s="67">
        <f>ROUND(IF(J2552&gt;K2552,0,J2552),4)</f>
        <v>0</v>
      </c>
      <c r="N2552" s="67">
        <f>ROUND(+L2552*D2552,4)</f>
        <v>0</v>
      </c>
      <c r="O2552" s="67">
        <f>ROUND(IF(F2552="rame",0,+I2552*3%),4)</f>
        <v>0</v>
      </c>
      <c r="P2552" s="67">
        <f>ROUND(IF(O2552&lt;J2552,O2552,0),4)</f>
        <v>0</v>
      </c>
      <c r="Q2552" s="67">
        <f>ROUND(IF(J2552&gt;O2552,0,J2552),4)</f>
        <v>0</v>
      </c>
      <c r="R2552" s="67">
        <f>ROUND(+P2552*D2552,4)</f>
        <v>0</v>
      </c>
      <c r="S2552" s="67">
        <f>ROUND(IF(K2552=0,0,M2552*D2552),4)</f>
        <v>0</v>
      </c>
      <c r="T2552" s="67">
        <f>ROUND(+IF(K2552=0,Q2552*D2552,0),4)</f>
        <v>0</v>
      </c>
      <c r="U2552" s="67">
        <f>ROUND(+N2552+R2552+S2552+T2552,4)</f>
        <v>0</v>
      </c>
      <c r="V2552" s="67">
        <f>ROUND(IF(P2552=0,0,I2552-H2552-O2552)+IF(L2552=0,0,I2552-H2552-K2552),4)</f>
        <v>0</v>
      </c>
      <c r="W2552" s="67">
        <f>ROUND(+(V2552*60%)*D2552,4)</f>
        <v>0</v>
      </c>
      <c r="X2552" s="148">
        <f>ROUND(+U2552+W2552,4)</f>
        <v>0</v>
      </c>
      <c r="Y2552" s="68"/>
      <c r="Z2552" s="148">
        <f>ROUND(IF(X2552&gt;I2552,X2552,I2552),4)</f>
        <v>0</v>
      </c>
      <c r="AD2552" s="78">
        <f t="shared" si="56"/>
        <v>0</v>
      </c>
      <c r="AE2552" s="78">
        <f t="shared" si="57"/>
        <v>0</v>
      </c>
    </row>
    <row r="2553" spans="1:31" x14ac:dyDescent="0.2">
      <c r="A2553" s="66"/>
      <c r="B2553" s="66"/>
      <c r="C2553" s="66"/>
      <c r="D2553" s="144"/>
      <c r="E2553" s="67"/>
      <c r="F2553" s="67"/>
      <c r="G2553" s="67"/>
      <c r="H2553" s="67">
        <f>ROUND(+E2553+G2553,4)</f>
        <v>0</v>
      </c>
      <c r="I2553" s="67"/>
      <c r="J2553" s="67">
        <f>ROUND(+I2553-H2553,4)</f>
        <v>0</v>
      </c>
      <c r="K2553" s="67">
        <f>ROUND(IF(F2553="alluminio",0,I2553*1.5%),4)</f>
        <v>0</v>
      </c>
      <c r="L2553" s="67">
        <f>ROUND(IF(K2553&lt;J2553,K2553,0),4)</f>
        <v>0</v>
      </c>
      <c r="M2553" s="67">
        <f>ROUND(IF(J2553&gt;K2553,0,J2553),4)</f>
        <v>0</v>
      </c>
      <c r="N2553" s="67">
        <f>ROUND(+L2553*D2553,4)</f>
        <v>0</v>
      </c>
      <c r="O2553" s="67">
        <f>ROUND(IF(F2553="rame",0,+I2553*3%),4)</f>
        <v>0</v>
      </c>
      <c r="P2553" s="67">
        <f>ROUND(IF(O2553&lt;J2553,O2553,0),4)</f>
        <v>0</v>
      </c>
      <c r="Q2553" s="67">
        <f>ROUND(IF(J2553&gt;O2553,0,J2553),4)</f>
        <v>0</v>
      </c>
      <c r="R2553" s="67">
        <f>ROUND(+P2553*D2553,4)</f>
        <v>0</v>
      </c>
      <c r="S2553" s="67">
        <f>ROUND(IF(K2553=0,0,M2553*D2553),4)</f>
        <v>0</v>
      </c>
      <c r="T2553" s="67">
        <f>ROUND(+IF(K2553=0,Q2553*D2553,0),4)</f>
        <v>0</v>
      </c>
      <c r="U2553" s="67">
        <f>ROUND(+N2553+R2553+S2553+T2553,4)</f>
        <v>0</v>
      </c>
      <c r="V2553" s="67">
        <f>ROUND(IF(P2553=0,0,I2553-H2553-O2553)+IF(L2553=0,0,I2553-H2553-K2553),4)</f>
        <v>0</v>
      </c>
      <c r="W2553" s="67">
        <f>ROUND(+(V2553*60%)*D2553,4)</f>
        <v>0</v>
      </c>
      <c r="X2553" s="148">
        <f>ROUND(+U2553+W2553,4)</f>
        <v>0</v>
      </c>
      <c r="Y2553" s="68"/>
      <c r="Z2553" s="148">
        <f>ROUND(IF(X2553&gt;I2553,X2553,I2553),4)</f>
        <v>0</v>
      </c>
      <c r="AD2553" s="78">
        <f t="shared" si="56"/>
        <v>0</v>
      </c>
      <c r="AE2553" s="78">
        <f t="shared" si="57"/>
        <v>0</v>
      </c>
    </row>
    <row r="2554" spans="1:31" x14ac:dyDescent="0.2">
      <c r="A2554" s="66"/>
      <c r="B2554" s="66"/>
      <c r="C2554" s="66"/>
      <c r="D2554" s="144"/>
      <c r="E2554" s="67"/>
      <c r="F2554" s="67"/>
      <c r="G2554" s="67"/>
      <c r="H2554" s="67">
        <f>ROUND(+E2554+G2554,4)</f>
        <v>0</v>
      </c>
      <c r="I2554" s="67"/>
      <c r="J2554" s="67">
        <f>ROUND(+I2554-H2554,4)</f>
        <v>0</v>
      </c>
      <c r="K2554" s="67">
        <f>ROUND(IF(F2554="alluminio",0,I2554*1.5%),4)</f>
        <v>0</v>
      </c>
      <c r="L2554" s="67">
        <f>ROUND(IF(K2554&lt;J2554,K2554,0),4)</f>
        <v>0</v>
      </c>
      <c r="M2554" s="67">
        <f>ROUND(IF(J2554&gt;K2554,0,J2554),4)</f>
        <v>0</v>
      </c>
      <c r="N2554" s="67">
        <f>ROUND(+L2554*D2554,4)</f>
        <v>0</v>
      </c>
      <c r="O2554" s="67">
        <f>ROUND(IF(F2554="rame",0,+I2554*3%),4)</f>
        <v>0</v>
      </c>
      <c r="P2554" s="67">
        <f>ROUND(IF(O2554&lt;J2554,O2554,0),4)</f>
        <v>0</v>
      </c>
      <c r="Q2554" s="67">
        <f>ROUND(IF(J2554&gt;O2554,0,J2554),4)</f>
        <v>0</v>
      </c>
      <c r="R2554" s="67">
        <f>ROUND(+P2554*D2554,4)</f>
        <v>0</v>
      </c>
      <c r="S2554" s="67">
        <f>ROUND(IF(K2554=0,0,M2554*D2554),4)</f>
        <v>0</v>
      </c>
      <c r="T2554" s="67">
        <f>ROUND(+IF(K2554=0,Q2554*D2554,0),4)</f>
        <v>0</v>
      </c>
      <c r="U2554" s="67">
        <f>ROUND(+N2554+R2554+S2554+T2554,4)</f>
        <v>0</v>
      </c>
      <c r="V2554" s="67">
        <f>ROUND(IF(P2554=0,0,I2554-H2554-O2554)+IF(L2554=0,0,I2554-H2554-K2554),4)</f>
        <v>0</v>
      </c>
      <c r="W2554" s="67">
        <f>ROUND(+(V2554*60%)*D2554,4)</f>
        <v>0</v>
      </c>
      <c r="X2554" s="148">
        <f>ROUND(+U2554+W2554,4)</f>
        <v>0</v>
      </c>
      <c r="Y2554" s="68"/>
      <c r="Z2554" s="148">
        <f>ROUND(IF(X2554&gt;I2554,X2554,I2554),4)</f>
        <v>0</v>
      </c>
      <c r="AD2554" s="78">
        <f t="shared" si="56"/>
        <v>0</v>
      </c>
      <c r="AE2554" s="78">
        <f t="shared" si="57"/>
        <v>0</v>
      </c>
    </row>
    <row r="2555" spans="1:31" x14ac:dyDescent="0.2">
      <c r="A2555" s="66"/>
      <c r="B2555" s="66"/>
      <c r="C2555" s="66"/>
      <c r="D2555" s="144"/>
      <c r="E2555" s="67"/>
      <c r="F2555" s="67"/>
      <c r="G2555" s="67"/>
      <c r="H2555" s="67">
        <f>ROUND(+E2555+G2555,4)</f>
        <v>0</v>
      </c>
      <c r="I2555" s="67"/>
      <c r="J2555" s="67">
        <f>ROUND(+I2555-H2555,4)</f>
        <v>0</v>
      </c>
      <c r="K2555" s="67">
        <f>ROUND(IF(F2555="alluminio",0,I2555*1.5%),4)</f>
        <v>0</v>
      </c>
      <c r="L2555" s="67">
        <f>ROUND(IF(K2555&lt;J2555,K2555,0),4)</f>
        <v>0</v>
      </c>
      <c r="M2555" s="67">
        <f>ROUND(IF(J2555&gt;K2555,0,J2555),4)</f>
        <v>0</v>
      </c>
      <c r="N2555" s="67">
        <f>ROUND(+L2555*D2555,4)</f>
        <v>0</v>
      </c>
      <c r="O2555" s="67">
        <f>ROUND(IF(F2555="rame",0,+I2555*3%),4)</f>
        <v>0</v>
      </c>
      <c r="P2555" s="67">
        <f>ROUND(IF(O2555&lt;J2555,O2555,0),4)</f>
        <v>0</v>
      </c>
      <c r="Q2555" s="67">
        <f>ROUND(IF(J2555&gt;O2555,0,J2555),4)</f>
        <v>0</v>
      </c>
      <c r="R2555" s="67">
        <f>ROUND(+P2555*D2555,4)</f>
        <v>0</v>
      </c>
      <c r="S2555" s="67">
        <f>ROUND(IF(K2555=0,0,M2555*D2555),4)</f>
        <v>0</v>
      </c>
      <c r="T2555" s="67">
        <f>ROUND(+IF(K2555=0,Q2555*D2555,0),4)</f>
        <v>0</v>
      </c>
      <c r="U2555" s="67">
        <f>ROUND(+N2555+R2555+S2555+T2555,4)</f>
        <v>0</v>
      </c>
      <c r="V2555" s="67">
        <f>ROUND(IF(P2555=0,0,I2555-H2555-O2555)+IF(L2555=0,0,I2555-H2555-K2555),4)</f>
        <v>0</v>
      </c>
      <c r="W2555" s="67">
        <f>ROUND(+(V2555*60%)*D2555,4)</f>
        <v>0</v>
      </c>
      <c r="X2555" s="148">
        <f>ROUND(+U2555+W2555,4)</f>
        <v>0</v>
      </c>
      <c r="Y2555" s="68"/>
      <c r="Z2555" s="148">
        <f>ROUND(IF(X2555&gt;I2555,X2555,I2555),4)</f>
        <v>0</v>
      </c>
      <c r="AD2555" s="78">
        <f t="shared" si="56"/>
        <v>0</v>
      </c>
      <c r="AE2555" s="78">
        <f t="shared" si="57"/>
        <v>0</v>
      </c>
    </row>
    <row r="2556" spans="1:31" x14ac:dyDescent="0.2">
      <c r="A2556" s="66"/>
      <c r="B2556" s="66"/>
      <c r="C2556" s="66"/>
      <c r="D2556" s="144"/>
      <c r="E2556" s="67"/>
      <c r="F2556" s="67"/>
      <c r="G2556" s="67"/>
      <c r="H2556" s="67">
        <f>ROUND(+E2556+G2556,4)</f>
        <v>0</v>
      </c>
      <c r="I2556" s="67"/>
      <c r="J2556" s="67">
        <f>ROUND(+I2556-H2556,4)</f>
        <v>0</v>
      </c>
      <c r="K2556" s="67">
        <f>ROUND(IF(F2556="alluminio",0,I2556*1.5%),4)</f>
        <v>0</v>
      </c>
      <c r="L2556" s="67">
        <f>ROUND(IF(K2556&lt;J2556,K2556,0),4)</f>
        <v>0</v>
      </c>
      <c r="M2556" s="67">
        <f>ROUND(IF(J2556&gt;K2556,0,J2556),4)</f>
        <v>0</v>
      </c>
      <c r="N2556" s="67">
        <f>ROUND(+L2556*D2556,4)</f>
        <v>0</v>
      </c>
      <c r="O2556" s="67">
        <f>ROUND(IF(F2556="rame",0,+I2556*3%),4)</f>
        <v>0</v>
      </c>
      <c r="P2556" s="67">
        <f>ROUND(IF(O2556&lt;J2556,O2556,0),4)</f>
        <v>0</v>
      </c>
      <c r="Q2556" s="67">
        <f>ROUND(IF(J2556&gt;O2556,0,J2556),4)</f>
        <v>0</v>
      </c>
      <c r="R2556" s="67">
        <f>ROUND(+P2556*D2556,4)</f>
        <v>0</v>
      </c>
      <c r="S2556" s="67">
        <f>ROUND(IF(K2556=0,0,M2556*D2556),4)</f>
        <v>0</v>
      </c>
      <c r="T2556" s="67">
        <f>ROUND(+IF(K2556=0,Q2556*D2556,0),4)</f>
        <v>0</v>
      </c>
      <c r="U2556" s="67">
        <f>ROUND(+N2556+R2556+S2556+T2556,4)</f>
        <v>0</v>
      </c>
      <c r="V2556" s="67">
        <f>ROUND(IF(P2556=0,0,I2556-H2556-O2556)+IF(L2556=0,0,I2556-H2556-K2556),4)</f>
        <v>0</v>
      </c>
      <c r="W2556" s="67">
        <f>ROUND(+(V2556*60%)*D2556,4)</f>
        <v>0</v>
      </c>
      <c r="X2556" s="148">
        <f>ROUND(+U2556+W2556,4)</f>
        <v>0</v>
      </c>
      <c r="Y2556" s="68"/>
      <c r="Z2556" s="148">
        <f>ROUND(IF(X2556&gt;I2556,X2556,I2556),4)</f>
        <v>0</v>
      </c>
      <c r="AD2556" s="78">
        <f t="shared" si="56"/>
        <v>0</v>
      </c>
      <c r="AE2556" s="78">
        <f t="shared" si="57"/>
        <v>0</v>
      </c>
    </row>
    <row r="2557" spans="1:31" x14ac:dyDescent="0.2">
      <c r="A2557" s="66"/>
      <c r="B2557" s="66"/>
      <c r="C2557" s="66"/>
      <c r="D2557" s="144"/>
      <c r="E2557" s="67"/>
      <c r="F2557" s="67"/>
      <c r="G2557" s="67"/>
      <c r="H2557" s="67">
        <f>ROUND(+E2557+G2557,4)</f>
        <v>0</v>
      </c>
      <c r="I2557" s="67"/>
      <c r="J2557" s="67">
        <f>ROUND(+I2557-H2557,4)</f>
        <v>0</v>
      </c>
      <c r="K2557" s="67">
        <f>ROUND(IF(F2557="alluminio",0,I2557*1.5%),4)</f>
        <v>0</v>
      </c>
      <c r="L2557" s="67">
        <f>ROUND(IF(K2557&lt;J2557,K2557,0),4)</f>
        <v>0</v>
      </c>
      <c r="M2557" s="67">
        <f>ROUND(IF(J2557&gt;K2557,0,J2557),4)</f>
        <v>0</v>
      </c>
      <c r="N2557" s="67">
        <f>ROUND(+L2557*D2557,4)</f>
        <v>0</v>
      </c>
      <c r="O2557" s="67">
        <f>ROUND(IF(F2557="rame",0,+I2557*3%),4)</f>
        <v>0</v>
      </c>
      <c r="P2557" s="67">
        <f>ROUND(IF(O2557&lt;J2557,O2557,0),4)</f>
        <v>0</v>
      </c>
      <c r="Q2557" s="67">
        <f>ROUND(IF(J2557&gt;O2557,0,J2557),4)</f>
        <v>0</v>
      </c>
      <c r="R2557" s="67">
        <f>ROUND(+P2557*D2557,4)</f>
        <v>0</v>
      </c>
      <c r="S2557" s="67">
        <f>ROUND(IF(K2557=0,0,M2557*D2557),4)</f>
        <v>0</v>
      </c>
      <c r="T2557" s="67">
        <f>ROUND(+IF(K2557=0,Q2557*D2557,0),4)</f>
        <v>0</v>
      </c>
      <c r="U2557" s="67">
        <f>ROUND(+N2557+R2557+S2557+T2557,4)</f>
        <v>0</v>
      </c>
      <c r="V2557" s="67">
        <f>ROUND(IF(P2557=0,0,I2557-H2557-O2557)+IF(L2557=0,0,I2557-H2557-K2557),4)</f>
        <v>0</v>
      </c>
      <c r="W2557" s="67">
        <f>ROUND(+(V2557*60%)*D2557,4)</f>
        <v>0</v>
      </c>
      <c r="X2557" s="148">
        <f>ROUND(+U2557+W2557,4)</f>
        <v>0</v>
      </c>
      <c r="Y2557" s="68"/>
      <c r="Z2557" s="148">
        <f>ROUND(IF(X2557&gt;I2557,X2557,I2557),4)</f>
        <v>0</v>
      </c>
      <c r="AD2557" s="78">
        <f t="shared" si="56"/>
        <v>0</v>
      </c>
      <c r="AE2557" s="78">
        <f t="shared" si="57"/>
        <v>0</v>
      </c>
    </row>
    <row r="2558" spans="1:31" x14ac:dyDescent="0.2">
      <c r="A2558" s="66"/>
      <c r="B2558" s="66"/>
      <c r="C2558" s="66"/>
      <c r="D2558" s="144"/>
      <c r="E2558" s="67"/>
      <c r="F2558" s="67"/>
      <c r="G2558" s="67"/>
      <c r="H2558" s="67">
        <f>ROUND(+E2558+G2558,4)</f>
        <v>0</v>
      </c>
      <c r="I2558" s="67"/>
      <c r="J2558" s="67">
        <f>ROUND(+I2558-H2558,4)</f>
        <v>0</v>
      </c>
      <c r="K2558" s="67">
        <f>ROUND(IF(F2558="alluminio",0,I2558*1.5%),4)</f>
        <v>0</v>
      </c>
      <c r="L2558" s="67">
        <f>ROUND(IF(K2558&lt;J2558,K2558,0),4)</f>
        <v>0</v>
      </c>
      <c r="M2558" s="67">
        <f>ROUND(IF(J2558&gt;K2558,0,J2558),4)</f>
        <v>0</v>
      </c>
      <c r="N2558" s="67">
        <f>ROUND(+L2558*D2558,4)</f>
        <v>0</v>
      </c>
      <c r="O2558" s="67">
        <f>ROUND(IF(F2558="rame",0,+I2558*3%),4)</f>
        <v>0</v>
      </c>
      <c r="P2558" s="67">
        <f>ROUND(IF(O2558&lt;J2558,O2558,0),4)</f>
        <v>0</v>
      </c>
      <c r="Q2558" s="67">
        <f>ROUND(IF(J2558&gt;O2558,0,J2558),4)</f>
        <v>0</v>
      </c>
      <c r="R2558" s="67">
        <f>ROUND(+P2558*D2558,4)</f>
        <v>0</v>
      </c>
      <c r="S2558" s="67">
        <f>ROUND(IF(K2558=0,0,M2558*D2558),4)</f>
        <v>0</v>
      </c>
      <c r="T2558" s="67">
        <f>ROUND(+IF(K2558=0,Q2558*D2558,0),4)</f>
        <v>0</v>
      </c>
      <c r="U2558" s="67">
        <f>ROUND(+N2558+R2558+S2558+T2558,4)</f>
        <v>0</v>
      </c>
      <c r="V2558" s="67">
        <f>ROUND(IF(P2558=0,0,I2558-H2558-O2558)+IF(L2558=0,0,I2558-H2558-K2558),4)</f>
        <v>0</v>
      </c>
      <c r="W2558" s="67">
        <f>ROUND(+(V2558*60%)*D2558,4)</f>
        <v>0</v>
      </c>
      <c r="X2558" s="148">
        <f>ROUND(+U2558+W2558,4)</f>
        <v>0</v>
      </c>
      <c r="Y2558" s="68"/>
      <c r="Z2558" s="148">
        <f>ROUND(IF(X2558&gt;I2558,X2558,I2558),4)</f>
        <v>0</v>
      </c>
      <c r="AD2558" s="78">
        <f t="shared" ref="AD2558:AD2621" si="58">IF(Y2558="",0,MONTH(Y2558))</f>
        <v>0</v>
      </c>
      <c r="AE2558" s="78">
        <f t="shared" ref="AE2558:AE2621" si="59">IF(Y2558="",0,YEAR(Y2558))</f>
        <v>0</v>
      </c>
    </row>
    <row r="2559" spans="1:31" x14ac:dyDescent="0.2">
      <c r="A2559" s="66"/>
      <c r="B2559" s="66"/>
      <c r="C2559" s="66"/>
      <c r="D2559" s="144"/>
      <c r="E2559" s="67"/>
      <c r="F2559" s="67"/>
      <c r="G2559" s="67"/>
      <c r="H2559" s="67">
        <f>ROUND(+E2559+G2559,4)</f>
        <v>0</v>
      </c>
      <c r="I2559" s="67"/>
      <c r="J2559" s="67">
        <f>ROUND(+I2559-H2559,4)</f>
        <v>0</v>
      </c>
      <c r="K2559" s="67">
        <f>ROUND(IF(F2559="alluminio",0,I2559*1.5%),4)</f>
        <v>0</v>
      </c>
      <c r="L2559" s="67">
        <f>ROUND(IF(K2559&lt;J2559,K2559,0),4)</f>
        <v>0</v>
      </c>
      <c r="M2559" s="67">
        <f>ROUND(IF(J2559&gt;K2559,0,J2559),4)</f>
        <v>0</v>
      </c>
      <c r="N2559" s="67">
        <f>ROUND(+L2559*D2559,4)</f>
        <v>0</v>
      </c>
      <c r="O2559" s="67">
        <f>ROUND(IF(F2559="rame",0,+I2559*3%),4)</f>
        <v>0</v>
      </c>
      <c r="P2559" s="67">
        <f>ROUND(IF(O2559&lt;J2559,O2559,0),4)</f>
        <v>0</v>
      </c>
      <c r="Q2559" s="67">
        <f>ROUND(IF(J2559&gt;O2559,0,J2559),4)</f>
        <v>0</v>
      </c>
      <c r="R2559" s="67">
        <f>ROUND(+P2559*D2559,4)</f>
        <v>0</v>
      </c>
      <c r="S2559" s="67">
        <f>ROUND(IF(K2559=0,0,M2559*D2559),4)</f>
        <v>0</v>
      </c>
      <c r="T2559" s="67">
        <f>ROUND(+IF(K2559=0,Q2559*D2559,0),4)</f>
        <v>0</v>
      </c>
      <c r="U2559" s="67">
        <f>ROUND(+N2559+R2559+S2559+T2559,4)</f>
        <v>0</v>
      </c>
      <c r="V2559" s="67">
        <f>ROUND(IF(P2559=0,0,I2559-H2559-O2559)+IF(L2559=0,0,I2559-H2559-K2559),4)</f>
        <v>0</v>
      </c>
      <c r="W2559" s="67">
        <f>ROUND(+(V2559*60%)*D2559,4)</f>
        <v>0</v>
      </c>
      <c r="X2559" s="148">
        <f>ROUND(+U2559+W2559,4)</f>
        <v>0</v>
      </c>
      <c r="Y2559" s="68"/>
      <c r="Z2559" s="148">
        <f>ROUND(IF(X2559&gt;I2559,X2559,I2559),4)</f>
        <v>0</v>
      </c>
      <c r="AD2559" s="78">
        <f t="shared" si="58"/>
        <v>0</v>
      </c>
      <c r="AE2559" s="78">
        <f t="shared" si="59"/>
        <v>0</v>
      </c>
    </row>
    <row r="2560" spans="1:31" x14ac:dyDescent="0.2">
      <c r="A2560" s="66"/>
      <c r="B2560" s="66"/>
      <c r="C2560" s="66"/>
      <c r="D2560" s="144"/>
      <c r="E2560" s="67"/>
      <c r="F2560" s="67"/>
      <c r="G2560" s="67"/>
      <c r="H2560" s="67">
        <f>ROUND(+E2560+G2560,4)</f>
        <v>0</v>
      </c>
      <c r="I2560" s="67"/>
      <c r="J2560" s="67">
        <f>ROUND(+I2560-H2560,4)</f>
        <v>0</v>
      </c>
      <c r="K2560" s="67">
        <f>ROUND(IF(F2560="alluminio",0,I2560*1.5%),4)</f>
        <v>0</v>
      </c>
      <c r="L2560" s="67">
        <f>ROUND(IF(K2560&lt;J2560,K2560,0),4)</f>
        <v>0</v>
      </c>
      <c r="M2560" s="67">
        <f>ROUND(IF(J2560&gt;K2560,0,J2560),4)</f>
        <v>0</v>
      </c>
      <c r="N2560" s="67">
        <f>ROUND(+L2560*D2560,4)</f>
        <v>0</v>
      </c>
      <c r="O2560" s="67">
        <f>ROUND(IF(F2560="rame",0,+I2560*3%),4)</f>
        <v>0</v>
      </c>
      <c r="P2560" s="67">
        <f>ROUND(IF(O2560&lt;J2560,O2560,0),4)</f>
        <v>0</v>
      </c>
      <c r="Q2560" s="67">
        <f>ROUND(IF(J2560&gt;O2560,0,J2560),4)</f>
        <v>0</v>
      </c>
      <c r="R2560" s="67">
        <f>ROUND(+P2560*D2560,4)</f>
        <v>0</v>
      </c>
      <c r="S2560" s="67">
        <f>ROUND(IF(K2560=0,0,M2560*D2560),4)</f>
        <v>0</v>
      </c>
      <c r="T2560" s="67">
        <f>ROUND(+IF(K2560=0,Q2560*D2560,0),4)</f>
        <v>0</v>
      </c>
      <c r="U2560" s="67">
        <f>ROUND(+N2560+R2560+S2560+T2560,4)</f>
        <v>0</v>
      </c>
      <c r="V2560" s="67">
        <f>ROUND(IF(P2560=0,0,I2560-H2560-O2560)+IF(L2560=0,0,I2560-H2560-K2560),4)</f>
        <v>0</v>
      </c>
      <c r="W2560" s="67">
        <f>ROUND(+(V2560*60%)*D2560,4)</f>
        <v>0</v>
      </c>
      <c r="X2560" s="148">
        <f>ROUND(+U2560+W2560,4)</f>
        <v>0</v>
      </c>
      <c r="Y2560" s="68"/>
      <c r="Z2560" s="148">
        <f>ROUND(IF(X2560&gt;I2560,X2560,I2560),4)</f>
        <v>0</v>
      </c>
      <c r="AD2560" s="78">
        <f t="shared" si="58"/>
        <v>0</v>
      </c>
      <c r="AE2560" s="78">
        <f t="shared" si="59"/>
        <v>0</v>
      </c>
    </row>
    <row r="2561" spans="1:31" x14ac:dyDescent="0.2">
      <c r="A2561" s="66"/>
      <c r="B2561" s="66"/>
      <c r="C2561" s="66"/>
      <c r="D2561" s="144"/>
      <c r="E2561" s="67"/>
      <c r="F2561" s="67"/>
      <c r="G2561" s="67"/>
      <c r="H2561" s="67">
        <f>ROUND(+E2561+G2561,4)</f>
        <v>0</v>
      </c>
      <c r="I2561" s="67"/>
      <c r="J2561" s="67">
        <f>ROUND(+I2561-H2561,4)</f>
        <v>0</v>
      </c>
      <c r="K2561" s="67">
        <f>ROUND(IF(F2561="alluminio",0,I2561*1.5%),4)</f>
        <v>0</v>
      </c>
      <c r="L2561" s="67">
        <f>ROUND(IF(K2561&lt;J2561,K2561,0),4)</f>
        <v>0</v>
      </c>
      <c r="M2561" s="67">
        <f>ROUND(IF(J2561&gt;K2561,0,J2561),4)</f>
        <v>0</v>
      </c>
      <c r="N2561" s="67">
        <f>ROUND(+L2561*D2561,4)</f>
        <v>0</v>
      </c>
      <c r="O2561" s="67">
        <f>ROUND(IF(F2561="rame",0,+I2561*3%),4)</f>
        <v>0</v>
      </c>
      <c r="P2561" s="67">
        <f>ROUND(IF(O2561&lt;J2561,O2561,0),4)</f>
        <v>0</v>
      </c>
      <c r="Q2561" s="67">
        <f>ROUND(IF(J2561&gt;O2561,0,J2561),4)</f>
        <v>0</v>
      </c>
      <c r="R2561" s="67">
        <f>ROUND(+P2561*D2561,4)</f>
        <v>0</v>
      </c>
      <c r="S2561" s="67">
        <f>ROUND(IF(K2561=0,0,M2561*D2561),4)</f>
        <v>0</v>
      </c>
      <c r="T2561" s="67">
        <f>ROUND(+IF(K2561=0,Q2561*D2561,0),4)</f>
        <v>0</v>
      </c>
      <c r="U2561" s="67">
        <f>ROUND(+N2561+R2561+S2561+T2561,4)</f>
        <v>0</v>
      </c>
      <c r="V2561" s="67">
        <f>ROUND(IF(P2561=0,0,I2561-H2561-O2561)+IF(L2561=0,0,I2561-H2561-K2561),4)</f>
        <v>0</v>
      </c>
      <c r="W2561" s="67">
        <f>ROUND(+(V2561*60%)*D2561,4)</f>
        <v>0</v>
      </c>
      <c r="X2561" s="148">
        <f>ROUND(+U2561+W2561,4)</f>
        <v>0</v>
      </c>
      <c r="Y2561" s="68"/>
      <c r="Z2561" s="148">
        <f>ROUND(IF(X2561&gt;I2561,X2561,I2561),4)</f>
        <v>0</v>
      </c>
      <c r="AD2561" s="78">
        <f t="shared" si="58"/>
        <v>0</v>
      </c>
      <c r="AE2561" s="78">
        <f t="shared" si="59"/>
        <v>0</v>
      </c>
    </row>
    <row r="2562" spans="1:31" x14ac:dyDescent="0.2">
      <c r="A2562" s="66"/>
      <c r="B2562" s="66"/>
      <c r="C2562" s="66"/>
      <c r="D2562" s="144"/>
      <c r="E2562" s="67"/>
      <c r="F2562" s="67"/>
      <c r="G2562" s="67"/>
      <c r="H2562" s="67">
        <f>ROUND(+E2562+G2562,4)</f>
        <v>0</v>
      </c>
      <c r="I2562" s="67"/>
      <c r="J2562" s="67">
        <f>ROUND(+I2562-H2562,4)</f>
        <v>0</v>
      </c>
      <c r="K2562" s="67">
        <f>ROUND(IF(F2562="alluminio",0,I2562*1.5%),4)</f>
        <v>0</v>
      </c>
      <c r="L2562" s="67">
        <f>ROUND(IF(K2562&lt;J2562,K2562,0),4)</f>
        <v>0</v>
      </c>
      <c r="M2562" s="67">
        <f>ROUND(IF(J2562&gt;K2562,0,J2562),4)</f>
        <v>0</v>
      </c>
      <c r="N2562" s="67">
        <f>ROUND(+L2562*D2562,4)</f>
        <v>0</v>
      </c>
      <c r="O2562" s="67">
        <f>ROUND(IF(F2562="rame",0,+I2562*3%),4)</f>
        <v>0</v>
      </c>
      <c r="P2562" s="67">
        <f>ROUND(IF(O2562&lt;J2562,O2562,0),4)</f>
        <v>0</v>
      </c>
      <c r="Q2562" s="67">
        <f>ROUND(IF(J2562&gt;O2562,0,J2562),4)</f>
        <v>0</v>
      </c>
      <c r="R2562" s="67">
        <f>ROUND(+P2562*D2562,4)</f>
        <v>0</v>
      </c>
      <c r="S2562" s="67">
        <f>ROUND(IF(K2562=0,0,M2562*D2562),4)</f>
        <v>0</v>
      </c>
      <c r="T2562" s="67">
        <f>ROUND(+IF(K2562=0,Q2562*D2562,0),4)</f>
        <v>0</v>
      </c>
      <c r="U2562" s="67">
        <f>ROUND(+N2562+R2562+S2562+T2562,4)</f>
        <v>0</v>
      </c>
      <c r="V2562" s="67">
        <f>ROUND(IF(P2562=0,0,I2562-H2562-O2562)+IF(L2562=0,0,I2562-H2562-K2562),4)</f>
        <v>0</v>
      </c>
      <c r="W2562" s="67">
        <f>ROUND(+(V2562*60%)*D2562,4)</f>
        <v>0</v>
      </c>
      <c r="X2562" s="148">
        <f>ROUND(+U2562+W2562,4)</f>
        <v>0</v>
      </c>
      <c r="Y2562" s="68"/>
      <c r="Z2562" s="148">
        <f>ROUND(IF(X2562&gt;I2562,X2562,I2562),4)</f>
        <v>0</v>
      </c>
      <c r="AD2562" s="78">
        <f t="shared" si="58"/>
        <v>0</v>
      </c>
      <c r="AE2562" s="78">
        <f t="shared" si="59"/>
        <v>0</v>
      </c>
    </row>
    <row r="2563" spans="1:31" x14ac:dyDescent="0.2">
      <c r="A2563" s="66"/>
      <c r="B2563" s="66"/>
      <c r="C2563" s="66"/>
      <c r="D2563" s="144"/>
      <c r="E2563" s="67"/>
      <c r="F2563" s="67"/>
      <c r="G2563" s="67"/>
      <c r="H2563" s="67">
        <f>ROUND(+E2563+G2563,4)</f>
        <v>0</v>
      </c>
      <c r="I2563" s="67"/>
      <c r="J2563" s="67">
        <f>ROUND(+I2563-H2563,4)</f>
        <v>0</v>
      </c>
      <c r="K2563" s="67">
        <f>ROUND(IF(F2563="alluminio",0,I2563*1.5%),4)</f>
        <v>0</v>
      </c>
      <c r="L2563" s="67">
        <f>ROUND(IF(K2563&lt;J2563,K2563,0),4)</f>
        <v>0</v>
      </c>
      <c r="M2563" s="67">
        <f>ROUND(IF(J2563&gt;K2563,0,J2563),4)</f>
        <v>0</v>
      </c>
      <c r="N2563" s="67">
        <f>ROUND(+L2563*D2563,4)</f>
        <v>0</v>
      </c>
      <c r="O2563" s="67">
        <f>ROUND(IF(F2563="rame",0,+I2563*3%),4)</f>
        <v>0</v>
      </c>
      <c r="P2563" s="67">
        <f>ROUND(IF(O2563&lt;J2563,O2563,0),4)</f>
        <v>0</v>
      </c>
      <c r="Q2563" s="67">
        <f>ROUND(IF(J2563&gt;O2563,0,J2563),4)</f>
        <v>0</v>
      </c>
      <c r="R2563" s="67">
        <f>ROUND(+P2563*D2563,4)</f>
        <v>0</v>
      </c>
      <c r="S2563" s="67">
        <f>ROUND(IF(K2563=0,0,M2563*D2563),4)</f>
        <v>0</v>
      </c>
      <c r="T2563" s="67">
        <f>ROUND(+IF(K2563=0,Q2563*D2563,0),4)</f>
        <v>0</v>
      </c>
      <c r="U2563" s="67">
        <f>ROUND(+N2563+R2563+S2563+T2563,4)</f>
        <v>0</v>
      </c>
      <c r="V2563" s="67">
        <f>ROUND(IF(P2563=0,0,I2563-H2563-O2563)+IF(L2563=0,0,I2563-H2563-K2563),4)</f>
        <v>0</v>
      </c>
      <c r="W2563" s="67">
        <f>ROUND(+(V2563*60%)*D2563,4)</f>
        <v>0</v>
      </c>
      <c r="X2563" s="148">
        <f>ROUND(+U2563+W2563,4)</f>
        <v>0</v>
      </c>
      <c r="Y2563" s="68"/>
      <c r="Z2563" s="148">
        <f>ROUND(IF(X2563&gt;I2563,X2563,I2563),4)</f>
        <v>0</v>
      </c>
      <c r="AD2563" s="78">
        <f t="shared" si="58"/>
        <v>0</v>
      </c>
      <c r="AE2563" s="78">
        <f t="shared" si="59"/>
        <v>0</v>
      </c>
    </row>
    <row r="2564" spans="1:31" x14ac:dyDescent="0.2">
      <c r="A2564" s="66"/>
      <c r="B2564" s="66"/>
      <c r="C2564" s="66"/>
      <c r="D2564" s="144"/>
      <c r="E2564" s="67"/>
      <c r="F2564" s="67"/>
      <c r="G2564" s="67"/>
      <c r="H2564" s="67">
        <f>ROUND(+E2564+G2564,4)</f>
        <v>0</v>
      </c>
      <c r="I2564" s="67"/>
      <c r="J2564" s="67">
        <f>ROUND(+I2564-H2564,4)</f>
        <v>0</v>
      </c>
      <c r="K2564" s="67">
        <f>ROUND(IF(F2564="alluminio",0,I2564*1.5%),4)</f>
        <v>0</v>
      </c>
      <c r="L2564" s="67">
        <f>ROUND(IF(K2564&lt;J2564,K2564,0),4)</f>
        <v>0</v>
      </c>
      <c r="M2564" s="67">
        <f>ROUND(IF(J2564&gt;K2564,0,J2564),4)</f>
        <v>0</v>
      </c>
      <c r="N2564" s="67">
        <f>ROUND(+L2564*D2564,4)</f>
        <v>0</v>
      </c>
      <c r="O2564" s="67">
        <f>ROUND(IF(F2564="rame",0,+I2564*3%),4)</f>
        <v>0</v>
      </c>
      <c r="P2564" s="67">
        <f>ROUND(IF(O2564&lt;J2564,O2564,0),4)</f>
        <v>0</v>
      </c>
      <c r="Q2564" s="67">
        <f>ROUND(IF(J2564&gt;O2564,0,J2564),4)</f>
        <v>0</v>
      </c>
      <c r="R2564" s="67">
        <f>ROUND(+P2564*D2564,4)</f>
        <v>0</v>
      </c>
      <c r="S2564" s="67">
        <f>ROUND(IF(K2564=0,0,M2564*D2564),4)</f>
        <v>0</v>
      </c>
      <c r="T2564" s="67">
        <f>ROUND(+IF(K2564=0,Q2564*D2564,0),4)</f>
        <v>0</v>
      </c>
      <c r="U2564" s="67">
        <f>ROUND(+N2564+R2564+S2564+T2564,4)</f>
        <v>0</v>
      </c>
      <c r="V2564" s="67">
        <f>ROUND(IF(P2564=0,0,I2564-H2564-O2564)+IF(L2564=0,0,I2564-H2564-K2564),4)</f>
        <v>0</v>
      </c>
      <c r="W2564" s="67">
        <f>ROUND(+(V2564*60%)*D2564,4)</f>
        <v>0</v>
      </c>
      <c r="X2564" s="148">
        <f>ROUND(+U2564+W2564,4)</f>
        <v>0</v>
      </c>
      <c r="Y2564" s="68"/>
      <c r="Z2564" s="148">
        <f>ROUND(IF(X2564&gt;I2564,X2564,I2564),4)</f>
        <v>0</v>
      </c>
      <c r="AD2564" s="78">
        <f t="shared" si="58"/>
        <v>0</v>
      </c>
      <c r="AE2564" s="78">
        <f t="shared" si="59"/>
        <v>0</v>
      </c>
    </row>
    <row r="2565" spans="1:31" x14ac:dyDescent="0.2">
      <c r="A2565" s="66"/>
      <c r="B2565" s="66"/>
      <c r="C2565" s="66"/>
      <c r="D2565" s="144"/>
      <c r="E2565" s="67"/>
      <c r="F2565" s="67"/>
      <c r="G2565" s="67"/>
      <c r="H2565" s="67">
        <f>ROUND(+E2565+G2565,4)</f>
        <v>0</v>
      </c>
      <c r="I2565" s="67"/>
      <c r="J2565" s="67">
        <f>ROUND(+I2565-H2565,4)</f>
        <v>0</v>
      </c>
      <c r="K2565" s="67">
        <f>ROUND(IF(F2565="alluminio",0,I2565*1.5%),4)</f>
        <v>0</v>
      </c>
      <c r="L2565" s="67">
        <f>ROUND(IF(K2565&lt;J2565,K2565,0),4)</f>
        <v>0</v>
      </c>
      <c r="M2565" s="67">
        <f>ROUND(IF(J2565&gt;K2565,0,J2565),4)</f>
        <v>0</v>
      </c>
      <c r="N2565" s="67">
        <f>ROUND(+L2565*D2565,4)</f>
        <v>0</v>
      </c>
      <c r="O2565" s="67">
        <f>ROUND(IF(F2565="rame",0,+I2565*3%),4)</f>
        <v>0</v>
      </c>
      <c r="P2565" s="67">
        <f>ROUND(IF(O2565&lt;J2565,O2565,0),4)</f>
        <v>0</v>
      </c>
      <c r="Q2565" s="67">
        <f>ROUND(IF(J2565&gt;O2565,0,J2565),4)</f>
        <v>0</v>
      </c>
      <c r="R2565" s="67">
        <f>ROUND(+P2565*D2565,4)</f>
        <v>0</v>
      </c>
      <c r="S2565" s="67">
        <f>ROUND(IF(K2565=0,0,M2565*D2565),4)</f>
        <v>0</v>
      </c>
      <c r="T2565" s="67">
        <f>ROUND(+IF(K2565=0,Q2565*D2565,0),4)</f>
        <v>0</v>
      </c>
      <c r="U2565" s="67">
        <f>ROUND(+N2565+R2565+S2565+T2565,4)</f>
        <v>0</v>
      </c>
      <c r="V2565" s="67">
        <f>ROUND(IF(P2565=0,0,I2565-H2565-O2565)+IF(L2565=0,0,I2565-H2565-K2565),4)</f>
        <v>0</v>
      </c>
      <c r="W2565" s="67">
        <f>ROUND(+(V2565*60%)*D2565,4)</f>
        <v>0</v>
      </c>
      <c r="X2565" s="148">
        <f>ROUND(+U2565+W2565,4)</f>
        <v>0</v>
      </c>
      <c r="Y2565" s="68"/>
      <c r="Z2565" s="148">
        <f>ROUND(IF(X2565&gt;I2565,X2565,I2565),4)</f>
        <v>0</v>
      </c>
      <c r="AD2565" s="78">
        <f t="shared" si="58"/>
        <v>0</v>
      </c>
      <c r="AE2565" s="78">
        <f t="shared" si="59"/>
        <v>0</v>
      </c>
    </row>
    <row r="2566" spans="1:31" x14ac:dyDescent="0.2">
      <c r="A2566" s="66"/>
      <c r="B2566" s="66"/>
      <c r="C2566" s="66"/>
      <c r="D2566" s="144"/>
      <c r="E2566" s="67"/>
      <c r="F2566" s="67"/>
      <c r="G2566" s="67"/>
      <c r="H2566" s="67">
        <f>ROUND(+E2566+G2566,4)</f>
        <v>0</v>
      </c>
      <c r="I2566" s="67"/>
      <c r="J2566" s="67">
        <f>ROUND(+I2566-H2566,4)</f>
        <v>0</v>
      </c>
      <c r="K2566" s="67">
        <f>ROUND(IF(F2566="alluminio",0,I2566*1.5%),4)</f>
        <v>0</v>
      </c>
      <c r="L2566" s="67">
        <f>ROUND(IF(K2566&lt;J2566,K2566,0),4)</f>
        <v>0</v>
      </c>
      <c r="M2566" s="67">
        <f>ROUND(IF(J2566&gt;K2566,0,J2566),4)</f>
        <v>0</v>
      </c>
      <c r="N2566" s="67">
        <f>ROUND(+L2566*D2566,4)</f>
        <v>0</v>
      </c>
      <c r="O2566" s="67">
        <f>ROUND(IF(F2566="rame",0,+I2566*3%),4)</f>
        <v>0</v>
      </c>
      <c r="P2566" s="67">
        <f>ROUND(IF(O2566&lt;J2566,O2566,0),4)</f>
        <v>0</v>
      </c>
      <c r="Q2566" s="67">
        <f>ROUND(IF(J2566&gt;O2566,0,J2566),4)</f>
        <v>0</v>
      </c>
      <c r="R2566" s="67">
        <f>ROUND(+P2566*D2566,4)</f>
        <v>0</v>
      </c>
      <c r="S2566" s="67">
        <f>ROUND(IF(K2566=0,0,M2566*D2566),4)</f>
        <v>0</v>
      </c>
      <c r="T2566" s="67">
        <f>ROUND(+IF(K2566=0,Q2566*D2566,0),4)</f>
        <v>0</v>
      </c>
      <c r="U2566" s="67">
        <f>ROUND(+N2566+R2566+S2566+T2566,4)</f>
        <v>0</v>
      </c>
      <c r="V2566" s="67">
        <f>ROUND(IF(P2566=0,0,I2566-H2566-O2566)+IF(L2566=0,0,I2566-H2566-K2566),4)</f>
        <v>0</v>
      </c>
      <c r="W2566" s="67">
        <f>ROUND(+(V2566*60%)*D2566,4)</f>
        <v>0</v>
      </c>
      <c r="X2566" s="148">
        <f>ROUND(+U2566+W2566,4)</f>
        <v>0</v>
      </c>
      <c r="Y2566" s="68"/>
      <c r="Z2566" s="148">
        <f>ROUND(IF(X2566&gt;I2566,X2566,I2566),4)</f>
        <v>0</v>
      </c>
      <c r="AD2566" s="78">
        <f t="shared" si="58"/>
        <v>0</v>
      </c>
      <c r="AE2566" s="78">
        <f t="shared" si="59"/>
        <v>0</v>
      </c>
    </row>
    <row r="2567" spans="1:31" x14ac:dyDescent="0.2">
      <c r="A2567" s="66"/>
      <c r="B2567" s="66"/>
      <c r="C2567" s="66"/>
      <c r="D2567" s="144"/>
      <c r="E2567" s="67"/>
      <c r="F2567" s="67"/>
      <c r="G2567" s="67"/>
      <c r="H2567" s="67">
        <f>ROUND(+E2567+G2567,4)</f>
        <v>0</v>
      </c>
      <c r="I2567" s="67"/>
      <c r="J2567" s="67">
        <f>ROUND(+I2567-H2567,4)</f>
        <v>0</v>
      </c>
      <c r="K2567" s="67">
        <f>ROUND(IF(F2567="alluminio",0,I2567*1.5%),4)</f>
        <v>0</v>
      </c>
      <c r="L2567" s="67">
        <f>ROUND(IF(K2567&lt;J2567,K2567,0),4)</f>
        <v>0</v>
      </c>
      <c r="M2567" s="67">
        <f>ROUND(IF(J2567&gt;K2567,0,J2567),4)</f>
        <v>0</v>
      </c>
      <c r="N2567" s="67">
        <f>ROUND(+L2567*D2567,4)</f>
        <v>0</v>
      </c>
      <c r="O2567" s="67">
        <f>ROUND(IF(F2567="rame",0,+I2567*3%),4)</f>
        <v>0</v>
      </c>
      <c r="P2567" s="67">
        <f>ROUND(IF(O2567&lt;J2567,O2567,0),4)</f>
        <v>0</v>
      </c>
      <c r="Q2567" s="67">
        <f>ROUND(IF(J2567&gt;O2567,0,J2567),4)</f>
        <v>0</v>
      </c>
      <c r="R2567" s="67">
        <f>ROUND(+P2567*D2567,4)</f>
        <v>0</v>
      </c>
      <c r="S2567" s="67">
        <f>ROUND(IF(K2567=0,0,M2567*D2567),4)</f>
        <v>0</v>
      </c>
      <c r="T2567" s="67">
        <f>ROUND(+IF(K2567=0,Q2567*D2567,0),4)</f>
        <v>0</v>
      </c>
      <c r="U2567" s="67">
        <f>ROUND(+N2567+R2567+S2567+T2567,4)</f>
        <v>0</v>
      </c>
      <c r="V2567" s="67">
        <f>ROUND(IF(P2567=0,0,I2567-H2567-O2567)+IF(L2567=0,0,I2567-H2567-K2567),4)</f>
        <v>0</v>
      </c>
      <c r="W2567" s="67">
        <f>ROUND(+(V2567*60%)*D2567,4)</f>
        <v>0</v>
      </c>
      <c r="X2567" s="148">
        <f>ROUND(+U2567+W2567,4)</f>
        <v>0</v>
      </c>
      <c r="Y2567" s="68"/>
      <c r="Z2567" s="148">
        <f>ROUND(IF(X2567&gt;I2567,X2567,I2567),4)</f>
        <v>0</v>
      </c>
      <c r="AD2567" s="78">
        <f t="shared" si="58"/>
        <v>0</v>
      </c>
      <c r="AE2567" s="78">
        <f t="shared" si="59"/>
        <v>0</v>
      </c>
    </row>
    <row r="2568" spans="1:31" x14ac:dyDescent="0.2">
      <c r="A2568" s="66"/>
      <c r="B2568" s="66"/>
      <c r="C2568" s="66"/>
      <c r="D2568" s="144"/>
      <c r="E2568" s="67"/>
      <c r="F2568" s="67"/>
      <c r="G2568" s="67"/>
      <c r="H2568" s="67">
        <f>ROUND(+E2568+G2568,4)</f>
        <v>0</v>
      </c>
      <c r="I2568" s="67"/>
      <c r="J2568" s="67">
        <f>ROUND(+I2568-H2568,4)</f>
        <v>0</v>
      </c>
      <c r="K2568" s="67">
        <f>ROUND(IF(F2568="alluminio",0,I2568*1.5%),4)</f>
        <v>0</v>
      </c>
      <c r="L2568" s="67">
        <f>ROUND(IF(K2568&lt;J2568,K2568,0),4)</f>
        <v>0</v>
      </c>
      <c r="M2568" s="67">
        <f>ROUND(IF(J2568&gt;K2568,0,J2568),4)</f>
        <v>0</v>
      </c>
      <c r="N2568" s="67">
        <f>ROUND(+L2568*D2568,4)</f>
        <v>0</v>
      </c>
      <c r="O2568" s="67">
        <f>ROUND(IF(F2568="rame",0,+I2568*3%),4)</f>
        <v>0</v>
      </c>
      <c r="P2568" s="67">
        <f>ROUND(IF(O2568&lt;J2568,O2568,0),4)</f>
        <v>0</v>
      </c>
      <c r="Q2568" s="67">
        <f>ROUND(IF(J2568&gt;O2568,0,J2568),4)</f>
        <v>0</v>
      </c>
      <c r="R2568" s="67">
        <f>ROUND(+P2568*D2568,4)</f>
        <v>0</v>
      </c>
      <c r="S2568" s="67">
        <f>ROUND(IF(K2568=0,0,M2568*D2568),4)</f>
        <v>0</v>
      </c>
      <c r="T2568" s="67">
        <f>ROUND(+IF(K2568=0,Q2568*D2568,0),4)</f>
        <v>0</v>
      </c>
      <c r="U2568" s="67">
        <f>ROUND(+N2568+R2568+S2568+T2568,4)</f>
        <v>0</v>
      </c>
      <c r="V2568" s="67">
        <f>ROUND(IF(P2568=0,0,I2568-H2568-O2568)+IF(L2568=0,0,I2568-H2568-K2568),4)</f>
        <v>0</v>
      </c>
      <c r="W2568" s="67">
        <f>ROUND(+(V2568*60%)*D2568,4)</f>
        <v>0</v>
      </c>
      <c r="X2568" s="148">
        <f>ROUND(+U2568+W2568,4)</f>
        <v>0</v>
      </c>
      <c r="Y2568" s="68"/>
      <c r="Z2568" s="148">
        <f>ROUND(IF(X2568&gt;I2568,X2568,I2568),4)</f>
        <v>0</v>
      </c>
      <c r="AD2568" s="78">
        <f t="shared" si="58"/>
        <v>0</v>
      </c>
      <c r="AE2568" s="78">
        <f t="shared" si="59"/>
        <v>0</v>
      </c>
    </row>
    <row r="2569" spans="1:31" x14ac:dyDescent="0.2">
      <c r="A2569" s="66"/>
      <c r="B2569" s="66"/>
      <c r="C2569" s="66"/>
      <c r="D2569" s="144"/>
      <c r="E2569" s="67"/>
      <c r="F2569" s="67"/>
      <c r="G2569" s="67"/>
      <c r="H2569" s="67">
        <f>ROUND(+E2569+G2569,4)</f>
        <v>0</v>
      </c>
      <c r="I2569" s="67"/>
      <c r="J2569" s="67">
        <f>ROUND(+I2569-H2569,4)</f>
        <v>0</v>
      </c>
      <c r="K2569" s="67">
        <f>ROUND(IF(F2569="alluminio",0,I2569*1.5%),4)</f>
        <v>0</v>
      </c>
      <c r="L2569" s="67">
        <f>ROUND(IF(K2569&lt;J2569,K2569,0),4)</f>
        <v>0</v>
      </c>
      <c r="M2569" s="67">
        <f>ROUND(IF(J2569&gt;K2569,0,J2569),4)</f>
        <v>0</v>
      </c>
      <c r="N2569" s="67">
        <f>ROUND(+L2569*D2569,4)</f>
        <v>0</v>
      </c>
      <c r="O2569" s="67">
        <f>ROUND(IF(F2569="rame",0,+I2569*3%),4)</f>
        <v>0</v>
      </c>
      <c r="P2569" s="67">
        <f>ROUND(IF(O2569&lt;J2569,O2569,0),4)</f>
        <v>0</v>
      </c>
      <c r="Q2569" s="67">
        <f>ROUND(IF(J2569&gt;O2569,0,J2569),4)</f>
        <v>0</v>
      </c>
      <c r="R2569" s="67">
        <f>ROUND(+P2569*D2569,4)</f>
        <v>0</v>
      </c>
      <c r="S2569" s="67">
        <f>ROUND(IF(K2569=0,0,M2569*D2569),4)</f>
        <v>0</v>
      </c>
      <c r="T2569" s="67">
        <f>ROUND(+IF(K2569=0,Q2569*D2569,0),4)</f>
        <v>0</v>
      </c>
      <c r="U2569" s="67">
        <f>ROUND(+N2569+R2569+S2569+T2569,4)</f>
        <v>0</v>
      </c>
      <c r="V2569" s="67">
        <f>ROUND(IF(P2569=0,0,I2569-H2569-O2569)+IF(L2569=0,0,I2569-H2569-K2569),4)</f>
        <v>0</v>
      </c>
      <c r="W2569" s="67">
        <f>ROUND(+(V2569*60%)*D2569,4)</f>
        <v>0</v>
      </c>
      <c r="X2569" s="148">
        <f>ROUND(+U2569+W2569,4)</f>
        <v>0</v>
      </c>
      <c r="Y2569" s="68"/>
      <c r="Z2569" s="148">
        <f>ROUND(IF(X2569&gt;I2569,X2569,I2569),4)</f>
        <v>0</v>
      </c>
      <c r="AD2569" s="78">
        <f t="shared" si="58"/>
        <v>0</v>
      </c>
      <c r="AE2569" s="78">
        <f t="shared" si="59"/>
        <v>0</v>
      </c>
    </row>
    <row r="2570" spans="1:31" x14ac:dyDescent="0.2">
      <c r="A2570" s="66"/>
      <c r="B2570" s="66"/>
      <c r="C2570" s="66"/>
      <c r="D2570" s="144"/>
      <c r="E2570" s="67"/>
      <c r="F2570" s="67"/>
      <c r="G2570" s="67"/>
      <c r="H2570" s="67">
        <f>ROUND(+E2570+G2570,4)</f>
        <v>0</v>
      </c>
      <c r="I2570" s="67"/>
      <c r="J2570" s="67">
        <f>ROUND(+I2570-H2570,4)</f>
        <v>0</v>
      </c>
      <c r="K2570" s="67">
        <f>ROUND(IF(F2570="alluminio",0,I2570*1.5%),4)</f>
        <v>0</v>
      </c>
      <c r="L2570" s="67">
        <f>ROUND(IF(K2570&lt;J2570,K2570,0),4)</f>
        <v>0</v>
      </c>
      <c r="M2570" s="67">
        <f>ROUND(IF(J2570&gt;K2570,0,J2570),4)</f>
        <v>0</v>
      </c>
      <c r="N2570" s="67">
        <f>ROUND(+L2570*D2570,4)</f>
        <v>0</v>
      </c>
      <c r="O2570" s="67">
        <f>ROUND(IF(F2570="rame",0,+I2570*3%),4)</f>
        <v>0</v>
      </c>
      <c r="P2570" s="67">
        <f>ROUND(IF(O2570&lt;J2570,O2570,0),4)</f>
        <v>0</v>
      </c>
      <c r="Q2570" s="67">
        <f>ROUND(IF(J2570&gt;O2570,0,J2570),4)</f>
        <v>0</v>
      </c>
      <c r="R2570" s="67">
        <f>ROUND(+P2570*D2570,4)</f>
        <v>0</v>
      </c>
      <c r="S2570" s="67">
        <f>ROUND(IF(K2570=0,0,M2570*D2570),4)</f>
        <v>0</v>
      </c>
      <c r="T2570" s="67">
        <f>ROUND(+IF(K2570=0,Q2570*D2570,0),4)</f>
        <v>0</v>
      </c>
      <c r="U2570" s="67">
        <f>ROUND(+N2570+R2570+S2570+T2570,4)</f>
        <v>0</v>
      </c>
      <c r="V2570" s="67">
        <f>ROUND(IF(P2570=0,0,I2570-H2570-O2570)+IF(L2570=0,0,I2570-H2570-K2570),4)</f>
        <v>0</v>
      </c>
      <c r="W2570" s="67">
        <f>ROUND(+(V2570*60%)*D2570,4)</f>
        <v>0</v>
      </c>
      <c r="X2570" s="148">
        <f>ROUND(+U2570+W2570,4)</f>
        <v>0</v>
      </c>
      <c r="Y2570" s="68"/>
      <c r="Z2570" s="148">
        <f>ROUND(IF(X2570&gt;I2570,X2570,I2570),4)</f>
        <v>0</v>
      </c>
      <c r="AD2570" s="78">
        <f t="shared" si="58"/>
        <v>0</v>
      </c>
      <c r="AE2570" s="78">
        <f t="shared" si="59"/>
        <v>0</v>
      </c>
    </row>
    <row r="2571" spans="1:31" x14ac:dyDescent="0.2">
      <c r="A2571" s="66"/>
      <c r="B2571" s="66"/>
      <c r="C2571" s="66"/>
      <c r="D2571" s="144"/>
      <c r="E2571" s="67"/>
      <c r="F2571" s="67"/>
      <c r="G2571" s="67"/>
      <c r="H2571" s="67">
        <f>ROUND(+E2571+G2571,4)</f>
        <v>0</v>
      </c>
      <c r="I2571" s="67"/>
      <c r="J2571" s="67">
        <f>ROUND(+I2571-H2571,4)</f>
        <v>0</v>
      </c>
      <c r="K2571" s="67">
        <f>ROUND(IF(F2571="alluminio",0,I2571*1.5%),4)</f>
        <v>0</v>
      </c>
      <c r="L2571" s="67">
        <f>ROUND(IF(K2571&lt;J2571,K2571,0),4)</f>
        <v>0</v>
      </c>
      <c r="M2571" s="67">
        <f>ROUND(IF(J2571&gt;K2571,0,J2571),4)</f>
        <v>0</v>
      </c>
      <c r="N2571" s="67">
        <f>ROUND(+L2571*D2571,4)</f>
        <v>0</v>
      </c>
      <c r="O2571" s="67">
        <f>ROUND(IF(F2571="rame",0,+I2571*3%),4)</f>
        <v>0</v>
      </c>
      <c r="P2571" s="67">
        <f>ROUND(IF(O2571&lt;J2571,O2571,0),4)</f>
        <v>0</v>
      </c>
      <c r="Q2571" s="67">
        <f>ROUND(IF(J2571&gt;O2571,0,J2571),4)</f>
        <v>0</v>
      </c>
      <c r="R2571" s="67">
        <f>ROUND(+P2571*D2571,4)</f>
        <v>0</v>
      </c>
      <c r="S2571" s="67">
        <f>ROUND(IF(K2571=0,0,M2571*D2571),4)</f>
        <v>0</v>
      </c>
      <c r="T2571" s="67">
        <f>ROUND(+IF(K2571=0,Q2571*D2571,0),4)</f>
        <v>0</v>
      </c>
      <c r="U2571" s="67">
        <f>ROUND(+N2571+R2571+S2571+T2571,4)</f>
        <v>0</v>
      </c>
      <c r="V2571" s="67">
        <f>ROUND(IF(P2571=0,0,I2571-H2571-O2571)+IF(L2571=0,0,I2571-H2571-K2571),4)</f>
        <v>0</v>
      </c>
      <c r="W2571" s="67">
        <f>ROUND(+(V2571*60%)*D2571,4)</f>
        <v>0</v>
      </c>
      <c r="X2571" s="148">
        <f>ROUND(+U2571+W2571,4)</f>
        <v>0</v>
      </c>
      <c r="Y2571" s="68"/>
      <c r="Z2571" s="148">
        <f>ROUND(IF(X2571&gt;I2571,X2571,I2571),4)</f>
        <v>0</v>
      </c>
      <c r="AD2571" s="78">
        <f t="shared" si="58"/>
        <v>0</v>
      </c>
      <c r="AE2571" s="78">
        <f t="shared" si="59"/>
        <v>0</v>
      </c>
    </row>
    <row r="2572" spans="1:31" x14ac:dyDescent="0.2">
      <c r="A2572" s="66"/>
      <c r="B2572" s="66"/>
      <c r="C2572" s="66"/>
      <c r="D2572" s="144"/>
      <c r="E2572" s="67"/>
      <c r="F2572" s="67"/>
      <c r="G2572" s="67"/>
      <c r="H2572" s="67">
        <f>ROUND(+E2572+G2572,4)</f>
        <v>0</v>
      </c>
      <c r="I2572" s="67"/>
      <c r="J2572" s="67">
        <f>ROUND(+I2572-H2572,4)</f>
        <v>0</v>
      </c>
      <c r="K2572" s="67">
        <f>ROUND(IF(F2572="alluminio",0,I2572*1.5%),4)</f>
        <v>0</v>
      </c>
      <c r="L2572" s="67">
        <f>ROUND(IF(K2572&lt;J2572,K2572,0),4)</f>
        <v>0</v>
      </c>
      <c r="M2572" s="67">
        <f>ROUND(IF(J2572&gt;K2572,0,J2572),4)</f>
        <v>0</v>
      </c>
      <c r="N2572" s="67">
        <f>ROUND(+L2572*D2572,4)</f>
        <v>0</v>
      </c>
      <c r="O2572" s="67">
        <f>ROUND(IF(F2572="rame",0,+I2572*3%),4)</f>
        <v>0</v>
      </c>
      <c r="P2572" s="67">
        <f>ROUND(IF(O2572&lt;J2572,O2572,0),4)</f>
        <v>0</v>
      </c>
      <c r="Q2572" s="67">
        <f>ROUND(IF(J2572&gt;O2572,0,J2572),4)</f>
        <v>0</v>
      </c>
      <c r="R2572" s="67">
        <f>ROUND(+P2572*D2572,4)</f>
        <v>0</v>
      </c>
      <c r="S2572" s="67">
        <f>ROUND(IF(K2572=0,0,M2572*D2572),4)</f>
        <v>0</v>
      </c>
      <c r="T2572" s="67">
        <f>ROUND(+IF(K2572=0,Q2572*D2572,0),4)</f>
        <v>0</v>
      </c>
      <c r="U2572" s="67">
        <f>ROUND(+N2572+R2572+S2572+T2572,4)</f>
        <v>0</v>
      </c>
      <c r="V2572" s="67">
        <f>ROUND(IF(P2572=0,0,I2572-H2572-O2572)+IF(L2572=0,0,I2572-H2572-K2572),4)</f>
        <v>0</v>
      </c>
      <c r="W2572" s="67">
        <f>ROUND(+(V2572*60%)*D2572,4)</f>
        <v>0</v>
      </c>
      <c r="X2572" s="148">
        <f>ROUND(+U2572+W2572,4)</f>
        <v>0</v>
      </c>
      <c r="Y2572" s="68"/>
      <c r="Z2572" s="148">
        <f>ROUND(IF(X2572&gt;I2572,X2572,I2572),4)</f>
        <v>0</v>
      </c>
      <c r="AD2572" s="78">
        <f t="shared" si="58"/>
        <v>0</v>
      </c>
      <c r="AE2572" s="78">
        <f t="shared" si="59"/>
        <v>0</v>
      </c>
    </row>
    <row r="2573" spans="1:31" x14ac:dyDescent="0.2">
      <c r="A2573" s="66"/>
      <c r="B2573" s="66"/>
      <c r="C2573" s="66"/>
      <c r="D2573" s="144"/>
      <c r="E2573" s="67"/>
      <c r="F2573" s="67"/>
      <c r="G2573" s="67"/>
      <c r="H2573" s="67">
        <f>ROUND(+E2573+G2573,4)</f>
        <v>0</v>
      </c>
      <c r="I2573" s="67"/>
      <c r="J2573" s="67">
        <f>ROUND(+I2573-H2573,4)</f>
        <v>0</v>
      </c>
      <c r="K2573" s="67">
        <f>ROUND(IF(F2573="alluminio",0,I2573*1.5%),4)</f>
        <v>0</v>
      </c>
      <c r="L2573" s="67">
        <f>ROUND(IF(K2573&lt;J2573,K2573,0),4)</f>
        <v>0</v>
      </c>
      <c r="M2573" s="67">
        <f>ROUND(IF(J2573&gt;K2573,0,J2573),4)</f>
        <v>0</v>
      </c>
      <c r="N2573" s="67">
        <f>ROUND(+L2573*D2573,4)</f>
        <v>0</v>
      </c>
      <c r="O2573" s="67">
        <f>ROUND(IF(F2573="rame",0,+I2573*3%),4)</f>
        <v>0</v>
      </c>
      <c r="P2573" s="67">
        <f>ROUND(IF(O2573&lt;J2573,O2573,0),4)</f>
        <v>0</v>
      </c>
      <c r="Q2573" s="67">
        <f>ROUND(IF(J2573&gt;O2573,0,J2573),4)</f>
        <v>0</v>
      </c>
      <c r="R2573" s="67">
        <f>ROUND(+P2573*D2573,4)</f>
        <v>0</v>
      </c>
      <c r="S2573" s="67">
        <f>ROUND(IF(K2573=0,0,M2573*D2573),4)</f>
        <v>0</v>
      </c>
      <c r="T2573" s="67">
        <f>ROUND(+IF(K2573=0,Q2573*D2573,0),4)</f>
        <v>0</v>
      </c>
      <c r="U2573" s="67">
        <f>ROUND(+N2573+R2573+S2573+T2573,4)</f>
        <v>0</v>
      </c>
      <c r="V2573" s="67">
        <f>ROUND(IF(P2573=0,0,I2573-H2573-O2573)+IF(L2573=0,0,I2573-H2573-K2573),4)</f>
        <v>0</v>
      </c>
      <c r="W2573" s="67">
        <f>ROUND(+(V2573*60%)*D2573,4)</f>
        <v>0</v>
      </c>
      <c r="X2573" s="148">
        <f>ROUND(+U2573+W2573,4)</f>
        <v>0</v>
      </c>
      <c r="Y2573" s="68"/>
      <c r="Z2573" s="148">
        <f>ROUND(IF(X2573&gt;I2573,X2573,I2573),4)</f>
        <v>0</v>
      </c>
      <c r="AD2573" s="78">
        <f t="shared" si="58"/>
        <v>0</v>
      </c>
      <c r="AE2573" s="78">
        <f t="shared" si="59"/>
        <v>0</v>
      </c>
    </row>
    <row r="2574" spans="1:31" x14ac:dyDescent="0.2">
      <c r="A2574" s="66"/>
      <c r="B2574" s="66"/>
      <c r="C2574" s="66"/>
      <c r="D2574" s="144"/>
      <c r="E2574" s="67"/>
      <c r="F2574" s="67"/>
      <c r="G2574" s="67"/>
      <c r="H2574" s="67">
        <f>ROUND(+E2574+G2574,4)</f>
        <v>0</v>
      </c>
      <c r="I2574" s="67"/>
      <c r="J2574" s="67">
        <f>ROUND(+I2574-H2574,4)</f>
        <v>0</v>
      </c>
      <c r="K2574" s="67">
        <f>ROUND(IF(F2574="alluminio",0,I2574*1.5%),4)</f>
        <v>0</v>
      </c>
      <c r="L2574" s="67">
        <f>ROUND(IF(K2574&lt;J2574,K2574,0),4)</f>
        <v>0</v>
      </c>
      <c r="M2574" s="67">
        <f>ROUND(IF(J2574&gt;K2574,0,J2574),4)</f>
        <v>0</v>
      </c>
      <c r="N2574" s="67">
        <f>ROUND(+L2574*D2574,4)</f>
        <v>0</v>
      </c>
      <c r="O2574" s="67">
        <f>ROUND(IF(F2574="rame",0,+I2574*3%),4)</f>
        <v>0</v>
      </c>
      <c r="P2574" s="67">
        <f>ROUND(IF(O2574&lt;J2574,O2574,0),4)</f>
        <v>0</v>
      </c>
      <c r="Q2574" s="67">
        <f>ROUND(IF(J2574&gt;O2574,0,J2574),4)</f>
        <v>0</v>
      </c>
      <c r="R2574" s="67">
        <f>ROUND(+P2574*D2574,4)</f>
        <v>0</v>
      </c>
      <c r="S2574" s="67">
        <f>ROUND(IF(K2574=0,0,M2574*D2574),4)</f>
        <v>0</v>
      </c>
      <c r="T2574" s="67">
        <f>ROUND(+IF(K2574=0,Q2574*D2574,0),4)</f>
        <v>0</v>
      </c>
      <c r="U2574" s="67">
        <f>ROUND(+N2574+R2574+S2574+T2574,4)</f>
        <v>0</v>
      </c>
      <c r="V2574" s="67">
        <f>ROUND(IF(P2574=0,0,I2574-H2574-O2574)+IF(L2574=0,0,I2574-H2574-K2574),4)</f>
        <v>0</v>
      </c>
      <c r="W2574" s="67">
        <f>ROUND(+(V2574*60%)*D2574,4)</f>
        <v>0</v>
      </c>
      <c r="X2574" s="148">
        <f>ROUND(+U2574+W2574,4)</f>
        <v>0</v>
      </c>
      <c r="Y2574" s="68"/>
      <c r="Z2574" s="148">
        <f>ROUND(IF(X2574&gt;I2574,X2574,I2574),4)</f>
        <v>0</v>
      </c>
      <c r="AD2574" s="78">
        <f t="shared" si="58"/>
        <v>0</v>
      </c>
      <c r="AE2574" s="78">
        <f t="shared" si="59"/>
        <v>0</v>
      </c>
    </row>
    <row r="2575" spans="1:31" x14ac:dyDescent="0.2">
      <c r="A2575" s="66"/>
      <c r="B2575" s="66"/>
      <c r="C2575" s="66"/>
      <c r="D2575" s="144"/>
      <c r="E2575" s="67"/>
      <c r="F2575" s="67"/>
      <c r="G2575" s="67"/>
      <c r="H2575" s="67">
        <f>ROUND(+E2575+G2575,4)</f>
        <v>0</v>
      </c>
      <c r="I2575" s="67"/>
      <c r="J2575" s="67">
        <f>ROUND(+I2575-H2575,4)</f>
        <v>0</v>
      </c>
      <c r="K2575" s="67">
        <f>ROUND(IF(F2575="alluminio",0,I2575*1.5%),4)</f>
        <v>0</v>
      </c>
      <c r="L2575" s="67">
        <f>ROUND(IF(K2575&lt;J2575,K2575,0),4)</f>
        <v>0</v>
      </c>
      <c r="M2575" s="67">
        <f>ROUND(IF(J2575&gt;K2575,0,J2575),4)</f>
        <v>0</v>
      </c>
      <c r="N2575" s="67">
        <f>ROUND(+L2575*D2575,4)</f>
        <v>0</v>
      </c>
      <c r="O2575" s="67">
        <f>ROUND(IF(F2575="rame",0,+I2575*3%),4)</f>
        <v>0</v>
      </c>
      <c r="P2575" s="67">
        <f>ROUND(IF(O2575&lt;J2575,O2575,0),4)</f>
        <v>0</v>
      </c>
      <c r="Q2575" s="67">
        <f>ROUND(IF(J2575&gt;O2575,0,J2575),4)</f>
        <v>0</v>
      </c>
      <c r="R2575" s="67">
        <f>ROUND(+P2575*D2575,4)</f>
        <v>0</v>
      </c>
      <c r="S2575" s="67">
        <f>ROUND(IF(K2575=0,0,M2575*D2575),4)</f>
        <v>0</v>
      </c>
      <c r="T2575" s="67">
        <f>ROUND(+IF(K2575=0,Q2575*D2575,0),4)</f>
        <v>0</v>
      </c>
      <c r="U2575" s="67">
        <f>ROUND(+N2575+R2575+S2575+T2575,4)</f>
        <v>0</v>
      </c>
      <c r="V2575" s="67">
        <f>ROUND(IF(P2575=0,0,I2575-H2575-O2575)+IF(L2575=0,0,I2575-H2575-K2575),4)</f>
        <v>0</v>
      </c>
      <c r="W2575" s="67">
        <f>ROUND(+(V2575*60%)*D2575,4)</f>
        <v>0</v>
      </c>
      <c r="X2575" s="148">
        <f>ROUND(+U2575+W2575,4)</f>
        <v>0</v>
      </c>
      <c r="Y2575" s="68"/>
      <c r="Z2575" s="148">
        <f>ROUND(IF(X2575&gt;I2575,X2575,I2575),4)</f>
        <v>0</v>
      </c>
      <c r="AD2575" s="78">
        <f t="shared" si="58"/>
        <v>0</v>
      </c>
      <c r="AE2575" s="78">
        <f t="shared" si="59"/>
        <v>0</v>
      </c>
    </row>
    <row r="2576" spans="1:31" x14ac:dyDescent="0.2">
      <c r="A2576" s="66"/>
      <c r="B2576" s="66"/>
      <c r="C2576" s="66"/>
      <c r="D2576" s="144"/>
      <c r="E2576" s="67"/>
      <c r="F2576" s="67"/>
      <c r="G2576" s="67"/>
      <c r="H2576" s="67">
        <f>ROUND(+E2576+G2576,4)</f>
        <v>0</v>
      </c>
      <c r="I2576" s="67"/>
      <c r="J2576" s="67">
        <f>ROUND(+I2576-H2576,4)</f>
        <v>0</v>
      </c>
      <c r="K2576" s="67">
        <f>ROUND(IF(F2576="alluminio",0,I2576*1.5%),4)</f>
        <v>0</v>
      </c>
      <c r="L2576" s="67">
        <f>ROUND(IF(K2576&lt;J2576,K2576,0),4)</f>
        <v>0</v>
      </c>
      <c r="M2576" s="67">
        <f>ROUND(IF(J2576&gt;K2576,0,J2576),4)</f>
        <v>0</v>
      </c>
      <c r="N2576" s="67">
        <f>ROUND(+L2576*D2576,4)</f>
        <v>0</v>
      </c>
      <c r="O2576" s="67">
        <f>ROUND(IF(F2576="rame",0,+I2576*3%),4)</f>
        <v>0</v>
      </c>
      <c r="P2576" s="67">
        <f>ROUND(IF(O2576&lt;J2576,O2576,0),4)</f>
        <v>0</v>
      </c>
      <c r="Q2576" s="67">
        <f>ROUND(IF(J2576&gt;O2576,0,J2576),4)</f>
        <v>0</v>
      </c>
      <c r="R2576" s="67">
        <f>ROUND(+P2576*D2576,4)</f>
        <v>0</v>
      </c>
      <c r="S2576" s="67">
        <f>ROUND(IF(K2576=0,0,M2576*D2576),4)</f>
        <v>0</v>
      </c>
      <c r="T2576" s="67">
        <f>ROUND(+IF(K2576=0,Q2576*D2576,0),4)</f>
        <v>0</v>
      </c>
      <c r="U2576" s="67">
        <f>ROUND(+N2576+R2576+S2576+T2576,4)</f>
        <v>0</v>
      </c>
      <c r="V2576" s="67">
        <f>ROUND(IF(P2576=0,0,I2576-H2576-O2576)+IF(L2576=0,0,I2576-H2576-K2576),4)</f>
        <v>0</v>
      </c>
      <c r="W2576" s="67">
        <f>ROUND(+(V2576*60%)*D2576,4)</f>
        <v>0</v>
      </c>
      <c r="X2576" s="148">
        <f>ROUND(+U2576+W2576,4)</f>
        <v>0</v>
      </c>
      <c r="Y2576" s="68"/>
      <c r="Z2576" s="148">
        <f>ROUND(IF(X2576&gt;I2576,X2576,I2576),4)</f>
        <v>0</v>
      </c>
      <c r="AD2576" s="78">
        <f t="shared" si="58"/>
        <v>0</v>
      </c>
      <c r="AE2576" s="78">
        <f t="shared" si="59"/>
        <v>0</v>
      </c>
    </row>
    <row r="2577" spans="1:31" x14ac:dyDescent="0.2">
      <c r="A2577" s="66"/>
      <c r="B2577" s="66"/>
      <c r="C2577" s="66"/>
      <c r="D2577" s="144"/>
      <c r="E2577" s="67"/>
      <c r="F2577" s="67"/>
      <c r="G2577" s="67"/>
      <c r="H2577" s="67">
        <f>ROUND(+E2577+G2577,4)</f>
        <v>0</v>
      </c>
      <c r="I2577" s="67"/>
      <c r="J2577" s="67">
        <f>ROUND(+I2577-H2577,4)</f>
        <v>0</v>
      </c>
      <c r="K2577" s="67">
        <f>ROUND(IF(F2577="alluminio",0,I2577*1.5%),4)</f>
        <v>0</v>
      </c>
      <c r="L2577" s="67">
        <f>ROUND(IF(K2577&lt;J2577,K2577,0),4)</f>
        <v>0</v>
      </c>
      <c r="M2577" s="67">
        <f>ROUND(IF(J2577&gt;K2577,0,J2577),4)</f>
        <v>0</v>
      </c>
      <c r="N2577" s="67">
        <f>ROUND(+L2577*D2577,4)</f>
        <v>0</v>
      </c>
      <c r="O2577" s="67">
        <f>ROUND(IF(F2577="rame",0,+I2577*3%),4)</f>
        <v>0</v>
      </c>
      <c r="P2577" s="67">
        <f>ROUND(IF(O2577&lt;J2577,O2577,0),4)</f>
        <v>0</v>
      </c>
      <c r="Q2577" s="67">
        <f>ROUND(IF(J2577&gt;O2577,0,J2577),4)</f>
        <v>0</v>
      </c>
      <c r="R2577" s="67">
        <f>ROUND(+P2577*D2577,4)</f>
        <v>0</v>
      </c>
      <c r="S2577" s="67">
        <f>ROUND(IF(K2577=0,0,M2577*D2577),4)</f>
        <v>0</v>
      </c>
      <c r="T2577" s="67">
        <f>ROUND(+IF(K2577=0,Q2577*D2577,0),4)</f>
        <v>0</v>
      </c>
      <c r="U2577" s="67">
        <f>ROUND(+N2577+R2577+S2577+T2577,4)</f>
        <v>0</v>
      </c>
      <c r="V2577" s="67">
        <f>ROUND(IF(P2577=0,0,I2577-H2577-O2577)+IF(L2577=0,0,I2577-H2577-K2577),4)</f>
        <v>0</v>
      </c>
      <c r="W2577" s="67">
        <f>ROUND(+(V2577*60%)*D2577,4)</f>
        <v>0</v>
      </c>
      <c r="X2577" s="148">
        <f>ROUND(+U2577+W2577,4)</f>
        <v>0</v>
      </c>
      <c r="Y2577" s="68"/>
      <c r="Z2577" s="148">
        <f>ROUND(IF(X2577&gt;I2577,X2577,I2577),4)</f>
        <v>0</v>
      </c>
      <c r="AD2577" s="78">
        <f t="shared" si="58"/>
        <v>0</v>
      </c>
      <c r="AE2577" s="78">
        <f t="shared" si="59"/>
        <v>0</v>
      </c>
    </row>
    <row r="2578" spans="1:31" x14ac:dyDescent="0.2">
      <c r="A2578" s="66"/>
      <c r="B2578" s="66"/>
      <c r="C2578" s="66"/>
      <c r="D2578" s="144"/>
      <c r="E2578" s="67"/>
      <c r="F2578" s="67"/>
      <c r="G2578" s="67"/>
      <c r="H2578" s="67">
        <f>ROUND(+E2578+G2578,4)</f>
        <v>0</v>
      </c>
      <c r="I2578" s="67"/>
      <c r="J2578" s="67">
        <f>ROUND(+I2578-H2578,4)</f>
        <v>0</v>
      </c>
      <c r="K2578" s="67">
        <f>ROUND(IF(F2578="alluminio",0,I2578*1.5%),4)</f>
        <v>0</v>
      </c>
      <c r="L2578" s="67">
        <f>ROUND(IF(K2578&lt;J2578,K2578,0),4)</f>
        <v>0</v>
      </c>
      <c r="M2578" s="67">
        <f>ROUND(IF(J2578&gt;K2578,0,J2578),4)</f>
        <v>0</v>
      </c>
      <c r="N2578" s="67">
        <f>ROUND(+L2578*D2578,4)</f>
        <v>0</v>
      </c>
      <c r="O2578" s="67">
        <f>ROUND(IF(F2578="rame",0,+I2578*3%),4)</f>
        <v>0</v>
      </c>
      <c r="P2578" s="67">
        <f>ROUND(IF(O2578&lt;J2578,O2578,0),4)</f>
        <v>0</v>
      </c>
      <c r="Q2578" s="67">
        <f>ROUND(IF(J2578&gt;O2578,0,J2578),4)</f>
        <v>0</v>
      </c>
      <c r="R2578" s="67">
        <f>ROUND(+P2578*D2578,4)</f>
        <v>0</v>
      </c>
      <c r="S2578" s="67">
        <f>ROUND(IF(K2578=0,0,M2578*D2578),4)</f>
        <v>0</v>
      </c>
      <c r="T2578" s="67">
        <f>ROUND(+IF(K2578=0,Q2578*D2578,0),4)</f>
        <v>0</v>
      </c>
      <c r="U2578" s="67">
        <f>ROUND(+N2578+R2578+S2578+T2578,4)</f>
        <v>0</v>
      </c>
      <c r="V2578" s="67">
        <f>ROUND(IF(P2578=0,0,I2578-H2578-O2578)+IF(L2578=0,0,I2578-H2578-K2578),4)</f>
        <v>0</v>
      </c>
      <c r="W2578" s="67">
        <f>ROUND(+(V2578*60%)*D2578,4)</f>
        <v>0</v>
      </c>
      <c r="X2578" s="148">
        <f>ROUND(+U2578+W2578,4)</f>
        <v>0</v>
      </c>
      <c r="Y2578" s="68"/>
      <c r="Z2578" s="148">
        <f>ROUND(IF(X2578&gt;I2578,X2578,I2578),4)</f>
        <v>0</v>
      </c>
      <c r="AD2578" s="78">
        <f t="shared" si="58"/>
        <v>0</v>
      </c>
      <c r="AE2578" s="78">
        <f t="shared" si="59"/>
        <v>0</v>
      </c>
    </row>
    <row r="2579" spans="1:31" x14ac:dyDescent="0.2">
      <c r="A2579" s="66"/>
      <c r="B2579" s="66"/>
      <c r="C2579" s="66"/>
      <c r="D2579" s="144"/>
      <c r="E2579" s="67"/>
      <c r="F2579" s="67"/>
      <c r="G2579" s="67"/>
      <c r="H2579" s="67">
        <f>ROUND(+E2579+G2579,4)</f>
        <v>0</v>
      </c>
      <c r="I2579" s="67"/>
      <c r="J2579" s="67">
        <f>ROUND(+I2579-H2579,4)</f>
        <v>0</v>
      </c>
      <c r="K2579" s="67">
        <f>ROUND(IF(F2579="alluminio",0,I2579*1.5%),4)</f>
        <v>0</v>
      </c>
      <c r="L2579" s="67">
        <f>ROUND(IF(K2579&lt;J2579,K2579,0),4)</f>
        <v>0</v>
      </c>
      <c r="M2579" s="67">
        <f>ROUND(IF(J2579&gt;K2579,0,J2579),4)</f>
        <v>0</v>
      </c>
      <c r="N2579" s="67">
        <f>ROUND(+L2579*D2579,4)</f>
        <v>0</v>
      </c>
      <c r="O2579" s="67">
        <f>ROUND(IF(F2579="rame",0,+I2579*3%),4)</f>
        <v>0</v>
      </c>
      <c r="P2579" s="67">
        <f>ROUND(IF(O2579&lt;J2579,O2579,0),4)</f>
        <v>0</v>
      </c>
      <c r="Q2579" s="67">
        <f>ROUND(IF(J2579&gt;O2579,0,J2579),4)</f>
        <v>0</v>
      </c>
      <c r="R2579" s="67">
        <f>ROUND(+P2579*D2579,4)</f>
        <v>0</v>
      </c>
      <c r="S2579" s="67">
        <f>ROUND(IF(K2579=0,0,M2579*D2579),4)</f>
        <v>0</v>
      </c>
      <c r="T2579" s="67">
        <f>ROUND(+IF(K2579=0,Q2579*D2579,0),4)</f>
        <v>0</v>
      </c>
      <c r="U2579" s="67">
        <f>ROUND(+N2579+R2579+S2579+T2579,4)</f>
        <v>0</v>
      </c>
      <c r="V2579" s="67">
        <f>ROUND(IF(P2579=0,0,I2579-H2579-O2579)+IF(L2579=0,0,I2579-H2579-K2579),4)</f>
        <v>0</v>
      </c>
      <c r="W2579" s="67">
        <f>ROUND(+(V2579*60%)*D2579,4)</f>
        <v>0</v>
      </c>
      <c r="X2579" s="148">
        <f>ROUND(+U2579+W2579,4)</f>
        <v>0</v>
      </c>
      <c r="Y2579" s="68"/>
      <c r="Z2579" s="148">
        <f>ROUND(IF(X2579&gt;I2579,X2579,I2579),4)</f>
        <v>0</v>
      </c>
      <c r="AD2579" s="78">
        <f t="shared" si="58"/>
        <v>0</v>
      </c>
      <c r="AE2579" s="78">
        <f t="shared" si="59"/>
        <v>0</v>
      </c>
    </row>
    <row r="2580" spans="1:31" x14ac:dyDescent="0.2">
      <c r="A2580" s="66"/>
      <c r="B2580" s="66"/>
      <c r="C2580" s="66"/>
      <c r="D2580" s="144"/>
      <c r="E2580" s="67"/>
      <c r="F2580" s="67"/>
      <c r="G2580" s="67"/>
      <c r="H2580" s="67">
        <f>ROUND(+E2580+G2580,4)</f>
        <v>0</v>
      </c>
      <c r="I2580" s="67"/>
      <c r="J2580" s="67">
        <f>ROUND(+I2580-H2580,4)</f>
        <v>0</v>
      </c>
      <c r="K2580" s="67">
        <f>ROUND(IF(F2580="alluminio",0,I2580*1.5%),4)</f>
        <v>0</v>
      </c>
      <c r="L2580" s="67">
        <f>ROUND(IF(K2580&lt;J2580,K2580,0),4)</f>
        <v>0</v>
      </c>
      <c r="M2580" s="67">
        <f>ROUND(IF(J2580&gt;K2580,0,J2580),4)</f>
        <v>0</v>
      </c>
      <c r="N2580" s="67">
        <f>ROUND(+L2580*D2580,4)</f>
        <v>0</v>
      </c>
      <c r="O2580" s="67">
        <f>ROUND(IF(F2580="rame",0,+I2580*3%),4)</f>
        <v>0</v>
      </c>
      <c r="P2580" s="67">
        <f>ROUND(IF(O2580&lt;J2580,O2580,0),4)</f>
        <v>0</v>
      </c>
      <c r="Q2580" s="67">
        <f>ROUND(IF(J2580&gt;O2580,0,J2580),4)</f>
        <v>0</v>
      </c>
      <c r="R2580" s="67">
        <f>ROUND(+P2580*D2580,4)</f>
        <v>0</v>
      </c>
      <c r="S2580" s="67">
        <f>ROUND(IF(K2580=0,0,M2580*D2580),4)</f>
        <v>0</v>
      </c>
      <c r="T2580" s="67">
        <f>ROUND(+IF(K2580=0,Q2580*D2580,0),4)</f>
        <v>0</v>
      </c>
      <c r="U2580" s="67">
        <f>ROUND(+N2580+R2580+S2580+T2580,4)</f>
        <v>0</v>
      </c>
      <c r="V2580" s="67">
        <f>ROUND(IF(P2580=0,0,I2580-H2580-O2580)+IF(L2580=0,0,I2580-H2580-K2580),4)</f>
        <v>0</v>
      </c>
      <c r="W2580" s="67">
        <f>ROUND(+(V2580*60%)*D2580,4)</f>
        <v>0</v>
      </c>
      <c r="X2580" s="148">
        <f>ROUND(+U2580+W2580,4)</f>
        <v>0</v>
      </c>
      <c r="Y2580" s="68"/>
      <c r="Z2580" s="148">
        <f>ROUND(IF(X2580&gt;I2580,X2580,I2580),4)</f>
        <v>0</v>
      </c>
      <c r="AD2580" s="78">
        <f t="shared" si="58"/>
        <v>0</v>
      </c>
      <c r="AE2580" s="78">
        <f t="shared" si="59"/>
        <v>0</v>
      </c>
    </row>
    <row r="2581" spans="1:31" x14ac:dyDescent="0.2">
      <c r="A2581" s="66"/>
      <c r="B2581" s="66"/>
      <c r="C2581" s="66"/>
      <c r="D2581" s="144"/>
      <c r="E2581" s="67"/>
      <c r="F2581" s="67"/>
      <c r="G2581" s="67"/>
      <c r="H2581" s="67">
        <f>ROUND(+E2581+G2581,4)</f>
        <v>0</v>
      </c>
      <c r="I2581" s="67"/>
      <c r="J2581" s="67">
        <f>ROUND(+I2581-H2581,4)</f>
        <v>0</v>
      </c>
      <c r="K2581" s="67">
        <f>ROUND(IF(F2581="alluminio",0,I2581*1.5%),4)</f>
        <v>0</v>
      </c>
      <c r="L2581" s="67">
        <f>ROUND(IF(K2581&lt;J2581,K2581,0),4)</f>
        <v>0</v>
      </c>
      <c r="M2581" s="67">
        <f>ROUND(IF(J2581&gt;K2581,0,J2581),4)</f>
        <v>0</v>
      </c>
      <c r="N2581" s="67">
        <f>ROUND(+L2581*D2581,4)</f>
        <v>0</v>
      </c>
      <c r="O2581" s="67">
        <f>ROUND(IF(F2581="rame",0,+I2581*3%),4)</f>
        <v>0</v>
      </c>
      <c r="P2581" s="67">
        <f>ROUND(IF(O2581&lt;J2581,O2581,0),4)</f>
        <v>0</v>
      </c>
      <c r="Q2581" s="67">
        <f>ROUND(IF(J2581&gt;O2581,0,J2581),4)</f>
        <v>0</v>
      </c>
      <c r="R2581" s="67">
        <f>ROUND(+P2581*D2581,4)</f>
        <v>0</v>
      </c>
      <c r="S2581" s="67">
        <f>ROUND(IF(K2581=0,0,M2581*D2581),4)</f>
        <v>0</v>
      </c>
      <c r="T2581" s="67">
        <f>ROUND(+IF(K2581=0,Q2581*D2581,0),4)</f>
        <v>0</v>
      </c>
      <c r="U2581" s="67">
        <f>ROUND(+N2581+R2581+S2581+T2581,4)</f>
        <v>0</v>
      </c>
      <c r="V2581" s="67">
        <f>ROUND(IF(P2581=0,0,I2581-H2581-O2581)+IF(L2581=0,0,I2581-H2581-K2581),4)</f>
        <v>0</v>
      </c>
      <c r="W2581" s="67">
        <f>ROUND(+(V2581*60%)*D2581,4)</f>
        <v>0</v>
      </c>
      <c r="X2581" s="148">
        <f>ROUND(+U2581+W2581,4)</f>
        <v>0</v>
      </c>
      <c r="Y2581" s="68"/>
      <c r="Z2581" s="148">
        <f>ROUND(IF(X2581&gt;I2581,X2581,I2581),4)</f>
        <v>0</v>
      </c>
      <c r="AD2581" s="78">
        <f t="shared" si="58"/>
        <v>0</v>
      </c>
      <c r="AE2581" s="78">
        <f t="shared" si="59"/>
        <v>0</v>
      </c>
    </row>
    <row r="2582" spans="1:31" x14ac:dyDescent="0.2">
      <c r="A2582" s="66"/>
      <c r="B2582" s="66"/>
      <c r="C2582" s="66"/>
      <c r="D2582" s="144"/>
      <c r="E2582" s="67"/>
      <c r="F2582" s="67"/>
      <c r="G2582" s="67"/>
      <c r="H2582" s="67">
        <f>ROUND(+E2582+G2582,4)</f>
        <v>0</v>
      </c>
      <c r="I2582" s="67"/>
      <c r="J2582" s="67">
        <f>ROUND(+I2582-H2582,4)</f>
        <v>0</v>
      </c>
      <c r="K2582" s="67">
        <f>ROUND(IF(F2582="alluminio",0,I2582*1.5%),4)</f>
        <v>0</v>
      </c>
      <c r="L2582" s="67">
        <f>ROUND(IF(K2582&lt;J2582,K2582,0),4)</f>
        <v>0</v>
      </c>
      <c r="M2582" s="67">
        <f>ROUND(IF(J2582&gt;K2582,0,J2582),4)</f>
        <v>0</v>
      </c>
      <c r="N2582" s="67">
        <f>ROUND(+L2582*D2582,4)</f>
        <v>0</v>
      </c>
      <c r="O2582" s="67">
        <f>ROUND(IF(F2582="rame",0,+I2582*3%),4)</f>
        <v>0</v>
      </c>
      <c r="P2582" s="67">
        <f>ROUND(IF(O2582&lt;J2582,O2582,0),4)</f>
        <v>0</v>
      </c>
      <c r="Q2582" s="67">
        <f>ROUND(IF(J2582&gt;O2582,0,J2582),4)</f>
        <v>0</v>
      </c>
      <c r="R2582" s="67">
        <f>ROUND(+P2582*D2582,4)</f>
        <v>0</v>
      </c>
      <c r="S2582" s="67">
        <f>ROUND(IF(K2582=0,0,M2582*D2582),4)</f>
        <v>0</v>
      </c>
      <c r="T2582" s="67">
        <f>ROUND(+IF(K2582=0,Q2582*D2582,0),4)</f>
        <v>0</v>
      </c>
      <c r="U2582" s="67">
        <f>ROUND(+N2582+R2582+S2582+T2582,4)</f>
        <v>0</v>
      </c>
      <c r="V2582" s="67">
        <f>ROUND(IF(P2582=0,0,I2582-H2582-O2582)+IF(L2582=0,0,I2582-H2582-K2582),4)</f>
        <v>0</v>
      </c>
      <c r="W2582" s="67">
        <f>ROUND(+(V2582*60%)*D2582,4)</f>
        <v>0</v>
      </c>
      <c r="X2582" s="148">
        <f>ROUND(+U2582+W2582,4)</f>
        <v>0</v>
      </c>
      <c r="Y2582" s="68"/>
      <c r="Z2582" s="148">
        <f>ROUND(IF(X2582&gt;I2582,X2582,I2582),4)</f>
        <v>0</v>
      </c>
      <c r="AD2582" s="78">
        <f t="shared" si="58"/>
        <v>0</v>
      </c>
      <c r="AE2582" s="78">
        <f t="shared" si="59"/>
        <v>0</v>
      </c>
    </row>
    <row r="2583" spans="1:31" x14ac:dyDescent="0.2">
      <c r="A2583" s="66"/>
      <c r="B2583" s="66"/>
      <c r="C2583" s="66"/>
      <c r="D2583" s="144"/>
      <c r="E2583" s="67"/>
      <c r="F2583" s="67"/>
      <c r="G2583" s="67"/>
      <c r="H2583" s="67">
        <f>ROUND(+E2583+G2583,4)</f>
        <v>0</v>
      </c>
      <c r="I2583" s="67"/>
      <c r="J2583" s="67">
        <f>ROUND(+I2583-H2583,4)</f>
        <v>0</v>
      </c>
      <c r="K2583" s="67">
        <f>ROUND(IF(F2583="alluminio",0,I2583*1.5%),4)</f>
        <v>0</v>
      </c>
      <c r="L2583" s="67">
        <f>ROUND(IF(K2583&lt;J2583,K2583,0),4)</f>
        <v>0</v>
      </c>
      <c r="M2583" s="67">
        <f>ROUND(IF(J2583&gt;K2583,0,J2583),4)</f>
        <v>0</v>
      </c>
      <c r="N2583" s="67">
        <f>ROUND(+L2583*D2583,4)</f>
        <v>0</v>
      </c>
      <c r="O2583" s="67">
        <f>ROUND(IF(F2583="rame",0,+I2583*3%),4)</f>
        <v>0</v>
      </c>
      <c r="P2583" s="67">
        <f>ROUND(IF(O2583&lt;J2583,O2583,0),4)</f>
        <v>0</v>
      </c>
      <c r="Q2583" s="67">
        <f>ROUND(IF(J2583&gt;O2583,0,J2583),4)</f>
        <v>0</v>
      </c>
      <c r="R2583" s="67">
        <f>ROUND(+P2583*D2583,4)</f>
        <v>0</v>
      </c>
      <c r="S2583" s="67">
        <f>ROUND(IF(K2583=0,0,M2583*D2583),4)</f>
        <v>0</v>
      </c>
      <c r="T2583" s="67">
        <f>ROUND(+IF(K2583=0,Q2583*D2583,0),4)</f>
        <v>0</v>
      </c>
      <c r="U2583" s="67">
        <f>ROUND(+N2583+R2583+S2583+T2583,4)</f>
        <v>0</v>
      </c>
      <c r="V2583" s="67">
        <f>ROUND(IF(P2583=0,0,I2583-H2583-O2583)+IF(L2583=0,0,I2583-H2583-K2583),4)</f>
        <v>0</v>
      </c>
      <c r="W2583" s="67">
        <f>ROUND(+(V2583*60%)*D2583,4)</f>
        <v>0</v>
      </c>
      <c r="X2583" s="148">
        <f>ROUND(+U2583+W2583,4)</f>
        <v>0</v>
      </c>
      <c r="Y2583" s="68"/>
      <c r="Z2583" s="148">
        <f>ROUND(IF(X2583&gt;I2583,X2583,I2583),4)</f>
        <v>0</v>
      </c>
      <c r="AD2583" s="78">
        <f t="shared" si="58"/>
        <v>0</v>
      </c>
      <c r="AE2583" s="78">
        <f t="shared" si="59"/>
        <v>0</v>
      </c>
    </row>
    <row r="2584" spans="1:31" x14ac:dyDescent="0.2">
      <c r="A2584" s="66"/>
      <c r="B2584" s="66"/>
      <c r="C2584" s="66"/>
      <c r="D2584" s="144"/>
      <c r="E2584" s="67"/>
      <c r="F2584" s="67"/>
      <c r="G2584" s="67"/>
      <c r="H2584" s="67">
        <f>ROUND(+E2584+G2584,4)</f>
        <v>0</v>
      </c>
      <c r="I2584" s="67"/>
      <c r="J2584" s="67">
        <f>ROUND(+I2584-H2584,4)</f>
        <v>0</v>
      </c>
      <c r="K2584" s="67">
        <f>ROUND(IF(F2584="alluminio",0,I2584*1.5%),4)</f>
        <v>0</v>
      </c>
      <c r="L2584" s="67">
        <f>ROUND(IF(K2584&lt;J2584,K2584,0),4)</f>
        <v>0</v>
      </c>
      <c r="M2584" s="67">
        <f>ROUND(IF(J2584&gt;K2584,0,J2584),4)</f>
        <v>0</v>
      </c>
      <c r="N2584" s="67">
        <f>ROUND(+L2584*D2584,4)</f>
        <v>0</v>
      </c>
      <c r="O2584" s="67">
        <f>ROUND(IF(F2584="rame",0,+I2584*3%),4)</f>
        <v>0</v>
      </c>
      <c r="P2584" s="67">
        <f>ROUND(IF(O2584&lt;J2584,O2584,0),4)</f>
        <v>0</v>
      </c>
      <c r="Q2584" s="67">
        <f>ROUND(IF(J2584&gt;O2584,0,J2584),4)</f>
        <v>0</v>
      </c>
      <c r="R2584" s="67">
        <f>ROUND(+P2584*D2584,4)</f>
        <v>0</v>
      </c>
      <c r="S2584" s="67">
        <f>ROUND(IF(K2584=0,0,M2584*D2584),4)</f>
        <v>0</v>
      </c>
      <c r="T2584" s="67">
        <f>ROUND(+IF(K2584=0,Q2584*D2584,0),4)</f>
        <v>0</v>
      </c>
      <c r="U2584" s="67">
        <f>ROUND(+N2584+R2584+S2584+T2584,4)</f>
        <v>0</v>
      </c>
      <c r="V2584" s="67">
        <f>ROUND(IF(P2584=0,0,I2584-H2584-O2584)+IF(L2584=0,0,I2584-H2584-K2584),4)</f>
        <v>0</v>
      </c>
      <c r="W2584" s="67">
        <f>ROUND(+(V2584*60%)*D2584,4)</f>
        <v>0</v>
      </c>
      <c r="X2584" s="148">
        <f>ROUND(+U2584+W2584,4)</f>
        <v>0</v>
      </c>
      <c r="Y2584" s="68"/>
      <c r="Z2584" s="148">
        <f>ROUND(IF(X2584&gt;I2584,X2584,I2584),4)</f>
        <v>0</v>
      </c>
      <c r="AD2584" s="78">
        <f t="shared" si="58"/>
        <v>0</v>
      </c>
      <c r="AE2584" s="78">
        <f t="shared" si="59"/>
        <v>0</v>
      </c>
    </row>
    <row r="2585" spans="1:31" x14ac:dyDescent="0.2">
      <c r="A2585" s="66"/>
      <c r="B2585" s="66"/>
      <c r="C2585" s="66"/>
      <c r="D2585" s="144"/>
      <c r="E2585" s="67"/>
      <c r="F2585" s="67"/>
      <c r="G2585" s="67"/>
      <c r="H2585" s="67">
        <f>ROUND(+E2585+G2585,4)</f>
        <v>0</v>
      </c>
      <c r="I2585" s="67"/>
      <c r="J2585" s="67">
        <f>ROUND(+I2585-H2585,4)</f>
        <v>0</v>
      </c>
      <c r="K2585" s="67">
        <f>ROUND(IF(F2585="alluminio",0,I2585*1.5%),4)</f>
        <v>0</v>
      </c>
      <c r="L2585" s="67">
        <f>ROUND(IF(K2585&lt;J2585,K2585,0),4)</f>
        <v>0</v>
      </c>
      <c r="M2585" s="67">
        <f>ROUND(IF(J2585&gt;K2585,0,J2585),4)</f>
        <v>0</v>
      </c>
      <c r="N2585" s="67">
        <f>ROUND(+L2585*D2585,4)</f>
        <v>0</v>
      </c>
      <c r="O2585" s="67">
        <f>ROUND(IF(F2585="rame",0,+I2585*3%),4)</f>
        <v>0</v>
      </c>
      <c r="P2585" s="67">
        <f>ROUND(IF(O2585&lt;J2585,O2585,0),4)</f>
        <v>0</v>
      </c>
      <c r="Q2585" s="67">
        <f>ROUND(IF(J2585&gt;O2585,0,J2585),4)</f>
        <v>0</v>
      </c>
      <c r="R2585" s="67">
        <f>ROUND(+P2585*D2585,4)</f>
        <v>0</v>
      </c>
      <c r="S2585" s="67">
        <f>ROUND(IF(K2585=0,0,M2585*D2585),4)</f>
        <v>0</v>
      </c>
      <c r="T2585" s="67">
        <f>ROUND(+IF(K2585=0,Q2585*D2585,0),4)</f>
        <v>0</v>
      </c>
      <c r="U2585" s="67">
        <f>ROUND(+N2585+R2585+S2585+T2585,4)</f>
        <v>0</v>
      </c>
      <c r="V2585" s="67">
        <f>ROUND(IF(P2585=0,0,I2585-H2585-O2585)+IF(L2585=0,0,I2585-H2585-K2585),4)</f>
        <v>0</v>
      </c>
      <c r="W2585" s="67">
        <f>ROUND(+(V2585*60%)*D2585,4)</f>
        <v>0</v>
      </c>
      <c r="X2585" s="148">
        <f>ROUND(+U2585+W2585,4)</f>
        <v>0</v>
      </c>
      <c r="Y2585" s="68"/>
      <c r="Z2585" s="148">
        <f>ROUND(IF(X2585&gt;I2585,X2585,I2585),4)</f>
        <v>0</v>
      </c>
      <c r="AD2585" s="78">
        <f t="shared" si="58"/>
        <v>0</v>
      </c>
      <c r="AE2585" s="78">
        <f t="shared" si="59"/>
        <v>0</v>
      </c>
    </row>
    <row r="2586" spans="1:31" x14ac:dyDescent="0.2">
      <c r="A2586" s="66"/>
      <c r="B2586" s="66"/>
      <c r="C2586" s="66"/>
      <c r="D2586" s="144"/>
      <c r="E2586" s="67"/>
      <c r="F2586" s="67"/>
      <c r="G2586" s="67"/>
      <c r="H2586" s="67">
        <f>ROUND(+E2586+G2586,4)</f>
        <v>0</v>
      </c>
      <c r="I2586" s="67"/>
      <c r="J2586" s="67">
        <f>ROUND(+I2586-H2586,4)</f>
        <v>0</v>
      </c>
      <c r="K2586" s="67">
        <f>ROUND(IF(F2586="alluminio",0,I2586*1.5%),4)</f>
        <v>0</v>
      </c>
      <c r="L2586" s="67">
        <f>ROUND(IF(K2586&lt;J2586,K2586,0),4)</f>
        <v>0</v>
      </c>
      <c r="M2586" s="67">
        <f>ROUND(IF(J2586&gt;K2586,0,J2586),4)</f>
        <v>0</v>
      </c>
      <c r="N2586" s="67">
        <f>ROUND(+L2586*D2586,4)</f>
        <v>0</v>
      </c>
      <c r="O2586" s="67">
        <f>ROUND(IF(F2586="rame",0,+I2586*3%),4)</f>
        <v>0</v>
      </c>
      <c r="P2586" s="67">
        <f>ROUND(IF(O2586&lt;J2586,O2586,0),4)</f>
        <v>0</v>
      </c>
      <c r="Q2586" s="67">
        <f>ROUND(IF(J2586&gt;O2586,0,J2586),4)</f>
        <v>0</v>
      </c>
      <c r="R2586" s="67">
        <f>ROUND(+P2586*D2586,4)</f>
        <v>0</v>
      </c>
      <c r="S2586" s="67">
        <f>ROUND(IF(K2586=0,0,M2586*D2586),4)</f>
        <v>0</v>
      </c>
      <c r="T2586" s="67">
        <f>ROUND(+IF(K2586=0,Q2586*D2586,0),4)</f>
        <v>0</v>
      </c>
      <c r="U2586" s="67">
        <f>ROUND(+N2586+R2586+S2586+T2586,4)</f>
        <v>0</v>
      </c>
      <c r="V2586" s="67">
        <f>ROUND(IF(P2586=0,0,I2586-H2586-O2586)+IF(L2586=0,0,I2586-H2586-K2586),4)</f>
        <v>0</v>
      </c>
      <c r="W2586" s="67">
        <f>ROUND(+(V2586*60%)*D2586,4)</f>
        <v>0</v>
      </c>
      <c r="X2586" s="148">
        <f>ROUND(+U2586+W2586,4)</f>
        <v>0</v>
      </c>
      <c r="Y2586" s="68"/>
      <c r="Z2586" s="148">
        <f>ROUND(IF(X2586&gt;I2586,X2586,I2586),4)</f>
        <v>0</v>
      </c>
      <c r="AD2586" s="78">
        <f t="shared" si="58"/>
        <v>0</v>
      </c>
      <c r="AE2586" s="78">
        <f t="shared" si="59"/>
        <v>0</v>
      </c>
    </row>
    <row r="2587" spans="1:31" x14ac:dyDescent="0.2">
      <c r="A2587" s="66"/>
      <c r="B2587" s="66"/>
      <c r="C2587" s="66"/>
      <c r="D2587" s="144"/>
      <c r="E2587" s="67"/>
      <c r="F2587" s="67"/>
      <c r="G2587" s="67"/>
      <c r="H2587" s="67">
        <f>ROUND(+E2587+G2587,4)</f>
        <v>0</v>
      </c>
      <c r="I2587" s="67"/>
      <c r="J2587" s="67">
        <f>ROUND(+I2587-H2587,4)</f>
        <v>0</v>
      </c>
      <c r="K2587" s="67">
        <f>ROUND(IF(F2587="alluminio",0,I2587*1.5%),4)</f>
        <v>0</v>
      </c>
      <c r="L2587" s="67">
        <f>ROUND(IF(K2587&lt;J2587,K2587,0),4)</f>
        <v>0</v>
      </c>
      <c r="M2587" s="67">
        <f>ROUND(IF(J2587&gt;K2587,0,J2587),4)</f>
        <v>0</v>
      </c>
      <c r="N2587" s="67">
        <f>ROUND(+L2587*D2587,4)</f>
        <v>0</v>
      </c>
      <c r="O2587" s="67">
        <f>ROUND(IF(F2587="rame",0,+I2587*3%),4)</f>
        <v>0</v>
      </c>
      <c r="P2587" s="67">
        <f>ROUND(IF(O2587&lt;J2587,O2587,0),4)</f>
        <v>0</v>
      </c>
      <c r="Q2587" s="67">
        <f>ROUND(IF(J2587&gt;O2587,0,J2587),4)</f>
        <v>0</v>
      </c>
      <c r="R2587" s="67">
        <f>ROUND(+P2587*D2587,4)</f>
        <v>0</v>
      </c>
      <c r="S2587" s="67">
        <f>ROUND(IF(K2587=0,0,M2587*D2587),4)</f>
        <v>0</v>
      </c>
      <c r="T2587" s="67">
        <f>ROUND(+IF(K2587=0,Q2587*D2587,0),4)</f>
        <v>0</v>
      </c>
      <c r="U2587" s="67">
        <f>ROUND(+N2587+R2587+S2587+T2587,4)</f>
        <v>0</v>
      </c>
      <c r="V2587" s="67">
        <f>ROUND(IF(P2587=0,0,I2587-H2587-O2587)+IF(L2587=0,0,I2587-H2587-K2587),4)</f>
        <v>0</v>
      </c>
      <c r="W2587" s="67">
        <f>ROUND(+(V2587*60%)*D2587,4)</f>
        <v>0</v>
      </c>
      <c r="X2587" s="148">
        <f>ROUND(+U2587+W2587,4)</f>
        <v>0</v>
      </c>
      <c r="Y2587" s="68"/>
      <c r="Z2587" s="148">
        <f>ROUND(IF(X2587&gt;I2587,X2587,I2587),4)</f>
        <v>0</v>
      </c>
      <c r="AD2587" s="78">
        <f t="shared" si="58"/>
        <v>0</v>
      </c>
      <c r="AE2587" s="78">
        <f t="shared" si="59"/>
        <v>0</v>
      </c>
    </row>
    <row r="2588" spans="1:31" x14ac:dyDescent="0.2">
      <c r="A2588" s="66"/>
      <c r="B2588" s="66"/>
      <c r="C2588" s="66"/>
      <c r="D2588" s="144"/>
      <c r="E2588" s="67"/>
      <c r="F2588" s="67"/>
      <c r="G2588" s="67"/>
      <c r="H2588" s="67">
        <f>ROUND(+E2588+G2588,4)</f>
        <v>0</v>
      </c>
      <c r="I2588" s="67"/>
      <c r="J2588" s="67">
        <f>ROUND(+I2588-H2588,4)</f>
        <v>0</v>
      </c>
      <c r="K2588" s="67">
        <f>ROUND(IF(F2588="alluminio",0,I2588*1.5%),4)</f>
        <v>0</v>
      </c>
      <c r="L2588" s="67">
        <f>ROUND(IF(K2588&lt;J2588,K2588,0),4)</f>
        <v>0</v>
      </c>
      <c r="M2588" s="67">
        <f>ROUND(IF(J2588&gt;K2588,0,J2588),4)</f>
        <v>0</v>
      </c>
      <c r="N2588" s="67">
        <f>ROUND(+L2588*D2588,4)</f>
        <v>0</v>
      </c>
      <c r="O2588" s="67">
        <f>ROUND(IF(F2588="rame",0,+I2588*3%),4)</f>
        <v>0</v>
      </c>
      <c r="P2588" s="67">
        <f>ROUND(IF(O2588&lt;J2588,O2588,0),4)</f>
        <v>0</v>
      </c>
      <c r="Q2588" s="67">
        <f>ROUND(IF(J2588&gt;O2588,0,J2588),4)</f>
        <v>0</v>
      </c>
      <c r="R2588" s="67">
        <f>ROUND(+P2588*D2588,4)</f>
        <v>0</v>
      </c>
      <c r="S2588" s="67">
        <f>ROUND(IF(K2588=0,0,M2588*D2588),4)</f>
        <v>0</v>
      </c>
      <c r="T2588" s="67">
        <f>ROUND(+IF(K2588=0,Q2588*D2588,0),4)</f>
        <v>0</v>
      </c>
      <c r="U2588" s="67">
        <f>ROUND(+N2588+R2588+S2588+T2588,4)</f>
        <v>0</v>
      </c>
      <c r="V2588" s="67">
        <f>ROUND(IF(P2588=0,0,I2588-H2588-O2588)+IF(L2588=0,0,I2588-H2588-K2588),4)</f>
        <v>0</v>
      </c>
      <c r="W2588" s="67">
        <f>ROUND(+(V2588*60%)*D2588,4)</f>
        <v>0</v>
      </c>
      <c r="X2588" s="148">
        <f>ROUND(+U2588+W2588,4)</f>
        <v>0</v>
      </c>
      <c r="Y2588" s="68"/>
      <c r="Z2588" s="148">
        <f>ROUND(IF(X2588&gt;I2588,X2588,I2588),4)</f>
        <v>0</v>
      </c>
      <c r="AD2588" s="78">
        <f t="shared" si="58"/>
        <v>0</v>
      </c>
      <c r="AE2588" s="78">
        <f t="shared" si="59"/>
        <v>0</v>
      </c>
    </row>
    <row r="2589" spans="1:31" x14ac:dyDescent="0.2">
      <c r="A2589" s="66"/>
      <c r="B2589" s="66"/>
      <c r="C2589" s="66"/>
      <c r="D2589" s="144"/>
      <c r="E2589" s="67"/>
      <c r="F2589" s="67"/>
      <c r="G2589" s="67"/>
      <c r="H2589" s="67">
        <f>ROUND(+E2589+G2589,4)</f>
        <v>0</v>
      </c>
      <c r="I2589" s="67"/>
      <c r="J2589" s="67">
        <f>ROUND(+I2589-H2589,4)</f>
        <v>0</v>
      </c>
      <c r="K2589" s="67">
        <f>ROUND(IF(F2589="alluminio",0,I2589*1.5%),4)</f>
        <v>0</v>
      </c>
      <c r="L2589" s="67">
        <f>ROUND(IF(K2589&lt;J2589,K2589,0),4)</f>
        <v>0</v>
      </c>
      <c r="M2589" s="67">
        <f>ROUND(IF(J2589&gt;K2589,0,J2589),4)</f>
        <v>0</v>
      </c>
      <c r="N2589" s="67">
        <f>ROUND(+L2589*D2589,4)</f>
        <v>0</v>
      </c>
      <c r="O2589" s="67">
        <f>ROUND(IF(F2589="rame",0,+I2589*3%),4)</f>
        <v>0</v>
      </c>
      <c r="P2589" s="67">
        <f>ROUND(IF(O2589&lt;J2589,O2589,0),4)</f>
        <v>0</v>
      </c>
      <c r="Q2589" s="67">
        <f>ROUND(IF(J2589&gt;O2589,0,J2589),4)</f>
        <v>0</v>
      </c>
      <c r="R2589" s="67">
        <f>ROUND(+P2589*D2589,4)</f>
        <v>0</v>
      </c>
      <c r="S2589" s="67">
        <f>ROUND(IF(K2589=0,0,M2589*D2589),4)</f>
        <v>0</v>
      </c>
      <c r="T2589" s="67">
        <f>ROUND(+IF(K2589=0,Q2589*D2589,0),4)</f>
        <v>0</v>
      </c>
      <c r="U2589" s="67">
        <f>ROUND(+N2589+R2589+S2589+T2589,4)</f>
        <v>0</v>
      </c>
      <c r="V2589" s="67">
        <f>ROUND(IF(P2589=0,0,I2589-H2589-O2589)+IF(L2589=0,0,I2589-H2589-K2589),4)</f>
        <v>0</v>
      </c>
      <c r="W2589" s="67">
        <f>ROUND(+(V2589*60%)*D2589,4)</f>
        <v>0</v>
      </c>
      <c r="X2589" s="148">
        <f>ROUND(+U2589+W2589,4)</f>
        <v>0</v>
      </c>
      <c r="Y2589" s="68"/>
      <c r="Z2589" s="148">
        <f>ROUND(IF(X2589&gt;I2589,X2589,I2589),4)</f>
        <v>0</v>
      </c>
      <c r="AD2589" s="78">
        <f t="shared" si="58"/>
        <v>0</v>
      </c>
      <c r="AE2589" s="78">
        <f t="shared" si="59"/>
        <v>0</v>
      </c>
    </row>
    <row r="2590" spans="1:31" x14ac:dyDescent="0.2">
      <c r="A2590" s="66"/>
      <c r="B2590" s="66"/>
      <c r="C2590" s="66"/>
      <c r="D2590" s="144"/>
      <c r="E2590" s="67"/>
      <c r="F2590" s="67"/>
      <c r="G2590" s="67"/>
      <c r="H2590" s="67">
        <f>ROUND(+E2590+G2590,4)</f>
        <v>0</v>
      </c>
      <c r="I2590" s="67"/>
      <c r="J2590" s="67">
        <f>ROUND(+I2590-H2590,4)</f>
        <v>0</v>
      </c>
      <c r="K2590" s="67">
        <f>ROUND(IF(F2590="alluminio",0,I2590*1.5%),4)</f>
        <v>0</v>
      </c>
      <c r="L2590" s="67">
        <f>ROUND(IF(K2590&lt;J2590,K2590,0),4)</f>
        <v>0</v>
      </c>
      <c r="M2590" s="67">
        <f>ROUND(IF(J2590&gt;K2590,0,J2590),4)</f>
        <v>0</v>
      </c>
      <c r="N2590" s="67">
        <f>ROUND(+L2590*D2590,4)</f>
        <v>0</v>
      </c>
      <c r="O2590" s="67">
        <f>ROUND(IF(F2590="rame",0,+I2590*3%),4)</f>
        <v>0</v>
      </c>
      <c r="P2590" s="67">
        <f>ROUND(IF(O2590&lt;J2590,O2590,0),4)</f>
        <v>0</v>
      </c>
      <c r="Q2590" s="67">
        <f>ROUND(IF(J2590&gt;O2590,0,J2590),4)</f>
        <v>0</v>
      </c>
      <c r="R2590" s="67">
        <f>ROUND(+P2590*D2590,4)</f>
        <v>0</v>
      </c>
      <c r="S2590" s="67">
        <f>ROUND(IF(K2590=0,0,M2590*D2590),4)</f>
        <v>0</v>
      </c>
      <c r="T2590" s="67">
        <f>ROUND(+IF(K2590=0,Q2590*D2590,0),4)</f>
        <v>0</v>
      </c>
      <c r="U2590" s="67">
        <f>ROUND(+N2590+R2590+S2590+T2590,4)</f>
        <v>0</v>
      </c>
      <c r="V2590" s="67">
        <f>ROUND(IF(P2590=0,0,I2590-H2590-O2590)+IF(L2590=0,0,I2590-H2590-K2590),4)</f>
        <v>0</v>
      </c>
      <c r="W2590" s="67">
        <f>ROUND(+(V2590*60%)*D2590,4)</f>
        <v>0</v>
      </c>
      <c r="X2590" s="148">
        <f>ROUND(+U2590+W2590,4)</f>
        <v>0</v>
      </c>
      <c r="Y2590" s="68"/>
      <c r="Z2590" s="148">
        <f>ROUND(IF(X2590&gt;I2590,X2590,I2590),4)</f>
        <v>0</v>
      </c>
      <c r="AD2590" s="78">
        <f t="shared" si="58"/>
        <v>0</v>
      </c>
      <c r="AE2590" s="78">
        <f t="shared" si="59"/>
        <v>0</v>
      </c>
    </row>
    <row r="2591" spans="1:31" x14ac:dyDescent="0.2">
      <c r="A2591" s="66"/>
      <c r="B2591" s="66"/>
      <c r="C2591" s="66"/>
      <c r="D2591" s="144"/>
      <c r="E2591" s="67"/>
      <c r="F2591" s="67"/>
      <c r="G2591" s="67"/>
      <c r="H2591" s="67">
        <f>ROUND(+E2591+G2591,4)</f>
        <v>0</v>
      </c>
      <c r="I2591" s="67"/>
      <c r="J2591" s="67">
        <f>ROUND(+I2591-H2591,4)</f>
        <v>0</v>
      </c>
      <c r="K2591" s="67">
        <f>ROUND(IF(F2591="alluminio",0,I2591*1.5%),4)</f>
        <v>0</v>
      </c>
      <c r="L2591" s="67">
        <f>ROUND(IF(K2591&lt;J2591,K2591,0),4)</f>
        <v>0</v>
      </c>
      <c r="M2591" s="67">
        <f>ROUND(IF(J2591&gt;K2591,0,J2591),4)</f>
        <v>0</v>
      </c>
      <c r="N2591" s="67">
        <f>ROUND(+L2591*D2591,4)</f>
        <v>0</v>
      </c>
      <c r="O2591" s="67">
        <f>ROUND(IF(F2591="rame",0,+I2591*3%),4)</f>
        <v>0</v>
      </c>
      <c r="P2591" s="67">
        <f>ROUND(IF(O2591&lt;J2591,O2591,0),4)</f>
        <v>0</v>
      </c>
      <c r="Q2591" s="67">
        <f>ROUND(IF(J2591&gt;O2591,0,J2591),4)</f>
        <v>0</v>
      </c>
      <c r="R2591" s="67">
        <f>ROUND(+P2591*D2591,4)</f>
        <v>0</v>
      </c>
      <c r="S2591" s="67">
        <f>ROUND(IF(K2591=0,0,M2591*D2591),4)</f>
        <v>0</v>
      </c>
      <c r="T2591" s="67">
        <f>ROUND(+IF(K2591=0,Q2591*D2591,0),4)</f>
        <v>0</v>
      </c>
      <c r="U2591" s="67">
        <f>ROUND(+N2591+R2591+S2591+T2591,4)</f>
        <v>0</v>
      </c>
      <c r="V2591" s="67">
        <f>ROUND(IF(P2591=0,0,I2591-H2591-O2591)+IF(L2591=0,0,I2591-H2591-K2591),4)</f>
        <v>0</v>
      </c>
      <c r="W2591" s="67">
        <f>ROUND(+(V2591*60%)*D2591,4)</f>
        <v>0</v>
      </c>
      <c r="X2591" s="148">
        <f>ROUND(+U2591+W2591,4)</f>
        <v>0</v>
      </c>
      <c r="Y2591" s="68"/>
      <c r="Z2591" s="148">
        <f>ROUND(IF(X2591&gt;I2591,X2591,I2591),4)</f>
        <v>0</v>
      </c>
      <c r="AD2591" s="78">
        <f t="shared" si="58"/>
        <v>0</v>
      </c>
      <c r="AE2591" s="78">
        <f t="shared" si="59"/>
        <v>0</v>
      </c>
    </row>
    <row r="2592" spans="1:31" x14ac:dyDescent="0.2">
      <c r="A2592" s="66"/>
      <c r="B2592" s="66"/>
      <c r="C2592" s="66"/>
      <c r="D2592" s="144"/>
      <c r="E2592" s="67"/>
      <c r="F2592" s="67"/>
      <c r="G2592" s="67"/>
      <c r="H2592" s="67">
        <f>ROUND(+E2592+G2592,4)</f>
        <v>0</v>
      </c>
      <c r="I2592" s="67"/>
      <c r="J2592" s="67">
        <f>ROUND(+I2592-H2592,4)</f>
        <v>0</v>
      </c>
      <c r="K2592" s="67">
        <f>ROUND(IF(F2592="alluminio",0,I2592*1.5%),4)</f>
        <v>0</v>
      </c>
      <c r="L2592" s="67">
        <f>ROUND(IF(K2592&lt;J2592,K2592,0),4)</f>
        <v>0</v>
      </c>
      <c r="M2592" s="67">
        <f>ROUND(IF(J2592&gt;K2592,0,J2592),4)</f>
        <v>0</v>
      </c>
      <c r="N2592" s="67">
        <f>ROUND(+L2592*D2592,4)</f>
        <v>0</v>
      </c>
      <c r="O2592" s="67">
        <f>ROUND(IF(F2592="rame",0,+I2592*3%),4)</f>
        <v>0</v>
      </c>
      <c r="P2592" s="67">
        <f>ROUND(IF(O2592&lt;J2592,O2592,0),4)</f>
        <v>0</v>
      </c>
      <c r="Q2592" s="67">
        <f>ROUND(IF(J2592&gt;O2592,0,J2592),4)</f>
        <v>0</v>
      </c>
      <c r="R2592" s="67">
        <f>ROUND(+P2592*D2592,4)</f>
        <v>0</v>
      </c>
      <c r="S2592" s="67">
        <f>ROUND(IF(K2592=0,0,M2592*D2592),4)</f>
        <v>0</v>
      </c>
      <c r="T2592" s="67">
        <f>ROUND(+IF(K2592=0,Q2592*D2592,0),4)</f>
        <v>0</v>
      </c>
      <c r="U2592" s="67">
        <f>ROUND(+N2592+R2592+S2592+T2592,4)</f>
        <v>0</v>
      </c>
      <c r="V2592" s="67">
        <f>ROUND(IF(P2592=0,0,I2592-H2592-O2592)+IF(L2592=0,0,I2592-H2592-K2592),4)</f>
        <v>0</v>
      </c>
      <c r="W2592" s="67">
        <f>ROUND(+(V2592*60%)*D2592,4)</f>
        <v>0</v>
      </c>
      <c r="X2592" s="148">
        <f>ROUND(+U2592+W2592,4)</f>
        <v>0</v>
      </c>
      <c r="Y2592" s="68"/>
      <c r="Z2592" s="148">
        <f>ROUND(IF(X2592&gt;I2592,X2592,I2592),4)</f>
        <v>0</v>
      </c>
      <c r="AD2592" s="78">
        <f t="shared" si="58"/>
        <v>0</v>
      </c>
      <c r="AE2592" s="78">
        <f t="shared" si="59"/>
        <v>0</v>
      </c>
    </row>
    <row r="2593" spans="1:31" x14ac:dyDescent="0.2">
      <c r="A2593" s="66"/>
      <c r="B2593" s="66"/>
      <c r="C2593" s="66"/>
      <c r="D2593" s="144"/>
      <c r="E2593" s="67"/>
      <c r="F2593" s="67"/>
      <c r="G2593" s="67"/>
      <c r="H2593" s="67">
        <f>ROUND(+E2593+G2593,4)</f>
        <v>0</v>
      </c>
      <c r="I2593" s="67"/>
      <c r="J2593" s="67">
        <f>ROUND(+I2593-H2593,4)</f>
        <v>0</v>
      </c>
      <c r="K2593" s="67">
        <f>ROUND(IF(F2593="alluminio",0,I2593*1.5%),4)</f>
        <v>0</v>
      </c>
      <c r="L2593" s="67">
        <f>ROUND(IF(K2593&lt;J2593,K2593,0),4)</f>
        <v>0</v>
      </c>
      <c r="M2593" s="67">
        <f>ROUND(IF(J2593&gt;K2593,0,J2593),4)</f>
        <v>0</v>
      </c>
      <c r="N2593" s="67">
        <f>ROUND(+L2593*D2593,4)</f>
        <v>0</v>
      </c>
      <c r="O2593" s="67">
        <f>ROUND(IF(F2593="rame",0,+I2593*3%),4)</f>
        <v>0</v>
      </c>
      <c r="P2593" s="67">
        <f>ROUND(IF(O2593&lt;J2593,O2593,0),4)</f>
        <v>0</v>
      </c>
      <c r="Q2593" s="67">
        <f>ROUND(IF(J2593&gt;O2593,0,J2593),4)</f>
        <v>0</v>
      </c>
      <c r="R2593" s="67">
        <f>ROUND(+P2593*D2593,4)</f>
        <v>0</v>
      </c>
      <c r="S2593" s="67">
        <f>ROUND(IF(K2593=0,0,M2593*D2593),4)</f>
        <v>0</v>
      </c>
      <c r="T2593" s="67">
        <f>ROUND(+IF(K2593=0,Q2593*D2593,0),4)</f>
        <v>0</v>
      </c>
      <c r="U2593" s="67">
        <f>ROUND(+N2593+R2593+S2593+T2593,4)</f>
        <v>0</v>
      </c>
      <c r="V2593" s="67">
        <f>ROUND(IF(P2593=0,0,I2593-H2593-O2593)+IF(L2593=0,0,I2593-H2593-K2593),4)</f>
        <v>0</v>
      </c>
      <c r="W2593" s="67">
        <f>ROUND(+(V2593*60%)*D2593,4)</f>
        <v>0</v>
      </c>
      <c r="X2593" s="148">
        <f>ROUND(+U2593+W2593,4)</f>
        <v>0</v>
      </c>
      <c r="Y2593" s="68"/>
      <c r="Z2593" s="148">
        <f>ROUND(IF(X2593&gt;I2593,X2593,I2593),4)</f>
        <v>0</v>
      </c>
      <c r="AD2593" s="78">
        <f t="shared" si="58"/>
        <v>0</v>
      </c>
      <c r="AE2593" s="78">
        <f t="shared" si="59"/>
        <v>0</v>
      </c>
    </row>
    <row r="2594" spans="1:31" x14ac:dyDescent="0.2">
      <c r="A2594" s="66"/>
      <c r="B2594" s="66"/>
      <c r="C2594" s="66"/>
      <c r="D2594" s="144"/>
      <c r="E2594" s="67"/>
      <c r="F2594" s="67"/>
      <c r="G2594" s="67"/>
      <c r="H2594" s="67">
        <f>ROUND(+E2594+G2594,4)</f>
        <v>0</v>
      </c>
      <c r="I2594" s="67"/>
      <c r="J2594" s="67">
        <f>ROUND(+I2594-H2594,4)</f>
        <v>0</v>
      </c>
      <c r="K2594" s="67">
        <f>ROUND(IF(F2594="alluminio",0,I2594*1.5%),4)</f>
        <v>0</v>
      </c>
      <c r="L2594" s="67">
        <f>ROUND(IF(K2594&lt;J2594,K2594,0),4)</f>
        <v>0</v>
      </c>
      <c r="M2594" s="67">
        <f>ROUND(IF(J2594&gt;K2594,0,J2594),4)</f>
        <v>0</v>
      </c>
      <c r="N2594" s="67">
        <f>ROUND(+L2594*D2594,4)</f>
        <v>0</v>
      </c>
      <c r="O2594" s="67">
        <f>ROUND(IF(F2594="rame",0,+I2594*3%),4)</f>
        <v>0</v>
      </c>
      <c r="P2594" s="67">
        <f>ROUND(IF(O2594&lt;J2594,O2594,0),4)</f>
        <v>0</v>
      </c>
      <c r="Q2594" s="67">
        <f>ROUND(IF(J2594&gt;O2594,0,J2594),4)</f>
        <v>0</v>
      </c>
      <c r="R2594" s="67">
        <f>ROUND(+P2594*D2594,4)</f>
        <v>0</v>
      </c>
      <c r="S2594" s="67">
        <f>ROUND(IF(K2594=0,0,M2594*D2594),4)</f>
        <v>0</v>
      </c>
      <c r="T2594" s="67">
        <f>ROUND(+IF(K2594=0,Q2594*D2594,0),4)</f>
        <v>0</v>
      </c>
      <c r="U2594" s="67">
        <f>ROUND(+N2594+R2594+S2594+T2594,4)</f>
        <v>0</v>
      </c>
      <c r="V2594" s="67">
        <f>ROUND(IF(P2594=0,0,I2594-H2594-O2594)+IF(L2594=0,0,I2594-H2594-K2594),4)</f>
        <v>0</v>
      </c>
      <c r="W2594" s="67">
        <f>ROUND(+(V2594*60%)*D2594,4)</f>
        <v>0</v>
      </c>
      <c r="X2594" s="148">
        <f>ROUND(+U2594+W2594,4)</f>
        <v>0</v>
      </c>
      <c r="Y2594" s="68"/>
      <c r="Z2594" s="148">
        <f>ROUND(IF(X2594&gt;I2594,X2594,I2594),4)</f>
        <v>0</v>
      </c>
      <c r="AD2594" s="78">
        <f t="shared" si="58"/>
        <v>0</v>
      </c>
      <c r="AE2594" s="78">
        <f t="shared" si="59"/>
        <v>0</v>
      </c>
    </row>
    <row r="2595" spans="1:31" x14ac:dyDescent="0.2">
      <c r="A2595" s="66"/>
      <c r="B2595" s="66"/>
      <c r="C2595" s="66"/>
      <c r="D2595" s="144"/>
      <c r="E2595" s="67"/>
      <c r="F2595" s="67"/>
      <c r="G2595" s="67"/>
      <c r="H2595" s="67">
        <f>ROUND(+E2595+G2595,4)</f>
        <v>0</v>
      </c>
      <c r="I2595" s="67"/>
      <c r="J2595" s="67">
        <f>ROUND(+I2595-H2595,4)</f>
        <v>0</v>
      </c>
      <c r="K2595" s="67">
        <f>ROUND(IF(F2595="alluminio",0,I2595*1.5%),4)</f>
        <v>0</v>
      </c>
      <c r="L2595" s="67">
        <f>ROUND(IF(K2595&lt;J2595,K2595,0),4)</f>
        <v>0</v>
      </c>
      <c r="M2595" s="67">
        <f>ROUND(IF(J2595&gt;K2595,0,J2595),4)</f>
        <v>0</v>
      </c>
      <c r="N2595" s="67">
        <f>ROUND(+L2595*D2595,4)</f>
        <v>0</v>
      </c>
      <c r="O2595" s="67">
        <f>ROUND(IF(F2595="rame",0,+I2595*3%),4)</f>
        <v>0</v>
      </c>
      <c r="P2595" s="67">
        <f>ROUND(IF(O2595&lt;J2595,O2595,0),4)</f>
        <v>0</v>
      </c>
      <c r="Q2595" s="67">
        <f>ROUND(IF(J2595&gt;O2595,0,J2595),4)</f>
        <v>0</v>
      </c>
      <c r="R2595" s="67">
        <f>ROUND(+P2595*D2595,4)</f>
        <v>0</v>
      </c>
      <c r="S2595" s="67">
        <f>ROUND(IF(K2595=0,0,M2595*D2595),4)</f>
        <v>0</v>
      </c>
      <c r="T2595" s="67">
        <f>ROUND(+IF(K2595=0,Q2595*D2595,0),4)</f>
        <v>0</v>
      </c>
      <c r="U2595" s="67">
        <f>ROUND(+N2595+R2595+S2595+T2595,4)</f>
        <v>0</v>
      </c>
      <c r="V2595" s="67">
        <f>ROUND(IF(P2595=0,0,I2595-H2595-O2595)+IF(L2595=0,0,I2595-H2595-K2595),4)</f>
        <v>0</v>
      </c>
      <c r="W2595" s="67">
        <f>ROUND(+(V2595*60%)*D2595,4)</f>
        <v>0</v>
      </c>
      <c r="X2595" s="148">
        <f>ROUND(+U2595+W2595,4)</f>
        <v>0</v>
      </c>
      <c r="Y2595" s="68"/>
      <c r="Z2595" s="148">
        <f>ROUND(IF(X2595&gt;I2595,X2595,I2595),4)</f>
        <v>0</v>
      </c>
      <c r="AD2595" s="78">
        <f t="shared" si="58"/>
        <v>0</v>
      </c>
      <c r="AE2595" s="78">
        <f t="shared" si="59"/>
        <v>0</v>
      </c>
    </row>
    <row r="2596" spans="1:31" x14ac:dyDescent="0.2">
      <c r="A2596" s="66"/>
      <c r="B2596" s="66"/>
      <c r="C2596" s="66"/>
      <c r="D2596" s="144"/>
      <c r="E2596" s="67"/>
      <c r="F2596" s="67"/>
      <c r="G2596" s="67"/>
      <c r="H2596" s="67">
        <f>ROUND(+E2596+G2596,4)</f>
        <v>0</v>
      </c>
      <c r="I2596" s="67"/>
      <c r="J2596" s="67">
        <f>ROUND(+I2596-H2596,4)</f>
        <v>0</v>
      </c>
      <c r="K2596" s="67">
        <f>ROUND(IF(F2596="alluminio",0,I2596*1.5%),4)</f>
        <v>0</v>
      </c>
      <c r="L2596" s="67">
        <f>ROUND(IF(K2596&lt;J2596,K2596,0),4)</f>
        <v>0</v>
      </c>
      <c r="M2596" s="67">
        <f>ROUND(IF(J2596&gt;K2596,0,J2596),4)</f>
        <v>0</v>
      </c>
      <c r="N2596" s="67">
        <f>ROUND(+L2596*D2596,4)</f>
        <v>0</v>
      </c>
      <c r="O2596" s="67">
        <f>ROUND(IF(F2596="rame",0,+I2596*3%),4)</f>
        <v>0</v>
      </c>
      <c r="P2596" s="67">
        <f>ROUND(IF(O2596&lt;J2596,O2596,0),4)</f>
        <v>0</v>
      </c>
      <c r="Q2596" s="67">
        <f>ROUND(IF(J2596&gt;O2596,0,J2596),4)</f>
        <v>0</v>
      </c>
      <c r="R2596" s="67">
        <f>ROUND(+P2596*D2596,4)</f>
        <v>0</v>
      </c>
      <c r="S2596" s="67">
        <f>ROUND(IF(K2596=0,0,M2596*D2596),4)</f>
        <v>0</v>
      </c>
      <c r="T2596" s="67">
        <f>ROUND(+IF(K2596=0,Q2596*D2596,0),4)</f>
        <v>0</v>
      </c>
      <c r="U2596" s="67">
        <f>ROUND(+N2596+R2596+S2596+T2596,4)</f>
        <v>0</v>
      </c>
      <c r="V2596" s="67">
        <f>ROUND(IF(P2596=0,0,I2596-H2596-O2596)+IF(L2596=0,0,I2596-H2596-K2596),4)</f>
        <v>0</v>
      </c>
      <c r="W2596" s="67">
        <f>ROUND(+(V2596*60%)*D2596,4)</f>
        <v>0</v>
      </c>
      <c r="X2596" s="148">
        <f>ROUND(+U2596+W2596,4)</f>
        <v>0</v>
      </c>
      <c r="Y2596" s="68"/>
      <c r="Z2596" s="148">
        <f>ROUND(IF(X2596&gt;I2596,X2596,I2596),4)</f>
        <v>0</v>
      </c>
      <c r="AD2596" s="78">
        <f t="shared" si="58"/>
        <v>0</v>
      </c>
      <c r="AE2596" s="78">
        <f t="shared" si="59"/>
        <v>0</v>
      </c>
    </row>
    <row r="2597" spans="1:31" x14ac:dyDescent="0.2">
      <c r="A2597" s="66"/>
      <c r="B2597" s="66"/>
      <c r="C2597" s="66"/>
      <c r="D2597" s="144"/>
      <c r="E2597" s="67"/>
      <c r="F2597" s="67"/>
      <c r="G2597" s="67"/>
      <c r="H2597" s="67">
        <f>ROUND(+E2597+G2597,4)</f>
        <v>0</v>
      </c>
      <c r="I2597" s="67"/>
      <c r="J2597" s="67">
        <f>ROUND(+I2597-H2597,4)</f>
        <v>0</v>
      </c>
      <c r="K2597" s="67">
        <f>ROUND(IF(F2597="alluminio",0,I2597*1.5%),4)</f>
        <v>0</v>
      </c>
      <c r="L2597" s="67">
        <f>ROUND(IF(K2597&lt;J2597,K2597,0),4)</f>
        <v>0</v>
      </c>
      <c r="M2597" s="67">
        <f>ROUND(IF(J2597&gt;K2597,0,J2597),4)</f>
        <v>0</v>
      </c>
      <c r="N2597" s="67">
        <f>ROUND(+L2597*D2597,4)</f>
        <v>0</v>
      </c>
      <c r="O2597" s="67">
        <f>ROUND(IF(F2597="rame",0,+I2597*3%),4)</f>
        <v>0</v>
      </c>
      <c r="P2597" s="67">
        <f>ROUND(IF(O2597&lt;J2597,O2597,0),4)</f>
        <v>0</v>
      </c>
      <c r="Q2597" s="67">
        <f>ROUND(IF(J2597&gt;O2597,0,J2597),4)</f>
        <v>0</v>
      </c>
      <c r="R2597" s="67">
        <f>ROUND(+P2597*D2597,4)</f>
        <v>0</v>
      </c>
      <c r="S2597" s="67">
        <f>ROUND(IF(K2597=0,0,M2597*D2597),4)</f>
        <v>0</v>
      </c>
      <c r="T2597" s="67">
        <f>ROUND(+IF(K2597=0,Q2597*D2597,0),4)</f>
        <v>0</v>
      </c>
      <c r="U2597" s="67">
        <f>ROUND(+N2597+R2597+S2597+T2597,4)</f>
        <v>0</v>
      </c>
      <c r="V2597" s="67">
        <f>ROUND(IF(P2597=0,0,I2597-H2597-O2597)+IF(L2597=0,0,I2597-H2597-K2597),4)</f>
        <v>0</v>
      </c>
      <c r="W2597" s="67">
        <f>ROUND(+(V2597*60%)*D2597,4)</f>
        <v>0</v>
      </c>
      <c r="X2597" s="148">
        <f>ROUND(+U2597+W2597,4)</f>
        <v>0</v>
      </c>
      <c r="Y2597" s="68"/>
      <c r="Z2597" s="148">
        <f>ROUND(IF(X2597&gt;I2597,X2597,I2597),4)</f>
        <v>0</v>
      </c>
      <c r="AD2597" s="78">
        <f t="shared" si="58"/>
        <v>0</v>
      </c>
      <c r="AE2597" s="78">
        <f t="shared" si="59"/>
        <v>0</v>
      </c>
    </row>
    <row r="2598" spans="1:31" x14ac:dyDescent="0.2">
      <c r="A2598" s="66"/>
      <c r="B2598" s="66"/>
      <c r="C2598" s="66"/>
      <c r="D2598" s="144"/>
      <c r="E2598" s="67"/>
      <c r="F2598" s="67"/>
      <c r="G2598" s="67"/>
      <c r="H2598" s="67">
        <f>ROUND(+E2598+G2598,4)</f>
        <v>0</v>
      </c>
      <c r="I2598" s="67"/>
      <c r="J2598" s="67">
        <f>ROUND(+I2598-H2598,4)</f>
        <v>0</v>
      </c>
      <c r="K2598" s="67">
        <f>ROUND(IF(F2598="alluminio",0,I2598*1.5%),4)</f>
        <v>0</v>
      </c>
      <c r="L2598" s="67">
        <f>ROUND(IF(K2598&lt;J2598,K2598,0),4)</f>
        <v>0</v>
      </c>
      <c r="M2598" s="67">
        <f>ROUND(IF(J2598&gt;K2598,0,J2598),4)</f>
        <v>0</v>
      </c>
      <c r="N2598" s="67">
        <f>ROUND(+L2598*D2598,4)</f>
        <v>0</v>
      </c>
      <c r="O2598" s="67">
        <f>ROUND(IF(F2598="rame",0,+I2598*3%),4)</f>
        <v>0</v>
      </c>
      <c r="P2598" s="67">
        <f>ROUND(IF(O2598&lt;J2598,O2598,0),4)</f>
        <v>0</v>
      </c>
      <c r="Q2598" s="67">
        <f>ROUND(IF(J2598&gt;O2598,0,J2598),4)</f>
        <v>0</v>
      </c>
      <c r="R2598" s="67">
        <f>ROUND(+P2598*D2598,4)</f>
        <v>0</v>
      </c>
      <c r="S2598" s="67">
        <f>ROUND(IF(K2598=0,0,M2598*D2598),4)</f>
        <v>0</v>
      </c>
      <c r="T2598" s="67">
        <f>ROUND(+IF(K2598=0,Q2598*D2598,0),4)</f>
        <v>0</v>
      </c>
      <c r="U2598" s="67">
        <f>ROUND(+N2598+R2598+S2598+T2598,4)</f>
        <v>0</v>
      </c>
      <c r="V2598" s="67">
        <f>ROUND(IF(P2598=0,0,I2598-H2598-O2598)+IF(L2598=0,0,I2598-H2598-K2598),4)</f>
        <v>0</v>
      </c>
      <c r="W2598" s="67">
        <f>ROUND(+(V2598*60%)*D2598,4)</f>
        <v>0</v>
      </c>
      <c r="X2598" s="148">
        <f>ROUND(+U2598+W2598,4)</f>
        <v>0</v>
      </c>
      <c r="Y2598" s="68"/>
      <c r="Z2598" s="148">
        <f>ROUND(IF(X2598&gt;I2598,X2598,I2598),4)</f>
        <v>0</v>
      </c>
      <c r="AD2598" s="78">
        <f t="shared" si="58"/>
        <v>0</v>
      </c>
      <c r="AE2598" s="78">
        <f t="shared" si="59"/>
        <v>0</v>
      </c>
    </row>
    <row r="2599" spans="1:31" x14ac:dyDescent="0.2">
      <c r="A2599" s="66"/>
      <c r="B2599" s="66"/>
      <c r="C2599" s="66"/>
      <c r="D2599" s="144"/>
      <c r="E2599" s="67"/>
      <c r="F2599" s="67"/>
      <c r="G2599" s="67"/>
      <c r="H2599" s="67">
        <f>ROUND(+E2599+G2599,4)</f>
        <v>0</v>
      </c>
      <c r="I2599" s="67"/>
      <c r="J2599" s="67">
        <f>ROUND(+I2599-H2599,4)</f>
        <v>0</v>
      </c>
      <c r="K2599" s="67">
        <f>ROUND(IF(F2599="alluminio",0,I2599*1.5%),4)</f>
        <v>0</v>
      </c>
      <c r="L2599" s="67">
        <f>ROUND(IF(K2599&lt;J2599,K2599,0),4)</f>
        <v>0</v>
      </c>
      <c r="M2599" s="67">
        <f>ROUND(IF(J2599&gt;K2599,0,J2599),4)</f>
        <v>0</v>
      </c>
      <c r="N2599" s="67">
        <f>ROUND(+L2599*D2599,4)</f>
        <v>0</v>
      </c>
      <c r="O2599" s="67">
        <f>ROUND(IF(F2599="rame",0,+I2599*3%),4)</f>
        <v>0</v>
      </c>
      <c r="P2599" s="67">
        <f>ROUND(IF(O2599&lt;J2599,O2599,0),4)</f>
        <v>0</v>
      </c>
      <c r="Q2599" s="67">
        <f>ROUND(IF(J2599&gt;O2599,0,J2599),4)</f>
        <v>0</v>
      </c>
      <c r="R2599" s="67">
        <f>ROUND(+P2599*D2599,4)</f>
        <v>0</v>
      </c>
      <c r="S2599" s="67">
        <f>ROUND(IF(K2599=0,0,M2599*D2599),4)</f>
        <v>0</v>
      </c>
      <c r="T2599" s="67">
        <f>ROUND(+IF(K2599=0,Q2599*D2599,0),4)</f>
        <v>0</v>
      </c>
      <c r="U2599" s="67">
        <f>ROUND(+N2599+R2599+S2599+T2599,4)</f>
        <v>0</v>
      </c>
      <c r="V2599" s="67">
        <f>ROUND(IF(P2599=0,0,I2599-H2599-O2599)+IF(L2599=0,0,I2599-H2599-K2599),4)</f>
        <v>0</v>
      </c>
      <c r="W2599" s="67">
        <f>ROUND(+(V2599*60%)*D2599,4)</f>
        <v>0</v>
      </c>
      <c r="X2599" s="148">
        <f>ROUND(+U2599+W2599,4)</f>
        <v>0</v>
      </c>
      <c r="Y2599" s="68"/>
      <c r="Z2599" s="148">
        <f>ROUND(IF(X2599&gt;I2599,X2599,I2599),4)</f>
        <v>0</v>
      </c>
      <c r="AD2599" s="78">
        <f t="shared" si="58"/>
        <v>0</v>
      </c>
      <c r="AE2599" s="78">
        <f t="shared" si="59"/>
        <v>0</v>
      </c>
    </row>
    <row r="2600" spans="1:31" x14ac:dyDescent="0.2">
      <c r="A2600" s="66"/>
      <c r="B2600" s="66"/>
      <c r="C2600" s="66"/>
      <c r="D2600" s="144"/>
      <c r="E2600" s="67"/>
      <c r="F2600" s="67"/>
      <c r="G2600" s="67"/>
      <c r="H2600" s="67">
        <f>ROUND(+E2600+G2600,4)</f>
        <v>0</v>
      </c>
      <c r="I2600" s="67"/>
      <c r="J2600" s="67">
        <f>ROUND(+I2600-H2600,4)</f>
        <v>0</v>
      </c>
      <c r="K2600" s="67">
        <f>ROUND(IF(F2600="alluminio",0,I2600*1.5%),4)</f>
        <v>0</v>
      </c>
      <c r="L2600" s="67">
        <f>ROUND(IF(K2600&lt;J2600,K2600,0),4)</f>
        <v>0</v>
      </c>
      <c r="M2600" s="67">
        <f>ROUND(IF(J2600&gt;K2600,0,J2600),4)</f>
        <v>0</v>
      </c>
      <c r="N2600" s="67">
        <f>ROUND(+L2600*D2600,4)</f>
        <v>0</v>
      </c>
      <c r="O2600" s="67">
        <f>ROUND(IF(F2600="rame",0,+I2600*3%),4)</f>
        <v>0</v>
      </c>
      <c r="P2600" s="67">
        <f>ROUND(IF(O2600&lt;J2600,O2600,0),4)</f>
        <v>0</v>
      </c>
      <c r="Q2600" s="67">
        <f>ROUND(IF(J2600&gt;O2600,0,J2600),4)</f>
        <v>0</v>
      </c>
      <c r="R2600" s="67">
        <f>ROUND(+P2600*D2600,4)</f>
        <v>0</v>
      </c>
      <c r="S2600" s="67">
        <f>ROUND(IF(K2600=0,0,M2600*D2600),4)</f>
        <v>0</v>
      </c>
      <c r="T2600" s="67">
        <f>ROUND(+IF(K2600=0,Q2600*D2600,0),4)</f>
        <v>0</v>
      </c>
      <c r="U2600" s="67">
        <f>ROUND(+N2600+R2600+S2600+T2600,4)</f>
        <v>0</v>
      </c>
      <c r="V2600" s="67">
        <f>ROUND(IF(P2600=0,0,I2600-H2600-O2600)+IF(L2600=0,0,I2600-H2600-K2600),4)</f>
        <v>0</v>
      </c>
      <c r="W2600" s="67">
        <f>ROUND(+(V2600*60%)*D2600,4)</f>
        <v>0</v>
      </c>
      <c r="X2600" s="148">
        <f>ROUND(+U2600+W2600,4)</f>
        <v>0</v>
      </c>
      <c r="Y2600" s="68"/>
      <c r="Z2600" s="148">
        <f>ROUND(IF(X2600&gt;I2600,X2600,I2600),4)</f>
        <v>0</v>
      </c>
      <c r="AD2600" s="78">
        <f t="shared" si="58"/>
        <v>0</v>
      </c>
      <c r="AE2600" s="78">
        <f t="shared" si="59"/>
        <v>0</v>
      </c>
    </row>
    <row r="2601" spans="1:31" x14ac:dyDescent="0.2">
      <c r="A2601" s="66"/>
      <c r="B2601" s="66"/>
      <c r="C2601" s="66"/>
      <c r="D2601" s="144"/>
      <c r="E2601" s="67"/>
      <c r="F2601" s="67"/>
      <c r="G2601" s="67"/>
      <c r="H2601" s="67">
        <f>ROUND(+E2601+G2601,4)</f>
        <v>0</v>
      </c>
      <c r="I2601" s="67"/>
      <c r="J2601" s="67">
        <f>ROUND(+I2601-H2601,4)</f>
        <v>0</v>
      </c>
      <c r="K2601" s="67">
        <f>ROUND(IF(F2601="alluminio",0,I2601*1.5%),4)</f>
        <v>0</v>
      </c>
      <c r="L2601" s="67">
        <f>ROUND(IF(K2601&lt;J2601,K2601,0),4)</f>
        <v>0</v>
      </c>
      <c r="M2601" s="67">
        <f>ROUND(IF(J2601&gt;K2601,0,J2601),4)</f>
        <v>0</v>
      </c>
      <c r="N2601" s="67">
        <f>ROUND(+L2601*D2601,4)</f>
        <v>0</v>
      </c>
      <c r="O2601" s="67">
        <f>ROUND(IF(F2601="rame",0,+I2601*3%),4)</f>
        <v>0</v>
      </c>
      <c r="P2601" s="67">
        <f>ROUND(IF(O2601&lt;J2601,O2601,0),4)</f>
        <v>0</v>
      </c>
      <c r="Q2601" s="67">
        <f>ROUND(IF(J2601&gt;O2601,0,J2601),4)</f>
        <v>0</v>
      </c>
      <c r="R2601" s="67">
        <f>ROUND(+P2601*D2601,4)</f>
        <v>0</v>
      </c>
      <c r="S2601" s="67">
        <f>ROUND(IF(K2601=0,0,M2601*D2601),4)</f>
        <v>0</v>
      </c>
      <c r="T2601" s="67">
        <f>ROUND(+IF(K2601=0,Q2601*D2601,0),4)</f>
        <v>0</v>
      </c>
      <c r="U2601" s="67">
        <f>ROUND(+N2601+R2601+S2601+T2601,4)</f>
        <v>0</v>
      </c>
      <c r="V2601" s="67">
        <f>ROUND(IF(P2601=0,0,I2601-H2601-O2601)+IF(L2601=0,0,I2601-H2601-K2601),4)</f>
        <v>0</v>
      </c>
      <c r="W2601" s="67">
        <f>ROUND(+(V2601*60%)*D2601,4)</f>
        <v>0</v>
      </c>
      <c r="X2601" s="148">
        <f>ROUND(+U2601+W2601,4)</f>
        <v>0</v>
      </c>
      <c r="Y2601" s="68"/>
      <c r="Z2601" s="148">
        <f>ROUND(IF(X2601&gt;I2601,X2601,I2601),4)</f>
        <v>0</v>
      </c>
      <c r="AD2601" s="78">
        <f t="shared" si="58"/>
        <v>0</v>
      </c>
      <c r="AE2601" s="78">
        <f t="shared" si="59"/>
        <v>0</v>
      </c>
    </row>
    <row r="2602" spans="1:31" x14ac:dyDescent="0.2">
      <c r="A2602" s="66"/>
      <c r="B2602" s="66"/>
      <c r="C2602" s="66"/>
      <c r="D2602" s="144"/>
      <c r="E2602" s="67"/>
      <c r="F2602" s="67"/>
      <c r="G2602" s="67"/>
      <c r="H2602" s="67">
        <f>ROUND(+E2602+G2602,4)</f>
        <v>0</v>
      </c>
      <c r="I2602" s="67"/>
      <c r="J2602" s="67">
        <f>ROUND(+I2602-H2602,4)</f>
        <v>0</v>
      </c>
      <c r="K2602" s="67">
        <f>ROUND(IF(F2602="alluminio",0,I2602*1.5%),4)</f>
        <v>0</v>
      </c>
      <c r="L2602" s="67">
        <f>ROUND(IF(K2602&lt;J2602,K2602,0),4)</f>
        <v>0</v>
      </c>
      <c r="M2602" s="67">
        <f>ROUND(IF(J2602&gt;K2602,0,J2602),4)</f>
        <v>0</v>
      </c>
      <c r="N2602" s="67">
        <f>ROUND(+L2602*D2602,4)</f>
        <v>0</v>
      </c>
      <c r="O2602" s="67">
        <f>ROUND(IF(F2602="rame",0,+I2602*3%),4)</f>
        <v>0</v>
      </c>
      <c r="P2602" s="67">
        <f>ROUND(IF(O2602&lt;J2602,O2602,0),4)</f>
        <v>0</v>
      </c>
      <c r="Q2602" s="67">
        <f>ROUND(IF(J2602&gt;O2602,0,J2602),4)</f>
        <v>0</v>
      </c>
      <c r="R2602" s="67">
        <f>ROUND(+P2602*D2602,4)</f>
        <v>0</v>
      </c>
      <c r="S2602" s="67">
        <f>ROUND(IF(K2602=0,0,M2602*D2602),4)</f>
        <v>0</v>
      </c>
      <c r="T2602" s="67">
        <f>ROUND(+IF(K2602=0,Q2602*D2602,0),4)</f>
        <v>0</v>
      </c>
      <c r="U2602" s="67">
        <f>ROUND(+N2602+R2602+S2602+T2602,4)</f>
        <v>0</v>
      </c>
      <c r="V2602" s="67">
        <f>ROUND(IF(P2602=0,0,I2602-H2602-O2602)+IF(L2602=0,0,I2602-H2602-K2602),4)</f>
        <v>0</v>
      </c>
      <c r="W2602" s="67">
        <f>ROUND(+(V2602*60%)*D2602,4)</f>
        <v>0</v>
      </c>
      <c r="X2602" s="148">
        <f>ROUND(+U2602+W2602,4)</f>
        <v>0</v>
      </c>
      <c r="Y2602" s="68"/>
      <c r="Z2602" s="148">
        <f>ROUND(IF(X2602&gt;I2602,X2602,I2602),4)</f>
        <v>0</v>
      </c>
      <c r="AD2602" s="78">
        <f t="shared" si="58"/>
        <v>0</v>
      </c>
      <c r="AE2602" s="78">
        <f t="shared" si="59"/>
        <v>0</v>
      </c>
    </row>
    <row r="2603" spans="1:31" x14ac:dyDescent="0.2">
      <c r="A2603" s="66"/>
      <c r="B2603" s="66"/>
      <c r="C2603" s="66"/>
      <c r="D2603" s="144"/>
      <c r="E2603" s="67"/>
      <c r="F2603" s="67"/>
      <c r="G2603" s="67"/>
      <c r="H2603" s="67">
        <f>ROUND(+E2603+G2603,4)</f>
        <v>0</v>
      </c>
      <c r="I2603" s="67"/>
      <c r="J2603" s="67">
        <f>ROUND(+I2603-H2603,4)</f>
        <v>0</v>
      </c>
      <c r="K2603" s="67">
        <f>ROUND(IF(F2603="alluminio",0,I2603*1.5%),4)</f>
        <v>0</v>
      </c>
      <c r="L2603" s="67">
        <f>ROUND(IF(K2603&lt;J2603,K2603,0),4)</f>
        <v>0</v>
      </c>
      <c r="M2603" s="67">
        <f>ROUND(IF(J2603&gt;K2603,0,J2603),4)</f>
        <v>0</v>
      </c>
      <c r="N2603" s="67">
        <f>ROUND(+L2603*D2603,4)</f>
        <v>0</v>
      </c>
      <c r="O2603" s="67">
        <f>ROUND(IF(F2603="rame",0,+I2603*3%),4)</f>
        <v>0</v>
      </c>
      <c r="P2603" s="67">
        <f>ROUND(IF(O2603&lt;J2603,O2603,0),4)</f>
        <v>0</v>
      </c>
      <c r="Q2603" s="67">
        <f>ROUND(IF(J2603&gt;O2603,0,J2603),4)</f>
        <v>0</v>
      </c>
      <c r="R2603" s="67">
        <f>ROUND(+P2603*D2603,4)</f>
        <v>0</v>
      </c>
      <c r="S2603" s="67">
        <f>ROUND(IF(K2603=0,0,M2603*D2603),4)</f>
        <v>0</v>
      </c>
      <c r="T2603" s="67">
        <f>ROUND(+IF(K2603=0,Q2603*D2603,0),4)</f>
        <v>0</v>
      </c>
      <c r="U2603" s="67">
        <f>ROUND(+N2603+R2603+S2603+T2603,4)</f>
        <v>0</v>
      </c>
      <c r="V2603" s="67">
        <f>ROUND(IF(P2603=0,0,I2603-H2603-O2603)+IF(L2603=0,0,I2603-H2603-K2603),4)</f>
        <v>0</v>
      </c>
      <c r="W2603" s="67">
        <f>ROUND(+(V2603*60%)*D2603,4)</f>
        <v>0</v>
      </c>
      <c r="X2603" s="148">
        <f>ROUND(+U2603+W2603,4)</f>
        <v>0</v>
      </c>
      <c r="Y2603" s="68"/>
      <c r="Z2603" s="148">
        <f>ROUND(IF(X2603&gt;I2603,X2603,I2603),4)</f>
        <v>0</v>
      </c>
      <c r="AD2603" s="78">
        <f t="shared" si="58"/>
        <v>0</v>
      </c>
      <c r="AE2603" s="78">
        <f t="shared" si="59"/>
        <v>0</v>
      </c>
    </row>
    <row r="2604" spans="1:31" x14ac:dyDescent="0.2">
      <c r="A2604" s="66"/>
      <c r="B2604" s="66"/>
      <c r="C2604" s="66"/>
      <c r="D2604" s="144"/>
      <c r="E2604" s="67"/>
      <c r="F2604" s="67"/>
      <c r="G2604" s="67"/>
      <c r="H2604" s="67">
        <f>ROUND(+E2604+G2604,4)</f>
        <v>0</v>
      </c>
      <c r="I2604" s="67"/>
      <c r="J2604" s="67">
        <f>ROUND(+I2604-H2604,4)</f>
        <v>0</v>
      </c>
      <c r="K2604" s="67">
        <f>ROUND(IF(F2604="alluminio",0,I2604*1.5%),4)</f>
        <v>0</v>
      </c>
      <c r="L2604" s="67">
        <f>ROUND(IF(K2604&lt;J2604,K2604,0),4)</f>
        <v>0</v>
      </c>
      <c r="M2604" s="67">
        <f>ROUND(IF(J2604&gt;K2604,0,J2604),4)</f>
        <v>0</v>
      </c>
      <c r="N2604" s="67">
        <f>ROUND(+L2604*D2604,4)</f>
        <v>0</v>
      </c>
      <c r="O2604" s="67">
        <f>ROUND(IF(F2604="rame",0,+I2604*3%),4)</f>
        <v>0</v>
      </c>
      <c r="P2604" s="67">
        <f>ROUND(IF(O2604&lt;J2604,O2604,0),4)</f>
        <v>0</v>
      </c>
      <c r="Q2604" s="67">
        <f>ROUND(IF(J2604&gt;O2604,0,J2604),4)</f>
        <v>0</v>
      </c>
      <c r="R2604" s="67">
        <f>ROUND(+P2604*D2604,4)</f>
        <v>0</v>
      </c>
      <c r="S2604" s="67">
        <f>ROUND(IF(K2604=0,0,M2604*D2604),4)</f>
        <v>0</v>
      </c>
      <c r="T2604" s="67">
        <f>ROUND(+IF(K2604=0,Q2604*D2604,0),4)</f>
        <v>0</v>
      </c>
      <c r="U2604" s="67">
        <f>ROUND(+N2604+R2604+S2604+T2604,4)</f>
        <v>0</v>
      </c>
      <c r="V2604" s="67">
        <f>ROUND(IF(P2604=0,0,I2604-H2604-O2604)+IF(L2604=0,0,I2604-H2604-K2604),4)</f>
        <v>0</v>
      </c>
      <c r="W2604" s="67">
        <f>ROUND(+(V2604*60%)*D2604,4)</f>
        <v>0</v>
      </c>
      <c r="X2604" s="148">
        <f>ROUND(+U2604+W2604,4)</f>
        <v>0</v>
      </c>
      <c r="Y2604" s="68"/>
      <c r="Z2604" s="148">
        <f>ROUND(IF(X2604&gt;I2604,X2604,I2604),4)</f>
        <v>0</v>
      </c>
      <c r="AD2604" s="78">
        <f t="shared" si="58"/>
        <v>0</v>
      </c>
      <c r="AE2604" s="78">
        <f t="shared" si="59"/>
        <v>0</v>
      </c>
    </row>
    <row r="2605" spans="1:31" x14ac:dyDescent="0.2">
      <c r="A2605" s="66"/>
      <c r="B2605" s="66"/>
      <c r="C2605" s="66"/>
      <c r="D2605" s="144"/>
      <c r="E2605" s="67"/>
      <c r="F2605" s="67"/>
      <c r="G2605" s="67"/>
      <c r="H2605" s="67">
        <f>ROUND(+E2605+G2605,4)</f>
        <v>0</v>
      </c>
      <c r="I2605" s="67"/>
      <c r="J2605" s="67">
        <f>ROUND(+I2605-H2605,4)</f>
        <v>0</v>
      </c>
      <c r="K2605" s="67">
        <f>ROUND(IF(F2605="alluminio",0,I2605*1.5%),4)</f>
        <v>0</v>
      </c>
      <c r="L2605" s="67">
        <f>ROUND(IF(K2605&lt;J2605,K2605,0),4)</f>
        <v>0</v>
      </c>
      <c r="M2605" s="67">
        <f>ROUND(IF(J2605&gt;K2605,0,J2605),4)</f>
        <v>0</v>
      </c>
      <c r="N2605" s="67">
        <f>ROUND(+L2605*D2605,4)</f>
        <v>0</v>
      </c>
      <c r="O2605" s="67">
        <f>ROUND(IF(F2605="rame",0,+I2605*3%),4)</f>
        <v>0</v>
      </c>
      <c r="P2605" s="67">
        <f>ROUND(IF(O2605&lt;J2605,O2605,0),4)</f>
        <v>0</v>
      </c>
      <c r="Q2605" s="67">
        <f>ROUND(IF(J2605&gt;O2605,0,J2605),4)</f>
        <v>0</v>
      </c>
      <c r="R2605" s="67">
        <f>ROUND(+P2605*D2605,4)</f>
        <v>0</v>
      </c>
      <c r="S2605" s="67">
        <f>ROUND(IF(K2605=0,0,M2605*D2605),4)</f>
        <v>0</v>
      </c>
      <c r="T2605" s="67">
        <f>ROUND(+IF(K2605=0,Q2605*D2605,0),4)</f>
        <v>0</v>
      </c>
      <c r="U2605" s="67">
        <f>ROUND(+N2605+R2605+S2605+T2605,4)</f>
        <v>0</v>
      </c>
      <c r="V2605" s="67">
        <f>ROUND(IF(P2605=0,0,I2605-H2605-O2605)+IF(L2605=0,0,I2605-H2605-K2605),4)</f>
        <v>0</v>
      </c>
      <c r="W2605" s="67">
        <f>ROUND(+(V2605*60%)*D2605,4)</f>
        <v>0</v>
      </c>
      <c r="X2605" s="148">
        <f>ROUND(+U2605+W2605,4)</f>
        <v>0</v>
      </c>
      <c r="Y2605" s="68"/>
      <c r="Z2605" s="148">
        <f>ROUND(IF(X2605&gt;I2605,X2605,I2605),4)</f>
        <v>0</v>
      </c>
      <c r="AD2605" s="78">
        <f t="shared" si="58"/>
        <v>0</v>
      </c>
      <c r="AE2605" s="78">
        <f t="shared" si="59"/>
        <v>0</v>
      </c>
    </row>
    <row r="2606" spans="1:31" x14ac:dyDescent="0.2">
      <c r="A2606" s="66"/>
      <c r="B2606" s="66"/>
      <c r="C2606" s="66"/>
      <c r="D2606" s="144"/>
      <c r="E2606" s="67"/>
      <c r="F2606" s="67"/>
      <c r="G2606" s="67"/>
      <c r="H2606" s="67">
        <f>ROUND(+E2606+G2606,4)</f>
        <v>0</v>
      </c>
      <c r="I2606" s="67"/>
      <c r="J2606" s="67">
        <f>ROUND(+I2606-H2606,4)</f>
        <v>0</v>
      </c>
      <c r="K2606" s="67">
        <f>ROUND(IF(F2606="alluminio",0,I2606*1.5%),4)</f>
        <v>0</v>
      </c>
      <c r="L2606" s="67">
        <f>ROUND(IF(K2606&lt;J2606,K2606,0),4)</f>
        <v>0</v>
      </c>
      <c r="M2606" s="67">
        <f>ROUND(IF(J2606&gt;K2606,0,J2606),4)</f>
        <v>0</v>
      </c>
      <c r="N2606" s="67">
        <f>ROUND(+L2606*D2606,4)</f>
        <v>0</v>
      </c>
      <c r="O2606" s="67">
        <f>ROUND(IF(F2606="rame",0,+I2606*3%),4)</f>
        <v>0</v>
      </c>
      <c r="P2606" s="67">
        <f>ROUND(IF(O2606&lt;J2606,O2606,0),4)</f>
        <v>0</v>
      </c>
      <c r="Q2606" s="67">
        <f>ROUND(IF(J2606&gt;O2606,0,J2606),4)</f>
        <v>0</v>
      </c>
      <c r="R2606" s="67">
        <f>ROUND(+P2606*D2606,4)</f>
        <v>0</v>
      </c>
      <c r="S2606" s="67">
        <f>ROUND(IF(K2606=0,0,M2606*D2606),4)</f>
        <v>0</v>
      </c>
      <c r="T2606" s="67">
        <f>ROUND(+IF(K2606=0,Q2606*D2606,0),4)</f>
        <v>0</v>
      </c>
      <c r="U2606" s="67">
        <f>ROUND(+N2606+R2606+S2606+T2606,4)</f>
        <v>0</v>
      </c>
      <c r="V2606" s="67">
        <f>ROUND(IF(P2606=0,0,I2606-H2606-O2606)+IF(L2606=0,0,I2606-H2606-K2606),4)</f>
        <v>0</v>
      </c>
      <c r="W2606" s="67">
        <f>ROUND(+(V2606*60%)*D2606,4)</f>
        <v>0</v>
      </c>
      <c r="X2606" s="148">
        <f>ROUND(+U2606+W2606,4)</f>
        <v>0</v>
      </c>
      <c r="Y2606" s="68"/>
      <c r="Z2606" s="148">
        <f>ROUND(IF(X2606&gt;I2606,X2606,I2606),4)</f>
        <v>0</v>
      </c>
      <c r="AD2606" s="78">
        <f t="shared" si="58"/>
        <v>0</v>
      </c>
      <c r="AE2606" s="78">
        <f t="shared" si="59"/>
        <v>0</v>
      </c>
    </row>
    <row r="2607" spans="1:31" x14ac:dyDescent="0.2">
      <c r="A2607" s="66"/>
      <c r="B2607" s="66"/>
      <c r="C2607" s="66"/>
      <c r="D2607" s="144"/>
      <c r="E2607" s="67"/>
      <c r="F2607" s="67"/>
      <c r="G2607" s="67"/>
      <c r="H2607" s="67">
        <f>ROUND(+E2607+G2607,4)</f>
        <v>0</v>
      </c>
      <c r="I2607" s="67"/>
      <c r="J2607" s="67">
        <f>ROUND(+I2607-H2607,4)</f>
        <v>0</v>
      </c>
      <c r="K2607" s="67">
        <f>ROUND(IF(F2607="alluminio",0,I2607*1.5%),4)</f>
        <v>0</v>
      </c>
      <c r="L2607" s="67">
        <f>ROUND(IF(K2607&lt;J2607,K2607,0),4)</f>
        <v>0</v>
      </c>
      <c r="M2607" s="67">
        <f>ROUND(IF(J2607&gt;K2607,0,J2607),4)</f>
        <v>0</v>
      </c>
      <c r="N2607" s="67">
        <f>ROUND(+L2607*D2607,4)</f>
        <v>0</v>
      </c>
      <c r="O2607" s="67">
        <f>ROUND(IF(F2607="rame",0,+I2607*3%),4)</f>
        <v>0</v>
      </c>
      <c r="P2607" s="67">
        <f>ROUND(IF(O2607&lt;J2607,O2607,0),4)</f>
        <v>0</v>
      </c>
      <c r="Q2607" s="67">
        <f>ROUND(IF(J2607&gt;O2607,0,J2607),4)</f>
        <v>0</v>
      </c>
      <c r="R2607" s="67">
        <f>ROUND(+P2607*D2607,4)</f>
        <v>0</v>
      </c>
      <c r="S2607" s="67">
        <f>ROUND(IF(K2607=0,0,M2607*D2607),4)</f>
        <v>0</v>
      </c>
      <c r="T2607" s="67">
        <f>ROUND(+IF(K2607=0,Q2607*D2607,0),4)</f>
        <v>0</v>
      </c>
      <c r="U2607" s="67">
        <f>ROUND(+N2607+R2607+S2607+T2607,4)</f>
        <v>0</v>
      </c>
      <c r="V2607" s="67">
        <f>ROUND(IF(P2607=0,0,I2607-H2607-O2607)+IF(L2607=0,0,I2607-H2607-K2607),4)</f>
        <v>0</v>
      </c>
      <c r="W2607" s="67">
        <f>ROUND(+(V2607*60%)*D2607,4)</f>
        <v>0</v>
      </c>
      <c r="X2607" s="148">
        <f>ROUND(+U2607+W2607,4)</f>
        <v>0</v>
      </c>
      <c r="Y2607" s="68"/>
      <c r="Z2607" s="148">
        <f>ROUND(IF(X2607&gt;I2607,X2607,I2607),4)</f>
        <v>0</v>
      </c>
      <c r="AD2607" s="78">
        <f t="shared" si="58"/>
        <v>0</v>
      </c>
      <c r="AE2607" s="78">
        <f t="shared" si="59"/>
        <v>0</v>
      </c>
    </row>
    <row r="2608" spans="1:31" x14ac:dyDescent="0.2">
      <c r="A2608" s="66"/>
      <c r="B2608" s="66"/>
      <c r="C2608" s="66"/>
      <c r="D2608" s="144"/>
      <c r="E2608" s="67"/>
      <c r="F2608" s="67"/>
      <c r="G2608" s="67"/>
      <c r="H2608" s="67">
        <f>ROUND(+E2608+G2608,4)</f>
        <v>0</v>
      </c>
      <c r="I2608" s="67"/>
      <c r="J2608" s="67">
        <f>ROUND(+I2608-H2608,4)</f>
        <v>0</v>
      </c>
      <c r="K2608" s="67">
        <f>ROUND(IF(F2608="alluminio",0,I2608*1.5%),4)</f>
        <v>0</v>
      </c>
      <c r="L2608" s="67">
        <f>ROUND(IF(K2608&lt;J2608,K2608,0),4)</f>
        <v>0</v>
      </c>
      <c r="M2608" s="67">
        <f>ROUND(IF(J2608&gt;K2608,0,J2608),4)</f>
        <v>0</v>
      </c>
      <c r="N2608" s="67">
        <f>ROUND(+L2608*D2608,4)</f>
        <v>0</v>
      </c>
      <c r="O2608" s="67">
        <f>ROUND(IF(F2608="rame",0,+I2608*3%),4)</f>
        <v>0</v>
      </c>
      <c r="P2608" s="67">
        <f>ROUND(IF(O2608&lt;J2608,O2608,0),4)</f>
        <v>0</v>
      </c>
      <c r="Q2608" s="67">
        <f>ROUND(IF(J2608&gt;O2608,0,J2608),4)</f>
        <v>0</v>
      </c>
      <c r="R2608" s="67">
        <f>ROUND(+P2608*D2608,4)</f>
        <v>0</v>
      </c>
      <c r="S2608" s="67">
        <f>ROUND(IF(K2608=0,0,M2608*D2608),4)</f>
        <v>0</v>
      </c>
      <c r="T2608" s="67">
        <f>ROUND(+IF(K2608=0,Q2608*D2608,0),4)</f>
        <v>0</v>
      </c>
      <c r="U2608" s="67">
        <f>ROUND(+N2608+R2608+S2608+T2608,4)</f>
        <v>0</v>
      </c>
      <c r="V2608" s="67">
        <f>ROUND(IF(P2608=0,0,I2608-H2608-O2608)+IF(L2608=0,0,I2608-H2608-K2608),4)</f>
        <v>0</v>
      </c>
      <c r="W2608" s="67">
        <f>ROUND(+(V2608*60%)*D2608,4)</f>
        <v>0</v>
      </c>
      <c r="X2608" s="148">
        <f>ROUND(+U2608+W2608,4)</f>
        <v>0</v>
      </c>
      <c r="Y2608" s="68"/>
      <c r="Z2608" s="148">
        <f>ROUND(IF(X2608&gt;I2608,X2608,I2608),4)</f>
        <v>0</v>
      </c>
      <c r="AD2608" s="78">
        <f t="shared" si="58"/>
        <v>0</v>
      </c>
      <c r="AE2608" s="78">
        <f t="shared" si="59"/>
        <v>0</v>
      </c>
    </row>
    <row r="2609" spans="1:31" x14ac:dyDescent="0.2">
      <c r="A2609" s="66"/>
      <c r="B2609" s="66"/>
      <c r="C2609" s="66"/>
      <c r="D2609" s="144"/>
      <c r="E2609" s="67"/>
      <c r="F2609" s="67"/>
      <c r="G2609" s="67"/>
      <c r="H2609" s="67">
        <f>ROUND(+E2609+G2609,4)</f>
        <v>0</v>
      </c>
      <c r="I2609" s="67"/>
      <c r="J2609" s="67">
        <f>ROUND(+I2609-H2609,4)</f>
        <v>0</v>
      </c>
      <c r="K2609" s="67">
        <f>ROUND(IF(F2609="alluminio",0,I2609*1.5%),4)</f>
        <v>0</v>
      </c>
      <c r="L2609" s="67">
        <f>ROUND(IF(K2609&lt;J2609,K2609,0),4)</f>
        <v>0</v>
      </c>
      <c r="M2609" s="67">
        <f>ROUND(IF(J2609&gt;K2609,0,J2609),4)</f>
        <v>0</v>
      </c>
      <c r="N2609" s="67">
        <f>ROUND(+L2609*D2609,4)</f>
        <v>0</v>
      </c>
      <c r="O2609" s="67">
        <f>ROUND(IF(F2609="rame",0,+I2609*3%),4)</f>
        <v>0</v>
      </c>
      <c r="P2609" s="67">
        <f>ROUND(IF(O2609&lt;J2609,O2609,0),4)</f>
        <v>0</v>
      </c>
      <c r="Q2609" s="67">
        <f>ROUND(IF(J2609&gt;O2609,0,J2609),4)</f>
        <v>0</v>
      </c>
      <c r="R2609" s="67">
        <f>ROUND(+P2609*D2609,4)</f>
        <v>0</v>
      </c>
      <c r="S2609" s="67">
        <f>ROUND(IF(K2609=0,0,M2609*D2609),4)</f>
        <v>0</v>
      </c>
      <c r="T2609" s="67">
        <f>ROUND(+IF(K2609=0,Q2609*D2609,0),4)</f>
        <v>0</v>
      </c>
      <c r="U2609" s="67">
        <f>ROUND(+N2609+R2609+S2609+T2609,4)</f>
        <v>0</v>
      </c>
      <c r="V2609" s="67">
        <f>ROUND(IF(P2609=0,0,I2609-H2609-O2609)+IF(L2609=0,0,I2609-H2609-K2609),4)</f>
        <v>0</v>
      </c>
      <c r="W2609" s="67">
        <f>ROUND(+(V2609*60%)*D2609,4)</f>
        <v>0</v>
      </c>
      <c r="X2609" s="148">
        <f>ROUND(+U2609+W2609,4)</f>
        <v>0</v>
      </c>
      <c r="Y2609" s="68"/>
      <c r="Z2609" s="148">
        <f>ROUND(IF(X2609&gt;I2609,X2609,I2609),4)</f>
        <v>0</v>
      </c>
      <c r="AD2609" s="78">
        <f t="shared" si="58"/>
        <v>0</v>
      </c>
      <c r="AE2609" s="78">
        <f t="shared" si="59"/>
        <v>0</v>
      </c>
    </row>
    <row r="2610" spans="1:31" x14ac:dyDescent="0.2">
      <c r="A2610" s="66"/>
      <c r="B2610" s="66"/>
      <c r="C2610" s="66"/>
      <c r="D2610" s="144"/>
      <c r="E2610" s="67"/>
      <c r="F2610" s="67"/>
      <c r="G2610" s="67"/>
      <c r="H2610" s="67">
        <f>ROUND(+E2610+G2610,4)</f>
        <v>0</v>
      </c>
      <c r="I2610" s="67"/>
      <c r="J2610" s="67">
        <f>ROUND(+I2610-H2610,4)</f>
        <v>0</v>
      </c>
      <c r="K2610" s="67">
        <f>ROUND(IF(F2610="alluminio",0,I2610*1.5%),4)</f>
        <v>0</v>
      </c>
      <c r="L2610" s="67">
        <f>ROUND(IF(K2610&lt;J2610,K2610,0),4)</f>
        <v>0</v>
      </c>
      <c r="M2610" s="67">
        <f>ROUND(IF(J2610&gt;K2610,0,J2610),4)</f>
        <v>0</v>
      </c>
      <c r="N2610" s="67">
        <f>ROUND(+L2610*D2610,4)</f>
        <v>0</v>
      </c>
      <c r="O2610" s="67">
        <f>ROUND(IF(F2610="rame",0,+I2610*3%),4)</f>
        <v>0</v>
      </c>
      <c r="P2610" s="67">
        <f>ROUND(IF(O2610&lt;J2610,O2610,0),4)</f>
        <v>0</v>
      </c>
      <c r="Q2610" s="67">
        <f>ROUND(IF(J2610&gt;O2610,0,J2610),4)</f>
        <v>0</v>
      </c>
      <c r="R2610" s="67">
        <f>ROUND(+P2610*D2610,4)</f>
        <v>0</v>
      </c>
      <c r="S2610" s="67">
        <f>ROUND(IF(K2610=0,0,M2610*D2610),4)</f>
        <v>0</v>
      </c>
      <c r="T2610" s="67">
        <f>ROUND(+IF(K2610=0,Q2610*D2610,0),4)</f>
        <v>0</v>
      </c>
      <c r="U2610" s="67">
        <f>ROUND(+N2610+R2610+S2610+T2610,4)</f>
        <v>0</v>
      </c>
      <c r="V2610" s="67">
        <f>ROUND(IF(P2610=0,0,I2610-H2610-O2610)+IF(L2610=0,0,I2610-H2610-K2610),4)</f>
        <v>0</v>
      </c>
      <c r="W2610" s="67">
        <f>ROUND(+(V2610*60%)*D2610,4)</f>
        <v>0</v>
      </c>
      <c r="X2610" s="148">
        <f>ROUND(+U2610+W2610,4)</f>
        <v>0</v>
      </c>
      <c r="Y2610" s="68"/>
      <c r="Z2610" s="148">
        <f>ROUND(IF(X2610&gt;I2610,X2610,I2610),4)</f>
        <v>0</v>
      </c>
      <c r="AD2610" s="78">
        <f t="shared" si="58"/>
        <v>0</v>
      </c>
      <c r="AE2610" s="78">
        <f t="shared" si="59"/>
        <v>0</v>
      </c>
    </row>
    <row r="2611" spans="1:31" x14ac:dyDescent="0.2">
      <c r="A2611" s="66"/>
      <c r="B2611" s="66"/>
      <c r="C2611" s="66"/>
      <c r="D2611" s="144"/>
      <c r="E2611" s="67"/>
      <c r="F2611" s="67"/>
      <c r="G2611" s="67"/>
      <c r="H2611" s="67">
        <f>ROUND(+E2611+G2611,4)</f>
        <v>0</v>
      </c>
      <c r="I2611" s="67"/>
      <c r="J2611" s="67">
        <f>ROUND(+I2611-H2611,4)</f>
        <v>0</v>
      </c>
      <c r="K2611" s="67">
        <f>ROUND(IF(F2611="alluminio",0,I2611*1.5%),4)</f>
        <v>0</v>
      </c>
      <c r="L2611" s="67">
        <f>ROUND(IF(K2611&lt;J2611,K2611,0),4)</f>
        <v>0</v>
      </c>
      <c r="M2611" s="67">
        <f>ROUND(IF(J2611&gt;K2611,0,J2611),4)</f>
        <v>0</v>
      </c>
      <c r="N2611" s="67">
        <f>ROUND(+L2611*D2611,4)</f>
        <v>0</v>
      </c>
      <c r="O2611" s="67">
        <f>ROUND(IF(F2611="rame",0,+I2611*3%),4)</f>
        <v>0</v>
      </c>
      <c r="P2611" s="67">
        <f>ROUND(IF(O2611&lt;J2611,O2611,0),4)</f>
        <v>0</v>
      </c>
      <c r="Q2611" s="67">
        <f>ROUND(IF(J2611&gt;O2611,0,J2611),4)</f>
        <v>0</v>
      </c>
      <c r="R2611" s="67">
        <f>ROUND(+P2611*D2611,4)</f>
        <v>0</v>
      </c>
      <c r="S2611" s="67">
        <f>ROUND(IF(K2611=0,0,M2611*D2611),4)</f>
        <v>0</v>
      </c>
      <c r="T2611" s="67">
        <f>ROUND(+IF(K2611=0,Q2611*D2611,0),4)</f>
        <v>0</v>
      </c>
      <c r="U2611" s="67">
        <f>ROUND(+N2611+R2611+S2611+T2611,4)</f>
        <v>0</v>
      </c>
      <c r="V2611" s="67">
        <f>ROUND(IF(P2611=0,0,I2611-H2611-O2611)+IF(L2611=0,0,I2611-H2611-K2611),4)</f>
        <v>0</v>
      </c>
      <c r="W2611" s="67">
        <f>ROUND(+(V2611*60%)*D2611,4)</f>
        <v>0</v>
      </c>
      <c r="X2611" s="148">
        <f>ROUND(+U2611+W2611,4)</f>
        <v>0</v>
      </c>
      <c r="Y2611" s="68"/>
      <c r="Z2611" s="148">
        <f>ROUND(IF(X2611&gt;I2611,X2611,I2611),4)</f>
        <v>0</v>
      </c>
      <c r="AD2611" s="78">
        <f t="shared" si="58"/>
        <v>0</v>
      </c>
      <c r="AE2611" s="78">
        <f t="shared" si="59"/>
        <v>0</v>
      </c>
    </row>
    <row r="2612" spans="1:31" x14ac:dyDescent="0.2">
      <c r="A2612" s="66"/>
      <c r="B2612" s="66"/>
      <c r="C2612" s="66"/>
      <c r="D2612" s="144"/>
      <c r="E2612" s="67"/>
      <c r="F2612" s="67"/>
      <c r="G2612" s="67"/>
      <c r="H2612" s="67">
        <f>ROUND(+E2612+G2612,4)</f>
        <v>0</v>
      </c>
      <c r="I2612" s="67"/>
      <c r="J2612" s="67">
        <f>ROUND(+I2612-H2612,4)</f>
        <v>0</v>
      </c>
      <c r="K2612" s="67">
        <f>ROUND(IF(F2612="alluminio",0,I2612*1.5%),4)</f>
        <v>0</v>
      </c>
      <c r="L2612" s="67">
        <f>ROUND(IF(K2612&lt;J2612,K2612,0),4)</f>
        <v>0</v>
      </c>
      <c r="M2612" s="67">
        <f>ROUND(IF(J2612&gt;K2612,0,J2612),4)</f>
        <v>0</v>
      </c>
      <c r="N2612" s="67">
        <f>ROUND(+L2612*D2612,4)</f>
        <v>0</v>
      </c>
      <c r="O2612" s="67">
        <f>ROUND(IF(F2612="rame",0,+I2612*3%),4)</f>
        <v>0</v>
      </c>
      <c r="P2612" s="67">
        <f>ROUND(IF(O2612&lt;J2612,O2612,0),4)</f>
        <v>0</v>
      </c>
      <c r="Q2612" s="67">
        <f>ROUND(IF(J2612&gt;O2612,0,J2612),4)</f>
        <v>0</v>
      </c>
      <c r="R2612" s="67">
        <f>ROUND(+P2612*D2612,4)</f>
        <v>0</v>
      </c>
      <c r="S2612" s="67">
        <f>ROUND(IF(K2612=0,0,M2612*D2612),4)</f>
        <v>0</v>
      </c>
      <c r="T2612" s="67">
        <f>ROUND(+IF(K2612=0,Q2612*D2612,0),4)</f>
        <v>0</v>
      </c>
      <c r="U2612" s="67">
        <f>ROUND(+N2612+R2612+S2612+T2612,4)</f>
        <v>0</v>
      </c>
      <c r="V2612" s="67">
        <f>ROUND(IF(P2612=0,0,I2612-H2612-O2612)+IF(L2612=0,0,I2612-H2612-K2612),4)</f>
        <v>0</v>
      </c>
      <c r="W2612" s="67">
        <f>ROUND(+(V2612*60%)*D2612,4)</f>
        <v>0</v>
      </c>
      <c r="X2612" s="148">
        <f>ROUND(+U2612+W2612,4)</f>
        <v>0</v>
      </c>
      <c r="Y2612" s="68"/>
      <c r="Z2612" s="148">
        <f>ROUND(IF(X2612&gt;I2612,X2612,I2612),4)</f>
        <v>0</v>
      </c>
      <c r="AD2612" s="78">
        <f t="shared" si="58"/>
        <v>0</v>
      </c>
      <c r="AE2612" s="78">
        <f t="shared" si="59"/>
        <v>0</v>
      </c>
    </row>
    <row r="2613" spans="1:31" x14ac:dyDescent="0.2">
      <c r="A2613" s="66"/>
      <c r="B2613" s="66"/>
      <c r="C2613" s="66"/>
      <c r="D2613" s="144"/>
      <c r="E2613" s="67"/>
      <c r="F2613" s="67"/>
      <c r="G2613" s="67"/>
      <c r="H2613" s="67">
        <f>ROUND(+E2613+G2613,4)</f>
        <v>0</v>
      </c>
      <c r="I2613" s="67"/>
      <c r="J2613" s="67">
        <f>ROUND(+I2613-H2613,4)</f>
        <v>0</v>
      </c>
      <c r="K2613" s="67">
        <f>ROUND(IF(F2613="alluminio",0,I2613*1.5%),4)</f>
        <v>0</v>
      </c>
      <c r="L2613" s="67">
        <f>ROUND(IF(K2613&lt;J2613,K2613,0),4)</f>
        <v>0</v>
      </c>
      <c r="M2613" s="67">
        <f>ROUND(IF(J2613&gt;K2613,0,J2613),4)</f>
        <v>0</v>
      </c>
      <c r="N2613" s="67">
        <f>ROUND(+L2613*D2613,4)</f>
        <v>0</v>
      </c>
      <c r="O2613" s="67">
        <f>ROUND(IF(F2613="rame",0,+I2613*3%),4)</f>
        <v>0</v>
      </c>
      <c r="P2613" s="67">
        <f>ROUND(IF(O2613&lt;J2613,O2613,0),4)</f>
        <v>0</v>
      </c>
      <c r="Q2613" s="67">
        <f>ROUND(IF(J2613&gt;O2613,0,J2613),4)</f>
        <v>0</v>
      </c>
      <c r="R2613" s="67">
        <f>ROUND(+P2613*D2613,4)</f>
        <v>0</v>
      </c>
      <c r="S2613" s="67">
        <f>ROUND(IF(K2613=0,0,M2613*D2613),4)</f>
        <v>0</v>
      </c>
      <c r="T2613" s="67">
        <f>ROUND(+IF(K2613=0,Q2613*D2613,0),4)</f>
        <v>0</v>
      </c>
      <c r="U2613" s="67">
        <f>ROUND(+N2613+R2613+S2613+T2613,4)</f>
        <v>0</v>
      </c>
      <c r="V2613" s="67">
        <f>ROUND(IF(P2613=0,0,I2613-H2613-O2613)+IF(L2613=0,0,I2613-H2613-K2613),4)</f>
        <v>0</v>
      </c>
      <c r="W2613" s="67">
        <f>ROUND(+(V2613*60%)*D2613,4)</f>
        <v>0</v>
      </c>
      <c r="X2613" s="148">
        <f>ROUND(+U2613+W2613,4)</f>
        <v>0</v>
      </c>
      <c r="Y2613" s="68"/>
      <c r="Z2613" s="148">
        <f>ROUND(IF(X2613&gt;I2613,X2613,I2613),4)</f>
        <v>0</v>
      </c>
      <c r="AD2613" s="78">
        <f t="shared" si="58"/>
        <v>0</v>
      </c>
      <c r="AE2613" s="78">
        <f t="shared" si="59"/>
        <v>0</v>
      </c>
    </row>
    <row r="2614" spans="1:31" x14ac:dyDescent="0.2">
      <c r="A2614" s="66"/>
      <c r="B2614" s="66"/>
      <c r="C2614" s="66"/>
      <c r="D2614" s="144"/>
      <c r="E2614" s="67"/>
      <c r="F2614" s="67"/>
      <c r="G2614" s="67"/>
      <c r="H2614" s="67">
        <f>ROUND(+E2614+G2614,4)</f>
        <v>0</v>
      </c>
      <c r="I2614" s="67"/>
      <c r="J2614" s="67">
        <f>ROUND(+I2614-H2614,4)</f>
        <v>0</v>
      </c>
      <c r="K2614" s="67">
        <f>ROUND(IF(F2614="alluminio",0,I2614*1.5%),4)</f>
        <v>0</v>
      </c>
      <c r="L2614" s="67">
        <f>ROUND(IF(K2614&lt;J2614,K2614,0),4)</f>
        <v>0</v>
      </c>
      <c r="M2614" s="67">
        <f>ROUND(IF(J2614&gt;K2614,0,J2614),4)</f>
        <v>0</v>
      </c>
      <c r="N2614" s="67">
        <f>ROUND(+L2614*D2614,4)</f>
        <v>0</v>
      </c>
      <c r="O2614" s="67">
        <f>ROUND(IF(F2614="rame",0,+I2614*3%),4)</f>
        <v>0</v>
      </c>
      <c r="P2614" s="67">
        <f>ROUND(IF(O2614&lt;J2614,O2614,0),4)</f>
        <v>0</v>
      </c>
      <c r="Q2614" s="67">
        <f>ROUND(IF(J2614&gt;O2614,0,J2614),4)</f>
        <v>0</v>
      </c>
      <c r="R2614" s="67">
        <f>ROUND(+P2614*D2614,4)</f>
        <v>0</v>
      </c>
      <c r="S2614" s="67">
        <f>ROUND(IF(K2614=0,0,M2614*D2614),4)</f>
        <v>0</v>
      </c>
      <c r="T2614" s="67">
        <f>ROUND(+IF(K2614=0,Q2614*D2614,0),4)</f>
        <v>0</v>
      </c>
      <c r="U2614" s="67">
        <f>ROUND(+N2614+R2614+S2614+T2614,4)</f>
        <v>0</v>
      </c>
      <c r="V2614" s="67">
        <f>ROUND(IF(P2614=0,0,I2614-H2614-O2614)+IF(L2614=0,0,I2614-H2614-K2614),4)</f>
        <v>0</v>
      </c>
      <c r="W2614" s="67">
        <f>ROUND(+(V2614*60%)*D2614,4)</f>
        <v>0</v>
      </c>
      <c r="X2614" s="148">
        <f>ROUND(+U2614+W2614,4)</f>
        <v>0</v>
      </c>
      <c r="Y2614" s="68"/>
      <c r="Z2614" s="148">
        <f>ROUND(IF(X2614&gt;I2614,X2614,I2614),4)</f>
        <v>0</v>
      </c>
      <c r="AD2614" s="78">
        <f t="shared" si="58"/>
        <v>0</v>
      </c>
      <c r="AE2614" s="78">
        <f t="shared" si="59"/>
        <v>0</v>
      </c>
    </row>
    <row r="2615" spans="1:31" x14ac:dyDescent="0.2">
      <c r="A2615" s="66"/>
      <c r="B2615" s="66"/>
      <c r="C2615" s="66"/>
      <c r="D2615" s="144"/>
      <c r="E2615" s="67"/>
      <c r="F2615" s="67"/>
      <c r="G2615" s="67"/>
      <c r="H2615" s="67">
        <f>ROUND(+E2615+G2615,4)</f>
        <v>0</v>
      </c>
      <c r="I2615" s="67"/>
      <c r="J2615" s="67">
        <f>ROUND(+I2615-H2615,4)</f>
        <v>0</v>
      </c>
      <c r="K2615" s="67">
        <f>ROUND(IF(F2615="alluminio",0,I2615*1.5%),4)</f>
        <v>0</v>
      </c>
      <c r="L2615" s="67">
        <f>ROUND(IF(K2615&lt;J2615,K2615,0),4)</f>
        <v>0</v>
      </c>
      <c r="M2615" s="67">
        <f>ROUND(IF(J2615&gt;K2615,0,J2615),4)</f>
        <v>0</v>
      </c>
      <c r="N2615" s="67">
        <f>ROUND(+L2615*D2615,4)</f>
        <v>0</v>
      </c>
      <c r="O2615" s="67">
        <f>ROUND(IF(F2615="rame",0,+I2615*3%),4)</f>
        <v>0</v>
      </c>
      <c r="P2615" s="67">
        <f>ROUND(IF(O2615&lt;J2615,O2615,0),4)</f>
        <v>0</v>
      </c>
      <c r="Q2615" s="67">
        <f>ROUND(IF(J2615&gt;O2615,0,J2615),4)</f>
        <v>0</v>
      </c>
      <c r="R2615" s="67">
        <f>ROUND(+P2615*D2615,4)</f>
        <v>0</v>
      </c>
      <c r="S2615" s="67">
        <f>ROUND(IF(K2615=0,0,M2615*D2615),4)</f>
        <v>0</v>
      </c>
      <c r="T2615" s="67">
        <f>ROUND(+IF(K2615=0,Q2615*D2615,0),4)</f>
        <v>0</v>
      </c>
      <c r="U2615" s="67">
        <f>ROUND(+N2615+R2615+S2615+T2615,4)</f>
        <v>0</v>
      </c>
      <c r="V2615" s="67">
        <f>ROUND(IF(P2615=0,0,I2615-H2615-O2615)+IF(L2615=0,0,I2615-H2615-K2615),4)</f>
        <v>0</v>
      </c>
      <c r="W2615" s="67">
        <f>ROUND(+(V2615*60%)*D2615,4)</f>
        <v>0</v>
      </c>
      <c r="X2615" s="148">
        <f>ROUND(+U2615+W2615,4)</f>
        <v>0</v>
      </c>
      <c r="Y2615" s="68"/>
      <c r="Z2615" s="148">
        <f>ROUND(IF(X2615&gt;I2615,X2615,I2615),4)</f>
        <v>0</v>
      </c>
      <c r="AD2615" s="78">
        <f t="shared" si="58"/>
        <v>0</v>
      </c>
      <c r="AE2615" s="78">
        <f t="shared" si="59"/>
        <v>0</v>
      </c>
    </row>
    <row r="2616" spans="1:31" x14ac:dyDescent="0.2">
      <c r="A2616" s="66"/>
      <c r="B2616" s="66"/>
      <c r="C2616" s="66"/>
      <c r="D2616" s="144"/>
      <c r="E2616" s="67"/>
      <c r="F2616" s="67"/>
      <c r="G2616" s="67"/>
      <c r="H2616" s="67">
        <f>ROUND(+E2616+G2616,4)</f>
        <v>0</v>
      </c>
      <c r="I2616" s="67"/>
      <c r="J2616" s="67">
        <f>ROUND(+I2616-H2616,4)</f>
        <v>0</v>
      </c>
      <c r="K2616" s="67">
        <f>ROUND(IF(F2616="alluminio",0,I2616*1.5%),4)</f>
        <v>0</v>
      </c>
      <c r="L2616" s="67">
        <f>ROUND(IF(K2616&lt;J2616,K2616,0),4)</f>
        <v>0</v>
      </c>
      <c r="M2616" s="67">
        <f>ROUND(IF(J2616&gt;K2616,0,J2616),4)</f>
        <v>0</v>
      </c>
      <c r="N2616" s="67">
        <f>ROUND(+L2616*D2616,4)</f>
        <v>0</v>
      </c>
      <c r="O2616" s="67">
        <f>ROUND(IF(F2616="rame",0,+I2616*3%),4)</f>
        <v>0</v>
      </c>
      <c r="P2616" s="67">
        <f>ROUND(IF(O2616&lt;J2616,O2616,0),4)</f>
        <v>0</v>
      </c>
      <c r="Q2616" s="67">
        <f>ROUND(IF(J2616&gt;O2616,0,J2616),4)</f>
        <v>0</v>
      </c>
      <c r="R2616" s="67">
        <f>ROUND(+P2616*D2616,4)</f>
        <v>0</v>
      </c>
      <c r="S2616" s="67">
        <f>ROUND(IF(K2616=0,0,M2616*D2616),4)</f>
        <v>0</v>
      </c>
      <c r="T2616" s="67">
        <f>ROUND(+IF(K2616=0,Q2616*D2616,0),4)</f>
        <v>0</v>
      </c>
      <c r="U2616" s="67">
        <f>ROUND(+N2616+R2616+S2616+T2616,4)</f>
        <v>0</v>
      </c>
      <c r="V2616" s="67">
        <f>ROUND(IF(P2616=0,0,I2616-H2616-O2616)+IF(L2616=0,0,I2616-H2616-K2616),4)</f>
        <v>0</v>
      </c>
      <c r="W2616" s="67">
        <f>ROUND(+(V2616*60%)*D2616,4)</f>
        <v>0</v>
      </c>
      <c r="X2616" s="148">
        <f>ROUND(+U2616+W2616,4)</f>
        <v>0</v>
      </c>
      <c r="Y2616" s="68"/>
      <c r="Z2616" s="148">
        <f>ROUND(IF(X2616&gt;I2616,X2616,I2616),4)</f>
        <v>0</v>
      </c>
      <c r="AD2616" s="78">
        <f t="shared" si="58"/>
        <v>0</v>
      </c>
      <c r="AE2616" s="78">
        <f t="shared" si="59"/>
        <v>0</v>
      </c>
    </row>
    <row r="2617" spans="1:31" x14ac:dyDescent="0.2">
      <c r="A2617" s="66"/>
      <c r="B2617" s="66"/>
      <c r="C2617" s="66"/>
      <c r="D2617" s="144"/>
      <c r="E2617" s="67"/>
      <c r="F2617" s="67"/>
      <c r="G2617" s="67"/>
      <c r="H2617" s="67">
        <f>ROUND(+E2617+G2617,4)</f>
        <v>0</v>
      </c>
      <c r="I2617" s="67"/>
      <c r="J2617" s="67">
        <f>ROUND(+I2617-H2617,4)</f>
        <v>0</v>
      </c>
      <c r="K2617" s="67">
        <f>ROUND(IF(F2617="alluminio",0,I2617*1.5%),4)</f>
        <v>0</v>
      </c>
      <c r="L2617" s="67">
        <f>ROUND(IF(K2617&lt;J2617,K2617,0),4)</f>
        <v>0</v>
      </c>
      <c r="M2617" s="67">
        <f>ROUND(IF(J2617&gt;K2617,0,J2617),4)</f>
        <v>0</v>
      </c>
      <c r="N2617" s="67">
        <f>ROUND(+L2617*D2617,4)</f>
        <v>0</v>
      </c>
      <c r="O2617" s="67">
        <f>ROUND(IF(F2617="rame",0,+I2617*3%),4)</f>
        <v>0</v>
      </c>
      <c r="P2617" s="67">
        <f>ROUND(IF(O2617&lt;J2617,O2617,0),4)</f>
        <v>0</v>
      </c>
      <c r="Q2617" s="67">
        <f>ROUND(IF(J2617&gt;O2617,0,J2617),4)</f>
        <v>0</v>
      </c>
      <c r="R2617" s="67">
        <f>ROUND(+P2617*D2617,4)</f>
        <v>0</v>
      </c>
      <c r="S2617" s="67">
        <f>ROUND(IF(K2617=0,0,M2617*D2617),4)</f>
        <v>0</v>
      </c>
      <c r="T2617" s="67">
        <f>ROUND(+IF(K2617=0,Q2617*D2617,0),4)</f>
        <v>0</v>
      </c>
      <c r="U2617" s="67">
        <f>ROUND(+N2617+R2617+S2617+T2617,4)</f>
        <v>0</v>
      </c>
      <c r="V2617" s="67">
        <f>ROUND(IF(P2617=0,0,I2617-H2617-O2617)+IF(L2617=0,0,I2617-H2617-K2617),4)</f>
        <v>0</v>
      </c>
      <c r="W2617" s="67">
        <f>ROUND(+(V2617*60%)*D2617,4)</f>
        <v>0</v>
      </c>
      <c r="X2617" s="148">
        <f>ROUND(+U2617+W2617,4)</f>
        <v>0</v>
      </c>
      <c r="Y2617" s="68"/>
      <c r="Z2617" s="148">
        <f>ROUND(IF(X2617&gt;I2617,X2617,I2617),4)</f>
        <v>0</v>
      </c>
      <c r="AD2617" s="78">
        <f t="shared" si="58"/>
        <v>0</v>
      </c>
      <c r="AE2617" s="78">
        <f t="shared" si="59"/>
        <v>0</v>
      </c>
    </row>
    <row r="2618" spans="1:31" x14ac:dyDescent="0.2">
      <c r="A2618" s="66"/>
      <c r="B2618" s="66"/>
      <c r="C2618" s="66"/>
      <c r="D2618" s="144"/>
      <c r="E2618" s="67"/>
      <c r="F2618" s="67"/>
      <c r="G2618" s="67"/>
      <c r="H2618" s="67">
        <f>ROUND(+E2618+G2618,4)</f>
        <v>0</v>
      </c>
      <c r="I2618" s="67"/>
      <c r="J2618" s="67">
        <f>ROUND(+I2618-H2618,4)</f>
        <v>0</v>
      </c>
      <c r="K2618" s="67">
        <f>ROUND(IF(F2618="alluminio",0,I2618*1.5%),4)</f>
        <v>0</v>
      </c>
      <c r="L2618" s="67">
        <f>ROUND(IF(K2618&lt;J2618,K2618,0),4)</f>
        <v>0</v>
      </c>
      <c r="M2618" s="67">
        <f>ROUND(IF(J2618&gt;K2618,0,J2618),4)</f>
        <v>0</v>
      </c>
      <c r="N2618" s="67">
        <f>ROUND(+L2618*D2618,4)</f>
        <v>0</v>
      </c>
      <c r="O2618" s="67">
        <f>ROUND(IF(F2618="rame",0,+I2618*3%),4)</f>
        <v>0</v>
      </c>
      <c r="P2618" s="67">
        <f>ROUND(IF(O2618&lt;J2618,O2618,0),4)</f>
        <v>0</v>
      </c>
      <c r="Q2618" s="67">
        <f>ROUND(IF(J2618&gt;O2618,0,J2618),4)</f>
        <v>0</v>
      </c>
      <c r="R2618" s="67">
        <f>ROUND(+P2618*D2618,4)</f>
        <v>0</v>
      </c>
      <c r="S2618" s="67">
        <f>ROUND(IF(K2618=0,0,M2618*D2618),4)</f>
        <v>0</v>
      </c>
      <c r="T2618" s="67">
        <f>ROUND(+IF(K2618=0,Q2618*D2618,0),4)</f>
        <v>0</v>
      </c>
      <c r="U2618" s="67">
        <f>ROUND(+N2618+R2618+S2618+T2618,4)</f>
        <v>0</v>
      </c>
      <c r="V2618" s="67">
        <f>ROUND(IF(P2618=0,0,I2618-H2618-O2618)+IF(L2618=0,0,I2618-H2618-K2618),4)</f>
        <v>0</v>
      </c>
      <c r="W2618" s="67">
        <f>ROUND(+(V2618*60%)*D2618,4)</f>
        <v>0</v>
      </c>
      <c r="X2618" s="148">
        <f>ROUND(+U2618+W2618,4)</f>
        <v>0</v>
      </c>
      <c r="Y2618" s="68"/>
      <c r="Z2618" s="148">
        <f>ROUND(IF(X2618&gt;I2618,X2618,I2618),4)</f>
        <v>0</v>
      </c>
      <c r="AD2618" s="78">
        <f t="shared" si="58"/>
        <v>0</v>
      </c>
      <c r="AE2618" s="78">
        <f t="shared" si="59"/>
        <v>0</v>
      </c>
    </row>
    <row r="2619" spans="1:31" x14ac:dyDescent="0.2">
      <c r="A2619" s="66"/>
      <c r="B2619" s="66"/>
      <c r="C2619" s="66"/>
      <c r="D2619" s="144"/>
      <c r="E2619" s="67"/>
      <c r="F2619" s="67"/>
      <c r="G2619" s="67"/>
      <c r="H2619" s="67">
        <f>ROUND(+E2619+G2619,4)</f>
        <v>0</v>
      </c>
      <c r="I2619" s="67"/>
      <c r="J2619" s="67">
        <f>ROUND(+I2619-H2619,4)</f>
        <v>0</v>
      </c>
      <c r="K2619" s="67">
        <f>ROUND(IF(F2619="alluminio",0,I2619*1.5%),4)</f>
        <v>0</v>
      </c>
      <c r="L2619" s="67">
        <f>ROUND(IF(K2619&lt;J2619,K2619,0),4)</f>
        <v>0</v>
      </c>
      <c r="M2619" s="67">
        <f>ROUND(IF(J2619&gt;K2619,0,J2619),4)</f>
        <v>0</v>
      </c>
      <c r="N2619" s="67">
        <f>ROUND(+L2619*D2619,4)</f>
        <v>0</v>
      </c>
      <c r="O2619" s="67">
        <f>ROUND(IF(F2619="rame",0,+I2619*3%),4)</f>
        <v>0</v>
      </c>
      <c r="P2619" s="67">
        <f>ROUND(IF(O2619&lt;J2619,O2619,0),4)</f>
        <v>0</v>
      </c>
      <c r="Q2619" s="67">
        <f>ROUND(IF(J2619&gt;O2619,0,J2619),4)</f>
        <v>0</v>
      </c>
      <c r="R2619" s="67">
        <f>ROUND(+P2619*D2619,4)</f>
        <v>0</v>
      </c>
      <c r="S2619" s="67">
        <f>ROUND(IF(K2619=0,0,M2619*D2619),4)</f>
        <v>0</v>
      </c>
      <c r="T2619" s="67">
        <f>ROUND(+IF(K2619=0,Q2619*D2619,0),4)</f>
        <v>0</v>
      </c>
      <c r="U2619" s="67">
        <f>ROUND(+N2619+R2619+S2619+T2619,4)</f>
        <v>0</v>
      </c>
      <c r="V2619" s="67">
        <f>ROUND(IF(P2619=0,0,I2619-H2619-O2619)+IF(L2619=0,0,I2619-H2619-K2619),4)</f>
        <v>0</v>
      </c>
      <c r="W2619" s="67">
        <f>ROUND(+(V2619*60%)*D2619,4)</f>
        <v>0</v>
      </c>
      <c r="X2619" s="148">
        <f>ROUND(+U2619+W2619,4)</f>
        <v>0</v>
      </c>
      <c r="Y2619" s="68"/>
      <c r="Z2619" s="148">
        <f>ROUND(IF(X2619&gt;I2619,X2619,I2619),4)</f>
        <v>0</v>
      </c>
      <c r="AD2619" s="78">
        <f t="shared" si="58"/>
        <v>0</v>
      </c>
      <c r="AE2619" s="78">
        <f t="shared" si="59"/>
        <v>0</v>
      </c>
    </row>
    <row r="2620" spans="1:31" x14ac:dyDescent="0.2">
      <c r="A2620" s="66"/>
      <c r="B2620" s="66"/>
      <c r="C2620" s="66"/>
      <c r="D2620" s="144"/>
      <c r="E2620" s="67"/>
      <c r="F2620" s="67"/>
      <c r="G2620" s="67"/>
      <c r="H2620" s="67">
        <f>ROUND(+E2620+G2620,4)</f>
        <v>0</v>
      </c>
      <c r="I2620" s="67"/>
      <c r="J2620" s="67">
        <f>ROUND(+I2620-H2620,4)</f>
        <v>0</v>
      </c>
      <c r="K2620" s="67">
        <f>ROUND(IF(F2620="alluminio",0,I2620*1.5%),4)</f>
        <v>0</v>
      </c>
      <c r="L2620" s="67">
        <f>ROUND(IF(K2620&lt;J2620,K2620,0),4)</f>
        <v>0</v>
      </c>
      <c r="M2620" s="67">
        <f>ROUND(IF(J2620&gt;K2620,0,J2620),4)</f>
        <v>0</v>
      </c>
      <c r="N2620" s="67">
        <f>ROUND(+L2620*D2620,4)</f>
        <v>0</v>
      </c>
      <c r="O2620" s="67">
        <f>ROUND(IF(F2620="rame",0,+I2620*3%),4)</f>
        <v>0</v>
      </c>
      <c r="P2620" s="67">
        <f>ROUND(IF(O2620&lt;J2620,O2620,0),4)</f>
        <v>0</v>
      </c>
      <c r="Q2620" s="67">
        <f>ROUND(IF(J2620&gt;O2620,0,J2620),4)</f>
        <v>0</v>
      </c>
      <c r="R2620" s="67">
        <f>ROUND(+P2620*D2620,4)</f>
        <v>0</v>
      </c>
      <c r="S2620" s="67">
        <f>ROUND(IF(K2620=0,0,M2620*D2620),4)</f>
        <v>0</v>
      </c>
      <c r="T2620" s="67">
        <f>ROUND(+IF(K2620=0,Q2620*D2620,0),4)</f>
        <v>0</v>
      </c>
      <c r="U2620" s="67">
        <f>ROUND(+N2620+R2620+S2620+T2620,4)</f>
        <v>0</v>
      </c>
      <c r="V2620" s="67">
        <f>ROUND(IF(P2620=0,0,I2620-H2620-O2620)+IF(L2620=0,0,I2620-H2620-K2620),4)</f>
        <v>0</v>
      </c>
      <c r="W2620" s="67">
        <f>ROUND(+(V2620*60%)*D2620,4)</f>
        <v>0</v>
      </c>
      <c r="X2620" s="148">
        <f>ROUND(+U2620+W2620,4)</f>
        <v>0</v>
      </c>
      <c r="Y2620" s="68"/>
      <c r="Z2620" s="148">
        <f>ROUND(IF(X2620&gt;I2620,X2620,I2620),4)</f>
        <v>0</v>
      </c>
      <c r="AD2620" s="78">
        <f t="shared" si="58"/>
        <v>0</v>
      </c>
      <c r="AE2620" s="78">
        <f t="shared" si="59"/>
        <v>0</v>
      </c>
    </row>
    <row r="2621" spans="1:31" x14ac:dyDescent="0.2">
      <c r="A2621" s="66"/>
      <c r="B2621" s="66"/>
      <c r="C2621" s="66"/>
      <c r="D2621" s="144"/>
      <c r="E2621" s="67"/>
      <c r="F2621" s="67"/>
      <c r="G2621" s="67"/>
      <c r="H2621" s="67">
        <f>ROUND(+E2621+G2621,4)</f>
        <v>0</v>
      </c>
      <c r="I2621" s="67"/>
      <c r="J2621" s="67">
        <f>ROUND(+I2621-H2621,4)</f>
        <v>0</v>
      </c>
      <c r="K2621" s="67">
        <f>ROUND(IF(F2621="alluminio",0,I2621*1.5%),4)</f>
        <v>0</v>
      </c>
      <c r="L2621" s="67">
        <f>ROUND(IF(K2621&lt;J2621,K2621,0),4)</f>
        <v>0</v>
      </c>
      <c r="M2621" s="67">
        <f>ROUND(IF(J2621&gt;K2621,0,J2621),4)</f>
        <v>0</v>
      </c>
      <c r="N2621" s="67">
        <f>ROUND(+L2621*D2621,4)</f>
        <v>0</v>
      </c>
      <c r="O2621" s="67">
        <f>ROUND(IF(F2621="rame",0,+I2621*3%),4)</f>
        <v>0</v>
      </c>
      <c r="P2621" s="67">
        <f>ROUND(IF(O2621&lt;J2621,O2621,0),4)</f>
        <v>0</v>
      </c>
      <c r="Q2621" s="67">
        <f>ROUND(IF(J2621&gt;O2621,0,J2621),4)</f>
        <v>0</v>
      </c>
      <c r="R2621" s="67">
        <f>ROUND(+P2621*D2621,4)</f>
        <v>0</v>
      </c>
      <c r="S2621" s="67">
        <f>ROUND(IF(K2621=0,0,M2621*D2621),4)</f>
        <v>0</v>
      </c>
      <c r="T2621" s="67">
        <f>ROUND(+IF(K2621=0,Q2621*D2621,0),4)</f>
        <v>0</v>
      </c>
      <c r="U2621" s="67">
        <f>ROUND(+N2621+R2621+S2621+T2621,4)</f>
        <v>0</v>
      </c>
      <c r="V2621" s="67">
        <f>ROUND(IF(P2621=0,0,I2621-H2621-O2621)+IF(L2621=0,0,I2621-H2621-K2621),4)</f>
        <v>0</v>
      </c>
      <c r="W2621" s="67">
        <f>ROUND(+(V2621*60%)*D2621,4)</f>
        <v>0</v>
      </c>
      <c r="X2621" s="148">
        <f>ROUND(+U2621+W2621,4)</f>
        <v>0</v>
      </c>
      <c r="Y2621" s="68"/>
      <c r="Z2621" s="148">
        <f>ROUND(IF(X2621&gt;I2621,X2621,I2621),4)</f>
        <v>0</v>
      </c>
      <c r="AD2621" s="78">
        <f t="shared" si="58"/>
        <v>0</v>
      </c>
      <c r="AE2621" s="78">
        <f t="shared" si="59"/>
        <v>0</v>
      </c>
    </row>
    <row r="2622" spans="1:31" x14ac:dyDescent="0.2">
      <c r="A2622" s="66"/>
      <c r="B2622" s="66"/>
      <c r="C2622" s="66"/>
      <c r="D2622" s="144"/>
      <c r="E2622" s="67"/>
      <c r="F2622" s="67"/>
      <c r="G2622" s="67"/>
      <c r="H2622" s="67">
        <f>ROUND(+E2622+G2622,4)</f>
        <v>0</v>
      </c>
      <c r="I2622" s="67"/>
      <c r="J2622" s="67">
        <f>ROUND(+I2622-H2622,4)</f>
        <v>0</v>
      </c>
      <c r="K2622" s="67">
        <f>ROUND(IF(F2622="alluminio",0,I2622*1.5%),4)</f>
        <v>0</v>
      </c>
      <c r="L2622" s="67">
        <f>ROUND(IF(K2622&lt;J2622,K2622,0),4)</f>
        <v>0</v>
      </c>
      <c r="M2622" s="67">
        <f>ROUND(IF(J2622&gt;K2622,0,J2622),4)</f>
        <v>0</v>
      </c>
      <c r="N2622" s="67">
        <f>ROUND(+L2622*D2622,4)</f>
        <v>0</v>
      </c>
      <c r="O2622" s="67">
        <f>ROUND(IF(F2622="rame",0,+I2622*3%),4)</f>
        <v>0</v>
      </c>
      <c r="P2622" s="67">
        <f>ROUND(IF(O2622&lt;J2622,O2622,0),4)</f>
        <v>0</v>
      </c>
      <c r="Q2622" s="67">
        <f>ROUND(IF(J2622&gt;O2622,0,J2622),4)</f>
        <v>0</v>
      </c>
      <c r="R2622" s="67">
        <f>ROUND(+P2622*D2622,4)</f>
        <v>0</v>
      </c>
      <c r="S2622" s="67">
        <f>ROUND(IF(K2622=0,0,M2622*D2622),4)</f>
        <v>0</v>
      </c>
      <c r="T2622" s="67">
        <f>ROUND(+IF(K2622=0,Q2622*D2622,0),4)</f>
        <v>0</v>
      </c>
      <c r="U2622" s="67">
        <f>ROUND(+N2622+R2622+S2622+T2622,4)</f>
        <v>0</v>
      </c>
      <c r="V2622" s="67">
        <f>ROUND(IF(P2622=0,0,I2622-H2622-O2622)+IF(L2622=0,0,I2622-H2622-K2622),4)</f>
        <v>0</v>
      </c>
      <c r="W2622" s="67">
        <f>ROUND(+(V2622*60%)*D2622,4)</f>
        <v>0</v>
      </c>
      <c r="X2622" s="148">
        <f>ROUND(+U2622+W2622,4)</f>
        <v>0</v>
      </c>
      <c r="Y2622" s="68"/>
      <c r="Z2622" s="148">
        <f>ROUND(IF(X2622&gt;I2622,X2622,I2622),4)</f>
        <v>0</v>
      </c>
      <c r="AD2622" s="78">
        <f t="shared" ref="AD2622:AD2685" si="60">IF(Y2622="",0,MONTH(Y2622))</f>
        <v>0</v>
      </c>
      <c r="AE2622" s="78">
        <f t="shared" ref="AE2622:AE2685" si="61">IF(Y2622="",0,YEAR(Y2622))</f>
        <v>0</v>
      </c>
    </row>
    <row r="2623" spans="1:31" x14ac:dyDescent="0.2">
      <c r="A2623" s="66"/>
      <c r="B2623" s="66"/>
      <c r="C2623" s="66"/>
      <c r="D2623" s="144"/>
      <c r="E2623" s="67"/>
      <c r="F2623" s="67"/>
      <c r="G2623" s="67"/>
      <c r="H2623" s="67">
        <f>ROUND(+E2623+G2623,4)</f>
        <v>0</v>
      </c>
      <c r="I2623" s="67"/>
      <c r="J2623" s="67">
        <f>ROUND(+I2623-H2623,4)</f>
        <v>0</v>
      </c>
      <c r="K2623" s="67">
        <f>ROUND(IF(F2623="alluminio",0,I2623*1.5%),4)</f>
        <v>0</v>
      </c>
      <c r="L2623" s="67">
        <f>ROUND(IF(K2623&lt;J2623,K2623,0),4)</f>
        <v>0</v>
      </c>
      <c r="M2623" s="67">
        <f>ROUND(IF(J2623&gt;K2623,0,J2623),4)</f>
        <v>0</v>
      </c>
      <c r="N2623" s="67">
        <f>ROUND(+L2623*D2623,4)</f>
        <v>0</v>
      </c>
      <c r="O2623" s="67">
        <f>ROUND(IF(F2623="rame",0,+I2623*3%),4)</f>
        <v>0</v>
      </c>
      <c r="P2623" s="67">
        <f>ROUND(IF(O2623&lt;J2623,O2623,0),4)</f>
        <v>0</v>
      </c>
      <c r="Q2623" s="67">
        <f>ROUND(IF(J2623&gt;O2623,0,J2623),4)</f>
        <v>0</v>
      </c>
      <c r="R2623" s="67">
        <f>ROUND(+P2623*D2623,4)</f>
        <v>0</v>
      </c>
      <c r="S2623" s="67">
        <f>ROUND(IF(K2623=0,0,M2623*D2623),4)</f>
        <v>0</v>
      </c>
      <c r="T2623" s="67">
        <f>ROUND(+IF(K2623=0,Q2623*D2623,0),4)</f>
        <v>0</v>
      </c>
      <c r="U2623" s="67">
        <f>ROUND(+N2623+R2623+S2623+T2623,4)</f>
        <v>0</v>
      </c>
      <c r="V2623" s="67">
        <f>ROUND(IF(P2623=0,0,I2623-H2623-O2623)+IF(L2623=0,0,I2623-H2623-K2623),4)</f>
        <v>0</v>
      </c>
      <c r="W2623" s="67">
        <f>ROUND(+(V2623*60%)*D2623,4)</f>
        <v>0</v>
      </c>
      <c r="X2623" s="148">
        <f>ROUND(+U2623+W2623,4)</f>
        <v>0</v>
      </c>
      <c r="Y2623" s="68"/>
      <c r="Z2623" s="148">
        <f>ROUND(IF(X2623&gt;I2623,X2623,I2623),4)</f>
        <v>0</v>
      </c>
      <c r="AD2623" s="78">
        <f t="shared" si="60"/>
        <v>0</v>
      </c>
      <c r="AE2623" s="78">
        <f t="shared" si="61"/>
        <v>0</v>
      </c>
    </row>
    <row r="2624" spans="1:31" x14ac:dyDescent="0.2">
      <c r="A2624" s="66"/>
      <c r="B2624" s="66"/>
      <c r="C2624" s="66"/>
      <c r="D2624" s="144"/>
      <c r="E2624" s="67"/>
      <c r="F2624" s="67"/>
      <c r="G2624" s="67"/>
      <c r="H2624" s="67">
        <f>ROUND(+E2624+G2624,4)</f>
        <v>0</v>
      </c>
      <c r="I2624" s="67"/>
      <c r="J2624" s="67">
        <f>ROUND(+I2624-H2624,4)</f>
        <v>0</v>
      </c>
      <c r="K2624" s="67">
        <f>ROUND(IF(F2624="alluminio",0,I2624*1.5%),4)</f>
        <v>0</v>
      </c>
      <c r="L2624" s="67">
        <f>ROUND(IF(K2624&lt;J2624,K2624,0),4)</f>
        <v>0</v>
      </c>
      <c r="M2624" s="67">
        <f>ROUND(IF(J2624&gt;K2624,0,J2624),4)</f>
        <v>0</v>
      </c>
      <c r="N2624" s="67">
        <f>ROUND(+L2624*D2624,4)</f>
        <v>0</v>
      </c>
      <c r="O2624" s="67">
        <f>ROUND(IF(F2624="rame",0,+I2624*3%),4)</f>
        <v>0</v>
      </c>
      <c r="P2624" s="67">
        <f>ROUND(IF(O2624&lt;J2624,O2624,0),4)</f>
        <v>0</v>
      </c>
      <c r="Q2624" s="67">
        <f>ROUND(IF(J2624&gt;O2624,0,J2624),4)</f>
        <v>0</v>
      </c>
      <c r="R2624" s="67">
        <f>ROUND(+P2624*D2624,4)</f>
        <v>0</v>
      </c>
      <c r="S2624" s="67">
        <f>ROUND(IF(K2624=0,0,M2624*D2624),4)</f>
        <v>0</v>
      </c>
      <c r="T2624" s="67">
        <f>ROUND(+IF(K2624=0,Q2624*D2624,0),4)</f>
        <v>0</v>
      </c>
      <c r="U2624" s="67">
        <f>ROUND(+N2624+R2624+S2624+T2624,4)</f>
        <v>0</v>
      </c>
      <c r="V2624" s="67">
        <f>ROUND(IF(P2624=0,0,I2624-H2624-O2624)+IF(L2624=0,0,I2624-H2624-K2624),4)</f>
        <v>0</v>
      </c>
      <c r="W2624" s="67">
        <f>ROUND(+(V2624*60%)*D2624,4)</f>
        <v>0</v>
      </c>
      <c r="X2624" s="148">
        <f>ROUND(+U2624+W2624,4)</f>
        <v>0</v>
      </c>
      <c r="Y2624" s="68"/>
      <c r="Z2624" s="148">
        <f>ROUND(IF(X2624&gt;I2624,X2624,I2624),4)</f>
        <v>0</v>
      </c>
      <c r="AD2624" s="78">
        <f t="shared" si="60"/>
        <v>0</v>
      </c>
      <c r="AE2624" s="78">
        <f t="shared" si="61"/>
        <v>0</v>
      </c>
    </row>
    <row r="2625" spans="1:31" x14ac:dyDescent="0.2">
      <c r="A2625" s="66"/>
      <c r="B2625" s="66"/>
      <c r="C2625" s="66"/>
      <c r="D2625" s="144"/>
      <c r="E2625" s="67"/>
      <c r="F2625" s="67"/>
      <c r="G2625" s="67"/>
      <c r="H2625" s="67">
        <f>ROUND(+E2625+G2625,4)</f>
        <v>0</v>
      </c>
      <c r="I2625" s="67"/>
      <c r="J2625" s="67">
        <f>ROUND(+I2625-H2625,4)</f>
        <v>0</v>
      </c>
      <c r="K2625" s="67">
        <f>ROUND(IF(F2625="alluminio",0,I2625*1.5%),4)</f>
        <v>0</v>
      </c>
      <c r="L2625" s="67">
        <f>ROUND(IF(K2625&lt;J2625,K2625,0),4)</f>
        <v>0</v>
      </c>
      <c r="M2625" s="67">
        <f>ROUND(IF(J2625&gt;K2625,0,J2625),4)</f>
        <v>0</v>
      </c>
      <c r="N2625" s="67">
        <f>ROUND(+L2625*D2625,4)</f>
        <v>0</v>
      </c>
      <c r="O2625" s="67">
        <f>ROUND(IF(F2625="rame",0,+I2625*3%),4)</f>
        <v>0</v>
      </c>
      <c r="P2625" s="67">
        <f>ROUND(IF(O2625&lt;J2625,O2625,0),4)</f>
        <v>0</v>
      </c>
      <c r="Q2625" s="67">
        <f>ROUND(IF(J2625&gt;O2625,0,J2625),4)</f>
        <v>0</v>
      </c>
      <c r="R2625" s="67">
        <f>ROUND(+P2625*D2625,4)</f>
        <v>0</v>
      </c>
      <c r="S2625" s="67">
        <f>ROUND(IF(K2625=0,0,M2625*D2625),4)</f>
        <v>0</v>
      </c>
      <c r="T2625" s="67">
        <f>ROUND(+IF(K2625=0,Q2625*D2625,0),4)</f>
        <v>0</v>
      </c>
      <c r="U2625" s="67">
        <f>ROUND(+N2625+R2625+S2625+T2625,4)</f>
        <v>0</v>
      </c>
      <c r="V2625" s="67">
        <f>ROUND(IF(P2625=0,0,I2625-H2625-O2625)+IF(L2625=0,0,I2625-H2625-K2625),4)</f>
        <v>0</v>
      </c>
      <c r="W2625" s="67">
        <f>ROUND(+(V2625*60%)*D2625,4)</f>
        <v>0</v>
      </c>
      <c r="X2625" s="148">
        <f>ROUND(+U2625+W2625,4)</f>
        <v>0</v>
      </c>
      <c r="Y2625" s="68"/>
      <c r="Z2625" s="148">
        <f>ROUND(IF(X2625&gt;I2625,X2625,I2625),4)</f>
        <v>0</v>
      </c>
      <c r="AD2625" s="78">
        <f t="shared" si="60"/>
        <v>0</v>
      </c>
      <c r="AE2625" s="78">
        <f t="shared" si="61"/>
        <v>0</v>
      </c>
    </row>
    <row r="2626" spans="1:31" x14ac:dyDescent="0.2">
      <c r="A2626" s="66"/>
      <c r="B2626" s="66"/>
      <c r="C2626" s="66"/>
      <c r="D2626" s="144"/>
      <c r="E2626" s="67"/>
      <c r="F2626" s="67"/>
      <c r="G2626" s="67"/>
      <c r="H2626" s="67">
        <f>ROUND(+E2626+G2626,4)</f>
        <v>0</v>
      </c>
      <c r="I2626" s="67"/>
      <c r="J2626" s="67">
        <f>ROUND(+I2626-H2626,4)</f>
        <v>0</v>
      </c>
      <c r="K2626" s="67">
        <f>ROUND(IF(F2626="alluminio",0,I2626*1.5%),4)</f>
        <v>0</v>
      </c>
      <c r="L2626" s="67">
        <f>ROUND(IF(K2626&lt;J2626,K2626,0),4)</f>
        <v>0</v>
      </c>
      <c r="M2626" s="67">
        <f>ROUND(IF(J2626&gt;K2626,0,J2626),4)</f>
        <v>0</v>
      </c>
      <c r="N2626" s="67">
        <f>ROUND(+L2626*D2626,4)</f>
        <v>0</v>
      </c>
      <c r="O2626" s="67">
        <f>ROUND(IF(F2626="rame",0,+I2626*3%),4)</f>
        <v>0</v>
      </c>
      <c r="P2626" s="67">
        <f>ROUND(IF(O2626&lt;J2626,O2626,0),4)</f>
        <v>0</v>
      </c>
      <c r="Q2626" s="67">
        <f>ROUND(IF(J2626&gt;O2626,0,J2626),4)</f>
        <v>0</v>
      </c>
      <c r="R2626" s="67">
        <f>ROUND(+P2626*D2626,4)</f>
        <v>0</v>
      </c>
      <c r="S2626" s="67">
        <f>ROUND(IF(K2626=0,0,M2626*D2626),4)</f>
        <v>0</v>
      </c>
      <c r="T2626" s="67">
        <f>ROUND(+IF(K2626=0,Q2626*D2626,0),4)</f>
        <v>0</v>
      </c>
      <c r="U2626" s="67">
        <f>ROUND(+N2626+R2626+S2626+T2626,4)</f>
        <v>0</v>
      </c>
      <c r="V2626" s="67">
        <f>ROUND(IF(P2626=0,0,I2626-H2626-O2626)+IF(L2626=0,0,I2626-H2626-K2626),4)</f>
        <v>0</v>
      </c>
      <c r="W2626" s="67">
        <f>ROUND(+(V2626*60%)*D2626,4)</f>
        <v>0</v>
      </c>
      <c r="X2626" s="148">
        <f>ROUND(+U2626+W2626,4)</f>
        <v>0</v>
      </c>
      <c r="Y2626" s="68"/>
      <c r="Z2626" s="148">
        <f>ROUND(IF(X2626&gt;I2626,X2626,I2626),4)</f>
        <v>0</v>
      </c>
      <c r="AD2626" s="78">
        <f t="shared" si="60"/>
        <v>0</v>
      </c>
      <c r="AE2626" s="78">
        <f t="shared" si="61"/>
        <v>0</v>
      </c>
    </row>
    <row r="2627" spans="1:31" x14ac:dyDescent="0.2">
      <c r="A2627" s="66"/>
      <c r="B2627" s="66"/>
      <c r="C2627" s="66"/>
      <c r="D2627" s="144"/>
      <c r="E2627" s="67"/>
      <c r="F2627" s="67"/>
      <c r="G2627" s="67"/>
      <c r="H2627" s="67">
        <f>ROUND(+E2627+G2627,4)</f>
        <v>0</v>
      </c>
      <c r="I2627" s="67"/>
      <c r="J2627" s="67">
        <f>ROUND(+I2627-H2627,4)</f>
        <v>0</v>
      </c>
      <c r="K2627" s="67">
        <f>ROUND(IF(F2627="alluminio",0,I2627*1.5%),4)</f>
        <v>0</v>
      </c>
      <c r="L2627" s="67">
        <f>ROUND(IF(K2627&lt;J2627,K2627,0),4)</f>
        <v>0</v>
      </c>
      <c r="M2627" s="67">
        <f>ROUND(IF(J2627&gt;K2627,0,J2627),4)</f>
        <v>0</v>
      </c>
      <c r="N2627" s="67">
        <f>ROUND(+L2627*D2627,4)</f>
        <v>0</v>
      </c>
      <c r="O2627" s="67">
        <f>ROUND(IF(F2627="rame",0,+I2627*3%),4)</f>
        <v>0</v>
      </c>
      <c r="P2627" s="67">
        <f>ROUND(IF(O2627&lt;J2627,O2627,0),4)</f>
        <v>0</v>
      </c>
      <c r="Q2627" s="67">
        <f>ROUND(IF(J2627&gt;O2627,0,J2627),4)</f>
        <v>0</v>
      </c>
      <c r="R2627" s="67">
        <f>ROUND(+P2627*D2627,4)</f>
        <v>0</v>
      </c>
      <c r="S2627" s="67">
        <f>ROUND(IF(K2627=0,0,M2627*D2627),4)</f>
        <v>0</v>
      </c>
      <c r="T2627" s="67">
        <f>ROUND(+IF(K2627=0,Q2627*D2627,0),4)</f>
        <v>0</v>
      </c>
      <c r="U2627" s="67">
        <f>ROUND(+N2627+R2627+S2627+T2627,4)</f>
        <v>0</v>
      </c>
      <c r="V2627" s="67">
        <f>ROUND(IF(P2627=0,0,I2627-H2627-O2627)+IF(L2627=0,0,I2627-H2627-K2627),4)</f>
        <v>0</v>
      </c>
      <c r="W2627" s="67">
        <f>ROUND(+(V2627*60%)*D2627,4)</f>
        <v>0</v>
      </c>
      <c r="X2627" s="148">
        <f>ROUND(+U2627+W2627,4)</f>
        <v>0</v>
      </c>
      <c r="Y2627" s="68"/>
      <c r="Z2627" s="148">
        <f>ROUND(IF(X2627&gt;I2627,X2627,I2627),4)</f>
        <v>0</v>
      </c>
      <c r="AD2627" s="78">
        <f t="shared" si="60"/>
        <v>0</v>
      </c>
      <c r="AE2627" s="78">
        <f t="shared" si="61"/>
        <v>0</v>
      </c>
    </row>
    <row r="2628" spans="1:31" x14ac:dyDescent="0.2">
      <c r="A2628" s="66"/>
      <c r="B2628" s="66"/>
      <c r="C2628" s="66"/>
      <c r="D2628" s="144"/>
      <c r="E2628" s="67"/>
      <c r="F2628" s="67"/>
      <c r="G2628" s="67"/>
      <c r="H2628" s="67">
        <f>ROUND(+E2628+G2628,4)</f>
        <v>0</v>
      </c>
      <c r="I2628" s="67"/>
      <c r="J2628" s="67">
        <f>ROUND(+I2628-H2628,4)</f>
        <v>0</v>
      </c>
      <c r="K2628" s="67">
        <f>ROUND(IF(F2628="alluminio",0,I2628*1.5%),4)</f>
        <v>0</v>
      </c>
      <c r="L2628" s="67">
        <f>ROUND(IF(K2628&lt;J2628,K2628,0),4)</f>
        <v>0</v>
      </c>
      <c r="M2628" s="67">
        <f>ROUND(IF(J2628&gt;K2628,0,J2628),4)</f>
        <v>0</v>
      </c>
      <c r="N2628" s="67">
        <f>ROUND(+L2628*D2628,4)</f>
        <v>0</v>
      </c>
      <c r="O2628" s="67">
        <f>ROUND(IF(F2628="rame",0,+I2628*3%),4)</f>
        <v>0</v>
      </c>
      <c r="P2628" s="67">
        <f>ROUND(IF(O2628&lt;J2628,O2628,0),4)</f>
        <v>0</v>
      </c>
      <c r="Q2628" s="67">
        <f>ROUND(IF(J2628&gt;O2628,0,J2628),4)</f>
        <v>0</v>
      </c>
      <c r="R2628" s="67">
        <f>ROUND(+P2628*D2628,4)</f>
        <v>0</v>
      </c>
      <c r="S2628" s="67">
        <f>ROUND(IF(K2628=0,0,M2628*D2628),4)</f>
        <v>0</v>
      </c>
      <c r="T2628" s="67">
        <f>ROUND(+IF(K2628=0,Q2628*D2628,0),4)</f>
        <v>0</v>
      </c>
      <c r="U2628" s="67">
        <f>ROUND(+N2628+R2628+S2628+T2628,4)</f>
        <v>0</v>
      </c>
      <c r="V2628" s="67">
        <f>ROUND(IF(P2628=0,0,I2628-H2628-O2628)+IF(L2628=0,0,I2628-H2628-K2628),4)</f>
        <v>0</v>
      </c>
      <c r="W2628" s="67">
        <f>ROUND(+(V2628*60%)*D2628,4)</f>
        <v>0</v>
      </c>
      <c r="X2628" s="148">
        <f>ROUND(+U2628+W2628,4)</f>
        <v>0</v>
      </c>
      <c r="Y2628" s="68"/>
      <c r="Z2628" s="148">
        <f>ROUND(IF(X2628&gt;I2628,X2628,I2628),4)</f>
        <v>0</v>
      </c>
      <c r="AD2628" s="78">
        <f t="shared" si="60"/>
        <v>0</v>
      </c>
      <c r="AE2628" s="78">
        <f t="shared" si="61"/>
        <v>0</v>
      </c>
    </row>
    <row r="2629" spans="1:31" x14ac:dyDescent="0.2">
      <c r="A2629" s="66"/>
      <c r="B2629" s="66"/>
      <c r="C2629" s="66"/>
      <c r="D2629" s="144"/>
      <c r="E2629" s="67"/>
      <c r="F2629" s="67"/>
      <c r="G2629" s="67"/>
      <c r="H2629" s="67">
        <f>ROUND(+E2629+G2629,4)</f>
        <v>0</v>
      </c>
      <c r="I2629" s="67"/>
      <c r="J2629" s="67">
        <f>ROUND(+I2629-H2629,4)</f>
        <v>0</v>
      </c>
      <c r="K2629" s="67">
        <f>ROUND(IF(F2629="alluminio",0,I2629*1.5%),4)</f>
        <v>0</v>
      </c>
      <c r="L2629" s="67">
        <f>ROUND(IF(K2629&lt;J2629,K2629,0),4)</f>
        <v>0</v>
      </c>
      <c r="M2629" s="67">
        <f>ROUND(IF(J2629&gt;K2629,0,J2629),4)</f>
        <v>0</v>
      </c>
      <c r="N2629" s="67">
        <f>ROUND(+L2629*D2629,4)</f>
        <v>0</v>
      </c>
      <c r="O2629" s="67">
        <f>ROUND(IF(F2629="rame",0,+I2629*3%),4)</f>
        <v>0</v>
      </c>
      <c r="P2629" s="67">
        <f>ROUND(IF(O2629&lt;J2629,O2629,0),4)</f>
        <v>0</v>
      </c>
      <c r="Q2629" s="67">
        <f>ROUND(IF(J2629&gt;O2629,0,J2629),4)</f>
        <v>0</v>
      </c>
      <c r="R2629" s="67">
        <f>ROUND(+P2629*D2629,4)</f>
        <v>0</v>
      </c>
      <c r="S2629" s="67">
        <f>ROUND(IF(K2629=0,0,M2629*D2629),4)</f>
        <v>0</v>
      </c>
      <c r="T2629" s="67">
        <f>ROUND(+IF(K2629=0,Q2629*D2629,0),4)</f>
        <v>0</v>
      </c>
      <c r="U2629" s="67">
        <f>ROUND(+N2629+R2629+S2629+T2629,4)</f>
        <v>0</v>
      </c>
      <c r="V2629" s="67">
        <f>ROUND(IF(P2629=0,0,I2629-H2629-O2629)+IF(L2629=0,0,I2629-H2629-K2629),4)</f>
        <v>0</v>
      </c>
      <c r="W2629" s="67">
        <f>ROUND(+(V2629*60%)*D2629,4)</f>
        <v>0</v>
      </c>
      <c r="X2629" s="148">
        <f>ROUND(+U2629+W2629,4)</f>
        <v>0</v>
      </c>
      <c r="Y2629" s="68"/>
      <c r="Z2629" s="148">
        <f>ROUND(IF(X2629&gt;I2629,X2629,I2629),4)</f>
        <v>0</v>
      </c>
      <c r="AD2629" s="78">
        <f t="shared" si="60"/>
        <v>0</v>
      </c>
      <c r="AE2629" s="78">
        <f t="shared" si="61"/>
        <v>0</v>
      </c>
    </row>
    <row r="2630" spans="1:31" x14ac:dyDescent="0.2">
      <c r="A2630" s="66"/>
      <c r="B2630" s="66"/>
      <c r="C2630" s="66"/>
      <c r="D2630" s="144"/>
      <c r="E2630" s="67"/>
      <c r="F2630" s="67"/>
      <c r="G2630" s="67"/>
      <c r="H2630" s="67">
        <f>ROUND(+E2630+G2630,4)</f>
        <v>0</v>
      </c>
      <c r="I2630" s="67"/>
      <c r="J2630" s="67">
        <f>ROUND(+I2630-H2630,4)</f>
        <v>0</v>
      </c>
      <c r="K2630" s="67">
        <f>ROUND(IF(F2630="alluminio",0,I2630*1.5%),4)</f>
        <v>0</v>
      </c>
      <c r="L2630" s="67">
        <f>ROUND(IF(K2630&lt;J2630,K2630,0),4)</f>
        <v>0</v>
      </c>
      <c r="M2630" s="67">
        <f>ROUND(IF(J2630&gt;K2630,0,J2630),4)</f>
        <v>0</v>
      </c>
      <c r="N2630" s="67">
        <f>ROUND(+L2630*D2630,4)</f>
        <v>0</v>
      </c>
      <c r="O2630" s="67">
        <f>ROUND(IF(F2630="rame",0,+I2630*3%),4)</f>
        <v>0</v>
      </c>
      <c r="P2630" s="67">
        <f>ROUND(IF(O2630&lt;J2630,O2630,0),4)</f>
        <v>0</v>
      </c>
      <c r="Q2630" s="67">
        <f>ROUND(IF(J2630&gt;O2630,0,J2630),4)</f>
        <v>0</v>
      </c>
      <c r="R2630" s="67">
        <f>ROUND(+P2630*D2630,4)</f>
        <v>0</v>
      </c>
      <c r="S2630" s="67">
        <f>ROUND(IF(K2630=0,0,M2630*D2630),4)</f>
        <v>0</v>
      </c>
      <c r="T2630" s="67">
        <f>ROUND(+IF(K2630=0,Q2630*D2630,0),4)</f>
        <v>0</v>
      </c>
      <c r="U2630" s="67">
        <f>ROUND(+N2630+R2630+S2630+T2630,4)</f>
        <v>0</v>
      </c>
      <c r="V2630" s="67">
        <f>ROUND(IF(P2630=0,0,I2630-H2630-O2630)+IF(L2630=0,0,I2630-H2630-K2630),4)</f>
        <v>0</v>
      </c>
      <c r="W2630" s="67">
        <f>ROUND(+(V2630*60%)*D2630,4)</f>
        <v>0</v>
      </c>
      <c r="X2630" s="148">
        <f>ROUND(+U2630+W2630,4)</f>
        <v>0</v>
      </c>
      <c r="Y2630" s="68"/>
      <c r="Z2630" s="148">
        <f>ROUND(IF(X2630&gt;I2630,X2630,I2630),4)</f>
        <v>0</v>
      </c>
      <c r="AD2630" s="78">
        <f t="shared" si="60"/>
        <v>0</v>
      </c>
      <c r="AE2630" s="78">
        <f t="shared" si="61"/>
        <v>0</v>
      </c>
    </row>
    <row r="2631" spans="1:31" x14ac:dyDescent="0.2">
      <c r="A2631" s="66"/>
      <c r="B2631" s="66"/>
      <c r="C2631" s="66"/>
      <c r="D2631" s="144"/>
      <c r="E2631" s="67"/>
      <c r="F2631" s="67"/>
      <c r="G2631" s="67"/>
      <c r="H2631" s="67">
        <f>ROUND(+E2631+G2631,4)</f>
        <v>0</v>
      </c>
      <c r="I2631" s="67"/>
      <c r="J2631" s="67">
        <f>ROUND(+I2631-H2631,4)</f>
        <v>0</v>
      </c>
      <c r="K2631" s="67">
        <f>ROUND(IF(F2631="alluminio",0,I2631*1.5%),4)</f>
        <v>0</v>
      </c>
      <c r="L2631" s="67">
        <f>ROUND(IF(K2631&lt;J2631,K2631,0),4)</f>
        <v>0</v>
      </c>
      <c r="M2631" s="67">
        <f>ROUND(IF(J2631&gt;K2631,0,J2631),4)</f>
        <v>0</v>
      </c>
      <c r="N2631" s="67">
        <f>ROUND(+L2631*D2631,4)</f>
        <v>0</v>
      </c>
      <c r="O2631" s="67">
        <f>ROUND(IF(F2631="rame",0,+I2631*3%),4)</f>
        <v>0</v>
      </c>
      <c r="P2631" s="67">
        <f>ROUND(IF(O2631&lt;J2631,O2631,0),4)</f>
        <v>0</v>
      </c>
      <c r="Q2631" s="67">
        <f>ROUND(IF(J2631&gt;O2631,0,J2631),4)</f>
        <v>0</v>
      </c>
      <c r="R2631" s="67">
        <f>ROUND(+P2631*D2631,4)</f>
        <v>0</v>
      </c>
      <c r="S2631" s="67">
        <f>ROUND(IF(K2631=0,0,M2631*D2631),4)</f>
        <v>0</v>
      </c>
      <c r="T2631" s="67">
        <f>ROUND(+IF(K2631=0,Q2631*D2631,0),4)</f>
        <v>0</v>
      </c>
      <c r="U2631" s="67">
        <f>ROUND(+N2631+R2631+S2631+T2631,4)</f>
        <v>0</v>
      </c>
      <c r="V2631" s="67">
        <f>ROUND(IF(P2631=0,0,I2631-H2631-O2631)+IF(L2631=0,0,I2631-H2631-K2631),4)</f>
        <v>0</v>
      </c>
      <c r="W2631" s="67">
        <f>ROUND(+(V2631*60%)*D2631,4)</f>
        <v>0</v>
      </c>
      <c r="X2631" s="148">
        <f>ROUND(+U2631+W2631,4)</f>
        <v>0</v>
      </c>
      <c r="Y2631" s="68"/>
      <c r="Z2631" s="148">
        <f>ROUND(IF(X2631&gt;I2631,X2631,I2631),4)</f>
        <v>0</v>
      </c>
      <c r="AD2631" s="78">
        <f t="shared" si="60"/>
        <v>0</v>
      </c>
      <c r="AE2631" s="78">
        <f t="shared" si="61"/>
        <v>0</v>
      </c>
    </row>
    <row r="2632" spans="1:31" x14ac:dyDescent="0.2">
      <c r="A2632" s="66"/>
      <c r="B2632" s="66"/>
      <c r="C2632" s="66"/>
      <c r="D2632" s="144"/>
      <c r="E2632" s="67"/>
      <c r="F2632" s="67"/>
      <c r="G2632" s="67"/>
      <c r="H2632" s="67">
        <f>ROUND(+E2632+G2632,4)</f>
        <v>0</v>
      </c>
      <c r="I2632" s="67"/>
      <c r="J2632" s="67">
        <f>ROUND(+I2632-H2632,4)</f>
        <v>0</v>
      </c>
      <c r="K2632" s="67">
        <f>ROUND(IF(F2632="alluminio",0,I2632*1.5%),4)</f>
        <v>0</v>
      </c>
      <c r="L2632" s="67">
        <f>ROUND(IF(K2632&lt;J2632,K2632,0),4)</f>
        <v>0</v>
      </c>
      <c r="M2632" s="67">
        <f>ROUND(IF(J2632&gt;K2632,0,J2632),4)</f>
        <v>0</v>
      </c>
      <c r="N2632" s="67">
        <f>ROUND(+L2632*D2632,4)</f>
        <v>0</v>
      </c>
      <c r="O2632" s="67">
        <f>ROUND(IF(F2632="rame",0,+I2632*3%),4)</f>
        <v>0</v>
      </c>
      <c r="P2632" s="67">
        <f>ROUND(IF(O2632&lt;J2632,O2632,0),4)</f>
        <v>0</v>
      </c>
      <c r="Q2632" s="67">
        <f>ROUND(IF(J2632&gt;O2632,0,J2632),4)</f>
        <v>0</v>
      </c>
      <c r="R2632" s="67">
        <f>ROUND(+P2632*D2632,4)</f>
        <v>0</v>
      </c>
      <c r="S2632" s="67">
        <f>ROUND(IF(K2632=0,0,M2632*D2632),4)</f>
        <v>0</v>
      </c>
      <c r="T2632" s="67">
        <f>ROUND(+IF(K2632=0,Q2632*D2632,0),4)</f>
        <v>0</v>
      </c>
      <c r="U2632" s="67">
        <f>ROUND(+N2632+R2632+S2632+T2632,4)</f>
        <v>0</v>
      </c>
      <c r="V2632" s="67">
        <f>ROUND(IF(P2632=0,0,I2632-H2632-O2632)+IF(L2632=0,0,I2632-H2632-K2632),4)</f>
        <v>0</v>
      </c>
      <c r="W2632" s="67">
        <f>ROUND(+(V2632*60%)*D2632,4)</f>
        <v>0</v>
      </c>
      <c r="X2632" s="148">
        <f>ROUND(+U2632+W2632,4)</f>
        <v>0</v>
      </c>
      <c r="Y2632" s="68"/>
      <c r="Z2632" s="148">
        <f>ROUND(IF(X2632&gt;I2632,X2632,I2632),4)</f>
        <v>0</v>
      </c>
      <c r="AD2632" s="78">
        <f t="shared" si="60"/>
        <v>0</v>
      </c>
      <c r="AE2632" s="78">
        <f t="shared" si="61"/>
        <v>0</v>
      </c>
    </row>
    <row r="2633" spans="1:31" x14ac:dyDescent="0.2">
      <c r="A2633" s="66"/>
      <c r="B2633" s="66"/>
      <c r="C2633" s="66"/>
      <c r="D2633" s="144"/>
      <c r="E2633" s="67"/>
      <c r="F2633" s="67"/>
      <c r="G2633" s="67"/>
      <c r="H2633" s="67">
        <f>ROUND(+E2633+G2633,4)</f>
        <v>0</v>
      </c>
      <c r="I2633" s="67"/>
      <c r="J2633" s="67">
        <f>ROUND(+I2633-H2633,4)</f>
        <v>0</v>
      </c>
      <c r="K2633" s="67">
        <f>ROUND(IF(F2633="alluminio",0,I2633*1.5%),4)</f>
        <v>0</v>
      </c>
      <c r="L2633" s="67">
        <f>ROUND(IF(K2633&lt;J2633,K2633,0),4)</f>
        <v>0</v>
      </c>
      <c r="M2633" s="67">
        <f>ROUND(IF(J2633&gt;K2633,0,J2633),4)</f>
        <v>0</v>
      </c>
      <c r="N2633" s="67">
        <f>ROUND(+L2633*D2633,4)</f>
        <v>0</v>
      </c>
      <c r="O2633" s="67">
        <f>ROUND(IF(F2633="rame",0,+I2633*3%),4)</f>
        <v>0</v>
      </c>
      <c r="P2633" s="67">
        <f>ROUND(IF(O2633&lt;J2633,O2633,0),4)</f>
        <v>0</v>
      </c>
      <c r="Q2633" s="67">
        <f>ROUND(IF(J2633&gt;O2633,0,J2633),4)</f>
        <v>0</v>
      </c>
      <c r="R2633" s="67">
        <f>ROUND(+P2633*D2633,4)</f>
        <v>0</v>
      </c>
      <c r="S2633" s="67">
        <f>ROUND(IF(K2633=0,0,M2633*D2633),4)</f>
        <v>0</v>
      </c>
      <c r="T2633" s="67">
        <f>ROUND(+IF(K2633=0,Q2633*D2633,0),4)</f>
        <v>0</v>
      </c>
      <c r="U2633" s="67">
        <f>ROUND(+N2633+R2633+S2633+T2633,4)</f>
        <v>0</v>
      </c>
      <c r="V2633" s="67">
        <f>ROUND(IF(P2633=0,0,I2633-H2633-O2633)+IF(L2633=0,0,I2633-H2633-K2633),4)</f>
        <v>0</v>
      </c>
      <c r="W2633" s="67">
        <f>ROUND(+(V2633*60%)*D2633,4)</f>
        <v>0</v>
      </c>
      <c r="X2633" s="148">
        <f>ROUND(+U2633+W2633,4)</f>
        <v>0</v>
      </c>
      <c r="Y2633" s="68"/>
      <c r="Z2633" s="148">
        <f>ROUND(IF(X2633&gt;I2633,X2633,I2633),4)</f>
        <v>0</v>
      </c>
      <c r="AD2633" s="78">
        <f t="shared" si="60"/>
        <v>0</v>
      </c>
      <c r="AE2633" s="78">
        <f t="shared" si="61"/>
        <v>0</v>
      </c>
    </row>
    <row r="2634" spans="1:31" x14ac:dyDescent="0.2">
      <c r="A2634" s="66"/>
      <c r="B2634" s="66"/>
      <c r="C2634" s="66"/>
      <c r="D2634" s="144"/>
      <c r="E2634" s="67"/>
      <c r="F2634" s="67"/>
      <c r="G2634" s="67"/>
      <c r="H2634" s="67">
        <f>ROUND(+E2634+G2634,4)</f>
        <v>0</v>
      </c>
      <c r="I2634" s="67"/>
      <c r="J2634" s="67">
        <f>ROUND(+I2634-H2634,4)</f>
        <v>0</v>
      </c>
      <c r="K2634" s="67">
        <f>ROUND(IF(F2634="alluminio",0,I2634*1.5%),4)</f>
        <v>0</v>
      </c>
      <c r="L2634" s="67">
        <f>ROUND(IF(K2634&lt;J2634,K2634,0),4)</f>
        <v>0</v>
      </c>
      <c r="M2634" s="67">
        <f>ROUND(IF(J2634&gt;K2634,0,J2634),4)</f>
        <v>0</v>
      </c>
      <c r="N2634" s="67">
        <f>ROUND(+L2634*D2634,4)</f>
        <v>0</v>
      </c>
      <c r="O2634" s="67">
        <f>ROUND(IF(F2634="rame",0,+I2634*3%),4)</f>
        <v>0</v>
      </c>
      <c r="P2634" s="67">
        <f>ROUND(IF(O2634&lt;J2634,O2634,0),4)</f>
        <v>0</v>
      </c>
      <c r="Q2634" s="67">
        <f>ROUND(IF(J2634&gt;O2634,0,J2634),4)</f>
        <v>0</v>
      </c>
      <c r="R2634" s="67">
        <f>ROUND(+P2634*D2634,4)</f>
        <v>0</v>
      </c>
      <c r="S2634" s="67">
        <f>ROUND(IF(K2634=0,0,M2634*D2634),4)</f>
        <v>0</v>
      </c>
      <c r="T2634" s="67">
        <f>ROUND(+IF(K2634=0,Q2634*D2634,0),4)</f>
        <v>0</v>
      </c>
      <c r="U2634" s="67">
        <f>ROUND(+N2634+R2634+S2634+T2634,4)</f>
        <v>0</v>
      </c>
      <c r="V2634" s="67">
        <f>ROUND(IF(P2634=0,0,I2634-H2634-O2634)+IF(L2634=0,0,I2634-H2634-K2634),4)</f>
        <v>0</v>
      </c>
      <c r="W2634" s="67">
        <f>ROUND(+(V2634*60%)*D2634,4)</f>
        <v>0</v>
      </c>
      <c r="X2634" s="148">
        <f>ROUND(+U2634+W2634,4)</f>
        <v>0</v>
      </c>
      <c r="Y2634" s="68"/>
      <c r="Z2634" s="148">
        <f>ROUND(IF(X2634&gt;I2634,X2634,I2634),4)</f>
        <v>0</v>
      </c>
      <c r="AD2634" s="78">
        <f t="shared" si="60"/>
        <v>0</v>
      </c>
      <c r="AE2634" s="78">
        <f t="shared" si="61"/>
        <v>0</v>
      </c>
    </row>
    <row r="2635" spans="1:31" x14ac:dyDescent="0.2">
      <c r="A2635" s="66"/>
      <c r="B2635" s="66"/>
      <c r="C2635" s="66"/>
      <c r="D2635" s="144"/>
      <c r="E2635" s="67"/>
      <c r="F2635" s="67"/>
      <c r="G2635" s="67"/>
      <c r="H2635" s="67">
        <f>ROUND(+E2635+G2635,4)</f>
        <v>0</v>
      </c>
      <c r="I2635" s="67"/>
      <c r="J2635" s="67">
        <f>ROUND(+I2635-H2635,4)</f>
        <v>0</v>
      </c>
      <c r="K2635" s="67">
        <f>ROUND(IF(F2635="alluminio",0,I2635*1.5%),4)</f>
        <v>0</v>
      </c>
      <c r="L2635" s="67">
        <f>ROUND(IF(K2635&lt;J2635,K2635,0),4)</f>
        <v>0</v>
      </c>
      <c r="M2635" s="67">
        <f>ROUND(IF(J2635&gt;K2635,0,J2635),4)</f>
        <v>0</v>
      </c>
      <c r="N2635" s="67">
        <f>ROUND(+L2635*D2635,4)</f>
        <v>0</v>
      </c>
      <c r="O2635" s="67">
        <f>ROUND(IF(F2635="rame",0,+I2635*3%),4)</f>
        <v>0</v>
      </c>
      <c r="P2635" s="67">
        <f>ROUND(IF(O2635&lt;J2635,O2635,0),4)</f>
        <v>0</v>
      </c>
      <c r="Q2635" s="67">
        <f>ROUND(IF(J2635&gt;O2635,0,J2635),4)</f>
        <v>0</v>
      </c>
      <c r="R2635" s="67">
        <f>ROUND(+P2635*D2635,4)</f>
        <v>0</v>
      </c>
      <c r="S2635" s="67">
        <f>ROUND(IF(K2635=0,0,M2635*D2635),4)</f>
        <v>0</v>
      </c>
      <c r="T2635" s="67">
        <f>ROUND(+IF(K2635=0,Q2635*D2635,0),4)</f>
        <v>0</v>
      </c>
      <c r="U2635" s="67">
        <f>ROUND(+N2635+R2635+S2635+T2635,4)</f>
        <v>0</v>
      </c>
      <c r="V2635" s="67">
        <f>ROUND(IF(P2635=0,0,I2635-H2635-O2635)+IF(L2635=0,0,I2635-H2635-K2635),4)</f>
        <v>0</v>
      </c>
      <c r="W2635" s="67">
        <f>ROUND(+(V2635*60%)*D2635,4)</f>
        <v>0</v>
      </c>
      <c r="X2635" s="148">
        <f>ROUND(+U2635+W2635,4)</f>
        <v>0</v>
      </c>
      <c r="Y2635" s="68"/>
      <c r="Z2635" s="148">
        <f>ROUND(IF(X2635&gt;I2635,X2635,I2635),4)</f>
        <v>0</v>
      </c>
      <c r="AD2635" s="78">
        <f t="shared" si="60"/>
        <v>0</v>
      </c>
      <c r="AE2635" s="78">
        <f t="shared" si="61"/>
        <v>0</v>
      </c>
    </row>
    <row r="2636" spans="1:31" x14ac:dyDescent="0.2">
      <c r="A2636" s="66"/>
      <c r="B2636" s="66"/>
      <c r="C2636" s="66"/>
      <c r="D2636" s="144"/>
      <c r="E2636" s="67"/>
      <c r="F2636" s="67"/>
      <c r="G2636" s="67"/>
      <c r="H2636" s="67">
        <f>ROUND(+E2636+G2636,4)</f>
        <v>0</v>
      </c>
      <c r="I2636" s="67"/>
      <c r="J2636" s="67">
        <f>ROUND(+I2636-H2636,4)</f>
        <v>0</v>
      </c>
      <c r="K2636" s="67">
        <f>ROUND(IF(F2636="alluminio",0,I2636*1.5%),4)</f>
        <v>0</v>
      </c>
      <c r="L2636" s="67">
        <f>ROUND(IF(K2636&lt;J2636,K2636,0),4)</f>
        <v>0</v>
      </c>
      <c r="M2636" s="67">
        <f>ROUND(IF(J2636&gt;K2636,0,J2636),4)</f>
        <v>0</v>
      </c>
      <c r="N2636" s="67">
        <f>ROUND(+L2636*D2636,4)</f>
        <v>0</v>
      </c>
      <c r="O2636" s="67">
        <f>ROUND(IF(F2636="rame",0,+I2636*3%),4)</f>
        <v>0</v>
      </c>
      <c r="P2636" s="67">
        <f>ROUND(IF(O2636&lt;J2636,O2636,0),4)</f>
        <v>0</v>
      </c>
      <c r="Q2636" s="67">
        <f>ROUND(IF(J2636&gt;O2636,0,J2636),4)</f>
        <v>0</v>
      </c>
      <c r="R2636" s="67">
        <f>ROUND(+P2636*D2636,4)</f>
        <v>0</v>
      </c>
      <c r="S2636" s="67">
        <f>ROUND(IF(K2636=0,0,M2636*D2636),4)</f>
        <v>0</v>
      </c>
      <c r="T2636" s="67">
        <f>ROUND(+IF(K2636=0,Q2636*D2636,0),4)</f>
        <v>0</v>
      </c>
      <c r="U2636" s="67">
        <f>ROUND(+N2636+R2636+S2636+T2636,4)</f>
        <v>0</v>
      </c>
      <c r="V2636" s="67">
        <f>ROUND(IF(P2636=0,0,I2636-H2636-O2636)+IF(L2636=0,0,I2636-H2636-K2636),4)</f>
        <v>0</v>
      </c>
      <c r="W2636" s="67">
        <f>ROUND(+(V2636*60%)*D2636,4)</f>
        <v>0</v>
      </c>
      <c r="X2636" s="148">
        <f>ROUND(+U2636+W2636,4)</f>
        <v>0</v>
      </c>
      <c r="Y2636" s="68"/>
      <c r="Z2636" s="148">
        <f>ROUND(IF(X2636&gt;I2636,X2636,I2636),4)</f>
        <v>0</v>
      </c>
      <c r="AD2636" s="78">
        <f t="shared" si="60"/>
        <v>0</v>
      </c>
      <c r="AE2636" s="78">
        <f t="shared" si="61"/>
        <v>0</v>
      </c>
    </row>
    <row r="2637" spans="1:31" x14ac:dyDescent="0.2">
      <c r="A2637" s="66"/>
      <c r="B2637" s="66"/>
      <c r="C2637" s="66"/>
      <c r="D2637" s="144"/>
      <c r="E2637" s="67"/>
      <c r="F2637" s="67"/>
      <c r="G2637" s="67"/>
      <c r="H2637" s="67">
        <f>ROUND(+E2637+G2637,4)</f>
        <v>0</v>
      </c>
      <c r="I2637" s="67"/>
      <c r="J2637" s="67">
        <f>ROUND(+I2637-H2637,4)</f>
        <v>0</v>
      </c>
      <c r="K2637" s="67">
        <f>ROUND(IF(F2637="alluminio",0,I2637*1.5%),4)</f>
        <v>0</v>
      </c>
      <c r="L2637" s="67">
        <f>ROUND(IF(K2637&lt;J2637,K2637,0),4)</f>
        <v>0</v>
      </c>
      <c r="M2637" s="67">
        <f>ROUND(IF(J2637&gt;K2637,0,J2637),4)</f>
        <v>0</v>
      </c>
      <c r="N2637" s="67">
        <f>ROUND(+L2637*D2637,4)</f>
        <v>0</v>
      </c>
      <c r="O2637" s="67">
        <f>ROUND(IF(F2637="rame",0,+I2637*3%),4)</f>
        <v>0</v>
      </c>
      <c r="P2637" s="67">
        <f>ROUND(IF(O2637&lt;J2637,O2637,0),4)</f>
        <v>0</v>
      </c>
      <c r="Q2637" s="67">
        <f>ROUND(IF(J2637&gt;O2637,0,J2637),4)</f>
        <v>0</v>
      </c>
      <c r="R2637" s="67">
        <f>ROUND(+P2637*D2637,4)</f>
        <v>0</v>
      </c>
      <c r="S2637" s="67">
        <f>ROUND(IF(K2637=0,0,M2637*D2637),4)</f>
        <v>0</v>
      </c>
      <c r="T2637" s="67">
        <f>ROUND(+IF(K2637=0,Q2637*D2637,0),4)</f>
        <v>0</v>
      </c>
      <c r="U2637" s="67">
        <f>ROUND(+N2637+R2637+S2637+T2637,4)</f>
        <v>0</v>
      </c>
      <c r="V2637" s="67">
        <f>ROUND(IF(P2637=0,0,I2637-H2637-O2637)+IF(L2637=0,0,I2637-H2637-K2637),4)</f>
        <v>0</v>
      </c>
      <c r="W2637" s="67">
        <f>ROUND(+(V2637*60%)*D2637,4)</f>
        <v>0</v>
      </c>
      <c r="X2637" s="148">
        <f>ROUND(+U2637+W2637,4)</f>
        <v>0</v>
      </c>
      <c r="Y2637" s="68"/>
      <c r="Z2637" s="148">
        <f>ROUND(IF(X2637&gt;I2637,X2637,I2637),4)</f>
        <v>0</v>
      </c>
      <c r="AD2637" s="78">
        <f t="shared" si="60"/>
        <v>0</v>
      </c>
      <c r="AE2637" s="78">
        <f t="shared" si="61"/>
        <v>0</v>
      </c>
    </row>
    <row r="2638" spans="1:31" x14ac:dyDescent="0.2">
      <c r="A2638" s="66"/>
      <c r="B2638" s="66"/>
      <c r="C2638" s="66"/>
      <c r="D2638" s="144"/>
      <c r="E2638" s="67"/>
      <c r="F2638" s="67"/>
      <c r="G2638" s="67"/>
      <c r="H2638" s="67">
        <f>ROUND(+E2638+G2638,4)</f>
        <v>0</v>
      </c>
      <c r="I2638" s="67"/>
      <c r="J2638" s="67">
        <f>ROUND(+I2638-H2638,4)</f>
        <v>0</v>
      </c>
      <c r="K2638" s="67">
        <f>ROUND(IF(F2638="alluminio",0,I2638*1.5%),4)</f>
        <v>0</v>
      </c>
      <c r="L2638" s="67">
        <f>ROUND(IF(K2638&lt;J2638,K2638,0),4)</f>
        <v>0</v>
      </c>
      <c r="M2638" s="67">
        <f>ROUND(IF(J2638&gt;K2638,0,J2638),4)</f>
        <v>0</v>
      </c>
      <c r="N2638" s="67">
        <f>ROUND(+L2638*D2638,4)</f>
        <v>0</v>
      </c>
      <c r="O2638" s="67">
        <f>ROUND(IF(F2638="rame",0,+I2638*3%),4)</f>
        <v>0</v>
      </c>
      <c r="P2638" s="67">
        <f>ROUND(IF(O2638&lt;J2638,O2638,0),4)</f>
        <v>0</v>
      </c>
      <c r="Q2638" s="67">
        <f>ROUND(IF(J2638&gt;O2638,0,J2638),4)</f>
        <v>0</v>
      </c>
      <c r="R2638" s="67">
        <f>ROUND(+P2638*D2638,4)</f>
        <v>0</v>
      </c>
      <c r="S2638" s="67">
        <f>ROUND(IF(K2638=0,0,M2638*D2638),4)</f>
        <v>0</v>
      </c>
      <c r="T2638" s="67">
        <f>ROUND(+IF(K2638=0,Q2638*D2638,0),4)</f>
        <v>0</v>
      </c>
      <c r="U2638" s="67">
        <f>ROUND(+N2638+R2638+S2638+T2638,4)</f>
        <v>0</v>
      </c>
      <c r="V2638" s="67">
        <f>ROUND(IF(P2638=0,0,I2638-H2638-O2638)+IF(L2638=0,0,I2638-H2638-K2638),4)</f>
        <v>0</v>
      </c>
      <c r="W2638" s="67">
        <f>ROUND(+(V2638*60%)*D2638,4)</f>
        <v>0</v>
      </c>
      <c r="X2638" s="148">
        <f>ROUND(+U2638+W2638,4)</f>
        <v>0</v>
      </c>
      <c r="Y2638" s="68"/>
      <c r="Z2638" s="148">
        <f>ROUND(IF(X2638&gt;I2638,X2638,I2638),4)</f>
        <v>0</v>
      </c>
      <c r="AD2638" s="78">
        <f t="shared" si="60"/>
        <v>0</v>
      </c>
      <c r="AE2638" s="78">
        <f t="shared" si="61"/>
        <v>0</v>
      </c>
    </row>
    <row r="2639" spans="1:31" x14ac:dyDescent="0.2">
      <c r="A2639" s="66"/>
      <c r="B2639" s="66"/>
      <c r="C2639" s="66"/>
      <c r="D2639" s="144"/>
      <c r="E2639" s="67"/>
      <c r="F2639" s="67"/>
      <c r="G2639" s="67"/>
      <c r="H2639" s="67">
        <f>ROUND(+E2639+G2639,4)</f>
        <v>0</v>
      </c>
      <c r="I2639" s="67"/>
      <c r="J2639" s="67">
        <f>ROUND(+I2639-H2639,4)</f>
        <v>0</v>
      </c>
      <c r="K2639" s="67">
        <f>ROUND(IF(F2639="alluminio",0,I2639*1.5%),4)</f>
        <v>0</v>
      </c>
      <c r="L2639" s="67">
        <f>ROUND(IF(K2639&lt;J2639,K2639,0),4)</f>
        <v>0</v>
      </c>
      <c r="M2639" s="67">
        <f>ROUND(IF(J2639&gt;K2639,0,J2639),4)</f>
        <v>0</v>
      </c>
      <c r="N2639" s="67">
        <f>ROUND(+L2639*D2639,4)</f>
        <v>0</v>
      </c>
      <c r="O2639" s="67">
        <f>ROUND(IF(F2639="rame",0,+I2639*3%),4)</f>
        <v>0</v>
      </c>
      <c r="P2639" s="67">
        <f>ROUND(IF(O2639&lt;J2639,O2639,0),4)</f>
        <v>0</v>
      </c>
      <c r="Q2639" s="67">
        <f>ROUND(IF(J2639&gt;O2639,0,J2639),4)</f>
        <v>0</v>
      </c>
      <c r="R2639" s="67">
        <f>ROUND(+P2639*D2639,4)</f>
        <v>0</v>
      </c>
      <c r="S2639" s="67">
        <f>ROUND(IF(K2639=0,0,M2639*D2639),4)</f>
        <v>0</v>
      </c>
      <c r="T2639" s="67">
        <f>ROUND(+IF(K2639=0,Q2639*D2639,0),4)</f>
        <v>0</v>
      </c>
      <c r="U2639" s="67">
        <f>ROUND(+N2639+R2639+S2639+T2639,4)</f>
        <v>0</v>
      </c>
      <c r="V2639" s="67">
        <f>ROUND(IF(P2639=0,0,I2639-H2639-O2639)+IF(L2639=0,0,I2639-H2639-K2639),4)</f>
        <v>0</v>
      </c>
      <c r="W2639" s="67">
        <f>ROUND(+(V2639*60%)*D2639,4)</f>
        <v>0</v>
      </c>
      <c r="X2639" s="148">
        <f>ROUND(+U2639+W2639,4)</f>
        <v>0</v>
      </c>
      <c r="Y2639" s="68"/>
      <c r="Z2639" s="148">
        <f>ROUND(IF(X2639&gt;I2639,X2639,I2639),4)</f>
        <v>0</v>
      </c>
      <c r="AD2639" s="78">
        <f t="shared" si="60"/>
        <v>0</v>
      </c>
      <c r="AE2639" s="78">
        <f t="shared" si="61"/>
        <v>0</v>
      </c>
    </row>
    <row r="2640" spans="1:31" x14ac:dyDescent="0.2">
      <c r="A2640" s="66"/>
      <c r="B2640" s="66"/>
      <c r="C2640" s="66"/>
      <c r="D2640" s="144"/>
      <c r="E2640" s="67"/>
      <c r="F2640" s="67"/>
      <c r="G2640" s="67"/>
      <c r="H2640" s="67">
        <f>ROUND(+E2640+G2640,4)</f>
        <v>0</v>
      </c>
      <c r="I2640" s="67"/>
      <c r="J2640" s="67">
        <f>ROUND(+I2640-H2640,4)</f>
        <v>0</v>
      </c>
      <c r="K2640" s="67">
        <f>ROUND(IF(F2640="alluminio",0,I2640*1.5%),4)</f>
        <v>0</v>
      </c>
      <c r="L2640" s="67">
        <f>ROUND(IF(K2640&lt;J2640,K2640,0),4)</f>
        <v>0</v>
      </c>
      <c r="M2640" s="67">
        <f>ROUND(IF(J2640&gt;K2640,0,J2640),4)</f>
        <v>0</v>
      </c>
      <c r="N2640" s="67">
        <f>ROUND(+L2640*D2640,4)</f>
        <v>0</v>
      </c>
      <c r="O2640" s="67">
        <f>ROUND(IF(F2640="rame",0,+I2640*3%),4)</f>
        <v>0</v>
      </c>
      <c r="P2640" s="67">
        <f>ROUND(IF(O2640&lt;J2640,O2640,0),4)</f>
        <v>0</v>
      </c>
      <c r="Q2640" s="67">
        <f>ROUND(IF(J2640&gt;O2640,0,J2640),4)</f>
        <v>0</v>
      </c>
      <c r="R2640" s="67">
        <f>ROUND(+P2640*D2640,4)</f>
        <v>0</v>
      </c>
      <c r="S2640" s="67">
        <f>ROUND(IF(K2640=0,0,M2640*D2640),4)</f>
        <v>0</v>
      </c>
      <c r="T2640" s="67">
        <f>ROUND(+IF(K2640=0,Q2640*D2640,0),4)</f>
        <v>0</v>
      </c>
      <c r="U2640" s="67">
        <f>ROUND(+N2640+R2640+S2640+T2640,4)</f>
        <v>0</v>
      </c>
      <c r="V2640" s="67">
        <f>ROUND(IF(P2640=0,0,I2640-H2640-O2640)+IF(L2640=0,0,I2640-H2640-K2640),4)</f>
        <v>0</v>
      </c>
      <c r="W2640" s="67">
        <f>ROUND(+(V2640*60%)*D2640,4)</f>
        <v>0</v>
      </c>
      <c r="X2640" s="148">
        <f>ROUND(+U2640+W2640,4)</f>
        <v>0</v>
      </c>
      <c r="Y2640" s="68"/>
      <c r="Z2640" s="148">
        <f>ROUND(IF(X2640&gt;I2640,X2640,I2640),4)</f>
        <v>0</v>
      </c>
      <c r="AD2640" s="78">
        <f t="shared" si="60"/>
        <v>0</v>
      </c>
      <c r="AE2640" s="78">
        <f t="shared" si="61"/>
        <v>0</v>
      </c>
    </row>
    <row r="2641" spans="1:31" x14ac:dyDescent="0.2">
      <c r="A2641" s="66"/>
      <c r="B2641" s="66"/>
      <c r="C2641" s="66"/>
      <c r="D2641" s="144"/>
      <c r="E2641" s="67"/>
      <c r="F2641" s="67"/>
      <c r="G2641" s="67"/>
      <c r="H2641" s="67">
        <f>ROUND(+E2641+G2641,4)</f>
        <v>0</v>
      </c>
      <c r="I2641" s="67"/>
      <c r="J2641" s="67">
        <f>ROUND(+I2641-H2641,4)</f>
        <v>0</v>
      </c>
      <c r="K2641" s="67">
        <f>ROUND(IF(F2641="alluminio",0,I2641*1.5%),4)</f>
        <v>0</v>
      </c>
      <c r="L2641" s="67">
        <f>ROUND(IF(K2641&lt;J2641,K2641,0),4)</f>
        <v>0</v>
      </c>
      <c r="M2641" s="67">
        <f>ROUND(IF(J2641&gt;K2641,0,J2641),4)</f>
        <v>0</v>
      </c>
      <c r="N2641" s="67">
        <f>ROUND(+L2641*D2641,4)</f>
        <v>0</v>
      </c>
      <c r="O2641" s="67">
        <f>ROUND(IF(F2641="rame",0,+I2641*3%),4)</f>
        <v>0</v>
      </c>
      <c r="P2641" s="67">
        <f>ROUND(IF(O2641&lt;J2641,O2641,0),4)</f>
        <v>0</v>
      </c>
      <c r="Q2641" s="67">
        <f>ROUND(IF(J2641&gt;O2641,0,J2641),4)</f>
        <v>0</v>
      </c>
      <c r="R2641" s="67">
        <f>ROUND(+P2641*D2641,4)</f>
        <v>0</v>
      </c>
      <c r="S2641" s="67">
        <f>ROUND(IF(K2641=0,0,M2641*D2641),4)</f>
        <v>0</v>
      </c>
      <c r="T2641" s="67">
        <f>ROUND(+IF(K2641=0,Q2641*D2641,0),4)</f>
        <v>0</v>
      </c>
      <c r="U2641" s="67">
        <f>ROUND(+N2641+R2641+S2641+T2641,4)</f>
        <v>0</v>
      </c>
      <c r="V2641" s="67">
        <f>ROUND(IF(P2641=0,0,I2641-H2641-O2641)+IF(L2641=0,0,I2641-H2641-K2641),4)</f>
        <v>0</v>
      </c>
      <c r="W2641" s="67">
        <f>ROUND(+(V2641*60%)*D2641,4)</f>
        <v>0</v>
      </c>
      <c r="X2641" s="148">
        <f>ROUND(+U2641+W2641,4)</f>
        <v>0</v>
      </c>
      <c r="Y2641" s="68"/>
      <c r="Z2641" s="148">
        <f>ROUND(IF(X2641&gt;I2641,X2641,I2641),4)</f>
        <v>0</v>
      </c>
      <c r="AD2641" s="78">
        <f t="shared" si="60"/>
        <v>0</v>
      </c>
      <c r="AE2641" s="78">
        <f t="shared" si="61"/>
        <v>0</v>
      </c>
    </row>
    <row r="2642" spans="1:31" x14ac:dyDescent="0.2">
      <c r="A2642" s="66"/>
      <c r="B2642" s="66"/>
      <c r="C2642" s="66"/>
      <c r="D2642" s="144"/>
      <c r="E2642" s="67"/>
      <c r="F2642" s="67"/>
      <c r="G2642" s="67"/>
      <c r="H2642" s="67">
        <f>ROUND(+E2642+G2642,4)</f>
        <v>0</v>
      </c>
      <c r="I2642" s="67"/>
      <c r="J2642" s="67">
        <f>ROUND(+I2642-H2642,4)</f>
        <v>0</v>
      </c>
      <c r="K2642" s="67">
        <f>ROUND(IF(F2642="alluminio",0,I2642*1.5%),4)</f>
        <v>0</v>
      </c>
      <c r="L2642" s="67">
        <f>ROUND(IF(K2642&lt;J2642,K2642,0),4)</f>
        <v>0</v>
      </c>
      <c r="M2642" s="67">
        <f>ROUND(IF(J2642&gt;K2642,0,J2642),4)</f>
        <v>0</v>
      </c>
      <c r="N2642" s="67">
        <f>ROUND(+L2642*D2642,4)</f>
        <v>0</v>
      </c>
      <c r="O2642" s="67">
        <f>ROUND(IF(F2642="rame",0,+I2642*3%),4)</f>
        <v>0</v>
      </c>
      <c r="P2642" s="67">
        <f>ROUND(IF(O2642&lt;J2642,O2642,0),4)</f>
        <v>0</v>
      </c>
      <c r="Q2642" s="67">
        <f>ROUND(IF(J2642&gt;O2642,0,J2642),4)</f>
        <v>0</v>
      </c>
      <c r="R2642" s="67">
        <f>ROUND(+P2642*D2642,4)</f>
        <v>0</v>
      </c>
      <c r="S2642" s="67">
        <f>ROUND(IF(K2642=0,0,M2642*D2642),4)</f>
        <v>0</v>
      </c>
      <c r="T2642" s="67">
        <f>ROUND(+IF(K2642=0,Q2642*D2642,0),4)</f>
        <v>0</v>
      </c>
      <c r="U2642" s="67">
        <f>ROUND(+N2642+R2642+S2642+T2642,4)</f>
        <v>0</v>
      </c>
      <c r="V2642" s="67">
        <f>ROUND(IF(P2642=0,0,I2642-H2642-O2642)+IF(L2642=0,0,I2642-H2642-K2642),4)</f>
        <v>0</v>
      </c>
      <c r="W2642" s="67">
        <f>ROUND(+(V2642*60%)*D2642,4)</f>
        <v>0</v>
      </c>
      <c r="X2642" s="148">
        <f>ROUND(+U2642+W2642,4)</f>
        <v>0</v>
      </c>
      <c r="Y2642" s="68"/>
      <c r="Z2642" s="148">
        <f>ROUND(IF(X2642&gt;I2642,X2642,I2642),4)</f>
        <v>0</v>
      </c>
      <c r="AD2642" s="78">
        <f t="shared" si="60"/>
        <v>0</v>
      </c>
      <c r="AE2642" s="78">
        <f t="shared" si="61"/>
        <v>0</v>
      </c>
    </row>
    <row r="2643" spans="1:31" x14ac:dyDescent="0.2">
      <c r="A2643" s="66"/>
      <c r="B2643" s="66"/>
      <c r="C2643" s="66"/>
      <c r="D2643" s="144"/>
      <c r="E2643" s="67"/>
      <c r="F2643" s="67"/>
      <c r="G2643" s="67"/>
      <c r="H2643" s="67">
        <f>ROUND(+E2643+G2643,4)</f>
        <v>0</v>
      </c>
      <c r="I2643" s="67"/>
      <c r="J2643" s="67">
        <f>ROUND(+I2643-H2643,4)</f>
        <v>0</v>
      </c>
      <c r="K2643" s="67">
        <f>ROUND(IF(F2643="alluminio",0,I2643*1.5%),4)</f>
        <v>0</v>
      </c>
      <c r="L2643" s="67">
        <f>ROUND(IF(K2643&lt;J2643,K2643,0),4)</f>
        <v>0</v>
      </c>
      <c r="M2643" s="67">
        <f>ROUND(IF(J2643&gt;K2643,0,J2643),4)</f>
        <v>0</v>
      </c>
      <c r="N2643" s="67">
        <f>ROUND(+L2643*D2643,4)</f>
        <v>0</v>
      </c>
      <c r="O2643" s="67">
        <f>ROUND(IF(F2643="rame",0,+I2643*3%),4)</f>
        <v>0</v>
      </c>
      <c r="P2643" s="67">
        <f>ROUND(IF(O2643&lt;J2643,O2643,0),4)</f>
        <v>0</v>
      </c>
      <c r="Q2643" s="67">
        <f>ROUND(IF(J2643&gt;O2643,0,J2643),4)</f>
        <v>0</v>
      </c>
      <c r="R2643" s="67">
        <f>ROUND(+P2643*D2643,4)</f>
        <v>0</v>
      </c>
      <c r="S2643" s="67">
        <f>ROUND(IF(K2643=0,0,M2643*D2643),4)</f>
        <v>0</v>
      </c>
      <c r="T2643" s="67">
        <f>ROUND(+IF(K2643=0,Q2643*D2643,0),4)</f>
        <v>0</v>
      </c>
      <c r="U2643" s="67">
        <f>ROUND(+N2643+R2643+S2643+T2643,4)</f>
        <v>0</v>
      </c>
      <c r="V2643" s="67">
        <f>ROUND(IF(P2643=0,0,I2643-H2643-O2643)+IF(L2643=0,0,I2643-H2643-K2643),4)</f>
        <v>0</v>
      </c>
      <c r="W2643" s="67">
        <f>ROUND(+(V2643*60%)*D2643,4)</f>
        <v>0</v>
      </c>
      <c r="X2643" s="148">
        <f>ROUND(+U2643+W2643,4)</f>
        <v>0</v>
      </c>
      <c r="Y2643" s="68"/>
      <c r="Z2643" s="148">
        <f>ROUND(IF(X2643&gt;I2643,X2643,I2643),4)</f>
        <v>0</v>
      </c>
      <c r="AD2643" s="78">
        <f t="shared" si="60"/>
        <v>0</v>
      </c>
      <c r="AE2643" s="78">
        <f t="shared" si="61"/>
        <v>0</v>
      </c>
    </row>
    <row r="2644" spans="1:31" x14ac:dyDescent="0.2">
      <c r="A2644" s="66"/>
      <c r="B2644" s="66"/>
      <c r="C2644" s="66"/>
      <c r="D2644" s="144"/>
      <c r="E2644" s="67"/>
      <c r="F2644" s="67"/>
      <c r="G2644" s="67"/>
      <c r="H2644" s="67">
        <f>ROUND(+E2644+G2644,4)</f>
        <v>0</v>
      </c>
      <c r="I2644" s="67"/>
      <c r="J2644" s="67">
        <f>ROUND(+I2644-H2644,4)</f>
        <v>0</v>
      </c>
      <c r="K2644" s="67">
        <f>ROUND(IF(F2644="alluminio",0,I2644*1.5%),4)</f>
        <v>0</v>
      </c>
      <c r="L2644" s="67">
        <f>ROUND(IF(K2644&lt;J2644,K2644,0),4)</f>
        <v>0</v>
      </c>
      <c r="M2644" s="67">
        <f>ROUND(IF(J2644&gt;K2644,0,J2644),4)</f>
        <v>0</v>
      </c>
      <c r="N2644" s="67">
        <f>ROUND(+L2644*D2644,4)</f>
        <v>0</v>
      </c>
      <c r="O2644" s="67">
        <f>ROUND(IF(F2644="rame",0,+I2644*3%),4)</f>
        <v>0</v>
      </c>
      <c r="P2644" s="67">
        <f>ROUND(IF(O2644&lt;J2644,O2644,0),4)</f>
        <v>0</v>
      </c>
      <c r="Q2644" s="67">
        <f>ROUND(IF(J2644&gt;O2644,0,J2644),4)</f>
        <v>0</v>
      </c>
      <c r="R2644" s="67">
        <f>ROUND(+P2644*D2644,4)</f>
        <v>0</v>
      </c>
      <c r="S2644" s="67">
        <f>ROUND(IF(K2644=0,0,M2644*D2644),4)</f>
        <v>0</v>
      </c>
      <c r="T2644" s="67">
        <f>ROUND(+IF(K2644=0,Q2644*D2644,0),4)</f>
        <v>0</v>
      </c>
      <c r="U2644" s="67">
        <f>ROUND(+N2644+R2644+S2644+T2644,4)</f>
        <v>0</v>
      </c>
      <c r="V2644" s="67">
        <f>ROUND(IF(P2644=0,0,I2644-H2644-O2644)+IF(L2644=0,0,I2644-H2644-K2644),4)</f>
        <v>0</v>
      </c>
      <c r="W2644" s="67">
        <f>ROUND(+(V2644*60%)*D2644,4)</f>
        <v>0</v>
      </c>
      <c r="X2644" s="148">
        <f>ROUND(+U2644+W2644,4)</f>
        <v>0</v>
      </c>
      <c r="Y2644" s="68"/>
      <c r="Z2644" s="148">
        <f>ROUND(IF(X2644&gt;I2644,X2644,I2644),4)</f>
        <v>0</v>
      </c>
      <c r="AD2644" s="78">
        <f t="shared" si="60"/>
        <v>0</v>
      </c>
      <c r="AE2644" s="78">
        <f t="shared" si="61"/>
        <v>0</v>
      </c>
    </row>
    <row r="2645" spans="1:31" x14ac:dyDescent="0.2">
      <c r="A2645" s="66"/>
      <c r="B2645" s="66"/>
      <c r="C2645" s="66"/>
      <c r="D2645" s="144"/>
      <c r="E2645" s="67"/>
      <c r="F2645" s="67"/>
      <c r="G2645" s="67"/>
      <c r="H2645" s="67">
        <f>ROUND(+E2645+G2645,4)</f>
        <v>0</v>
      </c>
      <c r="I2645" s="67"/>
      <c r="J2645" s="67">
        <f>ROUND(+I2645-H2645,4)</f>
        <v>0</v>
      </c>
      <c r="K2645" s="67">
        <f>ROUND(IF(F2645="alluminio",0,I2645*1.5%),4)</f>
        <v>0</v>
      </c>
      <c r="L2645" s="67">
        <f>ROUND(IF(K2645&lt;J2645,K2645,0),4)</f>
        <v>0</v>
      </c>
      <c r="M2645" s="67">
        <f>ROUND(IF(J2645&gt;K2645,0,J2645),4)</f>
        <v>0</v>
      </c>
      <c r="N2645" s="67">
        <f>ROUND(+L2645*D2645,4)</f>
        <v>0</v>
      </c>
      <c r="O2645" s="67">
        <f>ROUND(IF(F2645="rame",0,+I2645*3%),4)</f>
        <v>0</v>
      </c>
      <c r="P2645" s="67">
        <f>ROUND(IF(O2645&lt;J2645,O2645,0),4)</f>
        <v>0</v>
      </c>
      <c r="Q2645" s="67">
        <f>ROUND(IF(J2645&gt;O2645,0,J2645),4)</f>
        <v>0</v>
      </c>
      <c r="R2645" s="67">
        <f>ROUND(+P2645*D2645,4)</f>
        <v>0</v>
      </c>
      <c r="S2645" s="67">
        <f>ROUND(IF(K2645=0,0,M2645*D2645),4)</f>
        <v>0</v>
      </c>
      <c r="T2645" s="67">
        <f>ROUND(+IF(K2645=0,Q2645*D2645,0),4)</f>
        <v>0</v>
      </c>
      <c r="U2645" s="67">
        <f>ROUND(+N2645+R2645+S2645+T2645,4)</f>
        <v>0</v>
      </c>
      <c r="V2645" s="67">
        <f>ROUND(IF(P2645=0,0,I2645-H2645-O2645)+IF(L2645=0,0,I2645-H2645-K2645),4)</f>
        <v>0</v>
      </c>
      <c r="W2645" s="67">
        <f>ROUND(+(V2645*60%)*D2645,4)</f>
        <v>0</v>
      </c>
      <c r="X2645" s="148">
        <f>ROUND(+U2645+W2645,4)</f>
        <v>0</v>
      </c>
      <c r="Y2645" s="68"/>
      <c r="Z2645" s="148">
        <f>ROUND(IF(X2645&gt;I2645,X2645,I2645),4)</f>
        <v>0</v>
      </c>
      <c r="AD2645" s="78">
        <f t="shared" si="60"/>
        <v>0</v>
      </c>
      <c r="AE2645" s="78">
        <f t="shared" si="61"/>
        <v>0</v>
      </c>
    </row>
    <row r="2646" spans="1:31" x14ac:dyDescent="0.2">
      <c r="A2646" s="66"/>
      <c r="B2646" s="66"/>
      <c r="C2646" s="66"/>
      <c r="D2646" s="144"/>
      <c r="E2646" s="67"/>
      <c r="F2646" s="67"/>
      <c r="G2646" s="67"/>
      <c r="H2646" s="67">
        <f>ROUND(+E2646+G2646,4)</f>
        <v>0</v>
      </c>
      <c r="I2646" s="67"/>
      <c r="J2646" s="67">
        <f>ROUND(+I2646-H2646,4)</f>
        <v>0</v>
      </c>
      <c r="K2646" s="67">
        <f>ROUND(IF(F2646="alluminio",0,I2646*1.5%),4)</f>
        <v>0</v>
      </c>
      <c r="L2646" s="67">
        <f>ROUND(IF(K2646&lt;J2646,K2646,0),4)</f>
        <v>0</v>
      </c>
      <c r="M2646" s="67">
        <f>ROUND(IF(J2646&gt;K2646,0,J2646),4)</f>
        <v>0</v>
      </c>
      <c r="N2646" s="67">
        <f>ROUND(+L2646*D2646,4)</f>
        <v>0</v>
      </c>
      <c r="O2646" s="67">
        <f>ROUND(IF(F2646="rame",0,+I2646*3%),4)</f>
        <v>0</v>
      </c>
      <c r="P2646" s="67">
        <f>ROUND(IF(O2646&lt;J2646,O2646,0),4)</f>
        <v>0</v>
      </c>
      <c r="Q2646" s="67">
        <f>ROUND(IF(J2646&gt;O2646,0,J2646),4)</f>
        <v>0</v>
      </c>
      <c r="R2646" s="67">
        <f>ROUND(+P2646*D2646,4)</f>
        <v>0</v>
      </c>
      <c r="S2646" s="67">
        <f>ROUND(IF(K2646=0,0,M2646*D2646),4)</f>
        <v>0</v>
      </c>
      <c r="T2646" s="67">
        <f>ROUND(+IF(K2646=0,Q2646*D2646,0),4)</f>
        <v>0</v>
      </c>
      <c r="U2646" s="67">
        <f>ROUND(+N2646+R2646+S2646+T2646,4)</f>
        <v>0</v>
      </c>
      <c r="V2646" s="67">
        <f>ROUND(IF(P2646=0,0,I2646-H2646-O2646)+IF(L2646=0,0,I2646-H2646-K2646),4)</f>
        <v>0</v>
      </c>
      <c r="W2646" s="67">
        <f>ROUND(+(V2646*60%)*D2646,4)</f>
        <v>0</v>
      </c>
      <c r="X2646" s="148">
        <f>ROUND(+U2646+W2646,4)</f>
        <v>0</v>
      </c>
      <c r="Y2646" s="68"/>
      <c r="Z2646" s="148">
        <f>ROUND(IF(X2646&gt;I2646,X2646,I2646),4)</f>
        <v>0</v>
      </c>
      <c r="AD2646" s="78">
        <f t="shared" si="60"/>
        <v>0</v>
      </c>
      <c r="AE2646" s="78">
        <f t="shared" si="61"/>
        <v>0</v>
      </c>
    </row>
    <row r="2647" spans="1:31" x14ac:dyDescent="0.2">
      <c r="A2647" s="66"/>
      <c r="B2647" s="66"/>
      <c r="C2647" s="66"/>
      <c r="D2647" s="144"/>
      <c r="E2647" s="67"/>
      <c r="F2647" s="67"/>
      <c r="G2647" s="67"/>
      <c r="H2647" s="67">
        <f>ROUND(+E2647+G2647,4)</f>
        <v>0</v>
      </c>
      <c r="I2647" s="67"/>
      <c r="J2647" s="67">
        <f>ROUND(+I2647-H2647,4)</f>
        <v>0</v>
      </c>
      <c r="K2647" s="67">
        <f>ROUND(IF(F2647="alluminio",0,I2647*1.5%),4)</f>
        <v>0</v>
      </c>
      <c r="L2647" s="67">
        <f>ROUND(IF(K2647&lt;J2647,K2647,0),4)</f>
        <v>0</v>
      </c>
      <c r="M2647" s="67">
        <f>ROUND(IF(J2647&gt;K2647,0,J2647),4)</f>
        <v>0</v>
      </c>
      <c r="N2647" s="67">
        <f>ROUND(+L2647*D2647,4)</f>
        <v>0</v>
      </c>
      <c r="O2647" s="67">
        <f>ROUND(IF(F2647="rame",0,+I2647*3%),4)</f>
        <v>0</v>
      </c>
      <c r="P2647" s="67">
        <f>ROUND(IF(O2647&lt;J2647,O2647,0),4)</f>
        <v>0</v>
      </c>
      <c r="Q2647" s="67">
        <f>ROUND(IF(J2647&gt;O2647,0,J2647),4)</f>
        <v>0</v>
      </c>
      <c r="R2647" s="67">
        <f>ROUND(+P2647*D2647,4)</f>
        <v>0</v>
      </c>
      <c r="S2647" s="67">
        <f>ROUND(IF(K2647=0,0,M2647*D2647),4)</f>
        <v>0</v>
      </c>
      <c r="T2647" s="67">
        <f>ROUND(+IF(K2647=0,Q2647*D2647,0),4)</f>
        <v>0</v>
      </c>
      <c r="U2647" s="67">
        <f>ROUND(+N2647+R2647+S2647+T2647,4)</f>
        <v>0</v>
      </c>
      <c r="V2647" s="67">
        <f>ROUND(IF(P2647=0,0,I2647-H2647-O2647)+IF(L2647=0,0,I2647-H2647-K2647),4)</f>
        <v>0</v>
      </c>
      <c r="W2647" s="67">
        <f>ROUND(+(V2647*60%)*D2647,4)</f>
        <v>0</v>
      </c>
      <c r="X2647" s="148">
        <f>ROUND(+U2647+W2647,4)</f>
        <v>0</v>
      </c>
      <c r="Y2647" s="68"/>
      <c r="Z2647" s="148">
        <f>ROUND(IF(X2647&gt;I2647,X2647,I2647),4)</f>
        <v>0</v>
      </c>
      <c r="AD2647" s="78">
        <f t="shared" si="60"/>
        <v>0</v>
      </c>
      <c r="AE2647" s="78">
        <f t="shared" si="61"/>
        <v>0</v>
      </c>
    </row>
    <row r="2648" spans="1:31" x14ac:dyDescent="0.2">
      <c r="A2648" s="66"/>
      <c r="B2648" s="66"/>
      <c r="C2648" s="66"/>
      <c r="D2648" s="144"/>
      <c r="E2648" s="67"/>
      <c r="F2648" s="67"/>
      <c r="G2648" s="67"/>
      <c r="H2648" s="67">
        <f>ROUND(+E2648+G2648,4)</f>
        <v>0</v>
      </c>
      <c r="I2648" s="67"/>
      <c r="J2648" s="67">
        <f>ROUND(+I2648-H2648,4)</f>
        <v>0</v>
      </c>
      <c r="K2648" s="67">
        <f>ROUND(IF(F2648="alluminio",0,I2648*1.5%),4)</f>
        <v>0</v>
      </c>
      <c r="L2648" s="67">
        <f>ROUND(IF(K2648&lt;J2648,K2648,0),4)</f>
        <v>0</v>
      </c>
      <c r="M2648" s="67">
        <f>ROUND(IF(J2648&gt;K2648,0,J2648),4)</f>
        <v>0</v>
      </c>
      <c r="N2648" s="67">
        <f>ROUND(+L2648*D2648,4)</f>
        <v>0</v>
      </c>
      <c r="O2648" s="67">
        <f>ROUND(IF(F2648="rame",0,+I2648*3%),4)</f>
        <v>0</v>
      </c>
      <c r="P2648" s="67">
        <f>ROUND(IF(O2648&lt;J2648,O2648,0),4)</f>
        <v>0</v>
      </c>
      <c r="Q2648" s="67">
        <f>ROUND(IF(J2648&gt;O2648,0,J2648),4)</f>
        <v>0</v>
      </c>
      <c r="R2648" s="67">
        <f>ROUND(+P2648*D2648,4)</f>
        <v>0</v>
      </c>
      <c r="S2648" s="67">
        <f>ROUND(IF(K2648=0,0,M2648*D2648),4)</f>
        <v>0</v>
      </c>
      <c r="T2648" s="67">
        <f>ROUND(+IF(K2648=0,Q2648*D2648,0),4)</f>
        <v>0</v>
      </c>
      <c r="U2648" s="67">
        <f>ROUND(+N2648+R2648+S2648+T2648,4)</f>
        <v>0</v>
      </c>
      <c r="V2648" s="67">
        <f>ROUND(IF(P2648=0,0,I2648-H2648-O2648)+IF(L2648=0,0,I2648-H2648-K2648),4)</f>
        <v>0</v>
      </c>
      <c r="W2648" s="67">
        <f>ROUND(+(V2648*60%)*D2648,4)</f>
        <v>0</v>
      </c>
      <c r="X2648" s="148">
        <f>ROUND(+U2648+W2648,4)</f>
        <v>0</v>
      </c>
      <c r="Y2648" s="68"/>
      <c r="Z2648" s="148">
        <f>ROUND(IF(X2648&gt;I2648,X2648,I2648),4)</f>
        <v>0</v>
      </c>
      <c r="AD2648" s="78">
        <f t="shared" si="60"/>
        <v>0</v>
      </c>
      <c r="AE2648" s="78">
        <f t="shared" si="61"/>
        <v>0</v>
      </c>
    </row>
    <row r="2649" spans="1:31" x14ac:dyDescent="0.2">
      <c r="A2649" s="66"/>
      <c r="B2649" s="66"/>
      <c r="C2649" s="66"/>
      <c r="D2649" s="144"/>
      <c r="E2649" s="67"/>
      <c r="F2649" s="67"/>
      <c r="G2649" s="67"/>
      <c r="H2649" s="67">
        <f>ROUND(+E2649+G2649,4)</f>
        <v>0</v>
      </c>
      <c r="I2649" s="67"/>
      <c r="J2649" s="67">
        <f>ROUND(+I2649-H2649,4)</f>
        <v>0</v>
      </c>
      <c r="K2649" s="67">
        <f>ROUND(IF(F2649="alluminio",0,I2649*1.5%),4)</f>
        <v>0</v>
      </c>
      <c r="L2649" s="67">
        <f>ROUND(IF(K2649&lt;J2649,K2649,0),4)</f>
        <v>0</v>
      </c>
      <c r="M2649" s="67">
        <f>ROUND(IF(J2649&gt;K2649,0,J2649),4)</f>
        <v>0</v>
      </c>
      <c r="N2649" s="67">
        <f>ROUND(+L2649*D2649,4)</f>
        <v>0</v>
      </c>
      <c r="O2649" s="67">
        <f>ROUND(IF(F2649="rame",0,+I2649*3%),4)</f>
        <v>0</v>
      </c>
      <c r="P2649" s="67">
        <f>ROUND(IF(O2649&lt;J2649,O2649,0),4)</f>
        <v>0</v>
      </c>
      <c r="Q2649" s="67">
        <f>ROUND(IF(J2649&gt;O2649,0,J2649),4)</f>
        <v>0</v>
      </c>
      <c r="R2649" s="67">
        <f>ROUND(+P2649*D2649,4)</f>
        <v>0</v>
      </c>
      <c r="S2649" s="67">
        <f>ROUND(IF(K2649=0,0,M2649*D2649),4)</f>
        <v>0</v>
      </c>
      <c r="T2649" s="67">
        <f>ROUND(+IF(K2649=0,Q2649*D2649,0),4)</f>
        <v>0</v>
      </c>
      <c r="U2649" s="67">
        <f>ROUND(+N2649+R2649+S2649+T2649,4)</f>
        <v>0</v>
      </c>
      <c r="V2649" s="67">
        <f>ROUND(IF(P2649=0,0,I2649-H2649-O2649)+IF(L2649=0,0,I2649-H2649-K2649),4)</f>
        <v>0</v>
      </c>
      <c r="W2649" s="67">
        <f>ROUND(+(V2649*60%)*D2649,4)</f>
        <v>0</v>
      </c>
      <c r="X2649" s="148">
        <f>ROUND(+U2649+W2649,4)</f>
        <v>0</v>
      </c>
      <c r="Y2649" s="68"/>
      <c r="Z2649" s="148">
        <f>ROUND(IF(X2649&gt;I2649,X2649,I2649),4)</f>
        <v>0</v>
      </c>
      <c r="AD2649" s="78">
        <f t="shared" si="60"/>
        <v>0</v>
      </c>
      <c r="AE2649" s="78">
        <f t="shared" si="61"/>
        <v>0</v>
      </c>
    </row>
    <row r="2650" spans="1:31" x14ac:dyDescent="0.2">
      <c r="A2650" s="66"/>
      <c r="B2650" s="66"/>
      <c r="C2650" s="66"/>
      <c r="D2650" s="144"/>
      <c r="E2650" s="67"/>
      <c r="F2650" s="67"/>
      <c r="G2650" s="67"/>
      <c r="H2650" s="67">
        <f>ROUND(+E2650+G2650,4)</f>
        <v>0</v>
      </c>
      <c r="I2650" s="67"/>
      <c r="J2650" s="67">
        <f>ROUND(+I2650-H2650,4)</f>
        <v>0</v>
      </c>
      <c r="K2650" s="67">
        <f>ROUND(IF(F2650="alluminio",0,I2650*1.5%),4)</f>
        <v>0</v>
      </c>
      <c r="L2650" s="67">
        <f>ROUND(IF(K2650&lt;J2650,K2650,0),4)</f>
        <v>0</v>
      </c>
      <c r="M2650" s="67">
        <f>ROUND(IF(J2650&gt;K2650,0,J2650),4)</f>
        <v>0</v>
      </c>
      <c r="N2650" s="67">
        <f>ROUND(+L2650*D2650,4)</f>
        <v>0</v>
      </c>
      <c r="O2650" s="67">
        <f>ROUND(IF(F2650="rame",0,+I2650*3%),4)</f>
        <v>0</v>
      </c>
      <c r="P2650" s="67">
        <f>ROUND(IF(O2650&lt;J2650,O2650,0),4)</f>
        <v>0</v>
      </c>
      <c r="Q2650" s="67">
        <f>ROUND(IF(J2650&gt;O2650,0,J2650),4)</f>
        <v>0</v>
      </c>
      <c r="R2650" s="67">
        <f>ROUND(+P2650*D2650,4)</f>
        <v>0</v>
      </c>
      <c r="S2650" s="67">
        <f>ROUND(IF(K2650=0,0,M2650*D2650),4)</f>
        <v>0</v>
      </c>
      <c r="T2650" s="67">
        <f>ROUND(+IF(K2650=0,Q2650*D2650,0),4)</f>
        <v>0</v>
      </c>
      <c r="U2650" s="67">
        <f>ROUND(+N2650+R2650+S2650+T2650,4)</f>
        <v>0</v>
      </c>
      <c r="V2650" s="67">
        <f>ROUND(IF(P2650=0,0,I2650-H2650-O2650)+IF(L2650=0,0,I2650-H2650-K2650),4)</f>
        <v>0</v>
      </c>
      <c r="W2650" s="67">
        <f>ROUND(+(V2650*60%)*D2650,4)</f>
        <v>0</v>
      </c>
      <c r="X2650" s="148">
        <f>ROUND(+U2650+W2650,4)</f>
        <v>0</v>
      </c>
      <c r="Y2650" s="68"/>
      <c r="Z2650" s="148">
        <f>ROUND(IF(X2650&gt;I2650,X2650,I2650),4)</f>
        <v>0</v>
      </c>
      <c r="AD2650" s="78">
        <f t="shared" si="60"/>
        <v>0</v>
      </c>
      <c r="AE2650" s="78">
        <f t="shared" si="61"/>
        <v>0</v>
      </c>
    </row>
    <row r="2651" spans="1:31" x14ac:dyDescent="0.2">
      <c r="A2651" s="66"/>
      <c r="B2651" s="66"/>
      <c r="C2651" s="66"/>
      <c r="D2651" s="144"/>
      <c r="E2651" s="67"/>
      <c r="F2651" s="67"/>
      <c r="G2651" s="67"/>
      <c r="H2651" s="67">
        <f>ROUND(+E2651+G2651,4)</f>
        <v>0</v>
      </c>
      <c r="I2651" s="67"/>
      <c r="J2651" s="67">
        <f>ROUND(+I2651-H2651,4)</f>
        <v>0</v>
      </c>
      <c r="K2651" s="67">
        <f>ROUND(IF(F2651="alluminio",0,I2651*1.5%),4)</f>
        <v>0</v>
      </c>
      <c r="L2651" s="67">
        <f>ROUND(IF(K2651&lt;J2651,K2651,0),4)</f>
        <v>0</v>
      </c>
      <c r="M2651" s="67">
        <f>ROUND(IF(J2651&gt;K2651,0,J2651),4)</f>
        <v>0</v>
      </c>
      <c r="N2651" s="67">
        <f>ROUND(+L2651*D2651,4)</f>
        <v>0</v>
      </c>
      <c r="O2651" s="67">
        <f>ROUND(IF(F2651="rame",0,+I2651*3%),4)</f>
        <v>0</v>
      </c>
      <c r="P2651" s="67">
        <f>ROUND(IF(O2651&lt;J2651,O2651,0),4)</f>
        <v>0</v>
      </c>
      <c r="Q2651" s="67">
        <f>ROUND(IF(J2651&gt;O2651,0,J2651),4)</f>
        <v>0</v>
      </c>
      <c r="R2651" s="67">
        <f>ROUND(+P2651*D2651,4)</f>
        <v>0</v>
      </c>
      <c r="S2651" s="67">
        <f>ROUND(IF(K2651=0,0,M2651*D2651),4)</f>
        <v>0</v>
      </c>
      <c r="T2651" s="67">
        <f>ROUND(+IF(K2651=0,Q2651*D2651,0),4)</f>
        <v>0</v>
      </c>
      <c r="U2651" s="67">
        <f>ROUND(+N2651+R2651+S2651+T2651,4)</f>
        <v>0</v>
      </c>
      <c r="V2651" s="67">
        <f>ROUND(IF(P2651=0,0,I2651-H2651-O2651)+IF(L2651=0,0,I2651-H2651-K2651),4)</f>
        <v>0</v>
      </c>
      <c r="W2651" s="67">
        <f>ROUND(+(V2651*60%)*D2651,4)</f>
        <v>0</v>
      </c>
      <c r="X2651" s="148">
        <f>ROUND(+U2651+W2651,4)</f>
        <v>0</v>
      </c>
      <c r="Y2651" s="68"/>
      <c r="Z2651" s="148">
        <f>ROUND(IF(X2651&gt;I2651,X2651,I2651),4)</f>
        <v>0</v>
      </c>
      <c r="AD2651" s="78">
        <f t="shared" si="60"/>
        <v>0</v>
      </c>
      <c r="AE2651" s="78">
        <f t="shared" si="61"/>
        <v>0</v>
      </c>
    </row>
    <row r="2652" spans="1:31" x14ac:dyDescent="0.2">
      <c r="A2652" s="66"/>
      <c r="B2652" s="66"/>
      <c r="C2652" s="66"/>
      <c r="D2652" s="144"/>
      <c r="E2652" s="67"/>
      <c r="F2652" s="67"/>
      <c r="G2652" s="67"/>
      <c r="H2652" s="67">
        <f>ROUND(+E2652+G2652,4)</f>
        <v>0</v>
      </c>
      <c r="I2652" s="67"/>
      <c r="J2652" s="67">
        <f>ROUND(+I2652-H2652,4)</f>
        <v>0</v>
      </c>
      <c r="K2652" s="67">
        <f>ROUND(IF(F2652="alluminio",0,I2652*1.5%),4)</f>
        <v>0</v>
      </c>
      <c r="L2652" s="67">
        <f>ROUND(IF(K2652&lt;J2652,K2652,0),4)</f>
        <v>0</v>
      </c>
      <c r="M2652" s="67">
        <f>ROUND(IF(J2652&gt;K2652,0,J2652),4)</f>
        <v>0</v>
      </c>
      <c r="N2652" s="67">
        <f>ROUND(+L2652*D2652,4)</f>
        <v>0</v>
      </c>
      <c r="O2652" s="67">
        <f>ROUND(IF(F2652="rame",0,+I2652*3%),4)</f>
        <v>0</v>
      </c>
      <c r="P2652" s="67">
        <f>ROUND(IF(O2652&lt;J2652,O2652,0),4)</f>
        <v>0</v>
      </c>
      <c r="Q2652" s="67">
        <f>ROUND(IF(J2652&gt;O2652,0,J2652),4)</f>
        <v>0</v>
      </c>
      <c r="R2652" s="67">
        <f>ROUND(+P2652*D2652,4)</f>
        <v>0</v>
      </c>
      <c r="S2652" s="67">
        <f>ROUND(IF(K2652=0,0,M2652*D2652),4)</f>
        <v>0</v>
      </c>
      <c r="T2652" s="67">
        <f>ROUND(+IF(K2652=0,Q2652*D2652,0),4)</f>
        <v>0</v>
      </c>
      <c r="U2652" s="67">
        <f>ROUND(+N2652+R2652+S2652+T2652,4)</f>
        <v>0</v>
      </c>
      <c r="V2652" s="67">
        <f>ROUND(IF(P2652=0,0,I2652-H2652-O2652)+IF(L2652=0,0,I2652-H2652-K2652),4)</f>
        <v>0</v>
      </c>
      <c r="W2652" s="67">
        <f>ROUND(+(V2652*60%)*D2652,4)</f>
        <v>0</v>
      </c>
      <c r="X2652" s="148">
        <f>ROUND(+U2652+W2652,4)</f>
        <v>0</v>
      </c>
      <c r="Y2652" s="68"/>
      <c r="Z2652" s="148">
        <f>ROUND(IF(X2652&gt;I2652,X2652,I2652),4)</f>
        <v>0</v>
      </c>
      <c r="AD2652" s="78">
        <f t="shared" si="60"/>
        <v>0</v>
      </c>
      <c r="AE2652" s="78">
        <f t="shared" si="61"/>
        <v>0</v>
      </c>
    </row>
    <row r="2653" spans="1:31" x14ac:dyDescent="0.2">
      <c r="A2653" s="66"/>
      <c r="B2653" s="66"/>
      <c r="C2653" s="66"/>
      <c r="D2653" s="144"/>
      <c r="E2653" s="67"/>
      <c r="F2653" s="67"/>
      <c r="G2653" s="67"/>
      <c r="H2653" s="67">
        <f>ROUND(+E2653+G2653,4)</f>
        <v>0</v>
      </c>
      <c r="I2653" s="67"/>
      <c r="J2653" s="67">
        <f>ROUND(+I2653-H2653,4)</f>
        <v>0</v>
      </c>
      <c r="K2653" s="67">
        <f>ROUND(IF(F2653="alluminio",0,I2653*1.5%),4)</f>
        <v>0</v>
      </c>
      <c r="L2653" s="67">
        <f>ROUND(IF(K2653&lt;J2653,K2653,0),4)</f>
        <v>0</v>
      </c>
      <c r="M2653" s="67">
        <f>ROUND(IF(J2653&gt;K2653,0,J2653),4)</f>
        <v>0</v>
      </c>
      <c r="N2653" s="67">
        <f>ROUND(+L2653*D2653,4)</f>
        <v>0</v>
      </c>
      <c r="O2653" s="67">
        <f>ROUND(IF(F2653="rame",0,+I2653*3%),4)</f>
        <v>0</v>
      </c>
      <c r="P2653" s="67">
        <f>ROUND(IF(O2653&lt;J2653,O2653,0),4)</f>
        <v>0</v>
      </c>
      <c r="Q2653" s="67">
        <f>ROUND(IF(J2653&gt;O2653,0,J2653),4)</f>
        <v>0</v>
      </c>
      <c r="R2653" s="67">
        <f>ROUND(+P2653*D2653,4)</f>
        <v>0</v>
      </c>
      <c r="S2653" s="67">
        <f>ROUND(IF(K2653=0,0,M2653*D2653),4)</f>
        <v>0</v>
      </c>
      <c r="T2653" s="67">
        <f>ROUND(+IF(K2653=0,Q2653*D2653,0),4)</f>
        <v>0</v>
      </c>
      <c r="U2653" s="67">
        <f>ROUND(+N2653+R2653+S2653+T2653,4)</f>
        <v>0</v>
      </c>
      <c r="V2653" s="67">
        <f>ROUND(IF(P2653=0,0,I2653-H2653-O2653)+IF(L2653=0,0,I2653-H2653-K2653),4)</f>
        <v>0</v>
      </c>
      <c r="W2653" s="67">
        <f>ROUND(+(V2653*60%)*D2653,4)</f>
        <v>0</v>
      </c>
      <c r="X2653" s="148">
        <f>ROUND(+U2653+W2653,4)</f>
        <v>0</v>
      </c>
      <c r="Y2653" s="68"/>
      <c r="Z2653" s="148">
        <f>ROUND(IF(X2653&gt;I2653,X2653,I2653),4)</f>
        <v>0</v>
      </c>
      <c r="AD2653" s="78">
        <f t="shared" si="60"/>
        <v>0</v>
      </c>
      <c r="AE2653" s="78">
        <f t="shared" si="61"/>
        <v>0</v>
      </c>
    </row>
    <row r="2654" spans="1:31" x14ac:dyDescent="0.2">
      <c r="A2654" s="66"/>
      <c r="B2654" s="66"/>
      <c r="C2654" s="66"/>
      <c r="D2654" s="144"/>
      <c r="E2654" s="67"/>
      <c r="F2654" s="67"/>
      <c r="G2654" s="67"/>
      <c r="H2654" s="67">
        <f>ROUND(+E2654+G2654,4)</f>
        <v>0</v>
      </c>
      <c r="I2654" s="67"/>
      <c r="J2654" s="67">
        <f>ROUND(+I2654-H2654,4)</f>
        <v>0</v>
      </c>
      <c r="K2654" s="67">
        <f>ROUND(IF(F2654="alluminio",0,I2654*1.5%),4)</f>
        <v>0</v>
      </c>
      <c r="L2654" s="67">
        <f>ROUND(IF(K2654&lt;J2654,K2654,0),4)</f>
        <v>0</v>
      </c>
      <c r="M2654" s="67">
        <f>ROUND(IF(J2654&gt;K2654,0,J2654),4)</f>
        <v>0</v>
      </c>
      <c r="N2654" s="67">
        <f>ROUND(+L2654*D2654,4)</f>
        <v>0</v>
      </c>
      <c r="O2654" s="67">
        <f>ROUND(IF(F2654="rame",0,+I2654*3%),4)</f>
        <v>0</v>
      </c>
      <c r="P2654" s="67">
        <f>ROUND(IF(O2654&lt;J2654,O2654,0),4)</f>
        <v>0</v>
      </c>
      <c r="Q2654" s="67">
        <f>ROUND(IF(J2654&gt;O2654,0,J2654),4)</f>
        <v>0</v>
      </c>
      <c r="R2654" s="67">
        <f>ROUND(+P2654*D2654,4)</f>
        <v>0</v>
      </c>
      <c r="S2654" s="67">
        <f>ROUND(IF(K2654=0,0,M2654*D2654),4)</f>
        <v>0</v>
      </c>
      <c r="T2654" s="67">
        <f>ROUND(+IF(K2654=0,Q2654*D2654,0),4)</f>
        <v>0</v>
      </c>
      <c r="U2654" s="67">
        <f>ROUND(+N2654+R2654+S2654+T2654,4)</f>
        <v>0</v>
      </c>
      <c r="V2654" s="67">
        <f>ROUND(IF(P2654=0,0,I2654-H2654-O2654)+IF(L2654=0,0,I2654-H2654-K2654),4)</f>
        <v>0</v>
      </c>
      <c r="W2654" s="67">
        <f>ROUND(+(V2654*60%)*D2654,4)</f>
        <v>0</v>
      </c>
      <c r="X2654" s="148">
        <f>ROUND(+U2654+W2654,4)</f>
        <v>0</v>
      </c>
      <c r="Y2654" s="68"/>
      <c r="Z2654" s="148">
        <f>ROUND(IF(X2654&gt;I2654,X2654,I2654),4)</f>
        <v>0</v>
      </c>
      <c r="AD2654" s="78">
        <f t="shared" si="60"/>
        <v>0</v>
      </c>
      <c r="AE2654" s="78">
        <f t="shared" si="61"/>
        <v>0</v>
      </c>
    </row>
    <row r="2655" spans="1:31" x14ac:dyDescent="0.2">
      <c r="A2655" s="66"/>
      <c r="B2655" s="66"/>
      <c r="C2655" s="66"/>
      <c r="D2655" s="144"/>
      <c r="E2655" s="67"/>
      <c r="F2655" s="67"/>
      <c r="G2655" s="67"/>
      <c r="H2655" s="67">
        <f>ROUND(+E2655+G2655,4)</f>
        <v>0</v>
      </c>
      <c r="I2655" s="67"/>
      <c r="J2655" s="67">
        <f>ROUND(+I2655-H2655,4)</f>
        <v>0</v>
      </c>
      <c r="K2655" s="67">
        <f>ROUND(IF(F2655="alluminio",0,I2655*1.5%),4)</f>
        <v>0</v>
      </c>
      <c r="L2655" s="67">
        <f>ROUND(IF(K2655&lt;J2655,K2655,0),4)</f>
        <v>0</v>
      </c>
      <c r="M2655" s="67">
        <f>ROUND(IF(J2655&gt;K2655,0,J2655),4)</f>
        <v>0</v>
      </c>
      <c r="N2655" s="67">
        <f>ROUND(+L2655*D2655,4)</f>
        <v>0</v>
      </c>
      <c r="O2655" s="67">
        <f>ROUND(IF(F2655="rame",0,+I2655*3%),4)</f>
        <v>0</v>
      </c>
      <c r="P2655" s="67">
        <f>ROUND(IF(O2655&lt;J2655,O2655,0),4)</f>
        <v>0</v>
      </c>
      <c r="Q2655" s="67">
        <f>ROUND(IF(J2655&gt;O2655,0,J2655),4)</f>
        <v>0</v>
      </c>
      <c r="R2655" s="67">
        <f>ROUND(+P2655*D2655,4)</f>
        <v>0</v>
      </c>
      <c r="S2655" s="67">
        <f>ROUND(IF(K2655=0,0,M2655*D2655),4)</f>
        <v>0</v>
      </c>
      <c r="T2655" s="67">
        <f>ROUND(+IF(K2655=0,Q2655*D2655,0),4)</f>
        <v>0</v>
      </c>
      <c r="U2655" s="67">
        <f>ROUND(+N2655+R2655+S2655+T2655,4)</f>
        <v>0</v>
      </c>
      <c r="V2655" s="67">
        <f>ROUND(IF(P2655=0,0,I2655-H2655-O2655)+IF(L2655=0,0,I2655-H2655-K2655),4)</f>
        <v>0</v>
      </c>
      <c r="W2655" s="67">
        <f>ROUND(+(V2655*60%)*D2655,4)</f>
        <v>0</v>
      </c>
      <c r="X2655" s="148">
        <f>ROUND(+U2655+W2655,4)</f>
        <v>0</v>
      </c>
      <c r="Y2655" s="68"/>
      <c r="Z2655" s="148">
        <f>ROUND(IF(X2655&gt;I2655,X2655,I2655),4)</f>
        <v>0</v>
      </c>
      <c r="AD2655" s="78">
        <f t="shared" si="60"/>
        <v>0</v>
      </c>
      <c r="AE2655" s="78">
        <f t="shared" si="61"/>
        <v>0</v>
      </c>
    </row>
    <row r="2656" spans="1:31" x14ac:dyDescent="0.2">
      <c r="A2656" s="66"/>
      <c r="B2656" s="66"/>
      <c r="C2656" s="66"/>
      <c r="D2656" s="144"/>
      <c r="E2656" s="67"/>
      <c r="F2656" s="67"/>
      <c r="G2656" s="67"/>
      <c r="H2656" s="67">
        <f>ROUND(+E2656+G2656,4)</f>
        <v>0</v>
      </c>
      <c r="I2656" s="67"/>
      <c r="J2656" s="67">
        <f>ROUND(+I2656-H2656,4)</f>
        <v>0</v>
      </c>
      <c r="K2656" s="67">
        <f>ROUND(IF(F2656="alluminio",0,I2656*1.5%),4)</f>
        <v>0</v>
      </c>
      <c r="L2656" s="67">
        <f>ROUND(IF(K2656&lt;J2656,K2656,0),4)</f>
        <v>0</v>
      </c>
      <c r="M2656" s="67">
        <f>ROUND(IF(J2656&gt;K2656,0,J2656),4)</f>
        <v>0</v>
      </c>
      <c r="N2656" s="67">
        <f>ROUND(+L2656*D2656,4)</f>
        <v>0</v>
      </c>
      <c r="O2656" s="67">
        <f>ROUND(IF(F2656="rame",0,+I2656*3%),4)</f>
        <v>0</v>
      </c>
      <c r="P2656" s="67">
        <f>ROUND(IF(O2656&lt;J2656,O2656,0),4)</f>
        <v>0</v>
      </c>
      <c r="Q2656" s="67">
        <f>ROUND(IF(J2656&gt;O2656,0,J2656),4)</f>
        <v>0</v>
      </c>
      <c r="R2656" s="67">
        <f>ROUND(+P2656*D2656,4)</f>
        <v>0</v>
      </c>
      <c r="S2656" s="67">
        <f>ROUND(IF(K2656=0,0,M2656*D2656),4)</f>
        <v>0</v>
      </c>
      <c r="T2656" s="67">
        <f>ROUND(+IF(K2656=0,Q2656*D2656,0),4)</f>
        <v>0</v>
      </c>
      <c r="U2656" s="67">
        <f>ROUND(+N2656+R2656+S2656+T2656,4)</f>
        <v>0</v>
      </c>
      <c r="V2656" s="67">
        <f>ROUND(IF(P2656=0,0,I2656-H2656-O2656)+IF(L2656=0,0,I2656-H2656-K2656),4)</f>
        <v>0</v>
      </c>
      <c r="W2656" s="67">
        <f>ROUND(+(V2656*60%)*D2656,4)</f>
        <v>0</v>
      </c>
      <c r="X2656" s="148">
        <f>ROUND(+U2656+W2656,4)</f>
        <v>0</v>
      </c>
      <c r="Y2656" s="68"/>
      <c r="Z2656" s="148">
        <f>ROUND(IF(X2656&gt;I2656,X2656,I2656),4)</f>
        <v>0</v>
      </c>
      <c r="AD2656" s="78">
        <f t="shared" si="60"/>
        <v>0</v>
      </c>
      <c r="AE2656" s="78">
        <f t="shared" si="61"/>
        <v>0</v>
      </c>
    </row>
    <row r="2657" spans="1:31" x14ac:dyDescent="0.2">
      <c r="A2657" s="66"/>
      <c r="B2657" s="66"/>
      <c r="C2657" s="66"/>
      <c r="D2657" s="144"/>
      <c r="E2657" s="67"/>
      <c r="F2657" s="67"/>
      <c r="G2657" s="67"/>
      <c r="H2657" s="67">
        <f>ROUND(+E2657+G2657,4)</f>
        <v>0</v>
      </c>
      <c r="I2657" s="67"/>
      <c r="J2657" s="67">
        <f>ROUND(+I2657-H2657,4)</f>
        <v>0</v>
      </c>
      <c r="K2657" s="67">
        <f>ROUND(IF(F2657="alluminio",0,I2657*1.5%),4)</f>
        <v>0</v>
      </c>
      <c r="L2657" s="67">
        <f>ROUND(IF(K2657&lt;J2657,K2657,0),4)</f>
        <v>0</v>
      </c>
      <c r="M2657" s="67">
        <f>ROUND(IF(J2657&gt;K2657,0,J2657),4)</f>
        <v>0</v>
      </c>
      <c r="N2657" s="67">
        <f>ROUND(+L2657*D2657,4)</f>
        <v>0</v>
      </c>
      <c r="O2657" s="67">
        <f>ROUND(IF(F2657="rame",0,+I2657*3%),4)</f>
        <v>0</v>
      </c>
      <c r="P2657" s="67">
        <f>ROUND(IF(O2657&lt;J2657,O2657,0),4)</f>
        <v>0</v>
      </c>
      <c r="Q2657" s="67">
        <f>ROUND(IF(J2657&gt;O2657,0,J2657),4)</f>
        <v>0</v>
      </c>
      <c r="R2657" s="67">
        <f>ROUND(+P2657*D2657,4)</f>
        <v>0</v>
      </c>
      <c r="S2657" s="67">
        <f>ROUND(IF(K2657=0,0,M2657*D2657),4)</f>
        <v>0</v>
      </c>
      <c r="T2657" s="67">
        <f>ROUND(+IF(K2657=0,Q2657*D2657,0),4)</f>
        <v>0</v>
      </c>
      <c r="U2657" s="67">
        <f>ROUND(+N2657+R2657+S2657+T2657,4)</f>
        <v>0</v>
      </c>
      <c r="V2657" s="67">
        <f>ROUND(IF(P2657=0,0,I2657-H2657-O2657)+IF(L2657=0,0,I2657-H2657-K2657),4)</f>
        <v>0</v>
      </c>
      <c r="W2657" s="67">
        <f>ROUND(+(V2657*60%)*D2657,4)</f>
        <v>0</v>
      </c>
      <c r="X2657" s="148">
        <f>ROUND(+U2657+W2657,4)</f>
        <v>0</v>
      </c>
      <c r="Y2657" s="68"/>
      <c r="Z2657" s="148">
        <f>ROUND(IF(X2657&gt;I2657,X2657,I2657),4)</f>
        <v>0</v>
      </c>
      <c r="AD2657" s="78">
        <f t="shared" si="60"/>
        <v>0</v>
      </c>
      <c r="AE2657" s="78">
        <f t="shared" si="61"/>
        <v>0</v>
      </c>
    </row>
    <row r="2658" spans="1:31" x14ac:dyDescent="0.2">
      <c r="A2658" s="66"/>
      <c r="B2658" s="66"/>
      <c r="C2658" s="66"/>
      <c r="D2658" s="144"/>
      <c r="E2658" s="67"/>
      <c r="F2658" s="67"/>
      <c r="G2658" s="67"/>
      <c r="H2658" s="67">
        <f>ROUND(+E2658+G2658,4)</f>
        <v>0</v>
      </c>
      <c r="I2658" s="67"/>
      <c r="J2658" s="67">
        <f>ROUND(+I2658-H2658,4)</f>
        <v>0</v>
      </c>
      <c r="K2658" s="67">
        <f>ROUND(IF(F2658="alluminio",0,I2658*1.5%),4)</f>
        <v>0</v>
      </c>
      <c r="L2658" s="67">
        <f>ROUND(IF(K2658&lt;J2658,K2658,0),4)</f>
        <v>0</v>
      </c>
      <c r="M2658" s="67">
        <f>ROUND(IF(J2658&gt;K2658,0,J2658),4)</f>
        <v>0</v>
      </c>
      <c r="N2658" s="67">
        <f>ROUND(+L2658*D2658,4)</f>
        <v>0</v>
      </c>
      <c r="O2658" s="67">
        <f>ROUND(IF(F2658="rame",0,+I2658*3%),4)</f>
        <v>0</v>
      </c>
      <c r="P2658" s="67">
        <f>ROUND(IF(O2658&lt;J2658,O2658,0),4)</f>
        <v>0</v>
      </c>
      <c r="Q2658" s="67">
        <f>ROUND(IF(J2658&gt;O2658,0,J2658),4)</f>
        <v>0</v>
      </c>
      <c r="R2658" s="67">
        <f>ROUND(+P2658*D2658,4)</f>
        <v>0</v>
      </c>
      <c r="S2658" s="67">
        <f>ROUND(IF(K2658=0,0,M2658*D2658),4)</f>
        <v>0</v>
      </c>
      <c r="T2658" s="67">
        <f>ROUND(+IF(K2658=0,Q2658*D2658,0),4)</f>
        <v>0</v>
      </c>
      <c r="U2658" s="67">
        <f>ROUND(+N2658+R2658+S2658+T2658,4)</f>
        <v>0</v>
      </c>
      <c r="V2658" s="67">
        <f>ROUND(IF(P2658=0,0,I2658-H2658-O2658)+IF(L2658=0,0,I2658-H2658-K2658),4)</f>
        <v>0</v>
      </c>
      <c r="W2658" s="67">
        <f>ROUND(+(V2658*60%)*D2658,4)</f>
        <v>0</v>
      </c>
      <c r="X2658" s="148">
        <f>ROUND(+U2658+W2658,4)</f>
        <v>0</v>
      </c>
      <c r="Y2658" s="68"/>
      <c r="Z2658" s="148">
        <f>ROUND(IF(X2658&gt;I2658,X2658,I2658),4)</f>
        <v>0</v>
      </c>
      <c r="AD2658" s="78">
        <f t="shared" si="60"/>
        <v>0</v>
      </c>
      <c r="AE2658" s="78">
        <f t="shared" si="61"/>
        <v>0</v>
      </c>
    </row>
    <row r="2659" spans="1:31" x14ac:dyDescent="0.2">
      <c r="A2659" s="66"/>
      <c r="B2659" s="66"/>
      <c r="C2659" s="66"/>
      <c r="D2659" s="144"/>
      <c r="E2659" s="67"/>
      <c r="F2659" s="67"/>
      <c r="G2659" s="67"/>
      <c r="H2659" s="67">
        <f>ROUND(+E2659+G2659,4)</f>
        <v>0</v>
      </c>
      <c r="I2659" s="67"/>
      <c r="J2659" s="67">
        <f>ROUND(+I2659-H2659,4)</f>
        <v>0</v>
      </c>
      <c r="K2659" s="67">
        <f>ROUND(IF(F2659="alluminio",0,I2659*1.5%),4)</f>
        <v>0</v>
      </c>
      <c r="L2659" s="67">
        <f>ROUND(IF(K2659&lt;J2659,K2659,0),4)</f>
        <v>0</v>
      </c>
      <c r="M2659" s="67">
        <f>ROUND(IF(J2659&gt;K2659,0,J2659),4)</f>
        <v>0</v>
      </c>
      <c r="N2659" s="67">
        <f>ROUND(+L2659*D2659,4)</f>
        <v>0</v>
      </c>
      <c r="O2659" s="67">
        <f>ROUND(IF(F2659="rame",0,+I2659*3%),4)</f>
        <v>0</v>
      </c>
      <c r="P2659" s="67">
        <f>ROUND(IF(O2659&lt;J2659,O2659,0),4)</f>
        <v>0</v>
      </c>
      <c r="Q2659" s="67">
        <f>ROUND(IF(J2659&gt;O2659,0,J2659),4)</f>
        <v>0</v>
      </c>
      <c r="R2659" s="67">
        <f>ROUND(+P2659*D2659,4)</f>
        <v>0</v>
      </c>
      <c r="S2659" s="67">
        <f>ROUND(IF(K2659=0,0,M2659*D2659),4)</f>
        <v>0</v>
      </c>
      <c r="T2659" s="67">
        <f>ROUND(+IF(K2659=0,Q2659*D2659,0),4)</f>
        <v>0</v>
      </c>
      <c r="U2659" s="67">
        <f>ROUND(+N2659+R2659+S2659+T2659,4)</f>
        <v>0</v>
      </c>
      <c r="V2659" s="67">
        <f>ROUND(IF(P2659=0,0,I2659-H2659-O2659)+IF(L2659=0,0,I2659-H2659-K2659),4)</f>
        <v>0</v>
      </c>
      <c r="W2659" s="67">
        <f>ROUND(+(V2659*60%)*D2659,4)</f>
        <v>0</v>
      </c>
      <c r="X2659" s="148">
        <f>ROUND(+U2659+W2659,4)</f>
        <v>0</v>
      </c>
      <c r="Y2659" s="68"/>
      <c r="Z2659" s="148">
        <f>ROUND(IF(X2659&gt;I2659,X2659,I2659),4)</f>
        <v>0</v>
      </c>
      <c r="AD2659" s="78">
        <f t="shared" si="60"/>
        <v>0</v>
      </c>
      <c r="AE2659" s="78">
        <f t="shared" si="61"/>
        <v>0</v>
      </c>
    </row>
    <row r="2660" spans="1:31" x14ac:dyDescent="0.2">
      <c r="A2660" s="66"/>
      <c r="B2660" s="66"/>
      <c r="C2660" s="66"/>
      <c r="D2660" s="144"/>
      <c r="E2660" s="67"/>
      <c r="F2660" s="67"/>
      <c r="G2660" s="67"/>
      <c r="H2660" s="67">
        <f>ROUND(+E2660+G2660,4)</f>
        <v>0</v>
      </c>
      <c r="I2660" s="67"/>
      <c r="J2660" s="67">
        <f>ROUND(+I2660-H2660,4)</f>
        <v>0</v>
      </c>
      <c r="K2660" s="67">
        <f>ROUND(IF(F2660="alluminio",0,I2660*1.5%),4)</f>
        <v>0</v>
      </c>
      <c r="L2660" s="67">
        <f>ROUND(IF(K2660&lt;J2660,K2660,0),4)</f>
        <v>0</v>
      </c>
      <c r="M2660" s="67">
        <f>ROUND(IF(J2660&gt;K2660,0,J2660),4)</f>
        <v>0</v>
      </c>
      <c r="N2660" s="67">
        <f>ROUND(+L2660*D2660,4)</f>
        <v>0</v>
      </c>
      <c r="O2660" s="67">
        <f>ROUND(IF(F2660="rame",0,+I2660*3%),4)</f>
        <v>0</v>
      </c>
      <c r="P2660" s="67">
        <f>ROUND(IF(O2660&lt;J2660,O2660,0),4)</f>
        <v>0</v>
      </c>
      <c r="Q2660" s="67">
        <f>ROUND(IF(J2660&gt;O2660,0,J2660),4)</f>
        <v>0</v>
      </c>
      <c r="R2660" s="67">
        <f>ROUND(+P2660*D2660,4)</f>
        <v>0</v>
      </c>
      <c r="S2660" s="67">
        <f>ROUND(IF(K2660=0,0,M2660*D2660),4)</f>
        <v>0</v>
      </c>
      <c r="T2660" s="67">
        <f>ROUND(+IF(K2660=0,Q2660*D2660,0),4)</f>
        <v>0</v>
      </c>
      <c r="U2660" s="67">
        <f>ROUND(+N2660+R2660+S2660+T2660,4)</f>
        <v>0</v>
      </c>
      <c r="V2660" s="67">
        <f>ROUND(IF(P2660=0,0,I2660-H2660-O2660)+IF(L2660=0,0,I2660-H2660-K2660),4)</f>
        <v>0</v>
      </c>
      <c r="W2660" s="67">
        <f>ROUND(+(V2660*60%)*D2660,4)</f>
        <v>0</v>
      </c>
      <c r="X2660" s="148">
        <f>ROUND(+U2660+W2660,4)</f>
        <v>0</v>
      </c>
      <c r="Y2660" s="68"/>
      <c r="Z2660" s="148">
        <f>ROUND(IF(X2660&gt;I2660,X2660,I2660),4)</f>
        <v>0</v>
      </c>
      <c r="AD2660" s="78">
        <f t="shared" si="60"/>
        <v>0</v>
      </c>
      <c r="AE2660" s="78">
        <f t="shared" si="61"/>
        <v>0</v>
      </c>
    </row>
    <row r="2661" spans="1:31" x14ac:dyDescent="0.2">
      <c r="A2661" s="66"/>
      <c r="B2661" s="66"/>
      <c r="C2661" s="66"/>
      <c r="D2661" s="144"/>
      <c r="E2661" s="67"/>
      <c r="F2661" s="67"/>
      <c r="G2661" s="67"/>
      <c r="H2661" s="67">
        <f>ROUND(+E2661+G2661,4)</f>
        <v>0</v>
      </c>
      <c r="I2661" s="67"/>
      <c r="J2661" s="67">
        <f>ROUND(+I2661-H2661,4)</f>
        <v>0</v>
      </c>
      <c r="K2661" s="67">
        <f>ROUND(IF(F2661="alluminio",0,I2661*1.5%),4)</f>
        <v>0</v>
      </c>
      <c r="L2661" s="67">
        <f>ROUND(IF(K2661&lt;J2661,K2661,0),4)</f>
        <v>0</v>
      </c>
      <c r="M2661" s="67">
        <f>ROUND(IF(J2661&gt;K2661,0,J2661),4)</f>
        <v>0</v>
      </c>
      <c r="N2661" s="67">
        <f>ROUND(+L2661*D2661,4)</f>
        <v>0</v>
      </c>
      <c r="O2661" s="67">
        <f>ROUND(IF(F2661="rame",0,+I2661*3%),4)</f>
        <v>0</v>
      </c>
      <c r="P2661" s="67">
        <f>ROUND(IF(O2661&lt;J2661,O2661,0),4)</f>
        <v>0</v>
      </c>
      <c r="Q2661" s="67">
        <f>ROUND(IF(J2661&gt;O2661,0,J2661),4)</f>
        <v>0</v>
      </c>
      <c r="R2661" s="67">
        <f>ROUND(+P2661*D2661,4)</f>
        <v>0</v>
      </c>
      <c r="S2661" s="67">
        <f>ROUND(IF(K2661=0,0,M2661*D2661),4)</f>
        <v>0</v>
      </c>
      <c r="T2661" s="67">
        <f>ROUND(+IF(K2661=0,Q2661*D2661,0),4)</f>
        <v>0</v>
      </c>
      <c r="U2661" s="67">
        <f>ROUND(+N2661+R2661+S2661+T2661,4)</f>
        <v>0</v>
      </c>
      <c r="V2661" s="67">
        <f>ROUND(IF(P2661=0,0,I2661-H2661-O2661)+IF(L2661=0,0,I2661-H2661-K2661),4)</f>
        <v>0</v>
      </c>
      <c r="W2661" s="67">
        <f>ROUND(+(V2661*60%)*D2661,4)</f>
        <v>0</v>
      </c>
      <c r="X2661" s="148">
        <f>ROUND(+U2661+W2661,4)</f>
        <v>0</v>
      </c>
      <c r="Y2661" s="68"/>
      <c r="Z2661" s="148">
        <f>ROUND(IF(X2661&gt;I2661,X2661,I2661),4)</f>
        <v>0</v>
      </c>
      <c r="AD2661" s="78">
        <f t="shared" si="60"/>
        <v>0</v>
      </c>
      <c r="AE2661" s="78">
        <f t="shared" si="61"/>
        <v>0</v>
      </c>
    </row>
    <row r="2662" spans="1:31" x14ac:dyDescent="0.2">
      <c r="A2662" s="66"/>
      <c r="B2662" s="66"/>
      <c r="C2662" s="66"/>
      <c r="D2662" s="144"/>
      <c r="E2662" s="67"/>
      <c r="F2662" s="67"/>
      <c r="G2662" s="67"/>
      <c r="H2662" s="67">
        <f>ROUND(+E2662+G2662,4)</f>
        <v>0</v>
      </c>
      <c r="I2662" s="67"/>
      <c r="J2662" s="67">
        <f>ROUND(+I2662-H2662,4)</f>
        <v>0</v>
      </c>
      <c r="K2662" s="67">
        <f>ROUND(IF(F2662="alluminio",0,I2662*1.5%),4)</f>
        <v>0</v>
      </c>
      <c r="L2662" s="67">
        <f>ROUND(IF(K2662&lt;J2662,K2662,0),4)</f>
        <v>0</v>
      </c>
      <c r="M2662" s="67">
        <f>ROUND(IF(J2662&gt;K2662,0,J2662),4)</f>
        <v>0</v>
      </c>
      <c r="N2662" s="67">
        <f>ROUND(+L2662*D2662,4)</f>
        <v>0</v>
      </c>
      <c r="O2662" s="67">
        <f>ROUND(IF(F2662="rame",0,+I2662*3%),4)</f>
        <v>0</v>
      </c>
      <c r="P2662" s="67">
        <f>ROUND(IF(O2662&lt;J2662,O2662,0),4)</f>
        <v>0</v>
      </c>
      <c r="Q2662" s="67">
        <f>ROUND(IF(J2662&gt;O2662,0,J2662),4)</f>
        <v>0</v>
      </c>
      <c r="R2662" s="67">
        <f>ROUND(+P2662*D2662,4)</f>
        <v>0</v>
      </c>
      <c r="S2662" s="67">
        <f>ROUND(IF(K2662=0,0,M2662*D2662),4)</f>
        <v>0</v>
      </c>
      <c r="T2662" s="67">
        <f>ROUND(+IF(K2662=0,Q2662*D2662,0),4)</f>
        <v>0</v>
      </c>
      <c r="U2662" s="67">
        <f>ROUND(+N2662+R2662+S2662+T2662,4)</f>
        <v>0</v>
      </c>
      <c r="V2662" s="67">
        <f>ROUND(IF(P2662=0,0,I2662-H2662-O2662)+IF(L2662=0,0,I2662-H2662-K2662),4)</f>
        <v>0</v>
      </c>
      <c r="W2662" s="67">
        <f>ROUND(+(V2662*60%)*D2662,4)</f>
        <v>0</v>
      </c>
      <c r="X2662" s="148">
        <f>ROUND(+U2662+W2662,4)</f>
        <v>0</v>
      </c>
      <c r="Y2662" s="68"/>
      <c r="Z2662" s="148">
        <f>ROUND(IF(X2662&gt;I2662,X2662,I2662),4)</f>
        <v>0</v>
      </c>
      <c r="AD2662" s="78">
        <f t="shared" si="60"/>
        <v>0</v>
      </c>
      <c r="AE2662" s="78">
        <f t="shared" si="61"/>
        <v>0</v>
      </c>
    </row>
    <row r="2663" spans="1:31" x14ac:dyDescent="0.2">
      <c r="A2663" s="66"/>
      <c r="B2663" s="66"/>
      <c r="C2663" s="66"/>
      <c r="D2663" s="144"/>
      <c r="E2663" s="67"/>
      <c r="F2663" s="67"/>
      <c r="G2663" s="67"/>
      <c r="H2663" s="67">
        <f>ROUND(+E2663+G2663,4)</f>
        <v>0</v>
      </c>
      <c r="I2663" s="67"/>
      <c r="J2663" s="67">
        <f>ROUND(+I2663-H2663,4)</f>
        <v>0</v>
      </c>
      <c r="K2663" s="67">
        <f>ROUND(IF(F2663="alluminio",0,I2663*1.5%),4)</f>
        <v>0</v>
      </c>
      <c r="L2663" s="67">
        <f>ROUND(IF(K2663&lt;J2663,K2663,0),4)</f>
        <v>0</v>
      </c>
      <c r="M2663" s="67">
        <f>ROUND(IF(J2663&gt;K2663,0,J2663),4)</f>
        <v>0</v>
      </c>
      <c r="N2663" s="67">
        <f>ROUND(+L2663*D2663,4)</f>
        <v>0</v>
      </c>
      <c r="O2663" s="67">
        <f>ROUND(IF(F2663="rame",0,+I2663*3%),4)</f>
        <v>0</v>
      </c>
      <c r="P2663" s="67">
        <f>ROUND(IF(O2663&lt;J2663,O2663,0),4)</f>
        <v>0</v>
      </c>
      <c r="Q2663" s="67">
        <f>ROUND(IF(J2663&gt;O2663,0,J2663),4)</f>
        <v>0</v>
      </c>
      <c r="R2663" s="67">
        <f>ROUND(+P2663*D2663,4)</f>
        <v>0</v>
      </c>
      <c r="S2663" s="67">
        <f>ROUND(IF(K2663=0,0,M2663*D2663),4)</f>
        <v>0</v>
      </c>
      <c r="T2663" s="67">
        <f>ROUND(+IF(K2663=0,Q2663*D2663,0),4)</f>
        <v>0</v>
      </c>
      <c r="U2663" s="67">
        <f>ROUND(+N2663+R2663+S2663+T2663,4)</f>
        <v>0</v>
      </c>
      <c r="V2663" s="67">
        <f>ROUND(IF(P2663=0,0,I2663-H2663-O2663)+IF(L2663=0,0,I2663-H2663-K2663),4)</f>
        <v>0</v>
      </c>
      <c r="W2663" s="67">
        <f>ROUND(+(V2663*60%)*D2663,4)</f>
        <v>0</v>
      </c>
      <c r="X2663" s="148">
        <f>ROUND(+U2663+W2663,4)</f>
        <v>0</v>
      </c>
      <c r="Y2663" s="68"/>
      <c r="Z2663" s="148">
        <f>ROUND(IF(X2663&gt;I2663,X2663,I2663),4)</f>
        <v>0</v>
      </c>
      <c r="AD2663" s="78">
        <f t="shared" si="60"/>
        <v>0</v>
      </c>
      <c r="AE2663" s="78">
        <f t="shared" si="61"/>
        <v>0</v>
      </c>
    </row>
    <row r="2664" spans="1:31" x14ac:dyDescent="0.2">
      <c r="A2664" s="66"/>
      <c r="B2664" s="66"/>
      <c r="C2664" s="66"/>
      <c r="D2664" s="144"/>
      <c r="E2664" s="67"/>
      <c r="F2664" s="67"/>
      <c r="G2664" s="67"/>
      <c r="H2664" s="67">
        <f>ROUND(+E2664+G2664,4)</f>
        <v>0</v>
      </c>
      <c r="I2664" s="67"/>
      <c r="J2664" s="67">
        <f>ROUND(+I2664-H2664,4)</f>
        <v>0</v>
      </c>
      <c r="K2664" s="67">
        <f>ROUND(IF(F2664="alluminio",0,I2664*1.5%),4)</f>
        <v>0</v>
      </c>
      <c r="L2664" s="67">
        <f>ROUND(IF(K2664&lt;J2664,K2664,0),4)</f>
        <v>0</v>
      </c>
      <c r="M2664" s="67">
        <f>ROUND(IF(J2664&gt;K2664,0,J2664),4)</f>
        <v>0</v>
      </c>
      <c r="N2664" s="67">
        <f>ROUND(+L2664*D2664,4)</f>
        <v>0</v>
      </c>
      <c r="O2664" s="67">
        <f>ROUND(IF(F2664="rame",0,+I2664*3%),4)</f>
        <v>0</v>
      </c>
      <c r="P2664" s="67">
        <f>ROUND(IF(O2664&lt;J2664,O2664,0),4)</f>
        <v>0</v>
      </c>
      <c r="Q2664" s="67">
        <f>ROUND(IF(J2664&gt;O2664,0,J2664),4)</f>
        <v>0</v>
      </c>
      <c r="R2664" s="67">
        <f>ROUND(+P2664*D2664,4)</f>
        <v>0</v>
      </c>
      <c r="S2664" s="67">
        <f>ROUND(IF(K2664=0,0,M2664*D2664),4)</f>
        <v>0</v>
      </c>
      <c r="T2664" s="67">
        <f>ROUND(+IF(K2664=0,Q2664*D2664,0),4)</f>
        <v>0</v>
      </c>
      <c r="U2664" s="67">
        <f>ROUND(+N2664+R2664+S2664+T2664,4)</f>
        <v>0</v>
      </c>
      <c r="V2664" s="67">
        <f>ROUND(IF(P2664=0,0,I2664-H2664-O2664)+IF(L2664=0,0,I2664-H2664-K2664),4)</f>
        <v>0</v>
      </c>
      <c r="W2664" s="67">
        <f>ROUND(+(V2664*60%)*D2664,4)</f>
        <v>0</v>
      </c>
      <c r="X2664" s="148">
        <f>ROUND(+U2664+W2664,4)</f>
        <v>0</v>
      </c>
      <c r="Y2664" s="68"/>
      <c r="Z2664" s="148">
        <f>ROUND(IF(X2664&gt;I2664,X2664,I2664),4)</f>
        <v>0</v>
      </c>
      <c r="AD2664" s="78">
        <f t="shared" si="60"/>
        <v>0</v>
      </c>
      <c r="AE2664" s="78">
        <f t="shared" si="61"/>
        <v>0</v>
      </c>
    </row>
    <row r="2665" spans="1:31" x14ac:dyDescent="0.2">
      <c r="A2665" s="66"/>
      <c r="B2665" s="66"/>
      <c r="C2665" s="66"/>
      <c r="D2665" s="144"/>
      <c r="E2665" s="67"/>
      <c r="F2665" s="67"/>
      <c r="G2665" s="67"/>
      <c r="H2665" s="67">
        <f>ROUND(+E2665+G2665,4)</f>
        <v>0</v>
      </c>
      <c r="I2665" s="67"/>
      <c r="J2665" s="67">
        <f>ROUND(+I2665-H2665,4)</f>
        <v>0</v>
      </c>
      <c r="K2665" s="67">
        <f>ROUND(IF(F2665="alluminio",0,I2665*1.5%),4)</f>
        <v>0</v>
      </c>
      <c r="L2665" s="67">
        <f>ROUND(IF(K2665&lt;J2665,K2665,0),4)</f>
        <v>0</v>
      </c>
      <c r="M2665" s="67">
        <f>ROUND(IF(J2665&gt;K2665,0,J2665),4)</f>
        <v>0</v>
      </c>
      <c r="N2665" s="67">
        <f>ROUND(+L2665*D2665,4)</f>
        <v>0</v>
      </c>
      <c r="O2665" s="67">
        <f>ROUND(IF(F2665="rame",0,+I2665*3%),4)</f>
        <v>0</v>
      </c>
      <c r="P2665" s="67">
        <f>ROUND(IF(O2665&lt;J2665,O2665,0),4)</f>
        <v>0</v>
      </c>
      <c r="Q2665" s="67">
        <f>ROUND(IF(J2665&gt;O2665,0,J2665),4)</f>
        <v>0</v>
      </c>
      <c r="R2665" s="67">
        <f>ROUND(+P2665*D2665,4)</f>
        <v>0</v>
      </c>
      <c r="S2665" s="67">
        <f>ROUND(IF(K2665=0,0,M2665*D2665),4)</f>
        <v>0</v>
      </c>
      <c r="T2665" s="67">
        <f>ROUND(+IF(K2665=0,Q2665*D2665,0),4)</f>
        <v>0</v>
      </c>
      <c r="U2665" s="67">
        <f>ROUND(+N2665+R2665+S2665+T2665,4)</f>
        <v>0</v>
      </c>
      <c r="V2665" s="67">
        <f>ROUND(IF(P2665=0,0,I2665-H2665-O2665)+IF(L2665=0,0,I2665-H2665-K2665),4)</f>
        <v>0</v>
      </c>
      <c r="W2665" s="67">
        <f>ROUND(+(V2665*60%)*D2665,4)</f>
        <v>0</v>
      </c>
      <c r="X2665" s="148">
        <f>ROUND(+U2665+W2665,4)</f>
        <v>0</v>
      </c>
      <c r="Y2665" s="68"/>
      <c r="Z2665" s="148">
        <f>ROUND(IF(X2665&gt;I2665,X2665,I2665),4)</f>
        <v>0</v>
      </c>
      <c r="AD2665" s="78">
        <f t="shared" si="60"/>
        <v>0</v>
      </c>
      <c r="AE2665" s="78">
        <f t="shared" si="61"/>
        <v>0</v>
      </c>
    </row>
    <row r="2666" spans="1:31" x14ac:dyDescent="0.2">
      <c r="A2666" s="66"/>
      <c r="B2666" s="66"/>
      <c r="C2666" s="66"/>
      <c r="D2666" s="144"/>
      <c r="E2666" s="67"/>
      <c r="F2666" s="67"/>
      <c r="G2666" s="67"/>
      <c r="H2666" s="67">
        <f>ROUND(+E2666+G2666,4)</f>
        <v>0</v>
      </c>
      <c r="I2666" s="67"/>
      <c r="J2666" s="67">
        <f>ROUND(+I2666-H2666,4)</f>
        <v>0</v>
      </c>
      <c r="K2666" s="67">
        <f>ROUND(IF(F2666="alluminio",0,I2666*1.5%),4)</f>
        <v>0</v>
      </c>
      <c r="L2666" s="67">
        <f>ROUND(IF(K2666&lt;J2666,K2666,0),4)</f>
        <v>0</v>
      </c>
      <c r="M2666" s="67">
        <f>ROUND(IF(J2666&gt;K2666,0,J2666),4)</f>
        <v>0</v>
      </c>
      <c r="N2666" s="67">
        <f>ROUND(+L2666*D2666,4)</f>
        <v>0</v>
      </c>
      <c r="O2666" s="67">
        <f>ROUND(IF(F2666="rame",0,+I2666*3%),4)</f>
        <v>0</v>
      </c>
      <c r="P2666" s="67">
        <f>ROUND(IF(O2666&lt;J2666,O2666,0),4)</f>
        <v>0</v>
      </c>
      <c r="Q2666" s="67">
        <f>ROUND(IF(J2666&gt;O2666,0,J2666),4)</f>
        <v>0</v>
      </c>
      <c r="R2666" s="67">
        <f>ROUND(+P2666*D2666,4)</f>
        <v>0</v>
      </c>
      <c r="S2666" s="67">
        <f>ROUND(IF(K2666=0,0,M2666*D2666),4)</f>
        <v>0</v>
      </c>
      <c r="T2666" s="67">
        <f>ROUND(+IF(K2666=0,Q2666*D2666,0),4)</f>
        <v>0</v>
      </c>
      <c r="U2666" s="67">
        <f>ROUND(+N2666+R2666+S2666+T2666,4)</f>
        <v>0</v>
      </c>
      <c r="V2666" s="67">
        <f>ROUND(IF(P2666=0,0,I2666-H2666-O2666)+IF(L2666=0,0,I2666-H2666-K2666),4)</f>
        <v>0</v>
      </c>
      <c r="W2666" s="67">
        <f>ROUND(+(V2666*60%)*D2666,4)</f>
        <v>0</v>
      </c>
      <c r="X2666" s="148">
        <f>ROUND(+U2666+W2666,4)</f>
        <v>0</v>
      </c>
      <c r="Y2666" s="68"/>
      <c r="Z2666" s="148">
        <f>ROUND(IF(X2666&gt;I2666,X2666,I2666),4)</f>
        <v>0</v>
      </c>
      <c r="AD2666" s="78">
        <f t="shared" si="60"/>
        <v>0</v>
      </c>
      <c r="AE2666" s="78">
        <f t="shared" si="61"/>
        <v>0</v>
      </c>
    </row>
    <row r="2667" spans="1:31" x14ac:dyDescent="0.2">
      <c r="A2667" s="66"/>
      <c r="B2667" s="66"/>
      <c r="C2667" s="66"/>
      <c r="D2667" s="144"/>
      <c r="E2667" s="67"/>
      <c r="F2667" s="67"/>
      <c r="G2667" s="67"/>
      <c r="H2667" s="67">
        <f>ROUND(+E2667+G2667,4)</f>
        <v>0</v>
      </c>
      <c r="I2667" s="67"/>
      <c r="J2667" s="67">
        <f>ROUND(+I2667-H2667,4)</f>
        <v>0</v>
      </c>
      <c r="K2667" s="67">
        <f>ROUND(IF(F2667="alluminio",0,I2667*1.5%),4)</f>
        <v>0</v>
      </c>
      <c r="L2667" s="67">
        <f>ROUND(IF(K2667&lt;J2667,K2667,0),4)</f>
        <v>0</v>
      </c>
      <c r="M2667" s="67">
        <f>ROUND(IF(J2667&gt;K2667,0,J2667),4)</f>
        <v>0</v>
      </c>
      <c r="N2667" s="67">
        <f>ROUND(+L2667*D2667,4)</f>
        <v>0</v>
      </c>
      <c r="O2667" s="67">
        <f>ROUND(IF(F2667="rame",0,+I2667*3%),4)</f>
        <v>0</v>
      </c>
      <c r="P2667" s="67">
        <f>ROUND(IF(O2667&lt;J2667,O2667,0),4)</f>
        <v>0</v>
      </c>
      <c r="Q2667" s="67">
        <f>ROUND(IF(J2667&gt;O2667,0,J2667),4)</f>
        <v>0</v>
      </c>
      <c r="R2667" s="67">
        <f>ROUND(+P2667*D2667,4)</f>
        <v>0</v>
      </c>
      <c r="S2667" s="67">
        <f>ROUND(IF(K2667=0,0,M2667*D2667),4)</f>
        <v>0</v>
      </c>
      <c r="T2667" s="67">
        <f>ROUND(+IF(K2667=0,Q2667*D2667,0),4)</f>
        <v>0</v>
      </c>
      <c r="U2667" s="67">
        <f>ROUND(+N2667+R2667+S2667+T2667,4)</f>
        <v>0</v>
      </c>
      <c r="V2667" s="67">
        <f>ROUND(IF(P2667=0,0,I2667-H2667-O2667)+IF(L2667=0,0,I2667-H2667-K2667),4)</f>
        <v>0</v>
      </c>
      <c r="W2667" s="67">
        <f>ROUND(+(V2667*60%)*D2667,4)</f>
        <v>0</v>
      </c>
      <c r="X2667" s="148">
        <f>ROUND(+U2667+W2667,4)</f>
        <v>0</v>
      </c>
      <c r="Y2667" s="68"/>
      <c r="Z2667" s="148">
        <f>ROUND(IF(X2667&gt;I2667,X2667,I2667),4)</f>
        <v>0</v>
      </c>
      <c r="AD2667" s="78">
        <f t="shared" si="60"/>
        <v>0</v>
      </c>
      <c r="AE2667" s="78">
        <f t="shared" si="61"/>
        <v>0</v>
      </c>
    </row>
    <row r="2668" spans="1:31" x14ac:dyDescent="0.2">
      <c r="A2668" s="66"/>
      <c r="B2668" s="66"/>
      <c r="C2668" s="66"/>
      <c r="D2668" s="144"/>
      <c r="E2668" s="67"/>
      <c r="F2668" s="67"/>
      <c r="G2668" s="67"/>
      <c r="H2668" s="67">
        <f>ROUND(+E2668+G2668,4)</f>
        <v>0</v>
      </c>
      <c r="I2668" s="67"/>
      <c r="J2668" s="67">
        <f>ROUND(+I2668-H2668,4)</f>
        <v>0</v>
      </c>
      <c r="K2668" s="67">
        <f>ROUND(IF(F2668="alluminio",0,I2668*1.5%),4)</f>
        <v>0</v>
      </c>
      <c r="L2668" s="67">
        <f>ROUND(IF(K2668&lt;J2668,K2668,0),4)</f>
        <v>0</v>
      </c>
      <c r="M2668" s="67">
        <f>ROUND(IF(J2668&gt;K2668,0,J2668),4)</f>
        <v>0</v>
      </c>
      <c r="N2668" s="67">
        <f>ROUND(+L2668*D2668,4)</f>
        <v>0</v>
      </c>
      <c r="O2668" s="67">
        <f>ROUND(IF(F2668="rame",0,+I2668*3%),4)</f>
        <v>0</v>
      </c>
      <c r="P2668" s="67">
        <f>ROUND(IF(O2668&lt;J2668,O2668,0),4)</f>
        <v>0</v>
      </c>
      <c r="Q2668" s="67">
        <f>ROUND(IF(J2668&gt;O2668,0,J2668),4)</f>
        <v>0</v>
      </c>
      <c r="R2668" s="67">
        <f>ROUND(+P2668*D2668,4)</f>
        <v>0</v>
      </c>
      <c r="S2668" s="67">
        <f>ROUND(IF(K2668=0,0,M2668*D2668),4)</f>
        <v>0</v>
      </c>
      <c r="T2668" s="67">
        <f>ROUND(+IF(K2668=0,Q2668*D2668,0),4)</f>
        <v>0</v>
      </c>
      <c r="U2668" s="67">
        <f>ROUND(+N2668+R2668+S2668+T2668,4)</f>
        <v>0</v>
      </c>
      <c r="V2668" s="67">
        <f>ROUND(IF(P2668=0,0,I2668-H2668-O2668)+IF(L2668=0,0,I2668-H2668-K2668),4)</f>
        <v>0</v>
      </c>
      <c r="W2668" s="67">
        <f>ROUND(+(V2668*60%)*D2668,4)</f>
        <v>0</v>
      </c>
      <c r="X2668" s="148">
        <f>ROUND(+U2668+W2668,4)</f>
        <v>0</v>
      </c>
      <c r="Y2668" s="68"/>
      <c r="Z2668" s="148">
        <f>ROUND(IF(X2668&gt;I2668,X2668,I2668),4)</f>
        <v>0</v>
      </c>
      <c r="AD2668" s="78">
        <f t="shared" si="60"/>
        <v>0</v>
      </c>
      <c r="AE2668" s="78">
        <f t="shared" si="61"/>
        <v>0</v>
      </c>
    </row>
    <row r="2669" spans="1:31" x14ac:dyDescent="0.2">
      <c r="A2669" s="66"/>
      <c r="B2669" s="66"/>
      <c r="C2669" s="66"/>
      <c r="D2669" s="144"/>
      <c r="E2669" s="67"/>
      <c r="F2669" s="67"/>
      <c r="G2669" s="67"/>
      <c r="H2669" s="67">
        <f>ROUND(+E2669+G2669,4)</f>
        <v>0</v>
      </c>
      <c r="I2669" s="67"/>
      <c r="J2669" s="67">
        <f>ROUND(+I2669-H2669,4)</f>
        <v>0</v>
      </c>
      <c r="K2669" s="67">
        <f>ROUND(IF(F2669="alluminio",0,I2669*1.5%),4)</f>
        <v>0</v>
      </c>
      <c r="L2669" s="67">
        <f>ROUND(IF(K2669&lt;J2669,K2669,0),4)</f>
        <v>0</v>
      </c>
      <c r="M2669" s="67">
        <f>ROUND(IF(J2669&gt;K2669,0,J2669),4)</f>
        <v>0</v>
      </c>
      <c r="N2669" s="67">
        <f>ROUND(+L2669*D2669,4)</f>
        <v>0</v>
      </c>
      <c r="O2669" s="67">
        <f>ROUND(IF(F2669="rame",0,+I2669*3%),4)</f>
        <v>0</v>
      </c>
      <c r="P2669" s="67">
        <f>ROUND(IF(O2669&lt;J2669,O2669,0),4)</f>
        <v>0</v>
      </c>
      <c r="Q2669" s="67">
        <f>ROUND(IF(J2669&gt;O2669,0,J2669),4)</f>
        <v>0</v>
      </c>
      <c r="R2669" s="67">
        <f>ROUND(+P2669*D2669,4)</f>
        <v>0</v>
      </c>
      <c r="S2669" s="67">
        <f>ROUND(IF(K2669=0,0,M2669*D2669),4)</f>
        <v>0</v>
      </c>
      <c r="T2669" s="67">
        <f>ROUND(+IF(K2669=0,Q2669*D2669,0),4)</f>
        <v>0</v>
      </c>
      <c r="U2669" s="67">
        <f>ROUND(+N2669+R2669+S2669+T2669,4)</f>
        <v>0</v>
      </c>
      <c r="V2669" s="67">
        <f>ROUND(IF(P2669=0,0,I2669-H2669-O2669)+IF(L2669=0,0,I2669-H2669-K2669),4)</f>
        <v>0</v>
      </c>
      <c r="W2669" s="67">
        <f>ROUND(+(V2669*60%)*D2669,4)</f>
        <v>0</v>
      </c>
      <c r="X2669" s="148">
        <f>ROUND(+U2669+W2669,4)</f>
        <v>0</v>
      </c>
      <c r="Y2669" s="68"/>
      <c r="Z2669" s="148">
        <f>ROUND(IF(X2669&gt;I2669,X2669,I2669),4)</f>
        <v>0</v>
      </c>
      <c r="AD2669" s="78">
        <f t="shared" si="60"/>
        <v>0</v>
      </c>
      <c r="AE2669" s="78">
        <f t="shared" si="61"/>
        <v>0</v>
      </c>
    </row>
    <row r="2670" spans="1:31" x14ac:dyDescent="0.2">
      <c r="A2670" s="66"/>
      <c r="B2670" s="66"/>
      <c r="C2670" s="66"/>
      <c r="D2670" s="144"/>
      <c r="E2670" s="67"/>
      <c r="F2670" s="67"/>
      <c r="G2670" s="67"/>
      <c r="H2670" s="67">
        <f>ROUND(+E2670+G2670,4)</f>
        <v>0</v>
      </c>
      <c r="I2670" s="67"/>
      <c r="J2670" s="67">
        <f>ROUND(+I2670-H2670,4)</f>
        <v>0</v>
      </c>
      <c r="K2670" s="67">
        <f>ROUND(IF(F2670="alluminio",0,I2670*1.5%),4)</f>
        <v>0</v>
      </c>
      <c r="L2670" s="67">
        <f>ROUND(IF(K2670&lt;J2670,K2670,0),4)</f>
        <v>0</v>
      </c>
      <c r="M2670" s="67">
        <f>ROUND(IF(J2670&gt;K2670,0,J2670),4)</f>
        <v>0</v>
      </c>
      <c r="N2670" s="67">
        <f>ROUND(+L2670*D2670,4)</f>
        <v>0</v>
      </c>
      <c r="O2670" s="67">
        <f>ROUND(IF(F2670="rame",0,+I2670*3%),4)</f>
        <v>0</v>
      </c>
      <c r="P2670" s="67">
        <f>ROUND(IF(O2670&lt;J2670,O2670,0),4)</f>
        <v>0</v>
      </c>
      <c r="Q2670" s="67">
        <f>ROUND(IF(J2670&gt;O2670,0,J2670),4)</f>
        <v>0</v>
      </c>
      <c r="R2670" s="67">
        <f>ROUND(+P2670*D2670,4)</f>
        <v>0</v>
      </c>
      <c r="S2670" s="67">
        <f>ROUND(IF(K2670=0,0,M2670*D2670),4)</f>
        <v>0</v>
      </c>
      <c r="T2670" s="67">
        <f>ROUND(+IF(K2670=0,Q2670*D2670,0),4)</f>
        <v>0</v>
      </c>
      <c r="U2670" s="67">
        <f>ROUND(+N2670+R2670+S2670+T2670,4)</f>
        <v>0</v>
      </c>
      <c r="V2670" s="67">
        <f>ROUND(IF(P2670=0,0,I2670-H2670-O2670)+IF(L2670=0,0,I2670-H2670-K2670),4)</f>
        <v>0</v>
      </c>
      <c r="W2670" s="67">
        <f>ROUND(+(V2670*60%)*D2670,4)</f>
        <v>0</v>
      </c>
      <c r="X2670" s="148">
        <f>ROUND(+U2670+W2670,4)</f>
        <v>0</v>
      </c>
      <c r="Y2670" s="68"/>
      <c r="Z2670" s="148">
        <f>ROUND(IF(X2670&gt;I2670,X2670,I2670),4)</f>
        <v>0</v>
      </c>
      <c r="AD2670" s="78">
        <f t="shared" si="60"/>
        <v>0</v>
      </c>
      <c r="AE2670" s="78">
        <f t="shared" si="61"/>
        <v>0</v>
      </c>
    </row>
    <row r="2671" spans="1:31" x14ac:dyDescent="0.2">
      <c r="A2671" s="66"/>
      <c r="B2671" s="66"/>
      <c r="C2671" s="66"/>
      <c r="D2671" s="144"/>
      <c r="E2671" s="67"/>
      <c r="F2671" s="67"/>
      <c r="G2671" s="67"/>
      <c r="H2671" s="67">
        <f>ROUND(+E2671+G2671,4)</f>
        <v>0</v>
      </c>
      <c r="I2671" s="67"/>
      <c r="J2671" s="67">
        <f>ROUND(+I2671-H2671,4)</f>
        <v>0</v>
      </c>
      <c r="K2671" s="67">
        <f>ROUND(IF(F2671="alluminio",0,I2671*1.5%),4)</f>
        <v>0</v>
      </c>
      <c r="L2671" s="67">
        <f>ROUND(IF(K2671&lt;J2671,K2671,0),4)</f>
        <v>0</v>
      </c>
      <c r="M2671" s="67">
        <f>ROUND(IF(J2671&gt;K2671,0,J2671),4)</f>
        <v>0</v>
      </c>
      <c r="N2671" s="67">
        <f>ROUND(+L2671*D2671,4)</f>
        <v>0</v>
      </c>
      <c r="O2671" s="67">
        <f>ROUND(IF(F2671="rame",0,+I2671*3%),4)</f>
        <v>0</v>
      </c>
      <c r="P2671" s="67">
        <f>ROUND(IF(O2671&lt;J2671,O2671,0),4)</f>
        <v>0</v>
      </c>
      <c r="Q2671" s="67">
        <f>ROUND(IF(J2671&gt;O2671,0,J2671),4)</f>
        <v>0</v>
      </c>
      <c r="R2671" s="67">
        <f>ROUND(+P2671*D2671,4)</f>
        <v>0</v>
      </c>
      <c r="S2671" s="67">
        <f>ROUND(IF(K2671=0,0,M2671*D2671),4)</f>
        <v>0</v>
      </c>
      <c r="T2671" s="67">
        <f>ROUND(+IF(K2671=0,Q2671*D2671,0),4)</f>
        <v>0</v>
      </c>
      <c r="U2671" s="67">
        <f>ROUND(+N2671+R2671+S2671+T2671,4)</f>
        <v>0</v>
      </c>
      <c r="V2671" s="67">
        <f>ROUND(IF(P2671=0,0,I2671-H2671-O2671)+IF(L2671=0,0,I2671-H2671-K2671),4)</f>
        <v>0</v>
      </c>
      <c r="W2671" s="67">
        <f>ROUND(+(V2671*60%)*D2671,4)</f>
        <v>0</v>
      </c>
      <c r="X2671" s="148">
        <f>ROUND(+U2671+W2671,4)</f>
        <v>0</v>
      </c>
      <c r="Y2671" s="68"/>
      <c r="Z2671" s="148">
        <f>ROUND(IF(X2671&gt;I2671,X2671,I2671),4)</f>
        <v>0</v>
      </c>
      <c r="AD2671" s="78">
        <f t="shared" si="60"/>
        <v>0</v>
      </c>
      <c r="AE2671" s="78">
        <f t="shared" si="61"/>
        <v>0</v>
      </c>
    </row>
    <row r="2672" spans="1:31" x14ac:dyDescent="0.2">
      <c r="A2672" s="66"/>
      <c r="B2672" s="66"/>
      <c r="C2672" s="66"/>
      <c r="D2672" s="144"/>
      <c r="E2672" s="67"/>
      <c r="F2672" s="67"/>
      <c r="G2672" s="67"/>
      <c r="H2672" s="67">
        <f>ROUND(+E2672+G2672,4)</f>
        <v>0</v>
      </c>
      <c r="I2672" s="67"/>
      <c r="J2672" s="67">
        <f>ROUND(+I2672-H2672,4)</f>
        <v>0</v>
      </c>
      <c r="K2672" s="67">
        <f>ROUND(IF(F2672="alluminio",0,I2672*1.5%),4)</f>
        <v>0</v>
      </c>
      <c r="L2672" s="67">
        <f>ROUND(IF(K2672&lt;J2672,K2672,0),4)</f>
        <v>0</v>
      </c>
      <c r="M2672" s="67">
        <f>ROUND(IF(J2672&gt;K2672,0,J2672),4)</f>
        <v>0</v>
      </c>
      <c r="N2672" s="67">
        <f>ROUND(+L2672*D2672,4)</f>
        <v>0</v>
      </c>
      <c r="O2672" s="67">
        <f>ROUND(IF(F2672="rame",0,+I2672*3%),4)</f>
        <v>0</v>
      </c>
      <c r="P2672" s="67">
        <f>ROUND(IF(O2672&lt;J2672,O2672,0),4)</f>
        <v>0</v>
      </c>
      <c r="Q2672" s="67">
        <f>ROUND(IF(J2672&gt;O2672,0,J2672),4)</f>
        <v>0</v>
      </c>
      <c r="R2672" s="67">
        <f>ROUND(+P2672*D2672,4)</f>
        <v>0</v>
      </c>
      <c r="S2672" s="67">
        <f>ROUND(IF(K2672=0,0,M2672*D2672),4)</f>
        <v>0</v>
      </c>
      <c r="T2672" s="67">
        <f>ROUND(+IF(K2672=0,Q2672*D2672,0),4)</f>
        <v>0</v>
      </c>
      <c r="U2672" s="67">
        <f>ROUND(+N2672+R2672+S2672+T2672,4)</f>
        <v>0</v>
      </c>
      <c r="V2672" s="67">
        <f>ROUND(IF(P2672=0,0,I2672-H2672-O2672)+IF(L2672=0,0,I2672-H2672-K2672),4)</f>
        <v>0</v>
      </c>
      <c r="W2672" s="67">
        <f>ROUND(+(V2672*60%)*D2672,4)</f>
        <v>0</v>
      </c>
      <c r="X2672" s="148">
        <f>ROUND(+U2672+W2672,4)</f>
        <v>0</v>
      </c>
      <c r="Y2672" s="68"/>
      <c r="Z2672" s="148">
        <f>ROUND(IF(X2672&gt;I2672,X2672,I2672),4)</f>
        <v>0</v>
      </c>
      <c r="AD2672" s="78">
        <f t="shared" si="60"/>
        <v>0</v>
      </c>
      <c r="AE2672" s="78">
        <f t="shared" si="61"/>
        <v>0</v>
      </c>
    </row>
    <row r="2673" spans="1:31" x14ac:dyDescent="0.2">
      <c r="A2673" s="66"/>
      <c r="B2673" s="66"/>
      <c r="C2673" s="66"/>
      <c r="D2673" s="144"/>
      <c r="E2673" s="67"/>
      <c r="F2673" s="67"/>
      <c r="G2673" s="67"/>
      <c r="H2673" s="67">
        <f>ROUND(+E2673+G2673,4)</f>
        <v>0</v>
      </c>
      <c r="I2673" s="67"/>
      <c r="J2673" s="67">
        <f>ROUND(+I2673-H2673,4)</f>
        <v>0</v>
      </c>
      <c r="K2673" s="67">
        <f>ROUND(IF(F2673="alluminio",0,I2673*1.5%),4)</f>
        <v>0</v>
      </c>
      <c r="L2673" s="67">
        <f>ROUND(IF(K2673&lt;J2673,K2673,0),4)</f>
        <v>0</v>
      </c>
      <c r="M2673" s="67">
        <f>ROUND(IF(J2673&gt;K2673,0,J2673),4)</f>
        <v>0</v>
      </c>
      <c r="N2673" s="67">
        <f>ROUND(+L2673*D2673,4)</f>
        <v>0</v>
      </c>
      <c r="O2673" s="67">
        <f>ROUND(IF(F2673="rame",0,+I2673*3%),4)</f>
        <v>0</v>
      </c>
      <c r="P2673" s="67">
        <f>ROUND(IF(O2673&lt;J2673,O2673,0),4)</f>
        <v>0</v>
      </c>
      <c r="Q2673" s="67">
        <f>ROUND(IF(J2673&gt;O2673,0,J2673),4)</f>
        <v>0</v>
      </c>
      <c r="R2673" s="67">
        <f>ROUND(+P2673*D2673,4)</f>
        <v>0</v>
      </c>
      <c r="S2673" s="67">
        <f>ROUND(IF(K2673=0,0,M2673*D2673),4)</f>
        <v>0</v>
      </c>
      <c r="T2673" s="67">
        <f>ROUND(+IF(K2673=0,Q2673*D2673,0),4)</f>
        <v>0</v>
      </c>
      <c r="U2673" s="67">
        <f>ROUND(+N2673+R2673+S2673+T2673,4)</f>
        <v>0</v>
      </c>
      <c r="V2673" s="67">
        <f>ROUND(IF(P2673=0,0,I2673-H2673-O2673)+IF(L2673=0,0,I2673-H2673-K2673),4)</f>
        <v>0</v>
      </c>
      <c r="W2673" s="67">
        <f>ROUND(+(V2673*60%)*D2673,4)</f>
        <v>0</v>
      </c>
      <c r="X2673" s="148">
        <f>ROUND(+U2673+W2673,4)</f>
        <v>0</v>
      </c>
      <c r="Y2673" s="68"/>
      <c r="Z2673" s="148">
        <f>ROUND(IF(X2673&gt;I2673,X2673,I2673),4)</f>
        <v>0</v>
      </c>
      <c r="AD2673" s="78">
        <f t="shared" si="60"/>
        <v>0</v>
      </c>
      <c r="AE2673" s="78">
        <f t="shared" si="61"/>
        <v>0</v>
      </c>
    </row>
    <row r="2674" spans="1:31" x14ac:dyDescent="0.2">
      <c r="A2674" s="66"/>
      <c r="B2674" s="66"/>
      <c r="C2674" s="66"/>
      <c r="D2674" s="144"/>
      <c r="E2674" s="67"/>
      <c r="F2674" s="67"/>
      <c r="G2674" s="67"/>
      <c r="H2674" s="67">
        <f>ROUND(+E2674+G2674,4)</f>
        <v>0</v>
      </c>
      <c r="I2674" s="67"/>
      <c r="J2674" s="67">
        <f>ROUND(+I2674-H2674,4)</f>
        <v>0</v>
      </c>
      <c r="K2674" s="67">
        <f>ROUND(IF(F2674="alluminio",0,I2674*1.5%),4)</f>
        <v>0</v>
      </c>
      <c r="L2674" s="67">
        <f>ROUND(IF(K2674&lt;J2674,K2674,0),4)</f>
        <v>0</v>
      </c>
      <c r="M2674" s="67">
        <f>ROUND(IF(J2674&gt;K2674,0,J2674),4)</f>
        <v>0</v>
      </c>
      <c r="N2674" s="67">
        <f>ROUND(+L2674*D2674,4)</f>
        <v>0</v>
      </c>
      <c r="O2674" s="67">
        <f>ROUND(IF(F2674="rame",0,+I2674*3%),4)</f>
        <v>0</v>
      </c>
      <c r="P2674" s="67">
        <f>ROUND(IF(O2674&lt;J2674,O2674,0),4)</f>
        <v>0</v>
      </c>
      <c r="Q2674" s="67">
        <f>ROUND(IF(J2674&gt;O2674,0,J2674),4)</f>
        <v>0</v>
      </c>
      <c r="R2674" s="67">
        <f>ROUND(+P2674*D2674,4)</f>
        <v>0</v>
      </c>
      <c r="S2674" s="67">
        <f>ROUND(IF(K2674=0,0,M2674*D2674),4)</f>
        <v>0</v>
      </c>
      <c r="T2674" s="67">
        <f>ROUND(+IF(K2674=0,Q2674*D2674,0),4)</f>
        <v>0</v>
      </c>
      <c r="U2674" s="67">
        <f>ROUND(+N2674+R2674+S2674+T2674,4)</f>
        <v>0</v>
      </c>
      <c r="V2674" s="67">
        <f>ROUND(IF(P2674=0,0,I2674-H2674-O2674)+IF(L2674=0,0,I2674-H2674-K2674),4)</f>
        <v>0</v>
      </c>
      <c r="W2674" s="67">
        <f>ROUND(+(V2674*60%)*D2674,4)</f>
        <v>0</v>
      </c>
      <c r="X2674" s="148">
        <f>ROUND(+U2674+W2674,4)</f>
        <v>0</v>
      </c>
      <c r="Y2674" s="68"/>
      <c r="Z2674" s="148">
        <f>ROUND(IF(X2674&gt;I2674,X2674,I2674),4)</f>
        <v>0</v>
      </c>
      <c r="AD2674" s="78">
        <f t="shared" si="60"/>
        <v>0</v>
      </c>
      <c r="AE2674" s="78">
        <f t="shared" si="61"/>
        <v>0</v>
      </c>
    </row>
    <row r="2675" spans="1:31" x14ac:dyDescent="0.2">
      <c r="A2675" s="66"/>
      <c r="B2675" s="66"/>
      <c r="C2675" s="66"/>
      <c r="D2675" s="144"/>
      <c r="E2675" s="67"/>
      <c r="F2675" s="67"/>
      <c r="G2675" s="67"/>
      <c r="H2675" s="67">
        <f>ROUND(+E2675+G2675,4)</f>
        <v>0</v>
      </c>
      <c r="I2675" s="67"/>
      <c r="J2675" s="67">
        <f>ROUND(+I2675-H2675,4)</f>
        <v>0</v>
      </c>
      <c r="K2675" s="67">
        <f>ROUND(IF(F2675="alluminio",0,I2675*1.5%),4)</f>
        <v>0</v>
      </c>
      <c r="L2675" s="67">
        <f>ROUND(IF(K2675&lt;J2675,K2675,0),4)</f>
        <v>0</v>
      </c>
      <c r="M2675" s="67">
        <f>ROUND(IF(J2675&gt;K2675,0,J2675),4)</f>
        <v>0</v>
      </c>
      <c r="N2675" s="67">
        <f>ROUND(+L2675*D2675,4)</f>
        <v>0</v>
      </c>
      <c r="O2675" s="67">
        <f>ROUND(IF(F2675="rame",0,+I2675*3%),4)</f>
        <v>0</v>
      </c>
      <c r="P2675" s="67">
        <f>ROUND(IF(O2675&lt;J2675,O2675,0),4)</f>
        <v>0</v>
      </c>
      <c r="Q2675" s="67">
        <f>ROUND(IF(J2675&gt;O2675,0,J2675),4)</f>
        <v>0</v>
      </c>
      <c r="R2675" s="67">
        <f>ROUND(+P2675*D2675,4)</f>
        <v>0</v>
      </c>
      <c r="S2675" s="67">
        <f>ROUND(IF(K2675=0,0,M2675*D2675),4)</f>
        <v>0</v>
      </c>
      <c r="T2675" s="67">
        <f>ROUND(+IF(K2675=0,Q2675*D2675,0),4)</f>
        <v>0</v>
      </c>
      <c r="U2675" s="67">
        <f>ROUND(+N2675+R2675+S2675+T2675,4)</f>
        <v>0</v>
      </c>
      <c r="V2675" s="67">
        <f>ROUND(IF(P2675=0,0,I2675-H2675-O2675)+IF(L2675=0,0,I2675-H2675-K2675),4)</f>
        <v>0</v>
      </c>
      <c r="W2675" s="67">
        <f>ROUND(+(V2675*60%)*D2675,4)</f>
        <v>0</v>
      </c>
      <c r="X2675" s="148">
        <f>ROUND(+U2675+W2675,4)</f>
        <v>0</v>
      </c>
      <c r="Y2675" s="68"/>
      <c r="Z2675" s="148">
        <f>ROUND(IF(X2675&gt;I2675,X2675,I2675),4)</f>
        <v>0</v>
      </c>
      <c r="AD2675" s="78">
        <f t="shared" si="60"/>
        <v>0</v>
      </c>
      <c r="AE2675" s="78">
        <f t="shared" si="61"/>
        <v>0</v>
      </c>
    </row>
    <row r="2676" spans="1:31" x14ac:dyDescent="0.2">
      <c r="A2676" s="66"/>
      <c r="B2676" s="66"/>
      <c r="C2676" s="66"/>
      <c r="D2676" s="144"/>
      <c r="E2676" s="67"/>
      <c r="F2676" s="67"/>
      <c r="G2676" s="67"/>
      <c r="H2676" s="67">
        <f>ROUND(+E2676+G2676,4)</f>
        <v>0</v>
      </c>
      <c r="I2676" s="67"/>
      <c r="J2676" s="67">
        <f>ROUND(+I2676-H2676,4)</f>
        <v>0</v>
      </c>
      <c r="K2676" s="67">
        <f>ROUND(IF(F2676="alluminio",0,I2676*1.5%),4)</f>
        <v>0</v>
      </c>
      <c r="L2676" s="67">
        <f>ROUND(IF(K2676&lt;J2676,K2676,0),4)</f>
        <v>0</v>
      </c>
      <c r="M2676" s="67">
        <f>ROUND(IF(J2676&gt;K2676,0,J2676),4)</f>
        <v>0</v>
      </c>
      <c r="N2676" s="67">
        <f>ROUND(+L2676*D2676,4)</f>
        <v>0</v>
      </c>
      <c r="O2676" s="67">
        <f>ROUND(IF(F2676="rame",0,+I2676*3%),4)</f>
        <v>0</v>
      </c>
      <c r="P2676" s="67">
        <f>ROUND(IF(O2676&lt;J2676,O2676,0),4)</f>
        <v>0</v>
      </c>
      <c r="Q2676" s="67">
        <f>ROUND(IF(J2676&gt;O2676,0,J2676),4)</f>
        <v>0</v>
      </c>
      <c r="R2676" s="67">
        <f>ROUND(+P2676*D2676,4)</f>
        <v>0</v>
      </c>
      <c r="S2676" s="67">
        <f>ROUND(IF(K2676=0,0,M2676*D2676),4)</f>
        <v>0</v>
      </c>
      <c r="T2676" s="67">
        <f>ROUND(+IF(K2676=0,Q2676*D2676,0),4)</f>
        <v>0</v>
      </c>
      <c r="U2676" s="67">
        <f>ROUND(+N2676+R2676+S2676+T2676,4)</f>
        <v>0</v>
      </c>
      <c r="V2676" s="67">
        <f>ROUND(IF(P2676=0,0,I2676-H2676-O2676)+IF(L2676=0,0,I2676-H2676-K2676),4)</f>
        <v>0</v>
      </c>
      <c r="W2676" s="67">
        <f>ROUND(+(V2676*60%)*D2676,4)</f>
        <v>0</v>
      </c>
      <c r="X2676" s="148">
        <f>ROUND(+U2676+W2676,4)</f>
        <v>0</v>
      </c>
      <c r="Y2676" s="68"/>
      <c r="Z2676" s="148">
        <f>ROUND(IF(X2676&gt;I2676,X2676,I2676),4)</f>
        <v>0</v>
      </c>
      <c r="AD2676" s="78">
        <f t="shared" si="60"/>
        <v>0</v>
      </c>
      <c r="AE2676" s="78">
        <f t="shared" si="61"/>
        <v>0</v>
      </c>
    </row>
    <row r="2677" spans="1:31" x14ac:dyDescent="0.2">
      <c r="A2677" s="66"/>
      <c r="B2677" s="66"/>
      <c r="C2677" s="66"/>
      <c r="D2677" s="144"/>
      <c r="E2677" s="67"/>
      <c r="F2677" s="67"/>
      <c r="G2677" s="67"/>
      <c r="H2677" s="67">
        <f>ROUND(+E2677+G2677,4)</f>
        <v>0</v>
      </c>
      <c r="I2677" s="67"/>
      <c r="J2677" s="67">
        <f>ROUND(+I2677-H2677,4)</f>
        <v>0</v>
      </c>
      <c r="K2677" s="67">
        <f>ROUND(IF(F2677="alluminio",0,I2677*1.5%),4)</f>
        <v>0</v>
      </c>
      <c r="L2677" s="67">
        <f>ROUND(IF(K2677&lt;J2677,K2677,0),4)</f>
        <v>0</v>
      </c>
      <c r="M2677" s="67">
        <f>ROUND(IF(J2677&gt;K2677,0,J2677),4)</f>
        <v>0</v>
      </c>
      <c r="N2677" s="67">
        <f>ROUND(+L2677*D2677,4)</f>
        <v>0</v>
      </c>
      <c r="O2677" s="67">
        <f>ROUND(IF(F2677="rame",0,+I2677*3%),4)</f>
        <v>0</v>
      </c>
      <c r="P2677" s="67">
        <f>ROUND(IF(O2677&lt;J2677,O2677,0),4)</f>
        <v>0</v>
      </c>
      <c r="Q2677" s="67">
        <f>ROUND(IF(J2677&gt;O2677,0,J2677),4)</f>
        <v>0</v>
      </c>
      <c r="R2677" s="67">
        <f>ROUND(+P2677*D2677,4)</f>
        <v>0</v>
      </c>
      <c r="S2677" s="67">
        <f>ROUND(IF(K2677=0,0,M2677*D2677),4)</f>
        <v>0</v>
      </c>
      <c r="T2677" s="67">
        <f>ROUND(+IF(K2677=0,Q2677*D2677,0),4)</f>
        <v>0</v>
      </c>
      <c r="U2677" s="67">
        <f>ROUND(+N2677+R2677+S2677+T2677,4)</f>
        <v>0</v>
      </c>
      <c r="V2677" s="67">
        <f>ROUND(IF(P2677=0,0,I2677-H2677-O2677)+IF(L2677=0,0,I2677-H2677-K2677),4)</f>
        <v>0</v>
      </c>
      <c r="W2677" s="67">
        <f>ROUND(+(V2677*60%)*D2677,4)</f>
        <v>0</v>
      </c>
      <c r="X2677" s="148">
        <f>ROUND(+U2677+W2677,4)</f>
        <v>0</v>
      </c>
      <c r="Y2677" s="68"/>
      <c r="Z2677" s="148">
        <f>ROUND(IF(X2677&gt;I2677,X2677,I2677),4)</f>
        <v>0</v>
      </c>
      <c r="AD2677" s="78">
        <f t="shared" si="60"/>
        <v>0</v>
      </c>
      <c r="AE2677" s="78">
        <f t="shared" si="61"/>
        <v>0</v>
      </c>
    </row>
    <row r="2678" spans="1:31" x14ac:dyDescent="0.2">
      <c r="A2678" s="66"/>
      <c r="B2678" s="66"/>
      <c r="C2678" s="66"/>
      <c r="D2678" s="144"/>
      <c r="E2678" s="67"/>
      <c r="F2678" s="67"/>
      <c r="G2678" s="67"/>
      <c r="H2678" s="67">
        <f>ROUND(+E2678+G2678,4)</f>
        <v>0</v>
      </c>
      <c r="I2678" s="67"/>
      <c r="J2678" s="67">
        <f>ROUND(+I2678-H2678,4)</f>
        <v>0</v>
      </c>
      <c r="K2678" s="67">
        <f>ROUND(IF(F2678="alluminio",0,I2678*1.5%),4)</f>
        <v>0</v>
      </c>
      <c r="L2678" s="67">
        <f>ROUND(IF(K2678&lt;J2678,K2678,0),4)</f>
        <v>0</v>
      </c>
      <c r="M2678" s="67">
        <f>ROUND(IF(J2678&gt;K2678,0,J2678),4)</f>
        <v>0</v>
      </c>
      <c r="N2678" s="67">
        <f>ROUND(+L2678*D2678,4)</f>
        <v>0</v>
      </c>
      <c r="O2678" s="67">
        <f>ROUND(IF(F2678="rame",0,+I2678*3%),4)</f>
        <v>0</v>
      </c>
      <c r="P2678" s="67">
        <f>ROUND(IF(O2678&lt;J2678,O2678,0),4)</f>
        <v>0</v>
      </c>
      <c r="Q2678" s="67">
        <f>ROUND(IF(J2678&gt;O2678,0,J2678),4)</f>
        <v>0</v>
      </c>
      <c r="R2678" s="67">
        <f>ROUND(+P2678*D2678,4)</f>
        <v>0</v>
      </c>
      <c r="S2678" s="67">
        <f>ROUND(IF(K2678=0,0,M2678*D2678),4)</f>
        <v>0</v>
      </c>
      <c r="T2678" s="67">
        <f>ROUND(+IF(K2678=0,Q2678*D2678,0),4)</f>
        <v>0</v>
      </c>
      <c r="U2678" s="67">
        <f>ROUND(+N2678+R2678+S2678+T2678,4)</f>
        <v>0</v>
      </c>
      <c r="V2678" s="67">
        <f>ROUND(IF(P2678=0,0,I2678-H2678-O2678)+IF(L2678=0,0,I2678-H2678-K2678),4)</f>
        <v>0</v>
      </c>
      <c r="W2678" s="67">
        <f>ROUND(+(V2678*60%)*D2678,4)</f>
        <v>0</v>
      </c>
      <c r="X2678" s="148">
        <f>ROUND(+U2678+W2678,4)</f>
        <v>0</v>
      </c>
      <c r="Y2678" s="68"/>
      <c r="Z2678" s="148">
        <f>ROUND(IF(X2678&gt;I2678,X2678,I2678),4)</f>
        <v>0</v>
      </c>
      <c r="AD2678" s="78">
        <f t="shared" si="60"/>
        <v>0</v>
      </c>
      <c r="AE2678" s="78">
        <f t="shared" si="61"/>
        <v>0</v>
      </c>
    </row>
    <row r="2679" spans="1:31" x14ac:dyDescent="0.2">
      <c r="A2679" s="66"/>
      <c r="B2679" s="66"/>
      <c r="C2679" s="66"/>
      <c r="D2679" s="144"/>
      <c r="E2679" s="67"/>
      <c r="F2679" s="67"/>
      <c r="G2679" s="67"/>
      <c r="H2679" s="67">
        <f>ROUND(+E2679+G2679,4)</f>
        <v>0</v>
      </c>
      <c r="I2679" s="67"/>
      <c r="J2679" s="67">
        <f>ROUND(+I2679-H2679,4)</f>
        <v>0</v>
      </c>
      <c r="K2679" s="67">
        <f>ROUND(IF(F2679="alluminio",0,I2679*1.5%),4)</f>
        <v>0</v>
      </c>
      <c r="L2679" s="67">
        <f>ROUND(IF(K2679&lt;J2679,K2679,0),4)</f>
        <v>0</v>
      </c>
      <c r="M2679" s="67">
        <f>ROUND(IF(J2679&gt;K2679,0,J2679),4)</f>
        <v>0</v>
      </c>
      <c r="N2679" s="67">
        <f>ROUND(+L2679*D2679,4)</f>
        <v>0</v>
      </c>
      <c r="O2679" s="67">
        <f>ROUND(IF(F2679="rame",0,+I2679*3%),4)</f>
        <v>0</v>
      </c>
      <c r="P2679" s="67">
        <f>ROUND(IF(O2679&lt;J2679,O2679,0),4)</f>
        <v>0</v>
      </c>
      <c r="Q2679" s="67">
        <f>ROUND(IF(J2679&gt;O2679,0,J2679),4)</f>
        <v>0</v>
      </c>
      <c r="R2679" s="67">
        <f>ROUND(+P2679*D2679,4)</f>
        <v>0</v>
      </c>
      <c r="S2679" s="67">
        <f>ROUND(IF(K2679=0,0,M2679*D2679),4)</f>
        <v>0</v>
      </c>
      <c r="T2679" s="67">
        <f>ROUND(+IF(K2679=0,Q2679*D2679,0),4)</f>
        <v>0</v>
      </c>
      <c r="U2679" s="67">
        <f>ROUND(+N2679+R2679+S2679+T2679,4)</f>
        <v>0</v>
      </c>
      <c r="V2679" s="67">
        <f>ROUND(IF(P2679=0,0,I2679-H2679-O2679)+IF(L2679=0,0,I2679-H2679-K2679),4)</f>
        <v>0</v>
      </c>
      <c r="W2679" s="67">
        <f>ROUND(+(V2679*60%)*D2679,4)</f>
        <v>0</v>
      </c>
      <c r="X2679" s="148">
        <f>ROUND(+U2679+W2679,4)</f>
        <v>0</v>
      </c>
      <c r="Y2679" s="68"/>
      <c r="Z2679" s="148">
        <f>ROUND(IF(X2679&gt;I2679,X2679,I2679),4)</f>
        <v>0</v>
      </c>
      <c r="AD2679" s="78">
        <f t="shared" si="60"/>
        <v>0</v>
      </c>
      <c r="AE2679" s="78">
        <f t="shared" si="61"/>
        <v>0</v>
      </c>
    </row>
    <row r="2680" spans="1:31" x14ac:dyDescent="0.2">
      <c r="A2680" s="66"/>
      <c r="B2680" s="66"/>
      <c r="C2680" s="66"/>
      <c r="D2680" s="144"/>
      <c r="E2680" s="67"/>
      <c r="F2680" s="67"/>
      <c r="G2680" s="67"/>
      <c r="H2680" s="67">
        <f>ROUND(+E2680+G2680,4)</f>
        <v>0</v>
      </c>
      <c r="I2680" s="67"/>
      <c r="J2680" s="67">
        <f>ROUND(+I2680-H2680,4)</f>
        <v>0</v>
      </c>
      <c r="K2680" s="67">
        <f>ROUND(IF(F2680="alluminio",0,I2680*1.5%),4)</f>
        <v>0</v>
      </c>
      <c r="L2680" s="67">
        <f>ROUND(IF(K2680&lt;J2680,K2680,0),4)</f>
        <v>0</v>
      </c>
      <c r="M2680" s="67">
        <f>ROUND(IF(J2680&gt;K2680,0,J2680),4)</f>
        <v>0</v>
      </c>
      <c r="N2680" s="67">
        <f>ROUND(+L2680*D2680,4)</f>
        <v>0</v>
      </c>
      <c r="O2680" s="67">
        <f>ROUND(IF(F2680="rame",0,+I2680*3%),4)</f>
        <v>0</v>
      </c>
      <c r="P2680" s="67">
        <f>ROUND(IF(O2680&lt;J2680,O2680,0),4)</f>
        <v>0</v>
      </c>
      <c r="Q2680" s="67">
        <f>ROUND(IF(J2680&gt;O2680,0,J2680),4)</f>
        <v>0</v>
      </c>
      <c r="R2680" s="67">
        <f>ROUND(+P2680*D2680,4)</f>
        <v>0</v>
      </c>
      <c r="S2680" s="67">
        <f>ROUND(IF(K2680=0,0,M2680*D2680),4)</f>
        <v>0</v>
      </c>
      <c r="T2680" s="67">
        <f>ROUND(+IF(K2680=0,Q2680*D2680,0),4)</f>
        <v>0</v>
      </c>
      <c r="U2680" s="67">
        <f>ROUND(+N2680+R2680+S2680+T2680,4)</f>
        <v>0</v>
      </c>
      <c r="V2680" s="67">
        <f>ROUND(IF(P2680=0,0,I2680-H2680-O2680)+IF(L2680=0,0,I2680-H2680-K2680),4)</f>
        <v>0</v>
      </c>
      <c r="W2680" s="67">
        <f>ROUND(+(V2680*60%)*D2680,4)</f>
        <v>0</v>
      </c>
      <c r="X2680" s="148">
        <f>ROUND(+U2680+W2680,4)</f>
        <v>0</v>
      </c>
      <c r="Y2680" s="68"/>
      <c r="Z2680" s="148">
        <f>ROUND(IF(X2680&gt;I2680,X2680,I2680),4)</f>
        <v>0</v>
      </c>
      <c r="AD2680" s="78">
        <f t="shared" si="60"/>
        <v>0</v>
      </c>
      <c r="AE2680" s="78">
        <f t="shared" si="61"/>
        <v>0</v>
      </c>
    </row>
    <row r="2681" spans="1:31" x14ac:dyDescent="0.2">
      <c r="A2681" s="66"/>
      <c r="B2681" s="66"/>
      <c r="C2681" s="66"/>
      <c r="D2681" s="144"/>
      <c r="E2681" s="67"/>
      <c r="F2681" s="67"/>
      <c r="G2681" s="67"/>
      <c r="H2681" s="67">
        <f>ROUND(+E2681+G2681,4)</f>
        <v>0</v>
      </c>
      <c r="I2681" s="67"/>
      <c r="J2681" s="67">
        <f>ROUND(+I2681-H2681,4)</f>
        <v>0</v>
      </c>
      <c r="K2681" s="67">
        <f>ROUND(IF(F2681="alluminio",0,I2681*1.5%),4)</f>
        <v>0</v>
      </c>
      <c r="L2681" s="67">
        <f>ROUND(IF(K2681&lt;J2681,K2681,0),4)</f>
        <v>0</v>
      </c>
      <c r="M2681" s="67">
        <f>ROUND(IF(J2681&gt;K2681,0,J2681),4)</f>
        <v>0</v>
      </c>
      <c r="N2681" s="67">
        <f>ROUND(+L2681*D2681,4)</f>
        <v>0</v>
      </c>
      <c r="O2681" s="67">
        <f>ROUND(IF(F2681="rame",0,+I2681*3%),4)</f>
        <v>0</v>
      </c>
      <c r="P2681" s="67">
        <f>ROUND(IF(O2681&lt;J2681,O2681,0),4)</f>
        <v>0</v>
      </c>
      <c r="Q2681" s="67">
        <f>ROUND(IF(J2681&gt;O2681,0,J2681),4)</f>
        <v>0</v>
      </c>
      <c r="R2681" s="67">
        <f>ROUND(+P2681*D2681,4)</f>
        <v>0</v>
      </c>
      <c r="S2681" s="67">
        <f>ROUND(IF(K2681=0,0,M2681*D2681),4)</f>
        <v>0</v>
      </c>
      <c r="T2681" s="67">
        <f>ROUND(+IF(K2681=0,Q2681*D2681,0),4)</f>
        <v>0</v>
      </c>
      <c r="U2681" s="67">
        <f>ROUND(+N2681+R2681+S2681+T2681,4)</f>
        <v>0</v>
      </c>
      <c r="V2681" s="67">
        <f>ROUND(IF(P2681=0,0,I2681-H2681-O2681)+IF(L2681=0,0,I2681-H2681-K2681),4)</f>
        <v>0</v>
      </c>
      <c r="W2681" s="67">
        <f>ROUND(+(V2681*60%)*D2681,4)</f>
        <v>0</v>
      </c>
      <c r="X2681" s="148">
        <f>ROUND(+U2681+W2681,4)</f>
        <v>0</v>
      </c>
      <c r="Y2681" s="68"/>
      <c r="Z2681" s="148">
        <f>ROUND(IF(X2681&gt;I2681,X2681,I2681),4)</f>
        <v>0</v>
      </c>
      <c r="AD2681" s="78">
        <f t="shared" si="60"/>
        <v>0</v>
      </c>
      <c r="AE2681" s="78">
        <f t="shared" si="61"/>
        <v>0</v>
      </c>
    </row>
    <row r="2682" spans="1:31" x14ac:dyDescent="0.2">
      <c r="A2682" s="66"/>
      <c r="B2682" s="66"/>
      <c r="C2682" s="66"/>
      <c r="D2682" s="144"/>
      <c r="E2682" s="67"/>
      <c r="F2682" s="67"/>
      <c r="G2682" s="67"/>
      <c r="H2682" s="67">
        <f>ROUND(+E2682+G2682,4)</f>
        <v>0</v>
      </c>
      <c r="I2682" s="67"/>
      <c r="J2682" s="67">
        <f>ROUND(+I2682-H2682,4)</f>
        <v>0</v>
      </c>
      <c r="K2682" s="67">
        <f>ROUND(IF(F2682="alluminio",0,I2682*1.5%),4)</f>
        <v>0</v>
      </c>
      <c r="L2682" s="67">
        <f>ROUND(IF(K2682&lt;J2682,K2682,0),4)</f>
        <v>0</v>
      </c>
      <c r="M2682" s="67">
        <f>ROUND(IF(J2682&gt;K2682,0,J2682),4)</f>
        <v>0</v>
      </c>
      <c r="N2682" s="67">
        <f>ROUND(+L2682*D2682,4)</f>
        <v>0</v>
      </c>
      <c r="O2682" s="67">
        <f>ROUND(IF(F2682="rame",0,+I2682*3%),4)</f>
        <v>0</v>
      </c>
      <c r="P2682" s="67">
        <f>ROUND(IF(O2682&lt;J2682,O2682,0),4)</f>
        <v>0</v>
      </c>
      <c r="Q2682" s="67">
        <f>ROUND(IF(J2682&gt;O2682,0,J2682),4)</f>
        <v>0</v>
      </c>
      <c r="R2682" s="67">
        <f>ROUND(+P2682*D2682,4)</f>
        <v>0</v>
      </c>
      <c r="S2682" s="67">
        <f>ROUND(IF(K2682=0,0,M2682*D2682),4)</f>
        <v>0</v>
      </c>
      <c r="T2682" s="67">
        <f>ROUND(+IF(K2682=0,Q2682*D2682,0),4)</f>
        <v>0</v>
      </c>
      <c r="U2682" s="67">
        <f>ROUND(+N2682+R2682+S2682+T2682,4)</f>
        <v>0</v>
      </c>
      <c r="V2682" s="67">
        <f>ROUND(IF(P2682=0,0,I2682-H2682-O2682)+IF(L2682=0,0,I2682-H2682-K2682),4)</f>
        <v>0</v>
      </c>
      <c r="W2682" s="67">
        <f>ROUND(+(V2682*60%)*D2682,4)</f>
        <v>0</v>
      </c>
      <c r="X2682" s="148">
        <f>ROUND(+U2682+W2682,4)</f>
        <v>0</v>
      </c>
      <c r="Y2682" s="68"/>
      <c r="Z2682" s="148">
        <f>ROUND(IF(X2682&gt;I2682,X2682,I2682),4)</f>
        <v>0</v>
      </c>
      <c r="AD2682" s="78">
        <f t="shared" si="60"/>
        <v>0</v>
      </c>
      <c r="AE2682" s="78">
        <f t="shared" si="61"/>
        <v>0</v>
      </c>
    </row>
    <row r="2683" spans="1:31" x14ac:dyDescent="0.2">
      <c r="A2683" s="66"/>
      <c r="B2683" s="66"/>
      <c r="C2683" s="66"/>
      <c r="D2683" s="144"/>
      <c r="E2683" s="67"/>
      <c r="F2683" s="67"/>
      <c r="G2683" s="67"/>
      <c r="H2683" s="67">
        <f>ROUND(+E2683+G2683,4)</f>
        <v>0</v>
      </c>
      <c r="I2683" s="67"/>
      <c r="J2683" s="67">
        <f>ROUND(+I2683-H2683,4)</f>
        <v>0</v>
      </c>
      <c r="K2683" s="67">
        <f>ROUND(IF(F2683="alluminio",0,I2683*1.5%),4)</f>
        <v>0</v>
      </c>
      <c r="L2683" s="67">
        <f>ROUND(IF(K2683&lt;J2683,K2683,0),4)</f>
        <v>0</v>
      </c>
      <c r="M2683" s="67">
        <f>ROUND(IF(J2683&gt;K2683,0,J2683),4)</f>
        <v>0</v>
      </c>
      <c r="N2683" s="67">
        <f>ROUND(+L2683*D2683,4)</f>
        <v>0</v>
      </c>
      <c r="O2683" s="67">
        <f>ROUND(IF(F2683="rame",0,+I2683*3%),4)</f>
        <v>0</v>
      </c>
      <c r="P2683" s="67">
        <f>ROUND(IF(O2683&lt;J2683,O2683,0),4)</f>
        <v>0</v>
      </c>
      <c r="Q2683" s="67">
        <f>ROUND(IF(J2683&gt;O2683,0,J2683),4)</f>
        <v>0</v>
      </c>
      <c r="R2683" s="67">
        <f>ROUND(+P2683*D2683,4)</f>
        <v>0</v>
      </c>
      <c r="S2683" s="67">
        <f>ROUND(IF(K2683=0,0,M2683*D2683),4)</f>
        <v>0</v>
      </c>
      <c r="T2683" s="67">
        <f>ROUND(+IF(K2683=0,Q2683*D2683,0),4)</f>
        <v>0</v>
      </c>
      <c r="U2683" s="67">
        <f>ROUND(+N2683+R2683+S2683+T2683,4)</f>
        <v>0</v>
      </c>
      <c r="V2683" s="67">
        <f>ROUND(IF(P2683=0,0,I2683-H2683-O2683)+IF(L2683=0,0,I2683-H2683-K2683),4)</f>
        <v>0</v>
      </c>
      <c r="W2683" s="67">
        <f>ROUND(+(V2683*60%)*D2683,4)</f>
        <v>0</v>
      </c>
      <c r="X2683" s="148">
        <f>ROUND(+U2683+W2683,4)</f>
        <v>0</v>
      </c>
      <c r="Y2683" s="68"/>
      <c r="Z2683" s="148">
        <f>ROUND(IF(X2683&gt;I2683,X2683,I2683),4)</f>
        <v>0</v>
      </c>
      <c r="AD2683" s="78">
        <f t="shared" si="60"/>
        <v>0</v>
      </c>
      <c r="AE2683" s="78">
        <f t="shared" si="61"/>
        <v>0</v>
      </c>
    </row>
    <row r="2684" spans="1:31" x14ac:dyDescent="0.2">
      <c r="A2684" s="66"/>
      <c r="B2684" s="66"/>
      <c r="C2684" s="66"/>
      <c r="D2684" s="144"/>
      <c r="E2684" s="67"/>
      <c r="F2684" s="67"/>
      <c r="G2684" s="67"/>
      <c r="H2684" s="67">
        <f>ROUND(+E2684+G2684,4)</f>
        <v>0</v>
      </c>
      <c r="I2684" s="67"/>
      <c r="J2684" s="67">
        <f>ROUND(+I2684-H2684,4)</f>
        <v>0</v>
      </c>
      <c r="K2684" s="67">
        <f>ROUND(IF(F2684="alluminio",0,I2684*1.5%),4)</f>
        <v>0</v>
      </c>
      <c r="L2684" s="67">
        <f>ROUND(IF(K2684&lt;J2684,K2684,0),4)</f>
        <v>0</v>
      </c>
      <c r="M2684" s="67">
        <f>ROUND(IF(J2684&gt;K2684,0,J2684),4)</f>
        <v>0</v>
      </c>
      <c r="N2684" s="67">
        <f>ROUND(+L2684*D2684,4)</f>
        <v>0</v>
      </c>
      <c r="O2684" s="67">
        <f>ROUND(IF(F2684="rame",0,+I2684*3%),4)</f>
        <v>0</v>
      </c>
      <c r="P2684" s="67">
        <f>ROUND(IF(O2684&lt;J2684,O2684,0),4)</f>
        <v>0</v>
      </c>
      <c r="Q2684" s="67">
        <f>ROUND(IF(J2684&gt;O2684,0,J2684),4)</f>
        <v>0</v>
      </c>
      <c r="R2684" s="67">
        <f>ROUND(+P2684*D2684,4)</f>
        <v>0</v>
      </c>
      <c r="S2684" s="67">
        <f>ROUND(IF(K2684=0,0,M2684*D2684),4)</f>
        <v>0</v>
      </c>
      <c r="T2684" s="67">
        <f>ROUND(+IF(K2684=0,Q2684*D2684,0),4)</f>
        <v>0</v>
      </c>
      <c r="U2684" s="67">
        <f>ROUND(+N2684+R2684+S2684+T2684,4)</f>
        <v>0</v>
      </c>
      <c r="V2684" s="67">
        <f>ROUND(IF(P2684=0,0,I2684-H2684-O2684)+IF(L2684=0,0,I2684-H2684-K2684),4)</f>
        <v>0</v>
      </c>
      <c r="W2684" s="67">
        <f>ROUND(+(V2684*60%)*D2684,4)</f>
        <v>0</v>
      </c>
      <c r="X2684" s="148">
        <f>ROUND(+U2684+W2684,4)</f>
        <v>0</v>
      </c>
      <c r="Y2684" s="68"/>
      <c r="Z2684" s="148">
        <f>ROUND(IF(X2684&gt;I2684,X2684,I2684),4)</f>
        <v>0</v>
      </c>
      <c r="AD2684" s="78">
        <f t="shared" si="60"/>
        <v>0</v>
      </c>
      <c r="AE2684" s="78">
        <f t="shared" si="61"/>
        <v>0</v>
      </c>
    </row>
    <row r="2685" spans="1:31" x14ac:dyDescent="0.2">
      <c r="A2685" s="66"/>
      <c r="B2685" s="66"/>
      <c r="C2685" s="66"/>
      <c r="D2685" s="144"/>
      <c r="E2685" s="67"/>
      <c r="F2685" s="67"/>
      <c r="G2685" s="67"/>
      <c r="H2685" s="67">
        <f>ROUND(+E2685+G2685,4)</f>
        <v>0</v>
      </c>
      <c r="I2685" s="67"/>
      <c r="J2685" s="67">
        <f>ROUND(+I2685-H2685,4)</f>
        <v>0</v>
      </c>
      <c r="K2685" s="67">
        <f>ROUND(IF(F2685="alluminio",0,I2685*1.5%),4)</f>
        <v>0</v>
      </c>
      <c r="L2685" s="67">
        <f>ROUND(IF(K2685&lt;J2685,K2685,0),4)</f>
        <v>0</v>
      </c>
      <c r="M2685" s="67">
        <f>ROUND(IF(J2685&gt;K2685,0,J2685),4)</f>
        <v>0</v>
      </c>
      <c r="N2685" s="67">
        <f>ROUND(+L2685*D2685,4)</f>
        <v>0</v>
      </c>
      <c r="O2685" s="67">
        <f>ROUND(IF(F2685="rame",0,+I2685*3%),4)</f>
        <v>0</v>
      </c>
      <c r="P2685" s="67">
        <f>ROUND(IF(O2685&lt;J2685,O2685,0),4)</f>
        <v>0</v>
      </c>
      <c r="Q2685" s="67">
        <f>ROUND(IF(J2685&gt;O2685,0,J2685),4)</f>
        <v>0</v>
      </c>
      <c r="R2685" s="67">
        <f>ROUND(+P2685*D2685,4)</f>
        <v>0</v>
      </c>
      <c r="S2685" s="67">
        <f>ROUND(IF(K2685=0,0,M2685*D2685),4)</f>
        <v>0</v>
      </c>
      <c r="T2685" s="67">
        <f>ROUND(+IF(K2685=0,Q2685*D2685,0),4)</f>
        <v>0</v>
      </c>
      <c r="U2685" s="67">
        <f>ROUND(+N2685+R2685+S2685+T2685,4)</f>
        <v>0</v>
      </c>
      <c r="V2685" s="67">
        <f>ROUND(IF(P2685=0,0,I2685-H2685-O2685)+IF(L2685=0,0,I2685-H2685-K2685),4)</f>
        <v>0</v>
      </c>
      <c r="W2685" s="67">
        <f>ROUND(+(V2685*60%)*D2685,4)</f>
        <v>0</v>
      </c>
      <c r="X2685" s="148">
        <f>ROUND(+U2685+W2685,4)</f>
        <v>0</v>
      </c>
      <c r="Y2685" s="68"/>
      <c r="Z2685" s="148">
        <f>ROUND(IF(X2685&gt;I2685,X2685,I2685),4)</f>
        <v>0</v>
      </c>
      <c r="AD2685" s="78">
        <f t="shared" si="60"/>
        <v>0</v>
      </c>
      <c r="AE2685" s="78">
        <f t="shared" si="61"/>
        <v>0</v>
      </c>
    </row>
    <row r="2686" spans="1:31" x14ac:dyDescent="0.2">
      <c r="A2686" s="66"/>
      <c r="B2686" s="66"/>
      <c r="C2686" s="66"/>
      <c r="D2686" s="144"/>
      <c r="E2686" s="67"/>
      <c r="F2686" s="67"/>
      <c r="G2686" s="67"/>
      <c r="H2686" s="67">
        <f>ROUND(+E2686+G2686,4)</f>
        <v>0</v>
      </c>
      <c r="I2686" s="67"/>
      <c r="J2686" s="67">
        <f>ROUND(+I2686-H2686,4)</f>
        <v>0</v>
      </c>
      <c r="K2686" s="67">
        <f>ROUND(IF(F2686="alluminio",0,I2686*1.5%),4)</f>
        <v>0</v>
      </c>
      <c r="L2686" s="67">
        <f>ROUND(IF(K2686&lt;J2686,K2686,0),4)</f>
        <v>0</v>
      </c>
      <c r="M2686" s="67">
        <f>ROUND(IF(J2686&gt;K2686,0,J2686),4)</f>
        <v>0</v>
      </c>
      <c r="N2686" s="67">
        <f>ROUND(+L2686*D2686,4)</f>
        <v>0</v>
      </c>
      <c r="O2686" s="67">
        <f>ROUND(IF(F2686="rame",0,+I2686*3%),4)</f>
        <v>0</v>
      </c>
      <c r="P2686" s="67">
        <f>ROUND(IF(O2686&lt;J2686,O2686,0),4)</f>
        <v>0</v>
      </c>
      <c r="Q2686" s="67">
        <f>ROUND(IF(J2686&gt;O2686,0,J2686),4)</f>
        <v>0</v>
      </c>
      <c r="R2686" s="67">
        <f>ROUND(+P2686*D2686,4)</f>
        <v>0</v>
      </c>
      <c r="S2686" s="67">
        <f>ROUND(IF(K2686=0,0,M2686*D2686),4)</f>
        <v>0</v>
      </c>
      <c r="T2686" s="67">
        <f>ROUND(+IF(K2686=0,Q2686*D2686,0),4)</f>
        <v>0</v>
      </c>
      <c r="U2686" s="67">
        <f>ROUND(+N2686+R2686+S2686+T2686,4)</f>
        <v>0</v>
      </c>
      <c r="V2686" s="67">
        <f>ROUND(IF(P2686=0,0,I2686-H2686-O2686)+IF(L2686=0,0,I2686-H2686-K2686),4)</f>
        <v>0</v>
      </c>
      <c r="W2686" s="67">
        <f>ROUND(+(V2686*60%)*D2686,4)</f>
        <v>0</v>
      </c>
      <c r="X2686" s="148">
        <f>ROUND(+U2686+W2686,4)</f>
        <v>0</v>
      </c>
      <c r="Y2686" s="68"/>
      <c r="Z2686" s="148">
        <f>ROUND(IF(X2686&gt;I2686,X2686,I2686),4)</f>
        <v>0</v>
      </c>
      <c r="AD2686" s="78">
        <f t="shared" ref="AD2686:AD2731" si="62">IF(Y2686="",0,MONTH(Y2686))</f>
        <v>0</v>
      </c>
      <c r="AE2686" s="78">
        <f t="shared" ref="AE2686:AE2731" si="63">IF(Y2686="",0,YEAR(Y2686))</f>
        <v>0</v>
      </c>
    </row>
    <row r="2687" spans="1:31" x14ac:dyDescent="0.2">
      <c r="A2687" s="66"/>
      <c r="B2687" s="66"/>
      <c r="C2687" s="66"/>
      <c r="D2687" s="144"/>
      <c r="E2687" s="67"/>
      <c r="F2687" s="67"/>
      <c r="G2687" s="67"/>
      <c r="H2687" s="67">
        <f>ROUND(+E2687+G2687,4)</f>
        <v>0</v>
      </c>
      <c r="I2687" s="67"/>
      <c r="J2687" s="67">
        <f>ROUND(+I2687-H2687,4)</f>
        <v>0</v>
      </c>
      <c r="K2687" s="67">
        <f>ROUND(IF(F2687="alluminio",0,I2687*1.5%),4)</f>
        <v>0</v>
      </c>
      <c r="L2687" s="67">
        <f>ROUND(IF(K2687&lt;J2687,K2687,0),4)</f>
        <v>0</v>
      </c>
      <c r="M2687" s="67">
        <f>ROUND(IF(J2687&gt;K2687,0,J2687),4)</f>
        <v>0</v>
      </c>
      <c r="N2687" s="67">
        <f>ROUND(+L2687*D2687,4)</f>
        <v>0</v>
      </c>
      <c r="O2687" s="67">
        <f>ROUND(IF(F2687="rame",0,+I2687*3%),4)</f>
        <v>0</v>
      </c>
      <c r="P2687" s="67">
        <f>ROUND(IF(O2687&lt;J2687,O2687,0),4)</f>
        <v>0</v>
      </c>
      <c r="Q2687" s="67">
        <f>ROUND(IF(J2687&gt;O2687,0,J2687),4)</f>
        <v>0</v>
      </c>
      <c r="R2687" s="67">
        <f>ROUND(+P2687*D2687,4)</f>
        <v>0</v>
      </c>
      <c r="S2687" s="67">
        <f>ROUND(IF(K2687=0,0,M2687*D2687),4)</f>
        <v>0</v>
      </c>
      <c r="T2687" s="67">
        <f>ROUND(+IF(K2687=0,Q2687*D2687,0),4)</f>
        <v>0</v>
      </c>
      <c r="U2687" s="67">
        <f>ROUND(+N2687+R2687+S2687+T2687,4)</f>
        <v>0</v>
      </c>
      <c r="V2687" s="67">
        <f>ROUND(IF(P2687=0,0,I2687-H2687-O2687)+IF(L2687=0,0,I2687-H2687-K2687),4)</f>
        <v>0</v>
      </c>
      <c r="W2687" s="67">
        <f>ROUND(+(V2687*60%)*D2687,4)</f>
        <v>0</v>
      </c>
      <c r="X2687" s="148">
        <f>ROUND(+U2687+W2687,4)</f>
        <v>0</v>
      </c>
      <c r="Y2687" s="68"/>
      <c r="Z2687" s="148">
        <f>ROUND(IF(X2687&gt;I2687,X2687,I2687),4)</f>
        <v>0</v>
      </c>
      <c r="AD2687" s="78">
        <f t="shared" si="62"/>
        <v>0</v>
      </c>
      <c r="AE2687" s="78">
        <f t="shared" si="63"/>
        <v>0</v>
      </c>
    </row>
    <row r="2688" spans="1:31" x14ac:dyDescent="0.2">
      <c r="A2688" s="66"/>
      <c r="B2688" s="66"/>
      <c r="C2688" s="66"/>
      <c r="D2688" s="144"/>
      <c r="E2688" s="67"/>
      <c r="F2688" s="67"/>
      <c r="G2688" s="67"/>
      <c r="H2688" s="67">
        <f>ROUND(+E2688+G2688,4)</f>
        <v>0</v>
      </c>
      <c r="I2688" s="67"/>
      <c r="J2688" s="67">
        <f>ROUND(+I2688-H2688,4)</f>
        <v>0</v>
      </c>
      <c r="K2688" s="67">
        <f>ROUND(IF(F2688="alluminio",0,I2688*1.5%),4)</f>
        <v>0</v>
      </c>
      <c r="L2688" s="67">
        <f>ROUND(IF(K2688&lt;J2688,K2688,0),4)</f>
        <v>0</v>
      </c>
      <c r="M2688" s="67">
        <f>ROUND(IF(J2688&gt;K2688,0,J2688),4)</f>
        <v>0</v>
      </c>
      <c r="N2688" s="67">
        <f>ROUND(+L2688*D2688,4)</f>
        <v>0</v>
      </c>
      <c r="O2688" s="67">
        <f>ROUND(IF(F2688="rame",0,+I2688*3%),4)</f>
        <v>0</v>
      </c>
      <c r="P2688" s="67">
        <f>ROUND(IF(O2688&lt;J2688,O2688,0),4)</f>
        <v>0</v>
      </c>
      <c r="Q2688" s="67">
        <f>ROUND(IF(J2688&gt;O2688,0,J2688),4)</f>
        <v>0</v>
      </c>
      <c r="R2688" s="67">
        <f>ROUND(+P2688*D2688,4)</f>
        <v>0</v>
      </c>
      <c r="S2688" s="67">
        <f>ROUND(IF(K2688=0,0,M2688*D2688),4)</f>
        <v>0</v>
      </c>
      <c r="T2688" s="67">
        <f>ROUND(+IF(K2688=0,Q2688*D2688,0),4)</f>
        <v>0</v>
      </c>
      <c r="U2688" s="67">
        <f>ROUND(+N2688+R2688+S2688+T2688,4)</f>
        <v>0</v>
      </c>
      <c r="V2688" s="67">
        <f>ROUND(IF(P2688=0,0,I2688-H2688-O2688)+IF(L2688=0,0,I2688-H2688-K2688),4)</f>
        <v>0</v>
      </c>
      <c r="W2688" s="67">
        <f>ROUND(+(V2688*60%)*D2688,4)</f>
        <v>0</v>
      </c>
      <c r="X2688" s="148">
        <f>ROUND(+U2688+W2688,4)</f>
        <v>0</v>
      </c>
      <c r="Y2688" s="68"/>
      <c r="Z2688" s="148">
        <f>ROUND(IF(X2688&gt;I2688,X2688,I2688),4)</f>
        <v>0</v>
      </c>
      <c r="AD2688" s="78">
        <f t="shared" si="62"/>
        <v>0</v>
      </c>
      <c r="AE2688" s="78">
        <f t="shared" si="63"/>
        <v>0</v>
      </c>
    </row>
    <row r="2689" spans="1:31" x14ac:dyDescent="0.2">
      <c r="A2689" s="66"/>
      <c r="B2689" s="66"/>
      <c r="C2689" s="66"/>
      <c r="D2689" s="144"/>
      <c r="E2689" s="67"/>
      <c r="F2689" s="67"/>
      <c r="G2689" s="67"/>
      <c r="H2689" s="67">
        <f>ROUND(+E2689+G2689,4)</f>
        <v>0</v>
      </c>
      <c r="I2689" s="67"/>
      <c r="J2689" s="67">
        <f>ROUND(+I2689-H2689,4)</f>
        <v>0</v>
      </c>
      <c r="K2689" s="67">
        <f>ROUND(IF(F2689="alluminio",0,I2689*1.5%),4)</f>
        <v>0</v>
      </c>
      <c r="L2689" s="67">
        <f>ROUND(IF(K2689&lt;J2689,K2689,0),4)</f>
        <v>0</v>
      </c>
      <c r="M2689" s="67">
        <f>ROUND(IF(J2689&gt;K2689,0,J2689),4)</f>
        <v>0</v>
      </c>
      <c r="N2689" s="67">
        <f>ROUND(+L2689*D2689,4)</f>
        <v>0</v>
      </c>
      <c r="O2689" s="67">
        <f>ROUND(IF(F2689="rame",0,+I2689*3%),4)</f>
        <v>0</v>
      </c>
      <c r="P2689" s="67">
        <f>ROUND(IF(O2689&lt;J2689,O2689,0),4)</f>
        <v>0</v>
      </c>
      <c r="Q2689" s="67">
        <f>ROUND(IF(J2689&gt;O2689,0,J2689),4)</f>
        <v>0</v>
      </c>
      <c r="R2689" s="67">
        <f>ROUND(+P2689*D2689,4)</f>
        <v>0</v>
      </c>
      <c r="S2689" s="67">
        <f>ROUND(IF(K2689=0,0,M2689*D2689),4)</f>
        <v>0</v>
      </c>
      <c r="T2689" s="67">
        <f>ROUND(+IF(K2689=0,Q2689*D2689,0),4)</f>
        <v>0</v>
      </c>
      <c r="U2689" s="67">
        <f>ROUND(+N2689+R2689+S2689+T2689,4)</f>
        <v>0</v>
      </c>
      <c r="V2689" s="67">
        <f>ROUND(IF(P2689=0,0,I2689-H2689-O2689)+IF(L2689=0,0,I2689-H2689-K2689),4)</f>
        <v>0</v>
      </c>
      <c r="W2689" s="67">
        <f>ROUND(+(V2689*60%)*D2689,4)</f>
        <v>0</v>
      </c>
      <c r="X2689" s="148">
        <f>ROUND(+U2689+W2689,4)</f>
        <v>0</v>
      </c>
      <c r="Y2689" s="68"/>
      <c r="Z2689" s="148">
        <f>ROUND(IF(X2689&gt;I2689,X2689,I2689),4)</f>
        <v>0</v>
      </c>
      <c r="AD2689" s="78">
        <f t="shared" si="62"/>
        <v>0</v>
      </c>
      <c r="AE2689" s="78">
        <f t="shared" si="63"/>
        <v>0</v>
      </c>
    </row>
    <row r="2690" spans="1:31" x14ac:dyDescent="0.2">
      <c r="A2690" s="66"/>
      <c r="B2690" s="66"/>
      <c r="C2690" s="66"/>
      <c r="D2690" s="144"/>
      <c r="E2690" s="67"/>
      <c r="F2690" s="67"/>
      <c r="G2690" s="67"/>
      <c r="H2690" s="67">
        <f>ROUND(+E2690+G2690,4)</f>
        <v>0</v>
      </c>
      <c r="I2690" s="67"/>
      <c r="J2690" s="67">
        <f>ROUND(+I2690-H2690,4)</f>
        <v>0</v>
      </c>
      <c r="K2690" s="67">
        <f>ROUND(IF(F2690="alluminio",0,I2690*1.5%),4)</f>
        <v>0</v>
      </c>
      <c r="L2690" s="67">
        <f>ROUND(IF(K2690&lt;J2690,K2690,0),4)</f>
        <v>0</v>
      </c>
      <c r="M2690" s="67">
        <f>ROUND(IF(J2690&gt;K2690,0,J2690),4)</f>
        <v>0</v>
      </c>
      <c r="N2690" s="67">
        <f>ROUND(+L2690*D2690,4)</f>
        <v>0</v>
      </c>
      <c r="O2690" s="67">
        <f>ROUND(IF(F2690="rame",0,+I2690*3%),4)</f>
        <v>0</v>
      </c>
      <c r="P2690" s="67">
        <f>ROUND(IF(O2690&lt;J2690,O2690,0),4)</f>
        <v>0</v>
      </c>
      <c r="Q2690" s="67">
        <f>ROUND(IF(J2690&gt;O2690,0,J2690),4)</f>
        <v>0</v>
      </c>
      <c r="R2690" s="67">
        <f>ROUND(+P2690*D2690,4)</f>
        <v>0</v>
      </c>
      <c r="S2690" s="67">
        <f>ROUND(IF(K2690=0,0,M2690*D2690),4)</f>
        <v>0</v>
      </c>
      <c r="T2690" s="67">
        <f>ROUND(+IF(K2690=0,Q2690*D2690,0),4)</f>
        <v>0</v>
      </c>
      <c r="U2690" s="67">
        <f>ROUND(+N2690+R2690+S2690+T2690,4)</f>
        <v>0</v>
      </c>
      <c r="V2690" s="67">
        <f>ROUND(IF(P2690=0,0,I2690-H2690-O2690)+IF(L2690=0,0,I2690-H2690-K2690),4)</f>
        <v>0</v>
      </c>
      <c r="W2690" s="67">
        <f>ROUND(+(V2690*60%)*D2690,4)</f>
        <v>0</v>
      </c>
      <c r="X2690" s="148">
        <f>ROUND(+U2690+W2690,4)</f>
        <v>0</v>
      </c>
      <c r="Y2690" s="68"/>
      <c r="Z2690" s="148">
        <f>ROUND(IF(X2690&gt;I2690,X2690,I2690),4)</f>
        <v>0</v>
      </c>
      <c r="AD2690" s="78">
        <f t="shared" si="62"/>
        <v>0</v>
      </c>
      <c r="AE2690" s="78">
        <f t="shared" si="63"/>
        <v>0</v>
      </c>
    </row>
    <row r="2691" spans="1:31" x14ac:dyDescent="0.2">
      <c r="A2691" s="66"/>
      <c r="B2691" s="66"/>
      <c r="C2691" s="66"/>
      <c r="D2691" s="144"/>
      <c r="E2691" s="67"/>
      <c r="F2691" s="67"/>
      <c r="G2691" s="67"/>
      <c r="H2691" s="67">
        <f>ROUND(+E2691+G2691,4)</f>
        <v>0</v>
      </c>
      <c r="I2691" s="67"/>
      <c r="J2691" s="67">
        <f>ROUND(+I2691-H2691,4)</f>
        <v>0</v>
      </c>
      <c r="K2691" s="67">
        <f>ROUND(IF(F2691="alluminio",0,I2691*1.5%),4)</f>
        <v>0</v>
      </c>
      <c r="L2691" s="67">
        <f>ROUND(IF(K2691&lt;J2691,K2691,0),4)</f>
        <v>0</v>
      </c>
      <c r="M2691" s="67">
        <f>ROUND(IF(J2691&gt;K2691,0,J2691),4)</f>
        <v>0</v>
      </c>
      <c r="N2691" s="67">
        <f>ROUND(+L2691*D2691,4)</f>
        <v>0</v>
      </c>
      <c r="O2691" s="67">
        <f>ROUND(IF(F2691="rame",0,+I2691*3%),4)</f>
        <v>0</v>
      </c>
      <c r="P2691" s="67">
        <f>ROUND(IF(O2691&lt;J2691,O2691,0),4)</f>
        <v>0</v>
      </c>
      <c r="Q2691" s="67">
        <f>ROUND(IF(J2691&gt;O2691,0,J2691),4)</f>
        <v>0</v>
      </c>
      <c r="R2691" s="67">
        <f>ROUND(+P2691*D2691,4)</f>
        <v>0</v>
      </c>
      <c r="S2691" s="67">
        <f>ROUND(IF(K2691=0,0,M2691*D2691),4)</f>
        <v>0</v>
      </c>
      <c r="T2691" s="67">
        <f>ROUND(+IF(K2691=0,Q2691*D2691,0),4)</f>
        <v>0</v>
      </c>
      <c r="U2691" s="67">
        <f>ROUND(+N2691+R2691+S2691+T2691,4)</f>
        <v>0</v>
      </c>
      <c r="V2691" s="67">
        <f>ROUND(IF(P2691=0,0,I2691-H2691-O2691)+IF(L2691=0,0,I2691-H2691-K2691),4)</f>
        <v>0</v>
      </c>
      <c r="W2691" s="67">
        <f>ROUND(+(V2691*60%)*D2691,4)</f>
        <v>0</v>
      </c>
      <c r="X2691" s="148">
        <f>ROUND(+U2691+W2691,4)</f>
        <v>0</v>
      </c>
      <c r="Y2691" s="68"/>
      <c r="Z2691" s="148">
        <f>ROUND(IF(X2691&gt;I2691,X2691,I2691),4)</f>
        <v>0</v>
      </c>
      <c r="AD2691" s="78">
        <f t="shared" si="62"/>
        <v>0</v>
      </c>
      <c r="AE2691" s="78">
        <f t="shared" si="63"/>
        <v>0</v>
      </c>
    </row>
    <row r="2692" spans="1:31" x14ac:dyDescent="0.2">
      <c r="A2692" s="66"/>
      <c r="B2692" s="66"/>
      <c r="C2692" s="66"/>
      <c r="D2692" s="144"/>
      <c r="E2692" s="67"/>
      <c r="F2692" s="67"/>
      <c r="G2692" s="67"/>
      <c r="H2692" s="67">
        <f>ROUND(+E2692+G2692,4)</f>
        <v>0</v>
      </c>
      <c r="I2692" s="67"/>
      <c r="J2692" s="67">
        <f>ROUND(+I2692-H2692,4)</f>
        <v>0</v>
      </c>
      <c r="K2692" s="67">
        <f>ROUND(IF(F2692="alluminio",0,I2692*1.5%),4)</f>
        <v>0</v>
      </c>
      <c r="L2692" s="67">
        <f>ROUND(IF(K2692&lt;J2692,K2692,0),4)</f>
        <v>0</v>
      </c>
      <c r="M2692" s="67">
        <f>ROUND(IF(J2692&gt;K2692,0,J2692),4)</f>
        <v>0</v>
      </c>
      <c r="N2692" s="67">
        <f>ROUND(+L2692*D2692,4)</f>
        <v>0</v>
      </c>
      <c r="O2692" s="67">
        <f>ROUND(IF(F2692="rame",0,+I2692*3%),4)</f>
        <v>0</v>
      </c>
      <c r="P2692" s="67">
        <f>ROUND(IF(O2692&lt;J2692,O2692,0),4)</f>
        <v>0</v>
      </c>
      <c r="Q2692" s="67">
        <f>ROUND(IF(J2692&gt;O2692,0,J2692),4)</f>
        <v>0</v>
      </c>
      <c r="R2692" s="67">
        <f>ROUND(+P2692*D2692,4)</f>
        <v>0</v>
      </c>
      <c r="S2692" s="67">
        <f>ROUND(IF(K2692=0,0,M2692*D2692),4)</f>
        <v>0</v>
      </c>
      <c r="T2692" s="67">
        <f>ROUND(+IF(K2692=0,Q2692*D2692,0),4)</f>
        <v>0</v>
      </c>
      <c r="U2692" s="67">
        <f>ROUND(+N2692+R2692+S2692+T2692,4)</f>
        <v>0</v>
      </c>
      <c r="V2692" s="67">
        <f>ROUND(IF(P2692=0,0,I2692-H2692-O2692)+IF(L2692=0,0,I2692-H2692-K2692),4)</f>
        <v>0</v>
      </c>
      <c r="W2692" s="67">
        <f>ROUND(+(V2692*60%)*D2692,4)</f>
        <v>0</v>
      </c>
      <c r="X2692" s="148">
        <f>ROUND(+U2692+W2692,4)</f>
        <v>0</v>
      </c>
      <c r="Y2692" s="68"/>
      <c r="Z2692" s="148">
        <f>ROUND(IF(X2692&gt;I2692,X2692,I2692),4)</f>
        <v>0</v>
      </c>
      <c r="AD2692" s="78">
        <f t="shared" si="62"/>
        <v>0</v>
      </c>
      <c r="AE2692" s="78">
        <f t="shared" si="63"/>
        <v>0</v>
      </c>
    </row>
    <row r="2693" spans="1:31" x14ac:dyDescent="0.2">
      <c r="A2693" s="66"/>
      <c r="B2693" s="66"/>
      <c r="C2693" s="66"/>
      <c r="D2693" s="144"/>
      <c r="E2693" s="67"/>
      <c r="F2693" s="67"/>
      <c r="G2693" s="67"/>
      <c r="H2693" s="67">
        <f>ROUND(+E2693+G2693,4)</f>
        <v>0</v>
      </c>
      <c r="I2693" s="67"/>
      <c r="J2693" s="67">
        <f>ROUND(+I2693-H2693,4)</f>
        <v>0</v>
      </c>
      <c r="K2693" s="67">
        <f>ROUND(IF(F2693="alluminio",0,I2693*1.5%),4)</f>
        <v>0</v>
      </c>
      <c r="L2693" s="67">
        <f>ROUND(IF(K2693&lt;J2693,K2693,0),4)</f>
        <v>0</v>
      </c>
      <c r="M2693" s="67">
        <f>ROUND(IF(J2693&gt;K2693,0,J2693),4)</f>
        <v>0</v>
      </c>
      <c r="N2693" s="67">
        <f>ROUND(+L2693*D2693,4)</f>
        <v>0</v>
      </c>
      <c r="O2693" s="67">
        <f>ROUND(IF(F2693="rame",0,+I2693*3%),4)</f>
        <v>0</v>
      </c>
      <c r="P2693" s="67">
        <f>ROUND(IF(O2693&lt;J2693,O2693,0),4)</f>
        <v>0</v>
      </c>
      <c r="Q2693" s="67">
        <f>ROUND(IF(J2693&gt;O2693,0,J2693),4)</f>
        <v>0</v>
      </c>
      <c r="R2693" s="67">
        <f>ROUND(+P2693*D2693,4)</f>
        <v>0</v>
      </c>
      <c r="S2693" s="67">
        <f>ROUND(IF(K2693=0,0,M2693*D2693),4)</f>
        <v>0</v>
      </c>
      <c r="T2693" s="67">
        <f>ROUND(+IF(K2693=0,Q2693*D2693,0),4)</f>
        <v>0</v>
      </c>
      <c r="U2693" s="67">
        <f>ROUND(+N2693+R2693+S2693+T2693,4)</f>
        <v>0</v>
      </c>
      <c r="V2693" s="67">
        <f>ROUND(IF(P2693=0,0,I2693-H2693-O2693)+IF(L2693=0,0,I2693-H2693-K2693),4)</f>
        <v>0</v>
      </c>
      <c r="W2693" s="67">
        <f>ROUND(+(V2693*60%)*D2693,4)</f>
        <v>0</v>
      </c>
      <c r="X2693" s="148">
        <f>ROUND(+U2693+W2693,4)</f>
        <v>0</v>
      </c>
      <c r="Y2693" s="68"/>
      <c r="Z2693" s="148">
        <f>ROUND(IF(X2693&gt;I2693,X2693,I2693),4)</f>
        <v>0</v>
      </c>
      <c r="AD2693" s="78">
        <f t="shared" si="62"/>
        <v>0</v>
      </c>
      <c r="AE2693" s="78">
        <f t="shared" si="63"/>
        <v>0</v>
      </c>
    </row>
    <row r="2694" spans="1:31" x14ac:dyDescent="0.2">
      <c r="A2694" s="66"/>
      <c r="B2694" s="66"/>
      <c r="C2694" s="66"/>
      <c r="D2694" s="144"/>
      <c r="E2694" s="67"/>
      <c r="F2694" s="67"/>
      <c r="G2694" s="67"/>
      <c r="H2694" s="67">
        <f>ROUND(+E2694+G2694,4)</f>
        <v>0</v>
      </c>
      <c r="I2694" s="67"/>
      <c r="J2694" s="67">
        <f>ROUND(+I2694-H2694,4)</f>
        <v>0</v>
      </c>
      <c r="K2694" s="67">
        <f>ROUND(IF(F2694="alluminio",0,I2694*1.5%),4)</f>
        <v>0</v>
      </c>
      <c r="L2694" s="67">
        <f>ROUND(IF(K2694&lt;J2694,K2694,0),4)</f>
        <v>0</v>
      </c>
      <c r="M2694" s="67">
        <f>ROUND(IF(J2694&gt;K2694,0,J2694),4)</f>
        <v>0</v>
      </c>
      <c r="N2694" s="67">
        <f>ROUND(+L2694*D2694,4)</f>
        <v>0</v>
      </c>
      <c r="O2694" s="67">
        <f>ROUND(IF(F2694="rame",0,+I2694*3%),4)</f>
        <v>0</v>
      </c>
      <c r="P2694" s="67">
        <f>ROUND(IF(O2694&lt;J2694,O2694,0),4)</f>
        <v>0</v>
      </c>
      <c r="Q2694" s="67">
        <f>ROUND(IF(J2694&gt;O2694,0,J2694),4)</f>
        <v>0</v>
      </c>
      <c r="R2694" s="67">
        <f>ROUND(+P2694*D2694,4)</f>
        <v>0</v>
      </c>
      <c r="S2694" s="67">
        <f>ROUND(IF(K2694=0,0,M2694*D2694),4)</f>
        <v>0</v>
      </c>
      <c r="T2694" s="67">
        <f>ROUND(+IF(K2694=0,Q2694*D2694,0),4)</f>
        <v>0</v>
      </c>
      <c r="U2694" s="67">
        <f>ROUND(+N2694+R2694+S2694+T2694,4)</f>
        <v>0</v>
      </c>
      <c r="V2694" s="67">
        <f>ROUND(IF(P2694=0,0,I2694-H2694-O2694)+IF(L2694=0,0,I2694-H2694-K2694),4)</f>
        <v>0</v>
      </c>
      <c r="W2694" s="67">
        <f>ROUND(+(V2694*60%)*D2694,4)</f>
        <v>0</v>
      </c>
      <c r="X2694" s="148">
        <f>ROUND(+U2694+W2694,4)</f>
        <v>0</v>
      </c>
      <c r="Y2694" s="68"/>
      <c r="Z2694" s="148">
        <f>ROUND(IF(X2694&gt;I2694,X2694,I2694),4)</f>
        <v>0</v>
      </c>
      <c r="AD2694" s="78">
        <f t="shared" si="62"/>
        <v>0</v>
      </c>
      <c r="AE2694" s="78">
        <f t="shared" si="63"/>
        <v>0</v>
      </c>
    </row>
    <row r="2695" spans="1:31" x14ac:dyDescent="0.2">
      <c r="A2695" s="66"/>
      <c r="B2695" s="66"/>
      <c r="C2695" s="66"/>
      <c r="D2695" s="144"/>
      <c r="E2695" s="67"/>
      <c r="F2695" s="67"/>
      <c r="G2695" s="67"/>
      <c r="H2695" s="67">
        <f>ROUND(+E2695+G2695,4)</f>
        <v>0</v>
      </c>
      <c r="I2695" s="67"/>
      <c r="J2695" s="67">
        <f>ROUND(+I2695-H2695,4)</f>
        <v>0</v>
      </c>
      <c r="K2695" s="67">
        <f>ROUND(IF(F2695="alluminio",0,I2695*1.5%),4)</f>
        <v>0</v>
      </c>
      <c r="L2695" s="67">
        <f>ROUND(IF(K2695&lt;J2695,K2695,0),4)</f>
        <v>0</v>
      </c>
      <c r="M2695" s="67">
        <f>ROUND(IF(J2695&gt;K2695,0,J2695),4)</f>
        <v>0</v>
      </c>
      <c r="N2695" s="67">
        <f>ROUND(+L2695*D2695,4)</f>
        <v>0</v>
      </c>
      <c r="O2695" s="67">
        <f>ROUND(IF(F2695="rame",0,+I2695*3%),4)</f>
        <v>0</v>
      </c>
      <c r="P2695" s="67">
        <f>ROUND(IF(O2695&lt;J2695,O2695,0),4)</f>
        <v>0</v>
      </c>
      <c r="Q2695" s="67">
        <f>ROUND(IF(J2695&gt;O2695,0,J2695),4)</f>
        <v>0</v>
      </c>
      <c r="R2695" s="67">
        <f>ROUND(+P2695*D2695,4)</f>
        <v>0</v>
      </c>
      <c r="S2695" s="67">
        <f>ROUND(IF(K2695=0,0,M2695*D2695),4)</f>
        <v>0</v>
      </c>
      <c r="T2695" s="67">
        <f>ROUND(+IF(K2695=0,Q2695*D2695,0),4)</f>
        <v>0</v>
      </c>
      <c r="U2695" s="67">
        <f>ROUND(+N2695+R2695+S2695+T2695,4)</f>
        <v>0</v>
      </c>
      <c r="V2695" s="67">
        <f>ROUND(IF(P2695=0,0,I2695-H2695-O2695)+IF(L2695=0,0,I2695-H2695-K2695),4)</f>
        <v>0</v>
      </c>
      <c r="W2695" s="67">
        <f>ROUND(+(V2695*60%)*D2695,4)</f>
        <v>0</v>
      </c>
      <c r="X2695" s="148">
        <f>ROUND(+U2695+W2695,4)</f>
        <v>0</v>
      </c>
      <c r="Y2695" s="68"/>
      <c r="Z2695" s="148">
        <f>ROUND(IF(X2695&gt;I2695,X2695,I2695),4)</f>
        <v>0</v>
      </c>
      <c r="AD2695" s="78">
        <f t="shared" si="62"/>
        <v>0</v>
      </c>
      <c r="AE2695" s="78">
        <f t="shared" si="63"/>
        <v>0</v>
      </c>
    </row>
    <row r="2696" spans="1:31" x14ac:dyDescent="0.2">
      <c r="A2696" s="66"/>
      <c r="B2696" s="66"/>
      <c r="C2696" s="66"/>
      <c r="D2696" s="144"/>
      <c r="E2696" s="67"/>
      <c r="F2696" s="67"/>
      <c r="G2696" s="67"/>
      <c r="H2696" s="67">
        <f>ROUND(+E2696+G2696,4)</f>
        <v>0</v>
      </c>
      <c r="I2696" s="67"/>
      <c r="J2696" s="67">
        <f>ROUND(+I2696-H2696,4)</f>
        <v>0</v>
      </c>
      <c r="K2696" s="67">
        <f>ROUND(IF(F2696="alluminio",0,I2696*1.5%),4)</f>
        <v>0</v>
      </c>
      <c r="L2696" s="67">
        <f>ROUND(IF(K2696&lt;J2696,K2696,0),4)</f>
        <v>0</v>
      </c>
      <c r="M2696" s="67">
        <f>ROUND(IF(J2696&gt;K2696,0,J2696),4)</f>
        <v>0</v>
      </c>
      <c r="N2696" s="67">
        <f>ROUND(+L2696*D2696,4)</f>
        <v>0</v>
      </c>
      <c r="O2696" s="67">
        <f>ROUND(IF(F2696="rame",0,+I2696*3%),4)</f>
        <v>0</v>
      </c>
      <c r="P2696" s="67">
        <f>ROUND(IF(O2696&lt;J2696,O2696,0),4)</f>
        <v>0</v>
      </c>
      <c r="Q2696" s="67">
        <f>ROUND(IF(J2696&gt;O2696,0,J2696),4)</f>
        <v>0</v>
      </c>
      <c r="R2696" s="67">
        <f>ROUND(+P2696*D2696,4)</f>
        <v>0</v>
      </c>
      <c r="S2696" s="67">
        <f>ROUND(IF(K2696=0,0,M2696*D2696),4)</f>
        <v>0</v>
      </c>
      <c r="T2696" s="67">
        <f>ROUND(+IF(K2696=0,Q2696*D2696,0),4)</f>
        <v>0</v>
      </c>
      <c r="U2696" s="67">
        <f>ROUND(+N2696+R2696+S2696+T2696,4)</f>
        <v>0</v>
      </c>
      <c r="V2696" s="67">
        <f>ROUND(IF(P2696=0,0,I2696-H2696-O2696)+IF(L2696=0,0,I2696-H2696-K2696),4)</f>
        <v>0</v>
      </c>
      <c r="W2696" s="67">
        <f>ROUND(+(V2696*60%)*D2696,4)</f>
        <v>0</v>
      </c>
      <c r="X2696" s="148">
        <f>ROUND(+U2696+W2696,4)</f>
        <v>0</v>
      </c>
      <c r="Y2696" s="68"/>
      <c r="Z2696" s="148">
        <f>ROUND(IF(X2696&gt;I2696,X2696,I2696),4)</f>
        <v>0</v>
      </c>
      <c r="AD2696" s="78">
        <f t="shared" si="62"/>
        <v>0</v>
      </c>
      <c r="AE2696" s="78">
        <f t="shared" si="63"/>
        <v>0</v>
      </c>
    </row>
    <row r="2697" spans="1:31" x14ac:dyDescent="0.2">
      <c r="A2697" s="66"/>
      <c r="B2697" s="66"/>
      <c r="C2697" s="66"/>
      <c r="D2697" s="144"/>
      <c r="E2697" s="67"/>
      <c r="F2697" s="67"/>
      <c r="G2697" s="67"/>
      <c r="H2697" s="67">
        <f>ROUND(+E2697+G2697,4)</f>
        <v>0</v>
      </c>
      <c r="I2697" s="67"/>
      <c r="J2697" s="67">
        <f>ROUND(+I2697-H2697,4)</f>
        <v>0</v>
      </c>
      <c r="K2697" s="67">
        <f>ROUND(IF(F2697="alluminio",0,I2697*1.5%),4)</f>
        <v>0</v>
      </c>
      <c r="L2697" s="67">
        <f>ROUND(IF(K2697&lt;J2697,K2697,0),4)</f>
        <v>0</v>
      </c>
      <c r="M2697" s="67">
        <f>ROUND(IF(J2697&gt;K2697,0,J2697),4)</f>
        <v>0</v>
      </c>
      <c r="N2697" s="67">
        <f>ROUND(+L2697*D2697,4)</f>
        <v>0</v>
      </c>
      <c r="O2697" s="67">
        <f>ROUND(IF(F2697="rame",0,+I2697*3%),4)</f>
        <v>0</v>
      </c>
      <c r="P2697" s="67">
        <f>ROUND(IF(O2697&lt;J2697,O2697,0),4)</f>
        <v>0</v>
      </c>
      <c r="Q2697" s="67">
        <f>ROUND(IF(J2697&gt;O2697,0,J2697),4)</f>
        <v>0</v>
      </c>
      <c r="R2697" s="67">
        <f>ROUND(+P2697*D2697,4)</f>
        <v>0</v>
      </c>
      <c r="S2697" s="67">
        <f>ROUND(IF(K2697=0,0,M2697*D2697),4)</f>
        <v>0</v>
      </c>
      <c r="T2697" s="67">
        <f>ROUND(+IF(K2697=0,Q2697*D2697,0),4)</f>
        <v>0</v>
      </c>
      <c r="U2697" s="67">
        <f>ROUND(+N2697+R2697+S2697+T2697,4)</f>
        <v>0</v>
      </c>
      <c r="V2697" s="67">
        <f>ROUND(IF(P2697=0,0,I2697-H2697-O2697)+IF(L2697=0,0,I2697-H2697-K2697),4)</f>
        <v>0</v>
      </c>
      <c r="W2697" s="67">
        <f>ROUND(+(V2697*60%)*D2697,4)</f>
        <v>0</v>
      </c>
      <c r="X2697" s="148">
        <f>ROUND(+U2697+W2697,4)</f>
        <v>0</v>
      </c>
      <c r="Y2697" s="68"/>
      <c r="Z2697" s="148">
        <f>ROUND(IF(X2697&gt;I2697,X2697,I2697),4)</f>
        <v>0</v>
      </c>
      <c r="AD2697" s="78">
        <f t="shared" si="62"/>
        <v>0</v>
      </c>
      <c r="AE2697" s="78">
        <f t="shared" si="63"/>
        <v>0</v>
      </c>
    </row>
    <row r="2698" spans="1:31" x14ac:dyDescent="0.2">
      <c r="A2698" s="66"/>
      <c r="B2698" s="66"/>
      <c r="C2698" s="66"/>
      <c r="D2698" s="144"/>
      <c r="E2698" s="67"/>
      <c r="F2698" s="67"/>
      <c r="G2698" s="67"/>
      <c r="H2698" s="67">
        <f>ROUND(+E2698+G2698,4)</f>
        <v>0</v>
      </c>
      <c r="I2698" s="67"/>
      <c r="J2698" s="67">
        <f>ROUND(+I2698-H2698,4)</f>
        <v>0</v>
      </c>
      <c r="K2698" s="67">
        <f>ROUND(IF(F2698="alluminio",0,I2698*1.5%),4)</f>
        <v>0</v>
      </c>
      <c r="L2698" s="67">
        <f>ROUND(IF(K2698&lt;J2698,K2698,0),4)</f>
        <v>0</v>
      </c>
      <c r="M2698" s="67">
        <f>ROUND(IF(J2698&gt;K2698,0,J2698),4)</f>
        <v>0</v>
      </c>
      <c r="N2698" s="67">
        <f>ROUND(+L2698*D2698,4)</f>
        <v>0</v>
      </c>
      <c r="O2698" s="67">
        <f>ROUND(IF(F2698="rame",0,+I2698*3%),4)</f>
        <v>0</v>
      </c>
      <c r="P2698" s="67">
        <f>ROUND(IF(O2698&lt;J2698,O2698,0),4)</f>
        <v>0</v>
      </c>
      <c r="Q2698" s="67">
        <f>ROUND(IF(J2698&gt;O2698,0,J2698),4)</f>
        <v>0</v>
      </c>
      <c r="R2698" s="67">
        <f>ROUND(+P2698*D2698,4)</f>
        <v>0</v>
      </c>
      <c r="S2698" s="67">
        <f>ROUND(IF(K2698=0,0,M2698*D2698),4)</f>
        <v>0</v>
      </c>
      <c r="T2698" s="67">
        <f>ROUND(+IF(K2698=0,Q2698*D2698,0),4)</f>
        <v>0</v>
      </c>
      <c r="U2698" s="67">
        <f>ROUND(+N2698+R2698+S2698+T2698,4)</f>
        <v>0</v>
      </c>
      <c r="V2698" s="67">
        <f>ROUND(IF(P2698=0,0,I2698-H2698-O2698)+IF(L2698=0,0,I2698-H2698-K2698),4)</f>
        <v>0</v>
      </c>
      <c r="W2698" s="67">
        <f>ROUND(+(V2698*60%)*D2698,4)</f>
        <v>0</v>
      </c>
      <c r="X2698" s="148">
        <f>ROUND(+U2698+W2698,4)</f>
        <v>0</v>
      </c>
      <c r="Y2698" s="68"/>
      <c r="Z2698" s="148">
        <f>ROUND(IF(X2698&gt;I2698,X2698,I2698),4)</f>
        <v>0</v>
      </c>
      <c r="AD2698" s="78">
        <f t="shared" si="62"/>
        <v>0</v>
      </c>
      <c r="AE2698" s="78">
        <f t="shared" si="63"/>
        <v>0</v>
      </c>
    </row>
    <row r="2699" spans="1:31" x14ac:dyDescent="0.2">
      <c r="A2699" s="66"/>
      <c r="B2699" s="66"/>
      <c r="C2699" s="66"/>
      <c r="D2699" s="144"/>
      <c r="E2699" s="67"/>
      <c r="F2699" s="67"/>
      <c r="G2699" s="67"/>
      <c r="H2699" s="67">
        <f>ROUND(+E2699+G2699,4)</f>
        <v>0</v>
      </c>
      <c r="I2699" s="67"/>
      <c r="J2699" s="67">
        <f>ROUND(+I2699-H2699,4)</f>
        <v>0</v>
      </c>
      <c r="K2699" s="67">
        <f>ROUND(IF(F2699="alluminio",0,I2699*1.5%),4)</f>
        <v>0</v>
      </c>
      <c r="L2699" s="67">
        <f>ROUND(IF(K2699&lt;J2699,K2699,0),4)</f>
        <v>0</v>
      </c>
      <c r="M2699" s="67">
        <f>ROUND(IF(J2699&gt;K2699,0,J2699),4)</f>
        <v>0</v>
      </c>
      <c r="N2699" s="67">
        <f>ROUND(+L2699*D2699,4)</f>
        <v>0</v>
      </c>
      <c r="O2699" s="67">
        <f>ROUND(IF(F2699="rame",0,+I2699*3%),4)</f>
        <v>0</v>
      </c>
      <c r="P2699" s="67">
        <f>ROUND(IF(O2699&lt;J2699,O2699,0),4)</f>
        <v>0</v>
      </c>
      <c r="Q2699" s="67">
        <f>ROUND(IF(J2699&gt;O2699,0,J2699),4)</f>
        <v>0</v>
      </c>
      <c r="R2699" s="67">
        <f>ROUND(+P2699*D2699,4)</f>
        <v>0</v>
      </c>
      <c r="S2699" s="67">
        <f>ROUND(IF(K2699=0,0,M2699*D2699),4)</f>
        <v>0</v>
      </c>
      <c r="T2699" s="67">
        <f>ROUND(+IF(K2699=0,Q2699*D2699,0),4)</f>
        <v>0</v>
      </c>
      <c r="U2699" s="67">
        <f>ROUND(+N2699+R2699+S2699+T2699,4)</f>
        <v>0</v>
      </c>
      <c r="V2699" s="67">
        <f>ROUND(IF(P2699=0,0,I2699-H2699-O2699)+IF(L2699=0,0,I2699-H2699-K2699),4)</f>
        <v>0</v>
      </c>
      <c r="W2699" s="67">
        <f>ROUND(+(V2699*60%)*D2699,4)</f>
        <v>0</v>
      </c>
      <c r="X2699" s="148">
        <f>ROUND(+U2699+W2699,4)</f>
        <v>0</v>
      </c>
      <c r="Y2699" s="68"/>
      <c r="Z2699" s="148">
        <f>ROUND(IF(X2699&gt;I2699,X2699,I2699),4)</f>
        <v>0</v>
      </c>
      <c r="AD2699" s="78">
        <f t="shared" si="62"/>
        <v>0</v>
      </c>
      <c r="AE2699" s="78">
        <f t="shared" si="63"/>
        <v>0</v>
      </c>
    </row>
    <row r="2700" spans="1:31" x14ac:dyDescent="0.2">
      <c r="A2700" s="66"/>
      <c r="B2700" s="66"/>
      <c r="C2700" s="66"/>
      <c r="D2700" s="144"/>
      <c r="E2700" s="67"/>
      <c r="F2700" s="67"/>
      <c r="G2700" s="67"/>
      <c r="H2700" s="67">
        <f>ROUND(+E2700+G2700,4)</f>
        <v>0</v>
      </c>
      <c r="I2700" s="67"/>
      <c r="J2700" s="67">
        <f>ROUND(+I2700-H2700,4)</f>
        <v>0</v>
      </c>
      <c r="K2700" s="67">
        <f>ROUND(IF(F2700="alluminio",0,I2700*1.5%),4)</f>
        <v>0</v>
      </c>
      <c r="L2700" s="67">
        <f>ROUND(IF(K2700&lt;J2700,K2700,0),4)</f>
        <v>0</v>
      </c>
      <c r="M2700" s="67">
        <f>ROUND(IF(J2700&gt;K2700,0,J2700),4)</f>
        <v>0</v>
      </c>
      <c r="N2700" s="67">
        <f>ROUND(+L2700*D2700,4)</f>
        <v>0</v>
      </c>
      <c r="O2700" s="67">
        <f>ROUND(IF(F2700="rame",0,+I2700*3%),4)</f>
        <v>0</v>
      </c>
      <c r="P2700" s="67">
        <f>ROUND(IF(O2700&lt;J2700,O2700,0),4)</f>
        <v>0</v>
      </c>
      <c r="Q2700" s="67">
        <f>ROUND(IF(J2700&gt;O2700,0,J2700),4)</f>
        <v>0</v>
      </c>
      <c r="R2700" s="67">
        <f>ROUND(+P2700*D2700,4)</f>
        <v>0</v>
      </c>
      <c r="S2700" s="67">
        <f>ROUND(IF(K2700=0,0,M2700*D2700),4)</f>
        <v>0</v>
      </c>
      <c r="T2700" s="67">
        <f>ROUND(+IF(K2700=0,Q2700*D2700,0),4)</f>
        <v>0</v>
      </c>
      <c r="U2700" s="67">
        <f>ROUND(+N2700+R2700+S2700+T2700,4)</f>
        <v>0</v>
      </c>
      <c r="V2700" s="67">
        <f>ROUND(IF(P2700=0,0,I2700-H2700-O2700)+IF(L2700=0,0,I2700-H2700-K2700),4)</f>
        <v>0</v>
      </c>
      <c r="W2700" s="67">
        <f>ROUND(+(V2700*60%)*D2700,4)</f>
        <v>0</v>
      </c>
      <c r="X2700" s="148">
        <f>ROUND(+U2700+W2700,4)</f>
        <v>0</v>
      </c>
      <c r="Y2700" s="68"/>
      <c r="Z2700" s="148">
        <f>ROUND(IF(X2700&gt;I2700,X2700,I2700),4)</f>
        <v>0</v>
      </c>
      <c r="AD2700" s="78">
        <f t="shared" si="62"/>
        <v>0</v>
      </c>
      <c r="AE2700" s="78">
        <f t="shared" si="63"/>
        <v>0</v>
      </c>
    </row>
    <row r="2701" spans="1:31" x14ac:dyDescent="0.2">
      <c r="A2701" s="66"/>
      <c r="B2701" s="66"/>
      <c r="C2701" s="66"/>
      <c r="D2701" s="144"/>
      <c r="E2701" s="67"/>
      <c r="F2701" s="67"/>
      <c r="G2701" s="67"/>
      <c r="H2701" s="67">
        <f>ROUND(+E2701+G2701,4)</f>
        <v>0</v>
      </c>
      <c r="I2701" s="67"/>
      <c r="J2701" s="67">
        <f>ROUND(+I2701-H2701,4)</f>
        <v>0</v>
      </c>
      <c r="K2701" s="67">
        <f>ROUND(IF(F2701="alluminio",0,I2701*1.5%),4)</f>
        <v>0</v>
      </c>
      <c r="L2701" s="67">
        <f>ROUND(IF(K2701&lt;J2701,K2701,0),4)</f>
        <v>0</v>
      </c>
      <c r="M2701" s="67">
        <f>ROUND(IF(J2701&gt;K2701,0,J2701),4)</f>
        <v>0</v>
      </c>
      <c r="N2701" s="67">
        <f>ROUND(+L2701*D2701,4)</f>
        <v>0</v>
      </c>
      <c r="O2701" s="67">
        <f>ROUND(IF(F2701="rame",0,+I2701*3%),4)</f>
        <v>0</v>
      </c>
      <c r="P2701" s="67">
        <f>ROUND(IF(O2701&lt;J2701,O2701,0),4)</f>
        <v>0</v>
      </c>
      <c r="Q2701" s="67">
        <f>ROUND(IF(J2701&gt;O2701,0,J2701),4)</f>
        <v>0</v>
      </c>
      <c r="R2701" s="67">
        <f>ROUND(+P2701*D2701,4)</f>
        <v>0</v>
      </c>
      <c r="S2701" s="67">
        <f>ROUND(IF(K2701=0,0,M2701*D2701),4)</f>
        <v>0</v>
      </c>
      <c r="T2701" s="67">
        <f>ROUND(+IF(K2701=0,Q2701*D2701,0),4)</f>
        <v>0</v>
      </c>
      <c r="U2701" s="67">
        <f>ROUND(+N2701+R2701+S2701+T2701,4)</f>
        <v>0</v>
      </c>
      <c r="V2701" s="67">
        <f>ROUND(IF(P2701=0,0,I2701-H2701-O2701)+IF(L2701=0,0,I2701-H2701-K2701),4)</f>
        <v>0</v>
      </c>
      <c r="W2701" s="67">
        <f>ROUND(+(V2701*60%)*D2701,4)</f>
        <v>0</v>
      </c>
      <c r="X2701" s="148">
        <f>ROUND(+U2701+W2701,4)</f>
        <v>0</v>
      </c>
      <c r="Y2701" s="68"/>
      <c r="Z2701" s="148">
        <f>ROUND(IF(X2701&gt;I2701,X2701,I2701),4)</f>
        <v>0</v>
      </c>
      <c r="AD2701" s="78">
        <f t="shared" si="62"/>
        <v>0</v>
      </c>
      <c r="AE2701" s="78">
        <f t="shared" si="63"/>
        <v>0</v>
      </c>
    </row>
    <row r="2702" spans="1:31" x14ac:dyDescent="0.2">
      <c r="A2702" s="66"/>
      <c r="B2702" s="66"/>
      <c r="C2702" s="66"/>
      <c r="D2702" s="144"/>
      <c r="E2702" s="67"/>
      <c r="F2702" s="67"/>
      <c r="G2702" s="67"/>
      <c r="H2702" s="67">
        <f>ROUND(+E2702+G2702,4)</f>
        <v>0</v>
      </c>
      <c r="I2702" s="67"/>
      <c r="J2702" s="67">
        <f>ROUND(+I2702-H2702,4)</f>
        <v>0</v>
      </c>
      <c r="K2702" s="67">
        <f>ROUND(IF(F2702="alluminio",0,I2702*1.5%),4)</f>
        <v>0</v>
      </c>
      <c r="L2702" s="67">
        <f>ROUND(IF(K2702&lt;J2702,K2702,0),4)</f>
        <v>0</v>
      </c>
      <c r="M2702" s="67">
        <f>ROUND(IF(J2702&gt;K2702,0,J2702),4)</f>
        <v>0</v>
      </c>
      <c r="N2702" s="67">
        <f>ROUND(+L2702*D2702,4)</f>
        <v>0</v>
      </c>
      <c r="O2702" s="67">
        <f>ROUND(IF(F2702="rame",0,+I2702*3%),4)</f>
        <v>0</v>
      </c>
      <c r="P2702" s="67">
        <f>ROUND(IF(O2702&lt;J2702,O2702,0),4)</f>
        <v>0</v>
      </c>
      <c r="Q2702" s="67">
        <f>ROUND(IF(J2702&gt;O2702,0,J2702),4)</f>
        <v>0</v>
      </c>
      <c r="R2702" s="67">
        <f>ROUND(+P2702*D2702,4)</f>
        <v>0</v>
      </c>
      <c r="S2702" s="67">
        <f>ROUND(IF(K2702=0,0,M2702*D2702),4)</f>
        <v>0</v>
      </c>
      <c r="T2702" s="67">
        <f>ROUND(+IF(K2702=0,Q2702*D2702,0),4)</f>
        <v>0</v>
      </c>
      <c r="U2702" s="67">
        <f>ROUND(+N2702+R2702+S2702+T2702,4)</f>
        <v>0</v>
      </c>
      <c r="V2702" s="67">
        <f>ROUND(IF(P2702=0,0,I2702-H2702-O2702)+IF(L2702=0,0,I2702-H2702-K2702),4)</f>
        <v>0</v>
      </c>
      <c r="W2702" s="67">
        <f>ROUND(+(V2702*60%)*D2702,4)</f>
        <v>0</v>
      </c>
      <c r="X2702" s="148">
        <f>ROUND(+U2702+W2702,4)</f>
        <v>0</v>
      </c>
      <c r="Y2702" s="68"/>
      <c r="Z2702" s="148">
        <f>ROUND(IF(X2702&gt;I2702,X2702,I2702),4)</f>
        <v>0</v>
      </c>
      <c r="AD2702" s="78">
        <f t="shared" si="62"/>
        <v>0</v>
      </c>
      <c r="AE2702" s="78">
        <f t="shared" si="63"/>
        <v>0</v>
      </c>
    </row>
    <row r="2703" spans="1:31" x14ac:dyDescent="0.2">
      <c r="A2703" s="66"/>
      <c r="B2703" s="66"/>
      <c r="C2703" s="66"/>
      <c r="D2703" s="144"/>
      <c r="E2703" s="67"/>
      <c r="F2703" s="67"/>
      <c r="G2703" s="67"/>
      <c r="H2703" s="67">
        <f>ROUND(+E2703+G2703,4)</f>
        <v>0</v>
      </c>
      <c r="I2703" s="67"/>
      <c r="J2703" s="67">
        <f>ROUND(+I2703-H2703,4)</f>
        <v>0</v>
      </c>
      <c r="K2703" s="67">
        <f>ROUND(IF(F2703="alluminio",0,I2703*1.5%),4)</f>
        <v>0</v>
      </c>
      <c r="L2703" s="67">
        <f>ROUND(IF(K2703&lt;J2703,K2703,0),4)</f>
        <v>0</v>
      </c>
      <c r="M2703" s="67">
        <f>ROUND(IF(J2703&gt;K2703,0,J2703),4)</f>
        <v>0</v>
      </c>
      <c r="N2703" s="67">
        <f>ROUND(+L2703*D2703,4)</f>
        <v>0</v>
      </c>
      <c r="O2703" s="67">
        <f>ROUND(IF(F2703="rame",0,+I2703*3%),4)</f>
        <v>0</v>
      </c>
      <c r="P2703" s="67">
        <f>ROUND(IF(O2703&lt;J2703,O2703,0),4)</f>
        <v>0</v>
      </c>
      <c r="Q2703" s="67">
        <f>ROUND(IF(J2703&gt;O2703,0,J2703),4)</f>
        <v>0</v>
      </c>
      <c r="R2703" s="67">
        <f>ROUND(+P2703*D2703,4)</f>
        <v>0</v>
      </c>
      <c r="S2703" s="67">
        <f>ROUND(IF(K2703=0,0,M2703*D2703),4)</f>
        <v>0</v>
      </c>
      <c r="T2703" s="67">
        <f>ROUND(+IF(K2703=0,Q2703*D2703,0),4)</f>
        <v>0</v>
      </c>
      <c r="U2703" s="67">
        <f>ROUND(+N2703+R2703+S2703+T2703,4)</f>
        <v>0</v>
      </c>
      <c r="V2703" s="67">
        <f>ROUND(IF(P2703=0,0,I2703-H2703-O2703)+IF(L2703=0,0,I2703-H2703-K2703),4)</f>
        <v>0</v>
      </c>
      <c r="W2703" s="67">
        <f>ROUND(+(V2703*60%)*D2703,4)</f>
        <v>0</v>
      </c>
      <c r="X2703" s="148">
        <f>ROUND(+U2703+W2703,4)</f>
        <v>0</v>
      </c>
      <c r="Y2703" s="68"/>
      <c r="Z2703" s="148">
        <f>ROUND(IF(X2703&gt;I2703,X2703,I2703),4)</f>
        <v>0</v>
      </c>
      <c r="AD2703" s="78">
        <f t="shared" si="62"/>
        <v>0</v>
      </c>
      <c r="AE2703" s="78">
        <f t="shared" si="63"/>
        <v>0</v>
      </c>
    </row>
    <row r="2704" spans="1:31" x14ac:dyDescent="0.2">
      <c r="A2704" s="66"/>
      <c r="B2704" s="66"/>
      <c r="C2704" s="66"/>
      <c r="D2704" s="144"/>
      <c r="E2704" s="67"/>
      <c r="F2704" s="67"/>
      <c r="G2704" s="67"/>
      <c r="H2704" s="67">
        <f>ROUND(+E2704+G2704,4)</f>
        <v>0</v>
      </c>
      <c r="I2704" s="67"/>
      <c r="J2704" s="67">
        <f>ROUND(+I2704-H2704,4)</f>
        <v>0</v>
      </c>
      <c r="K2704" s="67">
        <f>ROUND(IF(F2704="alluminio",0,I2704*1.5%),4)</f>
        <v>0</v>
      </c>
      <c r="L2704" s="67">
        <f>ROUND(IF(K2704&lt;J2704,K2704,0),4)</f>
        <v>0</v>
      </c>
      <c r="M2704" s="67">
        <f>ROUND(IF(J2704&gt;K2704,0,J2704),4)</f>
        <v>0</v>
      </c>
      <c r="N2704" s="67">
        <f>ROUND(+L2704*D2704,4)</f>
        <v>0</v>
      </c>
      <c r="O2704" s="67">
        <f>ROUND(IF(F2704="rame",0,+I2704*3%),4)</f>
        <v>0</v>
      </c>
      <c r="P2704" s="67">
        <f>ROUND(IF(O2704&lt;J2704,O2704,0),4)</f>
        <v>0</v>
      </c>
      <c r="Q2704" s="67">
        <f>ROUND(IF(J2704&gt;O2704,0,J2704),4)</f>
        <v>0</v>
      </c>
      <c r="R2704" s="67">
        <f>ROUND(+P2704*D2704,4)</f>
        <v>0</v>
      </c>
      <c r="S2704" s="67">
        <f>ROUND(IF(K2704=0,0,M2704*D2704),4)</f>
        <v>0</v>
      </c>
      <c r="T2704" s="67">
        <f>ROUND(+IF(K2704=0,Q2704*D2704,0),4)</f>
        <v>0</v>
      </c>
      <c r="U2704" s="67">
        <f>ROUND(+N2704+R2704+S2704+T2704,4)</f>
        <v>0</v>
      </c>
      <c r="V2704" s="67">
        <f>ROUND(IF(P2704=0,0,I2704-H2704-O2704)+IF(L2704=0,0,I2704-H2704-K2704),4)</f>
        <v>0</v>
      </c>
      <c r="W2704" s="67">
        <f>ROUND(+(V2704*60%)*D2704,4)</f>
        <v>0</v>
      </c>
      <c r="X2704" s="148">
        <f>ROUND(+U2704+W2704,4)</f>
        <v>0</v>
      </c>
      <c r="Y2704" s="68"/>
      <c r="Z2704" s="148">
        <f>ROUND(IF(X2704&gt;I2704,X2704,I2704),4)</f>
        <v>0</v>
      </c>
      <c r="AD2704" s="78">
        <f t="shared" si="62"/>
        <v>0</v>
      </c>
      <c r="AE2704" s="78">
        <f t="shared" si="63"/>
        <v>0</v>
      </c>
    </row>
    <row r="2705" spans="1:31" x14ac:dyDescent="0.2">
      <c r="A2705" s="66"/>
      <c r="B2705" s="66"/>
      <c r="C2705" s="66"/>
      <c r="D2705" s="144"/>
      <c r="E2705" s="67"/>
      <c r="F2705" s="67"/>
      <c r="G2705" s="67"/>
      <c r="H2705" s="67">
        <f>ROUND(+E2705+G2705,4)</f>
        <v>0</v>
      </c>
      <c r="I2705" s="67"/>
      <c r="J2705" s="67">
        <f>ROUND(+I2705-H2705,4)</f>
        <v>0</v>
      </c>
      <c r="K2705" s="67">
        <f>ROUND(IF(F2705="alluminio",0,I2705*1.5%),4)</f>
        <v>0</v>
      </c>
      <c r="L2705" s="67">
        <f>ROUND(IF(K2705&lt;J2705,K2705,0),4)</f>
        <v>0</v>
      </c>
      <c r="M2705" s="67">
        <f>ROUND(IF(J2705&gt;K2705,0,J2705),4)</f>
        <v>0</v>
      </c>
      <c r="N2705" s="67">
        <f>ROUND(+L2705*D2705,4)</f>
        <v>0</v>
      </c>
      <c r="O2705" s="67">
        <f>ROUND(IF(F2705="rame",0,+I2705*3%),4)</f>
        <v>0</v>
      </c>
      <c r="P2705" s="67">
        <f>ROUND(IF(O2705&lt;J2705,O2705,0),4)</f>
        <v>0</v>
      </c>
      <c r="Q2705" s="67">
        <f>ROUND(IF(J2705&gt;O2705,0,J2705),4)</f>
        <v>0</v>
      </c>
      <c r="R2705" s="67">
        <f>ROUND(+P2705*D2705,4)</f>
        <v>0</v>
      </c>
      <c r="S2705" s="67">
        <f>ROUND(IF(K2705=0,0,M2705*D2705),4)</f>
        <v>0</v>
      </c>
      <c r="T2705" s="67">
        <f>ROUND(+IF(K2705=0,Q2705*D2705,0),4)</f>
        <v>0</v>
      </c>
      <c r="U2705" s="67">
        <f>ROUND(+N2705+R2705+S2705+T2705,4)</f>
        <v>0</v>
      </c>
      <c r="V2705" s="67">
        <f>ROUND(IF(P2705=0,0,I2705-H2705-O2705)+IF(L2705=0,0,I2705-H2705-K2705),4)</f>
        <v>0</v>
      </c>
      <c r="W2705" s="67">
        <f>ROUND(+(V2705*60%)*D2705,4)</f>
        <v>0</v>
      </c>
      <c r="X2705" s="148">
        <f>ROUND(+U2705+W2705,4)</f>
        <v>0</v>
      </c>
      <c r="Y2705" s="68"/>
      <c r="Z2705" s="148">
        <f>ROUND(IF(X2705&gt;I2705,X2705,I2705),4)</f>
        <v>0</v>
      </c>
      <c r="AD2705" s="78">
        <f t="shared" si="62"/>
        <v>0</v>
      </c>
      <c r="AE2705" s="78">
        <f t="shared" si="63"/>
        <v>0</v>
      </c>
    </row>
    <row r="2706" spans="1:31" x14ac:dyDescent="0.2">
      <c r="A2706" s="66"/>
      <c r="B2706" s="66"/>
      <c r="C2706" s="66"/>
      <c r="D2706" s="144"/>
      <c r="E2706" s="67"/>
      <c r="F2706" s="67"/>
      <c r="G2706" s="67"/>
      <c r="H2706" s="67">
        <f>ROUND(+E2706+G2706,4)</f>
        <v>0</v>
      </c>
      <c r="I2706" s="67"/>
      <c r="J2706" s="67">
        <f>ROUND(+I2706-H2706,4)</f>
        <v>0</v>
      </c>
      <c r="K2706" s="67">
        <f>ROUND(IF(F2706="alluminio",0,I2706*1.5%),4)</f>
        <v>0</v>
      </c>
      <c r="L2706" s="67">
        <f>ROUND(IF(K2706&lt;J2706,K2706,0),4)</f>
        <v>0</v>
      </c>
      <c r="M2706" s="67">
        <f>ROUND(IF(J2706&gt;K2706,0,J2706),4)</f>
        <v>0</v>
      </c>
      <c r="N2706" s="67">
        <f>ROUND(+L2706*D2706,4)</f>
        <v>0</v>
      </c>
      <c r="O2706" s="67">
        <f>ROUND(IF(F2706="rame",0,+I2706*3%),4)</f>
        <v>0</v>
      </c>
      <c r="P2706" s="67">
        <f>ROUND(IF(O2706&lt;J2706,O2706,0),4)</f>
        <v>0</v>
      </c>
      <c r="Q2706" s="67">
        <f>ROUND(IF(J2706&gt;O2706,0,J2706),4)</f>
        <v>0</v>
      </c>
      <c r="R2706" s="67">
        <f>ROUND(+P2706*D2706,4)</f>
        <v>0</v>
      </c>
      <c r="S2706" s="67">
        <f>ROUND(IF(K2706=0,0,M2706*D2706),4)</f>
        <v>0</v>
      </c>
      <c r="T2706" s="67">
        <f>ROUND(+IF(K2706=0,Q2706*D2706,0),4)</f>
        <v>0</v>
      </c>
      <c r="U2706" s="67">
        <f>ROUND(+N2706+R2706+S2706+T2706,4)</f>
        <v>0</v>
      </c>
      <c r="V2706" s="67">
        <f>ROUND(IF(P2706=0,0,I2706-H2706-O2706)+IF(L2706=0,0,I2706-H2706-K2706),4)</f>
        <v>0</v>
      </c>
      <c r="W2706" s="67">
        <f>ROUND(+(V2706*60%)*D2706,4)</f>
        <v>0</v>
      </c>
      <c r="X2706" s="148">
        <f>ROUND(+U2706+W2706,4)</f>
        <v>0</v>
      </c>
      <c r="Y2706" s="68"/>
      <c r="Z2706" s="148">
        <f>ROUND(IF(X2706&gt;I2706,X2706,I2706),4)</f>
        <v>0</v>
      </c>
      <c r="AD2706" s="78">
        <f t="shared" si="62"/>
        <v>0</v>
      </c>
      <c r="AE2706" s="78">
        <f t="shared" si="63"/>
        <v>0</v>
      </c>
    </row>
    <row r="2707" spans="1:31" x14ac:dyDescent="0.2">
      <c r="A2707" s="66"/>
      <c r="B2707" s="66"/>
      <c r="C2707" s="66"/>
      <c r="D2707" s="144"/>
      <c r="E2707" s="67"/>
      <c r="F2707" s="67"/>
      <c r="G2707" s="67"/>
      <c r="H2707" s="67">
        <f>ROUND(+E2707+G2707,4)</f>
        <v>0</v>
      </c>
      <c r="I2707" s="67"/>
      <c r="J2707" s="67">
        <f>ROUND(+I2707-H2707,4)</f>
        <v>0</v>
      </c>
      <c r="K2707" s="67">
        <f>ROUND(IF(F2707="alluminio",0,I2707*1.5%),4)</f>
        <v>0</v>
      </c>
      <c r="L2707" s="67">
        <f>ROUND(IF(K2707&lt;J2707,K2707,0),4)</f>
        <v>0</v>
      </c>
      <c r="M2707" s="67">
        <f>ROUND(IF(J2707&gt;K2707,0,J2707),4)</f>
        <v>0</v>
      </c>
      <c r="N2707" s="67">
        <f>ROUND(+L2707*D2707,4)</f>
        <v>0</v>
      </c>
      <c r="O2707" s="67">
        <f>ROUND(IF(F2707="rame",0,+I2707*3%),4)</f>
        <v>0</v>
      </c>
      <c r="P2707" s="67">
        <f>ROUND(IF(O2707&lt;J2707,O2707,0),4)</f>
        <v>0</v>
      </c>
      <c r="Q2707" s="67">
        <f>ROUND(IF(J2707&gt;O2707,0,J2707),4)</f>
        <v>0</v>
      </c>
      <c r="R2707" s="67">
        <f>ROUND(+P2707*D2707,4)</f>
        <v>0</v>
      </c>
      <c r="S2707" s="67">
        <f>ROUND(IF(K2707=0,0,M2707*D2707),4)</f>
        <v>0</v>
      </c>
      <c r="T2707" s="67">
        <f>ROUND(+IF(K2707=0,Q2707*D2707,0),4)</f>
        <v>0</v>
      </c>
      <c r="U2707" s="67">
        <f>ROUND(+N2707+R2707+S2707+T2707,4)</f>
        <v>0</v>
      </c>
      <c r="V2707" s="67">
        <f>ROUND(IF(P2707=0,0,I2707-H2707-O2707)+IF(L2707=0,0,I2707-H2707-K2707),4)</f>
        <v>0</v>
      </c>
      <c r="W2707" s="67">
        <f>ROUND(+(V2707*60%)*D2707,4)</f>
        <v>0</v>
      </c>
      <c r="X2707" s="148">
        <f>ROUND(+U2707+W2707,4)</f>
        <v>0</v>
      </c>
      <c r="Y2707" s="68"/>
      <c r="Z2707" s="148">
        <f>ROUND(IF(X2707&gt;I2707,X2707,I2707),4)</f>
        <v>0</v>
      </c>
      <c r="AD2707" s="78">
        <f t="shared" si="62"/>
        <v>0</v>
      </c>
      <c r="AE2707" s="78">
        <f t="shared" si="63"/>
        <v>0</v>
      </c>
    </row>
    <row r="2708" spans="1:31" x14ac:dyDescent="0.2">
      <c r="A2708" s="66"/>
      <c r="B2708" s="66"/>
      <c r="C2708" s="66"/>
      <c r="D2708" s="144"/>
      <c r="E2708" s="67"/>
      <c r="F2708" s="67"/>
      <c r="G2708" s="67"/>
      <c r="H2708" s="67">
        <f>ROUND(+E2708+G2708,4)</f>
        <v>0</v>
      </c>
      <c r="I2708" s="67"/>
      <c r="J2708" s="67">
        <f>ROUND(+I2708-H2708,4)</f>
        <v>0</v>
      </c>
      <c r="K2708" s="67">
        <f>ROUND(IF(F2708="alluminio",0,I2708*1.5%),4)</f>
        <v>0</v>
      </c>
      <c r="L2708" s="67">
        <f>ROUND(IF(K2708&lt;J2708,K2708,0),4)</f>
        <v>0</v>
      </c>
      <c r="M2708" s="67">
        <f>ROUND(IF(J2708&gt;K2708,0,J2708),4)</f>
        <v>0</v>
      </c>
      <c r="N2708" s="67">
        <f>ROUND(+L2708*D2708,4)</f>
        <v>0</v>
      </c>
      <c r="O2708" s="67">
        <f>ROUND(IF(F2708="rame",0,+I2708*3%),4)</f>
        <v>0</v>
      </c>
      <c r="P2708" s="67">
        <f>ROUND(IF(O2708&lt;J2708,O2708,0),4)</f>
        <v>0</v>
      </c>
      <c r="Q2708" s="67">
        <f>ROUND(IF(J2708&gt;O2708,0,J2708),4)</f>
        <v>0</v>
      </c>
      <c r="R2708" s="67">
        <f>ROUND(+P2708*D2708,4)</f>
        <v>0</v>
      </c>
      <c r="S2708" s="67">
        <f>ROUND(IF(K2708=0,0,M2708*D2708),4)</f>
        <v>0</v>
      </c>
      <c r="T2708" s="67">
        <f>ROUND(+IF(K2708=0,Q2708*D2708,0),4)</f>
        <v>0</v>
      </c>
      <c r="U2708" s="67">
        <f>ROUND(+N2708+R2708+S2708+T2708,4)</f>
        <v>0</v>
      </c>
      <c r="V2708" s="67">
        <f>ROUND(IF(P2708=0,0,I2708-H2708-O2708)+IF(L2708=0,0,I2708-H2708-K2708),4)</f>
        <v>0</v>
      </c>
      <c r="W2708" s="67">
        <f>ROUND(+(V2708*60%)*D2708,4)</f>
        <v>0</v>
      </c>
      <c r="X2708" s="148">
        <f>ROUND(+U2708+W2708,4)</f>
        <v>0</v>
      </c>
      <c r="Y2708" s="68"/>
      <c r="Z2708" s="148">
        <f>ROUND(IF(X2708&gt;I2708,X2708,I2708),4)</f>
        <v>0</v>
      </c>
      <c r="AD2708" s="78">
        <f t="shared" si="62"/>
        <v>0</v>
      </c>
      <c r="AE2708" s="78">
        <f t="shared" si="63"/>
        <v>0</v>
      </c>
    </row>
    <row r="2709" spans="1:31" x14ac:dyDescent="0.2">
      <c r="A2709" s="66"/>
      <c r="B2709" s="66"/>
      <c r="C2709" s="66"/>
      <c r="D2709" s="144"/>
      <c r="E2709" s="67"/>
      <c r="F2709" s="67"/>
      <c r="G2709" s="67"/>
      <c r="H2709" s="67">
        <f>ROUND(+E2709+G2709,4)</f>
        <v>0</v>
      </c>
      <c r="I2709" s="67"/>
      <c r="J2709" s="67">
        <f>ROUND(+I2709-H2709,4)</f>
        <v>0</v>
      </c>
      <c r="K2709" s="67">
        <f>ROUND(IF(F2709="alluminio",0,I2709*1.5%),4)</f>
        <v>0</v>
      </c>
      <c r="L2709" s="67">
        <f>ROUND(IF(K2709&lt;J2709,K2709,0),4)</f>
        <v>0</v>
      </c>
      <c r="M2709" s="67">
        <f>ROUND(IF(J2709&gt;K2709,0,J2709),4)</f>
        <v>0</v>
      </c>
      <c r="N2709" s="67">
        <f>ROUND(+L2709*D2709,4)</f>
        <v>0</v>
      </c>
      <c r="O2709" s="67">
        <f>ROUND(IF(F2709="rame",0,+I2709*3%),4)</f>
        <v>0</v>
      </c>
      <c r="P2709" s="67">
        <f>ROUND(IF(O2709&lt;J2709,O2709,0),4)</f>
        <v>0</v>
      </c>
      <c r="Q2709" s="67">
        <f>ROUND(IF(J2709&gt;O2709,0,J2709),4)</f>
        <v>0</v>
      </c>
      <c r="R2709" s="67">
        <f>ROUND(+P2709*D2709,4)</f>
        <v>0</v>
      </c>
      <c r="S2709" s="67">
        <f>ROUND(IF(K2709=0,0,M2709*D2709),4)</f>
        <v>0</v>
      </c>
      <c r="T2709" s="67">
        <f>ROUND(+IF(K2709=0,Q2709*D2709,0),4)</f>
        <v>0</v>
      </c>
      <c r="U2709" s="67">
        <f>ROUND(+N2709+R2709+S2709+T2709,4)</f>
        <v>0</v>
      </c>
      <c r="V2709" s="67">
        <f>ROUND(IF(P2709=0,0,I2709-H2709-O2709)+IF(L2709=0,0,I2709-H2709-K2709),4)</f>
        <v>0</v>
      </c>
      <c r="W2709" s="67">
        <f>ROUND(+(V2709*60%)*D2709,4)</f>
        <v>0</v>
      </c>
      <c r="X2709" s="148">
        <f>ROUND(+U2709+W2709,4)</f>
        <v>0</v>
      </c>
      <c r="Y2709" s="68"/>
      <c r="Z2709" s="148">
        <f>ROUND(IF(X2709&gt;I2709,X2709,I2709),4)</f>
        <v>0</v>
      </c>
      <c r="AD2709" s="78">
        <f t="shared" si="62"/>
        <v>0</v>
      </c>
      <c r="AE2709" s="78">
        <f t="shared" si="63"/>
        <v>0</v>
      </c>
    </row>
    <row r="2710" spans="1:31" x14ac:dyDescent="0.2">
      <c r="A2710" s="66"/>
      <c r="B2710" s="66"/>
      <c r="C2710" s="66"/>
      <c r="D2710" s="144"/>
      <c r="E2710" s="67"/>
      <c r="F2710" s="67"/>
      <c r="G2710" s="67"/>
      <c r="H2710" s="67">
        <f>ROUND(+E2710+G2710,4)</f>
        <v>0</v>
      </c>
      <c r="I2710" s="67"/>
      <c r="J2710" s="67">
        <f>ROUND(+I2710-H2710,4)</f>
        <v>0</v>
      </c>
      <c r="K2710" s="67">
        <f>ROUND(IF(F2710="alluminio",0,I2710*1.5%),4)</f>
        <v>0</v>
      </c>
      <c r="L2710" s="67">
        <f>ROUND(IF(K2710&lt;J2710,K2710,0),4)</f>
        <v>0</v>
      </c>
      <c r="M2710" s="67">
        <f>ROUND(IF(J2710&gt;K2710,0,J2710),4)</f>
        <v>0</v>
      </c>
      <c r="N2710" s="67">
        <f>ROUND(+L2710*D2710,4)</f>
        <v>0</v>
      </c>
      <c r="O2710" s="67">
        <f>ROUND(IF(F2710="rame",0,+I2710*3%),4)</f>
        <v>0</v>
      </c>
      <c r="P2710" s="67">
        <f>ROUND(IF(O2710&lt;J2710,O2710,0),4)</f>
        <v>0</v>
      </c>
      <c r="Q2710" s="67">
        <f>ROUND(IF(J2710&gt;O2710,0,J2710),4)</f>
        <v>0</v>
      </c>
      <c r="R2710" s="67">
        <f>ROUND(+P2710*D2710,4)</f>
        <v>0</v>
      </c>
      <c r="S2710" s="67">
        <f>ROUND(IF(K2710=0,0,M2710*D2710),4)</f>
        <v>0</v>
      </c>
      <c r="T2710" s="67">
        <f>ROUND(+IF(K2710=0,Q2710*D2710,0),4)</f>
        <v>0</v>
      </c>
      <c r="U2710" s="67">
        <f>ROUND(+N2710+R2710+S2710+T2710,4)</f>
        <v>0</v>
      </c>
      <c r="V2710" s="67">
        <f>ROUND(IF(P2710=0,0,I2710-H2710-O2710)+IF(L2710=0,0,I2710-H2710-K2710),4)</f>
        <v>0</v>
      </c>
      <c r="W2710" s="67">
        <f>ROUND(+(V2710*60%)*D2710,4)</f>
        <v>0</v>
      </c>
      <c r="X2710" s="148">
        <f>ROUND(+U2710+W2710,4)</f>
        <v>0</v>
      </c>
      <c r="Y2710" s="68"/>
      <c r="Z2710" s="148">
        <f>ROUND(IF(X2710&gt;I2710,X2710,I2710),4)</f>
        <v>0</v>
      </c>
      <c r="AD2710" s="78">
        <f t="shared" si="62"/>
        <v>0</v>
      </c>
      <c r="AE2710" s="78">
        <f t="shared" si="63"/>
        <v>0</v>
      </c>
    </row>
    <row r="2711" spans="1:31" x14ac:dyDescent="0.2">
      <c r="A2711" s="66"/>
      <c r="B2711" s="66"/>
      <c r="C2711" s="66"/>
      <c r="D2711" s="144"/>
      <c r="E2711" s="67"/>
      <c r="F2711" s="67"/>
      <c r="G2711" s="67"/>
      <c r="H2711" s="67">
        <f>ROUND(+E2711+G2711,4)</f>
        <v>0</v>
      </c>
      <c r="I2711" s="67"/>
      <c r="J2711" s="67">
        <f>ROUND(+I2711-H2711,4)</f>
        <v>0</v>
      </c>
      <c r="K2711" s="67">
        <f>ROUND(IF(F2711="alluminio",0,I2711*1.5%),4)</f>
        <v>0</v>
      </c>
      <c r="L2711" s="67">
        <f>ROUND(IF(K2711&lt;J2711,K2711,0),4)</f>
        <v>0</v>
      </c>
      <c r="M2711" s="67">
        <f>ROUND(IF(J2711&gt;K2711,0,J2711),4)</f>
        <v>0</v>
      </c>
      <c r="N2711" s="67">
        <f>ROUND(+L2711*D2711,4)</f>
        <v>0</v>
      </c>
      <c r="O2711" s="67">
        <f>ROUND(IF(F2711="rame",0,+I2711*3%),4)</f>
        <v>0</v>
      </c>
      <c r="P2711" s="67">
        <f>ROUND(IF(O2711&lt;J2711,O2711,0),4)</f>
        <v>0</v>
      </c>
      <c r="Q2711" s="67">
        <f>ROUND(IF(J2711&gt;O2711,0,J2711),4)</f>
        <v>0</v>
      </c>
      <c r="R2711" s="67">
        <f>ROUND(+P2711*D2711,4)</f>
        <v>0</v>
      </c>
      <c r="S2711" s="67">
        <f>ROUND(IF(K2711=0,0,M2711*D2711),4)</f>
        <v>0</v>
      </c>
      <c r="T2711" s="67">
        <f>ROUND(+IF(K2711=0,Q2711*D2711,0),4)</f>
        <v>0</v>
      </c>
      <c r="U2711" s="67">
        <f>ROUND(+N2711+R2711+S2711+T2711,4)</f>
        <v>0</v>
      </c>
      <c r="V2711" s="67">
        <f>ROUND(IF(P2711=0,0,I2711-H2711-O2711)+IF(L2711=0,0,I2711-H2711-K2711),4)</f>
        <v>0</v>
      </c>
      <c r="W2711" s="67">
        <f>ROUND(+(V2711*60%)*D2711,4)</f>
        <v>0</v>
      </c>
      <c r="X2711" s="148">
        <f>ROUND(+U2711+W2711,4)</f>
        <v>0</v>
      </c>
      <c r="Y2711" s="68"/>
      <c r="Z2711" s="148">
        <f>ROUND(IF(X2711&gt;I2711,X2711,I2711),4)</f>
        <v>0</v>
      </c>
      <c r="AD2711" s="78">
        <f t="shared" si="62"/>
        <v>0</v>
      </c>
      <c r="AE2711" s="78">
        <f t="shared" si="63"/>
        <v>0</v>
      </c>
    </row>
    <row r="2712" spans="1:31" x14ac:dyDescent="0.2">
      <c r="A2712" s="66"/>
      <c r="B2712" s="66"/>
      <c r="C2712" s="66"/>
      <c r="D2712" s="144"/>
      <c r="E2712" s="67"/>
      <c r="F2712" s="67"/>
      <c r="G2712" s="67"/>
      <c r="H2712" s="67">
        <f>ROUND(+E2712+G2712,4)</f>
        <v>0</v>
      </c>
      <c r="I2712" s="67"/>
      <c r="J2712" s="67">
        <f>ROUND(+I2712-H2712,4)</f>
        <v>0</v>
      </c>
      <c r="K2712" s="67">
        <f>ROUND(IF(F2712="alluminio",0,I2712*1.5%),4)</f>
        <v>0</v>
      </c>
      <c r="L2712" s="67">
        <f>ROUND(IF(K2712&lt;J2712,K2712,0),4)</f>
        <v>0</v>
      </c>
      <c r="M2712" s="67">
        <f>ROUND(IF(J2712&gt;K2712,0,J2712),4)</f>
        <v>0</v>
      </c>
      <c r="N2712" s="67">
        <f>ROUND(+L2712*D2712,4)</f>
        <v>0</v>
      </c>
      <c r="O2712" s="67">
        <f>ROUND(IF(F2712="rame",0,+I2712*3%),4)</f>
        <v>0</v>
      </c>
      <c r="P2712" s="67">
        <f>ROUND(IF(O2712&lt;J2712,O2712,0),4)</f>
        <v>0</v>
      </c>
      <c r="Q2712" s="67">
        <f>ROUND(IF(J2712&gt;O2712,0,J2712),4)</f>
        <v>0</v>
      </c>
      <c r="R2712" s="67">
        <f>ROUND(+P2712*D2712,4)</f>
        <v>0</v>
      </c>
      <c r="S2712" s="67">
        <f>ROUND(IF(K2712=0,0,M2712*D2712),4)</f>
        <v>0</v>
      </c>
      <c r="T2712" s="67">
        <f>ROUND(+IF(K2712=0,Q2712*D2712,0),4)</f>
        <v>0</v>
      </c>
      <c r="U2712" s="67">
        <f>ROUND(+N2712+R2712+S2712+T2712,4)</f>
        <v>0</v>
      </c>
      <c r="V2712" s="67">
        <f>ROUND(IF(P2712=0,0,I2712-H2712-O2712)+IF(L2712=0,0,I2712-H2712-K2712),4)</f>
        <v>0</v>
      </c>
      <c r="W2712" s="67">
        <f>ROUND(+(V2712*60%)*D2712,4)</f>
        <v>0</v>
      </c>
      <c r="X2712" s="148">
        <f>ROUND(+U2712+W2712,4)</f>
        <v>0</v>
      </c>
      <c r="Y2712" s="68"/>
      <c r="Z2712" s="148">
        <f>ROUND(IF(X2712&gt;I2712,X2712,I2712),4)</f>
        <v>0</v>
      </c>
      <c r="AD2712" s="78">
        <f t="shared" si="62"/>
        <v>0</v>
      </c>
      <c r="AE2712" s="78">
        <f t="shared" si="63"/>
        <v>0</v>
      </c>
    </row>
    <row r="2713" spans="1:31" x14ac:dyDescent="0.2">
      <c r="A2713" s="66"/>
      <c r="B2713" s="66"/>
      <c r="C2713" s="66"/>
      <c r="D2713" s="144"/>
      <c r="E2713" s="67"/>
      <c r="F2713" s="67"/>
      <c r="G2713" s="67"/>
      <c r="H2713" s="67">
        <f>ROUND(+E2713+G2713,4)</f>
        <v>0</v>
      </c>
      <c r="I2713" s="67"/>
      <c r="J2713" s="67">
        <f>ROUND(+I2713-H2713,4)</f>
        <v>0</v>
      </c>
      <c r="K2713" s="67">
        <f>ROUND(IF(F2713="alluminio",0,I2713*1.5%),4)</f>
        <v>0</v>
      </c>
      <c r="L2713" s="67">
        <f>ROUND(IF(K2713&lt;J2713,K2713,0),4)</f>
        <v>0</v>
      </c>
      <c r="M2713" s="67">
        <f>ROUND(IF(J2713&gt;K2713,0,J2713),4)</f>
        <v>0</v>
      </c>
      <c r="N2713" s="67">
        <f>ROUND(+L2713*D2713,4)</f>
        <v>0</v>
      </c>
      <c r="O2713" s="67">
        <f>ROUND(IF(F2713="rame",0,+I2713*3%),4)</f>
        <v>0</v>
      </c>
      <c r="P2713" s="67">
        <f>ROUND(IF(O2713&lt;J2713,O2713,0),4)</f>
        <v>0</v>
      </c>
      <c r="Q2713" s="67">
        <f>ROUND(IF(J2713&gt;O2713,0,J2713),4)</f>
        <v>0</v>
      </c>
      <c r="R2713" s="67">
        <f>ROUND(+P2713*D2713,4)</f>
        <v>0</v>
      </c>
      <c r="S2713" s="67">
        <f>ROUND(IF(K2713=0,0,M2713*D2713),4)</f>
        <v>0</v>
      </c>
      <c r="T2713" s="67">
        <f>ROUND(+IF(K2713=0,Q2713*D2713,0),4)</f>
        <v>0</v>
      </c>
      <c r="U2713" s="67">
        <f>ROUND(+N2713+R2713+S2713+T2713,4)</f>
        <v>0</v>
      </c>
      <c r="V2713" s="67">
        <f>ROUND(IF(P2713=0,0,I2713-H2713-O2713)+IF(L2713=0,0,I2713-H2713-K2713),4)</f>
        <v>0</v>
      </c>
      <c r="W2713" s="67">
        <f>ROUND(+(V2713*60%)*D2713,4)</f>
        <v>0</v>
      </c>
      <c r="X2713" s="148">
        <f>ROUND(+U2713+W2713,4)</f>
        <v>0</v>
      </c>
      <c r="Y2713" s="68"/>
      <c r="Z2713" s="148">
        <f>ROUND(IF(X2713&gt;I2713,X2713,I2713),4)</f>
        <v>0</v>
      </c>
      <c r="AD2713" s="78">
        <f t="shared" si="62"/>
        <v>0</v>
      </c>
      <c r="AE2713" s="78">
        <f t="shared" si="63"/>
        <v>0</v>
      </c>
    </row>
    <row r="2714" spans="1:31" x14ac:dyDescent="0.2">
      <c r="A2714" s="66"/>
      <c r="B2714" s="66"/>
      <c r="C2714" s="66"/>
      <c r="D2714" s="144"/>
      <c r="E2714" s="67"/>
      <c r="F2714" s="67"/>
      <c r="G2714" s="67"/>
      <c r="H2714" s="67">
        <f>ROUND(+E2714+G2714,4)</f>
        <v>0</v>
      </c>
      <c r="I2714" s="67"/>
      <c r="J2714" s="67">
        <f>ROUND(+I2714-H2714,4)</f>
        <v>0</v>
      </c>
      <c r="K2714" s="67">
        <f>ROUND(IF(F2714="alluminio",0,I2714*1.5%),4)</f>
        <v>0</v>
      </c>
      <c r="L2714" s="67">
        <f>ROUND(IF(K2714&lt;J2714,K2714,0),4)</f>
        <v>0</v>
      </c>
      <c r="M2714" s="67">
        <f>ROUND(IF(J2714&gt;K2714,0,J2714),4)</f>
        <v>0</v>
      </c>
      <c r="N2714" s="67">
        <f>ROUND(+L2714*D2714,4)</f>
        <v>0</v>
      </c>
      <c r="O2714" s="67">
        <f>ROUND(IF(F2714="rame",0,+I2714*3%),4)</f>
        <v>0</v>
      </c>
      <c r="P2714" s="67">
        <f>ROUND(IF(O2714&lt;J2714,O2714,0),4)</f>
        <v>0</v>
      </c>
      <c r="Q2714" s="67">
        <f>ROUND(IF(J2714&gt;O2714,0,J2714),4)</f>
        <v>0</v>
      </c>
      <c r="R2714" s="67">
        <f>ROUND(+P2714*D2714,4)</f>
        <v>0</v>
      </c>
      <c r="S2714" s="67">
        <f>ROUND(IF(K2714=0,0,M2714*D2714),4)</f>
        <v>0</v>
      </c>
      <c r="T2714" s="67">
        <f>ROUND(+IF(K2714=0,Q2714*D2714,0),4)</f>
        <v>0</v>
      </c>
      <c r="U2714" s="67">
        <f>ROUND(+N2714+R2714+S2714+T2714,4)</f>
        <v>0</v>
      </c>
      <c r="V2714" s="67">
        <f>ROUND(IF(P2714=0,0,I2714-H2714-O2714)+IF(L2714=0,0,I2714-H2714-K2714),4)</f>
        <v>0</v>
      </c>
      <c r="W2714" s="67">
        <f>ROUND(+(V2714*60%)*D2714,4)</f>
        <v>0</v>
      </c>
      <c r="X2714" s="148">
        <f>ROUND(+U2714+W2714,4)</f>
        <v>0</v>
      </c>
      <c r="Y2714" s="68"/>
      <c r="Z2714" s="148">
        <f>ROUND(IF(X2714&gt;I2714,X2714,I2714),4)</f>
        <v>0</v>
      </c>
      <c r="AD2714" s="78">
        <f t="shared" si="62"/>
        <v>0</v>
      </c>
      <c r="AE2714" s="78">
        <f t="shared" si="63"/>
        <v>0</v>
      </c>
    </row>
    <row r="2715" spans="1:31" x14ac:dyDescent="0.2">
      <c r="A2715" s="66"/>
      <c r="B2715" s="66"/>
      <c r="C2715" s="66"/>
      <c r="D2715" s="144"/>
      <c r="E2715" s="67"/>
      <c r="F2715" s="67"/>
      <c r="G2715" s="67"/>
      <c r="H2715" s="67">
        <f>ROUND(+E2715+G2715,4)</f>
        <v>0</v>
      </c>
      <c r="I2715" s="67"/>
      <c r="J2715" s="67">
        <f>ROUND(+I2715-H2715,4)</f>
        <v>0</v>
      </c>
      <c r="K2715" s="67">
        <f>ROUND(IF(F2715="alluminio",0,I2715*1.5%),4)</f>
        <v>0</v>
      </c>
      <c r="L2715" s="67">
        <f>ROUND(IF(K2715&lt;J2715,K2715,0),4)</f>
        <v>0</v>
      </c>
      <c r="M2715" s="67">
        <f>ROUND(IF(J2715&gt;K2715,0,J2715),4)</f>
        <v>0</v>
      </c>
      <c r="N2715" s="67">
        <f>ROUND(+L2715*D2715,4)</f>
        <v>0</v>
      </c>
      <c r="O2715" s="67">
        <f>ROUND(IF(F2715="rame",0,+I2715*3%),4)</f>
        <v>0</v>
      </c>
      <c r="P2715" s="67">
        <f>ROUND(IF(O2715&lt;J2715,O2715,0),4)</f>
        <v>0</v>
      </c>
      <c r="Q2715" s="67">
        <f>ROUND(IF(J2715&gt;O2715,0,J2715),4)</f>
        <v>0</v>
      </c>
      <c r="R2715" s="67">
        <f>ROUND(+P2715*D2715,4)</f>
        <v>0</v>
      </c>
      <c r="S2715" s="67">
        <f>ROUND(IF(K2715=0,0,M2715*D2715),4)</f>
        <v>0</v>
      </c>
      <c r="T2715" s="67">
        <f>ROUND(+IF(K2715=0,Q2715*D2715,0),4)</f>
        <v>0</v>
      </c>
      <c r="U2715" s="67">
        <f>ROUND(+N2715+R2715+S2715+T2715,4)</f>
        <v>0</v>
      </c>
      <c r="V2715" s="67">
        <f>ROUND(IF(P2715=0,0,I2715-H2715-O2715)+IF(L2715=0,0,I2715-H2715-K2715),4)</f>
        <v>0</v>
      </c>
      <c r="W2715" s="67">
        <f>ROUND(+(V2715*60%)*D2715,4)</f>
        <v>0</v>
      </c>
      <c r="X2715" s="148">
        <f>ROUND(+U2715+W2715,4)</f>
        <v>0</v>
      </c>
      <c r="Y2715" s="68"/>
      <c r="Z2715" s="148">
        <f>ROUND(IF(X2715&gt;I2715,X2715,I2715),4)</f>
        <v>0</v>
      </c>
      <c r="AD2715" s="78">
        <f t="shared" si="62"/>
        <v>0</v>
      </c>
      <c r="AE2715" s="78">
        <f t="shared" si="63"/>
        <v>0</v>
      </c>
    </row>
    <row r="2716" spans="1:31" x14ac:dyDescent="0.2">
      <c r="A2716" s="66"/>
      <c r="B2716" s="66"/>
      <c r="C2716" s="66"/>
      <c r="D2716" s="144"/>
      <c r="E2716" s="67"/>
      <c r="F2716" s="67"/>
      <c r="G2716" s="67"/>
      <c r="H2716" s="67">
        <f>ROUND(+E2716+G2716,4)</f>
        <v>0</v>
      </c>
      <c r="I2716" s="67"/>
      <c r="J2716" s="67">
        <f>ROUND(+I2716-H2716,4)</f>
        <v>0</v>
      </c>
      <c r="K2716" s="67">
        <f>ROUND(IF(F2716="alluminio",0,I2716*1.5%),4)</f>
        <v>0</v>
      </c>
      <c r="L2716" s="67">
        <f>ROUND(IF(K2716&lt;J2716,K2716,0),4)</f>
        <v>0</v>
      </c>
      <c r="M2716" s="67">
        <f>ROUND(IF(J2716&gt;K2716,0,J2716),4)</f>
        <v>0</v>
      </c>
      <c r="N2716" s="67">
        <f>ROUND(+L2716*D2716,4)</f>
        <v>0</v>
      </c>
      <c r="O2716" s="67">
        <f>ROUND(IF(F2716="rame",0,+I2716*3%),4)</f>
        <v>0</v>
      </c>
      <c r="P2716" s="67">
        <f>ROUND(IF(O2716&lt;J2716,O2716,0),4)</f>
        <v>0</v>
      </c>
      <c r="Q2716" s="67">
        <f>ROUND(IF(J2716&gt;O2716,0,J2716),4)</f>
        <v>0</v>
      </c>
      <c r="R2716" s="67">
        <f>ROUND(+P2716*D2716,4)</f>
        <v>0</v>
      </c>
      <c r="S2716" s="67">
        <f>ROUND(IF(K2716=0,0,M2716*D2716),4)</f>
        <v>0</v>
      </c>
      <c r="T2716" s="67">
        <f>ROUND(+IF(K2716=0,Q2716*D2716,0),4)</f>
        <v>0</v>
      </c>
      <c r="U2716" s="67">
        <f>ROUND(+N2716+R2716+S2716+T2716,4)</f>
        <v>0</v>
      </c>
      <c r="V2716" s="67">
        <f>ROUND(IF(P2716=0,0,I2716-H2716-O2716)+IF(L2716=0,0,I2716-H2716-K2716),4)</f>
        <v>0</v>
      </c>
      <c r="W2716" s="67">
        <f>ROUND(+(V2716*60%)*D2716,4)</f>
        <v>0</v>
      </c>
      <c r="X2716" s="148">
        <f>ROUND(+U2716+W2716,4)</f>
        <v>0</v>
      </c>
      <c r="Y2716" s="68"/>
      <c r="Z2716" s="148">
        <f>ROUND(IF(X2716&gt;I2716,X2716,I2716),4)</f>
        <v>0</v>
      </c>
      <c r="AD2716" s="78">
        <f t="shared" si="62"/>
        <v>0</v>
      </c>
      <c r="AE2716" s="78">
        <f t="shared" si="63"/>
        <v>0</v>
      </c>
    </row>
    <row r="2717" spans="1:31" x14ac:dyDescent="0.2">
      <c r="A2717" s="66"/>
      <c r="B2717" s="66"/>
      <c r="C2717" s="66"/>
      <c r="D2717" s="144"/>
      <c r="E2717" s="67"/>
      <c r="F2717" s="67"/>
      <c r="G2717" s="67"/>
      <c r="H2717" s="67">
        <f>ROUND(+E2717+G2717,4)</f>
        <v>0</v>
      </c>
      <c r="I2717" s="67"/>
      <c r="J2717" s="67">
        <f>ROUND(+I2717-H2717,4)</f>
        <v>0</v>
      </c>
      <c r="K2717" s="67">
        <f>ROUND(IF(F2717="alluminio",0,I2717*1.5%),4)</f>
        <v>0</v>
      </c>
      <c r="L2717" s="67">
        <f>ROUND(IF(K2717&lt;J2717,K2717,0),4)</f>
        <v>0</v>
      </c>
      <c r="M2717" s="67">
        <f>ROUND(IF(J2717&gt;K2717,0,J2717),4)</f>
        <v>0</v>
      </c>
      <c r="N2717" s="67">
        <f>ROUND(+L2717*D2717,4)</f>
        <v>0</v>
      </c>
      <c r="O2717" s="67">
        <f>ROUND(IF(F2717="rame",0,+I2717*3%),4)</f>
        <v>0</v>
      </c>
      <c r="P2717" s="67">
        <f>ROUND(IF(O2717&lt;J2717,O2717,0),4)</f>
        <v>0</v>
      </c>
      <c r="Q2717" s="67">
        <f>ROUND(IF(J2717&gt;O2717,0,J2717),4)</f>
        <v>0</v>
      </c>
      <c r="R2717" s="67">
        <f>ROUND(+P2717*D2717,4)</f>
        <v>0</v>
      </c>
      <c r="S2717" s="67">
        <f>ROUND(IF(K2717=0,0,M2717*D2717),4)</f>
        <v>0</v>
      </c>
      <c r="T2717" s="67">
        <f>ROUND(+IF(K2717=0,Q2717*D2717,0),4)</f>
        <v>0</v>
      </c>
      <c r="U2717" s="67">
        <f>ROUND(+N2717+R2717+S2717+T2717,4)</f>
        <v>0</v>
      </c>
      <c r="V2717" s="67">
        <f>ROUND(IF(P2717=0,0,I2717-H2717-O2717)+IF(L2717=0,0,I2717-H2717-K2717),4)</f>
        <v>0</v>
      </c>
      <c r="W2717" s="67">
        <f>ROUND(+(V2717*60%)*D2717,4)</f>
        <v>0</v>
      </c>
      <c r="X2717" s="148">
        <f>ROUND(+U2717+W2717,4)</f>
        <v>0</v>
      </c>
      <c r="Y2717" s="68"/>
      <c r="Z2717" s="148">
        <f>ROUND(IF(X2717&gt;I2717,X2717,I2717),4)</f>
        <v>0</v>
      </c>
      <c r="AD2717" s="78">
        <f t="shared" si="62"/>
        <v>0</v>
      </c>
      <c r="AE2717" s="78">
        <f t="shared" si="63"/>
        <v>0</v>
      </c>
    </row>
    <row r="2718" spans="1:31" x14ac:dyDescent="0.2">
      <c r="A2718" s="66"/>
      <c r="B2718" s="66"/>
      <c r="C2718" s="66"/>
      <c r="D2718" s="144"/>
      <c r="E2718" s="67"/>
      <c r="F2718" s="67"/>
      <c r="G2718" s="67"/>
      <c r="H2718" s="67">
        <f>ROUND(+E2718+G2718,4)</f>
        <v>0</v>
      </c>
      <c r="I2718" s="67"/>
      <c r="J2718" s="67">
        <f>ROUND(+I2718-H2718,4)</f>
        <v>0</v>
      </c>
      <c r="K2718" s="67">
        <f>ROUND(IF(F2718="alluminio",0,I2718*1.5%),4)</f>
        <v>0</v>
      </c>
      <c r="L2718" s="67">
        <f>ROUND(IF(K2718&lt;J2718,K2718,0),4)</f>
        <v>0</v>
      </c>
      <c r="M2718" s="67">
        <f>ROUND(IF(J2718&gt;K2718,0,J2718),4)</f>
        <v>0</v>
      </c>
      <c r="N2718" s="67">
        <f>ROUND(+L2718*D2718,4)</f>
        <v>0</v>
      </c>
      <c r="O2718" s="67">
        <f>ROUND(IF(F2718="rame",0,+I2718*3%),4)</f>
        <v>0</v>
      </c>
      <c r="P2718" s="67">
        <f>ROUND(IF(O2718&lt;J2718,O2718,0),4)</f>
        <v>0</v>
      </c>
      <c r="Q2718" s="67">
        <f>ROUND(IF(J2718&gt;O2718,0,J2718),4)</f>
        <v>0</v>
      </c>
      <c r="R2718" s="67">
        <f>ROUND(+P2718*D2718,4)</f>
        <v>0</v>
      </c>
      <c r="S2718" s="67">
        <f>ROUND(IF(K2718=0,0,M2718*D2718),4)</f>
        <v>0</v>
      </c>
      <c r="T2718" s="67">
        <f>ROUND(+IF(K2718=0,Q2718*D2718,0),4)</f>
        <v>0</v>
      </c>
      <c r="U2718" s="67">
        <f>ROUND(+N2718+R2718+S2718+T2718,4)</f>
        <v>0</v>
      </c>
      <c r="V2718" s="67">
        <f>ROUND(IF(P2718=0,0,I2718-H2718-O2718)+IF(L2718=0,0,I2718-H2718-K2718),4)</f>
        <v>0</v>
      </c>
      <c r="W2718" s="67">
        <f>ROUND(+(V2718*60%)*D2718,4)</f>
        <v>0</v>
      </c>
      <c r="X2718" s="148">
        <f>ROUND(+U2718+W2718,4)</f>
        <v>0</v>
      </c>
      <c r="Y2718" s="68"/>
      <c r="Z2718" s="148">
        <f>ROUND(IF(X2718&gt;I2718,X2718,I2718),4)</f>
        <v>0</v>
      </c>
      <c r="AD2718" s="78">
        <f t="shared" si="62"/>
        <v>0</v>
      </c>
      <c r="AE2718" s="78">
        <f t="shared" si="63"/>
        <v>0</v>
      </c>
    </row>
    <row r="2719" spans="1:31" x14ac:dyDescent="0.2">
      <c r="A2719" s="66"/>
      <c r="B2719" s="66"/>
      <c r="C2719" s="66"/>
      <c r="D2719" s="144"/>
      <c r="E2719" s="67"/>
      <c r="F2719" s="67"/>
      <c r="G2719" s="67"/>
      <c r="H2719" s="67">
        <f>ROUND(+E2719+G2719,4)</f>
        <v>0</v>
      </c>
      <c r="I2719" s="67"/>
      <c r="J2719" s="67">
        <f>ROUND(+I2719-H2719,4)</f>
        <v>0</v>
      </c>
      <c r="K2719" s="67">
        <f>ROUND(IF(F2719="alluminio",0,I2719*1.5%),4)</f>
        <v>0</v>
      </c>
      <c r="L2719" s="67">
        <f>ROUND(IF(K2719&lt;J2719,K2719,0),4)</f>
        <v>0</v>
      </c>
      <c r="M2719" s="67">
        <f>ROUND(IF(J2719&gt;K2719,0,J2719),4)</f>
        <v>0</v>
      </c>
      <c r="N2719" s="67">
        <f>ROUND(+L2719*D2719,4)</f>
        <v>0</v>
      </c>
      <c r="O2719" s="67">
        <f>ROUND(IF(F2719="rame",0,+I2719*3%),4)</f>
        <v>0</v>
      </c>
      <c r="P2719" s="67">
        <f>ROUND(IF(O2719&lt;J2719,O2719,0),4)</f>
        <v>0</v>
      </c>
      <c r="Q2719" s="67">
        <f>ROUND(IF(J2719&gt;O2719,0,J2719),4)</f>
        <v>0</v>
      </c>
      <c r="R2719" s="67">
        <f>ROUND(+P2719*D2719,4)</f>
        <v>0</v>
      </c>
      <c r="S2719" s="67">
        <f>ROUND(IF(K2719=0,0,M2719*D2719),4)</f>
        <v>0</v>
      </c>
      <c r="T2719" s="67">
        <f>ROUND(+IF(K2719=0,Q2719*D2719,0),4)</f>
        <v>0</v>
      </c>
      <c r="U2719" s="67">
        <f>ROUND(+N2719+R2719+S2719+T2719,4)</f>
        <v>0</v>
      </c>
      <c r="V2719" s="67">
        <f>ROUND(IF(P2719=0,0,I2719-H2719-O2719)+IF(L2719=0,0,I2719-H2719-K2719),4)</f>
        <v>0</v>
      </c>
      <c r="W2719" s="67">
        <f>ROUND(+(V2719*60%)*D2719,4)</f>
        <v>0</v>
      </c>
      <c r="X2719" s="148">
        <f>ROUND(+U2719+W2719,4)</f>
        <v>0</v>
      </c>
      <c r="Y2719" s="68"/>
      <c r="Z2719" s="148">
        <f>ROUND(IF(X2719&gt;I2719,X2719,I2719),4)</f>
        <v>0</v>
      </c>
      <c r="AD2719" s="78">
        <f t="shared" si="62"/>
        <v>0</v>
      </c>
      <c r="AE2719" s="78">
        <f t="shared" si="63"/>
        <v>0</v>
      </c>
    </row>
    <row r="2720" spans="1:31" x14ac:dyDescent="0.2">
      <c r="A2720" s="66"/>
      <c r="B2720" s="66"/>
      <c r="C2720" s="66"/>
      <c r="D2720" s="144"/>
      <c r="E2720" s="67"/>
      <c r="F2720" s="67"/>
      <c r="G2720" s="67"/>
      <c r="H2720" s="67">
        <f>ROUND(+E2720+G2720,4)</f>
        <v>0</v>
      </c>
      <c r="I2720" s="67"/>
      <c r="J2720" s="67">
        <f>ROUND(+I2720-H2720,4)</f>
        <v>0</v>
      </c>
      <c r="K2720" s="67">
        <f>ROUND(IF(F2720="alluminio",0,I2720*1.5%),4)</f>
        <v>0</v>
      </c>
      <c r="L2720" s="67">
        <f>ROUND(IF(K2720&lt;J2720,K2720,0),4)</f>
        <v>0</v>
      </c>
      <c r="M2720" s="67">
        <f>ROUND(IF(J2720&gt;K2720,0,J2720),4)</f>
        <v>0</v>
      </c>
      <c r="N2720" s="67">
        <f>ROUND(+L2720*D2720,4)</f>
        <v>0</v>
      </c>
      <c r="O2720" s="67">
        <f>ROUND(IF(F2720="rame",0,+I2720*3%),4)</f>
        <v>0</v>
      </c>
      <c r="P2720" s="67">
        <f>ROUND(IF(O2720&lt;J2720,O2720,0),4)</f>
        <v>0</v>
      </c>
      <c r="Q2720" s="67">
        <f>ROUND(IF(J2720&gt;O2720,0,J2720),4)</f>
        <v>0</v>
      </c>
      <c r="R2720" s="67">
        <f>ROUND(+P2720*D2720,4)</f>
        <v>0</v>
      </c>
      <c r="S2720" s="67">
        <f>ROUND(IF(K2720=0,0,M2720*D2720),4)</f>
        <v>0</v>
      </c>
      <c r="T2720" s="67">
        <f>ROUND(+IF(K2720=0,Q2720*D2720,0),4)</f>
        <v>0</v>
      </c>
      <c r="U2720" s="67">
        <f>ROUND(+N2720+R2720+S2720+T2720,4)</f>
        <v>0</v>
      </c>
      <c r="V2720" s="67">
        <f>ROUND(IF(P2720=0,0,I2720-H2720-O2720)+IF(L2720=0,0,I2720-H2720-K2720),4)</f>
        <v>0</v>
      </c>
      <c r="W2720" s="67">
        <f>ROUND(+(V2720*60%)*D2720,4)</f>
        <v>0</v>
      </c>
      <c r="X2720" s="148">
        <f>ROUND(+U2720+W2720,4)</f>
        <v>0</v>
      </c>
      <c r="Y2720" s="68"/>
      <c r="Z2720" s="148">
        <f>ROUND(IF(X2720&gt;I2720,X2720,I2720),4)</f>
        <v>0</v>
      </c>
      <c r="AD2720" s="78">
        <f t="shared" si="62"/>
        <v>0</v>
      </c>
      <c r="AE2720" s="78">
        <f t="shared" si="63"/>
        <v>0</v>
      </c>
    </row>
    <row r="2721" spans="1:31" x14ac:dyDescent="0.2">
      <c r="A2721" s="66"/>
      <c r="B2721" s="66"/>
      <c r="C2721" s="66"/>
      <c r="D2721" s="144"/>
      <c r="E2721" s="67"/>
      <c r="F2721" s="67"/>
      <c r="G2721" s="67"/>
      <c r="H2721" s="67">
        <f>ROUND(+E2721+G2721,4)</f>
        <v>0</v>
      </c>
      <c r="I2721" s="67"/>
      <c r="J2721" s="67">
        <f>ROUND(+I2721-H2721,4)</f>
        <v>0</v>
      </c>
      <c r="K2721" s="67">
        <f>ROUND(IF(F2721="alluminio",0,I2721*1.5%),4)</f>
        <v>0</v>
      </c>
      <c r="L2721" s="67">
        <f>ROUND(IF(K2721&lt;J2721,K2721,0),4)</f>
        <v>0</v>
      </c>
      <c r="M2721" s="67">
        <f>ROUND(IF(J2721&gt;K2721,0,J2721),4)</f>
        <v>0</v>
      </c>
      <c r="N2721" s="67">
        <f>ROUND(+L2721*D2721,4)</f>
        <v>0</v>
      </c>
      <c r="O2721" s="67">
        <f>ROUND(IF(F2721="rame",0,+I2721*3%),4)</f>
        <v>0</v>
      </c>
      <c r="P2721" s="67">
        <f>ROUND(IF(O2721&lt;J2721,O2721,0),4)</f>
        <v>0</v>
      </c>
      <c r="Q2721" s="67">
        <f>ROUND(IF(J2721&gt;O2721,0,J2721),4)</f>
        <v>0</v>
      </c>
      <c r="R2721" s="67">
        <f>ROUND(+P2721*D2721,4)</f>
        <v>0</v>
      </c>
      <c r="S2721" s="67">
        <f>ROUND(IF(K2721=0,0,M2721*D2721),4)</f>
        <v>0</v>
      </c>
      <c r="T2721" s="67">
        <f>ROUND(+IF(K2721=0,Q2721*D2721,0),4)</f>
        <v>0</v>
      </c>
      <c r="U2721" s="67">
        <f>ROUND(+N2721+R2721+S2721+T2721,4)</f>
        <v>0</v>
      </c>
      <c r="V2721" s="67">
        <f>ROUND(IF(P2721=0,0,I2721-H2721-O2721)+IF(L2721=0,0,I2721-H2721-K2721),4)</f>
        <v>0</v>
      </c>
      <c r="W2721" s="67">
        <f>ROUND(+(V2721*60%)*D2721,4)</f>
        <v>0</v>
      </c>
      <c r="X2721" s="148">
        <f>ROUND(+U2721+W2721,4)</f>
        <v>0</v>
      </c>
      <c r="Y2721" s="68"/>
      <c r="Z2721" s="148">
        <f>ROUND(IF(X2721&gt;I2721,X2721,I2721),4)</f>
        <v>0</v>
      </c>
      <c r="AD2721" s="78">
        <f t="shared" si="62"/>
        <v>0</v>
      </c>
      <c r="AE2721" s="78">
        <f t="shared" si="63"/>
        <v>0</v>
      </c>
    </row>
    <row r="2722" spans="1:31" x14ac:dyDescent="0.2">
      <c r="A2722" s="66"/>
      <c r="B2722" s="66"/>
      <c r="C2722" s="66"/>
      <c r="D2722" s="144"/>
      <c r="E2722" s="67"/>
      <c r="F2722" s="67"/>
      <c r="G2722" s="67"/>
      <c r="H2722" s="67">
        <f>ROUND(+E2722+G2722,4)</f>
        <v>0</v>
      </c>
      <c r="I2722" s="67"/>
      <c r="J2722" s="67">
        <f>ROUND(+I2722-H2722,4)</f>
        <v>0</v>
      </c>
      <c r="K2722" s="67">
        <f>ROUND(IF(F2722="alluminio",0,I2722*1.5%),4)</f>
        <v>0</v>
      </c>
      <c r="L2722" s="67">
        <f>ROUND(IF(K2722&lt;J2722,K2722,0),4)</f>
        <v>0</v>
      </c>
      <c r="M2722" s="67">
        <f>ROUND(IF(J2722&gt;K2722,0,J2722),4)</f>
        <v>0</v>
      </c>
      <c r="N2722" s="67">
        <f>ROUND(+L2722*D2722,4)</f>
        <v>0</v>
      </c>
      <c r="O2722" s="67">
        <f>ROUND(IF(F2722="rame",0,+I2722*3%),4)</f>
        <v>0</v>
      </c>
      <c r="P2722" s="67">
        <f>ROUND(IF(O2722&lt;J2722,O2722,0),4)</f>
        <v>0</v>
      </c>
      <c r="Q2722" s="67">
        <f>ROUND(IF(J2722&gt;O2722,0,J2722),4)</f>
        <v>0</v>
      </c>
      <c r="R2722" s="67">
        <f>ROUND(+P2722*D2722,4)</f>
        <v>0</v>
      </c>
      <c r="S2722" s="67">
        <f>ROUND(IF(K2722=0,0,M2722*D2722),4)</f>
        <v>0</v>
      </c>
      <c r="T2722" s="67">
        <f>ROUND(+IF(K2722=0,Q2722*D2722,0),4)</f>
        <v>0</v>
      </c>
      <c r="U2722" s="67">
        <f>ROUND(+N2722+R2722+S2722+T2722,4)</f>
        <v>0</v>
      </c>
      <c r="V2722" s="67">
        <f>ROUND(IF(P2722=0,0,I2722-H2722-O2722)+IF(L2722=0,0,I2722-H2722-K2722),4)</f>
        <v>0</v>
      </c>
      <c r="W2722" s="67">
        <f>ROUND(+(V2722*60%)*D2722,4)</f>
        <v>0</v>
      </c>
      <c r="X2722" s="148">
        <f>ROUND(+U2722+W2722,4)</f>
        <v>0</v>
      </c>
      <c r="Y2722" s="68"/>
      <c r="Z2722" s="148">
        <f>ROUND(IF(X2722&gt;I2722,X2722,I2722),4)</f>
        <v>0</v>
      </c>
      <c r="AD2722" s="78">
        <f t="shared" si="62"/>
        <v>0</v>
      </c>
      <c r="AE2722" s="78">
        <f t="shared" si="63"/>
        <v>0</v>
      </c>
    </row>
    <row r="2723" spans="1:31" x14ac:dyDescent="0.2">
      <c r="A2723" s="66"/>
      <c r="B2723" s="66"/>
      <c r="C2723" s="66"/>
      <c r="D2723" s="144"/>
      <c r="E2723" s="67"/>
      <c r="F2723" s="67"/>
      <c r="G2723" s="67"/>
      <c r="H2723" s="67">
        <f>ROUND(+E2723+G2723,4)</f>
        <v>0</v>
      </c>
      <c r="I2723" s="67"/>
      <c r="J2723" s="67">
        <f>ROUND(+I2723-H2723,4)</f>
        <v>0</v>
      </c>
      <c r="K2723" s="67">
        <f>ROUND(IF(F2723="alluminio",0,I2723*1.5%),4)</f>
        <v>0</v>
      </c>
      <c r="L2723" s="67">
        <f>ROUND(IF(K2723&lt;J2723,K2723,0),4)</f>
        <v>0</v>
      </c>
      <c r="M2723" s="67">
        <f>ROUND(IF(J2723&gt;K2723,0,J2723),4)</f>
        <v>0</v>
      </c>
      <c r="N2723" s="67">
        <f>ROUND(+L2723*D2723,4)</f>
        <v>0</v>
      </c>
      <c r="O2723" s="67">
        <f>ROUND(IF(F2723="rame",0,+I2723*3%),4)</f>
        <v>0</v>
      </c>
      <c r="P2723" s="67">
        <f>ROUND(IF(O2723&lt;J2723,O2723,0),4)</f>
        <v>0</v>
      </c>
      <c r="Q2723" s="67">
        <f>ROUND(IF(J2723&gt;O2723,0,J2723),4)</f>
        <v>0</v>
      </c>
      <c r="R2723" s="67">
        <f>ROUND(+P2723*D2723,4)</f>
        <v>0</v>
      </c>
      <c r="S2723" s="67">
        <f>ROUND(IF(K2723=0,0,M2723*D2723),4)</f>
        <v>0</v>
      </c>
      <c r="T2723" s="67">
        <f>ROUND(+IF(K2723=0,Q2723*D2723,0),4)</f>
        <v>0</v>
      </c>
      <c r="U2723" s="67">
        <f>ROUND(+N2723+R2723+S2723+T2723,4)</f>
        <v>0</v>
      </c>
      <c r="V2723" s="67">
        <f>ROUND(IF(P2723=0,0,I2723-H2723-O2723)+IF(L2723=0,0,I2723-H2723-K2723),4)</f>
        <v>0</v>
      </c>
      <c r="W2723" s="67">
        <f>ROUND(+(V2723*60%)*D2723,4)</f>
        <v>0</v>
      </c>
      <c r="X2723" s="148">
        <f>ROUND(+U2723+W2723,4)</f>
        <v>0</v>
      </c>
      <c r="Y2723" s="68"/>
      <c r="Z2723" s="148">
        <f>ROUND(IF(X2723&gt;I2723,X2723,I2723),4)</f>
        <v>0</v>
      </c>
      <c r="AD2723" s="78">
        <f t="shared" si="62"/>
        <v>0</v>
      </c>
      <c r="AE2723" s="78">
        <f t="shared" si="63"/>
        <v>0</v>
      </c>
    </row>
    <row r="2724" spans="1:31" x14ac:dyDescent="0.2">
      <c r="A2724" s="66"/>
      <c r="B2724" s="66"/>
      <c r="C2724" s="66"/>
      <c r="D2724" s="144"/>
      <c r="E2724" s="67"/>
      <c r="F2724" s="67"/>
      <c r="G2724" s="67"/>
      <c r="H2724" s="67">
        <f>ROUND(+E2724+G2724,4)</f>
        <v>0</v>
      </c>
      <c r="I2724" s="67"/>
      <c r="J2724" s="67">
        <f>ROUND(+I2724-H2724,4)</f>
        <v>0</v>
      </c>
      <c r="K2724" s="67">
        <f>ROUND(IF(F2724="alluminio",0,I2724*1.5%),4)</f>
        <v>0</v>
      </c>
      <c r="L2724" s="67">
        <f>ROUND(IF(K2724&lt;J2724,K2724,0),4)</f>
        <v>0</v>
      </c>
      <c r="M2724" s="67">
        <f>ROUND(IF(J2724&gt;K2724,0,J2724),4)</f>
        <v>0</v>
      </c>
      <c r="N2724" s="67">
        <f>ROUND(+L2724*D2724,4)</f>
        <v>0</v>
      </c>
      <c r="O2724" s="67">
        <f>ROUND(IF(F2724="rame",0,+I2724*3%),4)</f>
        <v>0</v>
      </c>
      <c r="P2724" s="67">
        <f>ROUND(IF(O2724&lt;J2724,O2724,0),4)</f>
        <v>0</v>
      </c>
      <c r="Q2724" s="67">
        <f>ROUND(IF(J2724&gt;O2724,0,J2724),4)</f>
        <v>0</v>
      </c>
      <c r="R2724" s="67">
        <f>ROUND(+P2724*D2724,4)</f>
        <v>0</v>
      </c>
      <c r="S2724" s="67">
        <f>ROUND(IF(K2724=0,0,M2724*D2724),4)</f>
        <v>0</v>
      </c>
      <c r="T2724" s="67">
        <f>ROUND(+IF(K2724=0,Q2724*D2724,0),4)</f>
        <v>0</v>
      </c>
      <c r="U2724" s="67">
        <f>ROUND(+N2724+R2724+S2724+T2724,4)</f>
        <v>0</v>
      </c>
      <c r="V2724" s="67">
        <f>ROUND(IF(P2724=0,0,I2724-H2724-O2724)+IF(L2724=0,0,I2724-H2724-K2724),4)</f>
        <v>0</v>
      </c>
      <c r="W2724" s="67">
        <f>ROUND(+(V2724*60%)*D2724,4)</f>
        <v>0</v>
      </c>
      <c r="X2724" s="148">
        <f>ROUND(+U2724+W2724,4)</f>
        <v>0</v>
      </c>
      <c r="Y2724" s="68"/>
      <c r="Z2724" s="148">
        <f>ROUND(IF(X2724&gt;I2724,X2724,I2724),4)</f>
        <v>0</v>
      </c>
      <c r="AD2724" s="78">
        <f t="shared" si="62"/>
        <v>0</v>
      </c>
      <c r="AE2724" s="78">
        <f t="shared" si="63"/>
        <v>0</v>
      </c>
    </row>
    <row r="2725" spans="1:31" x14ac:dyDescent="0.2">
      <c r="A2725" s="66"/>
      <c r="B2725" s="66"/>
      <c r="C2725" s="66"/>
      <c r="D2725" s="144"/>
      <c r="E2725" s="67"/>
      <c r="F2725" s="67"/>
      <c r="G2725" s="67"/>
      <c r="H2725" s="67">
        <f>ROUND(+E2725+G2725,4)</f>
        <v>0</v>
      </c>
      <c r="I2725" s="67"/>
      <c r="J2725" s="67">
        <f>ROUND(+I2725-H2725,4)</f>
        <v>0</v>
      </c>
      <c r="K2725" s="67">
        <f>ROUND(IF(F2725="alluminio",0,I2725*1.5%),4)</f>
        <v>0</v>
      </c>
      <c r="L2725" s="67">
        <f>ROUND(IF(K2725&lt;J2725,K2725,0),4)</f>
        <v>0</v>
      </c>
      <c r="M2725" s="67">
        <f>ROUND(IF(J2725&gt;K2725,0,J2725),4)</f>
        <v>0</v>
      </c>
      <c r="N2725" s="67">
        <f>ROUND(+L2725*D2725,4)</f>
        <v>0</v>
      </c>
      <c r="O2725" s="67">
        <f>ROUND(IF(F2725="rame",0,+I2725*3%),4)</f>
        <v>0</v>
      </c>
      <c r="P2725" s="67">
        <f>ROUND(IF(O2725&lt;J2725,O2725,0),4)</f>
        <v>0</v>
      </c>
      <c r="Q2725" s="67">
        <f>ROUND(IF(J2725&gt;O2725,0,J2725),4)</f>
        <v>0</v>
      </c>
      <c r="R2725" s="67">
        <f>ROUND(+P2725*D2725,4)</f>
        <v>0</v>
      </c>
      <c r="S2725" s="67">
        <f>ROUND(IF(K2725=0,0,M2725*D2725),4)</f>
        <v>0</v>
      </c>
      <c r="T2725" s="67">
        <f>ROUND(+IF(K2725=0,Q2725*D2725,0),4)</f>
        <v>0</v>
      </c>
      <c r="U2725" s="67">
        <f>ROUND(+N2725+R2725+S2725+T2725,4)</f>
        <v>0</v>
      </c>
      <c r="V2725" s="67">
        <f>ROUND(IF(P2725=0,0,I2725-H2725-O2725)+IF(L2725=0,0,I2725-H2725-K2725),4)</f>
        <v>0</v>
      </c>
      <c r="W2725" s="67">
        <f>ROUND(+(V2725*60%)*D2725,4)</f>
        <v>0</v>
      </c>
      <c r="X2725" s="148">
        <f>ROUND(+U2725+W2725,4)</f>
        <v>0</v>
      </c>
      <c r="Y2725" s="68"/>
      <c r="Z2725" s="148">
        <f>ROUND(IF(X2725&gt;I2725,X2725,I2725),4)</f>
        <v>0</v>
      </c>
      <c r="AD2725" s="78">
        <f t="shared" si="62"/>
        <v>0</v>
      </c>
      <c r="AE2725" s="78">
        <f t="shared" si="63"/>
        <v>0</v>
      </c>
    </row>
    <row r="2726" spans="1:31" x14ac:dyDescent="0.2">
      <c r="A2726" s="66"/>
      <c r="B2726" s="66"/>
      <c r="C2726" s="66"/>
      <c r="D2726" s="144"/>
      <c r="E2726" s="67"/>
      <c r="F2726" s="67"/>
      <c r="G2726" s="67"/>
      <c r="H2726" s="67">
        <f>ROUND(+E2726+G2726,4)</f>
        <v>0</v>
      </c>
      <c r="I2726" s="67"/>
      <c r="J2726" s="67">
        <f>ROUND(+I2726-H2726,4)</f>
        <v>0</v>
      </c>
      <c r="K2726" s="67">
        <f>ROUND(IF(F2726="alluminio",0,I2726*1.5%),4)</f>
        <v>0</v>
      </c>
      <c r="L2726" s="67">
        <f>ROUND(IF(K2726&lt;J2726,K2726,0),4)</f>
        <v>0</v>
      </c>
      <c r="M2726" s="67">
        <f>ROUND(IF(J2726&gt;K2726,0,J2726),4)</f>
        <v>0</v>
      </c>
      <c r="N2726" s="67">
        <f>ROUND(+L2726*D2726,4)</f>
        <v>0</v>
      </c>
      <c r="O2726" s="67">
        <f>ROUND(IF(F2726="rame",0,+I2726*3%),4)</f>
        <v>0</v>
      </c>
      <c r="P2726" s="67">
        <f>ROUND(IF(O2726&lt;J2726,O2726,0),4)</f>
        <v>0</v>
      </c>
      <c r="Q2726" s="67">
        <f>ROUND(IF(J2726&gt;O2726,0,J2726),4)</f>
        <v>0</v>
      </c>
      <c r="R2726" s="67">
        <f>ROUND(+P2726*D2726,4)</f>
        <v>0</v>
      </c>
      <c r="S2726" s="67">
        <f>ROUND(IF(K2726=0,0,M2726*D2726),4)</f>
        <v>0</v>
      </c>
      <c r="T2726" s="67">
        <f>ROUND(+IF(K2726=0,Q2726*D2726,0),4)</f>
        <v>0</v>
      </c>
      <c r="U2726" s="67">
        <f>ROUND(+N2726+R2726+S2726+T2726,4)</f>
        <v>0</v>
      </c>
      <c r="V2726" s="67">
        <f>ROUND(IF(P2726=0,0,I2726-H2726-O2726)+IF(L2726=0,0,I2726-H2726-K2726),4)</f>
        <v>0</v>
      </c>
      <c r="W2726" s="67">
        <f>ROUND(+(V2726*60%)*D2726,4)</f>
        <v>0</v>
      </c>
      <c r="X2726" s="148">
        <f>ROUND(+U2726+W2726,4)</f>
        <v>0</v>
      </c>
      <c r="Y2726" s="68"/>
      <c r="Z2726" s="148">
        <f>ROUND(IF(X2726&gt;I2726,X2726,I2726),4)</f>
        <v>0</v>
      </c>
      <c r="AD2726" s="78">
        <f t="shared" si="62"/>
        <v>0</v>
      </c>
      <c r="AE2726" s="78">
        <f t="shared" si="63"/>
        <v>0</v>
      </c>
    </row>
    <row r="2727" spans="1:31" x14ac:dyDescent="0.2">
      <c r="A2727" s="66"/>
      <c r="B2727" s="66"/>
      <c r="C2727" s="66"/>
      <c r="D2727" s="144"/>
      <c r="E2727" s="67"/>
      <c r="F2727" s="67"/>
      <c r="G2727" s="67"/>
      <c r="H2727" s="67">
        <f>ROUND(+E2727+G2727,4)</f>
        <v>0</v>
      </c>
      <c r="I2727" s="67"/>
      <c r="J2727" s="67">
        <f>ROUND(+I2727-H2727,4)</f>
        <v>0</v>
      </c>
      <c r="K2727" s="67">
        <f>ROUND(IF(F2727="alluminio",0,I2727*1.5%),4)</f>
        <v>0</v>
      </c>
      <c r="L2727" s="67">
        <f>ROUND(IF(K2727&lt;J2727,K2727,0),4)</f>
        <v>0</v>
      </c>
      <c r="M2727" s="67">
        <f>ROUND(IF(J2727&gt;K2727,0,J2727),4)</f>
        <v>0</v>
      </c>
      <c r="N2727" s="67">
        <f>ROUND(+L2727*D2727,4)</f>
        <v>0</v>
      </c>
      <c r="O2727" s="67">
        <f>ROUND(IF(F2727="rame",0,+I2727*3%),4)</f>
        <v>0</v>
      </c>
      <c r="P2727" s="67">
        <f>ROUND(IF(O2727&lt;J2727,O2727,0),4)</f>
        <v>0</v>
      </c>
      <c r="Q2727" s="67">
        <f>ROUND(IF(J2727&gt;O2727,0,J2727),4)</f>
        <v>0</v>
      </c>
      <c r="R2727" s="67">
        <f>ROUND(+P2727*D2727,4)</f>
        <v>0</v>
      </c>
      <c r="S2727" s="67">
        <f>ROUND(IF(K2727=0,0,M2727*D2727),4)</f>
        <v>0</v>
      </c>
      <c r="T2727" s="67">
        <f>ROUND(+IF(K2727=0,Q2727*D2727,0),4)</f>
        <v>0</v>
      </c>
      <c r="U2727" s="67">
        <f>ROUND(+N2727+R2727+S2727+T2727,4)</f>
        <v>0</v>
      </c>
      <c r="V2727" s="67">
        <f>ROUND(IF(P2727=0,0,I2727-H2727-O2727)+IF(L2727=0,0,I2727-H2727-K2727),4)</f>
        <v>0</v>
      </c>
      <c r="W2727" s="67">
        <f>ROUND(+(V2727*60%)*D2727,4)</f>
        <v>0</v>
      </c>
      <c r="X2727" s="148">
        <f>ROUND(+U2727+W2727,4)</f>
        <v>0</v>
      </c>
      <c r="Y2727" s="68"/>
      <c r="Z2727" s="148">
        <f>ROUND(IF(X2727&gt;I2727,X2727,I2727),4)</f>
        <v>0</v>
      </c>
      <c r="AD2727" s="78">
        <f t="shared" si="62"/>
        <v>0</v>
      </c>
      <c r="AE2727" s="78">
        <f t="shared" si="63"/>
        <v>0</v>
      </c>
    </row>
    <row r="2728" spans="1:31" x14ac:dyDescent="0.2">
      <c r="A2728" s="66"/>
      <c r="B2728" s="66"/>
      <c r="C2728" s="66"/>
      <c r="D2728" s="144"/>
      <c r="E2728" s="67"/>
      <c r="F2728" s="67"/>
      <c r="G2728" s="67"/>
      <c r="H2728" s="67">
        <f>ROUND(+E2728+G2728,4)</f>
        <v>0</v>
      </c>
      <c r="I2728" s="67"/>
      <c r="J2728" s="67">
        <f>ROUND(+I2728-H2728,4)</f>
        <v>0</v>
      </c>
      <c r="K2728" s="67">
        <f>ROUND(IF(F2728="alluminio",0,I2728*1.5%),4)</f>
        <v>0</v>
      </c>
      <c r="L2728" s="67">
        <f>ROUND(IF(K2728&lt;J2728,K2728,0),4)</f>
        <v>0</v>
      </c>
      <c r="M2728" s="67">
        <f>ROUND(IF(J2728&gt;K2728,0,J2728),4)</f>
        <v>0</v>
      </c>
      <c r="N2728" s="67">
        <f>ROUND(+L2728*D2728,4)</f>
        <v>0</v>
      </c>
      <c r="O2728" s="67">
        <f>ROUND(IF(F2728="rame",0,+I2728*3%),4)</f>
        <v>0</v>
      </c>
      <c r="P2728" s="67">
        <f>ROUND(IF(O2728&lt;J2728,O2728,0),4)</f>
        <v>0</v>
      </c>
      <c r="Q2728" s="67">
        <f>ROUND(IF(J2728&gt;O2728,0,J2728),4)</f>
        <v>0</v>
      </c>
      <c r="R2728" s="67">
        <f>ROUND(+P2728*D2728,4)</f>
        <v>0</v>
      </c>
      <c r="S2728" s="67">
        <f>ROUND(IF(K2728=0,0,M2728*D2728),4)</f>
        <v>0</v>
      </c>
      <c r="T2728" s="67">
        <f>ROUND(+IF(K2728=0,Q2728*D2728,0),4)</f>
        <v>0</v>
      </c>
      <c r="U2728" s="67">
        <f>ROUND(+N2728+R2728+S2728+T2728,4)</f>
        <v>0</v>
      </c>
      <c r="V2728" s="67">
        <f>ROUND(IF(P2728=0,0,I2728-H2728-O2728)+IF(L2728=0,0,I2728-H2728-K2728),4)</f>
        <v>0</v>
      </c>
      <c r="W2728" s="67">
        <f>ROUND(+(V2728*60%)*D2728,4)</f>
        <v>0</v>
      </c>
      <c r="X2728" s="148">
        <f>ROUND(+U2728+W2728,4)</f>
        <v>0</v>
      </c>
      <c r="Y2728" s="68"/>
      <c r="Z2728" s="148">
        <f>ROUND(IF(X2728&gt;I2728,X2728,I2728),4)</f>
        <v>0</v>
      </c>
      <c r="AD2728" s="78">
        <f t="shared" si="62"/>
        <v>0</v>
      </c>
      <c r="AE2728" s="78">
        <f t="shared" si="63"/>
        <v>0</v>
      </c>
    </row>
    <row r="2729" spans="1:31" x14ac:dyDescent="0.2">
      <c r="A2729" s="66"/>
      <c r="B2729" s="66"/>
      <c r="C2729" s="66"/>
      <c r="D2729" s="144"/>
      <c r="E2729" s="67"/>
      <c r="F2729" s="67"/>
      <c r="G2729" s="67"/>
      <c r="H2729" s="67">
        <f>ROUND(+E2729+G2729,4)</f>
        <v>0</v>
      </c>
      <c r="I2729" s="67"/>
      <c r="J2729" s="67">
        <f>ROUND(+I2729-H2729,4)</f>
        <v>0</v>
      </c>
      <c r="K2729" s="67">
        <f>ROUND(IF(F2729="alluminio",0,I2729*1.5%),4)</f>
        <v>0</v>
      </c>
      <c r="L2729" s="67">
        <f>ROUND(IF(K2729&lt;J2729,K2729,0),4)</f>
        <v>0</v>
      </c>
      <c r="M2729" s="67">
        <f>ROUND(IF(J2729&gt;K2729,0,J2729),4)</f>
        <v>0</v>
      </c>
      <c r="N2729" s="67">
        <f>ROUND(+L2729*D2729,4)</f>
        <v>0</v>
      </c>
      <c r="O2729" s="67">
        <f>ROUND(IF(F2729="rame",0,+I2729*3%),4)</f>
        <v>0</v>
      </c>
      <c r="P2729" s="67">
        <f>ROUND(IF(O2729&lt;J2729,O2729,0),4)</f>
        <v>0</v>
      </c>
      <c r="Q2729" s="67">
        <f>ROUND(IF(J2729&gt;O2729,0,J2729),4)</f>
        <v>0</v>
      </c>
      <c r="R2729" s="67">
        <f>ROUND(+P2729*D2729,4)</f>
        <v>0</v>
      </c>
      <c r="S2729" s="67">
        <f>ROUND(IF(K2729=0,0,M2729*D2729),4)</f>
        <v>0</v>
      </c>
      <c r="T2729" s="67">
        <f>ROUND(+IF(K2729=0,Q2729*D2729,0),4)</f>
        <v>0</v>
      </c>
      <c r="U2729" s="67">
        <f>ROUND(+N2729+R2729+S2729+T2729,4)</f>
        <v>0</v>
      </c>
      <c r="V2729" s="67">
        <f>ROUND(IF(P2729=0,0,I2729-H2729-O2729)+IF(L2729=0,0,I2729-H2729-K2729),4)</f>
        <v>0</v>
      </c>
      <c r="W2729" s="67">
        <f>ROUND(+(V2729*60%)*D2729,4)</f>
        <v>0</v>
      </c>
      <c r="X2729" s="148">
        <f>ROUND(+U2729+W2729,4)</f>
        <v>0</v>
      </c>
      <c r="Y2729" s="68"/>
      <c r="Z2729" s="148">
        <f>ROUND(IF(X2729&gt;I2729,X2729,I2729),4)</f>
        <v>0</v>
      </c>
      <c r="AD2729" s="78">
        <f t="shared" si="62"/>
        <v>0</v>
      </c>
      <c r="AE2729" s="78">
        <f t="shared" si="63"/>
        <v>0</v>
      </c>
    </row>
    <row r="2730" spans="1:31" x14ac:dyDescent="0.2">
      <c r="A2730" s="66"/>
      <c r="B2730" s="66"/>
      <c r="C2730" s="66"/>
      <c r="D2730" s="144"/>
      <c r="E2730" s="67"/>
      <c r="F2730" s="67"/>
      <c r="G2730" s="67"/>
      <c r="H2730" s="67">
        <f>ROUND(+E2730+G2730,4)</f>
        <v>0</v>
      </c>
      <c r="I2730" s="67"/>
      <c r="J2730" s="67">
        <f>ROUND(+I2730-H2730,4)</f>
        <v>0</v>
      </c>
      <c r="K2730" s="67">
        <f>ROUND(IF(F2730="alluminio",0,I2730*1.5%),4)</f>
        <v>0</v>
      </c>
      <c r="L2730" s="67">
        <f>ROUND(IF(K2730&lt;J2730,K2730,0),4)</f>
        <v>0</v>
      </c>
      <c r="M2730" s="67">
        <f>ROUND(IF(J2730&gt;K2730,0,J2730),4)</f>
        <v>0</v>
      </c>
      <c r="N2730" s="67">
        <f>ROUND(+L2730*D2730,4)</f>
        <v>0</v>
      </c>
      <c r="O2730" s="67">
        <f>ROUND(IF(F2730="rame",0,+I2730*3%),4)</f>
        <v>0</v>
      </c>
      <c r="P2730" s="67">
        <f>ROUND(IF(O2730&lt;J2730,O2730,0),4)</f>
        <v>0</v>
      </c>
      <c r="Q2730" s="67">
        <f>ROUND(IF(J2730&gt;O2730,0,J2730),4)</f>
        <v>0</v>
      </c>
      <c r="R2730" s="67">
        <f>ROUND(+P2730*D2730,4)</f>
        <v>0</v>
      </c>
      <c r="S2730" s="67">
        <f>ROUND(IF(K2730=0,0,M2730*D2730),4)</f>
        <v>0</v>
      </c>
      <c r="T2730" s="67">
        <f>ROUND(+IF(K2730=0,Q2730*D2730,0),4)</f>
        <v>0</v>
      </c>
      <c r="U2730" s="67">
        <f>ROUND(+N2730+R2730+S2730+T2730,4)</f>
        <v>0</v>
      </c>
      <c r="V2730" s="67">
        <f>ROUND(IF(P2730=0,0,I2730-H2730-O2730)+IF(L2730=0,0,I2730-H2730-K2730),4)</f>
        <v>0</v>
      </c>
      <c r="W2730" s="67">
        <f>ROUND(+(V2730*60%)*D2730,4)</f>
        <v>0</v>
      </c>
      <c r="X2730" s="148">
        <f>ROUND(+U2730+W2730,4)</f>
        <v>0</v>
      </c>
      <c r="Y2730" s="68"/>
      <c r="Z2730" s="148">
        <f>ROUND(IF(X2730&gt;I2730,X2730,I2730),4)</f>
        <v>0</v>
      </c>
      <c r="AD2730" s="78">
        <f t="shared" si="62"/>
        <v>0</v>
      </c>
      <c r="AE2730" s="78">
        <f t="shared" si="63"/>
        <v>0</v>
      </c>
    </row>
    <row r="2731" spans="1:31" x14ac:dyDescent="0.2">
      <c r="A2731" s="66"/>
      <c r="B2731" s="66"/>
      <c r="C2731" s="66"/>
      <c r="D2731" s="144"/>
      <c r="E2731" s="67"/>
      <c r="F2731" s="67"/>
      <c r="G2731" s="67"/>
      <c r="H2731" s="67">
        <f>ROUND(+E2731+G2731,4)</f>
        <v>0</v>
      </c>
      <c r="I2731" s="67"/>
      <c r="J2731" s="67">
        <f>ROUND(+I2731-H2731,4)</f>
        <v>0</v>
      </c>
      <c r="K2731" s="67">
        <f>ROUND(IF(F2731="alluminio",0,I2731*1.5%),4)</f>
        <v>0</v>
      </c>
      <c r="L2731" s="67">
        <f>ROUND(IF(K2731&lt;J2731,K2731,0),4)</f>
        <v>0</v>
      </c>
      <c r="M2731" s="67">
        <f>ROUND(IF(J2731&gt;K2731,0,J2731),4)</f>
        <v>0</v>
      </c>
      <c r="N2731" s="67">
        <f>ROUND(+L2731*D2731,4)</f>
        <v>0</v>
      </c>
      <c r="O2731" s="67">
        <f>ROUND(IF(F2731="rame",0,+I2731*3%),4)</f>
        <v>0</v>
      </c>
      <c r="P2731" s="67">
        <f>ROUND(IF(O2731&lt;J2731,O2731,0),4)</f>
        <v>0</v>
      </c>
      <c r="Q2731" s="67">
        <f>ROUND(IF(J2731&gt;O2731,0,J2731),4)</f>
        <v>0</v>
      </c>
      <c r="R2731" s="67">
        <f>ROUND(+P2731*D2731,4)</f>
        <v>0</v>
      </c>
      <c r="S2731" s="67">
        <f>ROUND(IF(K2731=0,0,M2731*D2731),4)</f>
        <v>0</v>
      </c>
      <c r="T2731" s="67">
        <f>ROUND(+IF(K2731=0,Q2731*D2731,0),4)</f>
        <v>0</v>
      </c>
      <c r="U2731" s="67">
        <f>ROUND(+N2731+R2731+S2731+T2731,4)</f>
        <v>0</v>
      </c>
      <c r="V2731" s="67">
        <f>ROUND(IF(P2731=0,0,I2731-H2731-O2731)+IF(L2731=0,0,I2731-H2731-K2731),4)</f>
        <v>0</v>
      </c>
      <c r="W2731" s="67">
        <f>ROUND(+(V2731*60%)*D2731,4)</f>
        <v>0</v>
      </c>
      <c r="X2731" s="148">
        <f>ROUND(+U2731+W2731,4)</f>
        <v>0</v>
      </c>
      <c r="Y2731" s="68"/>
      <c r="Z2731" s="148">
        <f>ROUND(IF(X2731&gt;I2731,X2731,I2731),4)</f>
        <v>0</v>
      </c>
      <c r="AD2731" s="78">
        <f t="shared" si="62"/>
        <v>0</v>
      </c>
      <c r="AE2731" s="78">
        <f t="shared" si="63"/>
        <v>0</v>
      </c>
    </row>
    <row r="2732" spans="1:31" x14ac:dyDescent="0.2">
      <c r="A2732" s="66"/>
      <c r="B2732" s="66"/>
      <c r="C2732" s="66"/>
      <c r="D2732" s="144"/>
      <c r="E2732" s="67"/>
      <c r="F2732" s="67"/>
      <c r="G2732" s="67"/>
      <c r="H2732" s="67">
        <f>ROUND(+E2732+G2732,4)</f>
        <v>0</v>
      </c>
      <c r="I2732" s="67"/>
      <c r="J2732" s="67">
        <f>ROUND(+I2732-H2732,4)</f>
        <v>0</v>
      </c>
      <c r="K2732" s="67">
        <f>ROUND(IF(F2732="alluminio",0,I2732*1.5%),4)</f>
        <v>0</v>
      </c>
      <c r="L2732" s="67">
        <f>ROUND(IF(K2732&lt;J2732,K2732,0),4)</f>
        <v>0</v>
      </c>
      <c r="M2732" s="67">
        <f>ROUND(IF(J2732&gt;K2732,0,J2732),4)</f>
        <v>0</v>
      </c>
      <c r="N2732" s="67">
        <f>ROUND(+L2732*D2732,4)</f>
        <v>0</v>
      </c>
      <c r="O2732" s="67">
        <f>ROUND(IF(F2732="rame",0,+I2732*3%),4)</f>
        <v>0</v>
      </c>
      <c r="P2732" s="67">
        <f>ROUND(IF(O2732&lt;J2732,O2732,0),4)</f>
        <v>0</v>
      </c>
      <c r="Q2732" s="67">
        <f>ROUND(IF(J2732&gt;O2732,0,J2732),4)</f>
        <v>0</v>
      </c>
      <c r="R2732" s="67">
        <f>ROUND(+P2732*D2732,4)</f>
        <v>0</v>
      </c>
      <c r="S2732" s="67">
        <f>ROUND(IF(K2732=0,0,M2732*D2732),4)</f>
        <v>0</v>
      </c>
      <c r="T2732" s="67">
        <f>ROUND(+IF(K2732=0,Q2732*D2732,0),4)</f>
        <v>0</v>
      </c>
      <c r="U2732" s="67">
        <f>ROUND(+N2732+R2732+S2732+T2732,4)</f>
        <v>0</v>
      </c>
      <c r="V2732" s="67">
        <f>ROUND(IF(P2732=0,0,I2732-H2732-O2732)+IF(L2732=0,0,I2732-H2732-K2732),4)</f>
        <v>0</v>
      </c>
      <c r="W2732" s="67">
        <f>ROUND(+(V2732*60%)*D2732,4)</f>
        <v>0</v>
      </c>
      <c r="X2732" s="148">
        <f>ROUND(+U2732+W2732,4)</f>
        <v>0</v>
      </c>
      <c r="Y2732" s="68"/>
      <c r="Z2732" s="148">
        <f>ROUND(IF(X2732&gt;I2732,X2732,I2732),4)</f>
        <v>0</v>
      </c>
      <c r="AD2732" s="78">
        <f t="shared" ref="AD2732:AD2746" si="64">IF(Y2732="",0,MONTH(Y2732))</f>
        <v>0</v>
      </c>
      <c r="AE2732" s="78">
        <f t="shared" ref="AE2732:AE2746" si="65">IF(Y2732="",0,YEAR(Y2732))</f>
        <v>0</v>
      </c>
    </row>
    <row r="2733" spans="1:31" x14ac:dyDescent="0.2">
      <c r="A2733" s="66"/>
      <c r="B2733" s="66"/>
      <c r="C2733" s="66"/>
      <c r="D2733" s="144"/>
      <c r="E2733" s="67"/>
      <c r="F2733" s="67"/>
      <c r="G2733" s="67"/>
      <c r="H2733" s="67">
        <f>ROUND(+E2733+G2733,4)</f>
        <v>0</v>
      </c>
      <c r="I2733" s="67"/>
      <c r="J2733" s="67">
        <f>ROUND(+I2733-H2733,4)</f>
        <v>0</v>
      </c>
      <c r="K2733" s="67">
        <f>ROUND(IF(F2733="alluminio",0,I2733*1.5%),4)</f>
        <v>0</v>
      </c>
      <c r="L2733" s="67">
        <f>ROUND(IF(K2733&lt;J2733,K2733,0),4)</f>
        <v>0</v>
      </c>
      <c r="M2733" s="67">
        <f>ROUND(IF(J2733&gt;K2733,0,J2733),4)</f>
        <v>0</v>
      </c>
      <c r="N2733" s="67">
        <f>ROUND(+L2733*D2733,4)</f>
        <v>0</v>
      </c>
      <c r="O2733" s="67">
        <f>ROUND(IF(F2733="rame",0,+I2733*3%),4)</f>
        <v>0</v>
      </c>
      <c r="P2733" s="67">
        <f>ROUND(IF(O2733&lt;J2733,O2733,0),4)</f>
        <v>0</v>
      </c>
      <c r="Q2733" s="67">
        <f>ROUND(IF(J2733&gt;O2733,0,J2733),4)</f>
        <v>0</v>
      </c>
      <c r="R2733" s="67">
        <f>ROUND(+P2733*D2733,4)</f>
        <v>0</v>
      </c>
      <c r="S2733" s="67">
        <f>ROUND(IF(K2733=0,0,M2733*D2733),4)</f>
        <v>0</v>
      </c>
      <c r="T2733" s="67">
        <f>ROUND(+IF(K2733=0,Q2733*D2733,0),4)</f>
        <v>0</v>
      </c>
      <c r="U2733" s="67">
        <f>ROUND(+N2733+R2733+S2733+T2733,4)</f>
        <v>0</v>
      </c>
      <c r="V2733" s="67">
        <f>ROUND(IF(P2733=0,0,I2733-H2733-O2733)+IF(L2733=0,0,I2733-H2733-K2733),4)</f>
        <v>0</v>
      </c>
      <c r="W2733" s="67">
        <f>ROUND(+(V2733*60%)*D2733,4)</f>
        <v>0</v>
      </c>
      <c r="X2733" s="148">
        <f>ROUND(+U2733+W2733,4)</f>
        <v>0</v>
      </c>
      <c r="Y2733" s="68"/>
      <c r="Z2733" s="148">
        <f>ROUND(IF(X2733&gt;I2733,X2733,I2733),4)</f>
        <v>0</v>
      </c>
      <c r="AD2733" s="78">
        <f t="shared" si="64"/>
        <v>0</v>
      </c>
      <c r="AE2733" s="78">
        <f t="shared" si="65"/>
        <v>0</v>
      </c>
    </row>
    <row r="2734" spans="1:31" x14ac:dyDescent="0.2">
      <c r="A2734" s="66"/>
      <c r="B2734" s="66"/>
      <c r="C2734" s="66"/>
      <c r="D2734" s="144"/>
      <c r="E2734" s="67"/>
      <c r="F2734" s="67"/>
      <c r="G2734" s="67"/>
      <c r="H2734" s="67">
        <f>ROUND(+E2734+G2734,4)</f>
        <v>0</v>
      </c>
      <c r="I2734" s="67"/>
      <c r="J2734" s="67">
        <f>ROUND(+I2734-H2734,4)</f>
        <v>0</v>
      </c>
      <c r="K2734" s="67">
        <f>ROUND(IF(F2734="alluminio",0,I2734*1.5%),4)</f>
        <v>0</v>
      </c>
      <c r="L2734" s="67">
        <f>ROUND(IF(K2734&lt;J2734,K2734,0),4)</f>
        <v>0</v>
      </c>
      <c r="M2734" s="67">
        <f>ROUND(IF(J2734&gt;K2734,0,J2734),4)</f>
        <v>0</v>
      </c>
      <c r="N2734" s="67">
        <f>ROUND(+L2734*D2734,4)</f>
        <v>0</v>
      </c>
      <c r="O2734" s="67">
        <f>ROUND(IF(F2734="rame",0,+I2734*3%),4)</f>
        <v>0</v>
      </c>
      <c r="P2734" s="67">
        <f>ROUND(IF(O2734&lt;J2734,O2734,0),4)</f>
        <v>0</v>
      </c>
      <c r="Q2734" s="67">
        <f>ROUND(IF(J2734&gt;O2734,0,J2734),4)</f>
        <v>0</v>
      </c>
      <c r="R2734" s="67">
        <f>ROUND(+P2734*D2734,4)</f>
        <v>0</v>
      </c>
      <c r="S2734" s="67">
        <f>ROUND(IF(K2734=0,0,M2734*D2734),4)</f>
        <v>0</v>
      </c>
      <c r="T2734" s="67">
        <f>ROUND(+IF(K2734=0,Q2734*D2734,0),4)</f>
        <v>0</v>
      </c>
      <c r="U2734" s="67">
        <f>ROUND(+N2734+R2734+S2734+T2734,4)</f>
        <v>0</v>
      </c>
      <c r="V2734" s="67">
        <f>ROUND(IF(P2734=0,0,I2734-H2734-O2734)+IF(L2734=0,0,I2734-H2734-K2734),4)</f>
        <v>0</v>
      </c>
      <c r="W2734" s="67">
        <f>ROUND(+(V2734*60%)*D2734,4)</f>
        <v>0</v>
      </c>
      <c r="X2734" s="148">
        <f>ROUND(+U2734+W2734,4)</f>
        <v>0</v>
      </c>
      <c r="Y2734" s="68"/>
      <c r="Z2734" s="148">
        <f>ROUND(IF(X2734&gt;I2734,X2734,I2734),4)</f>
        <v>0</v>
      </c>
      <c r="AD2734" s="78">
        <f t="shared" si="64"/>
        <v>0</v>
      </c>
      <c r="AE2734" s="78">
        <f t="shared" si="65"/>
        <v>0</v>
      </c>
    </row>
    <row r="2735" spans="1:31" x14ac:dyDescent="0.2">
      <c r="A2735" s="66"/>
      <c r="B2735" s="66"/>
      <c r="C2735" s="66"/>
      <c r="D2735" s="144"/>
      <c r="E2735" s="67"/>
      <c r="F2735" s="67"/>
      <c r="G2735" s="67"/>
      <c r="H2735" s="67">
        <f>ROUND(+E2735+G2735,4)</f>
        <v>0</v>
      </c>
      <c r="I2735" s="67"/>
      <c r="J2735" s="67">
        <f>ROUND(+I2735-H2735,4)</f>
        <v>0</v>
      </c>
      <c r="K2735" s="67">
        <f>ROUND(IF(F2735="alluminio",0,I2735*1.5%),4)</f>
        <v>0</v>
      </c>
      <c r="L2735" s="67">
        <f>ROUND(IF(K2735&lt;J2735,K2735,0),4)</f>
        <v>0</v>
      </c>
      <c r="M2735" s="67">
        <f>ROUND(IF(J2735&gt;K2735,0,J2735),4)</f>
        <v>0</v>
      </c>
      <c r="N2735" s="67">
        <f>ROUND(+L2735*D2735,4)</f>
        <v>0</v>
      </c>
      <c r="O2735" s="67">
        <f>ROUND(IF(F2735="rame",0,+I2735*3%),4)</f>
        <v>0</v>
      </c>
      <c r="P2735" s="67">
        <f>ROUND(IF(O2735&lt;J2735,O2735,0),4)</f>
        <v>0</v>
      </c>
      <c r="Q2735" s="67">
        <f>ROUND(IF(J2735&gt;O2735,0,J2735),4)</f>
        <v>0</v>
      </c>
      <c r="R2735" s="67">
        <f>ROUND(+P2735*D2735,4)</f>
        <v>0</v>
      </c>
      <c r="S2735" s="67">
        <f>ROUND(IF(K2735=0,0,M2735*D2735),4)</f>
        <v>0</v>
      </c>
      <c r="T2735" s="67">
        <f>ROUND(+IF(K2735=0,Q2735*D2735,0),4)</f>
        <v>0</v>
      </c>
      <c r="U2735" s="67">
        <f>ROUND(+N2735+R2735+S2735+T2735,4)</f>
        <v>0</v>
      </c>
      <c r="V2735" s="67">
        <f>ROUND(IF(P2735=0,0,I2735-H2735-O2735)+IF(L2735=0,0,I2735-H2735-K2735),4)</f>
        <v>0</v>
      </c>
      <c r="W2735" s="67">
        <f>ROUND(+(V2735*60%)*D2735,4)</f>
        <v>0</v>
      </c>
      <c r="X2735" s="148">
        <f>ROUND(+U2735+W2735,4)</f>
        <v>0</v>
      </c>
      <c r="Y2735" s="68"/>
      <c r="Z2735" s="148">
        <f>ROUND(IF(X2735&gt;I2735,X2735,I2735),4)</f>
        <v>0</v>
      </c>
      <c r="AD2735" s="78">
        <f t="shared" si="64"/>
        <v>0</v>
      </c>
      <c r="AE2735" s="78">
        <f t="shared" si="65"/>
        <v>0</v>
      </c>
    </row>
    <row r="2736" spans="1:31" x14ac:dyDescent="0.2">
      <c r="A2736" s="66"/>
      <c r="B2736" s="66"/>
      <c r="C2736" s="66"/>
      <c r="D2736" s="144"/>
      <c r="E2736" s="67"/>
      <c r="F2736" s="67"/>
      <c r="G2736" s="67"/>
      <c r="H2736" s="67">
        <f>ROUND(+E2736+G2736,4)</f>
        <v>0</v>
      </c>
      <c r="I2736" s="67"/>
      <c r="J2736" s="67">
        <f>ROUND(+I2736-H2736,4)</f>
        <v>0</v>
      </c>
      <c r="K2736" s="67">
        <f>ROUND(IF(F2736="alluminio",0,I2736*1.5%),4)</f>
        <v>0</v>
      </c>
      <c r="L2736" s="67">
        <f>ROUND(IF(K2736&lt;J2736,K2736,0),4)</f>
        <v>0</v>
      </c>
      <c r="M2736" s="67">
        <f>ROUND(IF(J2736&gt;K2736,0,J2736),4)</f>
        <v>0</v>
      </c>
      <c r="N2736" s="67">
        <f>ROUND(+L2736*D2736,4)</f>
        <v>0</v>
      </c>
      <c r="O2736" s="67">
        <f>ROUND(IF(F2736="rame",0,+I2736*3%),4)</f>
        <v>0</v>
      </c>
      <c r="P2736" s="67">
        <f>ROUND(IF(O2736&lt;J2736,O2736,0),4)</f>
        <v>0</v>
      </c>
      <c r="Q2736" s="67">
        <f>ROUND(IF(J2736&gt;O2736,0,J2736),4)</f>
        <v>0</v>
      </c>
      <c r="R2736" s="67">
        <f>ROUND(+P2736*D2736,4)</f>
        <v>0</v>
      </c>
      <c r="S2736" s="67">
        <f>ROUND(IF(K2736=0,0,M2736*D2736),4)</f>
        <v>0</v>
      </c>
      <c r="T2736" s="67">
        <f>ROUND(+IF(K2736=0,Q2736*D2736,0),4)</f>
        <v>0</v>
      </c>
      <c r="U2736" s="67">
        <f>ROUND(+N2736+R2736+S2736+T2736,4)</f>
        <v>0</v>
      </c>
      <c r="V2736" s="67">
        <f>ROUND(IF(P2736=0,0,I2736-H2736-O2736)+IF(L2736=0,0,I2736-H2736-K2736),4)</f>
        <v>0</v>
      </c>
      <c r="W2736" s="67">
        <f>ROUND(+(V2736*60%)*D2736,4)</f>
        <v>0</v>
      </c>
      <c r="X2736" s="148">
        <f>ROUND(+U2736+W2736,4)</f>
        <v>0</v>
      </c>
      <c r="Y2736" s="68"/>
      <c r="Z2736" s="148">
        <f>ROUND(IF(X2736&gt;I2736,X2736,I2736),4)</f>
        <v>0</v>
      </c>
      <c r="AD2736" s="78">
        <f t="shared" si="64"/>
        <v>0</v>
      </c>
      <c r="AE2736" s="78">
        <f t="shared" si="65"/>
        <v>0</v>
      </c>
    </row>
    <row r="2737" spans="1:31" x14ac:dyDescent="0.2">
      <c r="A2737" s="66"/>
      <c r="B2737" s="66"/>
      <c r="C2737" s="66"/>
      <c r="D2737" s="144"/>
      <c r="E2737" s="67"/>
      <c r="F2737" s="67"/>
      <c r="G2737" s="67"/>
      <c r="H2737" s="67">
        <f>ROUND(+E2737+G2737,4)</f>
        <v>0</v>
      </c>
      <c r="I2737" s="67"/>
      <c r="J2737" s="67">
        <f>ROUND(+I2737-H2737,4)</f>
        <v>0</v>
      </c>
      <c r="K2737" s="67">
        <f>ROUND(IF(F2737="alluminio",0,I2737*1.5%),4)</f>
        <v>0</v>
      </c>
      <c r="L2737" s="67">
        <f>ROUND(IF(K2737&lt;J2737,K2737,0),4)</f>
        <v>0</v>
      </c>
      <c r="M2737" s="67">
        <f>ROUND(IF(J2737&gt;K2737,0,J2737),4)</f>
        <v>0</v>
      </c>
      <c r="N2737" s="67">
        <f>ROUND(+L2737*D2737,4)</f>
        <v>0</v>
      </c>
      <c r="O2737" s="67">
        <f>ROUND(IF(F2737="rame",0,+I2737*3%),4)</f>
        <v>0</v>
      </c>
      <c r="P2737" s="67">
        <f>ROUND(IF(O2737&lt;J2737,O2737,0),4)</f>
        <v>0</v>
      </c>
      <c r="Q2737" s="67">
        <f>ROUND(IF(J2737&gt;O2737,0,J2737),4)</f>
        <v>0</v>
      </c>
      <c r="R2737" s="67">
        <f>ROUND(+P2737*D2737,4)</f>
        <v>0</v>
      </c>
      <c r="S2737" s="67">
        <f>ROUND(IF(K2737=0,0,M2737*D2737),4)</f>
        <v>0</v>
      </c>
      <c r="T2737" s="67">
        <f>ROUND(+IF(K2737=0,Q2737*D2737,0),4)</f>
        <v>0</v>
      </c>
      <c r="U2737" s="67">
        <f>ROUND(+N2737+R2737+S2737+T2737,4)</f>
        <v>0</v>
      </c>
      <c r="V2737" s="67">
        <f>ROUND(IF(P2737=0,0,I2737-H2737-O2737)+IF(L2737=0,0,I2737-H2737-K2737),4)</f>
        <v>0</v>
      </c>
      <c r="W2737" s="67">
        <f>ROUND(+(V2737*60%)*D2737,4)</f>
        <v>0</v>
      </c>
      <c r="X2737" s="148">
        <f>ROUND(+U2737+W2737,4)</f>
        <v>0</v>
      </c>
      <c r="Y2737" s="68"/>
      <c r="Z2737" s="148">
        <f>ROUND(IF(X2737&gt;I2737,X2737,I2737),4)</f>
        <v>0</v>
      </c>
      <c r="AD2737" s="78">
        <f t="shared" si="64"/>
        <v>0</v>
      </c>
      <c r="AE2737" s="78">
        <f t="shared" si="65"/>
        <v>0</v>
      </c>
    </row>
    <row r="2738" spans="1:31" x14ac:dyDescent="0.2">
      <c r="A2738" s="66"/>
      <c r="B2738" s="66"/>
      <c r="C2738" s="66"/>
      <c r="D2738" s="144"/>
      <c r="E2738" s="67"/>
      <c r="F2738" s="67"/>
      <c r="G2738" s="67"/>
      <c r="H2738" s="67">
        <f>ROUND(+E2738+G2738,4)</f>
        <v>0</v>
      </c>
      <c r="I2738" s="67"/>
      <c r="J2738" s="67">
        <f>ROUND(+I2738-H2738,4)</f>
        <v>0</v>
      </c>
      <c r="K2738" s="67">
        <f>ROUND(IF(F2738="alluminio",0,I2738*1.5%),4)</f>
        <v>0</v>
      </c>
      <c r="L2738" s="67">
        <f>ROUND(IF(K2738&lt;J2738,K2738,0),4)</f>
        <v>0</v>
      </c>
      <c r="M2738" s="67">
        <f>ROUND(IF(J2738&gt;K2738,0,J2738),4)</f>
        <v>0</v>
      </c>
      <c r="N2738" s="67">
        <f>ROUND(+L2738*D2738,4)</f>
        <v>0</v>
      </c>
      <c r="O2738" s="67">
        <f>ROUND(IF(F2738="rame",0,+I2738*3%),4)</f>
        <v>0</v>
      </c>
      <c r="P2738" s="67">
        <f>ROUND(IF(O2738&lt;J2738,O2738,0),4)</f>
        <v>0</v>
      </c>
      <c r="Q2738" s="67">
        <f>ROUND(IF(J2738&gt;O2738,0,J2738),4)</f>
        <v>0</v>
      </c>
      <c r="R2738" s="67">
        <f>ROUND(+P2738*D2738,4)</f>
        <v>0</v>
      </c>
      <c r="S2738" s="67">
        <f>ROUND(IF(K2738=0,0,M2738*D2738),4)</f>
        <v>0</v>
      </c>
      <c r="T2738" s="67">
        <f>ROUND(+IF(K2738=0,Q2738*D2738,0),4)</f>
        <v>0</v>
      </c>
      <c r="U2738" s="67">
        <f>ROUND(+N2738+R2738+S2738+T2738,4)</f>
        <v>0</v>
      </c>
      <c r="V2738" s="67">
        <f>ROUND(IF(P2738=0,0,I2738-H2738-O2738)+IF(L2738=0,0,I2738-H2738-K2738),4)</f>
        <v>0</v>
      </c>
      <c r="W2738" s="67">
        <f>ROUND(+(V2738*60%)*D2738,4)</f>
        <v>0</v>
      </c>
      <c r="X2738" s="148">
        <f>ROUND(+U2738+W2738,4)</f>
        <v>0</v>
      </c>
      <c r="Y2738" s="68"/>
      <c r="Z2738" s="148">
        <f>ROUND(IF(X2738&gt;I2738,X2738,I2738),4)</f>
        <v>0</v>
      </c>
      <c r="AD2738" s="78">
        <f t="shared" si="64"/>
        <v>0</v>
      </c>
      <c r="AE2738" s="78">
        <f t="shared" si="65"/>
        <v>0</v>
      </c>
    </row>
    <row r="2739" spans="1:31" x14ac:dyDescent="0.2">
      <c r="A2739" s="66"/>
      <c r="B2739" s="66"/>
      <c r="C2739" s="66"/>
      <c r="D2739" s="144"/>
      <c r="E2739" s="67"/>
      <c r="F2739" s="67"/>
      <c r="G2739" s="67"/>
      <c r="H2739" s="67">
        <f>ROUND(+E2739+G2739,4)</f>
        <v>0</v>
      </c>
      <c r="I2739" s="67"/>
      <c r="J2739" s="67">
        <f>ROUND(+I2739-H2739,4)</f>
        <v>0</v>
      </c>
      <c r="K2739" s="67">
        <f>ROUND(IF(F2739="alluminio",0,I2739*1.5%),4)</f>
        <v>0</v>
      </c>
      <c r="L2739" s="67">
        <f>ROUND(IF(K2739&lt;J2739,K2739,0),4)</f>
        <v>0</v>
      </c>
      <c r="M2739" s="67">
        <f>ROUND(IF(J2739&gt;K2739,0,J2739),4)</f>
        <v>0</v>
      </c>
      <c r="N2739" s="67">
        <f>ROUND(+L2739*D2739,4)</f>
        <v>0</v>
      </c>
      <c r="O2739" s="67">
        <f>ROUND(IF(F2739="rame",0,+I2739*3%),4)</f>
        <v>0</v>
      </c>
      <c r="P2739" s="67">
        <f>ROUND(IF(O2739&lt;J2739,O2739,0),4)</f>
        <v>0</v>
      </c>
      <c r="Q2739" s="67">
        <f>ROUND(IF(J2739&gt;O2739,0,J2739),4)</f>
        <v>0</v>
      </c>
      <c r="R2739" s="67">
        <f>ROUND(+P2739*D2739,4)</f>
        <v>0</v>
      </c>
      <c r="S2739" s="67">
        <f>ROUND(IF(K2739=0,0,M2739*D2739),4)</f>
        <v>0</v>
      </c>
      <c r="T2739" s="67">
        <f>ROUND(+IF(K2739=0,Q2739*D2739,0),4)</f>
        <v>0</v>
      </c>
      <c r="U2739" s="67">
        <f>ROUND(+N2739+R2739+S2739+T2739,4)</f>
        <v>0</v>
      </c>
      <c r="V2739" s="67">
        <f>ROUND(IF(P2739=0,0,I2739-H2739-O2739)+IF(L2739=0,0,I2739-H2739-K2739),4)</f>
        <v>0</v>
      </c>
      <c r="W2739" s="67">
        <f>ROUND(+(V2739*60%)*D2739,4)</f>
        <v>0</v>
      </c>
      <c r="X2739" s="148">
        <f>ROUND(+U2739+W2739,4)</f>
        <v>0</v>
      </c>
      <c r="Y2739" s="68"/>
      <c r="Z2739" s="148">
        <f>ROUND(IF(X2739&gt;I2739,X2739,I2739),4)</f>
        <v>0</v>
      </c>
      <c r="AD2739" s="78">
        <f t="shared" si="64"/>
        <v>0</v>
      </c>
      <c r="AE2739" s="78">
        <f t="shared" si="65"/>
        <v>0</v>
      </c>
    </row>
    <row r="2740" spans="1:31" x14ac:dyDescent="0.2">
      <c r="A2740" s="66"/>
      <c r="B2740" s="66"/>
      <c r="C2740" s="66"/>
      <c r="D2740" s="144"/>
      <c r="E2740" s="67"/>
      <c r="F2740" s="67"/>
      <c r="G2740" s="67"/>
      <c r="H2740" s="67">
        <f>ROUND(+E2740+G2740,4)</f>
        <v>0</v>
      </c>
      <c r="I2740" s="67"/>
      <c r="J2740" s="67">
        <f>ROUND(+I2740-H2740,4)</f>
        <v>0</v>
      </c>
      <c r="K2740" s="67">
        <f>ROUND(IF(F2740="alluminio",0,I2740*1.5%),4)</f>
        <v>0</v>
      </c>
      <c r="L2740" s="67">
        <f>ROUND(IF(K2740&lt;J2740,K2740,0),4)</f>
        <v>0</v>
      </c>
      <c r="M2740" s="67">
        <f>ROUND(IF(J2740&gt;K2740,0,J2740),4)</f>
        <v>0</v>
      </c>
      <c r="N2740" s="67">
        <f>ROUND(+L2740*D2740,4)</f>
        <v>0</v>
      </c>
      <c r="O2740" s="67">
        <f>ROUND(IF(F2740="rame",0,+I2740*3%),4)</f>
        <v>0</v>
      </c>
      <c r="P2740" s="67">
        <f>ROUND(IF(O2740&lt;J2740,O2740,0),4)</f>
        <v>0</v>
      </c>
      <c r="Q2740" s="67">
        <f>ROUND(IF(J2740&gt;O2740,0,J2740),4)</f>
        <v>0</v>
      </c>
      <c r="R2740" s="67">
        <f>ROUND(+P2740*D2740,4)</f>
        <v>0</v>
      </c>
      <c r="S2740" s="67">
        <f>ROUND(IF(K2740=0,0,M2740*D2740),4)</f>
        <v>0</v>
      </c>
      <c r="T2740" s="67">
        <f>ROUND(+IF(K2740=0,Q2740*D2740,0),4)</f>
        <v>0</v>
      </c>
      <c r="U2740" s="67">
        <f>ROUND(+N2740+R2740+S2740+T2740,4)</f>
        <v>0</v>
      </c>
      <c r="V2740" s="67">
        <f>ROUND(IF(P2740=0,0,I2740-H2740-O2740)+IF(L2740=0,0,I2740-H2740-K2740),4)</f>
        <v>0</v>
      </c>
      <c r="W2740" s="67">
        <f>ROUND(+(V2740*60%)*D2740,4)</f>
        <v>0</v>
      </c>
      <c r="X2740" s="148">
        <f>ROUND(+U2740+W2740,4)</f>
        <v>0</v>
      </c>
      <c r="Y2740" s="68"/>
      <c r="Z2740" s="148">
        <f>ROUND(IF(X2740&gt;I2740,X2740,I2740),4)</f>
        <v>0</v>
      </c>
      <c r="AD2740" s="78">
        <f t="shared" si="64"/>
        <v>0</v>
      </c>
      <c r="AE2740" s="78">
        <f t="shared" si="65"/>
        <v>0</v>
      </c>
    </row>
    <row r="2741" spans="1:31" x14ac:dyDescent="0.2">
      <c r="A2741" s="66"/>
      <c r="B2741" s="66"/>
      <c r="C2741" s="66"/>
      <c r="D2741" s="144"/>
      <c r="E2741" s="67"/>
      <c r="F2741" s="67"/>
      <c r="G2741" s="67"/>
      <c r="H2741" s="67">
        <f>ROUND(+E2741+G2741,4)</f>
        <v>0</v>
      </c>
      <c r="I2741" s="67"/>
      <c r="J2741" s="67">
        <f>ROUND(+I2741-H2741,4)</f>
        <v>0</v>
      </c>
      <c r="K2741" s="67">
        <f>ROUND(IF(F2741="alluminio",0,I2741*1.5%),4)</f>
        <v>0</v>
      </c>
      <c r="L2741" s="67">
        <f>ROUND(IF(K2741&lt;J2741,K2741,0),4)</f>
        <v>0</v>
      </c>
      <c r="M2741" s="67">
        <f>ROUND(IF(J2741&gt;K2741,0,J2741),4)</f>
        <v>0</v>
      </c>
      <c r="N2741" s="67">
        <f>ROUND(+L2741*D2741,4)</f>
        <v>0</v>
      </c>
      <c r="O2741" s="67">
        <f>ROUND(IF(F2741="rame",0,+I2741*3%),4)</f>
        <v>0</v>
      </c>
      <c r="P2741" s="67">
        <f>ROUND(IF(O2741&lt;J2741,O2741,0),4)</f>
        <v>0</v>
      </c>
      <c r="Q2741" s="67">
        <f>ROUND(IF(J2741&gt;O2741,0,J2741),4)</f>
        <v>0</v>
      </c>
      <c r="R2741" s="67">
        <f>ROUND(+P2741*D2741,4)</f>
        <v>0</v>
      </c>
      <c r="S2741" s="67">
        <f>ROUND(IF(K2741=0,0,M2741*D2741),4)</f>
        <v>0</v>
      </c>
      <c r="T2741" s="67">
        <f>ROUND(+IF(K2741=0,Q2741*D2741,0),4)</f>
        <v>0</v>
      </c>
      <c r="U2741" s="67">
        <f>ROUND(+N2741+R2741+S2741+T2741,4)</f>
        <v>0</v>
      </c>
      <c r="V2741" s="67">
        <f>ROUND(IF(P2741=0,0,I2741-H2741-O2741)+IF(L2741=0,0,I2741-H2741-K2741),4)</f>
        <v>0</v>
      </c>
      <c r="W2741" s="67">
        <f>ROUND(+(V2741*60%)*D2741,4)</f>
        <v>0</v>
      </c>
      <c r="X2741" s="148">
        <f>ROUND(+U2741+W2741,4)</f>
        <v>0</v>
      </c>
      <c r="Y2741" s="68"/>
      <c r="Z2741" s="148">
        <f>ROUND(IF(X2741&gt;I2741,X2741,I2741),4)</f>
        <v>0</v>
      </c>
      <c r="AD2741" s="78">
        <f t="shared" si="64"/>
        <v>0</v>
      </c>
      <c r="AE2741" s="78">
        <f t="shared" si="65"/>
        <v>0</v>
      </c>
    </row>
    <row r="2742" spans="1:31" x14ac:dyDescent="0.2">
      <c r="A2742" s="66"/>
      <c r="B2742" s="66"/>
      <c r="C2742" s="66"/>
      <c r="D2742" s="144"/>
      <c r="E2742" s="67"/>
      <c r="F2742" s="67"/>
      <c r="G2742" s="67"/>
      <c r="H2742" s="67">
        <f>ROUND(+E2742+G2742,4)</f>
        <v>0</v>
      </c>
      <c r="I2742" s="67"/>
      <c r="J2742" s="67">
        <f>ROUND(+I2742-H2742,4)</f>
        <v>0</v>
      </c>
      <c r="K2742" s="67">
        <f>ROUND(IF(F2742="alluminio",0,I2742*1.5%),4)</f>
        <v>0</v>
      </c>
      <c r="L2742" s="67">
        <f>ROUND(IF(K2742&lt;J2742,K2742,0),4)</f>
        <v>0</v>
      </c>
      <c r="M2742" s="67">
        <f>ROUND(IF(J2742&gt;K2742,0,J2742),4)</f>
        <v>0</v>
      </c>
      <c r="N2742" s="67">
        <f>ROUND(+L2742*D2742,4)</f>
        <v>0</v>
      </c>
      <c r="O2742" s="67">
        <f>ROUND(IF(F2742="rame",0,+I2742*3%),4)</f>
        <v>0</v>
      </c>
      <c r="P2742" s="67">
        <f>ROUND(IF(O2742&lt;J2742,O2742,0),4)</f>
        <v>0</v>
      </c>
      <c r="Q2742" s="67">
        <f>ROUND(IF(J2742&gt;O2742,0,J2742),4)</f>
        <v>0</v>
      </c>
      <c r="R2742" s="67">
        <f>ROUND(+P2742*D2742,4)</f>
        <v>0</v>
      </c>
      <c r="S2742" s="67">
        <f>ROUND(IF(K2742=0,0,M2742*D2742),4)</f>
        <v>0</v>
      </c>
      <c r="T2742" s="67">
        <f>ROUND(+IF(K2742=0,Q2742*D2742,0),4)</f>
        <v>0</v>
      </c>
      <c r="U2742" s="67">
        <f>ROUND(+N2742+R2742+S2742+T2742,4)</f>
        <v>0</v>
      </c>
      <c r="V2742" s="67">
        <f>ROUND(IF(P2742=0,0,I2742-H2742-O2742)+IF(L2742=0,0,I2742-H2742-K2742),4)</f>
        <v>0</v>
      </c>
      <c r="W2742" s="67">
        <f>ROUND(+(V2742*60%)*D2742,4)</f>
        <v>0</v>
      </c>
      <c r="X2742" s="148">
        <f>ROUND(+U2742+W2742,4)</f>
        <v>0</v>
      </c>
      <c r="Y2742" s="68"/>
      <c r="Z2742" s="148">
        <f>ROUND(IF(X2742&gt;I2742,X2742,I2742),4)</f>
        <v>0</v>
      </c>
      <c r="AD2742" s="78">
        <f t="shared" si="64"/>
        <v>0</v>
      </c>
      <c r="AE2742" s="78">
        <f t="shared" si="65"/>
        <v>0</v>
      </c>
    </row>
    <row r="2743" spans="1:31" x14ac:dyDescent="0.2">
      <c r="A2743" s="66"/>
      <c r="B2743" s="66"/>
      <c r="C2743" s="66"/>
      <c r="D2743" s="144"/>
      <c r="E2743" s="67"/>
      <c r="F2743" s="67"/>
      <c r="G2743" s="67"/>
      <c r="H2743" s="67">
        <f>ROUND(+E2743+G2743,4)</f>
        <v>0</v>
      </c>
      <c r="I2743" s="67"/>
      <c r="J2743" s="67">
        <f>ROUND(+I2743-H2743,4)</f>
        <v>0</v>
      </c>
      <c r="K2743" s="67">
        <f>ROUND(IF(F2743="alluminio",0,I2743*1.5%),4)</f>
        <v>0</v>
      </c>
      <c r="L2743" s="67">
        <f>ROUND(IF(K2743&lt;J2743,K2743,0),4)</f>
        <v>0</v>
      </c>
      <c r="M2743" s="67">
        <f>ROUND(IF(J2743&gt;K2743,0,J2743),4)</f>
        <v>0</v>
      </c>
      <c r="N2743" s="67">
        <f>ROUND(+L2743*D2743,4)</f>
        <v>0</v>
      </c>
      <c r="O2743" s="67">
        <f>ROUND(IF(F2743="rame",0,+I2743*3%),4)</f>
        <v>0</v>
      </c>
      <c r="P2743" s="67">
        <f>ROUND(IF(O2743&lt;J2743,O2743,0),4)</f>
        <v>0</v>
      </c>
      <c r="Q2743" s="67">
        <f>ROUND(IF(J2743&gt;O2743,0,J2743),4)</f>
        <v>0</v>
      </c>
      <c r="R2743" s="67">
        <f>ROUND(+P2743*D2743,4)</f>
        <v>0</v>
      </c>
      <c r="S2743" s="67">
        <f>ROUND(IF(K2743=0,0,M2743*D2743),4)</f>
        <v>0</v>
      </c>
      <c r="T2743" s="67">
        <f>ROUND(+IF(K2743=0,Q2743*D2743,0),4)</f>
        <v>0</v>
      </c>
      <c r="U2743" s="67">
        <f>ROUND(+N2743+R2743+S2743+T2743,4)</f>
        <v>0</v>
      </c>
      <c r="V2743" s="67">
        <f>ROUND(IF(P2743=0,0,I2743-H2743-O2743)+IF(L2743=0,0,I2743-H2743-K2743),4)</f>
        <v>0</v>
      </c>
      <c r="W2743" s="67">
        <f>ROUND(+(V2743*60%)*D2743,4)</f>
        <v>0</v>
      </c>
      <c r="X2743" s="148">
        <f>ROUND(+U2743+W2743,4)</f>
        <v>0</v>
      </c>
      <c r="Y2743" s="68"/>
      <c r="Z2743" s="148">
        <f>ROUND(IF(X2743&gt;I2743,X2743,I2743),4)</f>
        <v>0</v>
      </c>
      <c r="AD2743" s="78">
        <f t="shared" si="64"/>
        <v>0</v>
      </c>
      <c r="AE2743" s="78">
        <f t="shared" si="65"/>
        <v>0</v>
      </c>
    </row>
    <row r="2744" spans="1:31" x14ac:dyDescent="0.2">
      <c r="A2744" s="66"/>
      <c r="B2744" s="66"/>
      <c r="C2744" s="66"/>
      <c r="D2744" s="144"/>
      <c r="E2744" s="67"/>
      <c r="F2744" s="67"/>
      <c r="G2744" s="67"/>
      <c r="H2744" s="67">
        <f>ROUND(+E2744+G2744,4)</f>
        <v>0</v>
      </c>
      <c r="I2744" s="67"/>
      <c r="J2744" s="67">
        <f>ROUND(+I2744-H2744,4)</f>
        <v>0</v>
      </c>
      <c r="K2744" s="67">
        <f>ROUND(IF(F2744="alluminio",0,I2744*1.5%),4)</f>
        <v>0</v>
      </c>
      <c r="L2744" s="67">
        <f>ROUND(IF(K2744&lt;J2744,K2744,0),4)</f>
        <v>0</v>
      </c>
      <c r="M2744" s="67">
        <f>ROUND(IF(J2744&gt;K2744,0,J2744),4)</f>
        <v>0</v>
      </c>
      <c r="N2744" s="67">
        <f>ROUND(+L2744*D2744,4)</f>
        <v>0</v>
      </c>
      <c r="O2744" s="67">
        <f>ROUND(IF(F2744="rame",0,+I2744*3%),4)</f>
        <v>0</v>
      </c>
      <c r="P2744" s="67">
        <f>ROUND(IF(O2744&lt;J2744,O2744,0),4)</f>
        <v>0</v>
      </c>
      <c r="Q2744" s="67">
        <f>ROUND(IF(J2744&gt;O2744,0,J2744),4)</f>
        <v>0</v>
      </c>
      <c r="R2744" s="67">
        <f>ROUND(+P2744*D2744,4)</f>
        <v>0</v>
      </c>
      <c r="S2744" s="67">
        <f>ROUND(IF(K2744=0,0,M2744*D2744),4)</f>
        <v>0</v>
      </c>
      <c r="T2744" s="67">
        <f>ROUND(+IF(K2744=0,Q2744*D2744,0),4)</f>
        <v>0</v>
      </c>
      <c r="U2744" s="67">
        <f>ROUND(+N2744+R2744+S2744+T2744,4)</f>
        <v>0</v>
      </c>
      <c r="V2744" s="67">
        <f>ROUND(IF(P2744=0,0,I2744-H2744-O2744)+IF(L2744=0,0,I2744-H2744-K2744),4)</f>
        <v>0</v>
      </c>
      <c r="W2744" s="67">
        <f>ROUND(+(V2744*60%)*D2744,4)</f>
        <v>0</v>
      </c>
      <c r="X2744" s="148">
        <f>ROUND(+U2744+W2744,4)</f>
        <v>0</v>
      </c>
      <c r="Y2744" s="68"/>
      <c r="Z2744" s="148">
        <f>ROUND(IF(X2744&gt;I2744,X2744,I2744),4)</f>
        <v>0</v>
      </c>
      <c r="AD2744" s="78">
        <f t="shared" si="64"/>
        <v>0</v>
      </c>
      <c r="AE2744" s="78">
        <f t="shared" si="65"/>
        <v>0</v>
      </c>
    </row>
    <row r="2745" spans="1:31" x14ac:dyDescent="0.2">
      <c r="A2745" s="66"/>
      <c r="B2745" s="66"/>
      <c r="C2745" s="66"/>
      <c r="D2745" s="144"/>
      <c r="E2745" s="67"/>
      <c r="F2745" s="67"/>
      <c r="G2745" s="67"/>
      <c r="H2745" s="67">
        <f>ROUND(+E2745+G2745,4)</f>
        <v>0</v>
      </c>
      <c r="I2745" s="67"/>
      <c r="J2745" s="67">
        <f>ROUND(+I2745-H2745,4)</f>
        <v>0</v>
      </c>
      <c r="K2745" s="67">
        <f>ROUND(IF(F2745="alluminio",0,I2745*1.5%),4)</f>
        <v>0</v>
      </c>
      <c r="L2745" s="67">
        <f>ROUND(IF(K2745&lt;J2745,K2745,0),4)</f>
        <v>0</v>
      </c>
      <c r="M2745" s="67">
        <f>ROUND(IF(J2745&gt;K2745,0,J2745),4)</f>
        <v>0</v>
      </c>
      <c r="N2745" s="67">
        <f>ROUND(+L2745*D2745,4)</f>
        <v>0</v>
      </c>
      <c r="O2745" s="67">
        <f>ROUND(IF(F2745="rame",0,+I2745*3%),4)</f>
        <v>0</v>
      </c>
      <c r="P2745" s="67">
        <f>ROUND(IF(O2745&lt;J2745,O2745,0),4)</f>
        <v>0</v>
      </c>
      <c r="Q2745" s="67">
        <f>ROUND(IF(J2745&gt;O2745,0,J2745),4)</f>
        <v>0</v>
      </c>
      <c r="R2745" s="67">
        <f>ROUND(+P2745*D2745,4)</f>
        <v>0</v>
      </c>
      <c r="S2745" s="67">
        <f>ROUND(IF(K2745=0,0,M2745*D2745),4)</f>
        <v>0</v>
      </c>
      <c r="T2745" s="67">
        <f>ROUND(+IF(K2745=0,Q2745*D2745,0),4)</f>
        <v>0</v>
      </c>
      <c r="U2745" s="67">
        <f>ROUND(+N2745+R2745+S2745+T2745,4)</f>
        <v>0</v>
      </c>
      <c r="V2745" s="67">
        <f>ROUND(IF(P2745=0,0,I2745-H2745-O2745)+IF(L2745=0,0,I2745-H2745-K2745),4)</f>
        <v>0</v>
      </c>
      <c r="W2745" s="67">
        <f>ROUND(+(V2745*60%)*D2745,4)</f>
        <v>0</v>
      </c>
      <c r="X2745" s="148">
        <f>ROUND(+U2745+W2745,4)</f>
        <v>0</v>
      </c>
      <c r="Y2745" s="68"/>
      <c r="Z2745" s="148">
        <f>ROUND(IF(X2745&gt;I2745,X2745,I2745),4)</f>
        <v>0</v>
      </c>
      <c r="AD2745" s="78">
        <f t="shared" si="64"/>
        <v>0</v>
      </c>
      <c r="AE2745" s="78">
        <f t="shared" si="65"/>
        <v>0</v>
      </c>
    </row>
    <row r="2746" spans="1:31" x14ac:dyDescent="0.2">
      <c r="A2746" s="66"/>
      <c r="B2746" s="66"/>
      <c r="C2746" s="66"/>
      <c r="D2746" s="144"/>
      <c r="E2746" s="67"/>
      <c r="F2746" s="67"/>
      <c r="G2746" s="67"/>
      <c r="H2746" s="67">
        <f>ROUND(+E2746+G2746,4)</f>
        <v>0</v>
      </c>
      <c r="I2746" s="67"/>
      <c r="J2746" s="67">
        <f>ROUND(+I2746-H2746,4)</f>
        <v>0</v>
      </c>
      <c r="K2746" s="67">
        <f>ROUND(IF(F2746="alluminio",0,I2746*1.5%),4)</f>
        <v>0</v>
      </c>
      <c r="L2746" s="67">
        <f>ROUND(IF(K2746&lt;J2746,K2746,0),4)</f>
        <v>0</v>
      </c>
      <c r="M2746" s="67">
        <f>ROUND(IF(J2746&gt;K2746,0,J2746),4)</f>
        <v>0</v>
      </c>
      <c r="N2746" s="67">
        <f>ROUND(+L2746*D2746,4)</f>
        <v>0</v>
      </c>
      <c r="O2746" s="67">
        <f>ROUND(IF(F2746="rame",0,+I2746*3%),4)</f>
        <v>0</v>
      </c>
      <c r="P2746" s="67">
        <f>ROUND(IF(O2746&lt;J2746,O2746,0),4)</f>
        <v>0</v>
      </c>
      <c r="Q2746" s="67">
        <f>ROUND(IF(J2746&gt;O2746,0,J2746),4)</f>
        <v>0</v>
      </c>
      <c r="R2746" s="67">
        <f>ROUND(+P2746*D2746,4)</f>
        <v>0</v>
      </c>
      <c r="S2746" s="67">
        <f>ROUND(IF(K2746=0,0,M2746*D2746),4)</f>
        <v>0</v>
      </c>
      <c r="T2746" s="67">
        <f>ROUND(+IF(K2746=0,Q2746*D2746,0),4)</f>
        <v>0</v>
      </c>
      <c r="U2746" s="67">
        <f>ROUND(+N2746+R2746+S2746+T2746,4)</f>
        <v>0</v>
      </c>
      <c r="V2746" s="67">
        <f>ROUND(IF(P2746=0,0,I2746-H2746-O2746)+IF(L2746=0,0,I2746-H2746-K2746),4)</f>
        <v>0</v>
      </c>
      <c r="W2746" s="67">
        <f>ROUND(+(V2746*60%)*D2746,4)</f>
        <v>0</v>
      </c>
      <c r="X2746" s="148">
        <f>ROUND(+U2746+W2746,4)</f>
        <v>0</v>
      </c>
      <c r="Y2746" s="68"/>
      <c r="Z2746" s="148">
        <f>ROUND(IF(X2746&gt;I2746,X2746,I2746),4)</f>
        <v>0</v>
      </c>
      <c r="AD2746" s="78">
        <f t="shared" si="64"/>
        <v>0</v>
      </c>
      <c r="AE2746" s="78">
        <f t="shared" si="65"/>
        <v>0</v>
      </c>
    </row>
    <row r="2747" spans="1:31" x14ac:dyDescent="0.2">
      <c r="A2747" s="66"/>
      <c r="B2747" s="66"/>
      <c r="C2747" s="66"/>
      <c r="D2747" s="144"/>
      <c r="E2747" s="67"/>
      <c r="F2747" s="67"/>
      <c r="G2747" s="67"/>
      <c r="H2747" s="67">
        <f>ROUND(+E2747+G2747,4)</f>
        <v>0</v>
      </c>
      <c r="I2747" s="67"/>
      <c r="J2747" s="67">
        <f>ROUND(+I2747-H2747,4)</f>
        <v>0</v>
      </c>
      <c r="K2747" s="67">
        <f>ROUND(IF(F2747="alluminio",0,I2747*1.5%),4)</f>
        <v>0</v>
      </c>
      <c r="L2747" s="67">
        <f>ROUND(IF(K2747&lt;J2747,K2747,0),4)</f>
        <v>0</v>
      </c>
      <c r="M2747" s="67">
        <f>ROUND(IF(J2747&gt;K2747,0,J2747),4)</f>
        <v>0</v>
      </c>
      <c r="N2747" s="67">
        <f>ROUND(+L2747*D2747,4)</f>
        <v>0</v>
      </c>
      <c r="O2747" s="67">
        <f>ROUND(IF(F2747="rame",0,+I2747*3%),4)</f>
        <v>0</v>
      </c>
      <c r="P2747" s="67">
        <f>ROUND(IF(O2747&lt;J2747,O2747,0),4)</f>
        <v>0</v>
      </c>
      <c r="Q2747" s="67">
        <f>ROUND(IF(J2747&gt;O2747,0,J2747),4)</f>
        <v>0</v>
      </c>
      <c r="R2747" s="67">
        <f>ROUND(+P2747*D2747,4)</f>
        <v>0</v>
      </c>
      <c r="S2747" s="67">
        <f>ROUND(IF(K2747=0,0,M2747*D2747),4)</f>
        <v>0</v>
      </c>
      <c r="T2747" s="67">
        <f>ROUND(+IF(K2747=0,Q2747*D2747,0),4)</f>
        <v>0</v>
      </c>
      <c r="U2747" s="67">
        <f>ROUND(+N2747+R2747+S2747+T2747,4)</f>
        <v>0</v>
      </c>
      <c r="V2747" s="67">
        <f>ROUND(IF(P2747=0,0,I2747-H2747-O2747)+IF(L2747=0,0,I2747-H2747-K2747),4)</f>
        <v>0</v>
      </c>
      <c r="W2747" s="67">
        <f>ROUND(+(V2747*60%)*D2747,4)</f>
        <v>0</v>
      </c>
      <c r="X2747" s="148">
        <f>ROUND(+U2747+W2747,4)</f>
        <v>0</v>
      </c>
      <c r="Y2747" s="68"/>
      <c r="Z2747" s="148">
        <f>ROUND(IF(X2747&gt;I2747,X2747,I2747),4)</f>
        <v>0</v>
      </c>
      <c r="AD2747" s="78">
        <f t="shared" ref="AD2747:AD2810" si="66">IF(Y2747="",0,MONTH(Y2747))</f>
        <v>0</v>
      </c>
      <c r="AE2747" s="78">
        <f t="shared" ref="AE2747:AE2810" si="67">IF(Y2747="",0,YEAR(Y2747))</f>
        <v>0</v>
      </c>
    </row>
    <row r="2748" spans="1:31" x14ac:dyDescent="0.2">
      <c r="A2748" s="66"/>
      <c r="B2748" s="66"/>
      <c r="C2748" s="66"/>
      <c r="D2748" s="144"/>
      <c r="E2748" s="67"/>
      <c r="F2748" s="67"/>
      <c r="G2748" s="67"/>
      <c r="H2748" s="67">
        <f>ROUND(+E2748+G2748,4)</f>
        <v>0</v>
      </c>
      <c r="I2748" s="67"/>
      <c r="J2748" s="67">
        <f>ROUND(+I2748-H2748,4)</f>
        <v>0</v>
      </c>
      <c r="K2748" s="67">
        <f>ROUND(IF(F2748="alluminio",0,I2748*1.5%),4)</f>
        <v>0</v>
      </c>
      <c r="L2748" s="67">
        <f>ROUND(IF(K2748&lt;J2748,K2748,0),4)</f>
        <v>0</v>
      </c>
      <c r="M2748" s="67">
        <f>ROUND(IF(J2748&gt;K2748,0,J2748),4)</f>
        <v>0</v>
      </c>
      <c r="N2748" s="67">
        <f>ROUND(+L2748*D2748,4)</f>
        <v>0</v>
      </c>
      <c r="O2748" s="67">
        <f>ROUND(IF(F2748="rame",0,+I2748*3%),4)</f>
        <v>0</v>
      </c>
      <c r="P2748" s="67">
        <f>ROUND(IF(O2748&lt;J2748,O2748,0),4)</f>
        <v>0</v>
      </c>
      <c r="Q2748" s="67">
        <f>ROUND(IF(J2748&gt;O2748,0,J2748),4)</f>
        <v>0</v>
      </c>
      <c r="R2748" s="67">
        <f>ROUND(+P2748*D2748,4)</f>
        <v>0</v>
      </c>
      <c r="S2748" s="67">
        <f>ROUND(IF(K2748=0,0,M2748*D2748),4)</f>
        <v>0</v>
      </c>
      <c r="T2748" s="67">
        <f>ROUND(+IF(K2748=0,Q2748*D2748,0),4)</f>
        <v>0</v>
      </c>
      <c r="U2748" s="67">
        <f>ROUND(+N2748+R2748+S2748+T2748,4)</f>
        <v>0</v>
      </c>
      <c r="V2748" s="67">
        <f>ROUND(IF(P2748=0,0,I2748-H2748-O2748)+IF(L2748=0,0,I2748-H2748-K2748),4)</f>
        <v>0</v>
      </c>
      <c r="W2748" s="67">
        <f>ROUND(+(V2748*60%)*D2748,4)</f>
        <v>0</v>
      </c>
      <c r="X2748" s="148">
        <f>ROUND(+U2748+W2748,4)</f>
        <v>0</v>
      </c>
      <c r="Y2748" s="68"/>
      <c r="Z2748" s="148">
        <f>ROUND(IF(X2748&gt;I2748,X2748,I2748),4)</f>
        <v>0</v>
      </c>
      <c r="AD2748" s="78">
        <f t="shared" si="66"/>
        <v>0</v>
      </c>
      <c r="AE2748" s="78">
        <f t="shared" si="67"/>
        <v>0</v>
      </c>
    </row>
    <row r="2749" spans="1:31" x14ac:dyDescent="0.2">
      <c r="A2749" s="66"/>
      <c r="B2749" s="66"/>
      <c r="C2749" s="66"/>
      <c r="D2749" s="144"/>
      <c r="E2749" s="67"/>
      <c r="F2749" s="67"/>
      <c r="G2749" s="67"/>
      <c r="H2749" s="67">
        <f>ROUND(+E2749+G2749,4)</f>
        <v>0</v>
      </c>
      <c r="I2749" s="67"/>
      <c r="J2749" s="67">
        <f>ROUND(+I2749-H2749,4)</f>
        <v>0</v>
      </c>
      <c r="K2749" s="67">
        <f>ROUND(IF(F2749="alluminio",0,I2749*1.5%),4)</f>
        <v>0</v>
      </c>
      <c r="L2749" s="67">
        <f>ROUND(IF(K2749&lt;J2749,K2749,0),4)</f>
        <v>0</v>
      </c>
      <c r="M2749" s="67">
        <f>ROUND(IF(J2749&gt;K2749,0,J2749),4)</f>
        <v>0</v>
      </c>
      <c r="N2749" s="67">
        <f>ROUND(+L2749*D2749,4)</f>
        <v>0</v>
      </c>
      <c r="O2749" s="67">
        <f>ROUND(IF(F2749="rame",0,+I2749*3%),4)</f>
        <v>0</v>
      </c>
      <c r="P2749" s="67">
        <f>ROUND(IF(O2749&lt;J2749,O2749,0),4)</f>
        <v>0</v>
      </c>
      <c r="Q2749" s="67">
        <f>ROUND(IF(J2749&gt;O2749,0,J2749),4)</f>
        <v>0</v>
      </c>
      <c r="R2749" s="67">
        <f>ROUND(+P2749*D2749,4)</f>
        <v>0</v>
      </c>
      <c r="S2749" s="67">
        <f>ROUND(IF(K2749=0,0,M2749*D2749),4)</f>
        <v>0</v>
      </c>
      <c r="T2749" s="67">
        <f>ROUND(+IF(K2749=0,Q2749*D2749,0),4)</f>
        <v>0</v>
      </c>
      <c r="U2749" s="67">
        <f>ROUND(+N2749+R2749+S2749+T2749,4)</f>
        <v>0</v>
      </c>
      <c r="V2749" s="67">
        <f>ROUND(IF(P2749=0,0,I2749-H2749-O2749)+IF(L2749=0,0,I2749-H2749-K2749),4)</f>
        <v>0</v>
      </c>
      <c r="W2749" s="67">
        <f>ROUND(+(V2749*60%)*D2749,4)</f>
        <v>0</v>
      </c>
      <c r="X2749" s="148">
        <f>ROUND(+U2749+W2749,4)</f>
        <v>0</v>
      </c>
      <c r="Y2749" s="68"/>
      <c r="Z2749" s="148">
        <f>ROUND(IF(X2749&gt;I2749,X2749,I2749),4)</f>
        <v>0</v>
      </c>
      <c r="AD2749" s="78">
        <f t="shared" si="66"/>
        <v>0</v>
      </c>
      <c r="AE2749" s="78">
        <f t="shared" si="67"/>
        <v>0</v>
      </c>
    </row>
    <row r="2750" spans="1:31" x14ac:dyDescent="0.2">
      <c r="A2750" s="66"/>
      <c r="B2750" s="66"/>
      <c r="C2750" s="66"/>
      <c r="D2750" s="144"/>
      <c r="E2750" s="67"/>
      <c r="F2750" s="67"/>
      <c r="G2750" s="67"/>
      <c r="H2750" s="67">
        <f>ROUND(+E2750+G2750,4)</f>
        <v>0</v>
      </c>
      <c r="I2750" s="67"/>
      <c r="J2750" s="67">
        <f>ROUND(+I2750-H2750,4)</f>
        <v>0</v>
      </c>
      <c r="K2750" s="67">
        <f>ROUND(IF(F2750="alluminio",0,I2750*1.5%),4)</f>
        <v>0</v>
      </c>
      <c r="L2750" s="67">
        <f>ROUND(IF(K2750&lt;J2750,K2750,0),4)</f>
        <v>0</v>
      </c>
      <c r="M2750" s="67">
        <f>ROUND(IF(J2750&gt;K2750,0,J2750),4)</f>
        <v>0</v>
      </c>
      <c r="N2750" s="67">
        <f>ROUND(+L2750*D2750,4)</f>
        <v>0</v>
      </c>
      <c r="O2750" s="67">
        <f>ROUND(IF(F2750="rame",0,+I2750*3%),4)</f>
        <v>0</v>
      </c>
      <c r="P2750" s="67">
        <f>ROUND(IF(O2750&lt;J2750,O2750,0),4)</f>
        <v>0</v>
      </c>
      <c r="Q2750" s="67">
        <f>ROUND(IF(J2750&gt;O2750,0,J2750),4)</f>
        <v>0</v>
      </c>
      <c r="R2750" s="67">
        <f>ROUND(+P2750*D2750,4)</f>
        <v>0</v>
      </c>
      <c r="S2750" s="67">
        <f>ROUND(IF(K2750=0,0,M2750*D2750),4)</f>
        <v>0</v>
      </c>
      <c r="T2750" s="67">
        <f>ROUND(+IF(K2750=0,Q2750*D2750,0),4)</f>
        <v>0</v>
      </c>
      <c r="U2750" s="67">
        <f>ROUND(+N2750+R2750+S2750+T2750,4)</f>
        <v>0</v>
      </c>
      <c r="V2750" s="67">
        <f>ROUND(IF(P2750=0,0,I2750-H2750-O2750)+IF(L2750=0,0,I2750-H2750-K2750),4)</f>
        <v>0</v>
      </c>
      <c r="W2750" s="67">
        <f>ROUND(+(V2750*60%)*D2750,4)</f>
        <v>0</v>
      </c>
      <c r="X2750" s="148">
        <f>ROUND(+U2750+W2750,4)</f>
        <v>0</v>
      </c>
      <c r="Y2750" s="68"/>
      <c r="Z2750" s="148">
        <f>ROUND(IF(X2750&gt;I2750,X2750,I2750),4)</f>
        <v>0</v>
      </c>
      <c r="AD2750" s="78">
        <f t="shared" si="66"/>
        <v>0</v>
      </c>
      <c r="AE2750" s="78">
        <f t="shared" si="67"/>
        <v>0</v>
      </c>
    </row>
    <row r="2751" spans="1:31" x14ac:dyDescent="0.2">
      <c r="A2751" s="66"/>
      <c r="B2751" s="66"/>
      <c r="C2751" s="66"/>
      <c r="D2751" s="144"/>
      <c r="E2751" s="67"/>
      <c r="F2751" s="67"/>
      <c r="G2751" s="67"/>
      <c r="H2751" s="67">
        <f>ROUND(+E2751+G2751,4)</f>
        <v>0</v>
      </c>
      <c r="I2751" s="67"/>
      <c r="J2751" s="67">
        <f>ROUND(+I2751-H2751,4)</f>
        <v>0</v>
      </c>
      <c r="K2751" s="67">
        <f>ROUND(IF(F2751="alluminio",0,I2751*1.5%),4)</f>
        <v>0</v>
      </c>
      <c r="L2751" s="67">
        <f>ROUND(IF(K2751&lt;J2751,K2751,0),4)</f>
        <v>0</v>
      </c>
      <c r="M2751" s="67">
        <f>ROUND(IF(J2751&gt;K2751,0,J2751),4)</f>
        <v>0</v>
      </c>
      <c r="N2751" s="67">
        <f>ROUND(+L2751*D2751,4)</f>
        <v>0</v>
      </c>
      <c r="O2751" s="67">
        <f>ROUND(IF(F2751="rame",0,+I2751*3%),4)</f>
        <v>0</v>
      </c>
      <c r="P2751" s="67">
        <f>ROUND(IF(O2751&lt;J2751,O2751,0),4)</f>
        <v>0</v>
      </c>
      <c r="Q2751" s="67">
        <f>ROUND(IF(J2751&gt;O2751,0,J2751),4)</f>
        <v>0</v>
      </c>
      <c r="R2751" s="67">
        <f>ROUND(+P2751*D2751,4)</f>
        <v>0</v>
      </c>
      <c r="S2751" s="67">
        <f>ROUND(IF(K2751=0,0,M2751*D2751),4)</f>
        <v>0</v>
      </c>
      <c r="T2751" s="67">
        <f>ROUND(+IF(K2751=0,Q2751*D2751,0),4)</f>
        <v>0</v>
      </c>
      <c r="U2751" s="67">
        <f>ROUND(+N2751+R2751+S2751+T2751,4)</f>
        <v>0</v>
      </c>
      <c r="V2751" s="67">
        <f>ROUND(IF(P2751=0,0,I2751-H2751-O2751)+IF(L2751=0,0,I2751-H2751-K2751),4)</f>
        <v>0</v>
      </c>
      <c r="W2751" s="67">
        <f>ROUND(+(V2751*60%)*D2751,4)</f>
        <v>0</v>
      </c>
      <c r="X2751" s="148">
        <f>ROUND(+U2751+W2751,4)</f>
        <v>0</v>
      </c>
      <c r="Y2751" s="68"/>
      <c r="Z2751" s="148">
        <f>ROUND(IF(X2751&gt;I2751,X2751,I2751),4)</f>
        <v>0</v>
      </c>
      <c r="AD2751" s="78">
        <f t="shared" si="66"/>
        <v>0</v>
      </c>
      <c r="AE2751" s="78">
        <f t="shared" si="67"/>
        <v>0</v>
      </c>
    </row>
    <row r="2752" spans="1:31" x14ac:dyDescent="0.2">
      <c r="A2752" s="66"/>
      <c r="B2752" s="66"/>
      <c r="C2752" s="66"/>
      <c r="D2752" s="144"/>
      <c r="E2752" s="67"/>
      <c r="F2752" s="67"/>
      <c r="G2752" s="67"/>
      <c r="H2752" s="67">
        <f>ROUND(+E2752+G2752,4)</f>
        <v>0</v>
      </c>
      <c r="I2752" s="67"/>
      <c r="J2752" s="67">
        <f>ROUND(+I2752-H2752,4)</f>
        <v>0</v>
      </c>
      <c r="K2752" s="67">
        <f>ROUND(IF(F2752="alluminio",0,I2752*1.5%),4)</f>
        <v>0</v>
      </c>
      <c r="L2752" s="67">
        <f>ROUND(IF(K2752&lt;J2752,K2752,0),4)</f>
        <v>0</v>
      </c>
      <c r="M2752" s="67">
        <f>ROUND(IF(J2752&gt;K2752,0,J2752),4)</f>
        <v>0</v>
      </c>
      <c r="N2752" s="67">
        <f>ROUND(+L2752*D2752,4)</f>
        <v>0</v>
      </c>
      <c r="O2752" s="67">
        <f>ROUND(IF(F2752="rame",0,+I2752*3%),4)</f>
        <v>0</v>
      </c>
      <c r="P2752" s="67">
        <f>ROUND(IF(O2752&lt;J2752,O2752,0),4)</f>
        <v>0</v>
      </c>
      <c r="Q2752" s="67">
        <f>ROUND(IF(J2752&gt;O2752,0,J2752),4)</f>
        <v>0</v>
      </c>
      <c r="R2752" s="67">
        <f>ROUND(+P2752*D2752,4)</f>
        <v>0</v>
      </c>
      <c r="S2752" s="67">
        <f>ROUND(IF(K2752=0,0,M2752*D2752),4)</f>
        <v>0</v>
      </c>
      <c r="T2752" s="67">
        <f>ROUND(+IF(K2752=0,Q2752*D2752,0),4)</f>
        <v>0</v>
      </c>
      <c r="U2752" s="67">
        <f>ROUND(+N2752+R2752+S2752+T2752,4)</f>
        <v>0</v>
      </c>
      <c r="V2752" s="67">
        <f>ROUND(IF(P2752=0,0,I2752-H2752-O2752)+IF(L2752=0,0,I2752-H2752-K2752),4)</f>
        <v>0</v>
      </c>
      <c r="W2752" s="67">
        <f>ROUND(+(V2752*60%)*D2752,4)</f>
        <v>0</v>
      </c>
      <c r="X2752" s="148">
        <f>ROUND(+U2752+W2752,4)</f>
        <v>0</v>
      </c>
      <c r="Y2752" s="68"/>
      <c r="Z2752" s="148">
        <f>ROUND(IF(X2752&gt;I2752,X2752,I2752),4)</f>
        <v>0</v>
      </c>
      <c r="AD2752" s="78">
        <f t="shared" si="66"/>
        <v>0</v>
      </c>
      <c r="AE2752" s="78">
        <f t="shared" si="67"/>
        <v>0</v>
      </c>
    </row>
    <row r="2753" spans="1:31" x14ac:dyDescent="0.2">
      <c r="A2753" s="66"/>
      <c r="B2753" s="66"/>
      <c r="C2753" s="66"/>
      <c r="D2753" s="144"/>
      <c r="E2753" s="67"/>
      <c r="F2753" s="67"/>
      <c r="G2753" s="67"/>
      <c r="H2753" s="67">
        <f>ROUND(+E2753+G2753,4)</f>
        <v>0</v>
      </c>
      <c r="I2753" s="67"/>
      <c r="J2753" s="67">
        <f>ROUND(+I2753-H2753,4)</f>
        <v>0</v>
      </c>
      <c r="K2753" s="67">
        <f>ROUND(IF(F2753="alluminio",0,I2753*1.5%),4)</f>
        <v>0</v>
      </c>
      <c r="L2753" s="67">
        <f>ROUND(IF(K2753&lt;J2753,K2753,0),4)</f>
        <v>0</v>
      </c>
      <c r="M2753" s="67">
        <f>ROUND(IF(J2753&gt;K2753,0,J2753),4)</f>
        <v>0</v>
      </c>
      <c r="N2753" s="67">
        <f>ROUND(+L2753*D2753,4)</f>
        <v>0</v>
      </c>
      <c r="O2753" s="67">
        <f>ROUND(IF(F2753="rame",0,+I2753*3%),4)</f>
        <v>0</v>
      </c>
      <c r="P2753" s="67">
        <f>ROUND(IF(O2753&lt;J2753,O2753,0),4)</f>
        <v>0</v>
      </c>
      <c r="Q2753" s="67">
        <f>ROUND(IF(J2753&gt;O2753,0,J2753),4)</f>
        <v>0</v>
      </c>
      <c r="R2753" s="67">
        <f>ROUND(+P2753*D2753,4)</f>
        <v>0</v>
      </c>
      <c r="S2753" s="67">
        <f>ROUND(IF(K2753=0,0,M2753*D2753),4)</f>
        <v>0</v>
      </c>
      <c r="T2753" s="67">
        <f>ROUND(+IF(K2753=0,Q2753*D2753,0),4)</f>
        <v>0</v>
      </c>
      <c r="U2753" s="67">
        <f>ROUND(+N2753+R2753+S2753+T2753,4)</f>
        <v>0</v>
      </c>
      <c r="V2753" s="67">
        <f>ROUND(IF(P2753=0,0,I2753-H2753-O2753)+IF(L2753=0,0,I2753-H2753-K2753),4)</f>
        <v>0</v>
      </c>
      <c r="W2753" s="67">
        <f>ROUND(+(V2753*60%)*D2753,4)</f>
        <v>0</v>
      </c>
      <c r="X2753" s="148">
        <f>ROUND(+U2753+W2753,4)</f>
        <v>0</v>
      </c>
      <c r="Y2753" s="68"/>
      <c r="Z2753" s="148">
        <f>ROUND(IF(X2753&gt;I2753,X2753,I2753),4)</f>
        <v>0</v>
      </c>
      <c r="AD2753" s="78">
        <f t="shared" si="66"/>
        <v>0</v>
      </c>
      <c r="AE2753" s="78">
        <f t="shared" si="67"/>
        <v>0</v>
      </c>
    </row>
    <row r="2754" spans="1:31" x14ac:dyDescent="0.2">
      <c r="A2754" s="66"/>
      <c r="B2754" s="66"/>
      <c r="C2754" s="66"/>
      <c r="D2754" s="144"/>
      <c r="E2754" s="67"/>
      <c r="F2754" s="67"/>
      <c r="G2754" s="67"/>
      <c r="H2754" s="67">
        <f>ROUND(+E2754+G2754,4)</f>
        <v>0</v>
      </c>
      <c r="I2754" s="67"/>
      <c r="J2754" s="67">
        <f>ROUND(+I2754-H2754,4)</f>
        <v>0</v>
      </c>
      <c r="K2754" s="67">
        <f>ROUND(IF(F2754="alluminio",0,I2754*1.5%),4)</f>
        <v>0</v>
      </c>
      <c r="L2754" s="67">
        <f>ROUND(IF(K2754&lt;J2754,K2754,0),4)</f>
        <v>0</v>
      </c>
      <c r="M2754" s="67">
        <f>ROUND(IF(J2754&gt;K2754,0,J2754),4)</f>
        <v>0</v>
      </c>
      <c r="N2754" s="67">
        <f>ROUND(+L2754*D2754,4)</f>
        <v>0</v>
      </c>
      <c r="O2754" s="67">
        <f>ROUND(IF(F2754="rame",0,+I2754*3%),4)</f>
        <v>0</v>
      </c>
      <c r="P2754" s="67">
        <f>ROUND(IF(O2754&lt;J2754,O2754,0),4)</f>
        <v>0</v>
      </c>
      <c r="Q2754" s="67">
        <f>ROUND(IF(J2754&gt;O2754,0,J2754),4)</f>
        <v>0</v>
      </c>
      <c r="R2754" s="67">
        <f>ROUND(+P2754*D2754,4)</f>
        <v>0</v>
      </c>
      <c r="S2754" s="67">
        <f>ROUND(IF(K2754=0,0,M2754*D2754),4)</f>
        <v>0</v>
      </c>
      <c r="T2754" s="67">
        <f>ROUND(+IF(K2754=0,Q2754*D2754,0),4)</f>
        <v>0</v>
      </c>
      <c r="U2754" s="67">
        <f>ROUND(+N2754+R2754+S2754+T2754,4)</f>
        <v>0</v>
      </c>
      <c r="V2754" s="67">
        <f>ROUND(IF(P2754=0,0,I2754-H2754-O2754)+IF(L2754=0,0,I2754-H2754-K2754),4)</f>
        <v>0</v>
      </c>
      <c r="W2754" s="67">
        <f>ROUND(+(V2754*60%)*D2754,4)</f>
        <v>0</v>
      </c>
      <c r="X2754" s="148">
        <f>ROUND(+U2754+W2754,4)</f>
        <v>0</v>
      </c>
      <c r="Y2754" s="68"/>
      <c r="Z2754" s="148">
        <f>ROUND(IF(X2754&gt;I2754,X2754,I2754),4)</f>
        <v>0</v>
      </c>
      <c r="AD2754" s="78">
        <f t="shared" si="66"/>
        <v>0</v>
      </c>
      <c r="AE2754" s="78">
        <f t="shared" si="67"/>
        <v>0</v>
      </c>
    </row>
    <row r="2755" spans="1:31" x14ac:dyDescent="0.2">
      <c r="A2755" s="66"/>
      <c r="B2755" s="66"/>
      <c r="C2755" s="66"/>
      <c r="D2755" s="144"/>
      <c r="E2755" s="67"/>
      <c r="F2755" s="67"/>
      <c r="G2755" s="67"/>
      <c r="H2755" s="67">
        <f>ROUND(+E2755+G2755,4)</f>
        <v>0</v>
      </c>
      <c r="I2755" s="67"/>
      <c r="J2755" s="67">
        <f>ROUND(+I2755-H2755,4)</f>
        <v>0</v>
      </c>
      <c r="K2755" s="67">
        <f>ROUND(IF(F2755="alluminio",0,I2755*1.5%),4)</f>
        <v>0</v>
      </c>
      <c r="L2755" s="67">
        <f>ROUND(IF(K2755&lt;J2755,K2755,0),4)</f>
        <v>0</v>
      </c>
      <c r="M2755" s="67">
        <f>ROUND(IF(J2755&gt;K2755,0,J2755),4)</f>
        <v>0</v>
      </c>
      <c r="N2755" s="67">
        <f>ROUND(+L2755*D2755,4)</f>
        <v>0</v>
      </c>
      <c r="O2755" s="67">
        <f>ROUND(IF(F2755="rame",0,+I2755*3%),4)</f>
        <v>0</v>
      </c>
      <c r="P2755" s="67">
        <f>ROUND(IF(O2755&lt;J2755,O2755,0),4)</f>
        <v>0</v>
      </c>
      <c r="Q2755" s="67">
        <f>ROUND(IF(J2755&gt;O2755,0,J2755),4)</f>
        <v>0</v>
      </c>
      <c r="R2755" s="67">
        <f>ROUND(+P2755*D2755,4)</f>
        <v>0</v>
      </c>
      <c r="S2755" s="67">
        <f>ROUND(IF(K2755=0,0,M2755*D2755),4)</f>
        <v>0</v>
      </c>
      <c r="T2755" s="67">
        <f>ROUND(+IF(K2755=0,Q2755*D2755,0),4)</f>
        <v>0</v>
      </c>
      <c r="U2755" s="67">
        <f>ROUND(+N2755+R2755+S2755+T2755,4)</f>
        <v>0</v>
      </c>
      <c r="V2755" s="67">
        <f>ROUND(IF(P2755=0,0,I2755-H2755-O2755)+IF(L2755=0,0,I2755-H2755-K2755),4)</f>
        <v>0</v>
      </c>
      <c r="W2755" s="67">
        <f>ROUND(+(V2755*60%)*D2755,4)</f>
        <v>0</v>
      </c>
      <c r="X2755" s="148">
        <f>ROUND(+U2755+W2755,4)</f>
        <v>0</v>
      </c>
      <c r="Y2755" s="68"/>
      <c r="Z2755" s="148">
        <f>ROUND(IF(X2755&gt;I2755,X2755,I2755),4)</f>
        <v>0</v>
      </c>
      <c r="AD2755" s="78">
        <f t="shared" si="66"/>
        <v>0</v>
      </c>
      <c r="AE2755" s="78">
        <f t="shared" si="67"/>
        <v>0</v>
      </c>
    </row>
    <row r="2756" spans="1:31" x14ac:dyDescent="0.2">
      <c r="A2756" s="66"/>
      <c r="B2756" s="66"/>
      <c r="C2756" s="66"/>
      <c r="D2756" s="144"/>
      <c r="E2756" s="67"/>
      <c r="F2756" s="67"/>
      <c r="G2756" s="67"/>
      <c r="H2756" s="67">
        <f>ROUND(+E2756+G2756,4)</f>
        <v>0</v>
      </c>
      <c r="I2756" s="67"/>
      <c r="J2756" s="67">
        <f>ROUND(+I2756-H2756,4)</f>
        <v>0</v>
      </c>
      <c r="K2756" s="67">
        <f>ROUND(IF(F2756="alluminio",0,I2756*1.5%),4)</f>
        <v>0</v>
      </c>
      <c r="L2756" s="67">
        <f>ROUND(IF(K2756&lt;J2756,K2756,0),4)</f>
        <v>0</v>
      </c>
      <c r="M2756" s="67">
        <f>ROUND(IF(J2756&gt;K2756,0,J2756),4)</f>
        <v>0</v>
      </c>
      <c r="N2756" s="67">
        <f>ROUND(+L2756*D2756,4)</f>
        <v>0</v>
      </c>
      <c r="O2756" s="67">
        <f>ROUND(IF(F2756="rame",0,+I2756*3%),4)</f>
        <v>0</v>
      </c>
      <c r="P2756" s="67">
        <f>ROUND(IF(O2756&lt;J2756,O2756,0),4)</f>
        <v>0</v>
      </c>
      <c r="Q2756" s="67">
        <f>ROUND(IF(J2756&gt;O2756,0,J2756),4)</f>
        <v>0</v>
      </c>
      <c r="R2756" s="67">
        <f>ROUND(+P2756*D2756,4)</f>
        <v>0</v>
      </c>
      <c r="S2756" s="67">
        <f>ROUND(IF(K2756=0,0,M2756*D2756),4)</f>
        <v>0</v>
      </c>
      <c r="T2756" s="67">
        <f>ROUND(+IF(K2756=0,Q2756*D2756,0),4)</f>
        <v>0</v>
      </c>
      <c r="U2756" s="67">
        <f>ROUND(+N2756+R2756+S2756+T2756,4)</f>
        <v>0</v>
      </c>
      <c r="V2756" s="67">
        <f>ROUND(IF(P2756=0,0,I2756-H2756-O2756)+IF(L2756=0,0,I2756-H2756-K2756),4)</f>
        <v>0</v>
      </c>
      <c r="W2756" s="67">
        <f>ROUND(+(V2756*60%)*D2756,4)</f>
        <v>0</v>
      </c>
      <c r="X2756" s="148">
        <f>ROUND(+U2756+W2756,4)</f>
        <v>0</v>
      </c>
      <c r="Y2756" s="68"/>
      <c r="Z2756" s="148">
        <f>ROUND(IF(X2756&gt;I2756,X2756,I2756),4)</f>
        <v>0</v>
      </c>
      <c r="AD2756" s="78">
        <f t="shared" si="66"/>
        <v>0</v>
      </c>
      <c r="AE2756" s="78">
        <f t="shared" si="67"/>
        <v>0</v>
      </c>
    </row>
    <row r="2757" spans="1:31" x14ac:dyDescent="0.2">
      <c r="A2757" s="66"/>
      <c r="B2757" s="66"/>
      <c r="C2757" s="66"/>
      <c r="D2757" s="144"/>
      <c r="E2757" s="67"/>
      <c r="F2757" s="67"/>
      <c r="G2757" s="67"/>
      <c r="H2757" s="67">
        <f>ROUND(+E2757+G2757,4)</f>
        <v>0</v>
      </c>
      <c r="I2757" s="67"/>
      <c r="J2757" s="67">
        <f>ROUND(+I2757-H2757,4)</f>
        <v>0</v>
      </c>
      <c r="K2757" s="67">
        <f>ROUND(IF(F2757="alluminio",0,I2757*1.5%),4)</f>
        <v>0</v>
      </c>
      <c r="L2757" s="67">
        <f>ROUND(IF(K2757&lt;J2757,K2757,0),4)</f>
        <v>0</v>
      </c>
      <c r="M2757" s="67">
        <f>ROUND(IF(J2757&gt;K2757,0,J2757),4)</f>
        <v>0</v>
      </c>
      <c r="N2757" s="67">
        <f>ROUND(+L2757*D2757,4)</f>
        <v>0</v>
      </c>
      <c r="O2757" s="67">
        <f>ROUND(IF(F2757="rame",0,+I2757*3%),4)</f>
        <v>0</v>
      </c>
      <c r="P2757" s="67">
        <f>ROUND(IF(O2757&lt;J2757,O2757,0),4)</f>
        <v>0</v>
      </c>
      <c r="Q2757" s="67">
        <f>ROUND(IF(J2757&gt;O2757,0,J2757),4)</f>
        <v>0</v>
      </c>
      <c r="R2757" s="67">
        <f>ROUND(+P2757*D2757,4)</f>
        <v>0</v>
      </c>
      <c r="S2757" s="67">
        <f>ROUND(IF(K2757=0,0,M2757*D2757),4)</f>
        <v>0</v>
      </c>
      <c r="T2757" s="67">
        <f>ROUND(+IF(K2757=0,Q2757*D2757,0),4)</f>
        <v>0</v>
      </c>
      <c r="U2757" s="67">
        <f>ROUND(+N2757+R2757+S2757+T2757,4)</f>
        <v>0</v>
      </c>
      <c r="V2757" s="67">
        <f>ROUND(IF(P2757=0,0,I2757-H2757-O2757)+IF(L2757=0,0,I2757-H2757-K2757),4)</f>
        <v>0</v>
      </c>
      <c r="W2757" s="67">
        <f>ROUND(+(V2757*60%)*D2757,4)</f>
        <v>0</v>
      </c>
      <c r="X2757" s="148">
        <f>ROUND(+U2757+W2757,4)</f>
        <v>0</v>
      </c>
      <c r="Y2757" s="68"/>
      <c r="Z2757" s="148">
        <f>ROUND(IF(X2757&gt;I2757,X2757,I2757),4)</f>
        <v>0</v>
      </c>
      <c r="AD2757" s="78">
        <f t="shared" si="66"/>
        <v>0</v>
      </c>
      <c r="AE2757" s="78">
        <f t="shared" si="67"/>
        <v>0</v>
      </c>
    </row>
    <row r="2758" spans="1:31" x14ac:dyDescent="0.2">
      <c r="A2758" s="66"/>
      <c r="B2758" s="66"/>
      <c r="C2758" s="66"/>
      <c r="D2758" s="144"/>
      <c r="E2758" s="67"/>
      <c r="F2758" s="67"/>
      <c r="G2758" s="67"/>
      <c r="H2758" s="67">
        <f>ROUND(+E2758+G2758,4)</f>
        <v>0</v>
      </c>
      <c r="I2758" s="67"/>
      <c r="J2758" s="67">
        <f>ROUND(+I2758-H2758,4)</f>
        <v>0</v>
      </c>
      <c r="K2758" s="67">
        <f>ROUND(IF(F2758="alluminio",0,I2758*1.5%),4)</f>
        <v>0</v>
      </c>
      <c r="L2758" s="67">
        <f>ROUND(IF(K2758&lt;J2758,K2758,0),4)</f>
        <v>0</v>
      </c>
      <c r="M2758" s="67">
        <f>ROUND(IF(J2758&gt;K2758,0,J2758),4)</f>
        <v>0</v>
      </c>
      <c r="N2758" s="67">
        <f>ROUND(+L2758*D2758,4)</f>
        <v>0</v>
      </c>
      <c r="O2758" s="67">
        <f>ROUND(IF(F2758="rame",0,+I2758*3%),4)</f>
        <v>0</v>
      </c>
      <c r="P2758" s="67">
        <f>ROUND(IF(O2758&lt;J2758,O2758,0),4)</f>
        <v>0</v>
      </c>
      <c r="Q2758" s="67">
        <f>ROUND(IF(J2758&gt;O2758,0,J2758),4)</f>
        <v>0</v>
      </c>
      <c r="R2758" s="67">
        <f>ROUND(+P2758*D2758,4)</f>
        <v>0</v>
      </c>
      <c r="S2758" s="67">
        <f>ROUND(IF(K2758=0,0,M2758*D2758),4)</f>
        <v>0</v>
      </c>
      <c r="T2758" s="67">
        <f>ROUND(+IF(K2758=0,Q2758*D2758,0),4)</f>
        <v>0</v>
      </c>
      <c r="U2758" s="67">
        <f>ROUND(+N2758+R2758+S2758+T2758,4)</f>
        <v>0</v>
      </c>
      <c r="V2758" s="67">
        <f>ROUND(IF(P2758=0,0,I2758-H2758-O2758)+IF(L2758=0,0,I2758-H2758-K2758),4)</f>
        <v>0</v>
      </c>
      <c r="W2758" s="67">
        <f>ROUND(+(V2758*60%)*D2758,4)</f>
        <v>0</v>
      </c>
      <c r="X2758" s="148">
        <f>ROUND(+U2758+W2758,4)</f>
        <v>0</v>
      </c>
      <c r="Y2758" s="68"/>
      <c r="Z2758" s="148">
        <f>ROUND(IF(X2758&gt;I2758,X2758,I2758),4)</f>
        <v>0</v>
      </c>
      <c r="AD2758" s="78">
        <f t="shared" si="66"/>
        <v>0</v>
      </c>
      <c r="AE2758" s="78">
        <f t="shared" si="67"/>
        <v>0</v>
      </c>
    </row>
    <row r="2759" spans="1:31" x14ac:dyDescent="0.2">
      <c r="A2759" s="66"/>
      <c r="B2759" s="66"/>
      <c r="C2759" s="66"/>
      <c r="D2759" s="144"/>
      <c r="E2759" s="67"/>
      <c r="F2759" s="67"/>
      <c r="G2759" s="67"/>
      <c r="H2759" s="67">
        <f>ROUND(+E2759+G2759,4)</f>
        <v>0</v>
      </c>
      <c r="I2759" s="67"/>
      <c r="J2759" s="67">
        <f>ROUND(+I2759-H2759,4)</f>
        <v>0</v>
      </c>
      <c r="K2759" s="67">
        <f>ROUND(IF(F2759="alluminio",0,I2759*1.5%),4)</f>
        <v>0</v>
      </c>
      <c r="L2759" s="67">
        <f>ROUND(IF(K2759&lt;J2759,K2759,0),4)</f>
        <v>0</v>
      </c>
      <c r="M2759" s="67">
        <f>ROUND(IF(J2759&gt;K2759,0,J2759),4)</f>
        <v>0</v>
      </c>
      <c r="N2759" s="67">
        <f>ROUND(+L2759*D2759,4)</f>
        <v>0</v>
      </c>
      <c r="O2759" s="67">
        <f>ROUND(IF(F2759="rame",0,+I2759*3%),4)</f>
        <v>0</v>
      </c>
      <c r="P2759" s="67">
        <f>ROUND(IF(O2759&lt;J2759,O2759,0),4)</f>
        <v>0</v>
      </c>
      <c r="Q2759" s="67">
        <f>ROUND(IF(J2759&gt;O2759,0,J2759),4)</f>
        <v>0</v>
      </c>
      <c r="R2759" s="67">
        <f>ROUND(+P2759*D2759,4)</f>
        <v>0</v>
      </c>
      <c r="S2759" s="67">
        <f>ROUND(IF(K2759=0,0,M2759*D2759),4)</f>
        <v>0</v>
      </c>
      <c r="T2759" s="67">
        <f>ROUND(+IF(K2759=0,Q2759*D2759,0),4)</f>
        <v>0</v>
      </c>
      <c r="U2759" s="67">
        <f>ROUND(+N2759+R2759+S2759+T2759,4)</f>
        <v>0</v>
      </c>
      <c r="V2759" s="67">
        <f>ROUND(IF(P2759=0,0,I2759-H2759-O2759)+IF(L2759=0,0,I2759-H2759-K2759),4)</f>
        <v>0</v>
      </c>
      <c r="W2759" s="67">
        <f>ROUND(+(V2759*60%)*D2759,4)</f>
        <v>0</v>
      </c>
      <c r="X2759" s="148">
        <f>ROUND(+U2759+W2759,4)</f>
        <v>0</v>
      </c>
      <c r="Y2759" s="68"/>
      <c r="Z2759" s="148">
        <f>ROUND(IF(X2759&gt;I2759,X2759,I2759),4)</f>
        <v>0</v>
      </c>
      <c r="AD2759" s="78">
        <f t="shared" si="66"/>
        <v>0</v>
      </c>
      <c r="AE2759" s="78">
        <f t="shared" si="67"/>
        <v>0</v>
      </c>
    </row>
    <row r="2760" spans="1:31" x14ac:dyDescent="0.2">
      <c r="A2760" s="66"/>
      <c r="B2760" s="66"/>
      <c r="C2760" s="66"/>
      <c r="D2760" s="144"/>
      <c r="E2760" s="67"/>
      <c r="F2760" s="67"/>
      <c r="G2760" s="67"/>
      <c r="H2760" s="67">
        <f>ROUND(+E2760+G2760,4)</f>
        <v>0</v>
      </c>
      <c r="I2760" s="67"/>
      <c r="J2760" s="67">
        <f>ROUND(+I2760-H2760,4)</f>
        <v>0</v>
      </c>
      <c r="K2760" s="67">
        <f>ROUND(IF(F2760="alluminio",0,I2760*1.5%),4)</f>
        <v>0</v>
      </c>
      <c r="L2760" s="67">
        <f>ROUND(IF(K2760&lt;J2760,K2760,0),4)</f>
        <v>0</v>
      </c>
      <c r="M2760" s="67">
        <f>ROUND(IF(J2760&gt;K2760,0,J2760),4)</f>
        <v>0</v>
      </c>
      <c r="N2760" s="67">
        <f>ROUND(+L2760*D2760,4)</f>
        <v>0</v>
      </c>
      <c r="O2760" s="67">
        <f>ROUND(IF(F2760="rame",0,+I2760*3%),4)</f>
        <v>0</v>
      </c>
      <c r="P2760" s="67">
        <f>ROUND(IF(O2760&lt;J2760,O2760,0),4)</f>
        <v>0</v>
      </c>
      <c r="Q2760" s="67">
        <f>ROUND(IF(J2760&gt;O2760,0,J2760),4)</f>
        <v>0</v>
      </c>
      <c r="R2760" s="67">
        <f>ROUND(+P2760*D2760,4)</f>
        <v>0</v>
      </c>
      <c r="S2760" s="67">
        <f>ROUND(IF(K2760=0,0,M2760*D2760),4)</f>
        <v>0</v>
      </c>
      <c r="T2760" s="67">
        <f>ROUND(+IF(K2760=0,Q2760*D2760,0),4)</f>
        <v>0</v>
      </c>
      <c r="U2760" s="67">
        <f>ROUND(+N2760+R2760+S2760+T2760,4)</f>
        <v>0</v>
      </c>
      <c r="V2760" s="67">
        <f>ROUND(IF(P2760=0,0,I2760-H2760-O2760)+IF(L2760=0,0,I2760-H2760-K2760),4)</f>
        <v>0</v>
      </c>
      <c r="W2760" s="67">
        <f>ROUND(+(V2760*60%)*D2760,4)</f>
        <v>0</v>
      </c>
      <c r="X2760" s="148">
        <f>ROUND(+U2760+W2760,4)</f>
        <v>0</v>
      </c>
      <c r="Y2760" s="68"/>
      <c r="Z2760" s="148">
        <f>ROUND(IF(X2760&gt;I2760,X2760,I2760),4)</f>
        <v>0</v>
      </c>
      <c r="AD2760" s="78">
        <f t="shared" si="66"/>
        <v>0</v>
      </c>
      <c r="AE2760" s="78">
        <f t="shared" si="67"/>
        <v>0</v>
      </c>
    </row>
    <row r="2761" spans="1:31" x14ac:dyDescent="0.2">
      <c r="A2761" s="66"/>
      <c r="B2761" s="66"/>
      <c r="C2761" s="66"/>
      <c r="D2761" s="144"/>
      <c r="E2761" s="67"/>
      <c r="F2761" s="67"/>
      <c r="G2761" s="67"/>
      <c r="H2761" s="67">
        <f>ROUND(+E2761+G2761,4)</f>
        <v>0</v>
      </c>
      <c r="I2761" s="67"/>
      <c r="J2761" s="67">
        <f>ROUND(+I2761-H2761,4)</f>
        <v>0</v>
      </c>
      <c r="K2761" s="67">
        <f>ROUND(IF(F2761="alluminio",0,I2761*1.5%),4)</f>
        <v>0</v>
      </c>
      <c r="L2761" s="67">
        <f>ROUND(IF(K2761&lt;J2761,K2761,0),4)</f>
        <v>0</v>
      </c>
      <c r="M2761" s="67">
        <f>ROUND(IF(J2761&gt;K2761,0,J2761),4)</f>
        <v>0</v>
      </c>
      <c r="N2761" s="67">
        <f>ROUND(+L2761*D2761,4)</f>
        <v>0</v>
      </c>
      <c r="O2761" s="67">
        <f>ROUND(IF(F2761="rame",0,+I2761*3%),4)</f>
        <v>0</v>
      </c>
      <c r="P2761" s="67">
        <f>ROUND(IF(O2761&lt;J2761,O2761,0),4)</f>
        <v>0</v>
      </c>
      <c r="Q2761" s="67">
        <f>ROUND(IF(J2761&gt;O2761,0,J2761),4)</f>
        <v>0</v>
      </c>
      <c r="R2761" s="67">
        <f>ROUND(+P2761*D2761,4)</f>
        <v>0</v>
      </c>
      <c r="S2761" s="67">
        <f>ROUND(IF(K2761=0,0,M2761*D2761),4)</f>
        <v>0</v>
      </c>
      <c r="T2761" s="67">
        <f>ROUND(+IF(K2761=0,Q2761*D2761,0),4)</f>
        <v>0</v>
      </c>
      <c r="U2761" s="67">
        <f>ROUND(+N2761+R2761+S2761+T2761,4)</f>
        <v>0</v>
      </c>
      <c r="V2761" s="67">
        <f>ROUND(IF(P2761=0,0,I2761-H2761-O2761)+IF(L2761=0,0,I2761-H2761-K2761),4)</f>
        <v>0</v>
      </c>
      <c r="W2761" s="67">
        <f>ROUND(+(V2761*60%)*D2761,4)</f>
        <v>0</v>
      </c>
      <c r="X2761" s="148">
        <f>ROUND(+U2761+W2761,4)</f>
        <v>0</v>
      </c>
      <c r="Y2761" s="68"/>
      <c r="Z2761" s="148">
        <f>ROUND(IF(X2761&gt;I2761,X2761,I2761),4)</f>
        <v>0</v>
      </c>
      <c r="AD2761" s="78">
        <f t="shared" si="66"/>
        <v>0</v>
      </c>
      <c r="AE2761" s="78">
        <f t="shared" si="67"/>
        <v>0</v>
      </c>
    </row>
    <row r="2762" spans="1:31" x14ac:dyDescent="0.2">
      <c r="A2762" s="66"/>
      <c r="B2762" s="66"/>
      <c r="C2762" s="66"/>
      <c r="D2762" s="144"/>
      <c r="E2762" s="67"/>
      <c r="F2762" s="67"/>
      <c r="G2762" s="67"/>
      <c r="H2762" s="67">
        <f>ROUND(+E2762+G2762,4)</f>
        <v>0</v>
      </c>
      <c r="I2762" s="67"/>
      <c r="J2762" s="67">
        <f>ROUND(+I2762-H2762,4)</f>
        <v>0</v>
      </c>
      <c r="K2762" s="67">
        <f>ROUND(IF(F2762="alluminio",0,I2762*1.5%),4)</f>
        <v>0</v>
      </c>
      <c r="L2762" s="67">
        <f>ROUND(IF(K2762&lt;J2762,K2762,0),4)</f>
        <v>0</v>
      </c>
      <c r="M2762" s="67">
        <f>ROUND(IF(J2762&gt;K2762,0,J2762),4)</f>
        <v>0</v>
      </c>
      <c r="N2762" s="67">
        <f>ROUND(+L2762*D2762,4)</f>
        <v>0</v>
      </c>
      <c r="O2762" s="67">
        <f>ROUND(IF(F2762="rame",0,+I2762*3%),4)</f>
        <v>0</v>
      </c>
      <c r="P2762" s="67">
        <f>ROUND(IF(O2762&lt;J2762,O2762,0),4)</f>
        <v>0</v>
      </c>
      <c r="Q2762" s="67">
        <f>ROUND(IF(J2762&gt;O2762,0,J2762),4)</f>
        <v>0</v>
      </c>
      <c r="R2762" s="67">
        <f>ROUND(+P2762*D2762,4)</f>
        <v>0</v>
      </c>
      <c r="S2762" s="67">
        <f>ROUND(IF(K2762=0,0,M2762*D2762),4)</f>
        <v>0</v>
      </c>
      <c r="T2762" s="67">
        <f>ROUND(+IF(K2762=0,Q2762*D2762,0),4)</f>
        <v>0</v>
      </c>
      <c r="U2762" s="67">
        <f>ROUND(+N2762+R2762+S2762+T2762,4)</f>
        <v>0</v>
      </c>
      <c r="V2762" s="67">
        <f>ROUND(IF(P2762=0,0,I2762-H2762-O2762)+IF(L2762=0,0,I2762-H2762-K2762),4)</f>
        <v>0</v>
      </c>
      <c r="W2762" s="67">
        <f>ROUND(+(V2762*60%)*D2762,4)</f>
        <v>0</v>
      </c>
      <c r="X2762" s="148">
        <f>ROUND(+U2762+W2762,4)</f>
        <v>0</v>
      </c>
      <c r="Y2762" s="68"/>
      <c r="Z2762" s="148">
        <f>ROUND(IF(X2762&gt;I2762,X2762,I2762),4)</f>
        <v>0</v>
      </c>
      <c r="AD2762" s="78">
        <f t="shared" si="66"/>
        <v>0</v>
      </c>
      <c r="AE2762" s="78">
        <f t="shared" si="67"/>
        <v>0</v>
      </c>
    </row>
    <row r="2763" spans="1:31" x14ac:dyDescent="0.2">
      <c r="A2763" s="66"/>
      <c r="B2763" s="66"/>
      <c r="C2763" s="66"/>
      <c r="D2763" s="144"/>
      <c r="E2763" s="67"/>
      <c r="F2763" s="67"/>
      <c r="G2763" s="67"/>
      <c r="H2763" s="67">
        <f>ROUND(+E2763+G2763,4)</f>
        <v>0</v>
      </c>
      <c r="I2763" s="67"/>
      <c r="J2763" s="67">
        <f>ROUND(+I2763-H2763,4)</f>
        <v>0</v>
      </c>
      <c r="K2763" s="67">
        <f>ROUND(IF(F2763="alluminio",0,I2763*1.5%),4)</f>
        <v>0</v>
      </c>
      <c r="L2763" s="67">
        <f>ROUND(IF(K2763&lt;J2763,K2763,0),4)</f>
        <v>0</v>
      </c>
      <c r="M2763" s="67">
        <f>ROUND(IF(J2763&gt;K2763,0,J2763),4)</f>
        <v>0</v>
      </c>
      <c r="N2763" s="67">
        <f>ROUND(+L2763*D2763,4)</f>
        <v>0</v>
      </c>
      <c r="O2763" s="67">
        <f>ROUND(IF(F2763="rame",0,+I2763*3%),4)</f>
        <v>0</v>
      </c>
      <c r="P2763" s="67">
        <f>ROUND(IF(O2763&lt;J2763,O2763,0),4)</f>
        <v>0</v>
      </c>
      <c r="Q2763" s="67">
        <f>ROUND(IF(J2763&gt;O2763,0,J2763),4)</f>
        <v>0</v>
      </c>
      <c r="R2763" s="67">
        <f>ROUND(+P2763*D2763,4)</f>
        <v>0</v>
      </c>
      <c r="S2763" s="67">
        <f>ROUND(IF(K2763=0,0,M2763*D2763),4)</f>
        <v>0</v>
      </c>
      <c r="T2763" s="67">
        <f>ROUND(+IF(K2763=0,Q2763*D2763,0),4)</f>
        <v>0</v>
      </c>
      <c r="U2763" s="67">
        <f>ROUND(+N2763+R2763+S2763+T2763,4)</f>
        <v>0</v>
      </c>
      <c r="V2763" s="67">
        <f>ROUND(IF(P2763=0,0,I2763-H2763-O2763)+IF(L2763=0,0,I2763-H2763-K2763),4)</f>
        <v>0</v>
      </c>
      <c r="W2763" s="67">
        <f>ROUND(+(V2763*60%)*D2763,4)</f>
        <v>0</v>
      </c>
      <c r="X2763" s="148">
        <f>ROUND(+U2763+W2763,4)</f>
        <v>0</v>
      </c>
      <c r="Y2763" s="68"/>
      <c r="Z2763" s="148">
        <f>ROUND(IF(X2763&gt;I2763,X2763,I2763),4)</f>
        <v>0</v>
      </c>
      <c r="AD2763" s="78">
        <f t="shared" si="66"/>
        <v>0</v>
      </c>
      <c r="AE2763" s="78">
        <f t="shared" si="67"/>
        <v>0</v>
      </c>
    </row>
    <row r="2764" spans="1:31" x14ac:dyDescent="0.2">
      <c r="A2764" s="66"/>
      <c r="B2764" s="66"/>
      <c r="C2764" s="66"/>
      <c r="D2764" s="144"/>
      <c r="E2764" s="67"/>
      <c r="F2764" s="67"/>
      <c r="G2764" s="67"/>
      <c r="H2764" s="67">
        <f>ROUND(+E2764+G2764,4)</f>
        <v>0</v>
      </c>
      <c r="I2764" s="67"/>
      <c r="J2764" s="67">
        <f>ROUND(+I2764-H2764,4)</f>
        <v>0</v>
      </c>
      <c r="K2764" s="67">
        <f>ROUND(IF(F2764="alluminio",0,I2764*1.5%),4)</f>
        <v>0</v>
      </c>
      <c r="L2764" s="67">
        <f>ROUND(IF(K2764&lt;J2764,K2764,0),4)</f>
        <v>0</v>
      </c>
      <c r="M2764" s="67">
        <f>ROUND(IF(J2764&gt;K2764,0,J2764),4)</f>
        <v>0</v>
      </c>
      <c r="N2764" s="67">
        <f>ROUND(+L2764*D2764,4)</f>
        <v>0</v>
      </c>
      <c r="O2764" s="67">
        <f>ROUND(IF(F2764="rame",0,+I2764*3%),4)</f>
        <v>0</v>
      </c>
      <c r="P2764" s="67">
        <f>ROUND(IF(O2764&lt;J2764,O2764,0),4)</f>
        <v>0</v>
      </c>
      <c r="Q2764" s="67">
        <f>ROUND(IF(J2764&gt;O2764,0,J2764),4)</f>
        <v>0</v>
      </c>
      <c r="R2764" s="67">
        <f>ROUND(+P2764*D2764,4)</f>
        <v>0</v>
      </c>
      <c r="S2764" s="67">
        <f>ROUND(IF(K2764=0,0,M2764*D2764),4)</f>
        <v>0</v>
      </c>
      <c r="T2764" s="67">
        <f>ROUND(+IF(K2764=0,Q2764*D2764,0),4)</f>
        <v>0</v>
      </c>
      <c r="U2764" s="67">
        <f>ROUND(+N2764+R2764+S2764+T2764,4)</f>
        <v>0</v>
      </c>
      <c r="V2764" s="67">
        <f>ROUND(IF(P2764=0,0,I2764-H2764-O2764)+IF(L2764=0,0,I2764-H2764-K2764),4)</f>
        <v>0</v>
      </c>
      <c r="W2764" s="67">
        <f>ROUND(+(V2764*60%)*D2764,4)</f>
        <v>0</v>
      </c>
      <c r="X2764" s="148">
        <f>ROUND(+U2764+W2764,4)</f>
        <v>0</v>
      </c>
      <c r="Y2764" s="68"/>
      <c r="Z2764" s="148">
        <f>ROUND(IF(X2764&gt;I2764,X2764,I2764),4)</f>
        <v>0</v>
      </c>
      <c r="AD2764" s="78">
        <f t="shared" si="66"/>
        <v>0</v>
      </c>
      <c r="AE2764" s="78">
        <f t="shared" si="67"/>
        <v>0</v>
      </c>
    </row>
    <row r="2765" spans="1:31" x14ac:dyDescent="0.2">
      <c r="A2765" s="66"/>
      <c r="B2765" s="66"/>
      <c r="C2765" s="66"/>
      <c r="D2765" s="144"/>
      <c r="E2765" s="67"/>
      <c r="F2765" s="67"/>
      <c r="G2765" s="67"/>
      <c r="H2765" s="67">
        <f>ROUND(+E2765+G2765,4)</f>
        <v>0</v>
      </c>
      <c r="I2765" s="67"/>
      <c r="J2765" s="67">
        <f>ROUND(+I2765-H2765,4)</f>
        <v>0</v>
      </c>
      <c r="K2765" s="67">
        <f>ROUND(IF(F2765="alluminio",0,I2765*1.5%),4)</f>
        <v>0</v>
      </c>
      <c r="L2765" s="67">
        <f>ROUND(IF(K2765&lt;J2765,K2765,0),4)</f>
        <v>0</v>
      </c>
      <c r="M2765" s="67">
        <f>ROUND(IF(J2765&gt;K2765,0,J2765),4)</f>
        <v>0</v>
      </c>
      <c r="N2765" s="67">
        <f>ROUND(+L2765*D2765,4)</f>
        <v>0</v>
      </c>
      <c r="O2765" s="67">
        <f>ROUND(IF(F2765="rame",0,+I2765*3%),4)</f>
        <v>0</v>
      </c>
      <c r="P2765" s="67">
        <f>ROUND(IF(O2765&lt;J2765,O2765,0),4)</f>
        <v>0</v>
      </c>
      <c r="Q2765" s="67">
        <f>ROUND(IF(J2765&gt;O2765,0,J2765),4)</f>
        <v>0</v>
      </c>
      <c r="R2765" s="67">
        <f>ROUND(+P2765*D2765,4)</f>
        <v>0</v>
      </c>
      <c r="S2765" s="67">
        <f>ROUND(IF(K2765=0,0,M2765*D2765),4)</f>
        <v>0</v>
      </c>
      <c r="T2765" s="67">
        <f>ROUND(+IF(K2765=0,Q2765*D2765,0),4)</f>
        <v>0</v>
      </c>
      <c r="U2765" s="67">
        <f>ROUND(+N2765+R2765+S2765+T2765,4)</f>
        <v>0</v>
      </c>
      <c r="V2765" s="67">
        <f>ROUND(IF(P2765=0,0,I2765-H2765-O2765)+IF(L2765=0,0,I2765-H2765-K2765),4)</f>
        <v>0</v>
      </c>
      <c r="W2765" s="67">
        <f>ROUND(+(V2765*60%)*D2765,4)</f>
        <v>0</v>
      </c>
      <c r="X2765" s="148">
        <f>ROUND(+U2765+W2765,4)</f>
        <v>0</v>
      </c>
      <c r="Y2765" s="68"/>
      <c r="Z2765" s="148">
        <f>ROUND(IF(X2765&gt;I2765,X2765,I2765),4)</f>
        <v>0</v>
      </c>
      <c r="AD2765" s="78">
        <f t="shared" si="66"/>
        <v>0</v>
      </c>
      <c r="AE2765" s="78">
        <f t="shared" si="67"/>
        <v>0</v>
      </c>
    </row>
    <row r="2766" spans="1:31" x14ac:dyDescent="0.2">
      <c r="A2766" s="66"/>
      <c r="B2766" s="66"/>
      <c r="C2766" s="66"/>
      <c r="D2766" s="144"/>
      <c r="E2766" s="67"/>
      <c r="F2766" s="67"/>
      <c r="G2766" s="67"/>
      <c r="H2766" s="67">
        <f>ROUND(+E2766+G2766,4)</f>
        <v>0</v>
      </c>
      <c r="I2766" s="67"/>
      <c r="J2766" s="67">
        <f>ROUND(+I2766-H2766,4)</f>
        <v>0</v>
      </c>
      <c r="K2766" s="67">
        <f>ROUND(IF(F2766="alluminio",0,I2766*1.5%),4)</f>
        <v>0</v>
      </c>
      <c r="L2766" s="67">
        <f>ROUND(IF(K2766&lt;J2766,K2766,0),4)</f>
        <v>0</v>
      </c>
      <c r="M2766" s="67">
        <f>ROUND(IF(J2766&gt;K2766,0,J2766),4)</f>
        <v>0</v>
      </c>
      <c r="N2766" s="67">
        <f>ROUND(+L2766*D2766,4)</f>
        <v>0</v>
      </c>
      <c r="O2766" s="67">
        <f>ROUND(IF(F2766="rame",0,+I2766*3%),4)</f>
        <v>0</v>
      </c>
      <c r="P2766" s="67">
        <f>ROUND(IF(O2766&lt;J2766,O2766,0),4)</f>
        <v>0</v>
      </c>
      <c r="Q2766" s="67">
        <f>ROUND(IF(J2766&gt;O2766,0,J2766),4)</f>
        <v>0</v>
      </c>
      <c r="R2766" s="67">
        <f>ROUND(+P2766*D2766,4)</f>
        <v>0</v>
      </c>
      <c r="S2766" s="67">
        <f>ROUND(IF(K2766=0,0,M2766*D2766),4)</f>
        <v>0</v>
      </c>
      <c r="T2766" s="67">
        <f>ROUND(+IF(K2766=0,Q2766*D2766,0),4)</f>
        <v>0</v>
      </c>
      <c r="U2766" s="67">
        <f>ROUND(+N2766+R2766+S2766+T2766,4)</f>
        <v>0</v>
      </c>
      <c r="V2766" s="67">
        <f>ROUND(IF(P2766=0,0,I2766-H2766-O2766)+IF(L2766=0,0,I2766-H2766-K2766),4)</f>
        <v>0</v>
      </c>
      <c r="W2766" s="67">
        <f>ROUND(+(V2766*60%)*D2766,4)</f>
        <v>0</v>
      </c>
      <c r="X2766" s="148">
        <f>ROUND(+U2766+W2766,4)</f>
        <v>0</v>
      </c>
      <c r="Y2766" s="68"/>
      <c r="Z2766" s="148">
        <f>ROUND(IF(X2766&gt;I2766,X2766,I2766),4)</f>
        <v>0</v>
      </c>
      <c r="AD2766" s="78">
        <f t="shared" si="66"/>
        <v>0</v>
      </c>
      <c r="AE2766" s="78">
        <f t="shared" si="67"/>
        <v>0</v>
      </c>
    </row>
    <row r="2767" spans="1:31" x14ac:dyDescent="0.2">
      <c r="A2767" s="66"/>
      <c r="B2767" s="66"/>
      <c r="C2767" s="66"/>
      <c r="D2767" s="144"/>
      <c r="E2767" s="67"/>
      <c r="F2767" s="67"/>
      <c r="G2767" s="67"/>
      <c r="H2767" s="67">
        <f>ROUND(+E2767+G2767,4)</f>
        <v>0</v>
      </c>
      <c r="I2767" s="67"/>
      <c r="J2767" s="67">
        <f>ROUND(+I2767-H2767,4)</f>
        <v>0</v>
      </c>
      <c r="K2767" s="67">
        <f>ROUND(IF(F2767="alluminio",0,I2767*1.5%),4)</f>
        <v>0</v>
      </c>
      <c r="L2767" s="67">
        <f>ROUND(IF(K2767&lt;J2767,K2767,0),4)</f>
        <v>0</v>
      </c>
      <c r="M2767" s="67">
        <f>ROUND(IF(J2767&gt;K2767,0,J2767),4)</f>
        <v>0</v>
      </c>
      <c r="N2767" s="67">
        <f>ROUND(+L2767*D2767,4)</f>
        <v>0</v>
      </c>
      <c r="O2767" s="67">
        <f>ROUND(IF(F2767="rame",0,+I2767*3%),4)</f>
        <v>0</v>
      </c>
      <c r="P2767" s="67">
        <f>ROUND(IF(O2767&lt;J2767,O2767,0),4)</f>
        <v>0</v>
      </c>
      <c r="Q2767" s="67">
        <f>ROUND(IF(J2767&gt;O2767,0,J2767),4)</f>
        <v>0</v>
      </c>
      <c r="R2767" s="67">
        <f>ROUND(+P2767*D2767,4)</f>
        <v>0</v>
      </c>
      <c r="S2767" s="67">
        <f>ROUND(IF(K2767=0,0,M2767*D2767),4)</f>
        <v>0</v>
      </c>
      <c r="T2767" s="67">
        <f>ROUND(+IF(K2767=0,Q2767*D2767,0),4)</f>
        <v>0</v>
      </c>
      <c r="U2767" s="67">
        <f>ROUND(+N2767+R2767+S2767+T2767,4)</f>
        <v>0</v>
      </c>
      <c r="V2767" s="67">
        <f>ROUND(IF(P2767=0,0,I2767-H2767-O2767)+IF(L2767=0,0,I2767-H2767-K2767),4)</f>
        <v>0</v>
      </c>
      <c r="W2767" s="67">
        <f>ROUND(+(V2767*60%)*D2767,4)</f>
        <v>0</v>
      </c>
      <c r="X2767" s="148">
        <f>ROUND(+U2767+W2767,4)</f>
        <v>0</v>
      </c>
      <c r="Y2767" s="68"/>
      <c r="Z2767" s="148">
        <f>ROUND(IF(X2767&gt;I2767,X2767,I2767),4)</f>
        <v>0</v>
      </c>
      <c r="AD2767" s="78">
        <f t="shared" si="66"/>
        <v>0</v>
      </c>
      <c r="AE2767" s="78">
        <f t="shared" si="67"/>
        <v>0</v>
      </c>
    </row>
    <row r="2768" spans="1:31" x14ac:dyDescent="0.2">
      <c r="A2768" s="66"/>
      <c r="B2768" s="66"/>
      <c r="C2768" s="66"/>
      <c r="D2768" s="144"/>
      <c r="E2768" s="67"/>
      <c r="F2768" s="67"/>
      <c r="G2768" s="67"/>
      <c r="H2768" s="67">
        <f>ROUND(+E2768+G2768,4)</f>
        <v>0</v>
      </c>
      <c r="I2768" s="67"/>
      <c r="J2768" s="67">
        <f>ROUND(+I2768-H2768,4)</f>
        <v>0</v>
      </c>
      <c r="K2768" s="67">
        <f>ROUND(IF(F2768="alluminio",0,I2768*1.5%),4)</f>
        <v>0</v>
      </c>
      <c r="L2768" s="67">
        <f>ROUND(IF(K2768&lt;J2768,K2768,0),4)</f>
        <v>0</v>
      </c>
      <c r="M2768" s="67">
        <f>ROUND(IF(J2768&gt;K2768,0,J2768),4)</f>
        <v>0</v>
      </c>
      <c r="N2768" s="67">
        <f>ROUND(+L2768*D2768,4)</f>
        <v>0</v>
      </c>
      <c r="O2768" s="67">
        <f>ROUND(IF(F2768="rame",0,+I2768*3%),4)</f>
        <v>0</v>
      </c>
      <c r="P2768" s="67">
        <f>ROUND(IF(O2768&lt;J2768,O2768,0),4)</f>
        <v>0</v>
      </c>
      <c r="Q2768" s="67">
        <f>ROUND(IF(J2768&gt;O2768,0,J2768),4)</f>
        <v>0</v>
      </c>
      <c r="R2768" s="67">
        <f>ROUND(+P2768*D2768,4)</f>
        <v>0</v>
      </c>
      <c r="S2768" s="67">
        <f>ROUND(IF(K2768=0,0,M2768*D2768),4)</f>
        <v>0</v>
      </c>
      <c r="T2768" s="67">
        <f>ROUND(+IF(K2768=0,Q2768*D2768,0),4)</f>
        <v>0</v>
      </c>
      <c r="U2768" s="67">
        <f>ROUND(+N2768+R2768+S2768+T2768,4)</f>
        <v>0</v>
      </c>
      <c r="V2768" s="67">
        <f>ROUND(IF(P2768=0,0,I2768-H2768-O2768)+IF(L2768=0,0,I2768-H2768-K2768),4)</f>
        <v>0</v>
      </c>
      <c r="W2768" s="67">
        <f>ROUND(+(V2768*60%)*D2768,4)</f>
        <v>0</v>
      </c>
      <c r="X2768" s="148">
        <f>ROUND(+U2768+W2768,4)</f>
        <v>0</v>
      </c>
      <c r="Y2768" s="68"/>
      <c r="Z2768" s="148">
        <f>ROUND(IF(X2768&gt;I2768,X2768,I2768),4)</f>
        <v>0</v>
      </c>
      <c r="AD2768" s="78">
        <f t="shared" si="66"/>
        <v>0</v>
      </c>
      <c r="AE2768" s="78">
        <f t="shared" si="67"/>
        <v>0</v>
      </c>
    </row>
    <row r="2769" spans="1:31" x14ac:dyDescent="0.2">
      <c r="A2769" s="66"/>
      <c r="B2769" s="66"/>
      <c r="C2769" s="66"/>
      <c r="D2769" s="144"/>
      <c r="E2769" s="67"/>
      <c r="F2769" s="67"/>
      <c r="G2769" s="67"/>
      <c r="H2769" s="67">
        <f>ROUND(+E2769+G2769,4)</f>
        <v>0</v>
      </c>
      <c r="I2769" s="67"/>
      <c r="J2769" s="67">
        <f>ROUND(+I2769-H2769,4)</f>
        <v>0</v>
      </c>
      <c r="K2769" s="67">
        <f>ROUND(IF(F2769="alluminio",0,I2769*1.5%),4)</f>
        <v>0</v>
      </c>
      <c r="L2769" s="67">
        <f>ROUND(IF(K2769&lt;J2769,K2769,0),4)</f>
        <v>0</v>
      </c>
      <c r="M2769" s="67">
        <f>ROUND(IF(J2769&gt;K2769,0,J2769),4)</f>
        <v>0</v>
      </c>
      <c r="N2769" s="67">
        <f>ROUND(+L2769*D2769,4)</f>
        <v>0</v>
      </c>
      <c r="O2769" s="67">
        <f>ROUND(IF(F2769="rame",0,+I2769*3%),4)</f>
        <v>0</v>
      </c>
      <c r="P2769" s="67">
        <f>ROUND(IF(O2769&lt;J2769,O2769,0),4)</f>
        <v>0</v>
      </c>
      <c r="Q2769" s="67">
        <f>ROUND(IF(J2769&gt;O2769,0,J2769),4)</f>
        <v>0</v>
      </c>
      <c r="R2769" s="67">
        <f>ROUND(+P2769*D2769,4)</f>
        <v>0</v>
      </c>
      <c r="S2769" s="67">
        <f>ROUND(IF(K2769=0,0,M2769*D2769),4)</f>
        <v>0</v>
      </c>
      <c r="T2769" s="67">
        <f>ROUND(+IF(K2769=0,Q2769*D2769,0),4)</f>
        <v>0</v>
      </c>
      <c r="U2769" s="67">
        <f>ROUND(+N2769+R2769+S2769+T2769,4)</f>
        <v>0</v>
      </c>
      <c r="V2769" s="67">
        <f>ROUND(IF(P2769=0,0,I2769-H2769-O2769)+IF(L2769=0,0,I2769-H2769-K2769),4)</f>
        <v>0</v>
      </c>
      <c r="W2769" s="67">
        <f>ROUND(+(V2769*60%)*D2769,4)</f>
        <v>0</v>
      </c>
      <c r="X2769" s="148">
        <f>ROUND(+U2769+W2769,4)</f>
        <v>0</v>
      </c>
      <c r="Y2769" s="68"/>
      <c r="Z2769" s="148">
        <f>ROUND(IF(X2769&gt;I2769,X2769,I2769),4)</f>
        <v>0</v>
      </c>
      <c r="AD2769" s="78">
        <f t="shared" si="66"/>
        <v>0</v>
      </c>
      <c r="AE2769" s="78">
        <f t="shared" si="67"/>
        <v>0</v>
      </c>
    </row>
    <row r="2770" spans="1:31" x14ac:dyDescent="0.2">
      <c r="A2770" s="66"/>
      <c r="B2770" s="66"/>
      <c r="C2770" s="66"/>
      <c r="D2770" s="144"/>
      <c r="E2770" s="67"/>
      <c r="F2770" s="67"/>
      <c r="G2770" s="67"/>
      <c r="H2770" s="67">
        <f>ROUND(+E2770+G2770,4)</f>
        <v>0</v>
      </c>
      <c r="I2770" s="67"/>
      <c r="J2770" s="67">
        <f>ROUND(+I2770-H2770,4)</f>
        <v>0</v>
      </c>
      <c r="K2770" s="67">
        <f>ROUND(IF(F2770="alluminio",0,I2770*1.5%),4)</f>
        <v>0</v>
      </c>
      <c r="L2770" s="67">
        <f>ROUND(IF(K2770&lt;J2770,K2770,0),4)</f>
        <v>0</v>
      </c>
      <c r="M2770" s="67">
        <f>ROUND(IF(J2770&gt;K2770,0,J2770),4)</f>
        <v>0</v>
      </c>
      <c r="N2770" s="67">
        <f>ROUND(+L2770*D2770,4)</f>
        <v>0</v>
      </c>
      <c r="O2770" s="67">
        <f>ROUND(IF(F2770="rame",0,+I2770*3%),4)</f>
        <v>0</v>
      </c>
      <c r="P2770" s="67">
        <f>ROUND(IF(O2770&lt;J2770,O2770,0),4)</f>
        <v>0</v>
      </c>
      <c r="Q2770" s="67">
        <f>ROUND(IF(J2770&gt;O2770,0,J2770),4)</f>
        <v>0</v>
      </c>
      <c r="R2770" s="67">
        <f>ROUND(+P2770*D2770,4)</f>
        <v>0</v>
      </c>
      <c r="S2770" s="67">
        <f>ROUND(IF(K2770=0,0,M2770*D2770),4)</f>
        <v>0</v>
      </c>
      <c r="T2770" s="67">
        <f>ROUND(+IF(K2770=0,Q2770*D2770,0),4)</f>
        <v>0</v>
      </c>
      <c r="U2770" s="67">
        <f>ROUND(+N2770+R2770+S2770+T2770,4)</f>
        <v>0</v>
      </c>
      <c r="V2770" s="67">
        <f>ROUND(IF(P2770=0,0,I2770-H2770-O2770)+IF(L2770=0,0,I2770-H2770-K2770),4)</f>
        <v>0</v>
      </c>
      <c r="W2770" s="67">
        <f>ROUND(+(V2770*60%)*D2770,4)</f>
        <v>0</v>
      </c>
      <c r="X2770" s="148">
        <f>ROUND(+U2770+W2770,4)</f>
        <v>0</v>
      </c>
      <c r="Y2770" s="68"/>
      <c r="Z2770" s="148">
        <f>ROUND(IF(X2770&gt;I2770,X2770,I2770),4)</f>
        <v>0</v>
      </c>
      <c r="AD2770" s="78">
        <f t="shared" si="66"/>
        <v>0</v>
      </c>
      <c r="AE2770" s="78">
        <f t="shared" si="67"/>
        <v>0</v>
      </c>
    </row>
    <row r="2771" spans="1:31" x14ac:dyDescent="0.2">
      <c r="A2771" s="66"/>
      <c r="B2771" s="66"/>
      <c r="C2771" s="66"/>
      <c r="D2771" s="144"/>
      <c r="E2771" s="67"/>
      <c r="F2771" s="67"/>
      <c r="G2771" s="67"/>
      <c r="H2771" s="67">
        <f>ROUND(+E2771+G2771,4)</f>
        <v>0</v>
      </c>
      <c r="I2771" s="67"/>
      <c r="J2771" s="67">
        <f>ROUND(+I2771-H2771,4)</f>
        <v>0</v>
      </c>
      <c r="K2771" s="67">
        <f>ROUND(IF(F2771="alluminio",0,I2771*1.5%),4)</f>
        <v>0</v>
      </c>
      <c r="L2771" s="67">
        <f>ROUND(IF(K2771&lt;J2771,K2771,0),4)</f>
        <v>0</v>
      </c>
      <c r="M2771" s="67">
        <f>ROUND(IF(J2771&gt;K2771,0,J2771),4)</f>
        <v>0</v>
      </c>
      <c r="N2771" s="67">
        <f>ROUND(+L2771*D2771,4)</f>
        <v>0</v>
      </c>
      <c r="O2771" s="67">
        <f>ROUND(IF(F2771="rame",0,+I2771*3%),4)</f>
        <v>0</v>
      </c>
      <c r="P2771" s="67">
        <f>ROUND(IF(O2771&lt;J2771,O2771,0),4)</f>
        <v>0</v>
      </c>
      <c r="Q2771" s="67">
        <f>ROUND(IF(J2771&gt;O2771,0,J2771),4)</f>
        <v>0</v>
      </c>
      <c r="R2771" s="67">
        <f>ROUND(+P2771*D2771,4)</f>
        <v>0</v>
      </c>
      <c r="S2771" s="67">
        <f>ROUND(IF(K2771=0,0,M2771*D2771),4)</f>
        <v>0</v>
      </c>
      <c r="T2771" s="67">
        <f>ROUND(+IF(K2771=0,Q2771*D2771,0),4)</f>
        <v>0</v>
      </c>
      <c r="U2771" s="67">
        <f>ROUND(+N2771+R2771+S2771+T2771,4)</f>
        <v>0</v>
      </c>
      <c r="V2771" s="67">
        <f>ROUND(IF(P2771=0,0,I2771-H2771-O2771)+IF(L2771=0,0,I2771-H2771-K2771),4)</f>
        <v>0</v>
      </c>
      <c r="W2771" s="67">
        <f>ROUND(+(V2771*60%)*D2771,4)</f>
        <v>0</v>
      </c>
      <c r="X2771" s="148">
        <f>ROUND(+U2771+W2771,4)</f>
        <v>0</v>
      </c>
      <c r="Y2771" s="68"/>
      <c r="Z2771" s="148">
        <f>ROUND(IF(X2771&gt;I2771,X2771,I2771),4)</f>
        <v>0</v>
      </c>
      <c r="AD2771" s="78">
        <f t="shared" si="66"/>
        <v>0</v>
      </c>
      <c r="AE2771" s="78">
        <f t="shared" si="67"/>
        <v>0</v>
      </c>
    </row>
    <row r="2772" spans="1:31" x14ac:dyDescent="0.2">
      <c r="A2772" s="66"/>
      <c r="B2772" s="66"/>
      <c r="C2772" s="66"/>
      <c r="D2772" s="144"/>
      <c r="E2772" s="67"/>
      <c r="F2772" s="67"/>
      <c r="G2772" s="67"/>
      <c r="H2772" s="67">
        <f>ROUND(+E2772+G2772,4)</f>
        <v>0</v>
      </c>
      <c r="I2772" s="67"/>
      <c r="J2772" s="67">
        <f>ROUND(+I2772-H2772,4)</f>
        <v>0</v>
      </c>
      <c r="K2772" s="67">
        <f>ROUND(IF(F2772="alluminio",0,I2772*1.5%),4)</f>
        <v>0</v>
      </c>
      <c r="L2772" s="67">
        <f>ROUND(IF(K2772&lt;J2772,K2772,0),4)</f>
        <v>0</v>
      </c>
      <c r="M2772" s="67">
        <f>ROUND(IF(J2772&gt;K2772,0,J2772),4)</f>
        <v>0</v>
      </c>
      <c r="N2772" s="67">
        <f>ROUND(+L2772*D2772,4)</f>
        <v>0</v>
      </c>
      <c r="O2772" s="67">
        <f>ROUND(IF(F2772="rame",0,+I2772*3%),4)</f>
        <v>0</v>
      </c>
      <c r="P2772" s="67">
        <f>ROUND(IF(O2772&lt;J2772,O2772,0),4)</f>
        <v>0</v>
      </c>
      <c r="Q2772" s="67">
        <f>ROUND(IF(J2772&gt;O2772,0,J2772),4)</f>
        <v>0</v>
      </c>
      <c r="R2772" s="67">
        <f>ROUND(+P2772*D2772,4)</f>
        <v>0</v>
      </c>
      <c r="S2772" s="67">
        <f>ROUND(IF(K2772=0,0,M2772*D2772),4)</f>
        <v>0</v>
      </c>
      <c r="T2772" s="67">
        <f>ROUND(+IF(K2772=0,Q2772*D2772,0),4)</f>
        <v>0</v>
      </c>
      <c r="U2772" s="67">
        <f>ROUND(+N2772+R2772+S2772+T2772,4)</f>
        <v>0</v>
      </c>
      <c r="V2772" s="67">
        <f>ROUND(IF(P2772=0,0,I2772-H2772-O2772)+IF(L2772=0,0,I2772-H2772-K2772),4)</f>
        <v>0</v>
      </c>
      <c r="W2772" s="67">
        <f>ROUND(+(V2772*60%)*D2772,4)</f>
        <v>0</v>
      </c>
      <c r="X2772" s="148">
        <f>ROUND(+U2772+W2772,4)</f>
        <v>0</v>
      </c>
      <c r="Y2772" s="68"/>
      <c r="Z2772" s="148">
        <f>ROUND(IF(X2772&gt;I2772,X2772,I2772),4)</f>
        <v>0</v>
      </c>
      <c r="AD2772" s="78">
        <f t="shared" si="66"/>
        <v>0</v>
      </c>
      <c r="AE2772" s="78">
        <f t="shared" si="67"/>
        <v>0</v>
      </c>
    </row>
    <row r="2773" spans="1:31" x14ac:dyDescent="0.2">
      <c r="A2773" s="66"/>
      <c r="B2773" s="66"/>
      <c r="C2773" s="66"/>
      <c r="D2773" s="144"/>
      <c r="E2773" s="67"/>
      <c r="F2773" s="67"/>
      <c r="G2773" s="67"/>
      <c r="H2773" s="67">
        <f>ROUND(+E2773+G2773,4)</f>
        <v>0</v>
      </c>
      <c r="I2773" s="67"/>
      <c r="J2773" s="67">
        <f>ROUND(+I2773-H2773,4)</f>
        <v>0</v>
      </c>
      <c r="K2773" s="67">
        <f>ROUND(IF(F2773="alluminio",0,I2773*1.5%),4)</f>
        <v>0</v>
      </c>
      <c r="L2773" s="67">
        <f>ROUND(IF(K2773&lt;J2773,K2773,0),4)</f>
        <v>0</v>
      </c>
      <c r="M2773" s="67">
        <f>ROUND(IF(J2773&gt;K2773,0,J2773),4)</f>
        <v>0</v>
      </c>
      <c r="N2773" s="67">
        <f>ROUND(+L2773*D2773,4)</f>
        <v>0</v>
      </c>
      <c r="O2773" s="67">
        <f>ROUND(IF(F2773="rame",0,+I2773*3%),4)</f>
        <v>0</v>
      </c>
      <c r="P2773" s="67">
        <f>ROUND(IF(O2773&lt;J2773,O2773,0),4)</f>
        <v>0</v>
      </c>
      <c r="Q2773" s="67">
        <f>ROUND(IF(J2773&gt;O2773,0,J2773),4)</f>
        <v>0</v>
      </c>
      <c r="R2773" s="67">
        <f>ROUND(+P2773*D2773,4)</f>
        <v>0</v>
      </c>
      <c r="S2773" s="67">
        <f>ROUND(IF(K2773=0,0,M2773*D2773),4)</f>
        <v>0</v>
      </c>
      <c r="T2773" s="67">
        <f>ROUND(+IF(K2773=0,Q2773*D2773,0),4)</f>
        <v>0</v>
      </c>
      <c r="U2773" s="67">
        <f>ROUND(+N2773+R2773+S2773+T2773,4)</f>
        <v>0</v>
      </c>
      <c r="V2773" s="67">
        <f>ROUND(IF(P2773=0,0,I2773-H2773-O2773)+IF(L2773=0,0,I2773-H2773-K2773),4)</f>
        <v>0</v>
      </c>
      <c r="W2773" s="67">
        <f>ROUND(+(V2773*60%)*D2773,4)</f>
        <v>0</v>
      </c>
      <c r="X2773" s="148">
        <f>ROUND(+U2773+W2773,4)</f>
        <v>0</v>
      </c>
      <c r="Y2773" s="68"/>
      <c r="Z2773" s="148">
        <f>ROUND(IF(X2773&gt;I2773,X2773,I2773),4)</f>
        <v>0</v>
      </c>
      <c r="AD2773" s="78">
        <f t="shared" si="66"/>
        <v>0</v>
      </c>
      <c r="AE2773" s="78">
        <f t="shared" si="67"/>
        <v>0</v>
      </c>
    </row>
    <row r="2774" spans="1:31" x14ac:dyDescent="0.2">
      <c r="A2774" s="66"/>
      <c r="B2774" s="66"/>
      <c r="C2774" s="66"/>
      <c r="D2774" s="144"/>
      <c r="E2774" s="67"/>
      <c r="F2774" s="67"/>
      <c r="G2774" s="67"/>
      <c r="H2774" s="67">
        <f>ROUND(+E2774+G2774,4)</f>
        <v>0</v>
      </c>
      <c r="I2774" s="67"/>
      <c r="J2774" s="67">
        <f>ROUND(+I2774-H2774,4)</f>
        <v>0</v>
      </c>
      <c r="K2774" s="67">
        <f>ROUND(IF(F2774="alluminio",0,I2774*1.5%),4)</f>
        <v>0</v>
      </c>
      <c r="L2774" s="67">
        <f>ROUND(IF(K2774&lt;J2774,K2774,0),4)</f>
        <v>0</v>
      </c>
      <c r="M2774" s="67">
        <f>ROUND(IF(J2774&gt;K2774,0,J2774),4)</f>
        <v>0</v>
      </c>
      <c r="N2774" s="67">
        <f>ROUND(+L2774*D2774,4)</f>
        <v>0</v>
      </c>
      <c r="O2774" s="67">
        <f>ROUND(IF(F2774="rame",0,+I2774*3%),4)</f>
        <v>0</v>
      </c>
      <c r="P2774" s="67">
        <f>ROUND(IF(O2774&lt;J2774,O2774,0),4)</f>
        <v>0</v>
      </c>
      <c r="Q2774" s="67">
        <f>ROUND(IF(J2774&gt;O2774,0,J2774),4)</f>
        <v>0</v>
      </c>
      <c r="R2774" s="67">
        <f>ROUND(+P2774*D2774,4)</f>
        <v>0</v>
      </c>
      <c r="S2774" s="67">
        <f>ROUND(IF(K2774=0,0,M2774*D2774),4)</f>
        <v>0</v>
      </c>
      <c r="T2774" s="67">
        <f>ROUND(+IF(K2774=0,Q2774*D2774,0),4)</f>
        <v>0</v>
      </c>
      <c r="U2774" s="67">
        <f>ROUND(+N2774+R2774+S2774+T2774,4)</f>
        <v>0</v>
      </c>
      <c r="V2774" s="67">
        <f>ROUND(IF(P2774=0,0,I2774-H2774-O2774)+IF(L2774=0,0,I2774-H2774-K2774),4)</f>
        <v>0</v>
      </c>
      <c r="W2774" s="67">
        <f>ROUND(+(V2774*60%)*D2774,4)</f>
        <v>0</v>
      </c>
      <c r="X2774" s="148">
        <f>ROUND(+U2774+W2774,4)</f>
        <v>0</v>
      </c>
      <c r="Y2774" s="68"/>
      <c r="Z2774" s="148">
        <f>ROUND(IF(X2774&gt;I2774,X2774,I2774),4)</f>
        <v>0</v>
      </c>
      <c r="AD2774" s="78">
        <f t="shared" si="66"/>
        <v>0</v>
      </c>
      <c r="AE2774" s="78">
        <f t="shared" si="67"/>
        <v>0</v>
      </c>
    </row>
    <row r="2775" spans="1:31" x14ac:dyDescent="0.2">
      <c r="A2775" s="66"/>
      <c r="B2775" s="66"/>
      <c r="C2775" s="66"/>
      <c r="D2775" s="144"/>
      <c r="E2775" s="67"/>
      <c r="F2775" s="67"/>
      <c r="G2775" s="67"/>
      <c r="H2775" s="67">
        <f>ROUND(+E2775+G2775,4)</f>
        <v>0</v>
      </c>
      <c r="I2775" s="67"/>
      <c r="J2775" s="67">
        <f>ROUND(+I2775-H2775,4)</f>
        <v>0</v>
      </c>
      <c r="K2775" s="67">
        <f>ROUND(IF(F2775="alluminio",0,I2775*1.5%),4)</f>
        <v>0</v>
      </c>
      <c r="L2775" s="67">
        <f>ROUND(IF(K2775&lt;J2775,K2775,0),4)</f>
        <v>0</v>
      </c>
      <c r="M2775" s="67">
        <f>ROUND(IF(J2775&gt;K2775,0,J2775),4)</f>
        <v>0</v>
      </c>
      <c r="N2775" s="67">
        <f>ROUND(+L2775*D2775,4)</f>
        <v>0</v>
      </c>
      <c r="O2775" s="67">
        <f>ROUND(IF(F2775="rame",0,+I2775*3%),4)</f>
        <v>0</v>
      </c>
      <c r="P2775" s="67">
        <f>ROUND(IF(O2775&lt;J2775,O2775,0),4)</f>
        <v>0</v>
      </c>
      <c r="Q2775" s="67">
        <f>ROUND(IF(J2775&gt;O2775,0,J2775),4)</f>
        <v>0</v>
      </c>
      <c r="R2775" s="67">
        <f>ROUND(+P2775*D2775,4)</f>
        <v>0</v>
      </c>
      <c r="S2775" s="67">
        <f>ROUND(IF(K2775=0,0,M2775*D2775),4)</f>
        <v>0</v>
      </c>
      <c r="T2775" s="67">
        <f>ROUND(+IF(K2775=0,Q2775*D2775,0),4)</f>
        <v>0</v>
      </c>
      <c r="U2775" s="67">
        <f>ROUND(+N2775+R2775+S2775+T2775,4)</f>
        <v>0</v>
      </c>
      <c r="V2775" s="67">
        <f>ROUND(IF(P2775=0,0,I2775-H2775-O2775)+IF(L2775=0,0,I2775-H2775-K2775),4)</f>
        <v>0</v>
      </c>
      <c r="W2775" s="67">
        <f>ROUND(+(V2775*60%)*D2775,4)</f>
        <v>0</v>
      </c>
      <c r="X2775" s="148">
        <f>ROUND(+U2775+W2775,4)</f>
        <v>0</v>
      </c>
      <c r="Y2775" s="68"/>
      <c r="Z2775" s="148">
        <f>ROUND(IF(X2775&gt;I2775,X2775,I2775),4)</f>
        <v>0</v>
      </c>
      <c r="AD2775" s="78">
        <f t="shared" si="66"/>
        <v>0</v>
      </c>
      <c r="AE2775" s="78">
        <f t="shared" si="67"/>
        <v>0</v>
      </c>
    </row>
    <row r="2776" spans="1:31" x14ac:dyDescent="0.2">
      <c r="A2776" s="66"/>
      <c r="B2776" s="66"/>
      <c r="C2776" s="66"/>
      <c r="D2776" s="144"/>
      <c r="E2776" s="67"/>
      <c r="F2776" s="67"/>
      <c r="G2776" s="67"/>
      <c r="H2776" s="67">
        <f>ROUND(+E2776+G2776,4)</f>
        <v>0</v>
      </c>
      <c r="I2776" s="67"/>
      <c r="J2776" s="67">
        <f>ROUND(+I2776-H2776,4)</f>
        <v>0</v>
      </c>
      <c r="K2776" s="67">
        <f>ROUND(IF(F2776="alluminio",0,I2776*1.5%),4)</f>
        <v>0</v>
      </c>
      <c r="L2776" s="67">
        <f>ROUND(IF(K2776&lt;J2776,K2776,0),4)</f>
        <v>0</v>
      </c>
      <c r="M2776" s="67">
        <f>ROUND(IF(J2776&gt;K2776,0,J2776),4)</f>
        <v>0</v>
      </c>
      <c r="N2776" s="67">
        <f>ROUND(+L2776*D2776,4)</f>
        <v>0</v>
      </c>
      <c r="O2776" s="67">
        <f>ROUND(IF(F2776="rame",0,+I2776*3%),4)</f>
        <v>0</v>
      </c>
      <c r="P2776" s="67">
        <f>ROUND(IF(O2776&lt;J2776,O2776,0),4)</f>
        <v>0</v>
      </c>
      <c r="Q2776" s="67">
        <f>ROUND(IF(J2776&gt;O2776,0,J2776),4)</f>
        <v>0</v>
      </c>
      <c r="R2776" s="67">
        <f>ROUND(+P2776*D2776,4)</f>
        <v>0</v>
      </c>
      <c r="S2776" s="67">
        <f>ROUND(IF(K2776=0,0,M2776*D2776),4)</f>
        <v>0</v>
      </c>
      <c r="T2776" s="67">
        <f>ROUND(+IF(K2776=0,Q2776*D2776,0),4)</f>
        <v>0</v>
      </c>
      <c r="U2776" s="67">
        <f>ROUND(+N2776+R2776+S2776+T2776,4)</f>
        <v>0</v>
      </c>
      <c r="V2776" s="67">
        <f>ROUND(IF(P2776=0,0,I2776-H2776-O2776)+IF(L2776=0,0,I2776-H2776-K2776),4)</f>
        <v>0</v>
      </c>
      <c r="W2776" s="67">
        <f>ROUND(+(V2776*60%)*D2776,4)</f>
        <v>0</v>
      </c>
      <c r="X2776" s="148">
        <f>ROUND(+U2776+W2776,4)</f>
        <v>0</v>
      </c>
      <c r="Y2776" s="68"/>
      <c r="Z2776" s="148">
        <f>ROUND(IF(X2776&gt;I2776,X2776,I2776),4)</f>
        <v>0</v>
      </c>
      <c r="AD2776" s="78">
        <f t="shared" si="66"/>
        <v>0</v>
      </c>
      <c r="AE2776" s="78">
        <f t="shared" si="67"/>
        <v>0</v>
      </c>
    </row>
    <row r="2777" spans="1:31" x14ac:dyDescent="0.2">
      <c r="A2777" s="66"/>
      <c r="B2777" s="66"/>
      <c r="C2777" s="66"/>
      <c r="D2777" s="144"/>
      <c r="E2777" s="67"/>
      <c r="F2777" s="67"/>
      <c r="G2777" s="67"/>
      <c r="H2777" s="67">
        <f>ROUND(+E2777+G2777,4)</f>
        <v>0</v>
      </c>
      <c r="I2777" s="67"/>
      <c r="J2777" s="67">
        <f>ROUND(+I2777-H2777,4)</f>
        <v>0</v>
      </c>
      <c r="K2777" s="67">
        <f>ROUND(IF(F2777="alluminio",0,I2777*1.5%),4)</f>
        <v>0</v>
      </c>
      <c r="L2777" s="67">
        <f>ROUND(IF(K2777&lt;J2777,K2777,0),4)</f>
        <v>0</v>
      </c>
      <c r="M2777" s="67">
        <f>ROUND(IF(J2777&gt;K2777,0,J2777),4)</f>
        <v>0</v>
      </c>
      <c r="N2777" s="67">
        <f>ROUND(+L2777*D2777,4)</f>
        <v>0</v>
      </c>
      <c r="O2777" s="67">
        <f>ROUND(IF(F2777="rame",0,+I2777*3%),4)</f>
        <v>0</v>
      </c>
      <c r="P2777" s="67">
        <f>ROUND(IF(O2777&lt;J2777,O2777,0),4)</f>
        <v>0</v>
      </c>
      <c r="Q2777" s="67">
        <f>ROUND(IF(J2777&gt;O2777,0,J2777),4)</f>
        <v>0</v>
      </c>
      <c r="R2777" s="67">
        <f>ROUND(+P2777*D2777,4)</f>
        <v>0</v>
      </c>
      <c r="S2777" s="67">
        <f>ROUND(IF(K2777=0,0,M2777*D2777),4)</f>
        <v>0</v>
      </c>
      <c r="T2777" s="67">
        <f>ROUND(+IF(K2777=0,Q2777*D2777,0),4)</f>
        <v>0</v>
      </c>
      <c r="U2777" s="67">
        <f>ROUND(+N2777+R2777+S2777+T2777,4)</f>
        <v>0</v>
      </c>
      <c r="V2777" s="67">
        <f>ROUND(IF(P2777=0,0,I2777-H2777-O2777)+IF(L2777=0,0,I2777-H2777-K2777),4)</f>
        <v>0</v>
      </c>
      <c r="W2777" s="67">
        <f>ROUND(+(V2777*60%)*D2777,4)</f>
        <v>0</v>
      </c>
      <c r="X2777" s="148">
        <f>ROUND(+U2777+W2777,4)</f>
        <v>0</v>
      </c>
      <c r="Y2777" s="68"/>
      <c r="Z2777" s="148">
        <f>ROUND(IF(X2777&gt;I2777,X2777,I2777),4)</f>
        <v>0</v>
      </c>
      <c r="AD2777" s="78">
        <f t="shared" si="66"/>
        <v>0</v>
      </c>
      <c r="AE2777" s="78">
        <f t="shared" si="67"/>
        <v>0</v>
      </c>
    </row>
    <row r="2778" spans="1:31" x14ac:dyDescent="0.2">
      <c r="A2778" s="66"/>
      <c r="B2778" s="66"/>
      <c r="C2778" s="66"/>
      <c r="D2778" s="144"/>
      <c r="E2778" s="67"/>
      <c r="F2778" s="67"/>
      <c r="G2778" s="67"/>
      <c r="H2778" s="67">
        <f>ROUND(+E2778+G2778,4)</f>
        <v>0</v>
      </c>
      <c r="I2778" s="67"/>
      <c r="J2778" s="67">
        <f>ROUND(+I2778-H2778,4)</f>
        <v>0</v>
      </c>
      <c r="K2778" s="67">
        <f>ROUND(IF(F2778="alluminio",0,I2778*1.5%),4)</f>
        <v>0</v>
      </c>
      <c r="L2778" s="67">
        <f>ROUND(IF(K2778&lt;J2778,K2778,0),4)</f>
        <v>0</v>
      </c>
      <c r="M2778" s="67">
        <f>ROUND(IF(J2778&gt;K2778,0,J2778),4)</f>
        <v>0</v>
      </c>
      <c r="N2778" s="67">
        <f>ROUND(+L2778*D2778,4)</f>
        <v>0</v>
      </c>
      <c r="O2778" s="67">
        <f>ROUND(IF(F2778="rame",0,+I2778*3%),4)</f>
        <v>0</v>
      </c>
      <c r="P2778" s="67">
        <f>ROUND(IF(O2778&lt;J2778,O2778,0),4)</f>
        <v>0</v>
      </c>
      <c r="Q2778" s="67">
        <f>ROUND(IF(J2778&gt;O2778,0,J2778),4)</f>
        <v>0</v>
      </c>
      <c r="R2778" s="67">
        <f>ROUND(+P2778*D2778,4)</f>
        <v>0</v>
      </c>
      <c r="S2778" s="67">
        <f>ROUND(IF(K2778=0,0,M2778*D2778),4)</f>
        <v>0</v>
      </c>
      <c r="T2778" s="67">
        <f>ROUND(+IF(K2778=0,Q2778*D2778,0),4)</f>
        <v>0</v>
      </c>
      <c r="U2778" s="67">
        <f>ROUND(+N2778+R2778+S2778+T2778,4)</f>
        <v>0</v>
      </c>
      <c r="V2778" s="67">
        <f>ROUND(IF(P2778=0,0,I2778-H2778-O2778)+IF(L2778=0,0,I2778-H2778-K2778),4)</f>
        <v>0</v>
      </c>
      <c r="W2778" s="67">
        <f>ROUND(+(V2778*60%)*D2778,4)</f>
        <v>0</v>
      </c>
      <c r="X2778" s="148">
        <f>ROUND(+U2778+W2778,4)</f>
        <v>0</v>
      </c>
      <c r="Y2778" s="68"/>
      <c r="Z2778" s="148">
        <f>ROUND(IF(X2778&gt;I2778,X2778,I2778),4)</f>
        <v>0</v>
      </c>
      <c r="AD2778" s="78">
        <f t="shared" si="66"/>
        <v>0</v>
      </c>
      <c r="AE2778" s="78">
        <f t="shared" si="67"/>
        <v>0</v>
      </c>
    </row>
    <row r="2779" spans="1:31" x14ac:dyDescent="0.2">
      <c r="A2779" s="66"/>
      <c r="B2779" s="66"/>
      <c r="C2779" s="66"/>
      <c r="D2779" s="144"/>
      <c r="E2779" s="67"/>
      <c r="F2779" s="67"/>
      <c r="G2779" s="67"/>
      <c r="H2779" s="67">
        <f>ROUND(+E2779+G2779,4)</f>
        <v>0</v>
      </c>
      <c r="I2779" s="67"/>
      <c r="J2779" s="67">
        <f>ROUND(+I2779-H2779,4)</f>
        <v>0</v>
      </c>
      <c r="K2779" s="67">
        <f>ROUND(IF(F2779="alluminio",0,I2779*1.5%),4)</f>
        <v>0</v>
      </c>
      <c r="L2779" s="67">
        <f>ROUND(IF(K2779&lt;J2779,K2779,0),4)</f>
        <v>0</v>
      </c>
      <c r="M2779" s="67">
        <f>ROUND(IF(J2779&gt;K2779,0,J2779),4)</f>
        <v>0</v>
      </c>
      <c r="N2779" s="67">
        <f>ROUND(+L2779*D2779,4)</f>
        <v>0</v>
      </c>
      <c r="O2779" s="67">
        <f>ROUND(IF(F2779="rame",0,+I2779*3%),4)</f>
        <v>0</v>
      </c>
      <c r="P2779" s="67">
        <f>ROUND(IF(O2779&lt;J2779,O2779,0),4)</f>
        <v>0</v>
      </c>
      <c r="Q2779" s="67">
        <f>ROUND(IF(J2779&gt;O2779,0,J2779),4)</f>
        <v>0</v>
      </c>
      <c r="R2779" s="67">
        <f>ROUND(+P2779*D2779,4)</f>
        <v>0</v>
      </c>
      <c r="S2779" s="67">
        <f>ROUND(IF(K2779=0,0,M2779*D2779),4)</f>
        <v>0</v>
      </c>
      <c r="T2779" s="67">
        <f>ROUND(+IF(K2779=0,Q2779*D2779,0),4)</f>
        <v>0</v>
      </c>
      <c r="U2779" s="67">
        <f>ROUND(+N2779+R2779+S2779+T2779,4)</f>
        <v>0</v>
      </c>
      <c r="V2779" s="67">
        <f>ROUND(IF(P2779=0,0,I2779-H2779-O2779)+IF(L2779=0,0,I2779-H2779-K2779),4)</f>
        <v>0</v>
      </c>
      <c r="W2779" s="67">
        <f>ROUND(+(V2779*60%)*D2779,4)</f>
        <v>0</v>
      </c>
      <c r="X2779" s="148">
        <f>ROUND(+U2779+W2779,4)</f>
        <v>0</v>
      </c>
      <c r="Y2779" s="68"/>
      <c r="Z2779" s="148">
        <f>ROUND(IF(X2779&gt;I2779,X2779,I2779),4)</f>
        <v>0</v>
      </c>
      <c r="AD2779" s="78">
        <f t="shared" si="66"/>
        <v>0</v>
      </c>
      <c r="AE2779" s="78">
        <f t="shared" si="67"/>
        <v>0</v>
      </c>
    </row>
    <row r="2780" spans="1:31" x14ac:dyDescent="0.2">
      <c r="A2780" s="66"/>
      <c r="B2780" s="66"/>
      <c r="C2780" s="66"/>
      <c r="D2780" s="144"/>
      <c r="E2780" s="67"/>
      <c r="F2780" s="67"/>
      <c r="G2780" s="67"/>
      <c r="H2780" s="67">
        <f>ROUND(+E2780+G2780,4)</f>
        <v>0</v>
      </c>
      <c r="I2780" s="67"/>
      <c r="J2780" s="67">
        <f>ROUND(+I2780-H2780,4)</f>
        <v>0</v>
      </c>
      <c r="K2780" s="67">
        <f>ROUND(IF(F2780="alluminio",0,I2780*1.5%),4)</f>
        <v>0</v>
      </c>
      <c r="L2780" s="67">
        <f>ROUND(IF(K2780&lt;J2780,K2780,0),4)</f>
        <v>0</v>
      </c>
      <c r="M2780" s="67">
        <f>ROUND(IF(J2780&gt;K2780,0,J2780),4)</f>
        <v>0</v>
      </c>
      <c r="N2780" s="67">
        <f>ROUND(+L2780*D2780,4)</f>
        <v>0</v>
      </c>
      <c r="O2780" s="67">
        <f>ROUND(IF(F2780="rame",0,+I2780*3%),4)</f>
        <v>0</v>
      </c>
      <c r="P2780" s="67">
        <f>ROUND(IF(O2780&lt;J2780,O2780,0),4)</f>
        <v>0</v>
      </c>
      <c r="Q2780" s="67">
        <f>ROUND(IF(J2780&gt;O2780,0,J2780),4)</f>
        <v>0</v>
      </c>
      <c r="R2780" s="67">
        <f>ROUND(+P2780*D2780,4)</f>
        <v>0</v>
      </c>
      <c r="S2780" s="67">
        <f>ROUND(IF(K2780=0,0,M2780*D2780),4)</f>
        <v>0</v>
      </c>
      <c r="T2780" s="67">
        <f>ROUND(+IF(K2780=0,Q2780*D2780,0),4)</f>
        <v>0</v>
      </c>
      <c r="U2780" s="67">
        <f>ROUND(+N2780+R2780+S2780+T2780,4)</f>
        <v>0</v>
      </c>
      <c r="V2780" s="67">
        <f>ROUND(IF(P2780=0,0,I2780-H2780-O2780)+IF(L2780=0,0,I2780-H2780-K2780),4)</f>
        <v>0</v>
      </c>
      <c r="W2780" s="67">
        <f>ROUND(+(V2780*60%)*D2780,4)</f>
        <v>0</v>
      </c>
      <c r="X2780" s="148">
        <f>ROUND(+U2780+W2780,4)</f>
        <v>0</v>
      </c>
      <c r="Y2780" s="68"/>
      <c r="Z2780" s="148">
        <f>ROUND(IF(X2780&gt;I2780,X2780,I2780),4)</f>
        <v>0</v>
      </c>
      <c r="AD2780" s="78">
        <f t="shared" si="66"/>
        <v>0</v>
      </c>
      <c r="AE2780" s="78">
        <f t="shared" si="67"/>
        <v>0</v>
      </c>
    </row>
    <row r="2781" spans="1:31" x14ac:dyDescent="0.2">
      <c r="A2781" s="66"/>
      <c r="B2781" s="66"/>
      <c r="C2781" s="66"/>
      <c r="D2781" s="144"/>
      <c r="E2781" s="67"/>
      <c r="F2781" s="67"/>
      <c r="G2781" s="67"/>
      <c r="H2781" s="67">
        <f>ROUND(+E2781+G2781,4)</f>
        <v>0</v>
      </c>
      <c r="I2781" s="67"/>
      <c r="J2781" s="67">
        <f>ROUND(+I2781-H2781,4)</f>
        <v>0</v>
      </c>
      <c r="K2781" s="67">
        <f>ROUND(IF(F2781="alluminio",0,I2781*1.5%),4)</f>
        <v>0</v>
      </c>
      <c r="L2781" s="67">
        <f>ROUND(IF(K2781&lt;J2781,K2781,0),4)</f>
        <v>0</v>
      </c>
      <c r="M2781" s="67">
        <f>ROUND(IF(J2781&gt;K2781,0,J2781),4)</f>
        <v>0</v>
      </c>
      <c r="N2781" s="67">
        <f>ROUND(+L2781*D2781,4)</f>
        <v>0</v>
      </c>
      <c r="O2781" s="67">
        <f>ROUND(IF(F2781="rame",0,+I2781*3%),4)</f>
        <v>0</v>
      </c>
      <c r="P2781" s="67">
        <f>ROUND(IF(O2781&lt;J2781,O2781,0),4)</f>
        <v>0</v>
      </c>
      <c r="Q2781" s="67">
        <f>ROUND(IF(J2781&gt;O2781,0,J2781),4)</f>
        <v>0</v>
      </c>
      <c r="R2781" s="67">
        <f>ROUND(+P2781*D2781,4)</f>
        <v>0</v>
      </c>
      <c r="S2781" s="67">
        <f>ROUND(IF(K2781=0,0,M2781*D2781),4)</f>
        <v>0</v>
      </c>
      <c r="T2781" s="67">
        <f>ROUND(+IF(K2781=0,Q2781*D2781,0),4)</f>
        <v>0</v>
      </c>
      <c r="U2781" s="67">
        <f>ROUND(+N2781+R2781+S2781+T2781,4)</f>
        <v>0</v>
      </c>
      <c r="V2781" s="67">
        <f>ROUND(IF(P2781=0,0,I2781-H2781-O2781)+IF(L2781=0,0,I2781-H2781-K2781),4)</f>
        <v>0</v>
      </c>
      <c r="W2781" s="67">
        <f>ROUND(+(V2781*60%)*D2781,4)</f>
        <v>0</v>
      </c>
      <c r="X2781" s="148">
        <f>ROUND(+U2781+W2781,4)</f>
        <v>0</v>
      </c>
      <c r="Y2781" s="68"/>
      <c r="Z2781" s="148">
        <f>ROUND(IF(X2781&gt;I2781,X2781,I2781),4)</f>
        <v>0</v>
      </c>
      <c r="AD2781" s="78">
        <f t="shared" si="66"/>
        <v>0</v>
      </c>
      <c r="AE2781" s="78">
        <f t="shared" si="67"/>
        <v>0</v>
      </c>
    </row>
    <row r="2782" spans="1:31" x14ac:dyDescent="0.2">
      <c r="A2782" s="66"/>
      <c r="B2782" s="66"/>
      <c r="C2782" s="66"/>
      <c r="D2782" s="144"/>
      <c r="E2782" s="67"/>
      <c r="F2782" s="67"/>
      <c r="G2782" s="67"/>
      <c r="H2782" s="67">
        <f>ROUND(+E2782+G2782,4)</f>
        <v>0</v>
      </c>
      <c r="I2782" s="67"/>
      <c r="J2782" s="67">
        <f>ROUND(+I2782-H2782,4)</f>
        <v>0</v>
      </c>
      <c r="K2782" s="67">
        <f>ROUND(IF(F2782="alluminio",0,I2782*1.5%),4)</f>
        <v>0</v>
      </c>
      <c r="L2782" s="67">
        <f>ROUND(IF(K2782&lt;J2782,K2782,0),4)</f>
        <v>0</v>
      </c>
      <c r="M2782" s="67">
        <f>ROUND(IF(J2782&gt;K2782,0,J2782),4)</f>
        <v>0</v>
      </c>
      <c r="N2782" s="67">
        <f>ROUND(+L2782*D2782,4)</f>
        <v>0</v>
      </c>
      <c r="O2782" s="67">
        <f>ROUND(IF(F2782="rame",0,+I2782*3%),4)</f>
        <v>0</v>
      </c>
      <c r="P2782" s="67">
        <f>ROUND(IF(O2782&lt;J2782,O2782,0),4)</f>
        <v>0</v>
      </c>
      <c r="Q2782" s="67">
        <f>ROUND(IF(J2782&gt;O2782,0,J2782),4)</f>
        <v>0</v>
      </c>
      <c r="R2782" s="67">
        <f>ROUND(+P2782*D2782,4)</f>
        <v>0</v>
      </c>
      <c r="S2782" s="67">
        <f>ROUND(IF(K2782=0,0,M2782*D2782),4)</f>
        <v>0</v>
      </c>
      <c r="T2782" s="67">
        <f>ROUND(+IF(K2782=0,Q2782*D2782,0),4)</f>
        <v>0</v>
      </c>
      <c r="U2782" s="67">
        <f>ROUND(+N2782+R2782+S2782+T2782,4)</f>
        <v>0</v>
      </c>
      <c r="V2782" s="67">
        <f>ROUND(IF(P2782=0,0,I2782-H2782-O2782)+IF(L2782=0,0,I2782-H2782-K2782),4)</f>
        <v>0</v>
      </c>
      <c r="W2782" s="67">
        <f>ROUND(+(V2782*60%)*D2782,4)</f>
        <v>0</v>
      </c>
      <c r="X2782" s="148">
        <f>ROUND(+U2782+W2782,4)</f>
        <v>0</v>
      </c>
      <c r="Y2782" s="68"/>
      <c r="Z2782" s="148">
        <f>ROUND(IF(X2782&gt;I2782,X2782,I2782),4)</f>
        <v>0</v>
      </c>
      <c r="AD2782" s="78">
        <f t="shared" si="66"/>
        <v>0</v>
      </c>
      <c r="AE2782" s="78">
        <f t="shared" si="67"/>
        <v>0</v>
      </c>
    </row>
    <row r="2783" spans="1:31" x14ac:dyDescent="0.2">
      <c r="A2783" s="66"/>
      <c r="B2783" s="66"/>
      <c r="C2783" s="66"/>
      <c r="D2783" s="144"/>
      <c r="E2783" s="67"/>
      <c r="F2783" s="67"/>
      <c r="G2783" s="67"/>
      <c r="H2783" s="67">
        <f>ROUND(+E2783+G2783,4)</f>
        <v>0</v>
      </c>
      <c r="I2783" s="67"/>
      <c r="J2783" s="67">
        <f>ROUND(+I2783-H2783,4)</f>
        <v>0</v>
      </c>
      <c r="K2783" s="67">
        <f>ROUND(IF(F2783="alluminio",0,I2783*1.5%),4)</f>
        <v>0</v>
      </c>
      <c r="L2783" s="67">
        <f>ROUND(IF(K2783&lt;J2783,K2783,0),4)</f>
        <v>0</v>
      </c>
      <c r="M2783" s="67">
        <f>ROUND(IF(J2783&gt;K2783,0,J2783),4)</f>
        <v>0</v>
      </c>
      <c r="N2783" s="67">
        <f>ROUND(+L2783*D2783,4)</f>
        <v>0</v>
      </c>
      <c r="O2783" s="67">
        <f>ROUND(IF(F2783="rame",0,+I2783*3%),4)</f>
        <v>0</v>
      </c>
      <c r="P2783" s="67">
        <f>ROUND(IF(O2783&lt;J2783,O2783,0),4)</f>
        <v>0</v>
      </c>
      <c r="Q2783" s="67">
        <f>ROUND(IF(J2783&gt;O2783,0,J2783),4)</f>
        <v>0</v>
      </c>
      <c r="R2783" s="67">
        <f>ROUND(+P2783*D2783,4)</f>
        <v>0</v>
      </c>
      <c r="S2783" s="67">
        <f>ROUND(IF(K2783=0,0,M2783*D2783),4)</f>
        <v>0</v>
      </c>
      <c r="T2783" s="67">
        <f>ROUND(+IF(K2783=0,Q2783*D2783,0),4)</f>
        <v>0</v>
      </c>
      <c r="U2783" s="67">
        <f>ROUND(+N2783+R2783+S2783+T2783,4)</f>
        <v>0</v>
      </c>
      <c r="V2783" s="67">
        <f>ROUND(IF(P2783=0,0,I2783-H2783-O2783)+IF(L2783=0,0,I2783-H2783-K2783),4)</f>
        <v>0</v>
      </c>
      <c r="W2783" s="67">
        <f>ROUND(+(V2783*60%)*D2783,4)</f>
        <v>0</v>
      </c>
      <c r="X2783" s="148">
        <f>ROUND(+U2783+W2783,4)</f>
        <v>0</v>
      </c>
      <c r="Y2783" s="68"/>
      <c r="Z2783" s="148">
        <f>ROUND(IF(X2783&gt;I2783,X2783,I2783),4)</f>
        <v>0</v>
      </c>
      <c r="AD2783" s="78">
        <f t="shared" si="66"/>
        <v>0</v>
      </c>
      <c r="AE2783" s="78">
        <f t="shared" si="67"/>
        <v>0</v>
      </c>
    </row>
    <row r="2784" spans="1:31" x14ac:dyDescent="0.2">
      <c r="A2784" s="66"/>
      <c r="B2784" s="66"/>
      <c r="C2784" s="66"/>
      <c r="D2784" s="144"/>
      <c r="E2784" s="67"/>
      <c r="F2784" s="67"/>
      <c r="G2784" s="67"/>
      <c r="H2784" s="67">
        <f>ROUND(+E2784+G2784,4)</f>
        <v>0</v>
      </c>
      <c r="I2784" s="67"/>
      <c r="J2784" s="67">
        <f>ROUND(+I2784-H2784,4)</f>
        <v>0</v>
      </c>
      <c r="K2784" s="67">
        <f>ROUND(IF(F2784="alluminio",0,I2784*1.5%),4)</f>
        <v>0</v>
      </c>
      <c r="L2784" s="67">
        <f>ROUND(IF(K2784&lt;J2784,K2784,0),4)</f>
        <v>0</v>
      </c>
      <c r="M2784" s="67">
        <f>ROUND(IF(J2784&gt;K2784,0,J2784),4)</f>
        <v>0</v>
      </c>
      <c r="N2784" s="67">
        <f>ROUND(+L2784*D2784,4)</f>
        <v>0</v>
      </c>
      <c r="O2784" s="67">
        <f>ROUND(IF(F2784="rame",0,+I2784*3%),4)</f>
        <v>0</v>
      </c>
      <c r="P2784" s="67">
        <f>ROUND(IF(O2784&lt;J2784,O2784,0),4)</f>
        <v>0</v>
      </c>
      <c r="Q2784" s="67">
        <f>ROUND(IF(J2784&gt;O2784,0,J2784),4)</f>
        <v>0</v>
      </c>
      <c r="R2784" s="67">
        <f>ROUND(+P2784*D2784,4)</f>
        <v>0</v>
      </c>
      <c r="S2784" s="67">
        <f>ROUND(IF(K2784=0,0,M2784*D2784),4)</f>
        <v>0</v>
      </c>
      <c r="T2784" s="67">
        <f>ROUND(+IF(K2784=0,Q2784*D2784,0),4)</f>
        <v>0</v>
      </c>
      <c r="U2784" s="67">
        <f>ROUND(+N2784+R2784+S2784+T2784,4)</f>
        <v>0</v>
      </c>
      <c r="V2784" s="67">
        <f>ROUND(IF(P2784=0,0,I2784-H2784-O2784)+IF(L2784=0,0,I2784-H2784-K2784),4)</f>
        <v>0</v>
      </c>
      <c r="W2784" s="67">
        <f>ROUND(+(V2784*60%)*D2784,4)</f>
        <v>0</v>
      </c>
      <c r="X2784" s="148">
        <f>ROUND(+U2784+W2784,4)</f>
        <v>0</v>
      </c>
      <c r="Y2784" s="68"/>
      <c r="Z2784" s="148">
        <f>ROUND(IF(X2784&gt;I2784,X2784,I2784),4)</f>
        <v>0</v>
      </c>
      <c r="AD2784" s="78">
        <f t="shared" si="66"/>
        <v>0</v>
      </c>
      <c r="AE2784" s="78">
        <f t="shared" si="67"/>
        <v>0</v>
      </c>
    </row>
    <row r="2785" spans="1:31" x14ac:dyDescent="0.2">
      <c r="A2785" s="66"/>
      <c r="B2785" s="66"/>
      <c r="C2785" s="66"/>
      <c r="D2785" s="144"/>
      <c r="E2785" s="67"/>
      <c r="F2785" s="67"/>
      <c r="G2785" s="67"/>
      <c r="H2785" s="67">
        <f>ROUND(+E2785+G2785,4)</f>
        <v>0</v>
      </c>
      <c r="I2785" s="67"/>
      <c r="J2785" s="67">
        <f>ROUND(+I2785-H2785,4)</f>
        <v>0</v>
      </c>
      <c r="K2785" s="67">
        <f>ROUND(IF(F2785="alluminio",0,I2785*1.5%),4)</f>
        <v>0</v>
      </c>
      <c r="L2785" s="67">
        <f>ROUND(IF(K2785&lt;J2785,K2785,0),4)</f>
        <v>0</v>
      </c>
      <c r="M2785" s="67">
        <f>ROUND(IF(J2785&gt;K2785,0,J2785),4)</f>
        <v>0</v>
      </c>
      <c r="N2785" s="67">
        <f>ROUND(+L2785*D2785,4)</f>
        <v>0</v>
      </c>
      <c r="O2785" s="67">
        <f>ROUND(IF(F2785="rame",0,+I2785*3%),4)</f>
        <v>0</v>
      </c>
      <c r="P2785" s="67">
        <f>ROUND(IF(O2785&lt;J2785,O2785,0),4)</f>
        <v>0</v>
      </c>
      <c r="Q2785" s="67">
        <f>ROUND(IF(J2785&gt;O2785,0,J2785),4)</f>
        <v>0</v>
      </c>
      <c r="R2785" s="67">
        <f>ROUND(+P2785*D2785,4)</f>
        <v>0</v>
      </c>
      <c r="S2785" s="67">
        <f>ROUND(IF(K2785=0,0,M2785*D2785),4)</f>
        <v>0</v>
      </c>
      <c r="T2785" s="67">
        <f>ROUND(+IF(K2785=0,Q2785*D2785,0),4)</f>
        <v>0</v>
      </c>
      <c r="U2785" s="67">
        <f>ROUND(+N2785+R2785+S2785+T2785,4)</f>
        <v>0</v>
      </c>
      <c r="V2785" s="67">
        <f>ROUND(IF(P2785=0,0,I2785-H2785-O2785)+IF(L2785=0,0,I2785-H2785-K2785),4)</f>
        <v>0</v>
      </c>
      <c r="W2785" s="67">
        <f>ROUND(+(V2785*60%)*D2785,4)</f>
        <v>0</v>
      </c>
      <c r="X2785" s="148">
        <f>ROUND(+U2785+W2785,4)</f>
        <v>0</v>
      </c>
      <c r="Y2785" s="68"/>
      <c r="Z2785" s="148">
        <f>ROUND(IF(X2785&gt;I2785,X2785,I2785),4)</f>
        <v>0</v>
      </c>
      <c r="AD2785" s="78">
        <f t="shared" si="66"/>
        <v>0</v>
      </c>
      <c r="AE2785" s="78">
        <f t="shared" si="67"/>
        <v>0</v>
      </c>
    </row>
    <row r="2786" spans="1:31" x14ac:dyDescent="0.2">
      <c r="A2786" s="66"/>
      <c r="B2786" s="66"/>
      <c r="C2786" s="66"/>
      <c r="D2786" s="144"/>
      <c r="E2786" s="67"/>
      <c r="F2786" s="67"/>
      <c r="G2786" s="67"/>
      <c r="H2786" s="67">
        <f>ROUND(+E2786+G2786,4)</f>
        <v>0</v>
      </c>
      <c r="I2786" s="67"/>
      <c r="J2786" s="67">
        <f>ROUND(+I2786-H2786,4)</f>
        <v>0</v>
      </c>
      <c r="K2786" s="67">
        <f>ROUND(IF(F2786="alluminio",0,I2786*1.5%),4)</f>
        <v>0</v>
      </c>
      <c r="L2786" s="67">
        <f>ROUND(IF(K2786&lt;J2786,K2786,0),4)</f>
        <v>0</v>
      </c>
      <c r="M2786" s="67">
        <f>ROUND(IF(J2786&gt;K2786,0,J2786),4)</f>
        <v>0</v>
      </c>
      <c r="N2786" s="67">
        <f>ROUND(+L2786*D2786,4)</f>
        <v>0</v>
      </c>
      <c r="O2786" s="67">
        <f>ROUND(IF(F2786="rame",0,+I2786*3%),4)</f>
        <v>0</v>
      </c>
      <c r="P2786" s="67">
        <f>ROUND(IF(O2786&lt;J2786,O2786,0),4)</f>
        <v>0</v>
      </c>
      <c r="Q2786" s="67">
        <f>ROUND(IF(J2786&gt;O2786,0,J2786),4)</f>
        <v>0</v>
      </c>
      <c r="R2786" s="67">
        <f>ROUND(+P2786*D2786,4)</f>
        <v>0</v>
      </c>
      <c r="S2786" s="67">
        <f>ROUND(IF(K2786=0,0,M2786*D2786),4)</f>
        <v>0</v>
      </c>
      <c r="T2786" s="67">
        <f>ROUND(+IF(K2786=0,Q2786*D2786,0),4)</f>
        <v>0</v>
      </c>
      <c r="U2786" s="67">
        <f>ROUND(+N2786+R2786+S2786+T2786,4)</f>
        <v>0</v>
      </c>
      <c r="V2786" s="67">
        <f>ROUND(IF(P2786=0,0,I2786-H2786-O2786)+IF(L2786=0,0,I2786-H2786-K2786),4)</f>
        <v>0</v>
      </c>
      <c r="W2786" s="67">
        <f>ROUND(+(V2786*60%)*D2786,4)</f>
        <v>0</v>
      </c>
      <c r="X2786" s="148">
        <f>ROUND(+U2786+W2786,4)</f>
        <v>0</v>
      </c>
      <c r="Y2786" s="68"/>
      <c r="Z2786" s="148">
        <f>ROUND(IF(X2786&gt;I2786,X2786,I2786),4)</f>
        <v>0</v>
      </c>
      <c r="AD2786" s="78">
        <f t="shared" si="66"/>
        <v>0</v>
      </c>
      <c r="AE2786" s="78">
        <f t="shared" si="67"/>
        <v>0</v>
      </c>
    </row>
    <row r="2787" spans="1:31" x14ac:dyDescent="0.2">
      <c r="A2787" s="66"/>
      <c r="B2787" s="66"/>
      <c r="C2787" s="66"/>
      <c r="D2787" s="144"/>
      <c r="E2787" s="67"/>
      <c r="F2787" s="67"/>
      <c r="G2787" s="67"/>
      <c r="H2787" s="67">
        <f>ROUND(+E2787+G2787,4)</f>
        <v>0</v>
      </c>
      <c r="I2787" s="67"/>
      <c r="J2787" s="67">
        <f>ROUND(+I2787-H2787,4)</f>
        <v>0</v>
      </c>
      <c r="K2787" s="67">
        <f>ROUND(IF(F2787="alluminio",0,I2787*1.5%),4)</f>
        <v>0</v>
      </c>
      <c r="L2787" s="67">
        <f>ROUND(IF(K2787&lt;J2787,K2787,0),4)</f>
        <v>0</v>
      </c>
      <c r="M2787" s="67">
        <f>ROUND(IF(J2787&gt;K2787,0,J2787),4)</f>
        <v>0</v>
      </c>
      <c r="N2787" s="67">
        <f>ROUND(+L2787*D2787,4)</f>
        <v>0</v>
      </c>
      <c r="O2787" s="67">
        <f>ROUND(IF(F2787="rame",0,+I2787*3%),4)</f>
        <v>0</v>
      </c>
      <c r="P2787" s="67">
        <f>ROUND(IF(O2787&lt;J2787,O2787,0),4)</f>
        <v>0</v>
      </c>
      <c r="Q2787" s="67">
        <f>ROUND(IF(J2787&gt;O2787,0,J2787),4)</f>
        <v>0</v>
      </c>
      <c r="R2787" s="67">
        <f>ROUND(+P2787*D2787,4)</f>
        <v>0</v>
      </c>
      <c r="S2787" s="67">
        <f>ROUND(IF(K2787=0,0,M2787*D2787),4)</f>
        <v>0</v>
      </c>
      <c r="T2787" s="67">
        <f>ROUND(+IF(K2787=0,Q2787*D2787,0),4)</f>
        <v>0</v>
      </c>
      <c r="U2787" s="67">
        <f>ROUND(+N2787+R2787+S2787+T2787,4)</f>
        <v>0</v>
      </c>
      <c r="V2787" s="67">
        <f>ROUND(IF(P2787=0,0,I2787-H2787-O2787)+IF(L2787=0,0,I2787-H2787-K2787),4)</f>
        <v>0</v>
      </c>
      <c r="W2787" s="67">
        <f>ROUND(+(V2787*60%)*D2787,4)</f>
        <v>0</v>
      </c>
      <c r="X2787" s="148">
        <f>ROUND(+U2787+W2787,4)</f>
        <v>0</v>
      </c>
      <c r="Y2787" s="68"/>
      <c r="Z2787" s="148">
        <f>ROUND(IF(X2787&gt;I2787,X2787,I2787),4)</f>
        <v>0</v>
      </c>
      <c r="AD2787" s="78">
        <f t="shared" si="66"/>
        <v>0</v>
      </c>
      <c r="AE2787" s="78">
        <f t="shared" si="67"/>
        <v>0</v>
      </c>
    </row>
    <row r="2788" spans="1:31" x14ac:dyDescent="0.2">
      <c r="A2788" s="66"/>
      <c r="B2788" s="66"/>
      <c r="C2788" s="66"/>
      <c r="D2788" s="144"/>
      <c r="E2788" s="67"/>
      <c r="F2788" s="67"/>
      <c r="G2788" s="67"/>
      <c r="H2788" s="67">
        <f>ROUND(+E2788+G2788,4)</f>
        <v>0</v>
      </c>
      <c r="I2788" s="67"/>
      <c r="J2788" s="67">
        <f>ROUND(+I2788-H2788,4)</f>
        <v>0</v>
      </c>
      <c r="K2788" s="67">
        <f>ROUND(IF(F2788="alluminio",0,I2788*1.5%),4)</f>
        <v>0</v>
      </c>
      <c r="L2788" s="67">
        <f>ROUND(IF(K2788&lt;J2788,K2788,0),4)</f>
        <v>0</v>
      </c>
      <c r="M2788" s="67">
        <f>ROUND(IF(J2788&gt;K2788,0,J2788),4)</f>
        <v>0</v>
      </c>
      <c r="N2788" s="67">
        <f>ROUND(+L2788*D2788,4)</f>
        <v>0</v>
      </c>
      <c r="O2788" s="67">
        <f>ROUND(IF(F2788="rame",0,+I2788*3%),4)</f>
        <v>0</v>
      </c>
      <c r="P2788" s="67">
        <f>ROUND(IF(O2788&lt;J2788,O2788,0),4)</f>
        <v>0</v>
      </c>
      <c r="Q2788" s="67">
        <f>ROUND(IF(J2788&gt;O2788,0,J2788),4)</f>
        <v>0</v>
      </c>
      <c r="R2788" s="67">
        <f>ROUND(+P2788*D2788,4)</f>
        <v>0</v>
      </c>
      <c r="S2788" s="67">
        <f>ROUND(IF(K2788=0,0,M2788*D2788),4)</f>
        <v>0</v>
      </c>
      <c r="T2788" s="67">
        <f>ROUND(+IF(K2788=0,Q2788*D2788,0),4)</f>
        <v>0</v>
      </c>
      <c r="U2788" s="67">
        <f>ROUND(+N2788+R2788+S2788+T2788,4)</f>
        <v>0</v>
      </c>
      <c r="V2788" s="67">
        <f>ROUND(IF(P2788=0,0,I2788-H2788-O2788)+IF(L2788=0,0,I2788-H2788-K2788),4)</f>
        <v>0</v>
      </c>
      <c r="W2788" s="67">
        <f>ROUND(+(V2788*60%)*D2788,4)</f>
        <v>0</v>
      </c>
      <c r="X2788" s="148">
        <f>ROUND(+U2788+W2788,4)</f>
        <v>0</v>
      </c>
      <c r="Y2788" s="68"/>
      <c r="Z2788" s="148">
        <f>ROUND(IF(X2788&gt;I2788,X2788,I2788),4)</f>
        <v>0</v>
      </c>
      <c r="AD2788" s="78">
        <f t="shared" si="66"/>
        <v>0</v>
      </c>
      <c r="AE2788" s="78">
        <f t="shared" si="67"/>
        <v>0</v>
      </c>
    </row>
    <row r="2789" spans="1:31" x14ac:dyDescent="0.2">
      <c r="A2789" s="66"/>
      <c r="B2789" s="66"/>
      <c r="C2789" s="66"/>
      <c r="D2789" s="144"/>
      <c r="E2789" s="67"/>
      <c r="F2789" s="67"/>
      <c r="G2789" s="67"/>
      <c r="H2789" s="67">
        <f>ROUND(+E2789+G2789,4)</f>
        <v>0</v>
      </c>
      <c r="I2789" s="67"/>
      <c r="J2789" s="67">
        <f>ROUND(+I2789-H2789,4)</f>
        <v>0</v>
      </c>
      <c r="K2789" s="67">
        <f>ROUND(IF(F2789="alluminio",0,I2789*1.5%),4)</f>
        <v>0</v>
      </c>
      <c r="L2789" s="67">
        <f>ROUND(IF(K2789&lt;J2789,K2789,0),4)</f>
        <v>0</v>
      </c>
      <c r="M2789" s="67">
        <f>ROUND(IF(J2789&gt;K2789,0,J2789),4)</f>
        <v>0</v>
      </c>
      <c r="N2789" s="67">
        <f>ROUND(+L2789*D2789,4)</f>
        <v>0</v>
      </c>
      <c r="O2789" s="67">
        <f>ROUND(IF(F2789="rame",0,+I2789*3%),4)</f>
        <v>0</v>
      </c>
      <c r="P2789" s="67">
        <f>ROUND(IF(O2789&lt;J2789,O2789,0),4)</f>
        <v>0</v>
      </c>
      <c r="Q2789" s="67">
        <f>ROUND(IF(J2789&gt;O2789,0,J2789),4)</f>
        <v>0</v>
      </c>
      <c r="R2789" s="67">
        <f>ROUND(+P2789*D2789,4)</f>
        <v>0</v>
      </c>
      <c r="S2789" s="67">
        <f>ROUND(IF(K2789=0,0,M2789*D2789),4)</f>
        <v>0</v>
      </c>
      <c r="T2789" s="67">
        <f>ROUND(+IF(K2789=0,Q2789*D2789,0),4)</f>
        <v>0</v>
      </c>
      <c r="U2789" s="67">
        <f>ROUND(+N2789+R2789+S2789+T2789,4)</f>
        <v>0</v>
      </c>
      <c r="V2789" s="67">
        <f>ROUND(IF(P2789=0,0,I2789-H2789-O2789)+IF(L2789=0,0,I2789-H2789-K2789),4)</f>
        <v>0</v>
      </c>
      <c r="W2789" s="67">
        <f>ROUND(+(V2789*60%)*D2789,4)</f>
        <v>0</v>
      </c>
      <c r="X2789" s="148">
        <f>ROUND(+U2789+W2789,4)</f>
        <v>0</v>
      </c>
      <c r="Y2789" s="68"/>
      <c r="Z2789" s="148">
        <f>ROUND(IF(X2789&gt;I2789,X2789,I2789),4)</f>
        <v>0</v>
      </c>
      <c r="AD2789" s="78">
        <f t="shared" si="66"/>
        <v>0</v>
      </c>
      <c r="AE2789" s="78">
        <f t="shared" si="67"/>
        <v>0</v>
      </c>
    </row>
    <row r="2790" spans="1:31" x14ac:dyDescent="0.2">
      <c r="A2790" s="66"/>
      <c r="B2790" s="66"/>
      <c r="C2790" s="66"/>
      <c r="D2790" s="144"/>
      <c r="E2790" s="67"/>
      <c r="F2790" s="67"/>
      <c r="G2790" s="67"/>
      <c r="H2790" s="67">
        <f>ROUND(+E2790+G2790,4)</f>
        <v>0</v>
      </c>
      <c r="I2790" s="67"/>
      <c r="J2790" s="67">
        <f>ROUND(+I2790-H2790,4)</f>
        <v>0</v>
      </c>
      <c r="K2790" s="67">
        <f>ROUND(IF(F2790="alluminio",0,I2790*1.5%),4)</f>
        <v>0</v>
      </c>
      <c r="L2790" s="67">
        <f>ROUND(IF(K2790&lt;J2790,K2790,0),4)</f>
        <v>0</v>
      </c>
      <c r="M2790" s="67">
        <f>ROUND(IF(J2790&gt;K2790,0,J2790),4)</f>
        <v>0</v>
      </c>
      <c r="N2790" s="67">
        <f>ROUND(+L2790*D2790,4)</f>
        <v>0</v>
      </c>
      <c r="O2790" s="67">
        <f>ROUND(IF(F2790="rame",0,+I2790*3%),4)</f>
        <v>0</v>
      </c>
      <c r="P2790" s="67">
        <f>ROUND(IF(O2790&lt;J2790,O2790,0),4)</f>
        <v>0</v>
      </c>
      <c r="Q2790" s="67">
        <f>ROUND(IF(J2790&gt;O2790,0,J2790),4)</f>
        <v>0</v>
      </c>
      <c r="R2790" s="67">
        <f>ROUND(+P2790*D2790,4)</f>
        <v>0</v>
      </c>
      <c r="S2790" s="67">
        <f>ROUND(IF(K2790=0,0,M2790*D2790),4)</f>
        <v>0</v>
      </c>
      <c r="T2790" s="67">
        <f>ROUND(+IF(K2790=0,Q2790*D2790,0),4)</f>
        <v>0</v>
      </c>
      <c r="U2790" s="67">
        <f>ROUND(+N2790+R2790+S2790+T2790,4)</f>
        <v>0</v>
      </c>
      <c r="V2790" s="67">
        <f>ROUND(IF(P2790=0,0,I2790-H2790-O2790)+IF(L2790=0,0,I2790-H2790-K2790),4)</f>
        <v>0</v>
      </c>
      <c r="W2790" s="67">
        <f>ROUND(+(V2790*60%)*D2790,4)</f>
        <v>0</v>
      </c>
      <c r="X2790" s="148">
        <f>ROUND(+U2790+W2790,4)</f>
        <v>0</v>
      </c>
      <c r="Y2790" s="68"/>
      <c r="Z2790" s="148">
        <f>ROUND(IF(X2790&gt;I2790,X2790,I2790),4)</f>
        <v>0</v>
      </c>
      <c r="AD2790" s="78">
        <f t="shared" si="66"/>
        <v>0</v>
      </c>
      <c r="AE2790" s="78">
        <f t="shared" si="67"/>
        <v>0</v>
      </c>
    </row>
    <row r="2791" spans="1:31" x14ac:dyDescent="0.2">
      <c r="A2791" s="66"/>
      <c r="B2791" s="66"/>
      <c r="C2791" s="66"/>
      <c r="D2791" s="144"/>
      <c r="E2791" s="67"/>
      <c r="F2791" s="67"/>
      <c r="G2791" s="67"/>
      <c r="H2791" s="67">
        <f>ROUND(+E2791+G2791,4)</f>
        <v>0</v>
      </c>
      <c r="I2791" s="67"/>
      <c r="J2791" s="67">
        <f>ROUND(+I2791-H2791,4)</f>
        <v>0</v>
      </c>
      <c r="K2791" s="67">
        <f>ROUND(IF(F2791="alluminio",0,I2791*1.5%),4)</f>
        <v>0</v>
      </c>
      <c r="L2791" s="67">
        <f>ROUND(IF(K2791&lt;J2791,K2791,0),4)</f>
        <v>0</v>
      </c>
      <c r="M2791" s="67">
        <f>ROUND(IF(J2791&gt;K2791,0,J2791),4)</f>
        <v>0</v>
      </c>
      <c r="N2791" s="67">
        <f>ROUND(+L2791*D2791,4)</f>
        <v>0</v>
      </c>
      <c r="O2791" s="67">
        <f>ROUND(IF(F2791="rame",0,+I2791*3%),4)</f>
        <v>0</v>
      </c>
      <c r="P2791" s="67">
        <f>ROUND(IF(O2791&lt;J2791,O2791,0),4)</f>
        <v>0</v>
      </c>
      <c r="Q2791" s="67">
        <f>ROUND(IF(J2791&gt;O2791,0,J2791),4)</f>
        <v>0</v>
      </c>
      <c r="R2791" s="67">
        <f>ROUND(+P2791*D2791,4)</f>
        <v>0</v>
      </c>
      <c r="S2791" s="67">
        <f>ROUND(IF(K2791=0,0,M2791*D2791),4)</f>
        <v>0</v>
      </c>
      <c r="T2791" s="67">
        <f>ROUND(+IF(K2791=0,Q2791*D2791,0),4)</f>
        <v>0</v>
      </c>
      <c r="U2791" s="67">
        <f>ROUND(+N2791+R2791+S2791+T2791,4)</f>
        <v>0</v>
      </c>
      <c r="V2791" s="67">
        <f>ROUND(IF(P2791=0,0,I2791-H2791-O2791)+IF(L2791=0,0,I2791-H2791-K2791),4)</f>
        <v>0</v>
      </c>
      <c r="W2791" s="67">
        <f>ROUND(+(V2791*60%)*D2791,4)</f>
        <v>0</v>
      </c>
      <c r="X2791" s="148">
        <f>ROUND(+U2791+W2791,4)</f>
        <v>0</v>
      </c>
      <c r="Y2791" s="68"/>
      <c r="Z2791" s="148">
        <f>ROUND(IF(X2791&gt;I2791,X2791,I2791),4)</f>
        <v>0</v>
      </c>
      <c r="AD2791" s="78">
        <f t="shared" si="66"/>
        <v>0</v>
      </c>
      <c r="AE2791" s="78">
        <f t="shared" si="67"/>
        <v>0</v>
      </c>
    </row>
    <row r="2792" spans="1:31" x14ac:dyDescent="0.2">
      <c r="A2792" s="66"/>
      <c r="B2792" s="66"/>
      <c r="C2792" s="66"/>
      <c r="D2792" s="144"/>
      <c r="E2792" s="67"/>
      <c r="F2792" s="67"/>
      <c r="G2792" s="67"/>
      <c r="H2792" s="67">
        <f>ROUND(+E2792+G2792,4)</f>
        <v>0</v>
      </c>
      <c r="I2792" s="67"/>
      <c r="J2792" s="67">
        <f>ROUND(+I2792-H2792,4)</f>
        <v>0</v>
      </c>
      <c r="K2792" s="67">
        <f>ROUND(IF(F2792="alluminio",0,I2792*1.5%),4)</f>
        <v>0</v>
      </c>
      <c r="L2792" s="67">
        <f>ROUND(IF(K2792&lt;J2792,K2792,0),4)</f>
        <v>0</v>
      </c>
      <c r="M2792" s="67">
        <f>ROUND(IF(J2792&gt;K2792,0,J2792),4)</f>
        <v>0</v>
      </c>
      <c r="N2792" s="67">
        <f>ROUND(+L2792*D2792,4)</f>
        <v>0</v>
      </c>
      <c r="O2792" s="67">
        <f>ROUND(IF(F2792="rame",0,+I2792*3%),4)</f>
        <v>0</v>
      </c>
      <c r="P2792" s="67">
        <f>ROUND(IF(O2792&lt;J2792,O2792,0),4)</f>
        <v>0</v>
      </c>
      <c r="Q2792" s="67">
        <f>ROUND(IF(J2792&gt;O2792,0,J2792),4)</f>
        <v>0</v>
      </c>
      <c r="R2792" s="67">
        <f>ROUND(+P2792*D2792,4)</f>
        <v>0</v>
      </c>
      <c r="S2792" s="67">
        <f>ROUND(IF(K2792=0,0,M2792*D2792),4)</f>
        <v>0</v>
      </c>
      <c r="T2792" s="67">
        <f>ROUND(+IF(K2792=0,Q2792*D2792,0),4)</f>
        <v>0</v>
      </c>
      <c r="U2792" s="67">
        <f>ROUND(+N2792+R2792+S2792+T2792,4)</f>
        <v>0</v>
      </c>
      <c r="V2792" s="67">
        <f>ROUND(IF(P2792=0,0,I2792-H2792-O2792)+IF(L2792=0,0,I2792-H2792-K2792),4)</f>
        <v>0</v>
      </c>
      <c r="W2792" s="67">
        <f>ROUND(+(V2792*60%)*D2792,4)</f>
        <v>0</v>
      </c>
      <c r="X2792" s="148">
        <f>ROUND(+U2792+W2792,4)</f>
        <v>0</v>
      </c>
      <c r="Y2792" s="68"/>
      <c r="Z2792" s="148">
        <f>ROUND(IF(X2792&gt;I2792,X2792,I2792),4)</f>
        <v>0</v>
      </c>
      <c r="AD2792" s="78">
        <f t="shared" si="66"/>
        <v>0</v>
      </c>
      <c r="AE2792" s="78">
        <f t="shared" si="67"/>
        <v>0</v>
      </c>
    </row>
    <row r="2793" spans="1:31" x14ac:dyDescent="0.2">
      <c r="A2793" s="66"/>
      <c r="B2793" s="66"/>
      <c r="C2793" s="66"/>
      <c r="D2793" s="144"/>
      <c r="E2793" s="67"/>
      <c r="F2793" s="67"/>
      <c r="G2793" s="67"/>
      <c r="H2793" s="67">
        <f>ROUND(+E2793+G2793,4)</f>
        <v>0</v>
      </c>
      <c r="I2793" s="67"/>
      <c r="J2793" s="67">
        <f>ROUND(+I2793-H2793,4)</f>
        <v>0</v>
      </c>
      <c r="K2793" s="67">
        <f>ROUND(IF(F2793="alluminio",0,I2793*1.5%),4)</f>
        <v>0</v>
      </c>
      <c r="L2793" s="67">
        <f>ROUND(IF(K2793&lt;J2793,K2793,0),4)</f>
        <v>0</v>
      </c>
      <c r="M2793" s="67">
        <f>ROUND(IF(J2793&gt;K2793,0,J2793),4)</f>
        <v>0</v>
      </c>
      <c r="N2793" s="67">
        <f>ROUND(+L2793*D2793,4)</f>
        <v>0</v>
      </c>
      <c r="O2793" s="67">
        <f>ROUND(IF(F2793="rame",0,+I2793*3%),4)</f>
        <v>0</v>
      </c>
      <c r="P2793" s="67">
        <f>ROUND(IF(O2793&lt;J2793,O2793,0),4)</f>
        <v>0</v>
      </c>
      <c r="Q2793" s="67">
        <f>ROUND(IF(J2793&gt;O2793,0,J2793),4)</f>
        <v>0</v>
      </c>
      <c r="R2793" s="67">
        <f>ROUND(+P2793*D2793,4)</f>
        <v>0</v>
      </c>
      <c r="S2793" s="67">
        <f>ROUND(IF(K2793=0,0,M2793*D2793),4)</f>
        <v>0</v>
      </c>
      <c r="T2793" s="67">
        <f>ROUND(+IF(K2793=0,Q2793*D2793,0),4)</f>
        <v>0</v>
      </c>
      <c r="U2793" s="67">
        <f>ROUND(+N2793+R2793+S2793+T2793,4)</f>
        <v>0</v>
      </c>
      <c r="V2793" s="67">
        <f>ROUND(IF(P2793=0,0,I2793-H2793-O2793)+IF(L2793=0,0,I2793-H2793-K2793),4)</f>
        <v>0</v>
      </c>
      <c r="W2793" s="67">
        <f>ROUND(+(V2793*60%)*D2793,4)</f>
        <v>0</v>
      </c>
      <c r="X2793" s="148">
        <f>ROUND(+U2793+W2793,4)</f>
        <v>0</v>
      </c>
      <c r="Y2793" s="68"/>
      <c r="Z2793" s="148">
        <f>ROUND(IF(X2793&gt;I2793,X2793,I2793),4)</f>
        <v>0</v>
      </c>
      <c r="AD2793" s="78">
        <f t="shared" si="66"/>
        <v>0</v>
      </c>
      <c r="AE2793" s="78">
        <f t="shared" si="67"/>
        <v>0</v>
      </c>
    </row>
    <row r="2794" spans="1:31" x14ac:dyDescent="0.2">
      <c r="A2794" s="66"/>
      <c r="B2794" s="66"/>
      <c r="C2794" s="66"/>
      <c r="D2794" s="144"/>
      <c r="E2794" s="67"/>
      <c r="F2794" s="67"/>
      <c r="G2794" s="67"/>
      <c r="H2794" s="67">
        <f>ROUND(+E2794+G2794,4)</f>
        <v>0</v>
      </c>
      <c r="I2794" s="67"/>
      <c r="J2794" s="67">
        <f>ROUND(+I2794-H2794,4)</f>
        <v>0</v>
      </c>
      <c r="K2794" s="67">
        <f>ROUND(IF(F2794="alluminio",0,I2794*1.5%),4)</f>
        <v>0</v>
      </c>
      <c r="L2794" s="67">
        <f>ROUND(IF(K2794&lt;J2794,K2794,0),4)</f>
        <v>0</v>
      </c>
      <c r="M2794" s="67">
        <f>ROUND(IF(J2794&gt;K2794,0,J2794),4)</f>
        <v>0</v>
      </c>
      <c r="N2794" s="67">
        <f>ROUND(+L2794*D2794,4)</f>
        <v>0</v>
      </c>
      <c r="O2794" s="67">
        <f>ROUND(IF(F2794="rame",0,+I2794*3%),4)</f>
        <v>0</v>
      </c>
      <c r="P2794" s="67">
        <f>ROUND(IF(O2794&lt;J2794,O2794,0),4)</f>
        <v>0</v>
      </c>
      <c r="Q2794" s="67">
        <f>ROUND(IF(J2794&gt;O2794,0,J2794),4)</f>
        <v>0</v>
      </c>
      <c r="R2794" s="67">
        <f>ROUND(+P2794*D2794,4)</f>
        <v>0</v>
      </c>
      <c r="S2794" s="67">
        <f>ROUND(IF(K2794=0,0,M2794*D2794),4)</f>
        <v>0</v>
      </c>
      <c r="T2794" s="67">
        <f>ROUND(+IF(K2794=0,Q2794*D2794,0),4)</f>
        <v>0</v>
      </c>
      <c r="U2794" s="67">
        <f>ROUND(+N2794+R2794+S2794+T2794,4)</f>
        <v>0</v>
      </c>
      <c r="V2794" s="67">
        <f>ROUND(IF(P2794=0,0,I2794-H2794-O2794)+IF(L2794=0,0,I2794-H2794-K2794),4)</f>
        <v>0</v>
      </c>
      <c r="W2794" s="67">
        <f>ROUND(+(V2794*60%)*D2794,4)</f>
        <v>0</v>
      </c>
      <c r="X2794" s="148">
        <f>ROUND(+U2794+W2794,4)</f>
        <v>0</v>
      </c>
      <c r="Y2794" s="68"/>
      <c r="Z2794" s="148">
        <f>ROUND(IF(X2794&gt;I2794,X2794,I2794),4)</f>
        <v>0</v>
      </c>
      <c r="AD2794" s="78">
        <f t="shared" si="66"/>
        <v>0</v>
      </c>
      <c r="AE2794" s="78">
        <f t="shared" si="67"/>
        <v>0</v>
      </c>
    </row>
    <row r="2795" spans="1:31" x14ac:dyDescent="0.2">
      <c r="A2795" s="66"/>
      <c r="B2795" s="66"/>
      <c r="C2795" s="66"/>
      <c r="D2795" s="144"/>
      <c r="E2795" s="67"/>
      <c r="F2795" s="67"/>
      <c r="G2795" s="67"/>
      <c r="H2795" s="67">
        <f>ROUND(+E2795+G2795,4)</f>
        <v>0</v>
      </c>
      <c r="I2795" s="67"/>
      <c r="J2795" s="67">
        <f>ROUND(+I2795-H2795,4)</f>
        <v>0</v>
      </c>
      <c r="K2795" s="67">
        <f>ROUND(IF(F2795="alluminio",0,I2795*1.5%),4)</f>
        <v>0</v>
      </c>
      <c r="L2795" s="67">
        <f>ROUND(IF(K2795&lt;J2795,K2795,0),4)</f>
        <v>0</v>
      </c>
      <c r="M2795" s="67">
        <f>ROUND(IF(J2795&gt;K2795,0,J2795),4)</f>
        <v>0</v>
      </c>
      <c r="N2795" s="67">
        <f>ROUND(+L2795*D2795,4)</f>
        <v>0</v>
      </c>
      <c r="O2795" s="67">
        <f>ROUND(IF(F2795="rame",0,+I2795*3%),4)</f>
        <v>0</v>
      </c>
      <c r="P2795" s="67">
        <f>ROUND(IF(O2795&lt;J2795,O2795,0),4)</f>
        <v>0</v>
      </c>
      <c r="Q2795" s="67">
        <f>ROUND(IF(J2795&gt;O2795,0,J2795),4)</f>
        <v>0</v>
      </c>
      <c r="R2795" s="67">
        <f>ROUND(+P2795*D2795,4)</f>
        <v>0</v>
      </c>
      <c r="S2795" s="67">
        <f>ROUND(IF(K2795=0,0,M2795*D2795),4)</f>
        <v>0</v>
      </c>
      <c r="T2795" s="67">
        <f>ROUND(+IF(K2795=0,Q2795*D2795,0),4)</f>
        <v>0</v>
      </c>
      <c r="U2795" s="67">
        <f>ROUND(+N2795+R2795+S2795+T2795,4)</f>
        <v>0</v>
      </c>
      <c r="V2795" s="67">
        <f>ROUND(IF(P2795=0,0,I2795-H2795-O2795)+IF(L2795=0,0,I2795-H2795-K2795),4)</f>
        <v>0</v>
      </c>
      <c r="W2795" s="67">
        <f>ROUND(+(V2795*60%)*D2795,4)</f>
        <v>0</v>
      </c>
      <c r="X2795" s="148">
        <f>ROUND(+U2795+W2795,4)</f>
        <v>0</v>
      </c>
      <c r="Y2795" s="68"/>
      <c r="Z2795" s="148">
        <f>ROUND(IF(X2795&gt;I2795,X2795,I2795),4)</f>
        <v>0</v>
      </c>
      <c r="AD2795" s="78">
        <f t="shared" si="66"/>
        <v>0</v>
      </c>
      <c r="AE2795" s="78">
        <f t="shared" si="67"/>
        <v>0</v>
      </c>
    </row>
    <row r="2796" spans="1:31" x14ac:dyDescent="0.2">
      <c r="A2796" s="66"/>
      <c r="B2796" s="66"/>
      <c r="C2796" s="66"/>
      <c r="D2796" s="144"/>
      <c r="E2796" s="67"/>
      <c r="F2796" s="67"/>
      <c r="G2796" s="67"/>
      <c r="H2796" s="67">
        <f>ROUND(+E2796+G2796,4)</f>
        <v>0</v>
      </c>
      <c r="I2796" s="67"/>
      <c r="J2796" s="67">
        <f>ROUND(+I2796-H2796,4)</f>
        <v>0</v>
      </c>
      <c r="K2796" s="67">
        <f>ROUND(IF(F2796="alluminio",0,I2796*1.5%),4)</f>
        <v>0</v>
      </c>
      <c r="L2796" s="67">
        <f>ROUND(IF(K2796&lt;J2796,K2796,0),4)</f>
        <v>0</v>
      </c>
      <c r="M2796" s="67">
        <f>ROUND(IF(J2796&gt;K2796,0,J2796),4)</f>
        <v>0</v>
      </c>
      <c r="N2796" s="67">
        <f>ROUND(+L2796*D2796,4)</f>
        <v>0</v>
      </c>
      <c r="O2796" s="67">
        <f>ROUND(IF(F2796="rame",0,+I2796*3%),4)</f>
        <v>0</v>
      </c>
      <c r="P2796" s="67">
        <f>ROUND(IF(O2796&lt;J2796,O2796,0),4)</f>
        <v>0</v>
      </c>
      <c r="Q2796" s="67">
        <f>ROUND(IF(J2796&gt;O2796,0,J2796),4)</f>
        <v>0</v>
      </c>
      <c r="R2796" s="67">
        <f>ROUND(+P2796*D2796,4)</f>
        <v>0</v>
      </c>
      <c r="S2796" s="67">
        <f>ROUND(IF(K2796=0,0,M2796*D2796),4)</f>
        <v>0</v>
      </c>
      <c r="T2796" s="67">
        <f>ROUND(+IF(K2796=0,Q2796*D2796,0),4)</f>
        <v>0</v>
      </c>
      <c r="U2796" s="67">
        <f>ROUND(+N2796+R2796+S2796+T2796,4)</f>
        <v>0</v>
      </c>
      <c r="V2796" s="67">
        <f>ROUND(IF(P2796=0,0,I2796-H2796-O2796)+IF(L2796=0,0,I2796-H2796-K2796),4)</f>
        <v>0</v>
      </c>
      <c r="W2796" s="67">
        <f>ROUND(+(V2796*60%)*D2796,4)</f>
        <v>0</v>
      </c>
      <c r="X2796" s="148">
        <f>ROUND(+U2796+W2796,4)</f>
        <v>0</v>
      </c>
      <c r="Y2796" s="68"/>
      <c r="Z2796" s="148">
        <f>ROUND(IF(X2796&gt;I2796,X2796,I2796),4)</f>
        <v>0</v>
      </c>
      <c r="AD2796" s="78">
        <f t="shared" si="66"/>
        <v>0</v>
      </c>
      <c r="AE2796" s="78">
        <f t="shared" si="67"/>
        <v>0</v>
      </c>
    </row>
    <row r="2797" spans="1:31" x14ac:dyDescent="0.2">
      <c r="A2797" s="66"/>
      <c r="B2797" s="66"/>
      <c r="C2797" s="66"/>
      <c r="D2797" s="144"/>
      <c r="E2797" s="67"/>
      <c r="F2797" s="67"/>
      <c r="G2797" s="67"/>
      <c r="H2797" s="67">
        <f>ROUND(+E2797+G2797,4)</f>
        <v>0</v>
      </c>
      <c r="I2797" s="67"/>
      <c r="J2797" s="67">
        <f>ROUND(+I2797-H2797,4)</f>
        <v>0</v>
      </c>
      <c r="K2797" s="67">
        <f>ROUND(IF(F2797="alluminio",0,I2797*1.5%),4)</f>
        <v>0</v>
      </c>
      <c r="L2797" s="67">
        <f>ROUND(IF(K2797&lt;J2797,K2797,0),4)</f>
        <v>0</v>
      </c>
      <c r="M2797" s="67">
        <f>ROUND(IF(J2797&gt;K2797,0,J2797),4)</f>
        <v>0</v>
      </c>
      <c r="N2797" s="67">
        <f>ROUND(+L2797*D2797,4)</f>
        <v>0</v>
      </c>
      <c r="O2797" s="67">
        <f>ROUND(IF(F2797="rame",0,+I2797*3%),4)</f>
        <v>0</v>
      </c>
      <c r="P2797" s="67">
        <f>ROUND(IF(O2797&lt;J2797,O2797,0),4)</f>
        <v>0</v>
      </c>
      <c r="Q2797" s="67">
        <f>ROUND(IF(J2797&gt;O2797,0,J2797),4)</f>
        <v>0</v>
      </c>
      <c r="R2797" s="67">
        <f>ROUND(+P2797*D2797,4)</f>
        <v>0</v>
      </c>
      <c r="S2797" s="67">
        <f>ROUND(IF(K2797=0,0,M2797*D2797),4)</f>
        <v>0</v>
      </c>
      <c r="T2797" s="67">
        <f>ROUND(+IF(K2797=0,Q2797*D2797,0),4)</f>
        <v>0</v>
      </c>
      <c r="U2797" s="67">
        <f>ROUND(+N2797+R2797+S2797+T2797,4)</f>
        <v>0</v>
      </c>
      <c r="V2797" s="67">
        <f>ROUND(IF(P2797=0,0,I2797-H2797-O2797)+IF(L2797=0,0,I2797-H2797-K2797),4)</f>
        <v>0</v>
      </c>
      <c r="W2797" s="67">
        <f>ROUND(+(V2797*60%)*D2797,4)</f>
        <v>0</v>
      </c>
      <c r="X2797" s="148">
        <f>ROUND(+U2797+W2797,4)</f>
        <v>0</v>
      </c>
      <c r="Y2797" s="68"/>
      <c r="Z2797" s="148">
        <f>ROUND(IF(X2797&gt;I2797,X2797,I2797),4)</f>
        <v>0</v>
      </c>
      <c r="AD2797" s="78">
        <f t="shared" si="66"/>
        <v>0</v>
      </c>
      <c r="AE2797" s="78">
        <f t="shared" si="67"/>
        <v>0</v>
      </c>
    </row>
    <row r="2798" spans="1:31" x14ac:dyDescent="0.2">
      <c r="A2798" s="66"/>
      <c r="B2798" s="66"/>
      <c r="C2798" s="66"/>
      <c r="D2798" s="144"/>
      <c r="E2798" s="67"/>
      <c r="F2798" s="67"/>
      <c r="G2798" s="67"/>
      <c r="H2798" s="67">
        <f>ROUND(+E2798+G2798,4)</f>
        <v>0</v>
      </c>
      <c r="I2798" s="67"/>
      <c r="J2798" s="67">
        <f>ROUND(+I2798-H2798,4)</f>
        <v>0</v>
      </c>
      <c r="K2798" s="67">
        <f>ROUND(IF(F2798="alluminio",0,I2798*1.5%),4)</f>
        <v>0</v>
      </c>
      <c r="L2798" s="67">
        <f>ROUND(IF(K2798&lt;J2798,K2798,0),4)</f>
        <v>0</v>
      </c>
      <c r="M2798" s="67">
        <f>ROUND(IF(J2798&gt;K2798,0,J2798),4)</f>
        <v>0</v>
      </c>
      <c r="N2798" s="67">
        <f>ROUND(+L2798*D2798,4)</f>
        <v>0</v>
      </c>
      <c r="O2798" s="67">
        <f>ROUND(IF(F2798="rame",0,+I2798*3%),4)</f>
        <v>0</v>
      </c>
      <c r="P2798" s="67">
        <f>ROUND(IF(O2798&lt;J2798,O2798,0),4)</f>
        <v>0</v>
      </c>
      <c r="Q2798" s="67">
        <f>ROUND(IF(J2798&gt;O2798,0,J2798),4)</f>
        <v>0</v>
      </c>
      <c r="R2798" s="67">
        <f>ROUND(+P2798*D2798,4)</f>
        <v>0</v>
      </c>
      <c r="S2798" s="67">
        <f>ROUND(IF(K2798=0,0,M2798*D2798),4)</f>
        <v>0</v>
      </c>
      <c r="T2798" s="67">
        <f>ROUND(+IF(K2798=0,Q2798*D2798,0),4)</f>
        <v>0</v>
      </c>
      <c r="U2798" s="67">
        <f>ROUND(+N2798+R2798+S2798+T2798,4)</f>
        <v>0</v>
      </c>
      <c r="V2798" s="67">
        <f>ROUND(IF(P2798=0,0,I2798-H2798-O2798)+IF(L2798=0,0,I2798-H2798-K2798),4)</f>
        <v>0</v>
      </c>
      <c r="W2798" s="67">
        <f>ROUND(+(V2798*60%)*D2798,4)</f>
        <v>0</v>
      </c>
      <c r="X2798" s="148">
        <f>ROUND(+U2798+W2798,4)</f>
        <v>0</v>
      </c>
      <c r="Y2798" s="68"/>
      <c r="Z2798" s="148">
        <f>ROUND(IF(X2798&gt;I2798,X2798,I2798),4)</f>
        <v>0</v>
      </c>
      <c r="AD2798" s="78">
        <f t="shared" si="66"/>
        <v>0</v>
      </c>
      <c r="AE2798" s="78">
        <f t="shared" si="67"/>
        <v>0</v>
      </c>
    </row>
    <row r="2799" spans="1:31" x14ac:dyDescent="0.2">
      <c r="A2799" s="66"/>
      <c r="B2799" s="66"/>
      <c r="C2799" s="66"/>
      <c r="D2799" s="144"/>
      <c r="E2799" s="67"/>
      <c r="F2799" s="67"/>
      <c r="G2799" s="67"/>
      <c r="H2799" s="67">
        <f>ROUND(+E2799+G2799,4)</f>
        <v>0</v>
      </c>
      <c r="I2799" s="67"/>
      <c r="J2799" s="67">
        <f>ROUND(+I2799-H2799,4)</f>
        <v>0</v>
      </c>
      <c r="K2799" s="67">
        <f>ROUND(IF(F2799="alluminio",0,I2799*1.5%),4)</f>
        <v>0</v>
      </c>
      <c r="L2799" s="67">
        <f>ROUND(IF(K2799&lt;J2799,K2799,0),4)</f>
        <v>0</v>
      </c>
      <c r="M2799" s="67">
        <f>ROUND(IF(J2799&gt;K2799,0,J2799),4)</f>
        <v>0</v>
      </c>
      <c r="N2799" s="67">
        <f>ROUND(+L2799*D2799,4)</f>
        <v>0</v>
      </c>
      <c r="O2799" s="67">
        <f>ROUND(IF(F2799="rame",0,+I2799*3%),4)</f>
        <v>0</v>
      </c>
      <c r="P2799" s="67">
        <f>ROUND(IF(O2799&lt;J2799,O2799,0),4)</f>
        <v>0</v>
      </c>
      <c r="Q2799" s="67">
        <f>ROUND(IF(J2799&gt;O2799,0,J2799),4)</f>
        <v>0</v>
      </c>
      <c r="R2799" s="67">
        <f>ROUND(+P2799*D2799,4)</f>
        <v>0</v>
      </c>
      <c r="S2799" s="67">
        <f>ROUND(IF(K2799=0,0,M2799*D2799),4)</f>
        <v>0</v>
      </c>
      <c r="T2799" s="67">
        <f>ROUND(+IF(K2799=0,Q2799*D2799,0),4)</f>
        <v>0</v>
      </c>
      <c r="U2799" s="67">
        <f>ROUND(+N2799+R2799+S2799+T2799,4)</f>
        <v>0</v>
      </c>
      <c r="V2799" s="67">
        <f>ROUND(IF(P2799=0,0,I2799-H2799-O2799)+IF(L2799=0,0,I2799-H2799-K2799),4)</f>
        <v>0</v>
      </c>
      <c r="W2799" s="67">
        <f>ROUND(+(V2799*60%)*D2799,4)</f>
        <v>0</v>
      </c>
      <c r="X2799" s="148">
        <f>ROUND(+U2799+W2799,4)</f>
        <v>0</v>
      </c>
      <c r="Y2799" s="68"/>
      <c r="Z2799" s="148">
        <f>ROUND(IF(X2799&gt;I2799,X2799,I2799),4)</f>
        <v>0</v>
      </c>
      <c r="AD2799" s="78">
        <f t="shared" si="66"/>
        <v>0</v>
      </c>
      <c r="AE2799" s="78">
        <f t="shared" si="67"/>
        <v>0</v>
      </c>
    </row>
    <row r="2800" spans="1:31" x14ac:dyDescent="0.2">
      <c r="A2800" s="66"/>
      <c r="B2800" s="66"/>
      <c r="C2800" s="66"/>
      <c r="D2800" s="144"/>
      <c r="E2800" s="67"/>
      <c r="F2800" s="67"/>
      <c r="G2800" s="67"/>
      <c r="H2800" s="67">
        <f>ROUND(+E2800+G2800,4)</f>
        <v>0</v>
      </c>
      <c r="I2800" s="67"/>
      <c r="J2800" s="67">
        <f>ROUND(+I2800-H2800,4)</f>
        <v>0</v>
      </c>
      <c r="K2800" s="67">
        <f>ROUND(IF(F2800="alluminio",0,I2800*1.5%),4)</f>
        <v>0</v>
      </c>
      <c r="L2800" s="67">
        <f>ROUND(IF(K2800&lt;J2800,K2800,0),4)</f>
        <v>0</v>
      </c>
      <c r="M2800" s="67">
        <f>ROUND(IF(J2800&gt;K2800,0,J2800),4)</f>
        <v>0</v>
      </c>
      <c r="N2800" s="67">
        <f>ROUND(+L2800*D2800,4)</f>
        <v>0</v>
      </c>
      <c r="O2800" s="67">
        <f>ROUND(IF(F2800="rame",0,+I2800*3%),4)</f>
        <v>0</v>
      </c>
      <c r="P2800" s="67">
        <f>ROUND(IF(O2800&lt;J2800,O2800,0),4)</f>
        <v>0</v>
      </c>
      <c r="Q2800" s="67">
        <f>ROUND(IF(J2800&gt;O2800,0,J2800),4)</f>
        <v>0</v>
      </c>
      <c r="R2800" s="67">
        <f>ROUND(+P2800*D2800,4)</f>
        <v>0</v>
      </c>
      <c r="S2800" s="67">
        <f>ROUND(IF(K2800=0,0,M2800*D2800),4)</f>
        <v>0</v>
      </c>
      <c r="T2800" s="67">
        <f>ROUND(+IF(K2800=0,Q2800*D2800,0),4)</f>
        <v>0</v>
      </c>
      <c r="U2800" s="67">
        <f>ROUND(+N2800+R2800+S2800+T2800,4)</f>
        <v>0</v>
      </c>
      <c r="V2800" s="67">
        <f>ROUND(IF(P2800=0,0,I2800-H2800-O2800)+IF(L2800=0,0,I2800-H2800-K2800),4)</f>
        <v>0</v>
      </c>
      <c r="W2800" s="67">
        <f>ROUND(+(V2800*60%)*D2800,4)</f>
        <v>0</v>
      </c>
      <c r="X2800" s="148">
        <f>ROUND(+U2800+W2800,4)</f>
        <v>0</v>
      </c>
      <c r="Y2800" s="68"/>
      <c r="Z2800" s="148">
        <f>ROUND(IF(X2800&gt;I2800,X2800,I2800),4)</f>
        <v>0</v>
      </c>
      <c r="AD2800" s="78">
        <f t="shared" si="66"/>
        <v>0</v>
      </c>
      <c r="AE2800" s="78">
        <f t="shared" si="67"/>
        <v>0</v>
      </c>
    </row>
    <row r="2801" spans="1:31" x14ac:dyDescent="0.2">
      <c r="A2801" s="66"/>
      <c r="B2801" s="66"/>
      <c r="C2801" s="66"/>
      <c r="D2801" s="144"/>
      <c r="E2801" s="67"/>
      <c r="F2801" s="67"/>
      <c r="G2801" s="67"/>
      <c r="H2801" s="67">
        <f>ROUND(+E2801+G2801,4)</f>
        <v>0</v>
      </c>
      <c r="I2801" s="67"/>
      <c r="J2801" s="67">
        <f>ROUND(+I2801-H2801,4)</f>
        <v>0</v>
      </c>
      <c r="K2801" s="67">
        <f>ROUND(IF(F2801="alluminio",0,I2801*1.5%),4)</f>
        <v>0</v>
      </c>
      <c r="L2801" s="67">
        <f>ROUND(IF(K2801&lt;J2801,K2801,0),4)</f>
        <v>0</v>
      </c>
      <c r="M2801" s="67">
        <f>ROUND(IF(J2801&gt;K2801,0,J2801),4)</f>
        <v>0</v>
      </c>
      <c r="N2801" s="67">
        <f>ROUND(+L2801*D2801,4)</f>
        <v>0</v>
      </c>
      <c r="O2801" s="67">
        <f>ROUND(IF(F2801="rame",0,+I2801*3%),4)</f>
        <v>0</v>
      </c>
      <c r="P2801" s="67">
        <f>ROUND(IF(O2801&lt;J2801,O2801,0),4)</f>
        <v>0</v>
      </c>
      <c r="Q2801" s="67">
        <f>ROUND(IF(J2801&gt;O2801,0,J2801),4)</f>
        <v>0</v>
      </c>
      <c r="R2801" s="67">
        <f>ROUND(+P2801*D2801,4)</f>
        <v>0</v>
      </c>
      <c r="S2801" s="67">
        <f>ROUND(IF(K2801=0,0,M2801*D2801),4)</f>
        <v>0</v>
      </c>
      <c r="T2801" s="67">
        <f>ROUND(+IF(K2801=0,Q2801*D2801,0),4)</f>
        <v>0</v>
      </c>
      <c r="U2801" s="67">
        <f>ROUND(+N2801+R2801+S2801+T2801,4)</f>
        <v>0</v>
      </c>
      <c r="V2801" s="67">
        <f>ROUND(IF(P2801=0,0,I2801-H2801-O2801)+IF(L2801=0,0,I2801-H2801-K2801),4)</f>
        <v>0</v>
      </c>
      <c r="W2801" s="67">
        <f>ROUND(+(V2801*60%)*D2801,4)</f>
        <v>0</v>
      </c>
      <c r="X2801" s="148">
        <f>ROUND(+U2801+W2801,4)</f>
        <v>0</v>
      </c>
      <c r="Y2801" s="68"/>
      <c r="Z2801" s="148">
        <f>ROUND(IF(X2801&gt;I2801,X2801,I2801),4)</f>
        <v>0</v>
      </c>
      <c r="AD2801" s="78">
        <f t="shared" si="66"/>
        <v>0</v>
      </c>
      <c r="AE2801" s="78">
        <f t="shared" si="67"/>
        <v>0</v>
      </c>
    </row>
    <row r="2802" spans="1:31" x14ac:dyDescent="0.2">
      <c r="A2802" s="66"/>
      <c r="B2802" s="66"/>
      <c r="C2802" s="66"/>
      <c r="D2802" s="144"/>
      <c r="E2802" s="67"/>
      <c r="F2802" s="67"/>
      <c r="G2802" s="67"/>
      <c r="H2802" s="67">
        <f>ROUND(+E2802+G2802,4)</f>
        <v>0</v>
      </c>
      <c r="I2802" s="67"/>
      <c r="J2802" s="67">
        <f>ROUND(+I2802-H2802,4)</f>
        <v>0</v>
      </c>
      <c r="K2802" s="67">
        <f>ROUND(IF(F2802="alluminio",0,I2802*1.5%),4)</f>
        <v>0</v>
      </c>
      <c r="L2802" s="67">
        <f>ROUND(IF(K2802&lt;J2802,K2802,0),4)</f>
        <v>0</v>
      </c>
      <c r="M2802" s="67">
        <f>ROUND(IF(J2802&gt;K2802,0,J2802),4)</f>
        <v>0</v>
      </c>
      <c r="N2802" s="67">
        <f>ROUND(+L2802*D2802,4)</f>
        <v>0</v>
      </c>
      <c r="O2802" s="67">
        <f>ROUND(IF(F2802="rame",0,+I2802*3%),4)</f>
        <v>0</v>
      </c>
      <c r="P2802" s="67">
        <f>ROUND(IF(O2802&lt;J2802,O2802,0),4)</f>
        <v>0</v>
      </c>
      <c r="Q2802" s="67">
        <f>ROUND(IF(J2802&gt;O2802,0,J2802),4)</f>
        <v>0</v>
      </c>
      <c r="R2802" s="67">
        <f>ROUND(+P2802*D2802,4)</f>
        <v>0</v>
      </c>
      <c r="S2802" s="67">
        <f>ROUND(IF(K2802=0,0,M2802*D2802),4)</f>
        <v>0</v>
      </c>
      <c r="T2802" s="67">
        <f>ROUND(+IF(K2802=0,Q2802*D2802,0),4)</f>
        <v>0</v>
      </c>
      <c r="U2802" s="67">
        <f>ROUND(+N2802+R2802+S2802+T2802,4)</f>
        <v>0</v>
      </c>
      <c r="V2802" s="67">
        <f>ROUND(IF(P2802=0,0,I2802-H2802-O2802)+IF(L2802=0,0,I2802-H2802-K2802),4)</f>
        <v>0</v>
      </c>
      <c r="W2802" s="67">
        <f>ROUND(+(V2802*60%)*D2802,4)</f>
        <v>0</v>
      </c>
      <c r="X2802" s="148">
        <f>ROUND(+U2802+W2802,4)</f>
        <v>0</v>
      </c>
      <c r="Y2802" s="68"/>
      <c r="Z2802" s="148">
        <f>ROUND(IF(X2802&gt;I2802,X2802,I2802),4)</f>
        <v>0</v>
      </c>
      <c r="AD2802" s="78">
        <f t="shared" si="66"/>
        <v>0</v>
      </c>
      <c r="AE2802" s="78">
        <f t="shared" si="67"/>
        <v>0</v>
      </c>
    </row>
    <row r="2803" spans="1:31" x14ac:dyDescent="0.2">
      <c r="A2803" s="66"/>
      <c r="B2803" s="66"/>
      <c r="C2803" s="66"/>
      <c r="D2803" s="144"/>
      <c r="E2803" s="67"/>
      <c r="F2803" s="67"/>
      <c r="G2803" s="67"/>
      <c r="H2803" s="67">
        <f>ROUND(+E2803+G2803,4)</f>
        <v>0</v>
      </c>
      <c r="I2803" s="67"/>
      <c r="J2803" s="67">
        <f>ROUND(+I2803-H2803,4)</f>
        <v>0</v>
      </c>
      <c r="K2803" s="67">
        <f>ROUND(IF(F2803="alluminio",0,I2803*1.5%),4)</f>
        <v>0</v>
      </c>
      <c r="L2803" s="67">
        <f>ROUND(IF(K2803&lt;J2803,K2803,0),4)</f>
        <v>0</v>
      </c>
      <c r="M2803" s="67">
        <f>ROUND(IF(J2803&gt;K2803,0,J2803),4)</f>
        <v>0</v>
      </c>
      <c r="N2803" s="67">
        <f>ROUND(+L2803*D2803,4)</f>
        <v>0</v>
      </c>
      <c r="O2803" s="67">
        <f>ROUND(IF(F2803="rame",0,+I2803*3%),4)</f>
        <v>0</v>
      </c>
      <c r="P2803" s="67">
        <f>ROUND(IF(O2803&lt;J2803,O2803,0),4)</f>
        <v>0</v>
      </c>
      <c r="Q2803" s="67">
        <f>ROUND(IF(J2803&gt;O2803,0,J2803),4)</f>
        <v>0</v>
      </c>
      <c r="R2803" s="67">
        <f>ROUND(+P2803*D2803,4)</f>
        <v>0</v>
      </c>
      <c r="S2803" s="67">
        <f>ROUND(IF(K2803=0,0,M2803*D2803),4)</f>
        <v>0</v>
      </c>
      <c r="T2803" s="67">
        <f>ROUND(+IF(K2803=0,Q2803*D2803,0),4)</f>
        <v>0</v>
      </c>
      <c r="U2803" s="67">
        <f>ROUND(+N2803+R2803+S2803+T2803,4)</f>
        <v>0</v>
      </c>
      <c r="V2803" s="67">
        <f>ROUND(IF(P2803=0,0,I2803-H2803-O2803)+IF(L2803=0,0,I2803-H2803-K2803),4)</f>
        <v>0</v>
      </c>
      <c r="W2803" s="67">
        <f>ROUND(+(V2803*60%)*D2803,4)</f>
        <v>0</v>
      </c>
      <c r="X2803" s="148">
        <f>ROUND(+U2803+W2803,4)</f>
        <v>0</v>
      </c>
      <c r="Y2803" s="68"/>
      <c r="Z2803" s="148">
        <f>ROUND(IF(X2803&gt;I2803,X2803,I2803),4)</f>
        <v>0</v>
      </c>
      <c r="AD2803" s="78">
        <f t="shared" si="66"/>
        <v>0</v>
      </c>
      <c r="AE2803" s="78">
        <f t="shared" si="67"/>
        <v>0</v>
      </c>
    </row>
    <row r="2804" spans="1:31" x14ac:dyDescent="0.2">
      <c r="A2804" s="66"/>
      <c r="B2804" s="66"/>
      <c r="C2804" s="66"/>
      <c r="D2804" s="144"/>
      <c r="E2804" s="67"/>
      <c r="F2804" s="67"/>
      <c r="G2804" s="67"/>
      <c r="H2804" s="67">
        <f>ROUND(+E2804+G2804,4)</f>
        <v>0</v>
      </c>
      <c r="I2804" s="67"/>
      <c r="J2804" s="67">
        <f>ROUND(+I2804-H2804,4)</f>
        <v>0</v>
      </c>
      <c r="K2804" s="67">
        <f>ROUND(IF(F2804="alluminio",0,I2804*1.5%),4)</f>
        <v>0</v>
      </c>
      <c r="L2804" s="67">
        <f>ROUND(IF(K2804&lt;J2804,K2804,0),4)</f>
        <v>0</v>
      </c>
      <c r="M2804" s="67">
        <f>ROUND(IF(J2804&gt;K2804,0,J2804),4)</f>
        <v>0</v>
      </c>
      <c r="N2804" s="67">
        <f>ROUND(+L2804*D2804,4)</f>
        <v>0</v>
      </c>
      <c r="O2804" s="67">
        <f>ROUND(IF(F2804="rame",0,+I2804*3%),4)</f>
        <v>0</v>
      </c>
      <c r="P2804" s="67">
        <f>ROUND(IF(O2804&lt;J2804,O2804,0),4)</f>
        <v>0</v>
      </c>
      <c r="Q2804" s="67">
        <f>ROUND(IF(J2804&gt;O2804,0,J2804),4)</f>
        <v>0</v>
      </c>
      <c r="R2804" s="67">
        <f>ROUND(+P2804*D2804,4)</f>
        <v>0</v>
      </c>
      <c r="S2804" s="67">
        <f>ROUND(IF(K2804=0,0,M2804*D2804),4)</f>
        <v>0</v>
      </c>
      <c r="T2804" s="67">
        <f>ROUND(+IF(K2804=0,Q2804*D2804,0),4)</f>
        <v>0</v>
      </c>
      <c r="U2804" s="67">
        <f>ROUND(+N2804+R2804+S2804+T2804,4)</f>
        <v>0</v>
      </c>
      <c r="V2804" s="67">
        <f>ROUND(IF(P2804=0,0,I2804-H2804-O2804)+IF(L2804=0,0,I2804-H2804-K2804),4)</f>
        <v>0</v>
      </c>
      <c r="W2804" s="67">
        <f>ROUND(+(V2804*60%)*D2804,4)</f>
        <v>0</v>
      </c>
      <c r="X2804" s="148">
        <f>ROUND(+U2804+W2804,4)</f>
        <v>0</v>
      </c>
      <c r="Y2804" s="68"/>
      <c r="Z2804" s="148">
        <f>ROUND(IF(X2804&gt;I2804,X2804,I2804),4)</f>
        <v>0</v>
      </c>
      <c r="AD2804" s="78">
        <f t="shared" si="66"/>
        <v>0</v>
      </c>
      <c r="AE2804" s="78">
        <f t="shared" si="67"/>
        <v>0</v>
      </c>
    </row>
    <row r="2805" spans="1:31" x14ac:dyDescent="0.2">
      <c r="A2805" s="66"/>
      <c r="B2805" s="66"/>
      <c r="C2805" s="66"/>
      <c r="D2805" s="144"/>
      <c r="E2805" s="67"/>
      <c r="F2805" s="67"/>
      <c r="G2805" s="67"/>
      <c r="H2805" s="67">
        <f>ROUND(+E2805+G2805,4)</f>
        <v>0</v>
      </c>
      <c r="I2805" s="67"/>
      <c r="J2805" s="67">
        <f>ROUND(+I2805-H2805,4)</f>
        <v>0</v>
      </c>
      <c r="K2805" s="67">
        <f>ROUND(IF(F2805="alluminio",0,I2805*1.5%),4)</f>
        <v>0</v>
      </c>
      <c r="L2805" s="67">
        <f>ROUND(IF(K2805&lt;J2805,K2805,0),4)</f>
        <v>0</v>
      </c>
      <c r="M2805" s="67">
        <f>ROUND(IF(J2805&gt;K2805,0,J2805),4)</f>
        <v>0</v>
      </c>
      <c r="N2805" s="67">
        <f>ROUND(+L2805*D2805,4)</f>
        <v>0</v>
      </c>
      <c r="O2805" s="67">
        <f>ROUND(IF(F2805="rame",0,+I2805*3%),4)</f>
        <v>0</v>
      </c>
      <c r="P2805" s="67">
        <f>ROUND(IF(O2805&lt;J2805,O2805,0),4)</f>
        <v>0</v>
      </c>
      <c r="Q2805" s="67">
        <f>ROUND(IF(J2805&gt;O2805,0,J2805),4)</f>
        <v>0</v>
      </c>
      <c r="R2805" s="67">
        <f>ROUND(+P2805*D2805,4)</f>
        <v>0</v>
      </c>
      <c r="S2805" s="67">
        <f>ROUND(IF(K2805=0,0,M2805*D2805),4)</f>
        <v>0</v>
      </c>
      <c r="T2805" s="67">
        <f>ROUND(+IF(K2805=0,Q2805*D2805,0),4)</f>
        <v>0</v>
      </c>
      <c r="U2805" s="67">
        <f>ROUND(+N2805+R2805+S2805+T2805,4)</f>
        <v>0</v>
      </c>
      <c r="V2805" s="67">
        <f>ROUND(IF(P2805=0,0,I2805-H2805-O2805)+IF(L2805=0,0,I2805-H2805-K2805),4)</f>
        <v>0</v>
      </c>
      <c r="W2805" s="67">
        <f>ROUND(+(V2805*60%)*D2805,4)</f>
        <v>0</v>
      </c>
      <c r="X2805" s="148">
        <f>ROUND(+U2805+W2805,4)</f>
        <v>0</v>
      </c>
      <c r="Y2805" s="68"/>
      <c r="Z2805" s="148">
        <f>ROUND(IF(X2805&gt;I2805,X2805,I2805),4)</f>
        <v>0</v>
      </c>
      <c r="AD2805" s="78">
        <f t="shared" si="66"/>
        <v>0</v>
      </c>
      <c r="AE2805" s="78">
        <f t="shared" si="67"/>
        <v>0</v>
      </c>
    </row>
    <row r="2806" spans="1:31" x14ac:dyDescent="0.2">
      <c r="A2806" s="66"/>
      <c r="B2806" s="66"/>
      <c r="C2806" s="66"/>
      <c r="D2806" s="144"/>
      <c r="E2806" s="67"/>
      <c r="F2806" s="67"/>
      <c r="G2806" s="67"/>
      <c r="H2806" s="67">
        <f>ROUND(+E2806+G2806,4)</f>
        <v>0</v>
      </c>
      <c r="I2806" s="67"/>
      <c r="J2806" s="67">
        <f>ROUND(+I2806-H2806,4)</f>
        <v>0</v>
      </c>
      <c r="K2806" s="67">
        <f>ROUND(IF(F2806="alluminio",0,I2806*1.5%),4)</f>
        <v>0</v>
      </c>
      <c r="L2806" s="67">
        <f>ROUND(IF(K2806&lt;J2806,K2806,0),4)</f>
        <v>0</v>
      </c>
      <c r="M2806" s="67">
        <f>ROUND(IF(J2806&gt;K2806,0,J2806),4)</f>
        <v>0</v>
      </c>
      <c r="N2806" s="67">
        <f>ROUND(+L2806*D2806,4)</f>
        <v>0</v>
      </c>
      <c r="O2806" s="67">
        <f>ROUND(IF(F2806="rame",0,+I2806*3%),4)</f>
        <v>0</v>
      </c>
      <c r="P2806" s="67">
        <f>ROUND(IF(O2806&lt;J2806,O2806,0),4)</f>
        <v>0</v>
      </c>
      <c r="Q2806" s="67">
        <f>ROUND(IF(J2806&gt;O2806,0,J2806),4)</f>
        <v>0</v>
      </c>
      <c r="R2806" s="67">
        <f>ROUND(+P2806*D2806,4)</f>
        <v>0</v>
      </c>
      <c r="S2806" s="67">
        <f>ROUND(IF(K2806=0,0,M2806*D2806),4)</f>
        <v>0</v>
      </c>
      <c r="T2806" s="67">
        <f>ROUND(+IF(K2806=0,Q2806*D2806,0),4)</f>
        <v>0</v>
      </c>
      <c r="U2806" s="67">
        <f>ROUND(+N2806+R2806+S2806+T2806,4)</f>
        <v>0</v>
      </c>
      <c r="V2806" s="67">
        <f>ROUND(IF(P2806=0,0,I2806-H2806-O2806)+IF(L2806=0,0,I2806-H2806-K2806),4)</f>
        <v>0</v>
      </c>
      <c r="W2806" s="67">
        <f>ROUND(+(V2806*60%)*D2806,4)</f>
        <v>0</v>
      </c>
      <c r="X2806" s="148">
        <f>ROUND(+U2806+W2806,4)</f>
        <v>0</v>
      </c>
      <c r="Y2806" s="68"/>
      <c r="Z2806" s="148">
        <f>ROUND(IF(X2806&gt;I2806,X2806,I2806),4)</f>
        <v>0</v>
      </c>
      <c r="AD2806" s="78">
        <f t="shared" si="66"/>
        <v>0</v>
      </c>
      <c r="AE2806" s="78">
        <f t="shared" si="67"/>
        <v>0</v>
      </c>
    </row>
    <row r="2807" spans="1:31" x14ac:dyDescent="0.2">
      <c r="A2807" s="66"/>
      <c r="B2807" s="66"/>
      <c r="C2807" s="66"/>
      <c r="D2807" s="144"/>
      <c r="E2807" s="67"/>
      <c r="F2807" s="67"/>
      <c r="G2807" s="67"/>
      <c r="H2807" s="67">
        <f>ROUND(+E2807+G2807,4)</f>
        <v>0</v>
      </c>
      <c r="I2807" s="67"/>
      <c r="J2807" s="67">
        <f>ROUND(+I2807-H2807,4)</f>
        <v>0</v>
      </c>
      <c r="K2807" s="67">
        <f>ROUND(IF(F2807="alluminio",0,I2807*1.5%),4)</f>
        <v>0</v>
      </c>
      <c r="L2807" s="67">
        <f>ROUND(IF(K2807&lt;J2807,K2807,0),4)</f>
        <v>0</v>
      </c>
      <c r="M2807" s="67">
        <f>ROUND(IF(J2807&gt;K2807,0,J2807),4)</f>
        <v>0</v>
      </c>
      <c r="N2807" s="67">
        <f>ROUND(+L2807*D2807,4)</f>
        <v>0</v>
      </c>
      <c r="O2807" s="67">
        <f>ROUND(IF(F2807="rame",0,+I2807*3%),4)</f>
        <v>0</v>
      </c>
      <c r="P2807" s="67">
        <f>ROUND(IF(O2807&lt;J2807,O2807,0),4)</f>
        <v>0</v>
      </c>
      <c r="Q2807" s="67">
        <f>ROUND(IF(J2807&gt;O2807,0,J2807),4)</f>
        <v>0</v>
      </c>
      <c r="R2807" s="67">
        <f>ROUND(+P2807*D2807,4)</f>
        <v>0</v>
      </c>
      <c r="S2807" s="67">
        <f>ROUND(IF(K2807=0,0,M2807*D2807),4)</f>
        <v>0</v>
      </c>
      <c r="T2807" s="67">
        <f>ROUND(+IF(K2807=0,Q2807*D2807,0),4)</f>
        <v>0</v>
      </c>
      <c r="U2807" s="67">
        <f>ROUND(+N2807+R2807+S2807+T2807,4)</f>
        <v>0</v>
      </c>
      <c r="V2807" s="67">
        <f>ROUND(IF(P2807=0,0,I2807-H2807-O2807)+IF(L2807=0,0,I2807-H2807-K2807),4)</f>
        <v>0</v>
      </c>
      <c r="W2807" s="67">
        <f>ROUND(+(V2807*60%)*D2807,4)</f>
        <v>0</v>
      </c>
      <c r="X2807" s="148">
        <f>ROUND(+U2807+W2807,4)</f>
        <v>0</v>
      </c>
      <c r="Y2807" s="68"/>
      <c r="Z2807" s="148">
        <f>ROUND(IF(X2807&gt;I2807,X2807,I2807),4)</f>
        <v>0</v>
      </c>
      <c r="AD2807" s="78">
        <f t="shared" si="66"/>
        <v>0</v>
      </c>
      <c r="AE2807" s="78">
        <f t="shared" si="67"/>
        <v>0</v>
      </c>
    </row>
    <row r="2808" spans="1:31" x14ac:dyDescent="0.2">
      <c r="A2808" s="66"/>
      <c r="B2808" s="66"/>
      <c r="C2808" s="66"/>
      <c r="D2808" s="144"/>
      <c r="E2808" s="67"/>
      <c r="F2808" s="67"/>
      <c r="G2808" s="67"/>
      <c r="H2808" s="67">
        <f>ROUND(+E2808+G2808,4)</f>
        <v>0</v>
      </c>
      <c r="I2808" s="67"/>
      <c r="J2808" s="67">
        <f>ROUND(+I2808-H2808,4)</f>
        <v>0</v>
      </c>
      <c r="K2808" s="67">
        <f>ROUND(IF(F2808="alluminio",0,I2808*1.5%),4)</f>
        <v>0</v>
      </c>
      <c r="L2808" s="67">
        <f>ROUND(IF(K2808&lt;J2808,K2808,0),4)</f>
        <v>0</v>
      </c>
      <c r="M2808" s="67">
        <f>ROUND(IF(J2808&gt;K2808,0,J2808),4)</f>
        <v>0</v>
      </c>
      <c r="N2808" s="67">
        <f>ROUND(+L2808*D2808,4)</f>
        <v>0</v>
      </c>
      <c r="O2808" s="67">
        <f>ROUND(IF(F2808="rame",0,+I2808*3%),4)</f>
        <v>0</v>
      </c>
      <c r="P2808" s="67">
        <f>ROUND(IF(O2808&lt;J2808,O2808,0),4)</f>
        <v>0</v>
      </c>
      <c r="Q2808" s="67">
        <f>ROUND(IF(J2808&gt;O2808,0,J2808),4)</f>
        <v>0</v>
      </c>
      <c r="R2808" s="67">
        <f>ROUND(+P2808*D2808,4)</f>
        <v>0</v>
      </c>
      <c r="S2808" s="67">
        <f>ROUND(IF(K2808=0,0,M2808*D2808),4)</f>
        <v>0</v>
      </c>
      <c r="T2808" s="67">
        <f>ROUND(+IF(K2808=0,Q2808*D2808,0),4)</f>
        <v>0</v>
      </c>
      <c r="U2808" s="67">
        <f>ROUND(+N2808+R2808+S2808+T2808,4)</f>
        <v>0</v>
      </c>
      <c r="V2808" s="67">
        <f>ROUND(IF(P2808=0,0,I2808-H2808-O2808)+IF(L2808=0,0,I2808-H2808-K2808),4)</f>
        <v>0</v>
      </c>
      <c r="W2808" s="67">
        <f>ROUND(+(V2808*60%)*D2808,4)</f>
        <v>0</v>
      </c>
      <c r="X2808" s="148">
        <f>ROUND(+U2808+W2808,4)</f>
        <v>0</v>
      </c>
      <c r="Y2808" s="68"/>
      <c r="Z2808" s="148">
        <f>ROUND(IF(X2808&gt;I2808,X2808,I2808),4)</f>
        <v>0</v>
      </c>
      <c r="AD2808" s="78">
        <f t="shared" si="66"/>
        <v>0</v>
      </c>
      <c r="AE2808" s="78">
        <f t="shared" si="67"/>
        <v>0</v>
      </c>
    </row>
    <row r="2809" spans="1:31" x14ac:dyDescent="0.2">
      <c r="A2809" s="66"/>
      <c r="B2809" s="66"/>
      <c r="C2809" s="66"/>
      <c r="D2809" s="144"/>
      <c r="E2809" s="67"/>
      <c r="F2809" s="67"/>
      <c r="G2809" s="67"/>
      <c r="H2809" s="67">
        <f>ROUND(+E2809+G2809,4)</f>
        <v>0</v>
      </c>
      <c r="I2809" s="67"/>
      <c r="J2809" s="67">
        <f>ROUND(+I2809-H2809,4)</f>
        <v>0</v>
      </c>
      <c r="K2809" s="67">
        <f>ROUND(IF(F2809="alluminio",0,I2809*1.5%),4)</f>
        <v>0</v>
      </c>
      <c r="L2809" s="67">
        <f>ROUND(IF(K2809&lt;J2809,K2809,0),4)</f>
        <v>0</v>
      </c>
      <c r="M2809" s="67">
        <f>ROUND(IF(J2809&gt;K2809,0,J2809),4)</f>
        <v>0</v>
      </c>
      <c r="N2809" s="67">
        <f>ROUND(+L2809*D2809,4)</f>
        <v>0</v>
      </c>
      <c r="O2809" s="67">
        <f>ROUND(IF(F2809="rame",0,+I2809*3%),4)</f>
        <v>0</v>
      </c>
      <c r="P2809" s="67">
        <f>ROUND(IF(O2809&lt;J2809,O2809,0),4)</f>
        <v>0</v>
      </c>
      <c r="Q2809" s="67">
        <f>ROUND(IF(J2809&gt;O2809,0,J2809),4)</f>
        <v>0</v>
      </c>
      <c r="R2809" s="67">
        <f>ROUND(+P2809*D2809,4)</f>
        <v>0</v>
      </c>
      <c r="S2809" s="67">
        <f>ROUND(IF(K2809=0,0,M2809*D2809),4)</f>
        <v>0</v>
      </c>
      <c r="T2809" s="67">
        <f>ROUND(+IF(K2809=0,Q2809*D2809,0),4)</f>
        <v>0</v>
      </c>
      <c r="U2809" s="67">
        <f>ROUND(+N2809+R2809+S2809+T2809,4)</f>
        <v>0</v>
      </c>
      <c r="V2809" s="67">
        <f>ROUND(IF(P2809=0,0,I2809-H2809-O2809)+IF(L2809=0,0,I2809-H2809-K2809),4)</f>
        <v>0</v>
      </c>
      <c r="W2809" s="67">
        <f>ROUND(+(V2809*60%)*D2809,4)</f>
        <v>0</v>
      </c>
      <c r="X2809" s="148">
        <f>ROUND(+U2809+W2809,4)</f>
        <v>0</v>
      </c>
      <c r="Y2809" s="68"/>
      <c r="Z2809" s="148">
        <f>ROUND(IF(X2809&gt;I2809,X2809,I2809),4)</f>
        <v>0</v>
      </c>
      <c r="AD2809" s="78">
        <f t="shared" si="66"/>
        <v>0</v>
      </c>
      <c r="AE2809" s="78">
        <f t="shared" si="67"/>
        <v>0</v>
      </c>
    </row>
    <row r="2810" spans="1:31" x14ac:dyDescent="0.2">
      <c r="A2810" s="66"/>
      <c r="B2810" s="66"/>
      <c r="C2810" s="66"/>
      <c r="D2810" s="144"/>
      <c r="E2810" s="67"/>
      <c r="F2810" s="67"/>
      <c r="G2810" s="67"/>
      <c r="H2810" s="67">
        <f>ROUND(+E2810+G2810,4)</f>
        <v>0</v>
      </c>
      <c r="I2810" s="67"/>
      <c r="J2810" s="67">
        <f>ROUND(+I2810-H2810,4)</f>
        <v>0</v>
      </c>
      <c r="K2810" s="67">
        <f>ROUND(IF(F2810="alluminio",0,I2810*1.5%),4)</f>
        <v>0</v>
      </c>
      <c r="L2810" s="67">
        <f>ROUND(IF(K2810&lt;J2810,K2810,0),4)</f>
        <v>0</v>
      </c>
      <c r="M2810" s="67">
        <f>ROUND(IF(J2810&gt;K2810,0,J2810),4)</f>
        <v>0</v>
      </c>
      <c r="N2810" s="67">
        <f>ROUND(+L2810*D2810,4)</f>
        <v>0</v>
      </c>
      <c r="O2810" s="67">
        <f>ROUND(IF(F2810="rame",0,+I2810*3%),4)</f>
        <v>0</v>
      </c>
      <c r="P2810" s="67">
        <f>ROUND(IF(O2810&lt;J2810,O2810,0),4)</f>
        <v>0</v>
      </c>
      <c r="Q2810" s="67">
        <f>ROUND(IF(J2810&gt;O2810,0,J2810),4)</f>
        <v>0</v>
      </c>
      <c r="R2810" s="67">
        <f>ROUND(+P2810*D2810,4)</f>
        <v>0</v>
      </c>
      <c r="S2810" s="67">
        <f>ROUND(IF(K2810=0,0,M2810*D2810),4)</f>
        <v>0</v>
      </c>
      <c r="T2810" s="67">
        <f>ROUND(+IF(K2810=0,Q2810*D2810,0),4)</f>
        <v>0</v>
      </c>
      <c r="U2810" s="67">
        <f>ROUND(+N2810+R2810+S2810+T2810,4)</f>
        <v>0</v>
      </c>
      <c r="V2810" s="67">
        <f>ROUND(IF(P2810=0,0,I2810-H2810-O2810)+IF(L2810=0,0,I2810-H2810-K2810),4)</f>
        <v>0</v>
      </c>
      <c r="W2810" s="67">
        <f>ROUND(+(V2810*60%)*D2810,4)</f>
        <v>0</v>
      </c>
      <c r="X2810" s="148">
        <f>ROUND(+U2810+W2810,4)</f>
        <v>0</v>
      </c>
      <c r="Y2810" s="68"/>
      <c r="Z2810" s="148">
        <f>ROUND(IF(X2810&gt;I2810,X2810,I2810),4)</f>
        <v>0</v>
      </c>
      <c r="AD2810" s="78">
        <f t="shared" si="66"/>
        <v>0</v>
      </c>
      <c r="AE2810" s="78">
        <f t="shared" si="67"/>
        <v>0</v>
      </c>
    </row>
    <row r="2811" spans="1:31" x14ac:dyDescent="0.2">
      <c r="A2811" s="66"/>
      <c r="B2811" s="66"/>
      <c r="C2811" s="66"/>
      <c r="D2811" s="144"/>
      <c r="E2811" s="67"/>
      <c r="F2811" s="67"/>
      <c r="G2811" s="67"/>
      <c r="H2811" s="67">
        <f>ROUND(+E2811+G2811,4)</f>
        <v>0</v>
      </c>
      <c r="I2811" s="67"/>
      <c r="J2811" s="67">
        <f>ROUND(+I2811-H2811,4)</f>
        <v>0</v>
      </c>
      <c r="K2811" s="67">
        <f>ROUND(IF(F2811="alluminio",0,I2811*1.5%),4)</f>
        <v>0</v>
      </c>
      <c r="L2811" s="67">
        <f>ROUND(IF(K2811&lt;J2811,K2811,0),4)</f>
        <v>0</v>
      </c>
      <c r="M2811" s="67">
        <f>ROUND(IF(J2811&gt;K2811,0,J2811),4)</f>
        <v>0</v>
      </c>
      <c r="N2811" s="67">
        <f>ROUND(+L2811*D2811,4)</f>
        <v>0</v>
      </c>
      <c r="O2811" s="67">
        <f>ROUND(IF(F2811="rame",0,+I2811*3%),4)</f>
        <v>0</v>
      </c>
      <c r="P2811" s="67">
        <f>ROUND(IF(O2811&lt;J2811,O2811,0),4)</f>
        <v>0</v>
      </c>
      <c r="Q2811" s="67">
        <f>ROUND(IF(J2811&gt;O2811,0,J2811),4)</f>
        <v>0</v>
      </c>
      <c r="R2811" s="67">
        <f>ROUND(+P2811*D2811,4)</f>
        <v>0</v>
      </c>
      <c r="S2811" s="67">
        <f>ROUND(IF(K2811=0,0,M2811*D2811),4)</f>
        <v>0</v>
      </c>
      <c r="T2811" s="67">
        <f>ROUND(+IF(K2811=0,Q2811*D2811,0),4)</f>
        <v>0</v>
      </c>
      <c r="U2811" s="67">
        <f>ROUND(+N2811+R2811+S2811+T2811,4)</f>
        <v>0</v>
      </c>
      <c r="V2811" s="67">
        <f>ROUND(IF(P2811=0,0,I2811-H2811-O2811)+IF(L2811=0,0,I2811-H2811-K2811),4)</f>
        <v>0</v>
      </c>
      <c r="W2811" s="67">
        <f>ROUND(+(V2811*60%)*D2811,4)</f>
        <v>0</v>
      </c>
      <c r="X2811" s="148">
        <f>ROUND(+U2811+W2811,4)</f>
        <v>0</v>
      </c>
      <c r="Y2811" s="68"/>
      <c r="Z2811" s="148">
        <f>ROUND(IF(X2811&gt;I2811,X2811,I2811),4)</f>
        <v>0</v>
      </c>
      <c r="AD2811" s="78">
        <f t="shared" ref="AD2811:AD2818" si="68">IF(Y2811="",0,MONTH(Y2811))</f>
        <v>0</v>
      </c>
      <c r="AE2811" s="78">
        <f t="shared" ref="AE2811:AE2818" si="69">IF(Y2811="",0,YEAR(Y2811))</f>
        <v>0</v>
      </c>
    </row>
    <row r="2812" spans="1:31" x14ac:dyDescent="0.2">
      <c r="A2812" s="66"/>
      <c r="B2812" s="66"/>
      <c r="C2812" s="66"/>
      <c r="D2812" s="144"/>
      <c r="E2812" s="67"/>
      <c r="F2812" s="67"/>
      <c r="G2812" s="67"/>
      <c r="H2812" s="67">
        <f>ROUND(+E2812+G2812,4)</f>
        <v>0</v>
      </c>
      <c r="I2812" s="67"/>
      <c r="J2812" s="67">
        <f>ROUND(+I2812-H2812,4)</f>
        <v>0</v>
      </c>
      <c r="K2812" s="67">
        <f>ROUND(IF(F2812="alluminio",0,I2812*1.5%),4)</f>
        <v>0</v>
      </c>
      <c r="L2812" s="67">
        <f>ROUND(IF(K2812&lt;J2812,K2812,0),4)</f>
        <v>0</v>
      </c>
      <c r="M2812" s="67">
        <f>ROUND(IF(J2812&gt;K2812,0,J2812),4)</f>
        <v>0</v>
      </c>
      <c r="N2812" s="67">
        <f>ROUND(+L2812*D2812,4)</f>
        <v>0</v>
      </c>
      <c r="O2812" s="67">
        <f>ROUND(IF(F2812="rame",0,+I2812*3%),4)</f>
        <v>0</v>
      </c>
      <c r="P2812" s="67">
        <f>ROUND(IF(O2812&lt;J2812,O2812,0),4)</f>
        <v>0</v>
      </c>
      <c r="Q2812" s="67">
        <f>ROUND(IF(J2812&gt;O2812,0,J2812),4)</f>
        <v>0</v>
      </c>
      <c r="R2812" s="67">
        <f>ROUND(+P2812*D2812,4)</f>
        <v>0</v>
      </c>
      <c r="S2812" s="67">
        <f>ROUND(IF(K2812=0,0,M2812*D2812),4)</f>
        <v>0</v>
      </c>
      <c r="T2812" s="67">
        <f>ROUND(+IF(K2812=0,Q2812*D2812,0),4)</f>
        <v>0</v>
      </c>
      <c r="U2812" s="67">
        <f>ROUND(+N2812+R2812+S2812+T2812,4)</f>
        <v>0</v>
      </c>
      <c r="V2812" s="67">
        <f>ROUND(IF(P2812=0,0,I2812-H2812-O2812)+IF(L2812=0,0,I2812-H2812-K2812),4)</f>
        <v>0</v>
      </c>
      <c r="W2812" s="67">
        <f>ROUND(+(V2812*60%)*D2812,4)</f>
        <v>0</v>
      </c>
      <c r="X2812" s="148">
        <f>ROUND(+U2812+W2812,4)</f>
        <v>0</v>
      </c>
      <c r="Y2812" s="68"/>
      <c r="Z2812" s="148">
        <f>ROUND(IF(X2812&gt;I2812,X2812,I2812),4)</f>
        <v>0</v>
      </c>
      <c r="AD2812" s="78">
        <f t="shared" si="68"/>
        <v>0</v>
      </c>
      <c r="AE2812" s="78">
        <f t="shared" si="69"/>
        <v>0</v>
      </c>
    </row>
    <row r="2813" spans="1:31" x14ac:dyDescent="0.2">
      <c r="A2813" s="66"/>
      <c r="B2813" s="66"/>
      <c r="C2813" s="66"/>
      <c r="D2813" s="144"/>
      <c r="E2813" s="67"/>
      <c r="F2813" s="67"/>
      <c r="G2813" s="67"/>
      <c r="H2813" s="67">
        <f>ROUND(+E2813+G2813,4)</f>
        <v>0</v>
      </c>
      <c r="I2813" s="67"/>
      <c r="J2813" s="67">
        <f>ROUND(+I2813-H2813,4)</f>
        <v>0</v>
      </c>
      <c r="K2813" s="67">
        <f>ROUND(IF(F2813="alluminio",0,I2813*1.5%),4)</f>
        <v>0</v>
      </c>
      <c r="L2813" s="67">
        <f>ROUND(IF(K2813&lt;J2813,K2813,0),4)</f>
        <v>0</v>
      </c>
      <c r="M2813" s="67">
        <f>ROUND(IF(J2813&gt;K2813,0,J2813),4)</f>
        <v>0</v>
      </c>
      <c r="N2813" s="67">
        <f>ROUND(+L2813*D2813,4)</f>
        <v>0</v>
      </c>
      <c r="O2813" s="67">
        <f>ROUND(IF(F2813="rame",0,+I2813*3%),4)</f>
        <v>0</v>
      </c>
      <c r="P2813" s="67">
        <f>ROUND(IF(O2813&lt;J2813,O2813,0),4)</f>
        <v>0</v>
      </c>
      <c r="Q2813" s="67">
        <f>ROUND(IF(J2813&gt;O2813,0,J2813),4)</f>
        <v>0</v>
      </c>
      <c r="R2813" s="67">
        <f>ROUND(+P2813*D2813,4)</f>
        <v>0</v>
      </c>
      <c r="S2813" s="67">
        <f>ROUND(IF(K2813=0,0,M2813*D2813),4)</f>
        <v>0</v>
      </c>
      <c r="T2813" s="67">
        <f>ROUND(+IF(K2813=0,Q2813*D2813,0),4)</f>
        <v>0</v>
      </c>
      <c r="U2813" s="67">
        <f>ROUND(+N2813+R2813+S2813+T2813,4)</f>
        <v>0</v>
      </c>
      <c r="V2813" s="67">
        <f>ROUND(IF(P2813=0,0,I2813-H2813-O2813)+IF(L2813=0,0,I2813-H2813-K2813),4)</f>
        <v>0</v>
      </c>
      <c r="W2813" s="67">
        <f>ROUND(+(V2813*60%)*D2813,4)</f>
        <v>0</v>
      </c>
      <c r="X2813" s="148">
        <f>ROUND(+U2813+W2813,4)</f>
        <v>0</v>
      </c>
      <c r="Y2813" s="68"/>
      <c r="Z2813" s="148">
        <f>ROUND(IF(X2813&gt;I2813,X2813,I2813),4)</f>
        <v>0</v>
      </c>
      <c r="AD2813" s="78">
        <f t="shared" si="68"/>
        <v>0</v>
      </c>
      <c r="AE2813" s="78">
        <f t="shared" si="69"/>
        <v>0</v>
      </c>
    </row>
    <row r="2814" spans="1:31" x14ac:dyDescent="0.2">
      <c r="A2814" s="66"/>
      <c r="B2814" s="66"/>
      <c r="C2814" s="66"/>
      <c r="D2814" s="144"/>
      <c r="E2814" s="67"/>
      <c r="F2814" s="67"/>
      <c r="G2814" s="67"/>
      <c r="H2814" s="67">
        <f>ROUND(+E2814+G2814,4)</f>
        <v>0</v>
      </c>
      <c r="I2814" s="67"/>
      <c r="J2814" s="67">
        <f>ROUND(+I2814-H2814,4)</f>
        <v>0</v>
      </c>
      <c r="K2814" s="67">
        <f>ROUND(IF(F2814="alluminio",0,I2814*1.5%),4)</f>
        <v>0</v>
      </c>
      <c r="L2814" s="67">
        <f>ROUND(IF(K2814&lt;J2814,K2814,0),4)</f>
        <v>0</v>
      </c>
      <c r="M2814" s="67">
        <f>ROUND(IF(J2814&gt;K2814,0,J2814),4)</f>
        <v>0</v>
      </c>
      <c r="N2814" s="67">
        <f>ROUND(+L2814*D2814,4)</f>
        <v>0</v>
      </c>
      <c r="O2814" s="67">
        <f>ROUND(IF(F2814="rame",0,+I2814*3%),4)</f>
        <v>0</v>
      </c>
      <c r="P2814" s="67">
        <f>ROUND(IF(O2814&lt;J2814,O2814,0),4)</f>
        <v>0</v>
      </c>
      <c r="Q2814" s="67">
        <f>ROUND(IF(J2814&gt;O2814,0,J2814),4)</f>
        <v>0</v>
      </c>
      <c r="R2814" s="67">
        <f>ROUND(+P2814*D2814,4)</f>
        <v>0</v>
      </c>
      <c r="S2814" s="67">
        <f>ROUND(IF(K2814=0,0,M2814*D2814),4)</f>
        <v>0</v>
      </c>
      <c r="T2814" s="67">
        <f>ROUND(+IF(K2814=0,Q2814*D2814,0),4)</f>
        <v>0</v>
      </c>
      <c r="U2814" s="67">
        <f>ROUND(+N2814+R2814+S2814+T2814,4)</f>
        <v>0</v>
      </c>
      <c r="V2814" s="67">
        <f>ROUND(IF(P2814=0,0,I2814-H2814-O2814)+IF(L2814=0,0,I2814-H2814-K2814),4)</f>
        <v>0</v>
      </c>
      <c r="W2814" s="67">
        <f>ROUND(+(V2814*60%)*D2814,4)</f>
        <v>0</v>
      </c>
      <c r="X2814" s="148">
        <f>ROUND(+U2814+W2814,4)</f>
        <v>0</v>
      </c>
      <c r="Y2814" s="68"/>
      <c r="Z2814" s="148">
        <f>ROUND(IF(X2814&gt;I2814,X2814,I2814),4)</f>
        <v>0</v>
      </c>
      <c r="AD2814" s="78">
        <f t="shared" si="68"/>
        <v>0</v>
      </c>
      <c r="AE2814" s="78">
        <f t="shared" si="69"/>
        <v>0</v>
      </c>
    </row>
    <row r="2815" spans="1:31" x14ac:dyDescent="0.2">
      <c r="A2815" s="66"/>
      <c r="B2815" s="66"/>
      <c r="C2815" s="66"/>
      <c r="D2815" s="144"/>
      <c r="E2815" s="67"/>
      <c r="F2815" s="67"/>
      <c r="G2815" s="67"/>
      <c r="H2815" s="67">
        <f>ROUND(+E2815+G2815,4)</f>
        <v>0</v>
      </c>
      <c r="I2815" s="67"/>
      <c r="J2815" s="67">
        <f>ROUND(+I2815-H2815,4)</f>
        <v>0</v>
      </c>
      <c r="K2815" s="67">
        <f>ROUND(IF(F2815="alluminio",0,I2815*1.5%),4)</f>
        <v>0</v>
      </c>
      <c r="L2815" s="67">
        <f>ROUND(IF(K2815&lt;J2815,K2815,0),4)</f>
        <v>0</v>
      </c>
      <c r="M2815" s="67">
        <f>ROUND(IF(J2815&gt;K2815,0,J2815),4)</f>
        <v>0</v>
      </c>
      <c r="N2815" s="67">
        <f>ROUND(+L2815*D2815,4)</f>
        <v>0</v>
      </c>
      <c r="O2815" s="67">
        <f>ROUND(IF(F2815="rame",0,+I2815*3%),4)</f>
        <v>0</v>
      </c>
      <c r="P2815" s="67">
        <f>ROUND(IF(O2815&lt;J2815,O2815,0),4)</f>
        <v>0</v>
      </c>
      <c r="Q2815" s="67">
        <f>ROUND(IF(J2815&gt;O2815,0,J2815),4)</f>
        <v>0</v>
      </c>
      <c r="R2815" s="67">
        <f>ROUND(+P2815*D2815,4)</f>
        <v>0</v>
      </c>
      <c r="S2815" s="67">
        <f>ROUND(IF(K2815=0,0,M2815*D2815),4)</f>
        <v>0</v>
      </c>
      <c r="T2815" s="67">
        <f>ROUND(+IF(K2815=0,Q2815*D2815,0),4)</f>
        <v>0</v>
      </c>
      <c r="U2815" s="67">
        <f>ROUND(+N2815+R2815+S2815+T2815,4)</f>
        <v>0</v>
      </c>
      <c r="V2815" s="67">
        <f>ROUND(IF(P2815=0,0,I2815-H2815-O2815)+IF(L2815=0,0,I2815-H2815-K2815),4)</f>
        <v>0</v>
      </c>
      <c r="W2815" s="67">
        <f>ROUND(+(V2815*60%)*D2815,4)</f>
        <v>0</v>
      </c>
      <c r="X2815" s="148">
        <f>ROUND(+U2815+W2815,4)</f>
        <v>0</v>
      </c>
      <c r="Y2815" s="68"/>
      <c r="Z2815" s="148">
        <f>ROUND(IF(X2815&gt;I2815,X2815,I2815),4)</f>
        <v>0</v>
      </c>
      <c r="AD2815" s="78">
        <f t="shared" si="68"/>
        <v>0</v>
      </c>
      <c r="AE2815" s="78">
        <f t="shared" si="69"/>
        <v>0</v>
      </c>
    </row>
    <row r="2816" spans="1:31" x14ac:dyDescent="0.2">
      <c r="A2816" s="66"/>
      <c r="B2816" s="66"/>
      <c r="C2816" s="66"/>
      <c r="D2816" s="144"/>
      <c r="E2816" s="67"/>
      <c r="F2816" s="67"/>
      <c r="G2816" s="67"/>
      <c r="H2816" s="67">
        <f>ROUND(+E2816+G2816,4)</f>
        <v>0</v>
      </c>
      <c r="I2816" s="67"/>
      <c r="J2816" s="67">
        <f>ROUND(+I2816-H2816,4)</f>
        <v>0</v>
      </c>
      <c r="K2816" s="67">
        <f>ROUND(IF(F2816="alluminio",0,I2816*1.5%),4)</f>
        <v>0</v>
      </c>
      <c r="L2816" s="67">
        <f>ROUND(IF(K2816&lt;J2816,K2816,0),4)</f>
        <v>0</v>
      </c>
      <c r="M2816" s="67">
        <f>ROUND(IF(J2816&gt;K2816,0,J2816),4)</f>
        <v>0</v>
      </c>
      <c r="N2816" s="67">
        <f>ROUND(+L2816*D2816,4)</f>
        <v>0</v>
      </c>
      <c r="O2816" s="67">
        <f>ROUND(IF(F2816="rame",0,+I2816*3%),4)</f>
        <v>0</v>
      </c>
      <c r="P2816" s="67">
        <f>ROUND(IF(O2816&lt;J2816,O2816,0),4)</f>
        <v>0</v>
      </c>
      <c r="Q2816" s="67">
        <f>ROUND(IF(J2816&gt;O2816,0,J2816),4)</f>
        <v>0</v>
      </c>
      <c r="R2816" s="67">
        <f>ROUND(+P2816*D2816,4)</f>
        <v>0</v>
      </c>
      <c r="S2816" s="67">
        <f>ROUND(IF(K2816=0,0,M2816*D2816),4)</f>
        <v>0</v>
      </c>
      <c r="T2816" s="67">
        <f>ROUND(+IF(K2816=0,Q2816*D2816,0),4)</f>
        <v>0</v>
      </c>
      <c r="U2816" s="67">
        <f>ROUND(+N2816+R2816+S2816+T2816,4)</f>
        <v>0</v>
      </c>
      <c r="V2816" s="67">
        <f>ROUND(IF(P2816=0,0,I2816-H2816-O2816)+IF(L2816=0,0,I2816-H2816-K2816),4)</f>
        <v>0</v>
      </c>
      <c r="W2816" s="67">
        <f>ROUND(+(V2816*60%)*D2816,4)</f>
        <v>0</v>
      </c>
      <c r="X2816" s="148">
        <f>ROUND(+U2816+W2816,4)</f>
        <v>0</v>
      </c>
      <c r="Y2816" s="68"/>
      <c r="Z2816" s="148">
        <f>ROUND(IF(X2816&gt;I2816,X2816,I2816),4)</f>
        <v>0</v>
      </c>
      <c r="AD2816" s="78">
        <f t="shared" si="68"/>
        <v>0</v>
      </c>
      <c r="AE2816" s="78">
        <f t="shared" si="69"/>
        <v>0</v>
      </c>
    </row>
    <row r="2817" spans="1:31" x14ac:dyDescent="0.2">
      <c r="A2817" s="66"/>
      <c r="B2817" s="66"/>
      <c r="C2817" s="66"/>
      <c r="D2817" s="144"/>
      <c r="E2817" s="67"/>
      <c r="F2817" s="67"/>
      <c r="G2817" s="67"/>
      <c r="H2817" s="67">
        <f>ROUND(+E2817+G2817,4)</f>
        <v>0</v>
      </c>
      <c r="I2817" s="67"/>
      <c r="J2817" s="67">
        <f>ROUND(+I2817-H2817,4)</f>
        <v>0</v>
      </c>
      <c r="K2817" s="67">
        <f>ROUND(IF(F2817="alluminio",0,I2817*1.5%),4)</f>
        <v>0</v>
      </c>
      <c r="L2817" s="67">
        <f>ROUND(IF(K2817&lt;J2817,K2817,0),4)</f>
        <v>0</v>
      </c>
      <c r="M2817" s="67">
        <f>ROUND(IF(J2817&gt;K2817,0,J2817),4)</f>
        <v>0</v>
      </c>
      <c r="N2817" s="67">
        <f>ROUND(+L2817*D2817,4)</f>
        <v>0</v>
      </c>
      <c r="O2817" s="67">
        <f>ROUND(IF(F2817="rame",0,+I2817*3%),4)</f>
        <v>0</v>
      </c>
      <c r="P2817" s="67">
        <f>ROUND(IF(O2817&lt;J2817,O2817,0),4)</f>
        <v>0</v>
      </c>
      <c r="Q2817" s="67">
        <f>ROUND(IF(J2817&gt;O2817,0,J2817),4)</f>
        <v>0</v>
      </c>
      <c r="R2817" s="67">
        <f>ROUND(+P2817*D2817,4)</f>
        <v>0</v>
      </c>
      <c r="S2817" s="67">
        <f>ROUND(IF(K2817=0,0,M2817*D2817),4)</f>
        <v>0</v>
      </c>
      <c r="T2817" s="67">
        <f>ROUND(+IF(K2817=0,Q2817*D2817,0),4)</f>
        <v>0</v>
      </c>
      <c r="U2817" s="67">
        <f>ROUND(+N2817+R2817+S2817+T2817,4)</f>
        <v>0</v>
      </c>
      <c r="V2817" s="67">
        <f>ROUND(IF(P2817=0,0,I2817-H2817-O2817)+IF(L2817=0,0,I2817-H2817-K2817),4)</f>
        <v>0</v>
      </c>
      <c r="W2817" s="67">
        <f>ROUND(+(V2817*60%)*D2817,4)</f>
        <v>0</v>
      </c>
      <c r="X2817" s="148">
        <f>ROUND(+U2817+W2817,4)</f>
        <v>0</v>
      </c>
      <c r="Y2817" s="68"/>
      <c r="Z2817" s="148">
        <f>ROUND(IF(X2817&gt;I2817,X2817,I2817),4)</f>
        <v>0</v>
      </c>
      <c r="AD2817" s="78">
        <f t="shared" si="68"/>
        <v>0</v>
      </c>
      <c r="AE2817" s="78">
        <f t="shared" si="69"/>
        <v>0</v>
      </c>
    </row>
    <row r="2818" spans="1:31" x14ac:dyDescent="0.2">
      <c r="A2818" s="66"/>
      <c r="B2818" s="66"/>
      <c r="C2818" s="66"/>
      <c r="D2818" s="144"/>
      <c r="E2818" s="67"/>
      <c r="F2818" s="67"/>
      <c r="G2818" s="67"/>
      <c r="H2818" s="67">
        <f>ROUND(+E2818+G2818,4)</f>
        <v>0</v>
      </c>
      <c r="I2818" s="67"/>
      <c r="J2818" s="67">
        <f>ROUND(+I2818-H2818,4)</f>
        <v>0</v>
      </c>
      <c r="K2818" s="67">
        <f>ROUND(IF(F2818="alluminio",0,I2818*1.5%),4)</f>
        <v>0</v>
      </c>
      <c r="L2818" s="67">
        <f>ROUND(IF(K2818&lt;J2818,K2818,0),4)</f>
        <v>0</v>
      </c>
      <c r="M2818" s="67">
        <f>ROUND(IF(J2818&gt;K2818,0,J2818),4)</f>
        <v>0</v>
      </c>
      <c r="N2818" s="67">
        <f>ROUND(+L2818*D2818,4)</f>
        <v>0</v>
      </c>
      <c r="O2818" s="67">
        <f>ROUND(IF(F2818="rame",0,+I2818*3%),4)</f>
        <v>0</v>
      </c>
      <c r="P2818" s="67">
        <f>ROUND(IF(O2818&lt;J2818,O2818,0),4)</f>
        <v>0</v>
      </c>
      <c r="Q2818" s="67">
        <f>ROUND(IF(J2818&gt;O2818,0,J2818),4)</f>
        <v>0</v>
      </c>
      <c r="R2818" s="67">
        <f>ROUND(+P2818*D2818,4)</f>
        <v>0</v>
      </c>
      <c r="S2818" s="67">
        <f>ROUND(IF(K2818=0,0,M2818*D2818),4)</f>
        <v>0</v>
      </c>
      <c r="T2818" s="67">
        <f>ROUND(+IF(K2818=0,Q2818*D2818,0),4)</f>
        <v>0</v>
      </c>
      <c r="U2818" s="67">
        <f>ROUND(+N2818+R2818+S2818+T2818,4)</f>
        <v>0</v>
      </c>
      <c r="V2818" s="67">
        <f>ROUND(IF(P2818=0,0,I2818-H2818-O2818)+IF(L2818=0,0,I2818-H2818-K2818),4)</f>
        <v>0</v>
      </c>
      <c r="W2818" s="67">
        <f>ROUND(+(V2818*60%)*D2818,4)</f>
        <v>0</v>
      </c>
      <c r="X2818" s="148">
        <f>ROUND(+U2818+W2818,4)</f>
        <v>0</v>
      </c>
      <c r="Y2818" s="68"/>
      <c r="Z2818" s="148">
        <f>ROUND(IF(X2818&gt;I2818,X2818,I2818),4)</f>
        <v>0</v>
      </c>
      <c r="AD2818" s="78">
        <f t="shared" si="68"/>
        <v>0</v>
      </c>
      <c r="AE2818" s="78">
        <f t="shared" si="69"/>
        <v>0</v>
      </c>
    </row>
    <row r="2819" spans="1:31" customFormat="1" x14ac:dyDescent="0.2">
      <c r="A2819" s="113"/>
      <c r="B2819" s="113"/>
      <c r="C2819" s="113"/>
      <c r="D2819" s="143"/>
      <c r="E2819" s="114"/>
      <c r="F2819" s="114"/>
      <c r="G2819" s="114"/>
      <c r="H2819" s="114">
        <f>ROUND(+E2819+G2819,4)</f>
        <v>0</v>
      </c>
      <c r="I2819" s="114"/>
      <c r="J2819" s="114">
        <f>ROUND(+I2819-H2819,4)</f>
        <v>0</v>
      </c>
      <c r="K2819" s="114">
        <f>ROUND(IF(F2819="alluminio",0,I2819*1.5%),4)</f>
        <v>0</v>
      </c>
      <c r="L2819" s="114">
        <f>ROUND(IF(K2819&lt;J2819,K2819,0),4)</f>
        <v>0</v>
      </c>
      <c r="M2819" s="114">
        <f>ROUND(IF(J2819&gt;K2819,0,J2819),4)</f>
        <v>0</v>
      </c>
      <c r="N2819" s="114">
        <f>ROUND(+L2819*D2819,4)</f>
        <v>0</v>
      </c>
      <c r="O2819" s="114">
        <f>ROUND(IF(F2819="rame",0,+I2819*3%),4)</f>
        <v>0</v>
      </c>
      <c r="P2819" s="114">
        <f>ROUND(IF(O2819&lt;J2819,O2819,0),4)</f>
        <v>0</v>
      </c>
      <c r="Q2819" s="114">
        <f>ROUND(IF(J2819&gt;O2819,0,J2819),4)</f>
        <v>0</v>
      </c>
      <c r="R2819" s="114">
        <f>ROUND(+P2819*D2819,4)</f>
        <v>0</v>
      </c>
      <c r="S2819" s="114">
        <f>ROUND(IF(K2819=0,0,M2819*D2819),4)</f>
        <v>0</v>
      </c>
      <c r="T2819" s="114">
        <f>ROUND(+IF(K2819=0,Q2819*D2819,0),4)</f>
        <v>0</v>
      </c>
      <c r="U2819" s="114">
        <f>ROUND(+N2819+R2819+S2819+T2819,4)</f>
        <v>0</v>
      </c>
      <c r="V2819" s="114">
        <f>ROUND(IF(P2819=0,0,I2819-H2819-O2819)+IF(L2819=0,0,I2819-H2819-K2819),4)</f>
        <v>0</v>
      </c>
      <c r="W2819" s="114">
        <f>ROUND(+(V2819*60%)*D2819,4)</f>
        <v>0</v>
      </c>
      <c r="X2819" s="147">
        <f>ROUND(+U2819+W2819,4)</f>
        <v>0</v>
      </c>
      <c r="Y2819" s="115"/>
      <c r="Z2819" s="152">
        <f>ROUND(IF(X2819&gt;I2819,X2819,I2819),4)</f>
        <v>0</v>
      </c>
      <c r="AD2819">
        <f t="shared" ref="AD2819:AD2855" si="70">IF(Y2819="",0,MONTH(Y2819))</f>
        <v>0</v>
      </c>
      <c r="AE2819">
        <f t="shared" ref="AE2819:AE2855" si="71">IF(Y2819="",0,YEAR(Y2819))</f>
        <v>0</v>
      </c>
    </row>
    <row r="2820" spans="1:31" customFormat="1" x14ac:dyDescent="0.2">
      <c r="A2820" s="113"/>
      <c r="B2820" s="113"/>
      <c r="C2820" s="113"/>
      <c r="D2820" s="143"/>
      <c r="E2820" s="114"/>
      <c r="F2820" s="114"/>
      <c r="G2820" s="114"/>
      <c r="H2820" s="114">
        <f>ROUND(+E2820+G2820,4)</f>
        <v>0</v>
      </c>
      <c r="I2820" s="114"/>
      <c r="J2820" s="114">
        <f>ROUND(+I2820-H2820,4)</f>
        <v>0</v>
      </c>
      <c r="K2820" s="114">
        <f>ROUND(IF(F2820="alluminio",0,I2820*1.5%),4)</f>
        <v>0</v>
      </c>
      <c r="L2820" s="114">
        <f>ROUND(IF(K2820&lt;J2820,K2820,0),4)</f>
        <v>0</v>
      </c>
      <c r="M2820" s="114">
        <f>ROUND(IF(J2820&gt;K2820,0,J2820),4)</f>
        <v>0</v>
      </c>
      <c r="N2820" s="114">
        <f>ROUND(+L2820*D2820,4)</f>
        <v>0</v>
      </c>
      <c r="O2820" s="114">
        <f>ROUND(IF(F2820="rame",0,+I2820*3%),4)</f>
        <v>0</v>
      </c>
      <c r="P2820" s="114">
        <f>ROUND(IF(O2820&lt;J2820,O2820,0),4)</f>
        <v>0</v>
      </c>
      <c r="Q2820" s="114">
        <f>ROUND(IF(J2820&gt;O2820,0,J2820),4)</f>
        <v>0</v>
      </c>
      <c r="R2820" s="114">
        <f>ROUND(+P2820*D2820,4)</f>
        <v>0</v>
      </c>
      <c r="S2820" s="114">
        <f>ROUND(IF(K2820=0,0,M2820*D2820),4)</f>
        <v>0</v>
      </c>
      <c r="T2820" s="114">
        <f>ROUND(+IF(K2820=0,Q2820*D2820,0),4)</f>
        <v>0</v>
      </c>
      <c r="U2820" s="114">
        <f>ROUND(+N2820+R2820+S2820+T2820,4)</f>
        <v>0</v>
      </c>
      <c r="V2820" s="114">
        <f>ROUND(IF(P2820=0,0,I2820-H2820-O2820)+IF(L2820=0,0,I2820-H2820-K2820),4)</f>
        <v>0</v>
      </c>
      <c r="W2820" s="114">
        <f>ROUND(+(V2820*60%)*D2820,4)</f>
        <v>0</v>
      </c>
      <c r="X2820" s="147">
        <f>ROUND(+U2820+W2820,4)</f>
        <v>0</v>
      </c>
      <c r="Y2820" s="115"/>
      <c r="Z2820" s="152">
        <f>ROUND(IF(X2820&gt;I2820,X2820,I2820),4)</f>
        <v>0</v>
      </c>
      <c r="AD2820">
        <f t="shared" si="70"/>
        <v>0</v>
      </c>
      <c r="AE2820">
        <f t="shared" si="71"/>
        <v>0</v>
      </c>
    </row>
    <row r="2821" spans="1:31" customFormat="1" x14ac:dyDescent="0.2">
      <c r="A2821" s="113"/>
      <c r="B2821" s="113"/>
      <c r="C2821" s="113"/>
      <c r="D2821" s="143"/>
      <c r="E2821" s="114"/>
      <c r="F2821" s="114"/>
      <c r="G2821" s="114"/>
      <c r="H2821" s="114">
        <f>ROUND(+E2821+G2821,4)</f>
        <v>0</v>
      </c>
      <c r="I2821" s="114"/>
      <c r="J2821" s="114">
        <f>ROUND(+I2821-H2821,4)</f>
        <v>0</v>
      </c>
      <c r="K2821" s="114">
        <f>ROUND(IF(F2821="alluminio",0,I2821*1.5%),4)</f>
        <v>0</v>
      </c>
      <c r="L2821" s="114">
        <f>ROUND(IF(K2821&lt;J2821,K2821,0),4)</f>
        <v>0</v>
      </c>
      <c r="M2821" s="114">
        <f>ROUND(IF(J2821&gt;K2821,0,J2821),4)</f>
        <v>0</v>
      </c>
      <c r="N2821" s="114">
        <f>ROUND(+L2821*D2821,4)</f>
        <v>0</v>
      </c>
      <c r="O2821" s="114">
        <f>ROUND(IF(F2821="rame",0,+I2821*3%),4)</f>
        <v>0</v>
      </c>
      <c r="P2821" s="114">
        <f>ROUND(IF(O2821&lt;J2821,O2821,0),4)</f>
        <v>0</v>
      </c>
      <c r="Q2821" s="114">
        <f>ROUND(IF(J2821&gt;O2821,0,J2821),4)</f>
        <v>0</v>
      </c>
      <c r="R2821" s="114">
        <f>ROUND(+P2821*D2821,4)</f>
        <v>0</v>
      </c>
      <c r="S2821" s="114">
        <f>ROUND(IF(K2821=0,0,M2821*D2821),4)</f>
        <v>0</v>
      </c>
      <c r="T2821" s="114">
        <f>ROUND(+IF(K2821=0,Q2821*D2821,0),4)</f>
        <v>0</v>
      </c>
      <c r="U2821" s="114">
        <f>ROUND(+N2821+R2821+S2821+T2821,4)</f>
        <v>0</v>
      </c>
      <c r="V2821" s="114">
        <f>ROUND(IF(P2821=0,0,I2821-H2821-O2821)+IF(L2821=0,0,I2821-H2821-K2821),4)</f>
        <v>0</v>
      </c>
      <c r="W2821" s="114">
        <f>ROUND(+(V2821*60%)*D2821,4)</f>
        <v>0</v>
      </c>
      <c r="X2821" s="147">
        <f>ROUND(+U2821+W2821,4)</f>
        <v>0</v>
      </c>
      <c r="Y2821" s="115"/>
      <c r="Z2821" s="152">
        <f>ROUND(IF(X2821&gt;I2821,X2821,I2821),4)</f>
        <v>0</v>
      </c>
      <c r="AD2821">
        <f t="shared" si="70"/>
        <v>0</v>
      </c>
      <c r="AE2821">
        <f t="shared" si="71"/>
        <v>0</v>
      </c>
    </row>
    <row r="2822" spans="1:31" customFormat="1" x14ac:dyDescent="0.2">
      <c r="A2822" s="113"/>
      <c r="B2822" s="113"/>
      <c r="C2822" s="113"/>
      <c r="D2822" s="143"/>
      <c r="E2822" s="114"/>
      <c r="F2822" s="114"/>
      <c r="G2822" s="114"/>
      <c r="H2822" s="114">
        <f>ROUND(+E2822+G2822,4)</f>
        <v>0</v>
      </c>
      <c r="I2822" s="114"/>
      <c r="J2822" s="114">
        <f>ROUND(+I2822-H2822,4)</f>
        <v>0</v>
      </c>
      <c r="K2822" s="114">
        <f>ROUND(IF(F2822="alluminio",0,I2822*1.5%),4)</f>
        <v>0</v>
      </c>
      <c r="L2822" s="114">
        <f>ROUND(IF(K2822&lt;J2822,K2822,0),4)</f>
        <v>0</v>
      </c>
      <c r="M2822" s="114">
        <f>ROUND(IF(J2822&gt;K2822,0,J2822),4)</f>
        <v>0</v>
      </c>
      <c r="N2822" s="114">
        <f>ROUND(+L2822*D2822,4)</f>
        <v>0</v>
      </c>
      <c r="O2822" s="114">
        <f>ROUND(IF(F2822="rame",0,+I2822*3%),4)</f>
        <v>0</v>
      </c>
      <c r="P2822" s="114">
        <f>ROUND(IF(O2822&lt;J2822,O2822,0),4)</f>
        <v>0</v>
      </c>
      <c r="Q2822" s="114">
        <f>ROUND(IF(J2822&gt;O2822,0,J2822),4)</f>
        <v>0</v>
      </c>
      <c r="R2822" s="114">
        <f>ROUND(+P2822*D2822,4)</f>
        <v>0</v>
      </c>
      <c r="S2822" s="114">
        <f>ROUND(IF(K2822=0,0,M2822*D2822),4)</f>
        <v>0</v>
      </c>
      <c r="T2822" s="114">
        <f>ROUND(+IF(K2822=0,Q2822*D2822,0),4)</f>
        <v>0</v>
      </c>
      <c r="U2822" s="114">
        <f>ROUND(+N2822+R2822+S2822+T2822,4)</f>
        <v>0</v>
      </c>
      <c r="V2822" s="114">
        <f>ROUND(IF(P2822=0,0,I2822-H2822-O2822)+IF(L2822=0,0,I2822-H2822-K2822),4)</f>
        <v>0</v>
      </c>
      <c r="W2822" s="114">
        <f>ROUND(+(V2822*60%)*D2822,4)</f>
        <v>0</v>
      </c>
      <c r="X2822" s="147">
        <f>ROUND(+U2822+W2822,4)</f>
        <v>0</v>
      </c>
      <c r="Y2822" s="115"/>
      <c r="Z2822" s="152">
        <f>ROUND(IF(X2822&gt;I2822,X2822,I2822),4)</f>
        <v>0</v>
      </c>
      <c r="AD2822">
        <f t="shared" si="70"/>
        <v>0</v>
      </c>
      <c r="AE2822">
        <f t="shared" si="71"/>
        <v>0</v>
      </c>
    </row>
    <row r="2823" spans="1:31" customFormat="1" x14ac:dyDescent="0.2">
      <c r="A2823" s="113"/>
      <c r="B2823" s="113"/>
      <c r="C2823" s="113"/>
      <c r="D2823" s="143"/>
      <c r="E2823" s="114"/>
      <c r="F2823" s="114"/>
      <c r="G2823" s="114"/>
      <c r="H2823" s="114">
        <f>ROUND(+E2823+G2823,4)</f>
        <v>0</v>
      </c>
      <c r="I2823" s="114"/>
      <c r="J2823" s="114">
        <f>ROUND(+I2823-H2823,4)</f>
        <v>0</v>
      </c>
      <c r="K2823" s="114">
        <f>ROUND(IF(F2823="alluminio",0,I2823*1.5%),4)</f>
        <v>0</v>
      </c>
      <c r="L2823" s="114">
        <f>ROUND(IF(K2823&lt;J2823,K2823,0),4)</f>
        <v>0</v>
      </c>
      <c r="M2823" s="114">
        <f>ROUND(IF(J2823&gt;K2823,0,J2823),4)</f>
        <v>0</v>
      </c>
      <c r="N2823" s="114">
        <f>ROUND(+L2823*D2823,4)</f>
        <v>0</v>
      </c>
      <c r="O2823" s="114">
        <f>ROUND(IF(F2823="rame",0,+I2823*3%),4)</f>
        <v>0</v>
      </c>
      <c r="P2823" s="114">
        <f>ROUND(IF(O2823&lt;J2823,O2823,0),4)</f>
        <v>0</v>
      </c>
      <c r="Q2823" s="114">
        <f>ROUND(IF(J2823&gt;O2823,0,J2823),4)</f>
        <v>0</v>
      </c>
      <c r="R2823" s="114">
        <f>ROUND(+P2823*D2823,4)</f>
        <v>0</v>
      </c>
      <c r="S2823" s="114">
        <f>ROUND(IF(K2823=0,0,M2823*D2823),4)</f>
        <v>0</v>
      </c>
      <c r="T2823" s="114">
        <f>ROUND(+IF(K2823=0,Q2823*D2823,0),4)</f>
        <v>0</v>
      </c>
      <c r="U2823" s="114">
        <f>ROUND(+N2823+R2823+S2823+T2823,4)</f>
        <v>0</v>
      </c>
      <c r="V2823" s="114">
        <f>ROUND(IF(P2823=0,0,I2823-H2823-O2823)+IF(L2823=0,0,I2823-H2823-K2823),4)</f>
        <v>0</v>
      </c>
      <c r="W2823" s="114">
        <f>ROUND(+(V2823*60%)*D2823,4)</f>
        <v>0</v>
      </c>
      <c r="X2823" s="147">
        <f>ROUND(+U2823+W2823,4)</f>
        <v>0</v>
      </c>
      <c r="Y2823" s="115"/>
      <c r="Z2823" s="152">
        <f>ROUND(IF(X2823&gt;I2823,X2823,I2823),4)</f>
        <v>0</v>
      </c>
      <c r="AD2823">
        <f t="shared" si="70"/>
        <v>0</v>
      </c>
      <c r="AE2823">
        <f t="shared" si="71"/>
        <v>0</v>
      </c>
    </row>
    <row r="2824" spans="1:31" customFormat="1" x14ac:dyDescent="0.2">
      <c r="A2824" s="113"/>
      <c r="B2824" s="113"/>
      <c r="C2824" s="113"/>
      <c r="D2824" s="143"/>
      <c r="E2824" s="114"/>
      <c r="F2824" s="114"/>
      <c r="G2824" s="114"/>
      <c r="H2824" s="114">
        <f>ROUND(+E2824+G2824,4)</f>
        <v>0</v>
      </c>
      <c r="I2824" s="114"/>
      <c r="J2824" s="114">
        <f>ROUND(+I2824-H2824,4)</f>
        <v>0</v>
      </c>
      <c r="K2824" s="114">
        <f>ROUND(IF(F2824="alluminio",0,I2824*1.5%),4)</f>
        <v>0</v>
      </c>
      <c r="L2824" s="114">
        <f>ROUND(IF(K2824&lt;J2824,K2824,0),4)</f>
        <v>0</v>
      </c>
      <c r="M2824" s="114">
        <f>ROUND(IF(J2824&gt;K2824,0,J2824),4)</f>
        <v>0</v>
      </c>
      <c r="N2824" s="114">
        <f>ROUND(+L2824*D2824,4)</f>
        <v>0</v>
      </c>
      <c r="O2824" s="114">
        <f>ROUND(IF(F2824="rame",0,+I2824*3%),4)</f>
        <v>0</v>
      </c>
      <c r="P2824" s="114">
        <f>ROUND(IF(O2824&lt;J2824,O2824,0),4)</f>
        <v>0</v>
      </c>
      <c r="Q2824" s="114">
        <f>ROUND(IF(J2824&gt;O2824,0,J2824),4)</f>
        <v>0</v>
      </c>
      <c r="R2824" s="114">
        <f>ROUND(+P2824*D2824,4)</f>
        <v>0</v>
      </c>
      <c r="S2824" s="114">
        <f>ROUND(IF(K2824=0,0,M2824*D2824),4)</f>
        <v>0</v>
      </c>
      <c r="T2824" s="114">
        <f>ROUND(+IF(K2824=0,Q2824*D2824,0),4)</f>
        <v>0</v>
      </c>
      <c r="U2824" s="114">
        <f>ROUND(+N2824+R2824+S2824+T2824,4)</f>
        <v>0</v>
      </c>
      <c r="V2824" s="114">
        <f>ROUND(IF(P2824=0,0,I2824-H2824-O2824)+IF(L2824=0,0,I2824-H2824-K2824),4)</f>
        <v>0</v>
      </c>
      <c r="W2824" s="114">
        <f>ROUND(+(V2824*60%)*D2824,4)</f>
        <v>0</v>
      </c>
      <c r="X2824" s="147">
        <f>ROUND(+U2824+W2824,4)</f>
        <v>0</v>
      </c>
      <c r="Y2824" s="115"/>
      <c r="Z2824" s="152">
        <f>ROUND(IF(X2824&gt;I2824,X2824,I2824),4)</f>
        <v>0</v>
      </c>
      <c r="AD2824">
        <f t="shared" si="70"/>
        <v>0</v>
      </c>
      <c r="AE2824">
        <f t="shared" si="71"/>
        <v>0</v>
      </c>
    </row>
    <row r="2825" spans="1:31" customFormat="1" x14ac:dyDescent="0.2">
      <c r="A2825" s="113"/>
      <c r="B2825" s="113"/>
      <c r="C2825" s="113"/>
      <c r="D2825" s="143"/>
      <c r="E2825" s="114"/>
      <c r="F2825" s="114"/>
      <c r="G2825" s="114"/>
      <c r="H2825" s="114">
        <f>ROUND(+E2825+G2825,4)</f>
        <v>0</v>
      </c>
      <c r="I2825" s="114"/>
      <c r="J2825" s="114">
        <f>ROUND(+I2825-H2825,4)</f>
        <v>0</v>
      </c>
      <c r="K2825" s="114">
        <f>ROUND(IF(F2825="alluminio",0,I2825*1.5%),4)</f>
        <v>0</v>
      </c>
      <c r="L2825" s="114">
        <f>ROUND(IF(K2825&lt;J2825,K2825,0),4)</f>
        <v>0</v>
      </c>
      <c r="M2825" s="114">
        <f>ROUND(IF(J2825&gt;K2825,0,J2825),4)</f>
        <v>0</v>
      </c>
      <c r="N2825" s="114">
        <f>ROUND(+L2825*D2825,4)</f>
        <v>0</v>
      </c>
      <c r="O2825" s="114">
        <f>ROUND(IF(F2825="rame",0,+I2825*3%),4)</f>
        <v>0</v>
      </c>
      <c r="P2825" s="114">
        <f>ROUND(IF(O2825&lt;J2825,O2825,0),4)</f>
        <v>0</v>
      </c>
      <c r="Q2825" s="114">
        <f>ROUND(IF(J2825&gt;O2825,0,J2825),4)</f>
        <v>0</v>
      </c>
      <c r="R2825" s="114">
        <f>ROUND(+P2825*D2825,4)</f>
        <v>0</v>
      </c>
      <c r="S2825" s="114">
        <f>ROUND(IF(K2825=0,0,M2825*D2825),4)</f>
        <v>0</v>
      </c>
      <c r="T2825" s="114">
        <f>ROUND(+IF(K2825=0,Q2825*D2825,0),4)</f>
        <v>0</v>
      </c>
      <c r="U2825" s="114">
        <f>ROUND(+N2825+R2825+S2825+T2825,4)</f>
        <v>0</v>
      </c>
      <c r="V2825" s="114">
        <f>ROUND(IF(P2825=0,0,I2825-H2825-O2825)+IF(L2825=0,0,I2825-H2825-K2825),4)</f>
        <v>0</v>
      </c>
      <c r="W2825" s="114">
        <f>ROUND(+(V2825*60%)*D2825,4)</f>
        <v>0</v>
      </c>
      <c r="X2825" s="147">
        <f>ROUND(+U2825+W2825,4)</f>
        <v>0</v>
      </c>
      <c r="Y2825" s="115"/>
      <c r="Z2825" s="152">
        <f>ROUND(IF(X2825&gt;I2825,X2825,I2825),4)</f>
        <v>0</v>
      </c>
      <c r="AD2825">
        <f t="shared" si="70"/>
        <v>0</v>
      </c>
      <c r="AE2825">
        <f t="shared" si="71"/>
        <v>0</v>
      </c>
    </row>
    <row r="2826" spans="1:31" customFormat="1" x14ac:dyDescent="0.2">
      <c r="A2826" s="113"/>
      <c r="B2826" s="113"/>
      <c r="C2826" s="113"/>
      <c r="D2826" s="143"/>
      <c r="E2826" s="114"/>
      <c r="F2826" s="114"/>
      <c r="G2826" s="114"/>
      <c r="H2826" s="114">
        <f>ROUND(+E2826+G2826,4)</f>
        <v>0</v>
      </c>
      <c r="I2826" s="114"/>
      <c r="J2826" s="114">
        <f>ROUND(+I2826-H2826,4)</f>
        <v>0</v>
      </c>
      <c r="K2826" s="114">
        <f>ROUND(IF(F2826="alluminio",0,I2826*1.5%),4)</f>
        <v>0</v>
      </c>
      <c r="L2826" s="114">
        <f>ROUND(IF(K2826&lt;J2826,K2826,0),4)</f>
        <v>0</v>
      </c>
      <c r="M2826" s="114">
        <f>ROUND(IF(J2826&gt;K2826,0,J2826),4)</f>
        <v>0</v>
      </c>
      <c r="N2826" s="114">
        <f>ROUND(+L2826*D2826,4)</f>
        <v>0</v>
      </c>
      <c r="O2826" s="114">
        <f>ROUND(IF(F2826="rame",0,+I2826*3%),4)</f>
        <v>0</v>
      </c>
      <c r="P2826" s="114">
        <f>ROUND(IF(O2826&lt;J2826,O2826,0),4)</f>
        <v>0</v>
      </c>
      <c r="Q2826" s="114">
        <f>ROUND(IF(J2826&gt;O2826,0,J2826),4)</f>
        <v>0</v>
      </c>
      <c r="R2826" s="114">
        <f>ROUND(+P2826*D2826,4)</f>
        <v>0</v>
      </c>
      <c r="S2826" s="114">
        <f>ROUND(IF(K2826=0,0,M2826*D2826),4)</f>
        <v>0</v>
      </c>
      <c r="T2826" s="114">
        <f>ROUND(+IF(K2826=0,Q2826*D2826,0),4)</f>
        <v>0</v>
      </c>
      <c r="U2826" s="114">
        <f>ROUND(+N2826+R2826+S2826+T2826,4)</f>
        <v>0</v>
      </c>
      <c r="V2826" s="114">
        <f>ROUND(IF(P2826=0,0,I2826-H2826-O2826)+IF(L2826=0,0,I2826-H2826-K2826),4)</f>
        <v>0</v>
      </c>
      <c r="W2826" s="114">
        <f>ROUND(+(V2826*60%)*D2826,4)</f>
        <v>0</v>
      </c>
      <c r="X2826" s="147">
        <f>ROUND(+U2826+W2826,4)</f>
        <v>0</v>
      </c>
      <c r="Y2826" s="115"/>
      <c r="Z2826" s="152">
        <f>ROUND(IF(X2826&gt;I2826,X2826,I2826),4)</f>
        <v>0</v>
      </c>
      <c r="AD2826">
        <f t="shared" si="70"/>
        <v>0</v>
      </c>
      <c r="AE2826">
        <f t="shared" si="71"/>
        <v>0</v>
      </c>
    </row>
    <row r="2827" spans="1:31" customFormat="1" x14ac:dyDescent="0.2">
      <c r="A2827" s="113"/>
      <c r="B2827" s="113"/>
      <c r="C2827" s="113"/>
      <c r="D2827" s="143"/>
      <c r="E2827" s="114"/>
      <c r="F2827" s="114"/>
      <c r="G2827" s="114"/>
      <c r="H2827" s="114">
        <f>ROUND(+E2827+G2827,4)</f>
        <v>0</v>
      </c>
      <c r="I2827" s="114"/>
      <c r="J2827" s="114">
        <f>ROUND(+I2827-H2827,4)</f>
        <v>0</v>
      </c>
      <c r="K2827" s="114">
        <f>ROUND(IF(F2827="alluminio",0,I2827*1.5%),4)</f>
        <v>0</v>
      </c>
      <c r="L2827" s="114">
        <f>ROUND(IF(K2827&lt;J2827,K2827,0),4)</f>
        <v>0</v>
      </c>
      <c r="M2827" s="114">
        <f>ROUND(IF(J2827&gt;K2827,0,J2827),4)</f>
        <v>0</v>
      </c>
      <c r="N2827" s="114">
        <f>ROUND(+L2827*D2827,4)</f>
        <v>0</v>
      </c>
      <c r="O2827" s="114">
        <f>ROUND(IF(F2827="rame",0,+I2827*3%),4)</f>
        <v>0</v>
      </c>
      <c r="P2827" s="114">
        <f>ROUND(IF(O2827&lt;J2827,O2827,0),4)</f>
        <v>0</v>
      </c>
      <c r="Q2827" s="114">
        <f>ROUND(IF(J2827&gt;O2827,0,J2827),4)</f>
        <v>0</v>
      </c>
      <c r="R2827" s="114">
        <f>ROUND(+P2827*D2827,4)</f>
        <v>0</v>
      </c>
      <c r="S2827" s="114">
        <f>ROUND(IF(K2827=0,0,M2827*D2827),4)</f>
        <v>0</v>
      </c>
      <c r="T2827" s="114">
        <f>ROUND(+IF(K2827=0,Q2827*D2827,0),4)</f>
        <v>0</v>
      </c>
      <c r="U2827" s="114">
        <f>ROUND(+N2827+R2827+S2827+T2827,4)</f>
        <v>0</v>
      </c>
      <c r="V2827" s="114">
        <f>ROUND(IF(P2827=0,0,I2827-H2827-O2827)+IF(L2827=0,0,I2827-H2827-K2827),4)</f>
        <v>0</v>
      </c>
      <c r="W2827" s="114">
        <f>ROUND(+(V2827*60%)*D2827,4)</f>
        <v>0</v>
      </c>
      <c r="X2827" s="147">
        <f>ROUND(+U2827+W2827,4)</f>
        <v>0</v>
      </c>
      <c r="Y2827" s="115"/>
      <c r="Z2827" s="152">
        <f>ROUND(IF(X2827&gt;I2827,X2827,I2827),4)</f>
        <v>0</v>
      </c>
      <c r="AD2827">
        <f t="shared" si="70"/>
        <v>0</v>
      </c>
      <c r="AE2827">
        <f t="shared" si="71"/>
        <v>0</v>
      </c>
    </row>
    <row r="2828" spans="1:31" customFormat="1" x14ac:dyDescent="0.2">
      <c r="A2828" s="113"/>
      <c r="B2828" s="113"/>
      <c r="C2828" s="113"/>
      <c r="D2828" s="143"/>
      <c r="E2828" s="114"/>
      <c r="F2828" s="114"/>
      <c r="G2828" s="114"/>
      <c r="H2828" s="114">
        <f>ROUND(+E2828+G2828,4)</f>
        <v>0</v>
      </c>
      <c r="I2828" s="114"/>
      <c r="J2828" s="114">
        <f>ROUND(+I2828-H2828,4)</f>
        <v>0</v>
      </c>
      <c r="K2828" s="114">
        <f>ROUND(IF(F2828="alluminio",0,I2828*1.5%),4)</f>
        <v>0</v>
      </c>
      <c r="L2828" s="114">
        <f>ROUND(IF(K2828&lt;J2828,K2828,0),4)</f>
        <v>0</v>
      </c>
      <c r="M2828" s="114">
        <f>ROUND(IF(J2828&gt;K2828,0,J2828),4)</f>
        <v>0</v>
      </c>
      <c r="N2828" s="114">
        <f>ROUND(+L2828*D2828,4)</f>
        <v>0</v>
      </c>
      <c r="O2828" s="114">
        <f>ROUND(IF(F2828="rame",0,+I2828*3%),4)</f>
        <v>0</v>
      </c>
      <c r="P2828" s="114">
        <f>ROUND(IF(O2828&lt;J2828,O2828,0),4)</f>
        <v>0</v>
      </c>
      <c r="Q2828" s="114">
        <f>ROUND(IF(J2828&gt;O2828,0,J2828),4)</f>
        <v>0</v>
      </c>
      <c r="R2828" s="114">
        <f>ROUND(+P2828*D2828,4)</f>
        <v>0</v>
      </c>
      <c r="S2828" s="114">
        <f>ROUND(IF(K2828=0,0,M2828*D2828),4)</f>
        <v>0</v>
      </c>
      <c r="T2828" s="114">
        <f>ROUND(+IF(K2828=0,Q2828*D2828,0),4)</f>
        <v>0</v>
      </c>
      <c r="U2828" s="114">
        <f>ROUND(+N2828+R2828+S2828+T2828,4)</f>
        <v>0</v>
      </c>
      <c r="V2828" s="114">
        <f>ROUND(IF(P2828=0,0,I2828-H2828-O2828)+IF(L2828=0,0,I2828-H2828-K2828),4)</f>
        <v>0</v>
      </c>
      <c r="W2828" s="114">
        <f>ROUND(+(V2828*60%)*D2828,4)</f>
        <v>0</v>
      </c>
      <c r="X2828" s="147">
        <f>ROUND(+U2828+W2828,4)</f>
        <v>0</v>
      </c>
      <c r="Y2828" s="115"/>
      <c r="Z2828" s="152">
        <f>ROUND(IF(X2828&gt;I2828,X2828,I2828),4)</f>
        <v>0</v>
      </c>
      <c r="AD2828">
        <f t="shared" si="70"/>
        <v>0</v>
      </c>
      <c r="AE2828">
        <f t="shared" si="71"/>
        <v>0</v>
      </c>
    </row>
    <row r="2829" spans="1:31" customFormat="1" x14ac:dyDescent="0.2">
      <c r="A2829" s="113"/>
      <c r="B2829" s="113"/>
      <c r="C2829" s="113"/>
      <c r="D2829" s="143"/>
      <c r="E2829" s="114"/>
      <c r="F2829" s="114"/>
      <c r="G2829" s="114"/>
      <c r="H2829" s="114">
        <f>ROUND(+E2829+G2829,4)</f>
        <v>0</v>
      </c>
      <c r="I2829" s="114"/>
      <c r="J2829" s="114">
        <f>ROUND(+I2829-H2829,4)</f>
        <v>0</v>
      </c>
      <c r="K2829" s="114">
        <f>ROUND(IF(F2829="alluminio",0,I2829*1.5%),4)</f>
        <v>0</v>
      </c>
      <c r="L2829" s="114">
        <f>ROUND(IF(K2829&lt;J2829,K2829,0),4)</f>
        <v>0</v>
      </c>
      <c r="M2829" s="114">
        <f>ROUND(IF(J2829&gt;K2829,0,J2829),4)</f>
        <v>0</v>
      </c>
      <c r="N2829" s="114">
        <f>ROUND(+L2829*D2829,4)</f>
        <v>0</v>
      </c>
      <c r="O2829" s="114">
        <f>ROUND(IF(F2829="rame",0,+I2829*3%),4)</f>
        <v>0</v>
      </c>
      <c r="P2829" s="114">
        <f>ROUND(IF(O2829&lt;J2829,O2829,0),4)</f>
        <v>0</v>
      </c>
      <c r="Q2829" s="114">
        <f>ROUND(IF(J2829&gt;O2829,0,J2829),4)</f>
        <v>0</v>
      </c>
      <c r="R2829" s="114">
        <f>ROUND(+P2829*D2829,4)</f>
        <v>0</v>
      </c>
      <c r="S2829" s="114">
        <f>ROUND(IF(K2829=0,0,M2829*D2829),4)</f>
        <v>0</v>
      </c>
      <c r="T2829" s="114">
        <f>ROUND(+IF(K2829=0,Q2829*D2829,0),4)</f>
        <v>0</v>
      </c>
      <c r="U2829" s="114">
        <f>ROUND(+N2829+R2829+S2829+T2829,4)</f>
        <v>0</v>
      </c>
      <c r="V2829" s="114">
        <f>ROUND(IF(P2829=0,0,I2829-H2829-O2829)+IF(L2829=0,0,I2829-H2829-K2829),4)</f>
        <v>0</v>
      </c>
      <c r="W2829" s="114">
        <f>ROUND(+(V2829*60%)*D2829,4)</f>
        <v>0</v>
      </c>
      <c r="X2829" s="147">
        <f>ROUND(+U2829+W2829,4)</f>
        <v>0</v>
      </c>
      <c r="Y2829" s="115"/>
      <c r="Z2829" s="152">
        <f>ROUND(IF(X2829&gt;I2829,X2829,I2829),4)</f>
        <v>0</v>
      </c>
      <c r="AD2829">
        <f t="shared" si="70"/>
        <v>0</v>
      </c>
      <c r="AE2829">
        <f t="shared" si="71"/>
        <v>0</v>
      </c>
    </row>
    <row r="2830" spans="1:31" customFormat="1" x14ac:dyDescent="0.2">
      <c r="A2830" s="113"/>
      <c r="B2830" s="113"/>
      <c r="C2830" s="113"/>
      <c r="D2830" s="143"/>
      <c r="E2830" s="114"/>
      <c r="F2830" s="114"/>
      <c r="G2830" s="114"/>
      <c r="H2830" s="114">
        <f>ROUND(+E2830+G2830,4)</f>
        <v>0</v>
      </c>
      <c r="I2830" s="114"/>
      <c r="J2830" s="114">
        <f>ROUND(+I2830-H2830,4)</f>
        <v>0</v>
      </c>
      <c r="K2830" s="114">
        <f>ROUND(IF(F2830="alluminio",0,I2830*1.5%),4)</f>
        <v>0</v>
      </c>
      <c r="L2830" s="114">
        <f>ROUND(IF(K2830&lt;J2830,K2830,0),4)</f>
        <v>0</v>
      </c>
      <c r="M2830" s="114">
        <f>ROUND(IF(J2830&gt;K2830,0,J2830),4)</f>
        <v>0</v>
      </c>
      <c r="N2830" s="114">
        <f>ROUND(+L2830*D2830,4)</f>
        <v>0</v>
      </c>
      <c r="O2830" s="114">
        <f>ROUND(IF(F2830="rame",0,+I2830*3%),4)</f>
        <v>0</v>
      </c>
      <c r="P2830" s="114">
        <f>ROUND(IF(O2830&lt;J2830,O2830,0),4)</f>
        <v>0</v>
      </c>
      <c r="Q2830" s="114">
        <f>ROUND(IF(J2830&gt;O2830,0,J2830),4)</f>
        <v>0</v>
      </c>
      <c r="R2830" s="114">
        <f>ROUND(+P2830*D2830,4)</f>
        <v>0</v>
      </c>
      <c r="S2830" s="114">
        <f>ROUND(IF(K2830=0,0,M2830*D2830),4)</f>
        <v>0</v>
      </c>
      <c r="T2830" s="114">
        <f>ROUND(+IF(K2830=0,Q2830*D2830,0),4)</f>
        <v>0</v>
      </c>
      <c r="U2830" s="114">
        <f>ROUND(+N2830+R2830+S2830+T2830,4)</f>
        <v>0</v>
      </c>
      <c r="V2830" s="114">
        <f>ROUND(IF(P2830=0,0,I2830-H2830-O2830)+IF(L2830=0,0,I2830-H2830-K2830),4)</f>
        <v>0</v>
      </c>
      <c r="W2830" s="114">
        <f>ROUND(+(V2830*60%)*D2830,4)</f>
        <v>0</v>
      </c>
      <c r="X2830" s="147">
        <f>ROUND(+U2830+W2830,4)</f>
        <v>0</v>
      </c>
      <c r="Y2830" s="115"/>
      <c r="Z2830" s="152">
        <f>ROUND(IF(X2830&gt;I2830,X2830,I2830),4)</f>
        <v>0</v>
      </c>
      <c r="AD2830">
        <f t="shared" si="70"/>
        <v>0</v>
      </c>
      <c r="AE2830">
        <f t="shared" si="71"/>
        <v>0</v>
      </c>
    </row>
    <row r="2831" spans="1:31" customFormat="1" x14ac:dyDescent="0.2">
      <c r="A2831" s="113"/>
      <c r="B2831" s="113"/>
      <c r="C2831" s="113"/>
      <c r="D2831" s="143"/>
      <c r="E2831" s="114"/>
      <c r="F2831" s="114"/>
      <c r="G2831" s="114"/>
      <c r="H2831" s="114">
        <f>ROUND(+E2831+G2831,4)</f>
        <v>0</v>
      </c>
      <c r="I2831" s="114"/>
      <c r="J2831" s="114">
        <f>ROUND(+I2831-H2831,4)</f>
        <v>0</v>
      </c>
      <c r="K2831" s="114">
        <f>ROUND(IF(F2831="alluminio",0,I2831*1.5%),4)</f>
        <v>0</v>
      </c>
      <c r="L2831" s="114">
        <f>ROUND(IF(K2831&lt;J2831,K2831,0),4)</f>
        <v>0</v>
      </c>
      <c r="M2831" s="114">
        <f>ROUND(IF(J2831&gt;K2831,0,J2831),4)</f>
        <v>0</v>
      </c>
      <c r="N2831" s="114">
        <f>ROUND(+L2831*D2831,4)</f>
        <v>0</v>
      </c>
      <c r="O2831" s="114">
        <f>ROUND(IF(F2831="rame",0,+I2831*3%),4)</f>
        <v>0</v>
      </c>
      <c r="P2831" s="114">
        <f>ROUND(IF(O2831&lt;J2831,O2831,0),4)</f>
        <v>0</v>
      </c>
      <c r="Q2831" s="114">
        <f>ROUND(IF(J2831&gt;O2831,0,J2831),4)</f>
        <v>0</v>
      </c>
      <c r="R2831" s="114">
        <f>ROUND(+P2831*D2831,4)</f>
        <v>0</v>
      </c>
      <c r="S2831" s="114">
        <f>ROUND(IF(K2831=0,0,M2831*D2831),4)</f>
        <v>0</v>
      </c>
      <c r="T2831" s="114">
        <f>ROUND(+IF(K2831=0,Q2831*D2831,0),4)</f>
        <v>0</v>
      </c>
      <c r="U2831" s="114">
        <f>ROUND(+N2831+R2831+S2831+T2831,4)</f>
        <v>0</v>
      </c>
      <c r="V2831" s="114">
        <f>ROUND(IF(P2831=0,0,I2831-H2831-O2831)+IF(L2831=0,0,I2831-H2831-K2831),4)</f>
        <v>0</v>
      </c>
      <c r="W2831" s="114">
        <f>ROUND(+(V2831*60%)*D2831,4)</f>
        <v>0</v>
      </c>
      <c r="X2831" s="147">
        <f>ROUND(+U2831+W2831,4)</f>
        <v>0</v>
      </c>
      <c r="Y2831" s="115"/>
      <c r="Z2831" s="152">
        <f>ROUND(IF(X2831&gt;I2831,X2831,I2831),4)</f>
        <v>0</v>
      </c>
      <c r="AD2831">
        <f t="shared" si="70"/>
        <v>0</v>
      </c>
      <c r="AE2831">
        <f t="shared" si="71"/>
        <v>0</v>
      </c>
    </row>
    <row r="2832" spans="1:31" customFormat="1" x14ac:dyDescent="0.2">
      <c r="A2832" s="113"/>
      <c r="B2832" s="113"/>
      <c r="C2832" s="113"/>
      <c r="D2832" s="143"/>
      <c r="E2832" s="114"/>
      <c r="F2832" s="114"/>
      <c r="G2832" s="114"/>
      <c r="H2832" s="114">
        <f>ROUND(+E2832+G2832,4)</f>
        <v>0</v>
      </c>
      <c r="I2832" s="114"/>
      <c r="J2832" s="114">
        <f>ROUND(+I2832-H2832,4)</f>
        <v>0</v>
      </c>
      <c r="K2832" s="114">
        <f>ROUND(IF(F2832="alluminio",0,I2832*1.5%),4)</f>
        <v>0</v>
      </c>
      <c r="L2832" s="114">
        <f>ROUND(IF(K2832&lt;J2832,K2832,0),4)</f>
        <v>0</v>
      </c>
      <c r="M2832" s="114">
        <f>ROUND(IF(J2832&gt;K2832,0,J2832),4)</f>
        <v>0</v>
      </c>
      <c r="N2832" s="114">
        <f>ROUND(+L2832*D2832,4)</f>
        <v>0</v>
      </c>
      <c r="O2832" s="114">
        <f>ROUND(IF(F2832="rame",0,+I2832*3%),4)</f>
        <v>0</v>
      </c>
      <c r="P2832" s="114">
        <f>ROUND(IF(O2832&lt;J2832,O2832,0),4)</f>
        <v>0</v>
      </c>
      <c r="Q2832" s="114">
        <f>ROUND(IF(J2832&gt;O2832,0,J2832),4)</f>
        <v>0</v>
      </c>
      <c r="R2832" s="114">
        <f>ROUND(+P2832*D2832,4)</f>
        <v>0</v>
      </c>
      <c r="S2832" s="114">
        <f>ROUND(IF(K2832=0,0,M2832*D2832),4)</f>
        <v>0</v>
      </c>
      <c r="T2832" s="114">
        <f>ROUND(+IF(K2832=0,Q2832*D2832,0),4)</f>
        <v>0</v>
      </c>
      <c r="U2832" s="114">
        <f>ROUND(+N2832+R2832+S2832+T2832,4)</f>
        <v>0</v>
      </c>
      <c r="V2832" s="114">
        <f>ROUND(IF(P2832=0,0,I2832-H2832-O2832)+IF(L2832=0,0,I2832-H2832-K2832),4)</f>
        <v>0</v>
      </c>
      <c r="W2832" s="114">
        <f>ROUND(+(V2832*60%)*D2832,4)</f>
        <v>0</v>
      </c>
      <c r="X2832" s="147">
        <f>ROUND(+U2832+W2832,4)</f>
        <v>0</v>
      </c>
      <c r="Y2832" s="115"/>
      <c r="Z2832" s="152">
        <f>ROUND(IF(X2832&gt;I2832,X2832,I2832),4)</f>
        <v>0</v>
      </c>
      <c r="AD2832">
        <f t="shared" si="70"/>
        <v>0</v>
      </c>
      <c r="AE2832">
        <f t="shared" si="71"/>
        <v>0</v>
      </c>
    </row>
    <row r="2833" spans="1:31" customFormat="1" x14ac:dyDescent="0.2">
      <c r="A2833" s="113"/>
      <c r="B2833" s="113"/>
      <c r="C2833" s="113"/>
      <c r="D2833" s="143"/>
      <c r="E2833" s="114"/>
      <c r="F2833" s="114"/>
      <c r="G2833" s="114"/>
      <c r="H2833" s="114">
        <f>ROUND(+E2833+G2833,4)</f>
        <v>0</v>
      </c>
      <c r="I2833" s="114"/>
      <c r="J2833" s="114">
        <f>ROUND(+I2833-H2833,4)</f>
        <v>0</v>
      </c>
      <c r="K2833" s="114">
        <f>ROUND(IF(F2833="alluminio",0,I2833*1.5%),4)</f>
        <v>0</v>
      </c>
      <c r="L2833" s="114">
        <f>ROUND(IF(K2833&lt;J2833,K2833,0),4)</f>
        <v>0</v>
      </c>
      <c r="M2833" s="114">
        <f>ROUND(IF(J2833&gt;K2833,0,J2833),4)</f>
        <v>0</v>
      </c>
      <c r="N2833" s="114">
        <f>ROUND(+L2833*D2833,4)</f>
        <v>0</v>
      </c>
      <c r="O2833" s="114">
        <f>ROUND(IF(F2833="rame",0,+I2833*3%),4)</f>
        <v>0</v>
      </c>
      <c r="P2833" s="114">
        <f>ROUND(IF(O2833&lt;J2833,O2833,0),4)</f>
        <v>0</v>
      </c>
      <c r="Q2833" s="114">
        <f>ROUND(IF(J2833&gt;O2833,0,J2833),4)</f>
        <v>0</v>
      </c>
      <c r="R2833" s="114">
        <f>ROUND(+P2833*D2833,4)</f>
        <v>0</v>
      </c>
      <c r="S2833" s="114">
        <f>ROUND(IF(K2833=0,0,M2833*D2833),4)</f>
        <v>0</v>
      </c>
      <c r="T2833" s="114">
        <f>ROUND(+IF(K2833=0,Q2833*D2833,0),4)</f>
        <v>0</v>
      </c>
      <c r="U2833" s="114">
        <f>ROUND(+N2833+R2833+S2833+T2833,4)</f>
        <v>0</v>
      </c>
      <c r="V2833" s="114">
        <f>ROUND(IF(P2833=0,0,I2833-H2833-O2833)+IF(L2833=0,0,I2833-H2833-K2833),4)</f>
        <v>0</v>
      </c>
      <c r="W2833" s="114">
        <f>ROUND(+(V2833*60%)*D2833,4)</f>
        <v>0</v>
      </c>
      <c r="X2833" s="147">
        <f>ROUND(+U2833+W2833,4)</f>
        <v>0</v>
      </c>
      <c r="Y2833" s="115"/>
      <c r="Z2833" s="152">
        <f>ROUND(IF(X2833&gt;I2833,X2833,I2833),4)</f>
        <v>0</v>
      </c>
      <c r="AD2833">
        <f t="shared" si="70"/>
        <v>0</v>
      </c>
      <c r="AE2833">
        <f t="shared" si="71"/>
        <v>0</v>
      </c>
    </row>
    <row r="2834" spans="1:31" customFormat="1" x14ac:dyDescent="0.2">
      <c r="A2834" s="113"/>
      <c r="B2834" s="113"/>
      <c r="C2834" s="113"/>
      <c r="D2834" s="143"/>
      <c r="E2834" s="114"/>
      <c r="F2834" s="114"/>
      <c r="G2834" s="114"/>
      <c r="H2834" s="114">
        <f>ROUND(+E2834+G2834,4)</f>
        <v>0</v>
      </c>
      <c r="I2834" s="114"/>
      <c r="J2834" s="114">
        <f>ROUND(+I2834-H2834,4)</f>
        <v>0</v>
      </c>
      <c r="K2834" s="114">
        <f>ROUND(IF(F2834="alluminio",0,I2834*1.5%),4)</f>
        <v>0</v>
      </c>
      <c r="L2834" s="114">
        <f>ROUND(IF(K2834&lt;J2834,K2834,0),4)</f>
        <v>0</v>
      </c>
      <c r="M2834" s="114">
        <f>ROUND(IF(J2834&gt;K2834,0,J2834),4)</f>
        <v>0</v>
      </c>
      <c r="N2834" s="114">
        <f>ROUND(+L2834*D2834,4)</f>
        <v>0</v>
      </c>
      <c r="O2834" s="114">
        <f>ROUND(IF(F2834="rame",0,+I2834*3%),4)</f>
        <v>0</v>
      </c>
      <c r="P2834" s="114">
        <f>ROUND(IF(O2834&lt;J2834,O2834,0),4)</f>
        <v>0</v>
      </c>
      <c r="Q2834" s="114">
        <f>ROUND(IF(J2834&gt;O2834,0,J2834),4)</f>
        <v>0</v>
      </c>
      <c r="R2834" s="114">
        <f>ROUND(+P2834*D2834,4)</f>
        <v>0</v>
      </c>
      <c r="S2834" s="114">
        <f>ROUND(IF(K2834=0,0,M2834*D2834),4)</f>
        <v>0</v>
      </c>
      <c r="T2834" s="114">
        <f>ROUND(+IF(K2834=0,Q2834*D2834,0),4)</f>
        <v>0</v>
      </c>
      <c r="U2834" s="114">
        <f>ROUND(+N2834+R2834+S2834+T2834,4)</f>
        <v>0</v>
      </c>
      <c r="V2834" s="114">
        <f>ROUND(IF(P2834=0,0,I2834-H2834-O2834)+IF(L2834=0,0,I2834-H2834-K2834),4)</f>
        <v>0</v>
      </c>
      <c r="W2834" s="114">
        <f>ROUND(+(V2834*60%)*D2834,4)</f>
        <v>0</v>
      </c>
      <c r="X2834" s="147">
        <f>ROUND(+U2834+W2834,4)</f>
        <v>0</v>
      </c>
      <c r="Y2834" s="115"/>
      <c r="Z2834" s="152">
        <f>ROUND(IF(X2834&gt;I2834,X2834,I2834),4)</f>
        <v>0</v>
      </c>
      <c r="AD2834">
        <f t="shared" si="70"/>
        <v>0</v>
      </c>
      <c r="AE2834">
        <f t="shared" si="71"/>
        <v>0</v>
      </c>
    </row>
    <row r="2835" spans="1:31" customFormat="1" x14ac:dyDescent="0.2">
      <c r="A2835" s="113"/>
      <c r="B2835" s="113"/>
      <c r="C2835" s="113"/>
      <c r="D2835" s="143"/>
      <c r="E2835" s="114"/>
      <c r="F2835" s="114"/>
      <c r="G2835" s="114"/>
      <c r="H2835" s="114">
        <f>ROUND(+E2835+G2835,4)</f>
        <v>0</v>
      </c>
      <c r="I2835" s="114"/>
      <c r="J2835" s="114">
        <f>ROUND(+I2835-H2835,4)</f>
        <v>0</v>
      </c>
      <c r="K2835" s="114">
        <f>ROUND(IF(F2835="alluminio",0,I2835*1.5%),4)</f>
        <v>0</v>
      </c>
      <c r="L2835" s="114">
        <f>ROUND(IF(K2835&lt;J2835,K2835,0),4)</f>
        <v>0</v>
      </c>
      <c r="M2835" s="114">
        <f>ROUND(IF(J2835&gt;K2835,0,J2835),4)</f>
        <v>0</v>
      </c>
      <c r="N2835" s="114">
        <f>ROUND(+L2835*D2835,4)</f>
        <v>0</v>
      </c>
      <c r="O2835" s="114">
        <f>ROUND(IF(F2835="rame",0,+I2835*3%),4)</f>
        <v>0</v>
      </c>
      <c r="P2835" s="114">
        <f>ROUND(IF(O2835&lt;J2835,O2835,0),4)</f>
        <v>0</v>
      </c>
      <c r="Q2835" s="114">
        <f>ROUND(IF(J2835&gt;O2835,0,J2835),4)</f>
        <v>0</v>
      </c>
      <c r="R2835" s="114">
        <f>ROUND(+P2835*D2835,4)</f>
        <v>0</v>
      </c>
      <c r="S2835" s="114">
        <f>ROUND(IF(K2835=0,0,M2835*D2835),4)</f>
        <v>0</v>
      </c>
      <c r="T2835" s="114">
        <f>ROUND(+IF(K2835=0,Q2835*D2835,0),4)</f>
        <v>0</v>
      </c>
      <c r="U2835" s="114">
        <f>ROUND(+N2835+R2835+S2835+T2835,4)</f>
        <v>0</v>
      </c>
      <c r="V2835" s="114">
        <f>ROUND(IF(P2835=0,0,I2835-H2835-O2835)+IF(L2835=0,0,I2835-H2835-K2835),4)</f>
        <v>0</v>
      </c>
      <c r="W2835" s="114">
        <f>ROUND(+(V2835*60%)*D2835,4)</f>
        <v>0</v>
      </c>
      <c r="X2835" s="147">
        <f>ROUND(+U2835+W2835,4)</f>
        <v>0</v>
      </c>
      <c r="Y2835" s="115"/>
      <c r="Z2835" s="152">
        <f>ROUND(IF(X2835&gt;I2835,X2835,I2835),4)</f>
        <v>0</v>
      </c>
      <c r="AD2835">
        <f t="shared" si="70"/>
        <v>0</v>
      </c>
      <c r="AE2835">
        <f t="shared" si="71"/>
        <v>0</v>
      </c>
    </row>
    <row r="2836" spans="1:31" customFormat="1" x14ac:dyDescent="0.2">
      <c r="A2836" s="113"/>
      <c r="B2836" s="113"/>
      <c r="C2836" s="113"/>
      <c r="D2836" s="143"/>
      <c r="E2836" s="114"/>
      <c r="F2836" s="114"/>
      <c r="G2836" s="114"/>
      <c r="H2836" s="114">
        <f>ROUND(+E2836+G2836,4)</f>
        <v>0</v>
      </c>
      <c r="I2836" s="114"/>
      <c r="J2836" s="114">
        <f>ROUND(+I2836-H2836,4)</f>
        <v>0</v>
      </c>
      <c r="K2836" s="114">
        <f>ROUND(IF(F2836="alluminio",0,I2836*1.5%),4)</f>
        <v>0</v>
      </c>
      <c r="L2836" s="114">
        <f>ROUND(IF(K2836&lt;J2836,K2836,0),4)</f>
        <v>0</v>
      </c>
      <c r="M2836" s="114">
        <f>ROUND(IF(J2836&gt;K2836,0,J2836),4)</f>
        <v>0</v>
      </c>
      <c r="N2836" s="114">
        <f>ROUND(+L2836*D2836,4)</f>
        <v>0</v>
      </c>
      <c r="O2836" s="114">
        <f>ROUND(IF(F2836="rame",0,+I2836*3%),4)</f>
        <v>0</v>
      </c>
      <c r="P2836" s="114">
        <f>ROUND(IF(O2836&lt;J2836,O2836,0),4)</f>
        <v>0</v>
      </c>
      <c r="Q2836" s="114">
        <f>ROUND(IF(J2836&gt;O2836,0,J2836),4)</f>
        <v>0</v>
      </c>
      <c r="R2836" s="114">
        <f>ROUND(+P2836*D2836,4)</f>
        <v>0</v>
      </c>
      <c r="S2836" s="114">
        <f>ROUND(IF(K2836=0,0,M2836*D2836),4)</f>
        <v>0</v>
      </c>
      <c r="T2836" s="114">
        <f>ROUND(+IF(K2836=0,Q2836*D2836,0),4)</f>
        <v>0</v>
      </c>
      <c r="U2836" s="114">
        <f>ROUND(+N2836+R2836+S2836+T2836,4)</f>
        <v>0</v>
      </c>
      <c r="V2836" s="114">
        <f>ROUND(IF(P2836=0,0,I2836-H2836-O2836)+IF(L2836=0,0,I2836-H2836-K2836),4)</f>
        <v>0</v>
      </c>
      <c r="W2836" s="114">
        <f>ROUND(+(V2836*60%)*D2836,4)</f>
        <v>0</v>
      </c>
      <c r="X2836" s="147">
        <f>ROUND(+U2836+W2836,4)</f>
        <v>0</v>
      </c>
      <c r="Y2836" s="115"/>
      <c r="Z2836" s="152">
        <f>ROUND(IF(X2836&gt;I2836,X2836,I2836),4)</f>
        <v>0</v>
      </c>
      <c r="AD2836">
        <f t="shared" si="70"/>
        <v>0</v>
      </c>
      <c r="AE2836">
        <f t="shared" si="71"/>
        <v>0</v>
      </c>
    </row>
    <row r="2837" spans="1:31" customFormat="1" x14ac:dyDescent="0.2">
      <c r="A2837" s="113"/>
      <c r="B2837" s="113"/>
      <c r="C2837" s="113"/>
      <c r="D2837" s="143"/>
      <c r="E2837" s="114"/>
      <c r="F2837" s="114"/>
      <c r="G2837" s="114"/>
      <c r="H2837" s="114">
        <f>ROUND(+E2837+G2837,4)</f>
        <v>0</v>
      </c>
      <c r="I2837" s="114"/>
      <c r="J2837" s="114">
        <f>ROUND(+I2837-H2837,4)</f>
        <v>0</v>
      </c>
      <c r="K2837" s="114">
        <f>ROUND(IF(F2837="alluminio",0,I2837*1.5%),4)</f>
        <v>0</v>
      </c>
      <c r="L2837" s="114">
        <f>ROUND(IF(K2837&lt;J2837,K2837,0),4)</f>
        <v>0</v>
      </c>
      <c r="M2837" s="114">
        <f>ROUND(IF(J2837&gt;K2837,0,J2837),4)</f>
        <v>0</v>
      </c>
      <c r="N2837" s="114">
        <f>ROUND(+L2837*D2837,4)</f>
        <v>0</v>
      </c>
      <c r="O2837" s="114">
        <f>ROUND(IF(F2837="rame",0,+I2837*3%),4)</f>
        <v>0</v>
      </c>
      <c r="P2837" s="114">
        <f>ROUND(IF(O2837&lt;J2837,O2837,0),4)</f>
        <v>0</v>
      </c>
      <c r="Q2837" s="114">
        <f>ROUND(IF(J2837&gt;O2837,0,J2837),4)</f>
        <v>0</v>
      </c>
      <c r="R2837" s="114">
        <f>ROUND(+P2837*D2837,4)</f>
        <v>0</v>
      </c>
      <c r="S2837" s="114">
        <f>ROUND(IF(K2837=0,0,M2837*D2837),4)</f>
        <v>0</v>
      </c>
      <c r="T2837" s="114">
        <f>ROUND(+IF(K2837=0,Q2837*D2837,0),4)</f>
        <v>0</v>
      </c>
      <c r="U2837" s="114">
        <f>ROUND(+N2837+R2837+S2837+T2837,4)</f>
        <v>0</v>
      </c>
      <c r="V2837" s="114">
        <f>ROUND(IF(P2837=0,0,I2837-H2837-O2837)+IF(L2837=0,0,I2837-H2837-K2837),4)</f>
        <v>0</v>
      </c>
      <c r="W2837" s="114">
        <f>ROUND(+(V2837*60%)*D2837,4)</f>
        <v>0</v>
      </c>
      <c r="X2837" s="147">
        <f>ROUND(+U2837+W2837,4)</f>
        <v>0</v>
      </c>
      <c r="Y2837" s="115"/>
      <c r="Z2837" s="152">
        <f>ROUND(IF(X2837&gt;I2837,X2837,I2837),4)</f>
        <v>0</v>
      </c>
      <c r="AD2837">
        <f t="shared" si="70"/>
        <v>0</v>
      </c>
      <c r="AE2837">
        <f t="shared" si="71"/>
        <v>0</v>
      </c>
    </row>
    <row r="2838" spans="1:31" customFormat="1" x14ac:dyDescent="0.2">
      <c r="A2838" s="113"/>
      <c r="B2838" s="113"/>
      <c r="C2838" s="113"/>
      <c r="D2838" s="143"/>
      <c r="E2838" s="114"/>
      <c r="F2838" s="114"/>
      <c r="G2838" s="114"/>
      <c r="H2838" s="114">
        <f>ROUND(+E2838+G2838,4)</f>
        <v>0</v>
      </c>
      <c r="I2838" s="114"/>
      <c r="J2838" s="114">
        <f>ROUND(+I2838-H2838,4)</f>
        <v>0</v>
      </c>
      <c r="K2838" s="114">
        <f>ROUND(IF(F2838="alluminio",0,I2838*1.5%),4)</f>
        <v>0</v>
      </c>
      <c r="L2838" s="114">
        <f>ROUND(IF(K2838&lt;J2838,K2838,0),4)</f>
        <v>0</v>
      </c>
      <c r="M2838" s="114">
        <f>ROUND(IF(J2838&gt;K2838,0,J2838),4)</f>
        <v>0</v>
      </c>
      <c r="N2838" s="114">
        <f>ROUND(+L2838*D2838,4)</f>
        <v>0</v>
      </c>
      <c r="O2838" s="114">
        <f>ROUND(IF(F2838="rame",0,+I2838*3%),4)</f>
        <v>0</v>
      </c>
      <c r="P2838" s="114">
        <f>ROUND(IF(O2838&lt;J2838,O2838,0),4)</f>
        <v>0</v>
      </c>
      <c r="Q2838" s="114">
        <f>ROUND(IF(J2838&gt;O2838,0,J2838),4)</f>
        <v>0</v>
      </c>
      <c r="R2838" s="114">
        <f>ROUND(+P2838*D2838,4)</f>
        <v>0</v>
      </c>
      <c r="S2838" s="114">
        <f>ROUND(IF(K2838=0,0,M2838*D2838),4)</f>
        <v>0</v>
      </c>
      <c r="T2838" s="114">
        <f>ROUND(+IF(K2838=0,Q2838*D2838,0),4)</f>
        <v>0</v>
      </c>
      <c r="U2838" s="114">
        <f>ROUND(+N2838+R2838+S2838+T2838,4)</f>
        <v>0</v>
      </c>
      <c r="V2838" s="114">
        <f>ROUND(IF(P2838=0,0,I2838-H2838-O2838)+IF(L2838=0,0,I2838-H2838-K2838),4)</f>
        <v>0</v>
      </c>
      <c r="W2838" s="114">
        <f>ROUND(+(V2838*60%)*D2838,4)</f>
        <v>0</v>
      </c>
      <c r="X2838" s="147">
        <f>ROUND(+U2838+W2838,4)</f>
        <v>0</v>
      </c>
      <c r="Y2838" s="115"/>
      <c r="Z2838" s="152">
        <f>ROUND(IF(X2838&gt;I2838,X2838,I2838),4)</f>
        <v>0</v>
      </c>
      <c r="AD2838">
        <f t="shared" si="70"/>
        <v>0</v>
      </c>
      <c r="AE2838">
        <f t="shared" si="71"/>
        <v>0</v>
      </c>
    </row>
    <row r="2839" spans="1:31" customFormat="1" x14ac:dyDescent="0.2">
      <c r="A2839" s="113"/>
      <c r="B2839" s="113"/>
      <c r="C2839" s="113"/>
      <c r="D2839" s="143"/>
      <c r="E2839" s="114"/>
      <c r="F2839" s="114"/>
      <c r="G2839" s="114"/>
      <c r="H2839" s="114">
        <f>ROUND(+E2839+G2839,4)</f>
        <v>0</v>
      </c>
      <c r="I2839" s="114"/>
      <c r="J2839" s="114">
        <f>ROUND(+I2839-H2839,4)</f>
        <v>0</v>
      </c>
      <c r="K2839" s="114">
        <f>ROUND(IF(F2839="alluminio",0,I2839*1.5%),4)</f>
        <v>0</v>
      </c>
      <c r="L2839" s="114">
        <f>ROUND(IF(K2839&lt;J2839,K2839,0),4)</f>
        <v>0</v>
      </c>
      <c r="M2839" s="114">
        <f>ROUND(IF(J2839&gt;K2839,0,J2839),4)</f>
        <v>0</v>
      </c>
      <c r="N2839" s="114">
        <f>ROUND(+L2839*D2839,4)</f>
        <v>0</v>
      </c>
      <c r="O2839" s="114">
        <f>ROUND(IF(F2839="rame",0,+I2839*3%),4)</f>
        <v>0</v>
      </c>
      <c r="P2839" s="114">
        <f>ROUND(IF(O2839&lt;J2839,O2839,0),4)</f>
        <v>0</v>
      </c>
      <c r="Q2839" s="114">
        <f>ROUND(IF(J2839&gt;O2839,0,J2839),4)</f>
        <v>0</v>
      </c>
      <c r="R2839" s="114">
        <f>ROUND(+P2839*D2839,4)</f>
        <v>0</v>
      </c>
      <c r="S2839" s="114">
        <f>ROUND(IF(K2839=0,0,M2839*D2839),4)</f>
        <v>0</v>
      </c>
      <c r="T2839" s="114">
        <f>ROUND(+IF(K2839=0,Q2839*D2839,0),4)</f>
        <v>0</v>
      </c>
      <c r="U2839" s="114">
        <f>ROUND(+N2839+R2839+S2839+T2839,4)</f>
        <v>0</v>
      </c>
      <c r="V2839" s="114">
        <f>ROUND(IF(P2839=0,0,I2839-H2839-O2839)+IF(L2839=0,0,I2839-H2839-K2839),4)</f>
        <v>0</v>
      </c>
      <c r="W2839" s="114">
        <f>ROUND(+(V2839*60%)*D2839,4)</f>
        <v>0</v>
      </c>
      <c r="X2839" s="147">
        <f>ROUND(+U2839+W2839,4)</f>
        <v>0</v>
      </c>
      <c r="Y2839" s="115"/>
      <c r="Z2839" s="152">
        <f>ROUND(IF(X2839&gt;I2839,X2839,I2839),4)</f>
        <v>0</v>
      </c>
      <c r="AD2839">
        <f t="shared" si="70"/>
        <v>0</v>
      </c>
      <c r="AE2839">
        <f t="shared" si="71"/>
        <v>0</v>
      </c>
    </row>
    <row r="2840" spans="1:31" customFormat="1" x14ac:dyDescent="0.2">
      <c r="A2840" s="113"/>
      <c r="B2840" s="113"/>
      <c r="C2840" s="113"/>
      <c r="D2840" s="143"/>
      <c r="E2840" s="114"/>
      <c r="F2840" s="114"/>
      <c r="G2840" s="114"/>
      <c r="H2840" s="114">
        <f>ROUND(+E2840+G2840,4)</f>
        <v>0</v>
      </c>
      <c r="I2840" s="114"/>
      <c r="J2840" s="114">
        <f>ROUND(+I2840-H2840,4)</f>
        <v>0</v>
      </c>
      <c r="K2840" s="114">
        <f>ROUND(IF(F2840="alluminio",0,I2840*1.5%),4)</f>
        <v>0</v>
      </c>
      <c r="L2840" s="114">
        <f>ROUND(IF(K2840&lt;J2840,K2840,0),4)</f>
        <v>0</v>
      </c>
      <c r="M2840" s="114">
        <f>ROUND(IF(J2840&gt;K2840,0,J2840),4)</f>
        <v>0</v>
      </c>
      <c r="N2840" s="114">
        <f>ROUND(+L2840*D2840,4)</f>
        <v>0</v>
      </c>
      <c r="O2840" s="114">
        <f>ROUND(IF(F2840="rame",0,+I2840*3%),4)</f>
        <v>0</v>
      </c>
      <c r="P2840" s="114">
        <f>ROUND(IF(O2840&lt;J2840,O2840,0),4)</f>
        <v>0</v>
      </c>
      <c r="Q2840" s="114">
        <f>ROUND(IF(J2840&gt;O2840,0,J2840),4)</f>
        <v>0</v>
      </c>
      <c r="R2840" s="114">
        <f>ROUND(+P2840*D2840,4)</f>
        <v>0</v>
      </c>
      <c r="S2840" s="114">
        <f>ROUND(IF(K2840=0,0,M2840*D2840),4)</f>
        <v>0</v>
      </c>
      <c r="T2840" s="114">
        <f>ROUND(+IF(K2840=0,Q2840*D2840,0),4)</f>
        <v>0</v>
      </c>
      <c r="U2840" s="114">
        <f>ROUND(+N2840+R2840+S2840+T2840,4)</f>
        <v>0</v>
      </c>
      <c r="V2840" s="114">
        <f>ROUND(IF(P2840=0,0,I2840-H2840-O2840)+IF(L2840=0,0,I2840-H2840-K2840),4)</f>
        <v>0</v>
      </c>
      <c r="W2840" s="114">
        <f>ROUND(+(V2840*60%)*D2840,4)</f>
        <v>0</v>
      </c>
      <c r="X2840" s="147">
        <f>ROUND(+U2840+W2840,4)</f>
        <v>0</v>
      </c>
      <c r="Y2840" s="115"/>
      <c r="Z2840" s="152">
        <f>ROUND(IF(X2840&gt;I2840,X2840,I2840),4)</f>
        <v>0</v>
      </c>
      <c r="AD2840">
        <f t="shared" si="70"/>
        <v>0</v>
      </c>
      <c r="AE2840">
        <f t="shared" si="71"/>
        <v>0</v>
      </c>
    </row>
    <row r="2841" spans="1:31" customFormat="1" x14ac:dyDescent="0.2">
      <c r="A2841" s="113"/>
      <c r="B2841" s="113"/>
      <c r="C2841" s="113"/>
      <c r="D2841" s="143"/>
      <c r="E2841" s="114"/>
      <c r="F2841" s="114"/>
      <c r="G2841" s="114"/>
      <c r="H2841" s="114">
        <f>ROUND(+E2841+G2841,4)</f>
        <v>0</v>
      </c>
      <c r="I2841" s="114"/>
      <c r="J2841" s="114">
        <f>ROUND(+I2841-H2841,4)</f>
        <v>0</v>
      </c>
      <c r="K2841" s="114">
        <f>ROUND(IF(F2841="alluminio",0,I2841*1.5%),4)</f>
        <v>0</v>
      </c>
      <c r="L2841" s="114">
        <f>ROUND(IF(K2841&lt;J2841,K2841,0),4)</f>
        <v>0</v>
      </c>
      <c r="M2841" s="114">
        <f>ROUND(IF(J2841&gt;K2841,0,J2841),4)</f>
        <v>0</v>
      </c>
      <c r="N2841" s="114">
        <f>ROUND(+L2841*D2841,4)</f>
        <v>0</v>
      </c>
      <c r="O2841" s="114">
        <f>ROUND(IF(F2841="rame",0,+I2841*3%),4)</f>
        <v>0</v>
      </c>
      <c r="P2841" s="114">
        <f>ROUND(IF(O2841&lt;J2841,O2841,0),4)</f>
        <v>0</v>
      </c>
      <c r="Q2841" s="114">
        <f>ROUND(IF(J2841&gt;O2841,0,J2841),4)</f>
        <v>0</v>
      </c>
      <c r="R2841" s="114">
        <f>ROUND(+P2841*D2841,4)</f>
        <v>0</v>
      </c>
      <c r="S2841" s="114">
        <f>ROUND(IF(K2841=0,0,M2841*D2841),4)</f>
        <v>0</v>
      </c>
      <c r="T2841" s="114">
        <f>ROUND(+IF(K2841=0,Q2841*D2841,0),4)</f>
        <v>0</v>
      </c>
      <c r="U2841" s="114">
        <f>ROUND(+N2841+R2841+S2841+T2841,4)</f>
        <v>0</v>
      </c>
      <c r="V2841" s="114">
        <f>ROUND(IF(P2841=0,0,I2841-H2841-O2841)+IF(L2841=0,0,I2841-H2841-K2841),4)</f>
        <v>0</v>
      </c>
      <c r="W2841" s="114">
        <f>ROUND(+(V2841*60%)*D2841,4)</f>
        <v>0</v>
      </c>
      <c r="X2841" s="147">
        <f>ROUND(+U2841+W2841,4)</f>
        <v>0</v>
      </c>
      <c r="Y2841" s="115"/>
      <c r="Z2841" s="150">
        <f>ROUND(IF(X2841&gt;I2841,X2841,I2841),4)</f>
        <v>0</v>
      </c>
      <c r="AD2841">
        <f t="shared" si="70"/>
        <v>0</v>
      </c>
      <c r="AE2841">
        <f t="shared" si="71"/>
        <v>0</v>
      </c>
    </row>
    <row r="2842" spans="1:31" customFormat="1" x14ac:dyDescent="0.2">
      <c r="A2842" s="113"/>
      <c r="B2842" s="113"/>
      <c r="C2842" s="113"/>
      <c r="D2842" s="143"/>
      <c r="E2842" s="114"/>
      <c r="F2842" s="114"/>
      <c r="G2842" s="114"/>
      <c r="H2842" s="114">
        <f>ROUND(+E2842+G2842,4)</f>
        <v>0</v>
      </c>
      <c r="I2842" s="114"/>
      <c r="J2842" s="114">
        <f>ROUND(+I2842-H2842,4)</f>
        <v>0</v>
      </c>
      <c r="K2842" s="114">
        <f>ROUND(IF(F2842="alluminio",0,I2842*1.5%),4)</f>
        <v>0</v>
      </c>
      <c r="L2842" s="114">
        <f>ROUND(IF(K2842&lt;J2842,K2842,0),4)</f>
        <v>0</v>
      </c>
      <c r="M2842" s="114">
        <f>ROUND(IF(J2842&gt;K2842,0,J2842),4)</f>
        <v>0</v>
      </c>
      <c r="N2842" s="114">
        <f>ROUND(+L2842*D2842,4)</f>
        <v>0</v>
      </c>
      <c r="O2842" s="114">
        <f>ROUND(IF(F2842="rame",0,+I2842*3%),4)</f>
        <v>0</v>
      </c>
      <c r="P2842" s="114">
        <f>ROUND(IF(O2842&lt;J2842,O2842,0),4)</f>
        <v>0</v>
      </c>
      <c r="Q2842" s="114">
        <f>ROUND(IF(J2842&gt;O2842,0,J2842),4)</f>
        <v>0</v>
      </c>
      <c r="R2842" s="114">
        <f>ROUND(+P2842*D2842,4)</f>
        <v>0</v>
      </c>
      <c r="S2842" s="114">
        <f>ROUND(IF(K2842=0,0,M2842*D2842),4)</f>
        <v>0</v>
      </c>
      <c r="T2842" s="114">
        <f>ROUND(+IF(K2842=0,Q2842*D2842,0),4)</f>
        <v>0</v>
      </c>
      <c r="U2842" s="114">
        <f>ROUND(+N2842+R2842+S2842+T2842,4)</f>
        <v>0</v>
      </c>
      <c r="V2842" s="114">
        <f>ROUND(IF(P2842=0,0,I2842-H2842-O2842)+IF(L2842=0,0,I2842-H2842-K2842),4)</f>
        <v>0</v>
      </c>
      <c r="W2842" s="114">
        <f>ROUND(+(V2842*60%)*D2842,4)</f>
        <v>0</v>
      </c>
      <c r="X2842" s="147">
        <f>ROUND(+U2842+W2842,4)</f>
        <v>0</v>
      </c>
      <c r="Y2842" s="115"/>
      <c r="Z2842" s="150">
        <f>ROUND(IF(X2842&gt;I2842,X2842,I2842),4)</f>
        <v>0</v>
      </c>
      <c r="AD2842">
        <f t="shared" si="70"/>
        <v>0</v>
      </c>
      <c r="AE2842">
        <f t="shared" si="71"/>
        <v>0</v>
      </c>
    </row>
    <row r="2843" spans="1:31" customFormat="1" x14ac:dyDescent="0.2">
      <c r="A2843" s="113"/>
      <c r="B2843" s="113"/>
      <c r="C2843" s="113"/>
      <c r="D2843" s="143"/>
      <c r="E2843" s="114"/>
      <c r="F2843" s="114"/>
      <c r="G2843" s="114"/>
      <c r="H2843" s="114">
        <f>ROUND(+E2843+G2843,4)</f>
        <v>0</v>
      </c>
      <c r="I2843" s="114"/>
      <c r="J2843" s="114">
        <f>ROUND(+I2843-H2843,4)</f>
        <v>0</v>
      </c>
      <c r="K2843" s="114">
        <f>ROUND(IF(F2843="alluminio",0,I2843*1.5%),4)</f>
        <v>0</v>
      </c>
      <c r="L2843" s="114">
        <f>ROUND(IF(K2843&lt;J2843,K2843,0),4)</f>
        <v>0</v>
      </c>
      <c r="M2843" s="114">
        <f>ROUND(IF(J2843&gt;K2843,0,J2843),4)</f>
        <v>0</v>
      </c>
      <c r="N2843" s="114">
        <f>ROUND(+L2843*D2843,4)</f>
        <v>0</v>
      </c>
      <c r="O2843" s="114">
        <f>ROUND(IF(F2843="rame",0,+I2843*3%),4)</f>
        <v>0</v>
      </c>
      <c r="P2843" s="114">
        <f>ROUND(IF(O2843&lt;J2843,O2843,0),4)</f>
        <v>0</v>
      </c>
      <c r="Q2843" s="114">
        <f>ROUND(IF(J2843&gt;O2843,0,J2843),4)</f>
        <v>0</v>
      </c>
      <c r="R2843" s="114">
        <f>ROUND(+P2843*D2843,4)</f>
        <v>0</v>
      </c>
      <c r="S2843" s="114">
        <f>ROUND(IF(K2843=0,0,M2843*D2843),4)</f>
        <v>0</v>
      </c>
      <c r="T2843" s="114">
        <f>ROUND(+IF(K2843=0,Q2843*D2843,0),4)</f>
        <v>0</v>
      </c>
      <c r="U2843" s="114">
        <f>ROUND(+N2843+R2843+S2843+T2843,4)</f>
        <v>0</v>
      </c>
      <c r="V2843" s="114">
        <f>ROUND(IF(P2843=0,0,I2843-H2843-O2843)+IF(L2843=0,0,I2843-H2843-K2843),4)</f>
        <v>0</v>
      </c>
      <c r="W2843" s="114">
        <f>ROUND(+(V2843*60%)*D2843,4)</f>
        <v>0</v>
      </c>
      <c r="X2843" s="147">
        <f>ROUND(+U2843+W2843,4)</f>
        <v>0</v>
      </c>
      <c r="Y2843" s="115"/>
      <c r="Z2843" s="150">
        <f>ROUND(IF(X2843&gt;I2843,X2843,I2843),4)</f>
        <v>0</v>
      </c>
      <c r="AD2843">
        <f t="shared" si="70"/>
        <v>0</v>
      </c>
      <c r="AE2843">
        <f t="shared" si="71"/>
        <v>0</v>
      </c>
    </row>
    <row r="2844" spans="1:31" customFormat="1" x14ac:dyDescent="0.2">
      <c r="A2844" s="113"/>
      <c r="B2844" s="113"/>
      <c r="C2844" s="113"/>
      <c r="D2844" s="143"/>
      <c r="E2844" s="114"/>
      <c r="F2844" s="114"/>
      <c r="G2844" s="114"/>
      <c r="H2844" s="114">
        <f>ROUND(+E2844+G2844,4)</f>
        <v>0</v>
      </c>
      <c r="I2844" s="114"/>
      <c r="J2844" s="114">
        <f>ROUND(+I2844-H2844,4)</f>
        <v>0</v>
      </c>
      <c r="K2844" s="114">
        <f>ROUND(IF(F2844="alluminio",0,I2844*1.5%),4)</f>
        <v>0</v>
      </c>
      <c r="L2844" s="114">
        <f>ROUND(IF(K2844&lt;J2844,K2844,0),4)</f>
        <v>0</v>
      </c>
      <c r="M2844" s="114">
        <f>ROUND(IF(J2844&gt;K2844,0,J2844),4)</f>
        <v>0</v>
      </c>
      <c r="N2844" s="114">
        <f>ROUND(+L2844*D2844,4)</f>
        <v>0</v>
      </c>
      <c r="O2844" s="114">
        <f>ROUND(IF(F2844="rame",0,+I2844*3%),4)</f>
        <v>0</v>
      </c>
      <c r="P2844" s="114">
        <f>ROUND(IF(O2844&lt;J2844,O2844,0),4)</f>
        <v>0</v>
      </c>
      <c r="Q2844" s="114">
        <f>ROUND(IF(J2844&gt;O2844,0,J2844),4)</f>
        <v>0</v>
      </c>
      <c r="R2844" s="114">
        <f>ROUND(+P2844*D2844,4)</f>
        <v>0</v>
      </c>
      <c r="S2844" s="114">
        <f>ROUND(IF(K2844=0,0,M2844*D2844),4)</f>
        <v>0</v>
      </c>
      <c r="T2844" s="114">
        <f>ROUND(+IF(K2844=0,Q2844*D2844,0),4)</f>
        <v>0</v>
      </c>
      <c r="U2844" s="114">
        <f>ROUND(+N2844+R2844+S2844+T2844,4)</f>
        <v>0</v>
      </c>
      <c r="V2844" s="114">
        <f>ROUND(IF(P2844=0,0,I2844-H2844-O2844)+IF(L2844=0,0,I2844-H2844-K2844),4)</f>
        <v>0</v>
      </c>
      <c r="W2844" s="114">
        <f>ROUND(+(V2844*60%)*D2844,4)</f>
        <v>0</v>
      </c>
      <c r="X2844" s="147">
        <f>ROUND(+U2844+W2844,4)</f>
        <v>0</v>
      </c>
      <c r="Y2844" s="115"/>
      <c r="Z2844" s="150">
        <f>ROUND(IF(X2844&gt;I2844,X2844,I2844),4)</f>
        <v>0</v>
      </c>
      <c r="AD2844">
        <f t="shared" si="70"/>
        <v>0</v>
      </c>
      <c r="AE2844">
        <f t="shared" si="71"/>
        <v>0</v>
      </c>
    </row>
    <row r="2845" spans="1:31" customFormat="1" x14ac:dyDescent="0.2">
      <c r="A2845" s="113"/>
      <c r="B2845" s="113"/>
      <c r="C2845" s="113"/>
      <c r="D2845" s="143"/>
      <c r="E2845" s="114"/>
      <c r="F2845" s="114"/>
      <c r="G2845" s="114"/>
      <c r="H2845" s="114">
        <f>ROUND(+E2845+G2845,4)</f>
        <v>0</v>
      </c>
      <c r="I2845" s="114"/>
      <c r="J2845" s="114">
        <f>ROUND(+I2845-H2845,4)</f>
        <v>0</v>
      </c>
      <c r="K2845" s="114">
        <f>ROUND(IF(F2845="alluminio",0,I2845*1.5%),4)</f>
        <v>0</v>
      </c>
      <c r="L2845" s="114">
        <f>ROUND(IF(K2845&lt;J2845,K2845,0),4)</f>
        <v>0</v>
      </c>
      <c r="M2845" s="114">
        <f>ROUND(IF(J2845&gt;K2845,0,J2845),4)</f>
        <v>0</v>
      </c>
      <c r="N2845" s="114">
        <f>ROUND(+L2845*D2845,4)</f>
        <v>0</v>
      </c>
      <c r="O2845" s="114">
        <f>ROUND(IF(F2845="rame",0,+I2845*3%),4)</f>
        <v>0</v>
      </c>
      <c r="P2845" s="114">
        <f>ROUND(IF(O2845&lt;J2845,O2845,0),4)</f>
        <v>0</v>
      </c>
      <c r="Q2845" s="114">
        <f>ROUND(IF(J2845&gt;O2845,0,J2845),4)</f>
        <v>0</v>
      </c>
      <c r="R2845" s="114">
        <f>ROUND(+P2845*D2845,4)</f>
        <v>0</v>
      </c>
      <c r="S2845" s="114">
        <f>ROUND(IF(K2845=0,0,M2845*D2845),4)</f>
        <v>0</v>
      </c>
      <c r="T2845" s="114">
        <f>ROUND(+IF(K2845=0,Q2845*D2845,0),4)</f>
        <v>0</v>
      </c>
      <c r="U2845" s="114">
        <f>ROUND(+N2845+R2845+S2845+T2845,4)</f>
        <v>0</v>
      </c>
      <c r="V2845" s="114">
        <f>ROUND(IF(P2845=0,0,I2845-H2845-O2845)+IF(L2845=0,0,I2845-H2845-K2845),4)</f>
        <v>0</v>
      </c>
      <c r="W2845" s="114">
        <f>ROUND(+(V2845*60%)*D2845,4)</f>
        <v>0</v>
      </c>
      <c r="X2845" s="147">
        <f>ROUND(+U2845+W2845,4)</f>
        <v>0</v>
      </c>
      <c r="Y2845" s="115"/>
      <c r="Z2845" s="150">
        <f>ROUND(IF(X2845&gt;I2845,X2845,I2845),4)</f>
        <v>0</v>
      </c>
      <c r="AD2845">
        <f t="shared" si="70"/>
        <v>0</v>
      </c>
      <c r="AE2845">
        <f t="shared" si="71"/>
        <v>0</v>
      </c>
    </row>
    <row r="2846" spans="1:31" customFormat="1" x14ac:dyDescent="0.2">
      <c r="A2846" s="113"/>
      <c r="B2846" s="113"/>
      <c r="C2846" s="113"/>
      <c r="D2846" s="143"/>
      <c r="E2846" s="114"/>
      <c r="F2846" s="114"/>
      <c r="G2846" s="114"/>
      <c r="H2846" s="114">
        <f>ROUND(+E2846+G2846,4)</f>
        <v>0</v>
      </c>
      <c r="I2846" s="114"/>
      <c r="J2846" s="114">
        <f>ROUND(+I2846-H2846,4)</f>
        <v>0</v>
      </c>
      <c r="K2846" s="114">
        <f>ROUND(IF(F2846="alluminio",0,I2846*1.5%),4)</f>
        <v>0</v>
      </c>
      <c r="L2846" s="114">
        <f>ROUND(IF(K2846&lt;J2846,K2846,0),4)</f>
        <v>0</v>
      </c>
      <c r="M2846" s="114">
        <f>ROUND(IF(J2846&gt;K2846,0,J2846),4)</f>
        <v>0</v>
      </c>
      <c r="N2846" s="114">
        <f>ROUND(+L2846*D2846,4)</f>
        <v>0</v>
      </c>
      <c r="O2846" s="114">
        <f>ROUND(IF(F2846="rame",0,+I2846*3%),4)</f>
        <v>0</v>
      </c>
      <c r="P2846" s="114">
        <f>ROUND(IF(O2846&lt;J2846,O2846,0),4)</f>
        <v>0</v>
      </c>
      <c r="Q2846" s="114">
        <f>ROUND(IF(J2846&gt;O2846,0,J2846),4)</f>
        <v>0</v>
      </c>
      <c r="R2846" s="114">
        <f>ROUND(+P2846*D2846,4)</f>
        <v>0</v>
      </c>
      <c r="S2846" s="114">
        <f>ROUND(IF(K2846=0,0,M2846*D2846),4)</f>
        <v>0</v>
      </c>
      <c r="T2846" s="114">
        <f>ROUND(+IF(K2846=0,Q2846*D2846,0),4)</f>
        <v>0</v>
      </c>
      <c r="U2846" s="114">
        <f>ROUND(+N2846+R2846+S2846+T2846,4)</f>
        <v>0</v>
      </c>
      <c r="V2846" s="114">
        <f>ROUND(IF(P2846=0,0,I2846-H2846-O2846)+IF(L2846=0,0,I2846-H2846-K2846),4)</f>
        <v>0</v>
      </c>
      <c r="W2846" s="114">
        <f>ROUND(+(V2846*60%)*D2846,4)</f>
        <v>0</v>
      </c>
      <c r="X2846" s="147">
        <f>ROUND(+U2846+W2846,4)</f>
        <v>0</v>
      </c>
      <c r="Y2846" s="115"/>
      <c r="Z2846" s="150">
        <f>ROUND(IF(X2846&gt;I2846,X2846,I2846),4)</f>
        <v>0</v>
      </c>
      <c r="AD2846">
        <f t="shared" si="70"/>
        <v>0</v>
      </c>
      <c r="AE2846">
        <f t="shared" si="71"/>
        <v>0</v>
      </c>
    </row>
    <row r="2847" spans="1:31" customFormat="1" x14ac:dyDescent="0.2">
      <c r="A2847" s="113"/>
      <c r="B2847" s="113"/>
      <c r="C2847" s="113"/>
      <c r="D2847" s="143"/>
      <c r="E2847" s="114"/>
      <c r="F2847" s="114"/>
      <c r="G2847" s="114"/>
      <c r="H2847" s="114">
        <f>ROUND(+E2847+G2847,4)</f>
        <v>0</v>
      </c>
      <c r="I2847" s="114"/>
      <c r="J2847" s="114">
        <f>ROUND(+I2847-H2847,4)</f>
        <v>0</v>
      </c>
      <c r="K2847" s="114">
        <f>ROUND(IF(F2847="alluminio",0,I2847*1.5%),4)</f>
        <v>0</v>
      </c>
      <c r="L2847" s="114">
        <f>ROUND(IF(K2847&lt;J2847,K2847,0),4)</f>
        <v>0</v>
      </c>
      <c r="M2847" s="114">
        <f>ROUND(IF(J2847&gt;K2847,0,J2847),4)</f>
        <v>0</v>
      </c>
      <c r="N2847" s="114">
        <f>ROUND(+L2847*D2847,4)</f>
        <v>0</v>
      </c>
      <c r="O2847" s="114">
        <f>ROUND(IF(F2847="rame",0,+I2847*3%),4)</f>
        <v>0</v>
      </c>
      <c r="P2847" s="114">
        <f>ROUND(IF(O2847&lt;J2847,O2847,0),4)</f>
        <v>0</v>
      </c>
      <c r="Q2847" s="114">
        <f>ROUND(IF(J2847&gt;O2847,0,J2847),4)</f>
        <v>0</v>
      </c>
      <c r="R2847" s="114">
        <f>ROUND(+P2847*D2847,4)</f>
        <v>0</v>
      </c>
      <c r="S2847" s="114">
        <f>ROUND(IF(K2847=0,0,M2847*D2847),4)</f>
        <v>0</v>
      </c>
      <c r="T2847" s="114">
        <f>ROUND(+IF(K2847=0,Q2847*D2847,0),4)</f>
        <v>0</v>
      </c>
      <c r="U2847" s="114">
        <f>ROUND(+N2847+R2847+S2847+T2847,4)</f>
        <v>0</v>
      </c>
      <c r="V2847" s="114">
        <f>ROUND(IF(P2847=0,0,I2847-H2847-O2847)+IF(L2847=0,0,I2847-H2847-K2847),4)</f>
        <v>0</v>
      </c>
      <c r="W2847" s="114">
        <f>ROUND(+(V2847*60%)*D2847,4)</f>
        <v>0</v>
      </c>
      <c r="X2847" s="147">
        <f>ROUND(+U2847+W2847,4)</f>
        <v>0</v>
      </c>
      <c r="Y2847" s="115"/>
      <c r="Z2847" s="150">
        <f>ROUND(IF(X2847&gt;I2847,X2847,I2847),4)</f>
        <v>0</v>
      </c>
      <c r="AD2847">
        <f t="shared" si="70"/>
        <v>0</v>
      </c>
      <c r="AE2847">
        <f t="shared" si="71"/>
        <v>0</v>
      </c>
    </row>
    <row r="2848" spans="1:31" customFormat="1" x14ac:dyDescent="0.2">
      <c r="A2848" s="113"/>
      <c r="B2848" s="113"/>
      <c r="C2848" s="113"/>
      <c r="D2848" s="143"/>
      <c r="E2848" s="114"/>
      <c r="F2848" s="114"/>
      <c r="G2848" s="114"/>
      <c r="H2848" s="114">
        <f>ROUND(+E2848+G2848,4)</f>
        <v>0</v>
      </c>
      <c r="I2848" s="114"/>
      <c r="J2848" s="114">
        <f>ROUND(+I2848-H2848,4)</f>
        <v>0</v>
      </c>
      <c r="K2848" s="114">
        <f>ROUND(IF(F2848="alluminio",0,I2848*1.5%),4)</f>
        <v>0</v>
      </c>
      <c r="L2848" s="114">
        <f>ROUND(IF(K2848&lt;J2848,K2848,0),4)</f>
        <v>0</v>
      </c>
      <c r="M2848" s="114">
        <f>ROUND(IF(J2848&gt;K2848,0,J2848),4)</f>
        <v>0</v>
      </c>
      <c r="N2848" s="114">
        <f>ROUND(+L2848*D2848,4)</f>
        <v>0</v>
      </c>
      <c r="O2848" s="114">
        <f>ROUND(IF(F2848="rame",0,+I2848*3%),4)</f>
        <v>0</v>
      </c>
      <c r="P2848" s="114">
        <f>ROUND(IF(O2848&lt;J2848,O2848,0),4)</f>
        <v>0</v>
      </c>
      <c r="Q2848" s="114">
        <f>ROUND(IF(J2848&gt;O2848,0,J2848),4)</f>
        <v>0</v>
      </c>
      <c r="R2848" s="114">
        <f>ROUND(+P2848*D2848,4)</f>
        <v>0</v>
      </c>
      <c r="S2848" s="114">
        <f>ROUND(IF(K2848=0,0,M2848*D2848),4)</f>
        <v>0</v>
      </c>
      <c r="T2848" s="114">
        <f>ROUND(+IF(K2848=0,Q2848*D2848,0),4)</f>
        <v>0</v>
      </c>
      <c r="U2848" s="114">
        <f>ROUND(+N2848+R2848+S2848+T2848,4)</f>
        <v>0</v>
      </c>
      <c r="V2848" s="114">
        <f>ROUND(IF(P2848=0,0,I2848-H2848-O2848)+IF(L2848=0,0,I2848-H2848-K2848),4)</f>
        <v>0</v>
      </c>
      <c r="W2848" s="114">
        <f>ROUND(+(V2848*60%)*D2848,4)</f>
        <v>0</v>
      </c>
      <c r="X2848" s="147">
        <f>ROUND(+U2848+W2848,4)</f>
        <v>0</v>
      </c>
      <c r="Y2848" s="115"/>
      <c r="Z2848" s="150">
        <f>ROUND(IF(X2848&gt;I2848,X2848,I2848),4)</f>
        <v>0</v>
      </c>
      <c r="AD2848">
        <f t="shared" si="70"/>
        <v>0</v>
      </c>
      <c r="AE2848">
        <f t="shared" si="71"/>
        <v>0</v>
      </c>
    </row>
    <row r="2849" spans="1:31" customFormat="1" x14ac:dyDescent="0.2">
      <c r="A2849" s="113"/>
      <c r="B2849" s="113"/>
      <c r="C2849" s="113"/>
      <c r="D2849" s="143"/>
      <c r="E2849" s="114"/>
      <c r="F2849" s="114"/>
      <c r="G2849" s="114"/>
      <c r="H2849" s="114">
        <f>ROUND(+E2849+G2849,4)</f>
        <v>0</v>
      </c>
      <c r="I2849" s="114"/>
      <c r="J2849" s="114">
        <f>ROUND(+I2849-H2849,4)</f>
        <v>0</v>
      </c>
      <c r="K2849" s="114">
        <f>ROUND(IF(F2849="alluminio",0,I2849*1.5%),4)</f>
        <v>0</v>
      </c>
      <c r="L2849" s="114">
        <f>ROUND(IF(K2849&lt;J2849,K2849,0),4)</f>
        <v>0</v>
      </c>
      <c r="M2849" s="114">
        <f>ROUND(IF(J2849&gt;K2849,0,J2849),4)</f>
        <v>0</v>
      </c>
      <c r="N2849" s="114">
        <f>ROUND(+L2849*D2849,4)</f>
        <v>0</v>
      </c>
      <c r="O2849" s="114">
        <f>ROUND(IF(F2849="rame",0,+I2849*3%),4)</f>
        <v>0</v>
      </c>
      <c r="P2849" s="114">
        <f>ROUND(IF(O2849&lt;J2849,O2849,0),4)</f>
        <v>0</v>
      </c>
      <c r="Q2849" s="114">
        <f>ROUND(IF(J2849&gt;O2849,0,J2849),4)</f>
        <v>0</v>
      </c>
      <c r="R2849" s="114">
        <f>ROUND(+P2849*D2849,4)</f>
        <v>0</v>
      </c>
      <c r="S2849" s="114">
        <f>ROUND(IF(K2849=0,0,M2849*D2849),4)</f>
        <v>0</v>
      </c>
      <c r="T2849" s="114">
        <f>ROUND(+IF(K2849=0,Q2849*D2849,0),4)</f>
        <v>0</v>
      </c>
      <c r="U2849" s="114">
        <f>ROUND(+N2849+R2849+S2849+T2849,4)</f>
        <v>0</v>
      </c>
      <c r="V2849" s="114">
        <f>ROUND(IF(P2849=0,0,I2849-H2849-O2849)+IF(L2849=0,0,I2849-H2849-K2849),4)</f>
        <v>0</v>
      </c>
      <c r="W2849" s="114">
        <f>ROUND(+(V2849*60%)*D2849,4)</f>
        <v>0</v>
      </c>
      <c r="X2849" s="147">
        <f>ROUND(+U2849+W2849,4)</f>
        <v>0</v>
      </c>
      <c r="Y2849" s="115"/>
      <c r="Z2849" s="150">
        <f>ROUND(IF(X2849&gt;I2849,X2849,I2849),4)</f>
        <v>0</v>
      </c>
      <c r="AD2849">
        <f t="shared" si="70"/>
        <v>0</v>
      </c>
      <c r="AE2849">
        <f t="shared" si="71"/>
        <v>0</v>
      </c>
    </row>
    <row r="2850" spans="1:31" customFormat="1" x14ac:dyDescent="0.2">
      <c r="A2850" s="113"/>
      <c r="B2850" s="113"/>
      <c r="C2850" s="113"/>
      <c r="D2850" s="143"/>
      <c r="E2850" s="114"/>
      <c r="F2850" s="114"/>
      <c r="G2850" s="114"/>
      <c r="H2850" s="114">
        <f>ROUND(+E2850+G2850,4)</f>
        <v>0</v>
      </c>
      <c r="I2850" s="114"/>
      <c r="J2850" s="114">
        <f>ROUND(+I2850-H2850,4)</f>
        <v>0</v>
      </c>
      <c r="K2850" s="114">
        <f>ROUND(IF(F2850="alluminio",0,I2850*1.5%),4)</f>
        <v>0</v>
      </c>
      <c r="L2850" s="114">
        <f>ROUND(IF(K2850&lt;J2850,K2850,0),4)</f>
        <v>0</v>
      </c>
      <c r="M2850" s="114">
        <f>ROUND(IF(J2850&gt;K2850,0,J2850),4)</f>
        <v>0</v>
      </c>
      <c r="N2850" s="114">
        <f>ROUND(+L2850*D2850,4)</f>
        <v>0</v>
      </c>
      <c r="O2850" s="114">
        <f>ROUND(IF(F2850="rame",0,+I2850*3%),4)</f>
        <v>0</v>
      </c>
      <c r="P2850" s="114">
        <f>ROUND(IF(O2850&lt;J2850,O2850,0),4)</f>
        <v>0</v>
      </c>
      <c r="Q2850" s="114">
        <f>ROUND(IF(J2850&gt;O2850,0,J2850),4)</f>
        <v>0</v>
      </c>
      <c r="R2850" s="114">
        <f>ROUND(+P2850*D2850,4)</f>
        <v>0</v>
      </c>
      <c r="S2850" s="114">
        <f>ROUND(IF(K2850=0,0,M2850*D2850),4)</f>
        <v>0</v>
      </c>
      <c r="T2850" s="114">
        <f>ROUND(+IF(K2850=0,Q2850*D2850,0),4)</f>
        <v>0</v>
      </c>
      <c r="U2850" s="114">
        <f>ROUND(+N2850+R2850+S2850+T2850,4)</f>
        <v>0</v>
      </c>
      <c r="V2850" s="114">
        <f>ROUND(IF(P2850=0,0,I2850-H2850-O2850)+IF(L2850=0,0,I2850-H2850-K2850),4)</f>
        <v>0</v>
      </c>
      <c r="W2850" s="114">
        <f>ROUND(+(V2850*60%)*D2850,4)</f>
        <v>0</v>
      </c>
      <c r="X2850" s="147">
        <f>ROUND(+U2850+W2850,4)</f>
        <v>0</v>
      </c>
      <c r="Y2850" s="115"/>
      <c r="Z2850" s="150">
        <f>ROUND(IF(X2850&gt;I2850,X2850,I2850),4)</f>
        <v>0</v>
      </c>
      <c r="AD2850">
        <f t="shared" si="70"/>
        <v>0</v>
      </c>
      <c r="AE2850">
        <f t="shared" si="71"/>
        <v>0</v>
      </c>
    </row>
    <row r="2851" spans="1:31" customFormat="1" x14ac:dyDescent="0.2">
      <c r="A2851" s="113"/>
      <c r="B2851" s="113"/>
      <c r="C2851" s="113"/>
      <c r="D2851" s="143"/>
      <c r="E2851" s="114"/>
      <c r="F2851" s="114"/>
      <c r="G2851" s="114"/>
      <c r="H2851" s="114">
        <f>ROUND(+E2851+G2851,4)</f>
        <v>0</v>
      </c>
      <c r="I2851" s="114"/>
      <c r="J2851" s="114">
        <f>ROUND(+I2851-H2851,4)</f>
        <v>0</v>
      </c>
      <c r="K2851" s="114">
        <f>ROUND(IF(F2851="alluminio",0,I2851*1.5%),4)</f>
        <v>0</v>
      </c>
      <c r="L2851" s="114">
        <f>ROUND(IF(K2851&lt;J2851,K2851,0),4)</f>
        <v>0</v>
      </c>
      <c r="M2851" s="114">
        <f>ROUND(IF(J2851&gt;K2851,0,J2851),4)</f>
        <v>0</v>
      </c>
      <c r="N2851" s="114">
        <f>ROUND(+L2851*D2851,4)</f>
        <v>0</v>
      </c>
      <c r="O2851" s="114">
        <f>ROUND(IF(F2851="rame",0,+I2851*3%),4)</f>
        <v>0</v>
      </c>
      <c r="P2851" s="114">
        <f>ROUND(IF(O2851&lt;J2851,O2851,0),4)</f>
        <v>0</v>
      </c>
      <c r="Q2851" s="114">
        <f>ROUND(IF(J2851&gt;O2851,0,J2851),4)</f>
        <v>0</v>
      </c>
      <c r="R2851" s="114">
        <f>ROUND(+P2851*D2851,4)</f>
        <v>0</v>
      </c>
      <c r="S2851" s="114">
        <f>ROUND(IF(K2851=0,0,M2851*D2851),4)</f>
        <v>0</v>
      </c>
      <c r="T2851" s="114">
        <f>ROUND(+IF(K2851=0,Q2851*D2851,0),4)</f>
        <v>0</v>
      </c>
      <c r="U2851" s="114">
        <f>ROUND(+N2851+R2851+S2851+T2851,4)</f>
        <v>0</v>
      </c>
      <c r="V2851" s="114">
        <f>ROUND(IF(P2851=0,0,I2851-H2851-O2851)+IF(L2851=0,0,I2851-H2851-K2851),4)</f>
        <v>0</v>
      </c>
      <c r="W2851" s="114">
        <f>ROUND(+(V2851*60%)*D2851,4)</f>
        <v>0</v>
      </c>
      <c r="X2851" s="147">
        <f>ROUND(+U2851+W2851,4)</f>
        <v>0</v>
      </c>
      <c r="Y2851" s="115"/>
      <c r="Z2851" s="150">
        <f>ROUND(IF(X2851&gt;I2851,X2851,I2851),4)</f>
        <v>0</v>
      </c>
      <c r="AD2851">
        <f t="shared" si="70"/>
        <v>0</v>
      </c>
      <c r="AE2851">
        <f t="shared" si="71"/>
        <v>0</v>
      </c>
    </row>
    <row r="2852" spans="1:31" customFormat="1" x14ac:dyDescent="0.2">
      <c r="A2852" s="113"/>
      <c r="B2852" s="113"/>
      <c r="C2852" s="113"/>
      <c r="D2852" s="143"/>
      <c r="E2852" s="114"/>
      <c r="F2852" s="114"/>
      <c r="G2852" s="114"/>
      <c r="H2852" s="114">
        <f>ROUND(+E2852+G2852,4)</f>
        <v>0</v>
      </c>
      <c r="I2852" s="114"/>
      <c r="J2852" s="114">
        <f>ROUND(+I2852-H2852,4)</f>
        <v>0</v>
      </c>
      <c r="K2852" s="114">
        <f>ROUND(IF(F2852="alluminio",0,I2852*1.5%),4)</f>
        <v>0</v>
      </c>
      <c r="L2852" s="114">
        <f>ROUND(IF(K2852&lt;J2852,K2852,0),4)</f>
        <v>0</v>
      </c>
      <c r="M2852" s="114">
        <f>ROUND(IF(J2852&gt;K2852,0,J2852),4)</f>
        <v>0</v>
      </c>
      <c r="N2852" s="114">
        <f>ROUND(+L2852*D2852,4)</f>
        <v>0</v>
      </c>
      <c r="O2852" s="114">
        <f>ROUND(IF(F2852="rame",0,+I2852*3%),4)</f>
        <v>0</v>
      </c>
      <c r="P2852" s="114">
        <f>ROUND(IF(O2852&lt;J2852,O2852,0),4)</f>
        <v>0</v>
      </c>
      <c r="Q2852" s="114">
        <f>ROUND(IF(J2852&gt;O2852,0,J2852),4)</f>
        <v>0</v>
      </c>
      <c r="R2852" s="114">
        <f>ROUND(+P2852*D2852,4)</f>
        <v>0</v>
      </c>
      <c r="S2852" s="114">
        <f>ROUND(IF(K2852=0,0,M2852*D2852),4)</f>
        <v>0</v>
      </c>
      <c r="T2852" s="114">
        <f>ROUND(+IF(K2852=0,Q2852*D2852,0),4)</f>
        <v>0</v>
      </c>
      <c r="U2852" s="114">
        <f>ROUND(+N2852+R2852+S2852+T2852,4)</f>
        <v>0</v>
      </c>
      <c r="V2852" s="114">
        <f>ROUND(IF(P2852=0,0,I2852-H2852-O2852)+IF(L2852=0,0,I2852-H2852-K2852),4)</f>
        <v>0</v>
      </c>
      <c r="W2852" s="114">
        <f>ROUND(+(V2852*60%)*D2852,4)</f>
        <v>0</v>
      </c>
      <c r="X2852" s="147">
        <f>ROUND(+U2852+W2852,4)</f>
        <v>0</v>
      </c>
      <c r="Y2852" s="115"/>
      <c r="Z2852" s="150">
        <f>ROUND(IF(X2852&gt;I2852,X2852,I2852),4)</f>
        <v>0</v>
      </c>
      <c r="AD2852">
        <f t="shared" si="70"/>
        <v>0</v>
      </c>
      <c r="AE2852">
        <f t="shared" si="71"/>
        <v>0</v>
      </c>
    </row>
    <row r="2853" spans="1:31" customFormat="1" x14ac:dyDescent="0.2">
      <c r="A2853" s="113"/>
      <c r="B2853" s="113"/>
      <c r="C2853" s="113"/>
      <c r="D2853" s="143"/>
      <c r="E2853" s="114"/>
      <c r="F2853" s="114"/>
      <c r="G2853" s="114"/>
      <c r="H2853" s="114">
        <f>ROUND(+E2853+G2853,4)</f>
        <v>0</v>
      </c>
      <c r="I2853" s="114"/>
      <c r="J2853" s="114">
        <f>ROUND(+I2853-H2853,4)</f>
        <v>0</v>
      </c>
      <c r="K2853" s="114">
        <f>ROUND(IF(F2853="alluminio",0,I2853*1.5%),4)</f>
        <v>0</v>
      </c>
      <c r="L2853" s="114">
        <f>ROUND(IF(K2853&lt;J2853,K2853,0),4)</f>
        <v>0</v>
      </c>
      <c r="M2853" s="114">
        <f>ROUND(IF(J2853&gt;K2853,0,J2853),4)</f>
        <v>0</v>
      </c>
      <c r="N2853" s="114">
        <f>ROUND(+L2853*D2853,4)</f>
        <v>0</v>
      </c>
      <c r="O2853" s="114">
        <f>ROUND(IF(F2853="rame",0,+I2853*3%),4)</f>
        <v>0</v>
      </c>
      <c r="P2853" s="114">
        <f>ROUND(IF(O2853&lt;J2853,O2853,0),4)</f>
        <v>0</v>
      </c>
      <c r="Q2853" s="114">
        <f>ROUND(IF(J2853&gt;O2853,0,J2853),4)</f>
        <v>0</v>
      </c>
      <c r="R2853" s="114">
        <f>ROUND(+P2853*D2853,4)</f>
        <v>0</v>
      </c>
      <c r="S2853" s="114">
        <f>ROUND(IF(K2853=0,0,M2853*D2853),4)</f>
        <v>0</v>
      </c>
      <c r="T2853" s="114">
        <f>ROUND(+IF(K2853=0,Q2853*D2853,0),4)</f>
        <v>0</v>
      </c>
      <c r="U2853" s="114">
        <f>ROUND(+N2853+R2853+S2853+T2853,4)</f>
        <v>0</v>
      </c>
      <c r="V2853" s="114">
        <f>ROUND(IF(P2853=0,0,I2853-H2853-O2853)+IF(L2853=0,0,I2853-H2853-K2853),4)</f>
        <v>0</v>
      </c>
      <c r="W2853" s="114">
        <f>ROUND(+(V2853*60%)*D2853,4)</f>
        <v>0</v>
      </c>
      <c r="X2853" s="147">
        <f>ROUND(+U2853+W2853,4)</f>
        <v>0</v>
      </c>
      <c r="Y2853" s="115"/>
      <c r="Z2853" s="150">
        <f>ROUND(IF(X2853&gt;I2853,X2853,I2853),4)</f>
        <v>0</v>
      </c>
      <c r="AD2853">
        <f t="shared" si="70"/>
        <v>0</v>
      </c>
      <c r="AE2853">
        <f t="shared" si="71"/>
        <v>0</v>
      </c>
    </row>
    <row r="2854" spans="1:31" customFormat="1" x14ac:dyDescent="0.2">
      <c r="A2854" s="113"/>
      <c r="B2854" s="113"/>
      <c r="C2854" s="113"/>
      <c r="D2854" s="143"/>
      <c r="E2854" s="114"/>
      <c r="F2854" s="114"/>
      <c r="G2854" s="114"/>
      <c r="H2854" s="114">
        <f>ROUND(+E2854+G2854,4)</f>
        <v>0</v>
      </c>
      <c r="I2854" s="114"/>
      <c r="J2854" s="114">
        <f>ROUND(+I2854-H2854,4)</f>
        <v>0</v>
      </c>
      <c r="K2854" s="114">
        <f>ROUND(IF(F2854="alluminio",0,I2854*1.5%),4)</f>
        <v>0</v>
      </c>
      <c r="L2854" s="114">
        <f>ROUND(IF(K2854&lt;J2854,K2854,0),4)</f>
        <v>0</v>
      </c>
      <c r="M2854" s="114">
        <f>ROUND(IF(J2854&gt;K2854,0,J2854),4)</f>
        <v>0</v>
      </c>
      <c r="N2854" s="114">
        <f>ROUND(+L2854*D2854,4)</f>
        <v>0</v>
      </c>
      <c r="O2854" s="114">
        <f>ROUND(IF(F2854="rame",0,+I2854*3%),4)</f>
        <v>0</v>
      </c>
      <c r="P2854" s="114">
        <f>ROUND(IF(O2854&lt;J2854,O2854,0),4)</f>
        <v>0</v>
      </c>
      <c r="Q2854" s="114">
        <f>ROUND(IF(J2854&gt;O2854,0,J2854),4)</f>
        <v>0</v>
      </c>
      <c r="R2854" s="114">
        <f>ROUND(+P2854*D2854,4)</f>
        <v>0</v>
      </c>
      <c r="S2854" s="114">
        <f>ROUND(IF(K2854=0,0,M2854*D2854),4)</f>
        <v>0</v>
      </c>
      <c r="T2854" s="114">
        <f>ROUND(+IF(K2854=0,Q2854*D2854,0),4)</f>
        <v>0</v>
      </c>
      <c r="U2854" s="114">
        <f>ROUND(+N2854+R2854+S2854+T2854,4)</f>
        <v>0</v>
      </c>
      <c r="V2854" s="114">
        <f>ROUND(IF(P2854=0,0,I2854-H2854-O2854)+IF(L2854=0,0,I2854-H2854-K2854),4)</f>
        <v>0</v>
      </c>
      <c r="W2854" s="114">
        <f>ROUND(+(V2854*60%)*D2854,4)</f>
        <v>0</v>
      </c>
      <c r="X2854" s="147">
        <f>ROUND(+U2854+W2854,4)</f>
        <v>0</v>
      </c>
      <c r="Y2854" s="115"/>
      <c r="Z2854" s="150">
        <f>ROUND(IF(X2854&gt;I2854,X2854,I2854),4)</f>
        <v>0</v>
      </c>
      <c r="AD2854">
        <f t="shared" si="70"/>
        <v>0</v>
      </c>
      <c r="AE2854">
        <f t="shared" si="71"/>
        <v>0</v>
      </c>
    </row>
    <row r="2855" spans="1:31" ht="13.5" thickBot="1" x14ac:dyDescent="0.25">
      <c r="A2855" s="48"/>
      <c r="B2855" s="109"/>
      <c r="C2855" s="48"/>
      <c r="D2855" s="146"/>
      <c r="E2855" s="49"/>
      <c r="F2855" s="49"/>
      <c r="G2855" s="49"/>
      <c r="H2855" s="49">
        <f>ROUND(+E2855+G2855,4)</f>
        <v>0</v>
      </c>
      <c r="I2855" s="49"/>
      <c r="J2855" s="49">
        <f>ROUND(+I2855-H2855,4)</f>
        <v>0</v>
      </c>
      <c r="K2855" s="49">
        <f>ROUND(IF(F2855="alluminio",0,I2855*1.5%),4)</f>
        <v>0</v>
      </c>
      <c r="L2855" s="49">
        <f>ROUND(IF(K2855&lt;J2855,K2855,0),4)</f>
        <v>0</v>
      </c>
      <c r="M2855" s="49">
        <f>ROUND(IF(J2855&gt;K2855,0,J2855),4)</f>
        <v>0</v>
      </c>
      <c r="N2855" s="49">
        <f>ROUND(+L2855*D2855,4)</f>
        <v>0</v>
      </c>
      <c r="O2855" s="49">
        <f>ROUND(IF(F2855="rame",0,+I2855*3%),4)</f>
        <v>0</v>
      </c>
      <c r="P2855" s="49">
        <f>ROUND(IF(O2855&lt;J2855,O2855,0),4)</f>
        <v>0</v>
      </c>
      <c r="Q2855" s="49">
        <f>ROUND(IF(J2855&gt;O2855,0,J2855),4)</f>
        <v>0</v>
      </c>
      <c r="R2855" s="49">
        <f>ROUND(+P2855*D2855,4)</f>
        <v>0</v>
      </c>
      <c r="S2855" s="49">
        <f>ROUND(IF(K2855=0,0,M2855*D2855),4)</f>
        <v>0</v>
      </c>
      <c r="T2855" s="49">
        <f>ROUND(+IF(K2855=0,Q2855*D2855,0),4)</f>
        <v>0</v>
      </c>
      <c r="U2855" s="49">
        <f>ROUND(+N2855+R2855+S2855+T2855,4)</f>
        <v>0</v>
      </c>
      <c r="V2855" s="49">
        <f>ROUND(IF(P2855=0,0,I2855-H2855-O2855)+IF(L2855=0,0,I2855-H2855-K2855),4)</f>
        <v>0</v>
      </c>
      <c r="W2855" s="49">
        <f>ROUND(+(V2855*60%)*D2855,4)</f>
        <v>0</v>
      </c>
      <c r="X2855" s="149">
        <f>ROUND(+U2855+W2855,4)</f>
        <v>0</v>
      </c>
      <c r="Y2855" s="50"/>
      <c r="Z2855" s="153">
        <f>ROUND(IF(X2855&gt;I2855,X2855,I2855),4)</f>
        <v>0</v>
      </c>
      <c r="AD2855" s="78">
        <f t="shared" si="70"/>
        <v>0</v>
      </c>
      <c r="AE2855" s="78">
        <f t="shared" si="71"/>
        <v>0</v>
      </c>
    </row>
    <row r="2856" spans="1:31" ht="12.75" customHeight="1" thickBot="1" x14ac:dyDescent="0.25">
      <c r="B2856" s="134" t="s">
        <v>203</v>
      </c>
      <c r="D2856" s="70">
        <f>SUM(D7:D2855)</f>
        <v>22077.4</v>
      </c>
      <c r="U2856" s="81"/>
      <c r="Z2856" s="82">
        <f>SUM(Z7:Z2855)</f>
        <v>11249.099000000002</v>
      </c>
    </row>
    <row r="2860" spans="1:31" ht="13.5" thickBot="1" x14ac:dyDescent="0.25"/>
    <row r="2861" spans="1:31" ht="13.5" thickBot="1" x14ac:dyDescent="0.25">
      <c r="B2861" s="83" t="s">
        <v>21</v>
      </c>
      <c r="C2861" s="84" t="s">
        <v>3</v>
      </c>
      <c r="D2861" s="84" t="s">
        <v>73</v>
      </c>
      <c r="E2861" s="85" t="s">
        <v>74</v>
      </c>
    </row>
    <row r="2862" spans="1:31" x14ac:dyDescent="0.2">
      <c r="B2862" s="86"/>
      <c r="C2862" s="87"/>
      <c r="D2862" s="88"/>
      <c r="E2862" s="89"/>
    </row>
    <row r="2863" spans="1:31" x14ac:dyDescent="0.2">
      <c r="B2863" s="90" t="s">
        <v>107</v>
      </c>
      <c r="C2863" s="91">
        <f>SUMIF(B$7:B$2855,"Alpe",D$7:D$2855)</f>
        <v>2160</v>
      </c>
      <c r="D2863" s="92">
        <f>SUMIF(B$7:B$2855,"Alpe",Z$7:Z$2855)</f>
        <v>1219.8767</v>
      </c>
      <c r="E2863" s="93">
        <f>SUMIFS(Z$7:Z$2855,B$7:B$2855,"Alpe",AA$7:AA$2855,"OK")</f>
        <v>945.55669999999998</v>
      </c>
    </row>
    <row r="2864" spans="1:31" x14ac:dyDescent="0.2">
      <c r="B2864" s="94" t="s">
        <v>67</v>
      </c>
      <c r="C2864" s="91">
        <f>SUMIF(B$7:B$2855,"Ame",D$7:D$2855)</f>
        <v>0</v>
      </c>
      <c r="D2864" s="92">
        <f>SUMIF(B$7:B$2855,"Ame",Z$7:Z$2855)</f>
        <v>0</v>
      </c>
      <c r="E2864" s="93">
        <f>SUMIFS(Z$7:Z$2855,B$7:B$2855,"Ame",AA$7:AA$2855,"OK")</f>
        <v>0</v>
      </c>
    </row>
    <row r="2865" spans="2:5" x14ac:dyDescent="0.2">
      <c r="B2865" s="94" t="s">
        <v>66</v>
      </c>
      <c r="C2865" s="91">
        <f>SUMIF(B$7:B$2855,"Baietti",D$7:D$2855)</f>
        <v>0</v>
      </c>
      <c r="D2865" s="92">
        <f>SUMIF(B$7:B$2855,"Baietti",Z$7:Z$2855)</f>
        <v>0</v>
      </c>
      <c r="E2865" s="93">
        <f>SUMIFS(Z$7:Z$2855,B$7:B$2855,"Baietti",AA$7:AA$2855,"OK")</f>
        <v>0</v>
      </c>
    </row>
    <row r="2866" spans="2:5" x14ac:dyDescent="0.2">
      <c r="B2866" s="94" t="s">
        <v>82</v>
      </c>
      <c r="C2866" s="91">
        <f>SUMIF(B$7:B$2855,"Baimetal",D$7:D$2855)</f>
        <v>0</v>
      </c>
      <c r="D2866" s="92">
        <f>SUMIF(B$7:B$2855,"Baimetal",Z$7:Z$2855)</f>
        <v>0</v>
      </c>
      <c r="E2866" s="93">
        <f>SUMIFS(Z$7:Z$2855,B$7:B$2855,"Baimetal",AA$7:AA$2855,"OK")</f>
        <v>0</v>
      </c>
    </row>
    <row r="2867" spans="2:5" x14ac:dyDescent="0.2">
      <c r="B2867" s="94" t="s">
        <v>119</v>
      </c>
      <c r="C2867" s="91">
        <f>SUMIF(B$7:B$2855,"bixio",D$7:D$2855)</f>
        <v>0</v>
      </c>
      <c r="D2867" s="92">
        <f>SUMIF(B$7:B$2855,"bixio",Z$7:Z$2855)</f>
        <v>0</v>
      </c>
      <c r="E2867" s="93">
        <f>SUMIFS(Z$7:Z$2855,B$7:B$2855,"bixio",AA$7:AA$2855,"OK")</f>
        <v>0</v>
      </c>
    </row>
    <row r="2868" spans="2:5" x14ac:dyDescent="0.2">
      <c r="B2868" s="94" t="s">
        <v>55</v>
      </c>
      <c r="C2868" s="91">
        <f>SUMIF(B$7:B$2855,"Braga",D$7:D$2855)</f>
        <v>3049.6000000000004</v>
      </c>
      <c r="D2868" s="92">
        <f>SUMIF(B$7:B$2855,"Braga",Z$7:Z$2855)</f>
        <v>849.98</v>
      </c>
      <c r="E2868" s="93">
        <f>SUMIFS(Z$7:Z$2855,B$7:B$2855,"Braga",AA$7:AA$2855,"OK")</f>
        <v>262.83799999999997</v>
      </c>
    </row>
    <row r="2869" spans="2:5" x14ac:dyDescent="0.2">
      <c r="B2869" s="94" t="s">
        <v>59</v>
      </c>
      <c r="C2869" s="91">
        <f>SUMIF(B$7:B$2855,"Brignolo",D$7:D$2855)</f>
        <v>0</v>
      </c>
      <c r="D2869" s="92">
        <f>SUMIF(B$7:B$2855,"Brignolo",Z$7:Z$2855)</f>
        <v>0</v>
      </c>
      <c r="E2869" s="93">
        <f>SUMIFS(Z$7:Z$2855,B$7:B$2855,"Brignolo",AA$7:AA$2855,"OK")</f>
        <v>0</v>
      </c>
    </row>
    <row r="2870" spans="2:5" x14ac:dyDescent="0.2">
      <c r="B2870" s="94" t="s">
        <v>98</v>
      </c>
      <c r="C2870" s="91">
        <f>SUMIF(B$7:B$2855,"Carbognin",D$7:D$2855)</f>
        <v>0</v>
      </c>
      <c r="D2870" s="92">
        <f>SUMIF(B$7:B$2855,"carbognin",Z$7:Z$2855)</f>
        <v>0</v>
      </c>
      <c r="E2870" s="93">
        <f>SUMIFS(Z$7:Z$2855,B$7:B$2855,"carbognin",AA$7:AA$2855,"OK")</f>
        <v>0</v>
      </c>
    </row>
    <row r="2871" spans="2:5" x14ac:dyDescent="0.2">
      <c r="B2871" s="94" t="s">
        <v>62</v>
      </c>
      <c r="C2871" s="91">
        <f>SUMIF(B$7:B$2855,"Ced",D$7:D$2855)</f>
        <v>0</v>
      </c>
      <c r="D2871" s="92">
        <f>SUMIF(B$7:B$2855,"Ced",Z$7:Z$2855)</f>
        <v>0</v>
      </c>
      <c r="E2871" s="93">
        <f>SUMIFS(Z$7:Z$2855,B$7:B$2855,"Ced",AA$7:AA$2855,"OK")</f>
        <v>0</v>
      </c>
    </row>
    <row r="2872" spans="2:5" x14ac:dyDescent="0.2">
      <c r="B2872" s="94" t="s">
        <v>76</v>
      </c>
      <c r="C2872" s="91">
        <f>SUMIF(B$7:B$2855,"Cet",D$7:D$2855)</f>
        <v>0</v>
      </c>
      <c r="D2872" s="92">
        <f>SUMIF(B$7:B$2855,"Cet",Z$7:Z$2855)</f>
        <v>0</v>
      </c>
      <c r="E2872" s="93">
        <f>SUMIFS(Z$7:Z$2855,B$7:B$2855,"Cet",AA$7:AA$2855,"OK")</f>
        <v>0</v>
      </c>
    </row>
    <row r="2873" spans="2:5" x14ac:dyDescent="0.2">
      <c r="B2873" s="94" t="s">
        <v>135</v>
      </c>
      <c r="C2873" s="91">
        <f>SUMIF(B$7:B$2855,"Cem",D$7:D$2855)</f>
        <v>0</v>
      </c>
      <c r="D2873" s="92">
        <f>SUMIF(B$7:B$2855,"Cem",Z$7:Z$2855)</f>
        <v>0</v>
      </c>
      <c r="E2873" s="93">
        <f>SUMIFS(Z$7:Z$2855,B$7:B$2855,"Cem",AA$7:AA$2855,"OK")</f>
        <v>0</v>
      </c>
    </row>
    <row r="2874" spans="2:5" x14ac:dyDescent="0.2">
      <c r="B2874" s="94" t="s">
        <v>111</v>
      </c>
      <c r="C2874" s="91">
        <f>SUMIF(B$7:B$2855,"Cima",D$7:D$2855)</f>
        <v>0</v>
      </c>
      <c r="D2874" s="92">
        <f>SUMIF(B$7:B$2855,"Cima",Z$7:Z$2855)</f>
        <v>0</v>
      </c>
      <c r="E2874" s="93">
        <f>SUMIFS(Z$7:Z$2855,B$7:B$2855,"Cima",AA$7:AA$2855,"OK")</f>
        <v>0</v>
      </c>
    </row>
    <row r="2875" spans="2:5" x14ac:dyDescent="0.2">
      <c r="B2875" s="94" t="s">
        <v>114</v>
      </c>
      <c r="C2875" s="91">
        <f>SUMIF(B$7:B$2855,"Cm",D$7:D$2855)</f>
        <v>0</v>
      </c>
      <c r="D2875" s="92">
        <f>SUMIF(B$7:B$2855,"Cm",Z$7:Z$2855)</f>
        <v>0</v>
      </c>
      <c r="E2875" s="93">
        <f>SUMIFS(Z$7:Z$2855,B$7:B$2855,"Cm",AA$7:AA$2855,"OK")</f>
        <v>0</v>
      </c>
    </row>
    <row r="2876" spans="2:5" x14ac:dyDescent="0.2">
      <c r="B2876" s="94" t="s">
        <v>61</v>
      </c>
      <c r="C2876" s="91">
        <f>SUMIF(B$7:B$2855,"Cobral",D$7:D$2855)</f>
        <v>0</v>
      </c>
      <c r="D2876" s="92">
        <f>SUMIF(B$7:B$2855,"Cobral",Z$7:Z$2855)</f>
        <v>0</v>
      </c>
      <c r="E2876" s="93">
        <f>SUMIFS(Z$7:Z$2855,B$7:B$2855,"Cobral",AA$7:AA$2855,"OK")</f>
        <v>0</v>
      </c>
    </row>
    <row r="2877" spans="2:5" x14ac:dyDescent="0.2">
      <c r="B2877" s="94" t="s">
        <v>121</v>
      </c>
      <c r="C2877" s="91">
        <f>SUMIF(B$7:B$2855,"Cogozzo",D$7:D$2855)</f>
        <v>0</v>
      </c>
      <c r="D2877" s="92">
        <f>SUMIF(B$7:B$2855,"Cogozzo",Z$7:Z$2855)</f>
        <v>0</v>
      </c>
      <c r="E2877" s="93">
        <f>SUMIFS(Z$7:Z$2855,B$7:B$2855,"Cogozzo",AA$7:AA$2855,"OK")</f>
        <v>0</v>
      </c>
    </row>
    <row r="2878" spans="2:5" x14ac:dyDescent="0.2">
      <c r="B2878" s="94" t="s">
        <v>86</v>
      </c>
      <c r="C2878" s="91">
        <f>SUMIF(B$7:B$2855,"Copper",D$7:D$2855)</f>
        <v>0</v>
      </c>
      <c r="D2878" s="92">
        <f>SUMIF(B$7:B$2855,"Copper",Z$7:Z$2855)</f>
        <v>0</v>
      </c>
      <c r="E2878" s="93">
        <f>SUMIFS(Z$7:Z$2855,B$7:B$2855,"Copper",AA$7:AA$2855,"OK")</f>
        <v>0</v>
      </c>
    </row>
    <row r="2879" spans="2:5" x14ac:dyDescent="0.2">
      <c r="B2879" s="94" t="s">
        <v>105</v>
      </c>
      <c r="C2879" s="91">
        <f>SUMIF(B$7:B$2855,"Danese",D$7:D$2855)</f>
        <v>0</v>
      </c>
      <c r="D2879" s="92">
        <f>SUMIF(B$7:B$2855,"Danese",Z$7:Z$2855)</f>
        <v>0</v>
      </c>
      <c r="E2879" s="93">
        <f>SUMIFS(Z$7:Z$2855,B$7:B$2855,"Danese",AA$7:AA$2855,"OK")</f>
        <v>0</v>
      </c>
    </row>
    <row r="2880" spans="2:5" x14ac:dyDescent="0.2">
      <c r="B2880" s="94" t="s">
        <v>126</v>
      </c>
      <c r="C2880" s="91">
        <f>SUMIF(B$7:B$2855,"Dell'Era",D$7:D$2855)</f>
        <v>0</v>
      </c>
      <c r="D2880" s="92">
        <f>SUMIF(B$7:B$2855,"Dell'Era",Z$7:Z$2855)</f>
        <v>0</v>
      </c>
      <c r="E2880" s="93">
        <f>SUMIFS(Z$7:Z$2855,B$7:B$2855,"Dell'Era",AA$7:AA$2855,"OK")</f>
        <v>0</v>
      </c>
    </row>
    <row r="2881" spans="2:5" x14ac:dyDescent="0.2">
      <c r="B2881" s="94" t="s">
        <v>92</v>
      </c>
      <c r="C2881" s="91">
        <f>SUMIF(B$7:B$2855,"ebg",D$7:D$2855)</f>
        <v>509.6</v>
      </c>
      <c r="D2881" s="92">
        <f>SUMIF(B$7:B$2855,"ebg",Z$7:Z$2855)</f>
        <v>50.96</v>
      </c>
      <c r="E2881" s="93">
        <f>SUMIFS(Z$7:Z$2855,B$7:B$2855,"ebg",AA$7:AA$2855,"OK")</f>
        <v>50.96</v>
      </c>
    </row>
    <row r="2882" spans="2:5" x14ac:dyDescent="0.2">
      <c r="B2882" s="94" t="s">
        <v>80</v>
      </c>
      <c r="C2882" s="91">
        <f>SUMIF(B$7:B$2855,"Elca",D$7:D$2855)</f>
        <v>611.09999999999991</v>
      </c>
      <c r="D2882" s="92">
        <f>SUMIF(B$7:B$2855,"elca",Z$7:Z$2855)</f>
        <v>237.39530000000002</v>
      </c>
      <c r="E2882" s="93">
        <f>SUMIFS(Z$7:Z$2855,B$7:B$2855,"elca",AA$7:AA$2855,"OK")</f>
        <v>237.39530000000002</v>
      </c>
    </row>
    <row r="2883" spans="2:5" x14ac:dyDescent="0.2">
      <c r="B2883" s="94" t="s">
        <v>90</v>
      </c>
      <c r="C2883" s="91">
        <f>SUMIF(B$7:B$2855,"Eletrafo",D$7:D$2855)</f>
        <v>0</v>
      </c>
      <c r="D2883" s="92">
        <f>SUMIF(B$7:B$2855,"eletrafo",Z$7:Z$2855)</f>
        <v>0</v>
      </c>
      <c r="E2883" s="93">
        <f>SUMIFS(Z$7:Z$2855,B$7:B$2855,"eletrafo",AA$7:AA$2855,"OK")</f>
        <v>0</v>
      </c>
    </row>
    <row r="2884" spans="2:5" x14ac:dyDescent="0.2">
      <c r="B2884" s="94" t="s">
        <v>133</v>
      </c>
      <c r="C2884" s="91">
        <f>SUMIF(B$7:B$2855,"Elett Campana",D$7:D$2855)</f>
        <v>0</v>
      </c>
      <c r="D2884" s="92">
        <f>SUMIF(B$7:B$2855,"Elett Campana",Z$7:Z$2855)</f>
        <v>0</v>
      </c>
      <c r="E2884" s="93">
        <f>SUMIFS(Z$7:Z$2855,B$7:B$2855,"Elett Campana",AA$7:AA$2855,"OK")</f>
        <v>0</v>
      </c>
    </row>
    <row r="2885" spans="2:5" x14ac:dyDescent="0.2">
      <c r="B2885" s="94" t="s">
        <v>112</v>
      </c>
      <c r="C2885" s="91">
        <f>SUMIF(B$7:B$2855,"Elfri",D$7:D$2855)</f>
        <v>0</v>
      </c>
      <c r="D2885" s="92">
        <f>SUMIF(B$7:B$2855,"Elfri",Z$7:Z$2855)</f>
        <v>0</v>
      </c>
      <c r="E2885" s="93">
        <f>SUMIFS(Z$7:Z$2855,B$7:B$2855,"elfri",AA$7:AA$2855,"OK")</f>
        <v>0</v>
      </c>
    </row>
    <row r="2886" spans="2:5" x14ac:dyDescent="0.2">
      <c r="B2886" s="94" t="s">
        <v>89</v>
      </c>
      <c r="C2886" s="91">
        <f>SUMIF(B$7:B$2855,"Emg",D$7:D$2855)</f>
        <v>0</v>
      </c>
      <c r="D2886" s="92">
        <f>SUMIF(B$7:B$2855,"emg",Z$7:Z$2855)</f>
        <v>0</v>
      </c>
      <c r="E2886" s="93">
        <f>SUMIFS(Z$7:Z$2855,B$7:B$2855,"emg",AA$7:AA$2855,"OK")</f>
        <v>0</v>
      </c>
    </row>
    <row r="2887" spans="2:5" x14ac:dyDescent="0.2">
      <c r="B2887" s="94" t="s">
        <v>71</v>
      </c>
      <c r="C2887" s="91">
        <f>SUMIF(B$7:B$2855,"Facem",D$7:D$2855)</f>
        <v>0</v>
      </c>
      <c r="D2887" s="92">
        <f>SUMIF(B$7:B$2855,"Facem",Z$7:Z$2855)</f>
        <v>0</v>
      </c>
      <c r="E2887" s="93">
        <f>SUMIFS(Z$7:Z$2855,B$7:B$2855,"Facem",AA$7:AA$2855,"OK")</f>
        <v>0</v>
      </c>
    </row>
    <row r="2888" spans="2:5" x14ac:dyDescent="0.2">
      <c r="B2888" s="94" t="s">
        <v>104</v>
      </c>
      <c r="C2888" s="91">
        <f>SUMIF(B$7:B$2855,"Fashion",D$7:D$2855)</f>
        <v>30</v>
      </c>
      <c r="D2888" s="92">
        <f>SUMIF(B$7:B$2855,"Fashion",Z$7:Z$2855)</f>
        <v>61.747199999999999</v>
      </c>
      <c r="E2888" s="93">
        <f>SUMIFS(Z$7:Z$2855,B$7:B$2855,"Fashion",AA$7:AA$2855,"OK")</f>
        <v>0</v>
      </c>
    </row>
    <row r="2889" spans="2:5" x14ac:dyDescent="0.2">
      <c r="B2889" s="94" t="s">
        <v>68</v>
      </c>
      <c r="C2889" s="91">
        <f>SUMIF(B$7:B$2855,"Firm",D$7:D$2855)</f>
        <v>1450</v>
      </c>
      <c r="D2889" s="92">
        <f>SUMIF(B$7:B$2855,"Firm",Z$7:Z$2855)</f>
        <v>566.28000000000009</v>
      </c>
      <c r="E2889" s="93">
        <f>SUMIFS(Z$7:Z$2855,B$7:B$2855,"Firm",AA$7:AA$2855,"OK")</f>
        <v>0</v>
      </c>
    </row>
    <row r="2890" spans="2:5" x14ac:dyDescent="0.2">
      <c r="B2890" s="94" t="s">
        <v>54</v>
      </c>
      <c r="C2890" s="91">
        <f>SUMIF(B$7:B$2855,"Galliera",D$7:D$2855)</f>
        <v>0</v>
      </c>
      <c r="D2890" s="92">
        <f>SUMIF(B$7:B$2855,"Galliera",Z$7:Z$2855)</f>
        <v>0</v>
      </c>
      <c r="E2890" s="93">
        <f>SUMIFS(Z$7:Z$2855,B$7:B$2855,"Galliera",AA$7:AA$2855,"OK")</f>
        <v>0</v>
      </c>
    </row>
    <row r="2891" spans="2:5" x14ac:dyDescent="0.2">
      <c r="B2891" s="94" t="s">
        <v>91</v>
      </c>
      <c r="C2891" s="91">
        <f>SUMIF(B$7:B$2855,"Gbe",D$7:D$2855)</f>
        <v>0</v>
      </c>
      <c r="D2891" s="92">
        <f>SUMIF(B$7:B$2855,"Gbe",Z$7:Z$2855)</f>
        <v>0</v>
      </c>
      <c r="E2891" s="93">
        <f>SUMIFS(Z$7:Z$2855,B$7:B$2855,"Gbe",AA$7:AA$2855,"OK")</f>
        <v>0</v>
      </c>
    </row>
    <row r="2892" spans="2:5" x14ac:dyDescent="0.2">
      <c r="B2892" s="94" t="s">
        <v>150</v>
      </c>
      <c r="C2892" s="91">
        <f>SUMIF(B$7:B$2855,"Genset",D$7:D$2855)</f>
        <v>1200</v>
      </c>
      <c r="D2892" s="92">
        <f>SUMIF(B$7:B$2855,"Genset",Z$7:Z$2855)</f>
        <v>793.46400000000006</v>
      </c>
      <c r="E2892" s="93">
        <f>SUMIFS(Z$7:Z$2855,B$7:B$2855,"Genset",AA$7:AA$2855,"OK")</f>
        <v>0</v>
      </c>
    </row>
    <row r="2893" spans="2:5" x14ac:dyDescent="0.2">
      <c r="B2893" s="94" t="s">
        <v>84</v>
      </c>
      <c r="C2893" s="91">
        <f>SUMIF(B$7:B$2855,"Green Metal",D$7:D$2855)</f>
        <v>0</v>
      </c>
      <c r="D2893" s="92">
        <f>SUMIF(B$7:B$2855,"Green metal",Z$7:Z$2855)</f>
        <v>0</v>
      </c>
      <c r="E2893" s="93">
        <f>SUMIFS(Z$7:Z$2855,B$7:B$2855,"Green metal",AA$7:AA$2855,"OK")</f>
        <v>0</v>
      </c>
    </row>
    <row r="2894" spans="2:5" x14ac:dyDescent="0.2">
      <c r="B2894" s="94" t="s">
        <v>60</v>
      </c>
      <c r="C2894" s="91">
        <f>SUMIF(B$7:B$2855,"Gritti",D$7:D$2855)</f>
        <v>0</v>
      </c>
      <c r="D2894" s="92">
        <f>SUMIF(B$7:B$2855,"Gritti",Z$7:Z$2855)</f>
        <v>0</v>
      </c>
      <c r="E2894" s="93">
        <f>SUMIFS(Z$7:Z$2855,B$7:B$2855,"Gritti",AA$7:AA$2855,"OK")</f>
        <v>0</v>
      </c>
    </row>
    <row r="2895" spans="2:5" x14ac:dyDescent="0.2">
      <c r="B2895" s="94" t="s">
        <v>85</v>
      </c>
      <c r="C2895" s="91">
        <f>SUMIF(B$7:B$2855,"Gts",D$7:D$2855)</f>
        <v>0</v>
      </c>
      <c r="D2895" s="92">
        <f>SUMIF(B$7:B$2855,"Gts",Z$7:Z$2855)</f>
        <v>0</v>
      </c>
      <c r="E2895" s="93">
        <f>SUMIFS(Z$7:Z$2855,B$7:B$2855,"Gts",AA$7:AA$2855,"OK")</f>
        <v>0</v>
      </c>
    </row>
    <row r="2896" spans="2:5" x14ac:dyDescent="0.2">
      <c r="B2896" s="94" t="s">
        <v>134</v>
      </c>
      <c r="C2896" s="91">
        <f>SUMIF(B$7:B$2855,"Heusch",D$7:D$2855)</f>
        <v>0</v>
      </c>
      <c r="D2896" s="92">
        <f>SUMIF(B$7:B$2855,"Heusch",Z$7:Z$2855)</f>
        <v>0</v>
      </c>
      <c r="E2896" s="93">
        <f>SUMIFS(Z$7:Z$2855,B$7:B$2855,"Heusch",AA$7:AA$2855,"OK")</f>
        <v>0</v>
      </c>
    </row>
    <row r="2897" spans="2:5" x14ac:dyDescent="0.2">
      <c r="B2897" s="94" t="s">
        <v>64</v>
      </c>
      <c r="C2897" s="91">
        <f>SUMIF(B$7:B$2855,"Intermagnetics",D$7:D$2855)</f>
        <v>4245</v>
      </c>
      <c r="D2897" s="92">
        <f>SUMIF(B$7:B$2855,"Intermagnetics",Z$7:Z$2855)</f>
        <v>2883.2383999999997</v>
      </c>
      <c r="E2897" s="93">
        <f>SUMIFS(Z$7:Z$2855,B$7:B$2855,"Intermagnetics",AA$7:AA$2855,"OK")</f>
        <v>162.5804</v>
      </c>
    </row>
    <row r="2898" spans="2:5" x14ac:dyDescent="0.2">
      <c r="B2898" s="94" t="s">
        <v>88</v>
      </c>
      <c r="C2898" s="91">
        <f>SUMIF(B$7:B$2855,"mace",D$7:D$2855)</f>
        <v>0</v>
      </c>
      <c r="D2898" s="92">
        <f>SUMIF(B$7:B$2855,"mace",Z$7:Z$2855)</f>
        <v>0</v>
      </c>
      <c r="E2898" s="93">
        <f>SUMIFS(Z$7:Z$2855,B$7:B$2855,"mace",AA$7:AA$2855,"OK")</f>
        <v>0</v>
      </c>
    </row>
    <row r="2899" spans="2:5" x14ac:dyDescent="0.2">
      <c r="B2899" s="94" t="s">
        <v>130</v>
      </c>
      <c r="C2899" s="91">
        <f>SUMIF(B$7:B$2855,"mangoldt",D$7:D$2855)</f>
        <v>0</v>
      </c>
      <c r="D2899" s="92">
        <f>SUMIF(B$7:B$2855,"mangoldt",Z$7:Z$2855)</f>
        <v>0</v>
      </c>
      <c r="E2899" s="93">
        <f>SUMIFS(Z$7:Z$2855,B$7:B$2855,"mangoldt",AA$7:AA$2855,"OK")</f>
        <v>0</v>
      </c>
    </row>
    <row r="2900" spans="2:5" x14ac:dyDescent="0.2">
      <c r="B2900" s="94" t="s">
        <v>100</v>
      </c>
      <c r="C2900" s="91">
        <f>SUMIF(B$7:B$2855,"mdls",D$7:D$2855)</f>
        <v>0</v>
      </c>
      <c r="D2900" s="92">
        <f>SUMIF(B$7:B$2855,"mdls",Z$7:Z$2855)</f>
        <v>0</v>
      </c>
      <c r="E2900" s="93">
        <f>SUMIFS(Z$7:Z$2855,B$7:B$2855,"mdls",AA$7:AA$2855,"OK")</f>
        <v>0</v>
      </c>
    </row>
    <row r="2901" spans="2:5" x14ac:dyDescent="0.2">
      <c r="B2901" s="94" t="s">
        <v>123</v>
      </c>
      <c r="C2901" s="91">
        <f>SUMIF(B$7:B$2855,"meca",D$7:D$2855)</f>
        <v>0</v>
      </c>
      <c r="D2901" s="92">
        <f>SUMIF(B$7:B$2855,"meca",Z$7:Z$2855)</f>
        <v>0</v>
      </c>
      <c r="E2901" s="93">
        <f>SUMIFS(Z$7:Z$2855,B$7:B$2855,"meca",AA$7:AA$2855,"OK")</f>
        <v>0</v>
      </c>
    </row>
    <row r="2902" spans="2:5" x14ac:dyDescent="0.2">
      <c r="B2902" s="94" t="s">
        <v>128</v>
      </c>
      <c r="C2902" s="91">
        <f>SUMIF(B$7:B$2855,"metaltrasfo",D$7:D$2855)</f>
        <v>0</v>
      </c>
      <c r="D2902" s="92">
        <f>SUMIF(B$7:B$2855,"metaltrasfo",Z$7:Z$2855)</f>
        <v>0</v>
      </c>
      <c r="E2902" s="93">
        <f>SUMIFS(Z$7:Z$2855,B$7:B$2855,"metaltrasfo",AA$7:AA$2855,"OK")</f>
        <v>0</v>
      </c>
    </row>
    <row r="2903" spans="2:5" x14ac:dyDescent="0.2">
      <c r="B2903" s="94" t="s">
        <v>103</v>
      </c>
      <c r="C2903" s="91">
        <f>SUMIF(B$7:B$2855,"mevis",D$7:D$2855)</f>
        <v>0</v>
      </c>
      <c r="D2903" s="92">
        <f>SUMIF(B$7:B$2855,"mevis",Z$7:Z$2855)</f>
        <v>0</v>
      </c>
      <c r="E2903" s="93">
        <f>SUMIFS(Z$7:Z$2855,B$7:B$2855,"mevis",AA$7:AA$2855,"OK")</f>
        <v>0</v>
      </c>
    </row>
    <row r="2904" spans="2:5" x14ac:dyDescent="0.2">
      <c r="B2904" s="94" t="s">
        <v>129</v>
      </c>
      <c r="C2904" s="91">
        <f>SUMIF(B$7:B$2855,"mf",D$7:D$2855)</f>
        <v>0</v>
      </c>
      <c r="D2904" s="92">
        <f>SUMIF(B$7:B$2855,"mf",Z$7:Z$2855)</f>
        <v>0</v>
      </c>
      <c r="E2904" s="93">
        <f>SUMIFS(Z$7:Z$2855,B$7:B$2855,"mf",AA$7:AA$2855,"OK")</f>
        <v>0</v>
      </c>
    </row>
    <row r="2905" spans="2:5" x14ac:dyDescent="0.2">
      <c r="B2905" s="94" t="s">
        <v>136</v>
      </c>
      <c r="C2905" s="91">
        <f>SUMIF(B$7:B$2855,"minsavit",D$7:D$2855)</f>
        <v>0</v>
      </c>
      <c r="D2905" s="92">
        <f>SUMIF(B$7:B$2855,"minsavit",Z$7:Z$2855)</f>
        <v>0</v>
      </c>
      <c r="E2905" s="93">
        <f>SUMIFS(Z$7:Z$2855,B$7:B$2855,"minsavit",AA$7:AA$2855,"OK")</f>
        <v>0</v>
      </c>
    </row>
    <row r="2906" spans="2:5" x14ac:dyDescent="0.2">
      <c r="B2906" s="94" t="s">
        <v>102</v>
      </c>
      <c r="C2906" s="91">
        <f>SUMIF(B$7:B$2855,"mtp",D$7:D$2855)</f>
        <v>0</v>
      </c>
      <c r="D2906" s="92">
        <f>SUMIF(B$7:B$2855,"mtp",Z$7:Z$2855)</f>
        <v>0</v>
      </c>
      <c r="E2906" s="93">
        <f>SUMIFS(Z$7:Z$2855,B$7:B$2855,"mtp",AA$7:AA$2855,"OK")</f>
        <v>0</v>
      </c>
    </row>
    <row r="2907" spans="2:5" x14ac:dyDescent="0.2">
      <c r="B2907" s="94" t="s">
        <v>122</v>
      </c>
      <c r="C2907" s="91">
        <f>SUMIF(B$7:B$2855,"ncc",D$7:D$2855)</f>
        <v>0</v>
      </c>
      <c r="D2907" s="92">
        <f>SUMIF(B$7:B$2855,"ncc",Z$7:Z$2855)</f>
        <v>0</v>
      </c>
      <c r="E2907" s="93">
        <f>SUMIFS(Z$7:Z$2855,B$7:B$2855,"ncc",AA$7:AA$2855,"OK")</f>
        <v>0</v>
      </c>
    </row>
    <row r="2908" spans="2:5" x14ac:dyDescent="0.2">
      <c r="B2908" s="94" t="s">
        <v>58</v>
      </c>
      <c r="C2908" s="91">
        <f>SUMIF(B$7:B$2855,"New Cemi",D$7:D$2855)</f>
        <v>0</v>
      </c>
      <c r="D2908" s="92">
        <f>SUMIF(B$7:B$2855,"New Cemi",Z$7:Z$2855)</f>
        <v>0</v>
      </c>
      <c r="E2908" s="93">
        <f>SUMIFS(Z$7:Z$2855,B$7:B$2855,"New Cemi",AA$7:AA$2855,"OK")</f>
        <v>0</v>
      </c>
    </row>
    <row r="2909" spans="2:5" x14ac:dyDescent="0.2">
      <c r="B2909" s="94" t="s">
        <v>127</v>
      </c>
      <c r="C2909" s="91">
        <f>SUMIF(B$7:B$2855,"Newton",D$7:D$2855)</f>
        <v>0</v>
      </c>
      <c r="D2909" s="92">
        <f>SUMIF(B$7:B$2855,"Newton",Z$7:Z$2855)</f>
        <v>0</v>
      </c>
      <c r="E2909" s="93">
        <f>SUMIFS(Z$7:Z$2855,B$7:B$2855,"newton",AA$7:AA$2855,"OK")</f>
        <v>0</v>
      </c>
    </row>
    <row r="2910" spans="2:5" x14ac:dyDescent="0.2">
      <c r="B2910" s="94" t="s">
        <v>99</v>
      </c>
      <c r="C2910" s="91">
        <f>SUMIF(B$7:B$2855,"Ocrev",D$7:D$2855)</f>
        <v>0</v>
      </c>
      <c r="D2910" s="92">
        <f>SUMIF(B$7:B$2855,"ocrev",Z$7:Z$2855)</f>
        <v>0</v>
      </c>
      <c r="E2910" s="93">
        <f>SUMIFS(Z$7:Z$2855,B$7:B$2855,"ocrev",AA$7:AA$2855,"OK")</f>
        <v>0</v>
      </c>
    </row>
    <row r="2911" spans="2:5" x14ac:dyDescent="0.2">
      <c r="B2911" s="94" t="s">
        <v>78</v>
      </c>
      <c r="C2911" s="91">
        <f>SUMIF(B$7:B$2855,"Power Europe",D$7:D$2855)</f>
        <v>6450.4</v>
      </c>
      <c r="D2911" s="92">
        <f>SUMIF(B$7:B$2855,"Power europe",Z$7:Z$2855)</f>
        <v>2680.8743999999997</v>
      </c>
      <c r="E2911" s="93">
        <f>SUMIFS(Z$7:Z$2855,B$7:B$2855,"Power europe",AA$7:AA$2855,"OK")</f>
        <v>1008.6384</v>
      </c>
    </row>
    <row r="2912" spans="2:5" x14ac:dyDescent="0.2">
      <c r="B2912" s="94" t="s">
        <v>70</v>
      </c>
      <c r="C2912" s="91">
        <f>SUMIF(B$7:B$2855,"Persico",D$7:D$2855)</f>
        <v>0</v>
      </c>
      <c r="D2912" s="92">
        <f>SUMIF(B$7:B$2855,"Persico",Z$7:Z$2855)</f>
        <v>0</v>
      </c>
      <c r="E2912" s="93">
        <f>SUMIFS(Z$7:Z$2855,B$7:B$2855,"Persico",AA$7:AA$2855,"OK")</f>
        <v>0</v>
      </c>
    </row>
    <row r="2913" spans="2:5" x14ac:dyDescent="0.2">
      <c r="B2913" s="94" t="s">
        <v>108</v>
      </c>
      <c r="C2913" s="91">
        <f>SUMIF(B$7:B$2855,"Picenia",D$7:D$2855)</f>
        <v>0</v>
      </c>
      <c r="D2913" s="92">
        <f>SUMIF(B$7:B$2855,"PICENIA",Z$7:Z$2855)</f>
        <v>0</v>
      </c>
      <c r="E2913" s="93">
        <f>SUMIFS(Z$7:Z$2855,B$7:B$2855,"Picenia",AA$7:AA$2855,"OK")</f>
        <v>0</v>
      </c>
    </row>
    <row r="2914" spans="2:5" x14ac:dyDescent="0.2">
      <c r="B2914" s="94" t="s">
        <v>109</v>
      </c>
      <c r="C2914" s="91">
        <f>SUMIF(B$7:B$2855,"Pichierri",D$7:D$2855)</f>
        <v>0</v>
      </c>
      <c r="D2914" s="92">
        <f>SUMIF(B$7:B$2855,"Pichierri",Z$7:Z$2855)</f>
        <v>0</v>
      </c>
      <c r="E2914" s="93">
        <f>SUMIFS(Z$7:Z$2855,B$7:B$2855,"Pichierri",AA$7:AA$2855,"OK")</f>
        <v>0</v>
      </c>
    </row>
    <row r="2915" spans="2:5" x14ac:dyDescent="0.2">
      <c r="B2915" s="94" t="s">
        <v>87</v>
      </c>
      <c r="C2915" s="91">
        <f>SUMIF(B$7:B$2855,"Piossasco",D$7:D$2855)</f>
        <v>0</v>
      </c>
      <c r="D2915" s="92">
        <f>SUMIF(B$7:B$2855,"piossasco",Z$7:Z$2855)</f>
        <v>0</v>
      </c>
      <c r="E2915" s="93">
        <f>SUMIFS(Z$7:Z$2855,B$7:B$2855,"piossasco",AA$7:AA$2855,"OK")</f>
        <v>0</v>
      </c>
    </row>
    <row r="2916" spans="2:5" x14ac:dyDescent="0.2">
      <c r="B2916" s="94" t="s">
        <v>95</v>
      </c>
      <c r="C2916" s="91">
        <f>SUMIF(B$7:B$2855,"ranzenigo",D$7:D$2855)</f>
        <v>0</v>
      </c>
      <c r="D2916" s="92">
        <f>SUMIF(B$7:B$2855,"ranzenigo",Z$7:Z$2855)</f>
        <v>0</v>
      </c>
      <c r="E2916" s="93">
        <f>SUMIFS(Z$7:Z$2855,B$7:B$2855,"ranzenigo",AA$7:AA$2855,"OK")</f>
        <v>0</v>
      </c>
    </row>
    <row r="2917" spans="2:5" x14ac:dyDescent="0.2">
      <c r="B2917" s="94" t="s">
        <v>81</v>
      </c>
      <c r="C2917" s="91">
        <f>SUMIF(B$7:B$2855,"Rapeti",D$7:D$2855)</f>
        <v>0</v>
      </c>
      <c r="D2917" s="92">
        <f>SUMIF(B$7:B$2855,"Rapeti",Z$7:Z$2855)</f>
        <v>0</v>
      </c>
      <c r="E2917" s="93">
        <f>SUMIFS(Z$7:Z$2855,B$7:B$2855,"Rapeti",AA$7:AA$2855,"OK")</f>
        <v>0</v>
      </c>
    </row>
    <row r="2918" spans="2:5" x14ac:dyDescent="0.2">
      <c r="B2918" s="94" t="s">
        <v>65</v>
      </c>
      <c r="C2918" s="91">
        <f>SUMIF(B$7:B$2855,"Ratto",D$7:D$2855)</f>
        <v>300</v>
      </c>
      <c r="D2918" s="92">
        <f>SUMIF(B$7:B$2855,"Ratto",Z$7:Z$2855)</f>
        <v>201.42</v>
      </c>
      <c r="E2918" s="93">
        <f>SUMIFS(Z$7:Z$2855,B$7:B$2855,"Ratto",AA$7:AA$2855,"OK")</f>
        <v>0</v>
      </c>
    </row>
    <row r="2919" spans="2:5" x14ac:dyDescent="0.2">
      <c r="B2919" s="94" t="s">
        <v>79</v>
      </c>
      <c r="C2919" s="91">
        <f>SUMIF(B$7:B$2855,"Rizzi",D$7:D$2855)</f>
        <v>0</v>
      </c>
      <c r="D2919" s="92">
        <f>SUMIF(B$7:B$2855,"Rizzi",Z$7:Z$2855)</f>
        <v>0</v>
      </c>
      <c r="E2919" s="93">
        <f>SUMIFS(Z$7:Z$2855,B$7:B$2855,"Rizzi",AA$7:AA$2855,"OK")</f>
        <v>0</v>
      </c>
    </row>
    <row r="2920" spans="2:5" x14ac:dyDescent="0.2">
      <c r="B2920" s="94" t="s">
        <v>149</v>
      </c>
      <c r="C2920" s="91">
        <f>SUMIF(B$7:B$2855,"Rusconi",D$7:D$2855)</f>
        <v>0</v>
      </c>
      <c r="D2920" s="92">
        <f>SUMIF(B$7:B$2855,"Rusconi",Z$7:Z$2855)</f>
        <v>0</v>
      </c>
      <c r="E2920" s="93">
        <f>SUMIFS(Z$7:Z$2855,B$7:B$2855,"Rusconi",AA$7:AA$2855,"OK")</f>
        <v>0</v>
      </c>
    </row>
    <row r="2921" spans="2:5" x14ac:dyDescent="0.2">
      <c r="B2921" s="94" t="s">
        <v>63</v>
      </c>
      <c r="C2921" s="91">
        <f>SUMIF(B$7:B$2855,"Sassi",D$7:D$2855)</f>
        <v>0</v>
      </c>
      <c r="D2921" s="92">
        <f>SUMIF(B$7:B$2855,"Sassi",Z$7:Z$2855)</f>
        <v>0</v>
      </c>
      <c r="E2921" s="93">
        <f>SUMIFS(Z$7:Z$2855,B$7:B$2855,"Sassi",AA$7:AA$2855,"OK")</f>
        <v>0</v>
      </c>
    </row>
    <row r="2922" spans="2:5" x14ac:dyDescent="0.2">
      <c r="B2922" s="94" t="s">
        <v>56</v>
      </c>
      <c r="C2922" s="91">
        <f>SUMIF(B$7:B$2855,"Sater",D$7:D$2855)</f>
        <v>1116.3</v>
      </c>
      <c r="D2922" s="92">
        <f>SUMIF(B$7:B$2855,"Sater",Z$7:Z$2855)</f>
        <v>935.09829999999988</v>
      </c>
      <c r="E2922" s="93">
        <f>SUMIFS(Z$7:Z$2855,B$7:B$2855,"Sater",AA$7:AA$2855,"OK")</f>
        <v>282.6583</v>
      </c>
    </row>
    <row r="2923" spans="2:5" x14ac:dyDescent="0.2">
      <c r="B2923" s="94" t="s">
        <v>137</v>
      </c>
      <c r="C2923" s="91">
        <f>SUMIF(B$7:B$2855,"Scame",D$7:D$2855)</f>
        <v>0</v>
      </c>
      <c r="D2923" s="92">
        <f>SUMIF(B$7:B$2855,"Scame",Z$7:Z$2855)</f>
        <v>0</v>
      </c>
      <c r="E2923" s="93">
        <f>SUMIFS(Z$7:Z$2855,B$7:B$2855,"Scame",AA$7:AA$2855,"OK")</f>
        <v>0</v>
      </c>
    </row>
    <row r="2924" spans="2:5" x14ac:dyDescent="0.2">
      <c r="B2924" s="94" t="s">
        <v>101</v>
      </c>
      <c r="C2924" s="91">
        <f>SUMIF(B$7:B$2855,"Sirmet",D$7:D$2855)</f>
        <v>0</v>
      </c>
      <c r="D2924" s="92">
        <f>SUMIF(B$7:B$2855,"Sirmet",Z$7:Z$2855)</f>
        <v>0</v>
      </c>
      <c r="E2924" s="93">
        <f>SUMIFS(Z$7:Z$2855,B$7:B$2855,"Sirmet",AA$7:AA$2855,"OK")</f>
        <v>0</v>
      </c>
    </row>
    <row r="2925" spans="2:5" x14ac:dyDescent="0.2">
      <c r="B2925" s="94" t="s">
        <v>125</v>
      </c>
      <c r="C2925" s="91">
        <f>SUMIF(B$7:B$2855,"tamura",D$7:D$2855)</f>
        <v>0</v>
      </c>
      <c r="D2925" s="92">
        <f>SUMIF(B$7:B$2855,"tamura",Z$7:Z$2855)</f>
        <v>0</v>
      </c>
      <c r="E2925" s="93">
        <f>SUMIFS(Z$7:Z$2855,B$7:B$2855,"tamura",AA$7:AA$2855,"OK")</f>
        <v>0</v>
      </c>
    </row>
    <row r="2926" spans="2:5" x14ac:dyDescent="0.2">
      <c r="B2926" s="94" t="s">
        <v>115</v>
      </c>
      <c r="C2926" s="91">
        <f>SUMIF(B$7:B$2855,"technology",D$7:D$2855)</f>
        <v>0</v>
      </c>
      <c r="D2926" s="92">
        <f>SUMIF(B$7:B$2855,"technology",Z$7:Z$2855)</f>
        <v>0</v>
      </c>
      <c r="E2926" s="93">
        <f>SUMIFS(Z$7:Z$2855,B$7:B$2855,"technology",AA$7:AA$2855,"OK")</f>
        <v>0</v>
      </c>
    </row>
    <row r="2927" spans="2:5" x14ac:dyDescent="0.2">
      <c r="B2927" s="94" t="s">
        <v>93</v>
      </c>
      <c r="C2927" s="91">
        <f>SUMIF(B$7:B$2855,"trafo",D$7:D$2855)</f>
        <v>0</v>
      </c>
      <c r="D2927" s="92">
        <f>SUMIF(B$7:B$2855,"trafo",Z$7:Z$2855)</f>
        <v>0</v>
      </c>
      <c r="E2927" s="93">
        <f>SUMIFS(Z$7:Z$2855,B$7:B$2855,"trafo",AA$7:AA$2855,"OK")</f>
        <v>0</v>
      </c>
    </row>
    <row r="2928" spans="2:5" x14ac:dyDescent="0.2">
      <c r="B2928" s="94" t="s">
        <v>77</v>
      </c>
      <c r="C2928" s="91">
        <f>SUMIF(B$7:B$2855,"Tesar",D$7:D$2855)</f>
        <v>0</v>
      </c>
      <c r="D2928" s="92">
        <f>SUMIF(B$7:B$2855,"Tesar",Z$7:Z$2855)</f>
        <v>0</v>
      </c>
      <c r="E2928" s="93">
        <f>SUMIFS(Z$7:Z$2855,B$7:B$2855,"Tesar",AA$7:AA$2855,"OK")</f>
        <v>0</v>
      </c>
    </row>
    <row r="2929" spans="2:6" x14ac:dyDescent="0.2">
      <c r="B2929" s="94" t="s">
        <v>96</v>
      </c>
      <c r="C2929" s="91">
        <f>SUMIF(B$7:B$2855,"Tmc",D$7:D$2855)</f>
        <v>0</v>
      </c>
      <c r="D2929" s="92">
        <f>SUMIF(B$7:B$2855,"Tmc",Z$7:Z$2855)</f>
        <v>0</v>
      </c>
      <c r="E2929" s="93">
        <f>SUMIFS(Z$7:Z$2855,B$7:B$2855,"Tmc",AA$7:AA$2855,"OK")</f>
        <v>0</v>
      </c>
    </row>
    <row r="2930" spans="2:6" x14ac:dyDescent="0.2">
      <c r="B2930" s="94" t="s">
        <v>69</v>
      </c>
      <c r="C2930" s="91">
        <f>SUMIF(B$7:B$2855,"Trafomec",D$7:D$2855)</f>
        <v>0</v>
      </c>
      <c r="D2930" s="92">
        <f>SUMIF(B$7:B$2855,"Trafomec",Z$7:Z$2855)</f>
        <v>0</v>
      </c>
      <c r="E2930" s="93">
        <f>SUMIFS(Z$7:Z$2855,B$7:B$2855,"Trafomec",AA$7:AA$2855,"OK")</f>
        <v>0</v>
      </c>
    </row>
    <row r="2931" spans="2:6" x14ac:dyDescent="0.2">
      <c r="B2931" s="94" t="s">
        <v>113</v>
      </c>
      <c r="C2931" s="91">
        <f>SUMIF(B$7:B$2855,"Trasfeco",D$7:D$2855)</f>
        <v>0</v>
      </c>
      <c r="D2931" s="92">
        <f>SUMIF(B$7:B$2855,"Trasfeco",Z$7:Z$2855)</f>
        <v>0</v>
      </c>
      <c r="E2931" s="93">
        <f>SUMIFS(Z$7:Z$2855,B$7:B$2855,"Trasfeco",AA$7:AA$2855,"OK")</f>
        <v>0</v>
      </c>
    </row>
    <row r="2932" spans="2:6" x14ac:dyDescent="0.2">
      <c r="B2932" s="94" t="s">
        <v>75</v>
      </c>
      <c r="C2932" s="91">
        <f>SUMIF(B$7:B$2855,"Trasfoproject",D$7:D$2855)</f>
        <v>0</v>
      </c>
      <c r="D2932" s="92">
        <f>SUMIF(B$7:B$2855,"Trasfoproject",Z$7:Z$2855)</f>
        <v>0</v>
      </c>
      <c r="E2932" s="93">
        <f>SUMIFS(Z$7:Z$2855,B$7:B$2855,"Trasfoproject",AA$7:AA$2855,"OK")</f>
        <v>0</v>
      </c>
    </row>
    <row r="2933" spans="2:6" x14ac:dyDescent="0.2">
      <c r="B2933" s="94" t="s">
        <v>72</v>
      </c>
      <c r="C2933" s="91">
        <f>SUMIF(B$7:B$2855,"Trasfotec",D$7:D$2855)</f>
        <v>955.40000000000009</v>
      </c>
      <c r="D2933" s="92">
        <f>SUMIF(B$7:B$2855,"Trasfotec",Z$7:Z$2855)</f>
        <v>768.76470000000006</v>
      </c>
      <c r="E2933" s="93">
        <f>SUMIFS(Z$7:Z$2855,B$7:B$2855,"Trasfotec",AA$7:AA$2855,"OK")</f>
        <v>768.76470000000006</v>
      </c>
    </row>
    <row r="2934" spans="2:6" x14ac:dyDescent="0.2">
      <c r="B2934" s="95" t="s">
        <v>83</v>
      </c>
      <c r="C2934" s="91">
        <f>SUMIF(B$7:B$2855,"Vazzoler",D$7:D$2855)</f>
        <v>0</v>
      </c>
      <c r="D2934" s="92">
        <f>SUMIF(B$7:B$2855,"Vazzoler",Z$7:Z$2855)</f>
        <v>0</v>
      </c>
      <c r="E2934" s="93">
        <f>SUMIFS(Z$7:Z$2855,B$7:B$2855,"Vazzoler",AA$7:AA$2855,"OK")</f>
        <v>0</v>
      </c>
    </row>
    <row r="2935" spans="2:6" x14ac:dyDescent="0.2">
      <c r="B2935" s="95" t="s">
        <v>106</v>
      </c>
      <c r="C2935" s="91">
        <f>SUMIF(B$7:B$2855,"Zennaro",D$7:D$2855)</f>
        <v>0</v>
      </c>
      <c r="D2935" s="92">
        <f>SUMIF(B$7:B$2855,"Zennaro",Z$7:Z$2855)</f>
        <v>0</v>
      </c>
      <c r="E2935" s="93">
        <f>SUMIFS(Z$7:Z$2855,B$7:B$2855,"Zennaro",AA$7:AA$2855,"OK")</f>
        <v>0</v>
      </c>
    </row>
    <row r="2936" spans="2:6" x14ac:dyDescent="0.2">
      <c r="B2936" s="95" t="s">
        <v>124</v>
      </c>
      <c r="C2936" s="91">
        <f>SUMIF(B$7:B$2855,"Zucchiatti",D$7:D$2855)</f>
        <v>0</v>
      </c>
      <c r="D2936" s="92">
        <f>SUMIF(B$7:B$2855,"Zucchiatti",Z$7:Z$2855)</f>
        <v>0</v>
      </c>
      <c r="E2936" s="93">
        <f>SUMIFS(Z$7:Z$2855,B$7:B$2855,"Zucchiatti",AA$7:AA$2855,"OK")</f>
        <v>0</v>
      </c>
    </row>
    <row r="2937" spans="2:6" ht="13.5" thickBot="1" x14ac:dyDescent="0.25">
      <c r="B2937" s="96"/>
      <c r="C2937" s="97"/>
      <c r="D2937" s="98"/>
      <c r="E2937" s="99"/>
    </row>
    <row r="2938" spans="2:6" ht="13.5" thickBot="1" x14ac:dyDescent="0.25">
      <c r="B2938" s="100"/>
      <c r="C2938" s="101">
        <f>SUM(C2862:C2937)</f>
        <v>22077.4</v>
      </c>
      <c r="D2938" s="102">
        <f>SUM(D2862:D2937)</f>
        <v>11249.098999999998</v>
      </c>
      <c r="E2938" s="103">
        <f>SUM(E2862:E2937)</f>
        <v>3719.3918000000003</v>
      </c>
    </row>
    <row r="2939" spans="2:6" ht="12.75" hidden="1" customHeight="1" x14ac:dyDescent="0.2"/>
    <row r="2940" spans="2:6" ht="12.75" hidden="1" customHeight="1" x14ac:dyDescent="0.2">
      <c r="C2940" s="104">
        <f>+D2856</f>
        <v>22077.4</v>
      </c>
      <c r="D2940" s="104"/>
      <c r="E2940" s="81"/>
      <c r="F2940" s="81"/>
    </row>
    <row r="2941" spans="2:6" ht="12.75" hidden="1" customHeight="1" x14ac:dyDescent="0.2">
      <c r="D2941" s="105">
        <f>+D2856-D2938</f>
        <v>10828.301000000003</v>
      </c>
    </row>
    <row r="2942" spans="2:6" x14ac:dyDescent="0.2">
      <c r="C2942" s="81">
        <f>+C2938-C2940</f>
        <v>0</v>
      </c>
    </row>
  </sheetData>
  <sheetProtection formatCells="0" insertRows="0" deleteRows="0" sort="0" autoFilter="0"/>
  <autoFilter ref="A4:AB2856" xr:uid="{00000000-0009-0000-0000-000001000000}"/>
  <conditionalFormatting sqref="Y2855 Y7:Y2818">
    <cfRule type="expression" priority="86" stopIfTrue="1">
      <formula>Y7=0</formula>
    </cfRule>
    <cfRule type="expression" dxfId="44" priority="87" stopIfTrue="1">
      <formula>Y7&lt;TODAY()</formula>
    </cfRule>
  </conditionalFormatting>
  <conditionalFormatting sqref="D4">
    <cfRule type="containsText" dxfId="43" priority="83" stopIfTrue="1" operator="containsText" text="ERRORE">
      <formula>NOT(ISERROR(SEARCH("ERRORE",D4)))</formula>
    </cfRule>
  </conditionalFormatting>
  <conditionalFormatting sqref="Z4">
    <cfRule type="containsText" dxfId="42" priority="82" stopIfTrue="1" operator="containsText" text="ERRORE">
      <formula>NOT(ISERROR(SEARCH("ERRORE",Z4)))</formula>
    </cfRule>
  </conditionalFormatting>
  <conditionalFormatting sqref="AA4">
    <cfRule type="containsText" dxfId="41" priority="81" stopIfTrue="1" operator="containsText" text="ERRORE">
      <formula>NOT(ISERROR(SEARCH("ERRORE",AA4)))</formula>
    </cfRule>
  </conditionalFormatting>
  <conditionalFormatting sqref="Y6">
    <cfRule type="expression" priority="75" stopIfTrue="1">
      <formula>Y6=0</formula>
    </cfRule>
    <cfRule type="expression" dxfId="40" priority="76" stopIfTrue="1">
      <formula>Y6&lt;TODAY()</formula>
    </cfRule>
  </conditionalFormatting>
  <conditionalFormatting sqref="B2863">
    <cfRule type="expression" dxfId="39" priority="73" stopIfTrue="1">
      <formula>AND(#REF!&lt;&gt;"", COUNTIF($B$2863:$B$3163, #REF!)=0)</formula>
    </cfRule>
  </conditionalFormatting>
  <conditionalFormatting sqref="B2855 B7:B2818">
    <cfRule type="expression" dxfId="38" priority="92" stopIfTrue="1">
      <formula>AND(B7&lt;&gt;"", COUNTIF($B$2863:$B$3163, B7)=0)</formula>
    </cfRule>
  </conditionalFormatting>
  <conditionalFormatting sqref="Y2819">
    <cfRule type="expression" priority="71" stopIfTrue="1">
      <formula>Y2819=0</formula>
    </cfRule>
    <cfRule type="expression" dxfId="37" priority="72" stopIfTrue="1">
      <formula>Y2819&lt;TODAY()</formula>
    </cfRule>
  </conditionalFormatting>
  <conditionalFormatting sqref="Y2820">
    <cfRule type="expression" priority="69" stopIfTrue="1">
      <formula>Y2820=0</formula>
    </cfRule>
    <cfRule type="expression" dxfId="36" priority="70" stopIfTrue="1">
      <formula>Y2820&lt;TODAY()</formula>
    </cfRule>
  </conditionalFormatting>
  <conditionalFormatting sqref="Y2821">
    <cfRule type="expression" priority="67" stopIfTrue="1">
      <formula>Y2821=0</formula>
    </cfRule>
    <cfRule type="expression" dxfId="35" priority="68" stopIfTrue="1">
      <formula>Y2821&lt;TODAY()</formula>
    </cfRule>
  </conditionalFormatting>
  <conditionalFormatting sqref="Y2822">
    <cfRule type="expression" priority="65" stopIfTrue="1">
      <formula>Y2822=0</formula>
    </cfRule>
    <cfRule type="expression" dxfId="34" priority="66" stopIfTrue="1">
      <formula>Y2822&lt;TODAY()</formula>
    </cfRule>
  </conditionalFormatting>
  <conditionalFormatting sqref="Y2823">
    <cfRule type="expression" priority="63" stopIfTrue="1">
      <formula>Y2823=0</formula>
    </cfRule>
    <cfRule type="expression" dxfId="33" priority="64" stopIfTrue="1">
      <formula>Y2823&lt;TODAY()</formula>
    </cfRule>
  </conditionalFormatting>
  <conditionalFormatting sqref="Y2824">
    <cfRule type="expression" priority="61" stopIfTrue="1">
      <formula>Y2824=0</formula>
    </cfRule>
    <cfRule type="expression" dxfId="32" priority="62" stopIfTrue="1">
      <formula>Y2824&lt;TODAY()</formula>
    </cfRule>
  </conditionalFormatting>
  <conditionalFormatting sqref="Y2825">
    <cfRule type="expression" priority="59" stopIfTrue="1">
      <formula>Y2825=0</formula>
    </cfRule>
    <cfRule type="expression" dxfId="31" priority="60" stopIfTrue="1">
      <formula>Y2825&lt;TODAY()</formula>
    </cfRule>
  </conditionalFormatting>
  <conditionalFormatting sqref="Y2826">
    <cfRule type="expression" priority="57" stopIfTrue="1">
      <formula>Y2826=0</formula>
    </cfRule>
    <cfRule type="expression" dxfId="30" priority="58" stopIfTrue="1">
      <formula>Y2826&lt;TODAY()</formula>
    </cfRule>
  </conditionalFormatting>
  <conditionalFormatting sqref="Y2827">
    <cfRule type="expression" priority="55" stopIfTrue="1">
      <formula>Y2827=0</formula>
    </cfRule>
    <cfRule type="expression" dxfId="29" priority="56" stopIfTrue="1">
      <formula>Y2827&lt;TODAY()</formula>
    </cfRule>
  </conditionalFormatting>
  <conditionalFormatting sqref="Y2828">
    <cfRule type="expression" priority="53" stopIfTrue="1">
      <formula>Y2828=0</formula>
    </cfRule>
    <cfRule type="expression" dxfId="28" priority="54" stopIfTrue="1">
      <formula>Y2828&lt;TODAY()</formula>
    </cfRule>
  </conditionalFormatting>
  <conditionalFormatting sqref="Y2829">
    <cfRule type="expression" priority="51" stopIfTrue="1">
      <formula>Y2829=0</formula>
    </cfRule>
    <cfRule type="expression" dxfId="27" priority="52" stopIfTrue="1">
      <formula>Y2829&lt;TODAY()</formula>
    </cfRule>
  </conditionalFormatting>
  <conditionalFormatting sqref="Y2830">
    <cfRule type="expression" priority="49" stopIfTrue="1">
      <formula>Y2830=0</formula>
    </cfRule>
    <cfRule type="expression" dxfId="26" priority="50" stopIfTrue="1">
      <formula>Y2830&lt;TODAY()</formula>
    </cfRule>
  </conditionalFormatting>
  <conditionalFormatting sqref="Y2831">
    <cfRule type="expression" priority="47" stopIfTrue="1">
      <formula>Y2831=0</formula>
    </cfRule>
    <cfRule type="expression" dxfId="25" priority="48" stopIfTrue="1">
      <formula>Y2831&lt;TODAY()</formula>
    </cfRule>
  </conditionalFormatting>
  <conditionalFormatting sqref="Y2832">
    <cfRule type="expression" priority="45" stopIfTrue="1">
      <formula>Y2832=0</formula>
    </cfRule>
    <cfRule type="expression" dxfId="24" priority="46" stopIfTrue="1">
      <formula>Y2832&lt;TODAY()</formula>
    </cfRule>
  </conditionalFormatting>
  <conditionalFormatting sqref="Y2833">
    <cfRule type="expression" priority="43" stopIfTrue="1">
      <formula>Y2833=0</formula>
    </cfRule>
    <cfRule type="expression" dxfId="23" priority="44" stopIfTrue="1">
      <formula>Y2833&lt;TODAY()</formula>
    </cfRule>
  </conditionalFormatting>
  <conditionalFormatting sqref="Y2834">
    <cfRule type="expression" priority="41" stopIfTrue="1">
      <formula>Y2834=0</formula>
    </cfRule>
    <cfRule type="expression" dxfId="22" priority="42" stopIfTrue="1">
      <formula>Y2834&lt;TODAY()</formula>
    </cfRule>
  </conditionalFormatting>
  <conditionalFormatting sqref="Y2835">
    <cfRule type="expression" priority="39" stopIfTrue="1">
      <formula>Y2835=0</formula>
    </cfRule>
    <cfRule type="expression" dxfId="21" priority="40" stopIfTrue="1">
      <formula>Y2835&lt;TODAY()</formula>
    </cfRule>
  </conditionalFormatting>
  <conditionalFormatting sqref="Y2836">
    <cfRule type="expression" priority="37" stopIfTrue="1">
      <formula>Y2836=0</formula>
    </cfRule>
    <cfRule type="expression" dxfId="20" priority="38" stopIfTrue="1">
      <formula>Y2836&lt;TODAY()</formula>
    </cfRule>
  </conditionalFormatting>
  <conditionalFormatting sqref="Y2837">
    <cfRule type="expression" priority="35" stopIfTrue="1">
      <formula>Y2837=0</formula>
    </cfRule>
    <cfRule type="expression" dxfId="19" priority="36" stopIfTrue="1">
      <formula>Y2837&lt;TODAY()</formula>
    </cfRule>
  </conditionalFormatting>
  <conditionalFormatting sqref="Y2838">
    <cfRule type="expression" priority="33" stopIfTrue="1">
      <formula>Y2838=0</formula>
    </cfRule>
    <cfRule type="expression" dxfId="18" priority="34" stopIfTrue="1">
      <formula>Y2838&lt;TODAY()</formula>
    </cfRule>
  </conditionalFormatting>
  <conditionalFormatting sqref="Y2839">
    <cfRule type="expression" priority="31" stopIfTrue="1">
      <formula>Y2839=0</formula>
    </cfRule>
    <cfRule type="expression" dxfId="17" priority="32" stopIfTrue="1">
      <formula>Y2839&lt;TODAY()</formula>
    </cfRule>
  </conditionalFormatting>
  <conditionalFormatting sqref="Y2840">
    <cfRule type="expression" priority="29" stopIfTrue="1">
      <formula>Y2840=0</formula>
    </cfRule>
    <cfRule type="expression" dxfId="16" priority="30" stopIfTrue="1">
      <formula>Y2840&lt;TODAY()</formula>
    </cfRule>
  </conditionalFormatting>
  <conditionalFormatting sqref="Y2841">
    <cfRule type="expression" priority="27" stopIfTrue="1">
      <formula>Y2841=0</formula>
    </cfRule>
    <cfRule type="expression" dxfId="15" priority="28" stopIfTrue="1">
      <formula>Y2841&lt;TODAY()</formula>
    </cfRule>
  </conditionalFormatting>
  <conditionalFormatting sqref="Y2842">
    <cfRule type="expression" priority="25" stopIfTrue="1">
      <formula>Y2842=0</formula>
    </cfRule>
    <cfRule type="expression" dxfId="14" priority="26" stopIfTrue="1">
      <formula>Y2842&lt;TODAY()</formula>
    </cfRule>
  </conditionalFormatting>
  <conditionalFormatting sqref="Y2843">
    <cfRule type="expression" priority="23" stopIfTrue="1">
      <formula>Y2843=0</formula>
    </cfRule>
    <cfRule type="expression" dxfId="13" priority="24" stopIfTrue="1">
      <formula>Y2843&lt;TODAY()</formula>
    </cfRule>
  </conditionalFormatting>
  <conditionalFormatting sqref="Y2844">
    <cfRule type="expression" priority="21" stopIfTrue="1">
      <formula>Y2844=0</formula>
    </cfRule>
    <cfRule type="expression" dxfId="12" priority="22" stopIfTrue="1">
      <formula>Y2844&lt;TODAY()</formula>
    </cfRule>
  </conditionalFormatting>
  <conditionalFormatting sqref="Y2845">
    <cfRule type="expression" priority="19" stopIfTrue="1">
      <formula>Y2845=0</formula>
    </cfRule>
    <cfRule type="expression" dxfId="11" priority="20" stopIfTrue="1">
      <formula>Y2845&lt;TODAY()</formula>
    </cfRule>
  </conditionalFormatting>
  <conditionalFormatting sqref="Y2846">
    <cfRule type="expression" priority="17" stopIfTrue="1">
      <formula>Y2846=0</formula>
    </cfRule>
    <cfRule type="expression" dxfId="10" priority="18" stopIfTrue="1">
      <formula>Y2846&lt;TODAY()</formula>
    </cfRule>
  </conditionalFormatting>
  <conditionalFormatting sqref="Y2847">
    <cfRule type="expression" priority="15" stopIfTrue="1">
      <formula>Y2847=0</formula>
    </cfRule>
    <cfRule type="expression" dxfId="9" priority="16" stopIfTrue="1">
      <formula>Y2847&lt;TODAY()</formula>
    </cfRule>
  </conditionalFormatting>
  <conditionalFormatting sqref="Y2848">
    <cfRule type="expression" priority="13" stopIfTrue="1">
      <formula>Y2848=0</formula>
    </cfRule>
    <cfRule type="expression" dxfId="8" priority="14" stopIfTrue="1">
      <formula>Y2848&lt;TODAY()</formula>
    </cfRule>
  </conditionalFormatting>
  <conditionalFormatting sqref="Y2849">
    <cfRule type="expression" priority="11" stopIfTrue="1">
      <formula>Y2849=0</formula>
    </cfRule>
    <cfRule type="expression" dxfId="7" priority="12" stopIfTrue="1">
      <formula>Y2849&lt;TODAY()</formula>
    </cfRule>
  </conditionalFormatting>
  <conditionalFormatting sqref="Y2850">
    <cfRule type="expression" priority="9" stopIfTrue="1">
      <formula>Y2850=0</formula>
    </cfRule>
    <cfRule type="expression" dxfId="6" priority="10" stopIfTrue="1">
      <formula>Y2850&lt;TODAY()</formula>
    </cfRule>
  </conditionalFormatting>
  <conditionalFormatting sqref="Y2851">
    <cfRule type="expression" priority="7" stopIfTrue="1">
      <formula>Y2851=0</formula>
    </cfRule>
    <cfRule type="expression" dxfId="5" priority="8" stopIfTrue="1">
      <formula>Y2851&lt;TODAY()</formula>
    </cfRule>
  </conditionalFormatting>
  <conditionalFormatting sqref="Y2852">
    <cfRule type="expression" priority="5" stopIfTrue="1">
      <formula>Y2852=0</formula>
    </cfRule>
    <cfRule type="expression" dxfId="4" priority="6" stopIfTrue="1">
      <formula>Y2852&lt;TODAY()</formula>
    </cfRule>
  </conditionalFormatting>
  <conditionalFormatting sqref="Y2853">
    <cfRule type="expression" priority="3" stopIfTrue="1">
      <formula>Y2853=0</formula>
    </cfRule>
    <cfRule type="expression" dxfId="3" priority="4" stopIfTrue="1">
      <formula>Y2853&lt;TODAY()</formula>
    </cfRule>
  </conditionalFormatting>
  <conditionalFormatting sqref="Y2854">
    <cfRule type="expression" priority="1" stopIfTrue="1">
      <formula>Y2854=0</formula>
    </cfRule>
    <cfRule type="expression" dxfId="2" priority="2" stopIfTrue="1">
      <formula>Y2854&lt;TODAY()</formula>
    </cfRule>
  </conditionalFormatting>
  <dataValidations count="1">
    <dataValidation type="list" allowBlank="1" showInputMessage="1" showErrorMessage="1" sqref="AA7:AA2855" xr:uid="{00000000-0002-0000-0100-000000000000}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5" r:id="rId4" name="CmdSelezionaTabella">
          <controlPr defaultSize="0" autoLine="0" autoPict="0" r:id="rId5">
            <anchor moveWithCells="1">
              <from>
                <xdr:col>10</xdr:col>
                <xdr:colOff>38100</xdr:colOff>
                <xdr:row>0</xdr:row>
                <xdr:rowOff>85725</xdr:rowOff>
              </from>
              <to>
                <xdr:col>14</xdr:col>
                <xdr:colOff>457200</xdr:colOff>
                <xdr:row>2</xdr:row>
                <xdr:rowOff>47625</xdr:rowOff>
              </to>
            </anchor>
          </controlPr>
        </control>
      </mc:Choice>
      <mc:Fallback>
        <control shapeId="1035" r:id="rId4" name="CmdSelezionaTabella"/>
      </mc:Fallback>
    </mc:AlternateContent>
    <mc:AlternateContent xmlns:mc="http://schemas.openxmlformats.org/markup-compatibility/2006">
      <mc:Choice Requires="x14">
        <control shapeId="1032" r:id="rId6" name="CmdNuovaRiga">
          <controlPr defaultSize="0" autoLine="0" r:id="rId7">
            <anchor moveWithCells="1">
              <from>
                <xdr:col>0</xdr:col>
                <xdr:colOff>9525</xdr:colOff>
                <xdr:row>0</xdr:row>
                <xdr:rowOff>95250</xdr:rowOff>
              </from>
              <to>
                <xdr:col>1</xdr:col>
                <xdr:colOff>276225</xdr:colOff>
                <xdr:row>2</xdr:row>
                <xdr:rowOff>57150</xdr:rowOff>
              </to>
            </anchor>
          </controlPr>
        </control>
      </mc:Choice>
      <mc:Fallback>
        <control shapeId="1032" r:id="rId6" name="CmdNuovaRiga"/>
      </mc:Fallback>
    </mc:AlternateContent>
    <mc:AlternateContent xmlns:mc="http://schemas.openxmlformats.org/markup-compatibility/2006">
      <mc:Choice Requires="x14">
        <control shapeId="1033" r:id="rId8" name="cmdDuplicaRigaSelezionata">
          <controlPr defaultSize="0" autoLine="0" r:id="rId9">
            <anchor moveWithCells="1">
              <from>
                <xdr:col>1</xdr:col>
                <xdr:colOff>333375</xdr:colOff>
                <xdr:row>0</xdr:row>
                <xdr:rowOff>76200</xdr:rowOff>
              </from>
              <to>
                <xdr:col>2</xdr:col>
                <xdr:colOff>762000</xdr:colOff>
                <xdr:row>2</xdr:row>
                <xdr:rowOff>28575</xdr:rowOff>
              </to>
            </anchor>
          </controlPr>
        </control>
      </mc:Choice>
      <mc:Fallback>
        <control shapeId="1033" r:id="rId8" name="cmdDuplicaRigaSelezionata"/>
      </mc:Fallback>
    </mc:AlternateContent>
    <mc:AlternateContent xmlns:mc="http://schemas.openxmlformats.org/markup-compatibility/2006">
      <mc:Choice Requires="x14">
        <control shapeId="1034" r:id="rId10" name="CmdEliminaERipristinaRiga">
          <controlPr defaultSize="0" autoLine="0" r:id="rId11">
            <anchor moveWithCells="1">
              <from>
                <xdr:col>2</xdr:col>
                <xdr:colOff>819150</xdr:colOff>
                <xdr:row>0</xdr:row>
                <xdr:rowOff>57150</xdr:rowOff>
              </from>
              <to>
                <xdr:col>4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1034" r:id="rId10" name="CmdEliminaERipristinaRig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5:C56"/>
  <sheetViews>
    <sheetView workbookViewId="0">
      <selection activeCell="C26" sqref="C26"/>
    </sheetView>
  </sheetViews>
  <sheetFormatPr defaultRowHeight="12.75" x14ac:dyDescent="0.2"/>
  <cols>
    <col min="1" max="1" width="13.7109375" customWidth="1"/>
    <col min="2" max="3" width="13.28515625" customWidth="1"/>
  </cols>
  <sheetData>
    <row r="5" spans="1:3" ht="19.5" thickBot="1" x14ac:dyDescent="0.35">
      <c r="B5" s="75">
        <v>2026</v>
      </c>
      <c r="C5" s="75"/>
    </row>
    <row r="6" spans="1:3" ht="16.5" thickBot="1" x14ac:dyDescent="0.3">
      <c r="A6" s="61"/>
      <c r="B6" s="76" t="s">
        <v>118</v>
      </c>
      <c r="C6" s="77"/>
    </row>
    <row r="7" spans="1:3" ht="16.5" thickBot="1" x14ac:dyDescent="0.3">
      <c r="A7" s="62" t="s">
        <v>116</v>
      </c>
      <c r="B7" s="63" t="s">
        <v>117</v>
      </c>
      <c r="C7" s="64" t="s">
        <v>3</v>
      </c>
    </row>
    <row r="8" spans="1:3" x14ac:dyDescent="0.2">
      <c r="A8" s="52" t="s">
        <v>151</v>
      </c>
      <c r="B8" s="53">
        <f>SUMIFS('calcolo comm.'!Z$7:Z$2855,'calcolo comm.'!$AD$7:$AD$2855,1,'calcolo comm.'!$AE$7:$AE$2855,2026)</f>
        <v>0</v>
      </c>
      <c r="C8" s="54">
        <f>SUMIFS('calcolo comm.'!D$7:D$2855,'calcolo comm.'!$AD$7:$AD$2855,1,'calcolo comm.'!$AE$7:$AE$2855,2026)</f>
        <v>0</v>
      </c>
    </row>
    <row r="9" spans="1:3" x14ac:dyDescent="0.2">
      <c r="A9" s="55" t="s">
        <v>152</v>
      </c>
      <c r="B9" s="56">
        <f>SUMIFS('calcolo comm.'!Z$7:Z$2855,'calcolo comm.'!$AD$7:$AD$2855,2,'calcolo comm.'!$AE$7:$AE$2855,2026)</f>
        <v>0</v>
      </c>
      <c r="C9" s="57">
        <f>SUMIFS('calcolo comm.'!D$7:D$2855,'calcolo comm.'!$AD$7:$AD$2855,2,'calcolo comm.'!$AE$7:$AE$2855,2026)</f>
        <v>0</v>
      </c>
    </row>
    <row r="10" spans="1:3" x14ac:dyDescent="0.2">
      <c r="A10" s="55" t="s">
        <v>153</v>
      </c>
      <c r="B10" s="56">
        <f>SUMIFS('calcolo comm.'!Z$7:Z$2855,'calcolo comm.'!$AD$7:$AD$2855,3,'calcolo comm.'!$AE$7:$AE$2855,2026)</f>
        <v>0</v>
      </c>
      <c r="C10" s="57">
        <f>SUMIFS('calcolo comm.'!D$7:D$2855,'calcolo comm.'!$AD$7:$AD$2855,3,'calcolo comm.'!$AE$7:$AE$2855,2026)</f>
        <v>0</v>
      </c>
    </row>
    <row r="11" spans="1:3" x14ac:dyDescent="0.2">
      <c r="A11" s="55" t="s">
        <v>154</v>
      </c>
      <c r="B11" s="56">
        <f>SUMIFS('calcolo comm.'!Z$7:Z$2855,'calcolo comm.'!$AD$7:$AD$2855,4,'calcolo comm.'!$AE$7:$AE$2855,2026)</f>
        <v>0</v>
      </c>
      <c r="C11" s="57">
        <f>SUMIFS('calcolo comm.'!D$7:D$2855,'calcolo comm.'!$AD$7:$AD$2855,4,'calcolo comm.'!$AE$7:$AE$2855,2026)</f>
        <v>0</v>
      </c>
    </row>
    <row r="12" spans="1:3" x14ac:dyDescent="0.2">
      <c r="A12" s="55" t="s">
        <v>155</v>
      </c>
      <c r="B12" s="56">
        <f>SUMIFS('calcolo comm.'!Z$7:Z$2855,'calcolo comm.'!$AD$7:$AD$2855,5,'calcolo comm.'!$AE$7:$AE$2855,2026)</f>
        <v>3127.8824000000004</v>
      </c>
      <c r="C12" s="57">
        <f>SUMIFS('calcolo comm.'!D$7:D$2855,'calcolo comm.'!$AD$7:$AD$2855,5,'calcolo comm.'!$AE$7:$AE$2855,2026)</f>
        <v>5750.4</v>
      </c>
    </row>
    <row r="13" spans="1:3" x14ac:dyDescent="0.2">
      <c r="A13" s="55" t="s">
        <v>156</v>
      </c>
      <c r="B13" s="56">
        <f>SUMIFS('calcolo comm.'!Z$7:Z$2855,'calcolo comm.'!$AD$7:$AD$2855,6,'calcolo comm.'!$AE$7:$AE$2855,2026)</f>
        <v>4424.3331999999991</v>
      </c>
      <c r="C13" s="57">
        <f>SUMIFS('calcolo comm.'!D$7:D$2855,'calcolo comm.'!$AD$7:$AD$2855,6,'calcolo comm.'!$AE$7:$AE$2855,2026)</f>
        <v>9430</v>
      </c>
    </row>
    <row r="14" spans="1:3" x14ac:dyDescent="0.2">
      <c r="A14" s="55" t="s">
        <v>157</v>
      </c>
      <c r="B14" s="56">
        <f>SUMIFS('calcolo comm.'!Z$7:Z$2855,'calcolo comm.'!$AD$7:$AD$2855,7,'calcolo comm.'!$AE$7:$AE$2855,2026)</f>
        <v>986.13</v>
      </c>
      <c r="C14" s="57">
        <f>SUMIFS('calcolo comm.'!D$7:D$2855,'calcolo comm.'!$AD$7:$AD$2855,7,'calcolo comm.'!$AE$7:$AE$2855,2026)</f>
        <v>1700</v>
      </c>
    </row>
    <row r="15" spans="1:3" x14ac:dyDescent="0.2">
      <c r="A15" s="55" t="s">
        <v>158</v>
      </c>
      <c r="B15" s="56">
        <f>SUMIFS('calcolo comm.'!Z$7:Z$2855,'calcolo comm.'!$AD$7:$AD$2855,8,'calcolo comm.'!$AE$7:$AE$2855,2026)</f>
        <v>0</v>
      </c>
      <c r="C15" s="57">
        <f>SUMIFS('calcolo comm.'!D$7:D$2855,'calcolo comm.'!$AD$7:$AD$2855,8,'calcolo comm.'!$AE$7:$AE$2855,2026)</f>
        <v>0</v>
      </c>
    </row>
    <row r="16" spans="1:3" x14ac:dyDescent="0.2">
      <c r="A16" s="55" t="s">
        <v>159</v>
      </c>
      <c r="B16" s="56">
        <f>SUMIFS('calcolo comm.'!Z$7:Z$2855,'calcolo comm.'!$AD$7:$AD$2855,9,'calcolo comm.'!$AE$7:$AE$2855,2026)</f>
        <v>0</v>
      </c>
      <c r="C16" s="57">
        <f>SUMIFS('calcolo comm.'!D$7:D$2855,'calcolo comm.'!$AD$7:$AD$2855,9,'calcolo comm.'!$AE$7:$AE$2855,2026)</f>
        <v>0</v>
      </c>
    </row>
    <row r="17" spans="1:3" x14ac:dyDescent="0.2">
      <c r="A17" s="55" t="s">
        <v>160</v>
      </c>
      <c r="B17" s="56">
        <f>SUMIFS('calcolo comm.'!Z$7:Z$2855,'calcolo comm.'!$AD$7:$AD$2855,10,'calcolo comm.'!$AE$7:$AE$2855,2026)</f>
        <v>0</v>
      </c>
      <c r="C17" s="57">
        <f>SUMIFS('calcolo comm.'!D$7:D$2855,'calcolo comm.'!$AD$7:$AD$2855,10,'calcolo comm.'!$AE$7:$AE$2855,2026)</f>
        <v>0</v>
      </c>
    </row>
    <row r="18" spans="1:3" x14ac:dyDescent="0.2">
      <c r="A18" s="55" t="s">
        <v>161</v>
      </c>
      <c r="B18" s="56">
        <f>SUMIFS('calcolo comm.'!Z$7:Z$2855,'calcolo comm.'!$AD$7:$AD$2855,11,'calcolo comm.'!$AE$7:$AE$2855,2026)</f>
        <v>0</v>
      </c>
      <c r="C18" s="57">
        <f>SUMIFS('calcolo comm.'!D$7:D$2855,'calcolo comm.'!$AD$7:$AD$2855,11,'calcolo comm.'!$AE$7:$AE$2855,2026)</f>
        <v>0</v>
      </c>
    </row>
    <row r="19" spans="1:3" ht="13.5" thickBot="1" x14ac:dyDescent="0.25">
      <c r="A19" s="58" t="s">
        <v>162</v>
      </c>
      <c r="B19" s="59">
        <f>SUMIFS('calcolo comm.'!Z$7:Z$2855,'calcolo comm.'!$AD$7:$AD$2855,12,'calcolo comm.'!$AE$7:$AE$2855,2026)</f>
        <v>0</v>
      </c>
      <c r="C19" s="60">
        <f>SUMIFS('calcolo comm.'!D$7:D$2855,'calcolo comm.'!$AD$7:$AD$2855,12,'calcolo comm.'!$AE$7:$AE$2855,2026)</f>
        <v>0</v>
      </c>
    </row>
    <row r="20" spans="1:3" ht="16.5" thickBot="1" x14ac:dyDescent="0.3">
      <c r="A20" s="51"/>
      <c r="B20" s="71">
        <f>SUM(B8:B19)</f>
        <v>8538.3455999999987</v>
      </c>
      <c r="C20" s="72">
        <f>SUM(C8:C19)</f>
        <v>16880.400000000001</v>
      </c>
    </row>
    <row r="23" spans="1:3" ht="19.5" thickBot="1" x14ac:dyDescent="0.35">
      <c r="B23" s="75">
        <v>2025</v>
      </c>
      <c r="C23" s="75"/>
    </row>
    <row r="24" spans="1:3" ht="16.5" thickBot="1" x14ac:dyDescent="0.3">
      <c r="A24" s="61"/>
      <c r="B24" s="76" t="s">
        <v>118</v>
      </c>
      <c r="C24" s="77"/>
    </row>
    <row r="25" spans="1:3" ht="16.5" thickBot="1" x14ac:dyDescent="0.3">
      <c r="A25" s="62" t="s">
        <v>116</v>
      </c>
      <c r="B25" s="63" t="s">
        <v>117</v>
      </c>
      <c r="C25" s="64" t="s">
        <v>3</v>
      </c>
    </row>
    <row r="26" spans="1:3" x14ac:dyDescent="0.2">
      <c r="A26" s="52" t="s">
        <v>138</v>
      </c>
      <c r="B26" s="53">
        <f>SUMIFS('calcolo comm.'!Z$7:Z$2855,'calcolo comm.'!$AD$7:$AD$2855,1,'calcolo comm.'!$AE$7:$AE$2855,2025)</f>
        <v>0</v>
      </c>
      <c r="C26" s="54">
        <f>SUMIFS('calcolo comm.'!D$7:D$2855,'calcolo comm.'!$AD$7:$AD$2855,1,'calcolo comm.'!$AE$7:$AE$2855,2025)</f>
        <v>0</v>
      </c>
    </row>
    <row r="27" spans="1:3" x14ac:dyDescent="0.2">
      <c r="A27" s="55" t="s">
        <v>139</v>
      </c>
      <c r="B27" s="56">
        <f>SUMIFS('calcolo comm.'!Z$7:Z$2855,'calcolo comm.'!$AD$7:$AD$2855,2,'calcolo comm.'!$AE$7:$AE$2855,2025)</f>
        <v>0</v>
      </c>
      <c r="C27" s="57">
        <f>SUMIFS('calcolo comm.'!D$7:D$2855,'calcolo comm.'!$AD$7:$AD$2855,2,'calcolo comm.'!$AE$7:$AE$2855,2025)</f>
        <v>0</v>
      </c>
    </row>
    <row r="28" spans="1:3" x14ac:dyDescent="0.2">
      <c r="A28" s="55" t="s">
        <v>140</v>
      </c>
      <c r="B28" s="56">
        <f>SUMIFS('calcolo comm.'!Z$7:Z$2855,'calcolo comm.'!$AD$7:$AD$2855,3,'calcolo comm.'!$AE$7:$AE$2855,2025)</f>
        <v>0</v>
      </c>
      <c r="C28" s="57">
        <f>SUMIFS('calcolo comm.'!D$7:D$2855,'calcolo comm.'!$AD$7:$AD$2855,3,'calcolo comm.'!$AE$7:$AE$2855,2025)</f>
        <v>0</v>
      </c>
    </row>
    <row r="29" spans="1:3" x14ac:dyDescent="0.2">
      <c r="A29" s="55" t="s">
        <v>141</v>
      </c>
      <c r="B29" s="56">
        <f>SUMIFS('calcolo comm.'!Z$7:Z$2855,'calcolo comm.'!$AD$7:$AD$2855,4,'calcolo comm.'!$AE$7:$AE$2855,2025)</f>
        <v>0</v>
      </c>
      <c r="C29" s="57">
        <f>SUMIFS('calcolo comm.'!D$7:D$2855,'calcolo comm.'!$AD$7:$AD$2855,4,'calcolo comm.'!$AE$7:$AE$2855,2025)</f>
        <v>0</v>
      </c>
    </row>
    <row r="30" spans="1:3" x14ac:dyDescent="0.2">
      <c r="A30" s="55" t="s">
        <v>142</v>
      </c>
      <c r="B30" s="56">
        <f>SUMIFS('calcolo comm.'!Z$7:Z$2855,'calcolo comm.'!$AD$7:$AD$2855,5,'calcolo comm.'!$AE$7:$AE$2855,2025)</f>
        <v>0</v>
      </c>
      <c r="C30" s="57">
        <f>SUMIFS('calcolo comm.'!D$7:D$2855,'calcolo comm.'!$AD$7:$AD$2855,5,'calcolo comm.'!$AE$7:$AE$2855,2025)</f>
        <v>0</v>
      </c>
    </row>
    <row r="31" spans="1:3" x14ac:dyDescent="0.2">
      <c r="A31" s="55" t="s">
        <v>143</v>
      </c>
      <c r="B31" s="56">
        <f>SUMIFS('calcolo comm.'!Z$7:Z$2855,'calcolo comm.'!$AD$7:$AD$2855,6,'calcolo comm.'!$AE$7:$AE$2855,2025)</f>
        <v>0</v>
      </c>
      <c r="C31" s="57">
        <f>SUMIFS('calcolo comm.'!D$7:D$2855,'calcolo comm.'!$AD$7:$AD$2855,6,'calcolo comm.'!$AE$7:$AE$2855,2025)</f>
        <v>0</v>
      </c>
    </row>
    <row r="32" spans="1:3" x14ac:dyDescent="0.2">
      <c r="A32" s="55" t="s">
        <v>144</v>
      </c>
      <c r="B32" s="56">
        <f>SUMIFS('calcolo comm.'!Z$7:Z$2855,'calcolo comm.'!$AD$7:$AD$2855,7,'calcolo comm.'!$AE$7:$AE$2855,2025)</f>
        <v>0</v>
      </c>
      <c r="C32" s="57">
        <f>SUMIFS('calcolo comm.'!D$7:D$2855,'calcolo comm.'!$AD$7:$AD$2855,7,'calcolo comm.'!$AE$7:$AE$2855,2025)</f>
        <v>0</v>
      </c>
    </row>
    <row r="33" spans="1:3" x14ac:dyDescent="0.2">
      <c r="A33" s="55" t="s">
        <v>145</v>
      </c>
      <c r="B33" s="56">
        <f>SUMIFS('calcolo comm.'!Z$7:Z$2855,'calcolo comm.'!$AD$7:$AD$2855,8,'calcolo comm.'!$AE$7:$AE$2855,2025)</f>
        <v>0</v>
      </c>
      <c r="C33" s="57">
        <f>SUMIFS('calcolo comm.'!D$7:D$2855,'calcolo comm.'!$AD$7:$AD$2855,8,'calcolo comm.'!$AE$7:$AE$2855,2025)</f>
        <v>0</v>
      </c>
    </row>
    <row r="34" spans="1:3" x14ac:dyDescent="0.2">
      <c r="A34" s="55" t="s">
        <v>146</v>
      </c>
      <c r="B34" s="56">
        <f>SUMIFS('calcolo comm.'!Z$7:Z$2855,'calcolo comm.'!$AD$7:$AD$2855,9,'calcolo comm.'!$AE$7:$AE$2855,2025)</f>
        <v>0</v>
      </c>
      <c r="C34" s="57">
        <f>SUMIFS('calcolo comm.'!D$7:D$2855,'calcolo comm.'!$AD$7:$AD$2855,9,'calcolo comm.'!$AE$7:$AE$2855,2025)</f>
        <v>0</v>
      </c>
    </row>
    <row r="35" spans="1:3" x14ac:dyDescent="0.2">
      <c r="A35" s="55" t="s">
        <v>147</v>
      </c>
      <c r="B35" s="56">
        <f>SUMIFS('calcolo comm.'!Z$7:Z$2855,'calcolo comm.'!$AD$7:$AD$2855,10,'calcolo comm.'!$AE$7:$AE$2855,2025)</f>
        <v>0</v>
      </c>
      <c r="C35" s="57">
        <f>SUMIFS('calcolo comm.'!D$7:D$2855,'calcolo comm.'!$AD$7:$AD$2855,10,'calcolo comm.'!$AE$7:$AE$2855,2025)</f>
        <v>0</v>
      </c>
    </row>
    <row r="36" spans="1:3" x14ac:dyDescent="0.2">
      <c r="A36" s="55" t="s">
        <v>148</v>
      </c>
      <c r="B36" s="56">
        <f>SUMIFS('calcolo comm.'!Z$7:Z$2855,'calcolo comm.'!$AD$7:$AD$2855,11,'calcolo comm.'!$AE$7:$AE$2855,2025)</f>
        <v>0</v>
      </c>
      <c r="C36" s="57">
        <f>SUMIFS('calcolo comm.'!D$7:D$2855,'calcolo comm.'!$AD$7:$AD$2855,11,'calcolo comm.'!$AE$7:$AE$2855,2025)</f>
        <v>0</v>
      </c>
    </row>
    <row r="37" spans="1:3" ht="13.5" thickBot="1" x14ac:dyDescent="0.25">
      <c r="A37" s="58" t="s">
        <v>131</v>
      </c>
      <c r="B37" s="59">
        <f>SUMIFS('calcolo comm.'!Z$7:Z$2855,'calcolo comm.'!$AD$7:$AD$2855,12,'calcolo comm.'!$AE$7:$AE$2855,2025)</f>
        <v>0</v>
      </c>
      <c r="C37" s="60">
        <f>SUMIFS('calcolo comm.'!D$7:D$2855,'calcolo comm.'!$AD$7:$AD$2855,12,'calcolo comm.'!$AE$7:$AE$2855,2025)</f>
        <v>0</v>
      </c>
    </row>
    <row r="38" spans="1:3" ht="16.5" thickBot="1" x14ac:dyDescent="0.3">
      <c r="A38" s="51"/>
      <c r="B38" s="71">
        <f>SUM(B26:B37)</f>
        <v>0</v>
      </c>
      <c r="C38" s="72">
        <f>SUM(C26:C37)</f>
        <v>0</v>
      </c>
    </row>
    <row r="44" spans="1:3" ht="19.5" thickBot="1" x14ac:dyDescent="0.35">
      <c r="B44" s="139" t="s">
        <v>28</v>
      </c>
      <c r="C44" s="139"/>
    </row>
    <row r="45" spans="1:3" ht="16.5" thickBot="1" x14ac:dyDescent="0.3">
      <c r="A45" s="61"/>
      <c r="B45" s="140" t="s">
        <v>118</v>
      </c>
      <c r="C45" s="141"/>
    </row>
    <row r="46" spans="1:3" ht="16.5" thickBot="1" x14ac:dyDescent="0.3">
      <c r="A46" s="62" t="s">
        <v>116</v>
      </c>
      <c r="B46" s="63" t="str">
        <f>IF(B51=0,"Euro","Errore")</f>
        <v>Euro</v>
      </c>
      <c r="C46" s="64" t="str">
        <f>IF(C51=0,"Kg","Errore")</f>
        <v>Kg</v>
      </c>
    </row>
    <row r="47" spans="1:3" x14ac:dyDescent="0.2">
      <c r="A47" s="52" t="s">
        <v>20</v>
      </c>
      <c r="B47" s="53">
        <f>+B20+B38</f>
        <v>8538.3455999999987</v>
      </c>
      <c r="C47" s="54">
        <f>+C20+C38</f>
        <v>16880.400000000001</v>
      </c>
    </row>
    <row r="49" spans="2:3" x14ac:dyDescent="0.2">
      <c r="B49" s="53">
        <f>SUMIF('calcolo comm.'!AD7:AD2855,0,'calcolo comm.'!Z7:Z2855)</f>
        <v>2710.7533999999996</v>
      </c>
      <c r="C49" s="54">
        <f>SUMIFS('calcolo comm.'!D$7:D$2855,'calcolo comm.'!$AD$7:$AD$2855,0,'calcolo comm.'!$AE$7:$AE$2855,0)</f>
        <v>5196.9999999999991</v>
      </c>
    </row>
    <row r="51" spans="2:3" x14ac:dyDescent="0.2">
      <c r="B51" s="24">
        <f>ROUND(B$47+B$49-'calcolo comm.'!Z$2856,2)</f>
        <v>0</v>
      </c>
      <c r="C51" s="65">
        <f>+C47+C49-'calcolo comm.'!D2856</f>
        <v>0</v>
      </c>
    </row>
    <row r="54" spans="2:3" x14ac:dyDescent="0.2">
      <c r="B54" s="24"/>
    </row>
    <row r="56" spans="2:3" x14ac:dyDescent="0.2">
      <c r="B56" s="73"/>
    </row>
  </sheetData>
  <mergeCells count="2">
    <mergeCell ref="B44:C44"/>
    <mergeCell ref="B45:C45"/>
  </mergeCells>
  <conditionalFormatting sqref="B46">
    <cfRule type="containsText" dxfId="1" priority="2" stopIfTrue="1" operator="containsText" text="Errore">
      <formula>NOT(ISERROR(SEARCH("Errore",B46)))</formula>
    </cfRule>
  </conditionalFormatting>
  <conditionalFormatting sqref="C46">
    <cfRule type="containsText" dxfId="0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2:A3"/>
  <sheetViews>
    <sheetView workbookViewId="0">
      <selection activeCell="A4" sqref="A4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48</v>
      </c>
    </row>
  </sheetData>
  <dataValidations count="1">
    <dataValidation type="list" allowBlank="1" showInputMessage="1" showErrorMessage="1" sqref="A2:A4" xr:uid="{00000000-0002-0000-0300-000000000000}">
      <formula1>$A$2:$A$4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46</v>
      </c>
      <c r="R4" s="45" t="s">
        <v>47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42" t="s">
        <v>31</v>
      </c>
      <c r="B2" s="142"/>
      <c r="C2" s="142"/>
      <c r="D2" s="142"/>
      <c r="E2" s="142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42" t="s">
        <v>31</v>
      </c>
      <c r="B2" s="142"/>
      <c r="C2" s="142"/>
      <c r="D2" s="142"/>
      <c r="E2" s="142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dati per ft</vt:lpstr>
      <vt:lpstr>calcolo comm.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Calkos Office</cp:lastModifiedBy>
  <cp:lastPrinted>2023-07-25T14:43:52Z</cp:lastPrinted>
  <dcterms:created xsi:type="dcterms:W3CDTF">2013-01-24T08:45:54Z</dcterms:created>
  <dcterms:modified xsi:type="dcterms:W3CDTF">2026-05-11T14:46:09Z</dcterms:modified>
</cp:coreProperties>
</file>